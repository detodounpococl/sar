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4538348-k\Desktop\DASHBOARD (html)\SAR\sar\"/>
    </mc:Choice>
  </mc:AlternateContent>
  <xr:revisionPtr revIDLastSave="0" documentId="13_ncr:1_{CBFA81E8-8BC8-4804-986B-196FADAE68A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SOLIDADO_SAR" sheetId="23" r:id="rId1"/>
    <sheet name="FORMATO" sheetId="29" r:id="rId2"/>
    <sheet name="ENERO" sheetId="36" r:id="rId3"/>
    <sheet name="FEBRERO" sheetId="37" r:id="rId4"/>
    <sheet name="MARZO" sheetId="38" r:id="rId5"/>
    <sheet name="ABRIL" sheetId="39" r:id="rId6"/>
    <sheet name="MAYO" sheetId="40" r:id="rId7"/>
    <sheet name="JUNIO" sheetId="41" r:id="rId8"/>
    <sheet name="JULIO" sheetId="42" r:id="rId9"/>
    <sheet name="AGOSTO" sheetId="43" r:id="rId10"/>
    <sheet name="SEPTIEMBRE" sheetId="44" r:id="rId11"/>
    <sheet name="OCTUBRE" sheetId="45" r:id="rId12"/>
    <sheet name="NOVIEMBRE" sheetId="46" r:id="rId13"/>
    <sheet name="DICIEMBRE" sheetId="47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0" i="23" l="1"/>
  <c r="M179" i="23"/>
  <c r="M178" i="23"/>
  <c r="M177" i="23"/>
  <c r="M176" i="23"/>
  <c r="M175" i="23"/>
  <c r="M174" i="23"/>
  <c r="M173" i="23"/>
  <c r="M172" i="23"/>
  <c r="M171" i="23"/>
  <c r="M170" i="23"/>
  <c r="M169" i="23"/>
  <c r="M168" i="23"/>
  <c r="M167" i="23"/>
  <c r="M166" i="23"/>
  <c r="M165" i="23"/>
  <c r="M164" i="23"/>
  <c r="M163" i="23"/>
  <c r="M162" i="23"/>
  <c r="M161" i="23"/>
  <c r="M160" i="23"/>
  <c r="M159" i="23"/>
  <c r="M158" i="23"/>
  <c r="M157" i="23"/>
  <c r="M156" i="23"/>
  <c r="M155" i="23"/>
  <c r="M154" i="23"/>
  <c r="M153" i="23"/>
  <c r="M152" i="23"/>
  <c r="M151" i="23"/>
  <c r="M150" i="23"/>
  <c r="M149" i="23"/>
  <c r="M148" i="23"/>
  <c r="M147" i="23"/>
  <c r="M146" i="23"/>
  <c r="M145" i="23"/>
  <c r="M144" i="23"/>
  <c r="M143" i="23"/>
  <c r="M142" i="23"/>
  <c r="M141" i="23"/>
  <c r="M140" i="23"/>
  <c r="M139" i="23"/>
  <c r="M138" i="23"/>
  <c r="M137" i="23"/>
  <c r="M136" i="23"/>
  <c r="M135" i="23"/>
  <c r="M134" i="23"/>
  <c r="M133" i="23"/>
  <c r="M132" i="23"/>
  <c r="M131" i="23"/>
  <c r="M130" i="23"/>
  <c r="M129" i="23"/>
  <c r="M128" i="23"/>
  <c r="M127" i="23"/>
  <c r="M126" i="23"/>
  <c r="M125" i="23"/>
  <c r="M124" i="23"/>
  <c r="M123" i="23"/>
  <c r="M122" i="23"/>
  <c r="M121" i="23"/>
  <c r="M120" i="23"/>
  <c r="M119" i="23"/>
  <c r="M118" i="23"/>
  <c r="M117" i="23"/>
  <c r="M116" i="23"/>
  <c r="M115" i="23"/>
  <c r="M114" i="23"/>
  <c r="M113" i="23"/>
  <c r="M112" i="23"/>
  <c r="M111" i="23"/>
  <c r="M110" i="23"/>
  <c r="M109" i="23"/>
  <c r="M108" i="23"/>
  <c r="M107" i="23"/>
  <c r="M106" i="23"/>
  <c r="M105" i="23"/>
  <c r="M104" i="23"/>
  <c r="M103" i="23"/>
  <c r="M102" i="23"/>
  <c r="M101" i="23"/>
  <c r="M100" i="23"/>
  <c r="M99" i="23"/>
  <c r="M98" i="23"/>
  <c r="M97" i="23"/>
  <c r="M96" i="23"/>
  <c r="M95" i="23"/>
  <c r="M94" i="23"/>
  <c r="M93" i="23"/>
  <c r="M92" i="23"/>
  <c r="M91" i="23"/>
  <c r="M90" i="23"/>
  <c r="M89" i="23"/>
  <c r="M88" i="23"/>
  <c r="M87" i="23"/>
  <c r="M86" i="23"/>
  <c r="M85" i="23"/>
  <c r="M84" i="23"/>
  <c r="M83" i="23"/>
  <c r="M82" i="23"/>
  <c r="M81" i="23"/>
  <c r="M80" i="23"/>
  <c r="M79" i="23"/>
  <c r="M78" i="23"/>
  <c r="M77" i="23"/>
  <c r="M76" i="23"/>
  <c r="M75" i="23"/>
  <c r="M74" i="23"/>
  <c r="M73" i="23"/>
  <c r="M72" i="23"/>
  <c r="M71" i="23"/>
  <c r="M70" i="23"/>
  <c r="M69" i="23"/>
  <c r="M68" i="23"/>
  <c r="M67" i="23"/>
  <c r="M66" i="23"/>
  <c r="M65" i="23"/>
  <c r="M64" i="23"/>
  <c r="M63" i="23"/>
  <c r="M62" i="23"/>
  <c r="M61" i="23"/>
  <c r="M60" i="23"/>
  <c r="M59" i="23"/>
  <c r="M58" i="23"/>
  <c r="M57" i="23"/>
  <c r="M56" i="23"/>
  <c r="M55" i="23"/>
  <c r="M54" i="23"/>
  <c r="M53" i="23"/>
  <c r="M52" i="23"/>
  <c r="M51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L180" i="23"/>
  <c r="L179" i="23"/>
  <c r="L178" i="23"/>
  <c r="L177" i="23"/>
  <c r="L176" i="23"/>
  <c r="L175" i="23"/>
  <c r="L174" i="23"/>
  <c r="L173" i="23"/>
  <c r="L172" i="23"/>
  <c r="L171" i="23"/>
  <c r="L170" i="23"/>
  <c r="L169" i="23"/>
  <c r="L168" i="23"/>
  <c r="L167" i="23"/>
  <c r="L166" i="23"/>
  <c r="L165" i="23"/>
  <c r="L164" i="23"/>
  <c r="L163" i="23"/>
  <c r="L162" i="23"/>
  <c r="L161" i="23"/>
  <c r="L160" i="23"/>
  <c r="L159" i="23"/>
  <c r="L158" i="23"/>
  <c r="L157" i="23"/>
  <c r="L156" i="23"/>
  <c r="L155" i="23"/>
  <c r="L154" i="23"/>
  <c r="L153" i="23"/>
  <c r="L152" i="23"/>
  <c r="L151" i="23"/>
  <c r="L150" i="23"/>
  <c r="L149" i="23"/>
  <c r="L148" i="23"/>
  <c r="L147" i="23"/>
  <c r="L146" i="23"/>
  <c r="L145" i="23"/>
  <c r="L144" i="23"/>
  <c r="L143" i="23"/>
  <c r="L142" i="23"/>
  <c r="L141" i="23"/>
  <c r="L140" i="23"/>
  <c r="L139" i="23"/>
  <c r="L138" i="23"/>
  <c r="L137" i="23"/>
  <c r="L136" i="23"/>
  <c r="L135" i="23"/>
  <c r="L134" i="23"/>
  <c r="L133" i="23"/>
  <c r="L132" i="23"/>
  <c r="L131" i="23"/>
  <c r="L130" i="23"/>
  <c r="L129" i="23"/>
  <c r="L128" i="23"/>
  <c r="L127" i="23"/>
  <c r="L126" i="23"/>
  <c r="L125" i="23"/>
  <c r="L124" i="23"/>
  <c r="L123" i="23"/>
  <c r="L122" i="23"/>
  <c r="L121" i="23"/>
  <c r="L120" i="23"/>
  <c r="L119" i="23"/>
  <c r="L118" i="23"/>
  <c r="L117" i="23"/>
  <c r="L116" i="23"/>
  <c r="L115" i="23"/>
  <c r="L114" i="23"/>
  <c r="L113" i="23"/>
  <c r="L112" i="23"/>
  <c r="L111" i="23"/>
  <c r="L110" i="23"/>
  <c r="L109" i="23"/>
  <c r="L108" i="23"/>
  <c r="L107" i="23"/>
  <c r="L106" i="23"/>
  <c r="L105" i="23"/>
  <c r="L104" i="23"/>
  <c r="L103" i="23"/>
  <c r="L102" i="23"/>
  <c r="L101" i="23"/>
  <c r="L100" i="23"/>
  <c r="L99" i="23"/>
  <c r="L98" i="23"/>
  <c r="L97" i="23"/>
  <c r="L96" i="23"/>
  <c r="L95" i="23"/>
  <c r="L94" i="23"/>
  <c r="L93" i="23"/>
  <c r="L92" i="23"/>
  <c r="L91" i="23"/>
  <c r="L90" i="23"/>
  <c r="L89" i="23"/>
  <c r="L88" i="23"/>
  <c r="L87" i="23"/>
  <c r="L86" i="23"/>
  <c r="L85" i="23"/>
  <c r="L84" i="23"/>
  <c r="L83" i="23"/>
  <c r="L82" i="23"/>
  <c r="L81" i="23"/>
  <c r="L80" i="23"/>
  <c r="L79" i="23"/>
  <c r="L78" i="23"/>
  <c r="L77" i="23"/>
  <c r="L76" i="23"/>
  <c r="L75" i="23"/>
  <c r="L74" i="23"/>
  <c r="L73" i="23"/>
  <c r="L72" i="23"/>
  <c r="L71" i="23"/>
  <c r="L70" i="23"/>
  <c r="L69" i="23"/>
  <c r="L68" i="23"/>
  <c r="L67" i="23"/>
  <c r="L66" i="23"/>
  <c r="L65" i="23"/>
  <c r="L64" i="23"/>
  <c r="L63" i="23"/>
  <c r="L62" i="23"/>
  <c r="L61" i="23"/>
  <c r="L60" i="23"/>
  <c r="L59" i="23"/>
  <c r="L58" i="23"/>
  <c r="L57" i="23"/>
  <c r="L56" i="23"/>
  <c r="L55" i="23"/>
  <c r="L54" i="23"/>
  <c r="L53" i="23"/>
  <c r="L52" i="23"/>
  <c r="L51" i="23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L26" i="23"/>
  <c r="L25" i="23"/>
  <c r="L24" i="23"/>
  <c r="L23" i="23"/>
  <c r="L22" i="23"/>
  <c r="L21" i="23"/>
  <c r="L20" i="23"/>
  <c r="L19" i="23"/>
  <c r="L18" i="23"/>
  <c r="L17" i="23"/>
  <c r="L16" i="23"/>
  <c r="L15" i="23"/>
  <c r="L14" i="23"/>
  <c r="L13" i="23"/>
  <c r="L12" i="23"/>
  <c r="L11" i="23"/>
  <c r="L10" i="23"/>
  <c r="L9" i="23"/>
  <c r="L8" i="23"/>
  <c r="L7" i="23"/>
  <c r="L6" i="23"/>
  <c r="L5" i="23"/>
  <c r="L4" i="23"/>
  <c r="L3" i="23"/>
  <c r="K180" i="23"/>
  <c r="K179" i="23"/>
  <c r="K178" i="23"/>
  <c r="K177" i="23"/>
  <c r="K176" i="23"/>
  <c r="K175" i="23"/>
  <c r="K174" i="23"/>
  <c r="K173" i="23"/>
  <c r="K172" i="23"/>
  <c r="K171" i="23"/>
  <c r="K170" i="23"/>
  <c r="K169" i="23"/>
  <c r="K168" i="23"/>
  <c r="K167" i="23"/>
  <c r="K166" i="23"/>
  <c r="K165" i="23"/>
  <c r="K164" i="23"/>
  <c r="K163" i="23"/>
  <c r="K162" i="23"/>
  <c r="K161" i="23"/>
  <c r="K160" i="23"/>
  <c r="K159" i="23"/>
  <c r="K158" i="23"/>
  <c r="K157" i="23"/>
  <c r="K156" i="23"/>
  <c r="K155" i="23"/>
  <c r="K154" i="23"/>
  <c r="K153" i="23"/>
  <c r="K152" i="23"/>
  <c r="K151" i="23"/>
  <c r="K150" i="23"/>
  <c r="K149" i="23"/>
  <c r="K148" i="23"/>
  <c r="K147" i="23"/>
  <c r="K146" i="23"/>
  <c r="K145" i="23"/>
  <c r="K144" i="23"/>
  <c r="K143" i="23"/>
  <c r="K142" i="23"/>
  <c r="K141" i="23"/>
  <c r="K140" i="23"/>
  <c r="K139" i="23"/>
  <c r="K138" i="23"/>
  <c r="K137" i="23"/>
  <c r="K136" i="23"/>
  <c r="K135" i="23"/>
  <c r="K134" i="23"/>
  <c r="K133" i="23"/>
  <c r="K132" i="23"/>
  <c r="K131" i="23"/>
  <c r="K130" i="23"/>
  <c r="K129" i="23"/>
  <c r="K128" i="23"/>
  <c r="K127" i="23"/>
  <c r="K126" i="23"/>
  <c r="K125" i="23"/>
  <c r="K124" i="23"/>
  <c r="K123" i="23"/>
  <c r="K122" i="23"/>
  <c r="K121" i="23"/>
  <c r="K120" i="23"/>
  <c r="K119" i="23"/>
  <c r="K118" i="23"/>
  <c r="K117" i="23"/>
  <c r="K116" i="23"/>
  <c r="K115" i="23"/>
  <c r="K114" i="23"/>
  <c r="K113" i="23"/>
  <c r="K112" i="23"/>
  <c r="K111" i="23"/>
  <c r="K110" i="23"/>
  <c r="K109" i="23"/>
  <c r="K108" i="23"/>
  <c r="K107" i="23"/>
  <c r="K106" i="23"/>
  <c r="K105" i="23"/>
  <c r="K104" i="23"/>
  <c r="K103" i="23"/>
  <c r="K102" i="23"/>
  <c r="K101" i="23"/>
  <c r="K100" i="23"/>
  <c r="K99" i="23"/>
  <c r="K98" i="23"/>
  <c r="K97" i="23"/>
  <c r="K96" i="23"/>
  <c r="K95" i="23"/>
  <c r="K94" i="23"/>
  <c r="K93" i="23"/>
  <c r="K92" i="23"/>
  <c r="K91" i="23"/>
  <c r="K90" i="23"/>
  <c r="K89" i="23"/>
  <c r="K88" i="23"/>
  <c r="K87" i="23"/>
  <c r="K86" i="23"/>
  <c r="K85" i="23"/>
  <c r="K84" i="23"/>
  <c r="K83" i="23"/>
  <c r="K82" i="23"/>
  <c r="K81" i="23"/>
  <c r="K80" i="23"/>
  <c r="K79" i="23"/>
  <c r="K78" i="23"/>
  <c r="K77" i="23"/>
  <c r="K76" i="23"/>
  <c r="K75" i="23"/>
  <c r="K74" i="23"/>
  <c r="K73" i="23"/>
  <c r="K72" i="23"/>
  <c r="K71" i="23"/>
  <c r="K70" i="23"/>
  <c r="K69" i="23"/>
  <c r="K68" i="23"/>
  <c r="K67" i="23"/>
  <c r="K66" i="23"/>
  <c r="K65" i="23"/>
  <c r="K64" i="23"/>
  <c r="K63" i="23"/>
  <c r="K62" i="23"/>
  <c r="K61" i="23"/>
  <c r="K60" i="23"/>
  <c r="K59" i="23"/>
  <c r="K58" i="23"/>
  <c r="K57" i="23"/>
  <c r="K56" i="23"/>
  <c r="K55" i="23"/>
  <c r="K54" i="23"/>
  <c r="K53" i="23"/>
  <c r="K52" i="23"/>
  <c r="K51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K26" i="23"/>
  <c r="K25" i="23"/>
  <c r="K24" i="23"/>
  <c r="K23" i="23"/>
  <c r="K22" i="23"/>
  <c r="K21" i="23"/>
  <c r="K20" i="23"/>
  <c r="K19" i="23"/>
  <c r="K18" i="23"/>
  <c r="K17" i="23"/>
  <c r="K16" i="23"/>
  <c r="K15" i="23"/>
  <c r="K14" i="23"/>
  <c r="K13" i="23"/>
  <c r="K12" i="23"/>
  <c r="K11" i="23"/>
  <c r="K10" i="23"/>
  <c r="K9" i="23"/>
  <c r="K8" i="23"/>
  <c r="K7" i="23"/>
  <c r="K6" i="23"/>
  <c r="K5" i="23"/>
  <c r="K4" i="23"/>
  <c r="K3" i="23"/>
  <c r="J180" i="23"/>
  <c r="J179" i="23"/>
  <c r="J178" i="23"/>
  <c r="J177" i="23"/>
  <c r="J176" i="23"/>
  <c r="J175" i="23"/>
  <c r="J174" i="23"/>
  <c r="J173" i="23"/>
  <c r="J172" i="23"/>
  <c r="J171" i="23"/>
  <c r="J170" i="23"/>
  <c r="J169" i="23"/>
  <c r="J168" i="23"/>
  <c r="J167" i="23"/>
  <c r="J166" i="23"/>
  <c r="J165" i="23"/>
  <c r="J164" i="23"/>
  <c r="J163" i="23"/>
  <c r="J162" i="23"/>
  <c r="J161" i="23"/>
  <c r="J160" i="23"/>
  <c r="J159" i="23"/>
  <c r="J158" i="23"/>
  <c r="J157" i="23"/>
  <c r="J156" i="23"/>
  <c r="J155" i="23"/>
  <c r="J154" i="23"/>
  <c r="J153" i="23"/>
  <c r="J152" i="23"/>
  <c r="J151" i="23"/>
  <c r="J150" i="23"/>
  <c r="J149" i="23"/>
  <c r="J148" i="23"/>
  <c r="J147" i="23"/>
  <c r="J146" i="23"/>
  <c r="J145" i="23"/>
  <c r="J144" i="23"/>
  <c r="J143" i="23"/>
  <c r="J142" i="23"/>
  <c r="J141" i="23"/>
  <c r="J140" i="23"/>
  <c r="J139" i="23"/>
  <c r="J138" i="23"/>
  <c r="J137" i="23"/>
  <c r="J136" i="23"/>
  <c r="J135" i="23"/>
  <c r="J134" i="23"/>
  <c r="J133" i="23"/>
  <c r="J132" i="23"/>
  <c r="J131" i="23"/>
  <c r="J130" i="23"/>
  <c r="J129" i="23"/>
  <c r="J128" i="23"/>
  <c r="J127" i="23"/>
  <c r="J126" i="23"/>
  <c r="J125" i="23"/>
  <c r="J124" i="23"/>
  <c r="J123" i="23"/>
  <c r="J122" i="23"/>
  <c r="J121" i="23"/>
  <c r="J120" i="23"/>
  <c r="J119" i="23"/>
  <c r="J118" i="23"/>
  <c r="J117" i="23"/>
  <c r="J116" i="23"/>
  <c r="J115" i="23"/>
  <c r="J114" i="23"/>
  <c r="J113" i="23"/>
  <c r="J112" i="23"/>
  <c r="J111" i="23"/>
  <c r="J110" i="23"/>
  <c r="J109" i="23"/>
  <c r="J108" i="23"/>
  <c r="J107" i="23"/>
  <c r="J106" i="23"/>
  <c r="J105" i="23"/>
  <c r="J104" i="23"/>
  <c r="J103" i="23"/>
  <c r="J102" i="23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I180" i="23"/>
  <c r="I179" i="23"/>
  <c r="I178" i="23"/>
  <c r="I177" i="23"/>
  <c r="I176" i="23"/>
  <c r="I175" i="23"/>
  <c r="I174" i="23"/>
  <c r="I173" i="23"/>
  <c r="I172" i="23"/>
  <c r="I171" i="23"/>
  <c r="I170" i="23"/>
  <c r="I169" i="23"/>
  <c r="I168" i="23"/>
  <c r="I167" i="23"/>
  <c r="I166" i="23"/>
  <c r="I165" i="23"/>
  <c r="I164" i="23"/>
  <c r="I163" i="23"/>
  <c r="I162" i="23"/>
  <c r="I161" i="23"/>
  <c r="I160" i="23"/>
  <c r="I159" i="23"/>
  <c r="I158" i="23"/>
  <c r="I157" i="23"/>
  <c r="I156" i="23"/>
  <c r="I155" i="23"/>
  <c r="I154" i="23"/>
  <c r="I153" i="23"/>
  <c r="I152" i="23"/>
  <c r="I151" i="23"/>
  <c r="I150" i="23"/>
  <c r="I149" i="23"/>
  <c r="I148" i="23"/>
  <c r="I147" i="23"/>
  <c r="I146" i="23"/>
  <c r="I145" i="23"/>
  <c r="I144" i="23"/>
  <c r="I143" i="23"/>
  <c r="I142" i="23"/>
  <c r="I141" i="23"/>
  <c r="I140" i="23"/>
  <c r="I139" i="23"/>
  <c r="I138" i="23"/>
  <c r="I137" i="23"/>
  <c r="I136" i="23"/>
  <c r="I135" i="23"/>
  <c r="I134" i="23"/>
  <c r="I133" i="23"/>
  <c r="I132" i="23"/>
  <c r="I131" i="23"/>
  <c r="I130" i="23"/>
  <c r="I129" i="23"/>
  <c r="I128" i="23"/>
  <c r="I127" i="23"/>
  <c r="I126" i="23"/>
  <c r="I125" i="23"/>
  <c r="I124" i="23"/>
  <c r="I123" i="23"/>
  <c r="I122" i="23"/>
  <c r="I121" i="23"/>
  <c r="I120" i="23"/>
  <c r="I119" i="23"/>
  <c r="I118" i="23"/>
  <c r="I117" i="23"/>
  <c r="I116" i="23"/>
  <c r="I115" i="23"/>
  <c r="I114" i="23"/>
  <c r="I113" i="23"/>
  <c r="I112" i="23"/>
  <c r="I111" i="23"/>
  <c r="I110" i="23"/>
  <c r="I109" i="23"/>
  <c r="I108" i="23"/>
  <c r="I107" i="23"/>
  <c r="I106" i="23"/>
  <c r="I105" i="23"/>
  <c r="I104" i="23"/>
  <c r="I103" i="23"/>
  <c r="I102" i="23"/>
  <c r="I101" i="23"/>
  <c r="I100" i="23"/>
  <c r="I99" i="23"/>
  <c r="I98" i="23"/>
  <c r="I97" i="23"/>
  <c r="I96" i="23"/>
  <c r="I95" i="23"/>
  <c r="I94" i="23"/>
  <c r="I93" i="23"/>
  <c r="I92" i="23"/>
  <c r="I91" i="23"/>
  <c r="I90" i="23"/>
  <c r="I89" i="23"/>
  <c r="I88" i="23"/>
  <c r="I87" i="23"/>
  <c r="I86" i="23"/>
  <c r="I85" i="23"/>
  <c r="I84" i="23"/>
  <c r="I83" i="23"/>
  <c r="I82" i="23"/>
  <c r="I81" i="23"/>
  <c r="I80" i="23"/>
  <c r="I79" i="23"/>
  <c r="I78" i="23"/>
  <c r="I77" i="23"/>
  <c r="I76" i="23"/>
  <c r="I75" i="23"/>
  <c r="I74" i="23"/>
  <c r="I73" i="23"/>
  <c r="I72" i="23"/>
  <c r="I71" i="23"/>
  <c r="I70" i="23"/>
  <c r="I69" i="23"/>
  <c r="I68" i="23"/>
  <c r="I67" i="23"/>
  <c r="I66" i="23"/>
  <c r="I65" i="23"/>
  <c r="I64" i="23"/>
  <c r="I63" i="23"/>
  <c r="I62" i="23"/>
  <c r="I61" i="23"/>
  <c r="I60" i="23"/>
  <c r="I59" i="23"/>
  <c r="I58" i="23"/>
  <c r="I57" i="23"/>
  <c r="I56" i="23"/>
  <c r="I55" i="23"/>
  <c r="I54" i="23"/>
  <c r="I53" i="23"/>
  <c r="I52" i="23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13" i="23"/>
  <c r="I12" i="23"/>
  <c r="I11" i="23"/>
  <c r="I10" i="23"/>
  <c r="I9" i="23"/>
  <c r="I8" i="23"/>
  <c r="I7" i="23"/>
  <c r="I6" i="23"/>
  <c r="I5" i="23"/>
  <c r="I4" i="23"/>
  <c r="I3" i="23"/>
  <c r="H180" i="23"/>
  <c r="H179" i="23"/>
  <c r="H178" i="23"/>
  <c r="H177" i="23"/>
  <c r="H176" i="23"/>
  <c r="H175" i="23"/>
  <c r="H174" i="23"/>
  <c r="H173" i="23"/>
  <c r="H172" i="23"/>
  <c r="H171" i="23"/>
  <c r="H170" i="23"/>
  <c r="H169" i="23"/>
  <c r="H168" i="23"/>
  <c r="H167" i="23"/>
  <c r="H166" i="23"/>
  <c r="H165" i="23"/>
  <c r="H164" i="23"/>
  <c r="H163" i="23"/>
  <c r="H162" i="23"/>
  <c r="H161" i="23"/>
  <c r="H160" i="23"/>
  <c r="H159" i="23"/>
  <c r="H158" i="23"/>
  <c r="H157" i="23"/>
  <c r="H156" i="23"/>
  <c r="H155" i="23"/>
  <c r="H154" i="23"/>
  <c r="H153" i="23"/>
  <c r="H152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8" i="23"/>
  <c r="H137" i="23"/>
  <c r="H136" i="23"/>
  <c r="H135" i="23"/>
  <c r="H134" i="23"/>
  <c r="H133" i="23"/>
  <c r="H132" i="23"/>
  <c r="H131" i="23"/>
  <c r="H130" i="23"/>
  <c r="H129" i="23"/>
  <c r="H128" i="23"/>
  <c r="H127" i="23"/>
  <c r="H126" i="23"/>
  <c r="H125" i="23"/>
  <c r="H124" i="23"/>
  <c r="H123" i="23"/>
  <c r="H122" i="23"/>
  <c r="H121" i="23"/>
  <c r="H120" i="23"/>
  <c r="H119" i="23"/>
  <c r="H118" i="23"/>
  <c r="H117" i="23"/>
  <c r="H116" i="23"/>
  <c r="H115" i="23"/>
  <c r="H114" i="23"/>
  <c r="H113" i="23"/>
  <c r="H112" i="23"/>
  <c r="H111" i="23"/>
  <c r="H110" i="23"/>
  <c r="H109" i="23"/>
  <c r="H108" i="23"/>
  <c r="H107" i="23"/>
  <c r="H106" i="23"/>
  <c r="H105" i="23"/>
  <c r="H104" i="23"/>
  <c r="H103" i="23"/>
  <c r="H102" i="23"/>
  <c r="H101" i="23"/>
  <c r="H100" i="23"/>
  <c r="H99" i="23"/>
  <c r="H98" i="23"/>
  <c r="H97" i="23"/>
  <c r="H96" i="23"/>
  <c r="H95" i="23"/>
  <c r="H94" i="23"/>
  <c r="H93" i="23"/>
  <c r="H92" i="23"/>
  <c r="H91" i="23"/>
  <c r="H90" i="23"/>
  <c r="H89" i="23"/>
  <c r="H88" i="23"/>
  <c r="H87" i="23"/>
  <c r="H86" i="23"/>
  <c r="H85" i="23"/>
  <c r="H84" i="23"/>
  <c r="H83" i="23"/>
  <c r="H82" i="23"/>
  <c r="H81" i="23"/>
  <c r="H80" i="23"/>
  <c r="H79" i="23"/>
  <c r="H78" i="23"/>
  <c r="H77" i="23"/>
  <c r="H76" i="23"/>
  <c r="H75" i="23"/>
  <c r="H74" i="23"/>
  <c r="H73" i="23"/>
  <c r="H72" i="23"/>
  <c r="H71" i="23"/>
  <c r="H70" i="23"/>
  <c r="H69" i="23"/>
  <c r="H68" i="23"/>
  <c r="H67" i="23"/>
  <c r="H66" i="23"/>
  <c r="H65" i="23"/>
  <c r="H64" i="23"/>
  <c r="H63" i="23"/>
  <c r="H62" i="23"/>
  <c r="H61" i="23"/>
  <c r="H60" i="23"/>
  <c r="H59" i="23"/>
  <c r="H58" i="23"/>
  <c r="H57" i="23"/>
  <c r="H56" i="23"/>
  <c r="H55" i="23"/>
  <c r="H54" i="23"/>
  <c r="H53" i="23"/>
  <c r="H52" i="23"/>
  <c r="H51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H26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H4" i="23"/>
  <c r="H3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F180" i="23"/>
  <c r="F179" i="23"/>
  <c r="F178" i="23"/>
  <c r="F177" i="23"/>
  <c r="F176" i="23"/>
  <c r="F175" i="23"/>
  <c r="F174" i="23"/>
  <c r="F173" i="23"/>
  <c r="F172" i="23"/>
  <c r="F171" i="23"/>
  <c r="F170" i="23"/>
  <c r="F169" i="23"/>
  <c r="F168" i="23"/>
  <c r="F167" i="23"/>
  <c r="F166" i="23"/>
  <c r="F165" i="23"/>
  <c r="F164" i="23"/>
  <c r="F163" i="23"/>
  <c r="F162" i="23"/>
  <c r="F161" i="23"/>
  <c r="F160" i="23"/>
  <c r="F159" i="23"/>
  <c r="F158" i="23"/>
  <c r="F157" i="23"/>
  <c r="F156" i="23"/>
  <c r="F155" i="23"/>
  <c r="F154" i="23"/>
  <c r="F153" i="23"/>
  <c r="F152" i="23"/>
  <c r="F151" i="23"/>
  <c r="F150" i="23"/>
  <c r="F149" i="23"/>
  <c r="F148" i="23"/>
  <c r="F147" i="23"/>
  <c r="F146" i="23"/>
  <c r="F145" i="23"/>
  <c r="F144" i="23"/>
  <c r="F143" i="23"/>
  <c r="F142" i="23"/>
  <c r="F141" i="23"/>
  <c r="F140" i="23"/>
  <c r="F139" i="23"/>
  <c r="F138" i="23"/>
  <c r="F137" i="23"/>
  <c r="F136" i="23"/>
  <c r="F135" i="23"/>
  <c r="F134" i="23"/>
  <c r="F133" i="23"/>
  <c r="F132" i="23"/>
  <c r="F131" i="23"/>
  <c r="F130" i="23"/>
  <c r="F129" i="23"/>
  <c r="F128" i="23"/>
  <c r="F127" i="23"/>
  <c r="F126" i="23"/>
  <c r="F125" i="23"/>
  <c r="F124" i="23"/>
  <c r="F123" i="23"/>
  <c r="F122" i="23"/>
  <c r="F121" i="23"/>
  <c r="F120" i="23"/>
  <c r="F119" i="23"/>
  <c r="F118" i="23"/>
  <c r="F117" i="23"/>
  <c r="F116" i="23"/>
  <c r="F115" i="23"/>
  <c r="F114" i="23"/>
  <c r="F113" i="23"/>
  <c r="F112" i="23"/>
  <c r="F111" i="23"/>
  <c r="F110" i="23"/>
  <c r="F109" i="23"/>
  <c r="F108" i="23"/>
  <c r="F107" i="23"/>
  <c r="F106" i="23"/>
  <c r="F105" i="23"/>
  <c r="F104" i="23"/>
  <c r="F103" i="23"/>
  <c r="F102" i="23"/>
  <c r="F101" i="23"/>
  <c r="F100" i="23"/>
  <c r="F99" i="23"/>
  <c r="F98" i="23"/>
  <c r="F97" i="23"/>
  <c r="F96" i="23"/>
  <c r="F95" i="23"/>
  <c r="F94" i="23"/>
  <c r="F93" i="23"/>
  <c r="F92" i="23"/>
  <c r="F91" i="23"/>
  <c r="F90" i="23"/>
  <c r="F89" i="23"/>
  <c r="F88" i="23"/>
  <c r="F87" i="23"/>
  <c r="F86" i="23"/>
  <c r="F85" i="23"/>
  <c r="F84" i="23"/>
  <c r="F83" i="23"/>
  <c r="F82" i="23"/>
  <c r="F81" i="23"/>
  <c r="F80" i="23"/>
  <c r="F79" i="23"/>
  <c r="F78" i="23"/>
  <c r="F77" i="23"/>
  <c r="F76" i="23"/>
  <c r="F75" i="23"/>
  <c r="F74" i="23"/>
  <c r="F73" i="23"/>
  <c r="F72" i="23"/>
  <c r="F71" i="23"/>
  <c r="F70" i="23"/>
  <c r="F69" i="23"/>
  <c r="F68" i="23"/>
  <c r="F67" i="23"/>
  <c r="F66" i="23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F51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E180" i="23"/>
  <c r="E179" i="23"/>
  <c r="E178" i="23"/>
  <c r="E177" i="23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71" i="23"/>
  <c r="E70" i="23"/>
  <c r="E69" i="23"/>
  <c r="E68" i="23"/>
  <c r="E67" i="23"/>
  <c r="E66" i="23"/>
  <c r="E65" i="23"/>
  <c r="E64" i="23"/>
  <c r="E63" i="23"/>
  <c r="E62" i="23"/>
  <c r="E61" i="23"/>
  <c r="E60" i="23"/>
  <c r="E59" i="23"/>
  <c r="E58" i="23"/>
  <c r="E57" i="23"/>
  <c r="E56" i="23"/>
  <c r="E55" i="23"/>
  <c r="E54" i="23"/>
  <c r="E53" i="23"/>
  <c r="E52" i="23"/>
  <c r="E5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E3" i="23"/>
  <c r="D180" i="23"/>
  <c r="D179" i="23"/>
  <c r="D178" i="23"/>
  <c r="D177" i="23"/>
  <c r="D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D147" i="23"/>
  <c r="D146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4" i="23"/>
  <c r="D3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AG180" i="47"/>
  <c r="AG179" i="47"/>
  <c r="AG178" i="47"/>
  <c r="AF177" i="47"/>
  <c r="AE177" i="47"/>
  <c r="AD177" i="47"/>
  <c r="AC177" i="47"/>
  <c r="AB177" i="47"/>
  <c r="AA177" i="47"/>
  <c r="Z177" i="47"/>
  <c r="Y177" i="47"/>
  <c r="X177" i="47"/>
  <c r="W177" i="47"/>
  <c r="V177" i="47"/>
  <c r="U177" i="47"/>
  <c r="T177" i="47"/>
  <c r="S177" i="47"/>
  <c r="R177" i="47"/>
  <c r="Q177" i="47"/>
  <c r="P177" i="47"/>
  <c r="O177" i="47"/>
  <c r="N177" i="47"/>
  <c r="M177" i="47"/>
  <c r="L177" i="47"/>
  <c r="K177" i="47"/>
  <c r="J177" i="47"/>
  <c r="I177" i="47"/>
  <c r="H177" i="47"/>
  <c r="G177" i="47"/>
  <c r="F177" i="47"/>
  <c r="E177" i="47"/>
  <c r="D177" i="47"/>
  <c r="C177" i="47"/>
  <c r="B177" i="47"/>
  <c r="AG176" i="47"/>
  <c r="AG175" i="47"/>
  <c r="AG174" i="47"/>
  <c r="AG173" i="47"/>
  <c r="AG172" i="47"/>
  <c r="AF171" i="47"/>
  <c r="AE171" i="47"/>
  <c r="AD171" i="47"/>
  <c r="AC171" i="47"/>
  <c r="AB171" i="47"/>
  <c r="AA171" i="47"/>
  <c r="Z171" i="47"/>
  <c r="Y171" i="47"/>
  <c r="X171" i="47"/>
  <c r="W171" i="47"/>
  <c r="V171" i="47"/>
  <c r="U171" i="47"/>
  <c r="T171" i="47"/>
  <c r="S171" i="47"/>
  <c r="R171" i="47"/>
  <c r="Q171" i="47"/>
  <c r="P171" i="47"/>
  <c r="O171" i="47"/>
  <c r="N171" i="47"/>
  <c r="M171" i="47"/>
  <c r="L171" i="47"/>
  <c r="K171" i="47"/>
  <c r="J171" i="47"/>
  <c r="I171" i="47"/>
  <c r="H171" i="47"/>
  <c r="G171" i="47"/>
  <c r="F171" i="47"/>
  <c r="E171" i="47"/>
  <c r="D171" i="47"/>
  <c r="C171" i="47"/>
  <c r="B171" i="47"/>
  <c r="AG170" i="47"/>
  <c r="AG169" i="47"/>
  <c r="AG168" i="47"/>
  <c r="AG167" i="47"/>
  <c r="AG166" i="47"/>
  <c r="AG165" i="47"/>
  <c r="AG164" i="47"/>
  <c r="AG163" i="47"/>
  <c r="AG162" i="47"/>
  <c r="AG161" i="47"/>
  <c r="AG160" i="47"/>
  <c r="AG159" i="47"/>
  <c r="AG158" i="47"/>
  <c r="AG157" i="47"/>
  <c r="AG156" i="47"/>
  <c r="AG155" i="47"/>
  <c r="AG154" i="47"/>
  <c r="AG153" i="47"/>
  <c r="AG152" i="47"/>
  <c r="AG151" i="47"/>
  <c r="AG150" i="47"/>
  <c r="AG149" i="47"/>
  <c r="AG148" i="47"/>
  <c r="AG147" i="47"/>
  <c r="AG146" i="47"/>
  <c r="AG145" i="47"/>
  <c r="AF144" i="47"/>
  <c r="AE144" i="47"/>
  <c r="AD144" i="47"/>
  <c r="AC144" i="47"/>
  <c r="AB144" i="47"/>
  <c r="AA144" i="47"/>
  <c r="Z144" i="47"/>
  <c r="Y144" i="47"/>
  <c r="X144" i="47"/>
  <c r="W144" i="47"/>
  <c r="V144" i="47"/>
  <c r="U144" i="47"/>
  <c r="T144" i="47"/>
  <c r="S144" i="47"/>
  <c r="R144" i="47"/>
  <c r="Q144" i="47"/>
  <c r="P144" i="47"/>
  <c r="O144" i="47"/>
  <c r="N144" i="47"/>
  <c r="M144" i="47"/>
  <c r="L144" i="47"/>
  <c r="K144" i="47"/>
  <c r="J144" i="47"/>
  <c r="I144" i="47"/>
  <c r="H144" i="47"/>
  <c r="G144" i="47"/>
  <c r="F144" i="47"/>
  <c r="E144" i="47"/>
  <c r="D144" i="47"/>
  <c r="C144" i="47"/>
  <c r="B144" i="47"/>
  <c r="AG143" i="47"/>
  <c r="AG142" i="47"/>
  <c r="AG141" i="47"/>
  <c r="AG140" i="47"/>
  <c r="AF139" i="47"/>
  <c r="AE139" i="47"/>
  <c r="AD139" i="47"/>
  <c r="AC139" i="47"/>
  <c r="AB139" i="47"/>
  <c r="AA139" i="47"/>
  <c r="Z139" i="47"/>
  <c r="Y139" i="47"/>
  <c r="X139" i="47"/>
  <c r="W139" i="47"/>
  <c r="V139" i="47"/>
  <c r="U139" i="47"/>
  <c r="T139" i="47"/>
  <c r="S139" i="47"/>
  <c r="R139" i="47"/>
  <c r="Q139" i="47"/>
  <c r="P139" i="47"/>
  <c r="O139" i="47"/>
  <c r="N139" i="47"/>
  <c r="M139" i="47"/>
  <c r="L139" i="47"/>
  <c r="K139" i="47"/>
  <c r="J139" i="47"/>
  <c r="I139" i="47"/>
  <c r="H139" i="47"/>
  <c r="G139" i="47"/>
  <c r="F139" i="47"/>
  <c r="E139" i="47"/>
  <c r="D139" i="47"/>
  <c r="C139" i="47"/>
  <c r="B139" i="47"/>
  <c r="AG138" i="47"/>
  <c r="AG137" i="47"/>
  <c r="AG136" i="47"/>
  <c r="AF135" i="47"/>
  <c r="AE135" i="47"/>
  <c r="AD135" i="47"/>
  <c r="AC135" i="47"/>
  <c r="AB135" i="47"/>
  <c r="AA135" i="47"/>
  <c r="Z135" i="47"/>
  <c r="Y135" i="47"/>
  <c r="X135" i="47"/>
  <c r="W135" i="47"/>
  <c r="V135" i="47"/>
  <c r="U135" i="47"/>
  <c r="T135" i="47"/>
  <c r="S135" i="47"/>
  <c r="R135" i="47"/>
  <c r="Q135" i="47"/>
  <c r="P135" i="47"/>
  <c r="O135" i="47"/>
  <c r="N135" i="47"/>
  <c r="M135" i="47"/>
  <c r="L135" i="47"/>
  <c r="K135" i="47"/>
  <c r="J135" i="47"/>
  <c r="I135" i="47"/>
  <c r="H135" i="47"/>
  <c r="G135" i="47"/>
  <c r="F135" i="47"/>
  <c r="E135" i="47"/>
  <c r="D135" i="47"/>
  <c r="C135" i="47"/>
  <c r="B135" i="47"/>
  <c r="W133" i="47"/>
  <c r="AG132" i="47"/>
  <c r="AG131" i="47"/>
  <c r="AG130" i="47"/>
  <c r="AG129" i="47"/>
  <c r="AG128" i="47"/>
  <c r="AG127" i="47"/>
  <c r="AG126" i="47"/>
  <c r="AG125" i="47"/>
  <c r="AG124" i="47"/>
  <c r="AG123" i="47"/>
  <c r="AG122" i="47"/>
  <c r="AG121" i="47"/>
  <c r="AG120" i="47"/>
  <c r="AF119" i="47"/>
  <c r="AE119" i="47"/>
  <c r="AD119" i="47"/>
  <c r="AC119" i="47"/>
  <c r="AB119" i="47"/>
  <c r="AA119" i="47"/>
  <c r="Z119" i="47"/>
  <c r="Y119" i="47"/>
  <c r="X119" i="47"/>
  <c r="W119" i="47"/>
  <c r="V119" i="47"/>
  <c r="U119" i="47"/>
  <c r="T119" i="47"/>
  <c r="S119" i="47"/>
  <c r="R119" i="47"/>
  <c r="Q119" i="47"/>
  <c r="P119" i="47"/>
  <c r="O119" i="47"/>
  <c r="N119" i="47"/>
  <c r="M119" i="47"/>
  <c r="L119" i="47"/>
  <c r="K119" i="47"/>
  <c r="J119" i="47"/>
  <c r="I119" i="47"/>
  <c r="H119" i="47"/>
  <c r="G119" i="47"/>
  <c r="F119" i="47"/>
  <c r="E119" i="47"/>
  <c r="D119" i="47"/>
  <c r="C119" i="47"/>
  <c r="B119" i="47"/>
  <c r="AG118" i="47"/>
  <c r="AG117" i="47"/>
  <c r="AF116" i="47"/>
  <c r="AE116" i="47"/>
  <c r="AD116" i="47"/>
  <c r="AC116" i="47"/>
  <c r="AB116" i="47"/>
  <c r="AA116" i="47"/>
  <c r="Z116" i="47"/>
  <c r="Y116" i="47"/>
  <c r="X116" i="47"/>
  <c r="W116" i="47"/>
  <c r="V116" i="47"/>
  <c r="U116" i="47"/>
  <c r="T116" i="47"/>
  <c r="S116" i="47"/>
  <c r="R116" i="47"/>
  <c r="Q116" i="47"/>
  <c r="P116" i="47"/>
  <c r="O116" i="47"/>
  <c r="N116" i="47"/>
  <c r="M116" i="47"/>
  <c r="L116" i="47"/>
  <c r="K116" i="47"/>
  <c r="J116" i="47"/>
  <c r="I116" i="47"/>
  <c r="H116" i="47"/>
  <c r="G116" i="47"/>
  <c r="F116" i="47"/>
  <c r="E116" i="47"/>
  <c r="D116" i="47"/>
  <c r="C116" i="47"/>
  <c r="B116" i="47"/>
  <c r="AG115" i="47"/>
  <c r="AG114" i="47"/>
  <c r="AG113" i="47"/>
  <c r="AG112" i="47"/>
  <c r="AG111" i="47"/>
  <c r="AG110" i="47"/>
  <c r="AG109" i="47"/>
  <c r="AG108" i="47"/>
  <c r="AG107" i="47"/>
  <c r="AG106" i="47"/>
  <c r="AG105" i="47"/>
  <c r="AG104" i="47"/>
  <c r="AG103" i="47"/>
  <c r="AG102" i="47"/>
  <c r="AG101" i="47"/>
  <c r="AF100" i="47"/>
  <c r="AE100" i="47"/>
  <c r="AD100" i="47"/>
  <c r="AD93" i="47" s="1"/>
  <c r="AC100" i="47"/>
  <c r="AB100" i="47"/>
  <c r="AA100" i="47"/>
  <c r="Z100" i="47"/>
  <c r="Y100" i="47"/>
  <c r="X100" i="47"/>
  <c r="X93" i="47" s="1"/>
  <c r="W100" i="47"/>
  <c r="W93" i="47" s="1"/>
  <c r="V100" i="47"/>
  <c r="U100" i="47"/>
  <c r="T100" i="47"/>
  <c r="S100" i="47"/>
  <c r="R100" i="47"/>
  <c r="Q100" i="47"/>
  <c r="P100" i="47"/>
  <c r="O100" i="47"/>
  <c r="N100" i="47"/>
  <c r="M100" i="47"/>
  <c r="L100" i="47"/>
  <c r="K100" i="47"/>
  <c r="K93" i="47" s="1"/>
  <c r="J100" i="47"/>
  <c r="I100" i="47"/>
  <c r="H100" i="47"/>
  <c r="G100" i="47"/>
  <c r="F100" i="47"/>
  <c r="E100" i="47"/>
  <c r="D100" i="47"/>
  <c r="C100" i="47"/>
  <c r="B100" i="47"/>
  <c r="AG99" i="47"/>
  <c r="AG98" i="47"/>
  <c r="AG97" i="47"/>
  <c r="AG96" i="47"/>
  <c r="AG95" i="47"/>
  <c r="AF94" i="47"/>
  <c r="AE94" i="47"/>
  <c r="AD94" i="47"/>
  <c r="AC94" i="47"/>
  <c r="AB94" i="47"/>
  <c r="AA94" i="47"/>
  <c r="AA93" i="47" s="1"/>
  <c r="Z94" i="47"/>
  <c r="Y94" i="47"/>
  <c r="X94" i="47"/>
  <c r="W94" i="47"/>
  <c r="V94" i="47"/>
  <c r="U94" i="47"/>
  <c r="T94" i="47"/>
  <c r="S94" i="47"/>
  <c r="S93" i="47" s="1"/>
  <c r="R94" i="47"/>
  <c r="Q94" i="47"/>
  <c r="P94" i="47"/>
  <c r="O94" i="47"/>
  <c r="N94" i="47"/>
  <c r="M94" i="47"/>
  <c r="L94" i="47"/>
  <c r="K94" i="47"/>
  <c r="J94" i="47"/>
  <c r="I94" i="47"/>
  <c r="H94" i="47"/>
  <c r="H93" i="47" s="1"/>
  <c r="G94" i="47"/>
  <c r="F94" i="47"/>
  <c r="E94" i="47"/>
  <c r="D94" i="47"/>
  <c r="C94" i="47"/>
  <c r="B94" i="47"/>
  <c r="AG92" i="47"/>
  <c r="AG91" i="47"/>
  <c r="AG90" i="47"/>
  <c r="AG89" i="47"/>
  <c r="AG88" i="47"/>
  <c r="AF87" i="47"/>
  <c r="AE87" i="47"/>
  <c r="AD87" i="47"/>
  <c r="AC87" i="47"/>
  <c r="AB87" i="47"/>
  <c r="AA87" i="47"/>
  <c r="Z87" i="47"/>
  <c r="Y87" i="47"/>
  <c r="X87" i="47"/>
  <c r="W87" i="47"/>
  <c r="V87" i="47"/>
  <c r="U87" i="47"/>
  <c r="T87" i="47"/>
  <c r="S87" i="47"/>
  <c r="R87" i="47"/>
  <c r="Q87" i="47"/>
  <c r="P87" i="47"/>
  <c r="O87" i="47"/>
  <c r="N87" i="47"/>
  <c r="M87" i="47"/>
  <c r="L87" i="47"/>
  <c r="K87" i="47"/>
  <c r="J87" i="47"/>
  <c r="I87" i="47"/>
  <c r="H87" i="47"/>
  <c r="G87" i="47"/>
  <c r="F87" i="47"/>
  <c r="E87" i="47"/>
  <c r="D87" i="47"/>
  <c r="C87" i="47"/>
  <c r="B87" i="47"/>
  <c r="AG86" i="47"/>
  <c r="AG85" i="47"/>
  <c r="AF84" i="47"/>
  <c r="AE84" i="47"/>
  <c r="AD84" i="47"/>
  <c r="AC84" i="47"/>
  <c r="AB84" i="47"/>
  <c r="AA84" i="47"/>
  <c r="Z84" i="47"/>
  <c r="Y84" i="47"/>
  <c r="X84" i="47"/>
  <c r="W84" i="47"/>
  <c r="V84" i="47"/>
  <c r="U84" i="47"/>
  <c r="T84" i="47"/>
  <c r="S84" i="47"/>
  <c r="R84" i="47"/>
  <c r="Q84" i="47"/>
  <c r="P84" i="47"/>
  <c r="O84" i="47"/>
  <c r="N84" i="47"/>
  <c r="M84" i="47"/>
  <c r="L84" i="47"/>
  <c r="K84" i="47"/>
  <c r="J84" i="47"/>
  <c r="I84" i="47"/>
  <c r="H84" i="47"/>
  <c r="G84" i="47"/>
  <c r="F84" i="47"/>
  <c r="E84" i="47"/>
  <c r="D84" i="47"/>
  <c r="C84" i="47"/>
  <c r="B84" i="47"/>
  <c r="P83" i="47"/>
  <c r="P81" i="47" s="1"/>
  <c r="I83" i="47"/>
  <c r="H83" i="47"/>
  <c r="AF82" i="47"/>
  <c r="AE82" i="47"/>
  <c r="AD82" i="47"/>
  <c r="AD83" i="47" s="1"/>
  <c r="AC82" i="47"/>
  <c r="AC83" i="47" s="1"/>
  <c r="AB82" i="47"/>
  <c r="AB83" i="47" s="1"/>
  <c r="AA82" i="47"/>
  <c r="AA83" i="47" s="1"/>
  <c r="Z82" i="47"/>
  <c r="Z83" i="47" s="1"/>
  <c r="Y82" i="47"/>
  <c r="Y83" i="47" s="1"/>
  <c r="X82" i="47"/>
  <c r="X83" i="47" s="1"/>
  <c r="W82" i="47"/>
  <c r="W83" i="47" s="1"/>
  <c r="W81" i="47" s="1"/>
  <c r="V82" i="47"/>
  <c r="V83" i="47" s="1"/>
  <c r="V81" i="47" s="1"/>
  <c r="U82" i="47"/>
  <c r="U83" i="47" s="1"/>
  <c r="U81" i="47" s="1"/>
  <c r="T82" i="47"/>
  <c r="T83" i="47" s="1"/>
  <c r="T81" i="47" s="1"/>
  <c r="S82" i="47"/>
  <c r="S83" i="47" s="1"/>
  <c r="R82" i="47"/>
  <c r="R83" i="47" s="1"/>
  <c r="Q82" i="47"/>
  <c r="P82" i="47"/>
  <c r="O82" i="47"/>
  <c r="O83" i="47" s="1"/>
  <c r="N82" i="47"/>
  <c r="N83" i="47" s="1"/>
  <c r="N81" i="47" s="1"/>
  <c r="M82" i="47"/>
  <c r="M83" i="47" s="1"/>
  <c r="M81" i="47" s="1"/>
  <c r="L82" i="47"/>
  <c r="K82" i="47"/>
  <c r="J82" i="47"/>
  <c r="J83" i="47" s="1"/>
  <c r="I82" i="47"/>
  <c r="H82" i="47"/>
  <c r="G82" i="47"/>
  <c r="G83" i="47" s="1"/>
  <c r="F82" i="47"/>
  <c r="F83" i="47" s="1"/>
  <c r="E82" i="47"/>
  <c r="E83" i="47" s="1"/>
  <c r="D82" i="47"/>
  <c r="D83" i="47" s="1"/>
  <c r="C82" i="47"/>
  <c r="C83" i="47" s="1"/>
  <c r="B82" i="47"/>
  <c r="AG80" i="47"/>
  <c r="AF79" i="47"/>
  <c r="AF78" i="47" s="1"/>
  <c r="AE79" i="47"/>
  <c r="AE78" i="47" s="1"/>
  <c r="AD79" i="47"/>
  <c r="AD78" i="47" s="1"/>
  <c r="AC79" i="47"/>
  <c r="AC78" i="47" s="1"/>
  <c r="AB79" i="47"/>
  <c r="AB78" i="47" s="1"/>
  <c r="AA79" i="47"/>
  <c r="AA78" i="47" s="1"/>
  <c r="Z79" i="47"/>
  <c r="Z78" i="47" s="1"/>
  <c r="Y79" i="47"/>
  <c r="Y78" i="47" s="1"/>
  <c r="X79" i="47"/>
  <c r="X78" i="47" s="1"/>
  <c r="W79" i="47"/>
  <c r="W78" i="47" s="1"/>
  <c r="V79" i="47"/>
  <c r="V78" i="47" s="1"/>
  <c r="U79" i="47"/>
  <c r="U78" i="47" s="1"/>
  <c r="T79" i="47"/>
  <c r="T78" i="47" s="1"/>
  <c r="S79" i="47"/>
  <c r="S78" i="47" s="1"/>
  <c r="R79" i="47"/>
  <c r="R78" i="47" s="1"/>
  <c r="Q79" i="47"/>
  <c r="Q78" i="47" s="1"/>
  <c r="P79" i="47"/>
  <c r="P78" i="47" s="1"/>
  <c r="O79" i="47"/>
  <c r="O78" i="47" s="1"/>
  <c r="N79" i="47"/>
  <c r="N78" i="47" s="1"/>
  <c r="M79" i="47"/>
  <c r="M78" i="47" s="1"/>
  <c r="L79" i="47"/>
  <c r="L78" i="47" s="1"/>
  <c r="K79" i="47"/>
  <c r="K78" i="47" s="1"/>
  <c r="J79" i="47"/>
  <c r="J78" i="47" s="1"/>
  <c r="I79" i="47"/>
  <c r="I78" i="47" s="1"/>
  <c r="H79" i="47"/>
  <c r="H78" i="47" s="1"/>
  <c r="G79" i="47"/>
  <c r="G78" i="47" s="1"/>
  <c r="F79" i="47"/>
  <c r="F78" i="47" s="1"/>
  <c r="E79" i="47"/>
  <c r="E78" i="47" s="1"/>
  <c r="D79" i="47"/>
  <c r="C79" i="47"/>
  <c r="B79" i="47"/>
  <c r="B78" i="47" s="1"/>
  <c r="D78" i="47"/>
  <c r="C78" i="47"/>
  <c r="AG77" i="47"/>
  <c r="AG76" i="47"/>
  <c r="AG75" i="47"/>
  <c r="AG74" i="47"/>
  <c r="AG73" i="47"/>
  <c r="AG72" i="47"/>
  <c r="AG71" i="47"/>
  <c r="AG70" i="47"/>
  <c r="AG69" i="47"/>
  <c r="AG68" i="47"/>
  <c r="AG67" i="47"/>
  <c r="AG66" i="47"/>
  <c r="AG65" i="47"/>
  <c r="AG64" i="47"/>
  <c r="AG63" i="47"/>
  <c r="AG62" i="47"/>
  <c r="AG61" i="47"/>
  <c r="AG60" i="47"/>
  <c r="AG59" i="47"/>
  <c r="AG58" i="47"/>
  <c r="AG57" i="47"/>
  <c r="AG56" i="47"/>
  <c r="AG55" i="47"/>
  <c r="AG54" i="47"/>
  <c r="AF53" i="47"/>
  <c r="AF134" i="47" s="1"/>
  <c r="AE53" i="47"/>
  <c r="AE134" i="47" s="1"/>
  <c r="AD53" i="47"/>
  <c r="AD134" i="47" s="1"/>
  <c r="AC53" i="47"/>
  <c r="AC134" i="47" s="1"/>
  <c r="AB53" i="47"/>
  <c r="AB134" i="47" s="1"/>
  <c r="AA53" i="47"/>
  <c r="AA134" i="47" s="1"/>
  <c r="Z53" i="47"/>
  <c r="Z134" i="47" s="1"/>
  <c r="Y53" i="47"/>
  <c r="Y134" i="47" s="1"/>
  <c r="X53" i="47"/>
  <c r="X134" i="47" s="1"/>
  <c r="W53" i="47"/>
  <c r="W134" i="47" s="1"/>
  <c r="V53" i="47"/>
  <c r="V134" i="47" s="1"/>
  <c r="U53" i="47"/>
  <c r="U134" i="47" s="1"/>
  <c r="T53" i="47"/>
  <c r="T134" i="47" s="1"/>
  <c r="S53" i="47"/>
  <c r="S134" i="47" s="1"/>
  <c r="R53" i="47"/>
  <c r="R134" i="47" s="1"/>
  <c r="Q53" i="47"/>
  <c r="Q134" i="47" s="1"/>
  <c r="P53" i="47"/>
  <c r="P134" i="47" s="1"/>
  <c r="O53" i="47"/>
  <c r="O134" i="47" s="1"/>
  <c r="N53" i="47"/>
  <c r="N134" i="47" s="1"/>
  <c r="M53" i="47"/>
  <c r="M134" i="47" s="1"/>
  <c r="L53" i="47"/>
  <c r="L134" i="47" s="1"/>
  <c r="K53" i="47"/>
  <c r="K134" i="47" s="1"/>
  <c r="J53" i="47"/>
  <c r="J134" i="47" s="1"/>
  <c r="I53" i="47"/>
  <c r="I134" i="47" s="1"/>
  <c r="H53" i="47"/>
  <c r="H134" i="47" s="1"/>
  <c r="G53" i="47"/>
  <c r="G134" i="47" s="1"/>
  <c r="F53" i="47"/>
  <c r="F134" i="47" s="1"/>
  <c r="E53" i="47"/>
  <c r="E134" i="47" s="1"/>
  <c r="D53" i="47"/>
  <c r="D134" i="47" s="1"/>
  <c r="C53" i="47"/>
  <c r="C134" i="47" s="1"/>
  <c r="B53" i="47"/>
  <c r="AG52" i="47"/>
  <c r="AG51" i="47"/>
  <c r="AG50" i="47"/>
  <c r="AG49" i="47"/>
  <c r="AG48" i="47"/>
  <c r="AG47" i="47"/>
  <c r="AG46" i="47"/>
  <c r="AG45" i="47"/>
  <c r="AG44" i="47"/>
  <c r="AG43" i="47"/>
  <c r="AG42" i="47"/>
  <c r="AG41" i="47"/>
  <c r="AG40" i="47"/>
  <c r="AG39" i="47"/>
  <c r="AG38" i="47"/>
  <c r="AG37" i="47"/>
  <c r="AG36" i="47"/>
  <c r="AG35" i="47"/>
  <c r="AG34" i="47"/>
  <c r="AG33" i="47"/>
  <c r="AG32" i="47"/>
  <c r="AG31" i="47"/>
  <c r="AG30" i="47"/>
  <c r="AG29" i="47"/>
  <c r="AF28" i="47"/>
  <c r="AF133" i="47" s="1"/>
  <c r="AE28" i="47"/>
  <c r="AE133" i="47" s="1"/>
  <c r="AD28" i="47"/>
  <c r="AD133" i="47" s="1"/>
  <c r="AC28" i="47"/>
  <c r="AC133" i="47" s="1"/>
  <c r="AB28" i="47"/>
  <c r="AB133" i="47" s="1"/>
  <c r="AA28" i="47"/>
  <c r="AA133" i="47" s="1"/>
  <c r="Z28" i="47"/>
  <c r="Z133" i="47" s="1"/>
  <c r="Y28" i="47"/>
  <c r="Y133" i="47" s="1"/>
  <c r="X28" i="47"/>
  <c r="X133" i="47" s="1"/>
  <c r="W28" i="47"/>
  <c r="V28" i="47"/>
  <c r="V133" i="47" s="1"/>
  <c r="U28" i="47"/>
  <c r="U133" i="47" s="1"/>
  <c r="T28" i="47"/>
  <c r="T133" i="47" s="1"/>
  <c r="S28" i="47"/>
  <c r="S133" i="47" s="1"/>
  <c r="R28" i="47"/>
  <c r="R133" i="47" s="1"/>
  <c r="Q28" i="47"/>
  <c r="Q133" i="47" s="1"/>
  <c r="P28" i="47"/>
  <c r="P133" i="47" s="1"/>
  <c r="O28" i="47"/>
  <c r="O133" i="47" s="1"/>
  <c r="N28" i="47"/>
  <c r="N133" i="47" s="1"/>
  <c r="M28" i="47"/>
  <c r="M133" i="47" s="1"/>
  <c r="L28" i="47"/>
  <c r="L133" i="47" s="1"/>
  <c r="K28" i="47"/>
  <c r="K133" i="47" s="1"/>
  <c r="J28" i="47"/>
  <c r="J133" i="47" s="1"/>
  <c r="I28" i="47"/>
  <c r="I133" i="47" s="1"/>
  <c r="H28" i="47"/>
  <c r="H133" i="47" s="1"/>
  <c r="G28" i="47"/>
  <c r="G133" i="47" s="1"/>
  <c r="F28" i="47"/>
  <c r="F133" i="47" s="1"/>
  <c r="E28" i="47"/>
  <c r="E133" i="47" s="1"/>
  <c r="D28" i="47"/>
  <c r="D133" i="47" s="1"/>
  <c r="C28" i="47"/>
  <c r="C133" i="47" s="1"/>
  <c r="B28" i="47"/>
  <c r="B133" i="47" s="1"/>
  <c r="AG27" i="47"/>
  <c r="AG26" i="47"/>
  <c r="AG25" i="47"/>
  <c r="AG24" i="47"/>
  <c r="AG23" i="47"/>
  <c r="AG22" i="47"/>
  <c r="AG21" i="47"/>
  <c r="AG20" i="47"/>
  <c r="AG19" i="47"/>
  <c r="AG18" i="47"/>
  <c r="AG17" i="47"/>
  <c r="AG16" i="47"/>
  <c r="AG15" i="47"/>
  <c r="AG14" i="47"/>
  <c r="AG13" i="47"/>
  <c r="AG12" i="47"/>
  <c r="AG11" i="47"/>
  <c r="AG10" i="47"/>
  <c r="AG9" i="47"/>
  <c r="AG8" i="47"/>
  <c r="AG7" i="47"/>
  <c r="AG6" i="47"/>
  <c r="AG5" i="47"/>
  <c r="AG4" i="47"/>
  <c r="AF3" i="47"/>
  <c r="AE3" i="47"/>
  <c r="AD3" i="47"/>
  <c r="AC3" i="47"/>
  <c r="AB3" i="47"/>
  <c r="AA3" i="47"/>
  <c r="Z3" i="47"/>
  <c r="Y3" i="47"/>
  <c r="X3" i="47"/>
  <c r="W3" i="47"/>
  <c r="V3" i="47"/>
  <c r="U3" i="47"/>
  <c r="T3" i="47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D3" i="47"/>
  <c r="C3" i="47"/>
  <c r="B3" i="47"/>
  <c r="C2" i="47"/>
  <c r="D2" i="47" s="1"/>
  <c r="E2" i="47" s="1"/>
  <c r="F2" i="47" s="1"/>
  <c r="G2" i="47" s="1"/>
  <c r="H2" i="47" s="1"/>
  <c r="I2" i="47" s="1"/>
  <c r="J2" i="47" s="1"/>
  <c r="K2" i="47" s="1"/>
  <c r="L2" i="47" s="1"/>
  <c r="M2" i="47" s="1"/>
  <c r="N2" i="47" s="1"/>
  <c r="O2" i="47" s="1"/>
  <c r="P2" i="47" s="1"/>
  <c r="Q2" i="47" s="1"/>
  <c r="R2" i="47" s="1"/>
  <c r="S2" i="47" s="1"/>
  <c r="T2" i="47" s="1"/>
  <c r="U2" i="47" s="1"/>
  <c r="V2" i="47" s="1"/>
  <c r="W2" i="47" s="1"/>
  <c r="X2" i="47" s="1"/>
  <c r="Y2" i="47" s="1"/>
  <c r="Z2" i="47" s="1"/>
  <c r="AA2" i="47" s="1"/>
  <c r="AB2" i="47" s="1"/>
  <c r="AC2" i="47" s="1"/>
  <c r="AD2" i="47" s="1"/>
  <c r="AE2" i="47" s="1"/>
  <c r="AF2" i="47" s="1"/>
  <c r="AG180" i="46"/>
  <c r="AG179" i="46"/>
  <c r="AG178" i="46"/>
  <c r="AF177" i="46"/>
  <c r="AE177" i="46"/>
  <c r="AD177" i="46"/>
  <c r="AC177" i="46"/>
  <c r="AB177" i="46"/>
  <c r="AA177" i="46"/>
  <c r="Z177" i="46"/>
  <c r="Y177" i="46"/>
  <c r="X177" i="46"/>
  <c r="W177" i="46"/>
  <c r="V177" i="46"/>
  <c r="U177" i="46"/>
  <c r="T177" i="46"/>
  <c r="S177" i="46"/>
  <c r="R177" i="46"/>
  <c r="Q177" i="46"/>
  <c r="P177" i="46"/>
  <c r="O177" i="46"/>
  <c r="N177" i="46"/>
  <c r="M177" i="46"/>
  <c r="L177" i="46"/>
  <c r="K177" i="46"/>
  <c r="J177" i="46"/>
  <c r="I177" i="46"/>
  <c r="H177" i="46"/>
  <c r="G177" i="46"/>
  <c r="F177" i="46"/>
  <c r="E177" i="46"/>
  <c r="D177" i="46"/>
  <c r="C177" i="46"/>
  <c r="B177" i="46"/>
  <c r="AG177" i="46" s="1"/>
  <c r="AG176" i="46"/>
  <c r="AG175" i="46"/>
  <c r="AG174" i="46"/>
  <c r="AG173" i="46"/>
  <c r="AG172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1" i="46"/>
  <c r="D171" i="46"/>
  <c r="C171" i="46"/>
  <c r="B171" i="46"/>
  <c r="AG170" i="46"/>
  <c r="AG169" i="46"/>
  <c r="AG168" i="46"/>
  <c r="AG167" i="46"/>
  <c r="AG166" i="46"/>
  <c r="AG165" i="46"/>
  <c r="AG164" i="46"/>
  <c r="AG163" i="46"/>
  <c r="AG162" i="46"/>
  <c r="AG161" i="46"/>
  <c r="AG160" i="46"/>
  <c r="AG159" i="46"/>
  <c r="AG158" i="46"/>
  <c r="AG157" i="46"/>
  <c r="AG156" i="46"/>
  <c r="AG155" i="46"/>
  <c r="AG154" i="46"/>
  <c r="AG153" i="46"/>
  <c r="AG152" i="46"/>
  <c r="AG151" i="46"/>
  <c r="AG150" i="46"/>
  <c r="AG149" i="46"/>
  <c r="AG148" i="46"/>
  <c r="AG147" i="46"/>
  <c r="AG146" i="46"/>
  <c r="AG145" i="46"/>
  <c r="AF144" i="46"/>
  <c r="AE144" i="46"/>
  <c r="AD144" i="46"/>
  <c r="AC144" i="46"/>
  <c r="AB144" i="46"/>
  <c r="AA144" i="46"/>
  <c r="Z144" i="46"/>
  <c r="Y144" i="46"/>
  <c r="X144" i="46"/>
  <c r="W144" i="46"/>
  <c r="V144" i="46"/>
  <c r="U144" i="46"/>
  <c r="T144" i="46"/>
  <c r="S144" i="46"/>
  <c r="R144" i="46"/>
  <c r="Q144" i="46"/>
  <c r="P144" i="46"/>
  <c r="O144" i="46"/>
  <c r="N144" i="46"/>
  <c r="M144" i="46"/>
  <c r="L144" i="46"/>
  <c r="K144" i="46"/>
  <c r="J144" i="46"/>
  <c r="I144" i="46"/>
  <c r="H144" i="46"/>
  <c r="G144" i="46"/>
  <c r="F144" i="46"/>
  <c r="E144" i="46"/>
  <c r="D144" i="46"/>
  <c r="C144" i="46"/>
  <c r="B144" i="46"/>
  <c r="AG143" i="46"/>
  <c r="AG142" i="46"/>
  <c r="AG141" i="46"/>
  <c r="AG140" i="46"/>
  <c r="AF139" i="46"/>
  <c r="AE139" i="46"/>
  <c r="AD139" i="46"/>
  <c r="AC139" i="46"/>
  <c r="AB139" i="46"/>
  <c r="AA139" i="46"/>
  <c r="Z139" i="46"/>
  <c r="Y139" i="46"/>
  <c r="X139" i="46"/>
  <c r="W139" i="46"/>
  <c r="V139" i="46"/>
  <c r="U139" i="46"/>
  <c r="T139" i="46"/>
  <c r="S139" i="46"/>
  <c r="R139" i="46"/>
  <c r="Q139" i="46"/>
  <c r="P139" i="46"/>
  <c r="O139" i="46"/>
  <c r="N139" i="46"/>
  <c r="M139" i="46"/>
  <c r="L139" i="46"/>
  <c r="K139" i="46"/>
  <c r="J139" i="46"/>
  <c r="I139" i="46"/>
  <c r="H139" i="46"/>
  <c r="G139" i="46"/>
  <c r="F139" i="46"/>
  <c r="E139" i="46"/>
  <c r="D139" i="46"/>
  <c r="C139" i="46"/>
  <c r="B139" i="46"/>
  <c r="AG138" i="46"/>
  <c r="AG137" i="46"/>
  <c r="AG136" i="46"/>
  <c r="AF135" i="46"/>
  <c r="AE135" i="46"/>
  <c r="AD135" i="46"/>
  <c r="AC135" i="46"/>
  <c r="AB135" i="46"/>
  <c r="AA135" i="46"/>
  <c r="Z135" i="46"/>
  <c r="Y135" i="46"/>
  <c r="X135" i="46"/>
  <c r="W135" i="46"/>
  <c r="V135" i="46"/>
  <c r="U135" i="46"/>
  <c r="T135" i="46"/>
  <c r="S135" i="46"/>
  <c r="R135" i="46"/>
  <c r="Q135" i="46"/>
  <c r="P135" i="46"/>
  <c r="O135" i="46"/>
  <c r="N135" i="46"/>
  <c r="M135" i="46"/>
  <c r="L135" i="46"/>
  <c r="K135" i="46"/>
  <c r="J135" i="46"/>
  <c r="I135" i="46"/>
  <c r="H135" i="46"/>
  <c r="G135" i="46"/>
  <c r="F135" i="46"/>
  <c r="E135" i="46"/>
  <c r="D135" i="46"/>
  <c r="C135" i="46"/>
  <c r="B135" i="46"/>
  <c r="X134" i="46"/>
  <c r="D134" i="46"/>
  <c r="AF133" i="46"/>
  <c r="L133" i="46"/>
  <c r="K133" i="46"/>
  <c r="J133" i="46"/>
  <c r="I133" i="46"/>
  <c r="AG132" i="46"/>
  <c r="AG131" i="46"/>
  <c r="AG130" i="46"/>
  <c r="AG129" i="46"/>
  <c r="AG128" i="46"/>
  <c r="AG127" i="46"/>
  <c r="AG126" i="46"/>
  <c r="AG125" i="46"/>
  <c r="AG124" i="46"/>
  <c r="AG123" i="46"/>
  <c r="AG122" i="46"/>
  <c r="AG121" i="46"/>
  <c r="AG120" i="46"/>
  <c r="AF119" i="46"/>
  <c r="AE119" i="46"/>
  <c r="AD119" i="46"/>
  <c r="AC119" i="46"/>
  <c r="AB119" i="46"/>
  <c r="AA119" i="46"/>
  <c r="Z119" i="46"/>
  <c r="Y119" i="46"/>
  <c r="X119" i="46"/>
  <c r="W119" i="46"/>
  <c r="V119" i="46"/>
  <c r="U119" i="46"/>
  <c r="T119" i="46"/>
  <c r="S119" i="46"/>
  <c r="R119" i="46"/>
  <c r="Q119" i="46"/>
  <c r="P119" i="46"/>
  <c r="O119" i="46"/>
  <c r="N119" i="46"/>
  <c r="M119" i="46"/>
  <c r="L119" i="46"/>
  <c r="K119" i="46"/>
  <c r="J119" i="46"/>
  <c r="I119" i="46"/>
  <c r="H119" i="46"/>
  <c r="G119" i="46"/>
  <c r="F119" i="46"/>
  <c r="E119" i="46"/>
  <c r="D119" i="46"/>
  <c r="C119" i="46"/>
  <c r="B119" i="46"/>
  <c r="AG118" i="46"/>
  <c r="AG117" i="46"/>
  <c r="AF116" i="46"/>
  <c r="AE116" i="46"/>
  <c r="AD116" i="46"/>
  <c r="AC116" i="46"/>
  <c r="AB116" i="46"/>
  <c r="AA116" i="46"/>
  <c r="Z116" i="46"/>
  <c r="Y116" i="46"/>
  <c r="X116" i="46"/>
  <c r="W116" i="46"/>
  <c r="V116" i="46"/>
  <c r="U116" i="46"/>
  <c r="T116" i="46"/>
  <c r="S116" i="46"/>
  <c r="R116" i="46"/>
  <c r="Q116" i="46"/>
  <c r="P116" i="46"/>
  <c r="O116" i="46"/>
  <c r="N116" i="46"/>
  <c r="M116" i="46"/>
  <c r="L116" i="46"/>
  <c r="K116" i="46"/>
  <c r="J116" i="46"/>
  <c r="I116" i="46"/>
  <c r="H116" i="46"/>
  <c r="G116" i="46"/>
  <c r="F116" i="46"/>
  <c r="E116" i="46"/>
  <c r="D116" i="46"/>
  <c r="C116" i="46"/>
  <c r="B116" i="46"/>
  <c r="AG115" i="46"/>
  <c r="AG114" i="46"/>
  <c r="AG113" i="46"/>
  <c r="AG112" i="46"/>
  <c r="AG111" i="46"/>
  <c r="AG110" i="46"/>
  <c r="AG109" i="46"/>
  <c r="AG108" i="46"/>
  <c r="AG107" i="46"/>
  <c r="AG106" i="46"/>
  <c r="AG105" i="46"/>
  <c r="AG104" i="46"/>
  <c r="AG103" i="46"/>
  <c r="AG102" i="46"/>
  <c r="AG101" i="46"/>
  <c r="AF100" i="46"/>
  <c r="AE100" i="46"/>
  <c r="AD100" i="46"/>
  <c r="AD93" i="46" s="1"/>
  <c r="AC100" i="46"/>
  <c r="AB100" i="46"/>
  <c r="AA100" i="46"/>
  <c r="Z100" i="46"/>
  <c r="Z93" i="46" s="1"/>
  <c r="Y100" i="46"/>
  <c r="X100" i="46"/>
  <c r="W100" i="46"/>
  <c r="V100" i="46"/>
  <c r="U100" i="46"/>
  <c r="T100" i="46"/>
  <c r="S100" i="46"/>
  <c r="R100" i="46"/>
  <c r="Q100" i="46"/>
  <c r="P100" i="46"/>
  <c r="O100" i="46"/>
  <c r="N100" i="46"/>
  <c r="M100" i="46"/>
  <c r="L100" i="46"/>
  <c r="K100" i="46"/>
  <c r="J100" i="46"/>
  <c r="I100" i="46"/>
  <c r="H100" i="46"/>
  <c r="G100" i="46"/>
  <c r="F100" i="46"/>
  <c r="F93" i="46" s="1"/>
  <c r="E100" i="46"/>
  <c r="D100" i="46"/>
  <c r="C100" i="46"/>
  <c r="B100" i="46"/>
  <c r="AG99" i="46"/>
  <c r="AG98" i="46"/>
  <c r="AG97" i="46"/>
  <c r="AG96" i="46"/>
  <c r="AG95" i="46"/>
  <c r="AF94" i="46"/>
  <c r="AE94" i="46"/>
  <c r="AE93" i="46" s="1"/>
  <c r="AD94" i="46"/>
  <c r="AC94" i="46"/>
  <c r="AB94" i="46"/>
  <c r="AA94" i="46"/>
  <c r="Z94" i="46"/>
  <c r="Y94" i="46"/>
  <c r="X94" i="46"/>
  <c r="W94" i="46"/>
  <c r="V94" i="46"/>
  <c r="U94" i="46"/>
  <c r="T94" i="46"/>
  <c r="S94" i="46"/>
  <c r="R94" i="46"/>
  <c r="Q94" i="46"/>
  <c r="Q93" i="46" s="1"/>
  <c r="P94" i="46"/>
  <c r="O94" i="46"/>
  <c r="N94" i="46"/>
  <c r="M94" i="46"/>
  <c r="M93" i="46" s="1"/>
  <c r="L94" i="46"/>
  <c r="K94" i="46"/>
  <c r="J94" i="46"/>
  <c r="I94" i="46"/>
  <c r="H94" i="46"/>
  <c r="G94" i="46"/>
  <c r="F94" i="46"/>
  <c r="E94" i="46"/>
  <c r="D94" i="46"/>
  <c r="C94" i="46"/>
  <c r="B94" i="46"/>
  <c r="AF93" i="46"/>
  <c r="AC93" i="46"/>
  <c r="AB93" i="46"/>
  <c r="AA93" i="46"/>
  <c r="AG92" i="46"/>
  <c r="AG91" i="46"/>
  <c r="AG90" i="46"/>
  <c r="AG89" i="46"/>
  <c r="AG88" i="46"/>
  <c r="AF87" i="46"/>
  <c r="AE87" i="46"/>
  <c r="AD87" i="46"/>
  <c r="AC87" i="46"/>
  <c r="AB87" i="46"/>
  <c r="AA87" i="46"/>
  <c r="Z87" i="46"/>
  <c r="Y87" i="46"/>
  <c r="X87" i="46"/>
  <c r="W87" i="46"/>
  <c r="V87" i="46"/>
  <c r="U87" i="46"/>
  <c r="T87" i="46"/>
  <c r="S87" i="46"/>
  <c r="R87" i="46"/>
  <c r="Q87" i="46"/>
  <c r="P87" i="46"/>
  <c r="O87" i="46"/>
  <c r="N87" i="46"/>
  <c r="M87" i="46"/>
  <c r="L87" i="46"/>
  <c r="K87" i="46"/>
  <c r="J87" i="46"/>
  <c r="I87" i="46"/>
  <c r="H87" i="46"/>
  <c r="G87" i="46"/>
  <c r="F87" i="46"/>
  <c r="E87" i="46"/>
  <c r="D87" i="46"/>
  <c r="C87" i="46"/>
  <c r="B87" i="46"/>
  <c r="AG86" i="46"/>
  <c r="AG85" i="46"/>
  <c r="AF84" i="46"/>
  <c r="AE84" i="46"/>
  <c r="AD84" i="46"/>
  <c r="AC84" i="46"/>
  <c r="AB84" i="46"/>
  <c r="AA84" i="46"/>
  <c r="Z84" i="46"/>
  <c r="Y84" i="46"/>
  <c r="X84" i="46"/>
  <c r="W84" i="46"/>
  <c r="V84" i="46"/>
  <c r="U84" i="46"/>
  <c r="T84" i="46"/>
  <c r="S84" i="46"/>
  <c r="R84" i="46"/>
  <c r="Q84" i="46"/>
  <c r="P84" i="46"/>
  <c r="O84" i="46"/>
  <c r="N84" i="46"/>
  <c r="M84" i="46"/>
  <c r="L84" i="46"/>
  <c r="K84" i="46"/>
  <c r="J84" i="46"/>
  <c r="I84" i="46"/>
  <c r="H84" i="46"/>
  <c r="G84" i="46"/>
  <c r="F84" i="46"/>
  <c r="E84" i="46"/>
  <c r="D84" i="46"/>
  <c r="C84" i="46"/>
  <c r="B84" i="46"/>
  <c r="AF83" i="46"/>
  <c r="U83" i="46"/>
  <c r="U81" i="46" s="1"/>
  <c r="T83" i="46"/>
  <c r="T81" i="46" s="1"/>
  <c r="Q83" i="46"/>
  <c r="P83" i="46"/>
  <c r="P81" i="46" s="1"/>
  <c r="O83" i="46"/>
  <c r="AF82" i="46"/>
  <c r="AF81" i="46" s="1"/>
  <c r="AE82" i="46"/>
  <c r="AD82" i="46"/>
  <c r="AD83" i="46" s="1"/>
  <c r="AC82" i="46"/>
  <c r="AC83" i="46" s="1"/>
  <c r="AB82" i="46"/>
  <c r="AB83" i="46" s="1"/>
  <c r="AA82" i="46"/>
  <c r="Z82" i="46"/>
  <c r="Z83" i="46" s="1"/>
  <c r="Y82" i="46"/>
  <c r="X82" i="46"/>
  <c r="W82" i="46"/>
  <c r="V82" i="46"/>
  <c r="V83" i="46" s="1"/>
  <c r="V81" i="46" s="1"/>
  <c r="U82" i="46"/>
  <c r="T82" i="46"/>
  <c r="S82" i="46"/>
  <c r="S83" i="46" s="1"/>
  <c r="S81" i="46" s="1"/>
  <c r="R82" i="46"/>
  <c r="R83" i="46" s="1"/>
  <c r="R81" i="46" s="1"/>
  <c r="Q82" i="46"/>
  <c r="P82" i="46"/>
  <c r="O82" i="46"/>
  <c r="N82" i="46"/>
  <c r="M82" i="46"/>
  <c r="L82" i="46"/>
  <c r="L83" i="46" s="1"/>
  <c r="K82" i="46"/>
  <c r="J82" i="46"/>
  <c r="J83" i="46" s="1"/>
  <c r="I82" i="46"/>
  <c r="I83" i="46" s="1"/>
  <c r="H82" i="46"/>
  <c r="G82" i="46"/>
  <c r="G83" i="46" s="1"/>
  <c r="F82" i="46"/>
  <c r="E82" i="46"/>
  <c r="E83" i="46" s="1"/>
  <c r="D82" i="46"/>
  <c r="C82" i="46"/>
  <c r="B82" i="46"/>
  <c r="B83" i="46" s="1"/>
  <c r="B81" i="46" s="1"/>
  <c r="AG80" i="46"/>
  <c r="AF79" i="46"/>
  <c r="AF78" i="46" s="1"/>
  <c r="AE79" i="46"/>
  <c r="AE78" i="46" s="1"/>
  <c r="AD79" i="46"/>
  <c r="AD78" i="46" s="1"/>
  <c r="AC79" i="46"/>
  <c r="AC78" i="46" s="1"/>
  <c r="AB79" i="46"/>
  <c r="AB78" i="46" s="1"/>
  <c r="AA79" i="46"/>
  <c r="AA78" i="46" s="1"/>
  <c r="Z79" i="46"/>
  <c r="Y79" i="46"/>
  <c r="X79" i="46"/>
  <c r="W79" i="46"/>
  <c r="W78" i="46" s="1"/>
  <c r="V79" i="46"/>
  <c r="V78" i="46" s="1"/>
  <c r="U79" i="46"/>
  <c r="U78" i="46" s="1"/>
  <c r="T79" i="46"/>
  <c r="T78" i="46" s="1"/>
  <c r="S79" i="46"/>
  <c r="S78" i="46" s="1"/>
  <c r="R79" i="46"/>
  <c r="R78" i="46" s="1"/>
  <c r="Q79" i="46"/>
  <c r="Q78" i="46" s="1"/>
  <c r="P79" i="46"/>
  <c r="P78" i="46" s="1"/>
  <c r="O79" i="46"/>
  <c r="O78" i="46" s="1"/>
  <c r="N79" i="46"/>
  <c r="N78" i="46" s="1"/>
  <c r="M79" i="46"/>
  <c r="M78" i="46" s="1"/>
  <c r="L79" i="46"/>
  <c r="L78" i="46" s="1"/>
  <c r="K79" i="46"/>
  <c r="K78" i="46" s="1"/>
  <c r="J79" i="46"/>
  <c r="J78" i="46" s="1"/>
  <c r="I79" i="46"/>
  <c r="H79" i="46"/>
  <c r="H78" i="46" s="1"/>
  <c r="G79" i="46"/>
  <c r="G78" i="46" s="1"/>
  <c r="F79" i="46"/>
  <c r="F78" i="46" s="1"/>
  <c r="E79" i="46"/>
  <c r="E78" i="46" s="1"/>
  <c r="D79" i="46"/>
  <c r="D78" i="46" s="1"/>
  <c r="C79" i="46"/>
  <c r="C78" i="46" s="1"/>
  <c r="B79" i="46"/>
  <c r="B78" i="46" s="1"/>
  <c r="Z78" i="46"/>
  <c r="Y78" i="46"/>
  <c r="X78" i="46"/>
  <c r="I78" i="46"/>
  <c r="AG77" i="46"/>
  <c r="AG76" i="46"/>
  <c r="AG75" i="46"/>
  <c r="AG74" i="46"/>
  <c r="AG73" i="46"/>
  <c r="AG72" i="46"/>
  <c r="AG71" i="46"/>
  <c r="AG70" i="46"/>
  <c r="AG69" i="46"/>
  <c r="AG68" i="46"/>
  <c r="AG67" i="46"/>
  <c r="AG66" i="46"/>
  <c r="AG65" i="46"/>
  <c r="AG64" i="46"/>
  <c r="AG63" i="46"/>
  <c r="AG62" i="46"/>
  <c r="AG61" i="46"/>
  <c r="AG60" i="46"/>
  <c r="AG59" i="46"/>
  <c r="AG58" i="46"/>
  <c r="AG57" i="46"/>
  <c r="AG56" i="46"/>
  <c r="AG55" i="46"/>
  <c r="AG54" i="46"/>
  <c r="AF53" i="46"/>
  <c r="AF134" i="46" s="1"/>
  <c r="AE53" i="46"/>
  <c r="AE134" i="46" s="1"/>
  <c r="AD53" i="46"/>
  <c r="AD134" i="46" s="1"/>
  <c r="AC53" i="46"/>
  <c r="AC134" i="46" s="1"/>
  <c r="AB53" i="46"/>
  <c r="AB134" i="46" s="1"/>
  <c r="AA53" i="46"/>
  <c r="AA134" i="46" s="1"/>
  <c r="Z53" i="46"/>
  <c r="Z134" i="46" s="1"/>
  <c r="Y53" i="46"/>
  <c r="Y134" i="46" s="1"/>
  <c r="X53" i="46"/>
  <c r="W53" i="46"/>
  <c r="W134" i="46" s="1"/>
  <c r="V53" i="46"/>
  <c r="V134" i="46" s="1"/>
  <c r="U53" i="46"/>
  <c r="U134" i="46" s="1"/>
  <c r="T53" i="46"/>
  <c r="T134" i="46" s="1"/>
  <c r="S53" i="46"/>
  <c r="S134" i="46" s="1"/>
  <c r="R53" i="46"/>
  <c r="R134" i="46" s="1"/>
  <c r="Q53" i="46"/>
  <c r="Q134" i="46" s="1"/>
  <c r="P53" i="46"/>
  <c r="P134" i="46" s="1"/>
  <c r="O53" i="46"/>
  <c r="O134" i="46" s="1"/>
  <c r="N53" i="46"/>
  <c r="N134" i="46" s="1"/>
  <c r="M53" i="46"/>
  <c r="M134" i="46" s="1"/>
  <c r="L53" i="46"/>
  <c r="L134" i="46" s="1"/>
  <c r="K53" i="46"/>
  <c r="K134" i="46" s="1"/>
  <c r="J53" i="46"/>
  <c r="J134" i="46" s="1"/>
  <c r="I53" i="46"/>
  <c r="I134" i="46" s="1"/>
  <c r="H53" i="46"/>
  <c r="H134" i="46" s="1"/>
  <c r="G53" i="46"/>
  <c r="G134" i="46" s="1"/>
  <c r="F53" i="46"/>
  <c r="F134" i="46" s="1"/>
  <c r="E53" i="46"/>
  <c r="E134" i="46" s="1"/>
  <c r="D53" i="46"/>
  <c r="C53" i="46"/>
  <c r="C134" i="46" s="1"/>
  <c r="B53" i="46"/>
  <c r="AG52" i="46"/>
  <c r="AG51" i="46"/>
  <c r="AG50" i="46"/>
  <c r="AG49" i="46"/>
  <c r="AG48" i="46"/>
  <c r="AG47" i="46"/>
  <c r="AG46" i="46"/>
  <c r="AG45" i="46"/>
  <c r="AG44" i="46"/>
  <c r="AG43" i="46"/>
  <c r="AG42" i="46"/>
  <c r="AG41" i="46"/>
  <c r="AG40" i="46"/>
  <c r="AG39" i="46"/>
  <c r="AG38" i="46"/>
  <c r="AG37" i="46"/>
  <c r="AG36" i="46"/>
  <c r="AG35" i="46"/>
  <c r="AG34" i="46"/>
  <c r="AG33" i="46"/>
  <c r="AG32" i="46"/>
  <c r="AG31" i="46"/>
  <c r="AG30" i="46"/>
  <c r="AG29" i="46"/>
  <c r="AF28" i="46"/>
  <c r="AE28" i="46"/>
  <c r="AE133" i="46" s="1"/>
  <c r="AD28" i="46"/>
  <c r="AD133" i="46" s="1"/>
  <c r="AC28" i="46"/>
  <c r="AC133" i="46" s="1"/>
  <c r="AB28" i="46"/>
  <c r="AB133" i="46" s="1"/>
  <c r="AA28" i="46"/>
  <c r="AA133" i="46" s="1"/>
  <c r="Z28" i="46"/>
  <c r="Z133" i="46" s="1"/>
  <c r="Y28" i="46"/>
  <c r="Y133" i="46" s="1"/>
  <c r="X28" i="46"/>
  <c r="X133" i="46" s="1"/>
  <c r="W28" i="46"/>
  <c r="W133" i="46" s="1"/>
  <c r="V28" i="46"/>
  <c r="V133" i="46" s="1"/>
  <c r="U28" i="46"/>
  <c r="U133" i="46" s="1"/>
  <c r="T28" i="46"/>
  <c r="T133" i="46" s="1"/>
  <c r="S28" i="46"/>
  <c r="S133" i="46" s="1"/>
  <c r="R28" i="46"/>
  <c r="R133" i="46" s="1"/>
  <c r="Q28" i="46"/>
  <c r="Q133" i="46" s="1"/>
  <c r="P28" i="46"/>
  <c r="P133" i="46" s="1"/>
  <c r="O28" i="46"/>
  <c r="O133" i="46" s="1"/>
  <c r="N28" i="46"/>
  <c r="N133" i="46" s="1"/>
  <c r="M28" i="46"/>
  <c r="M133" i="46" s="1"/>
  <c r="L28" i="46"/>
  <c r="K28" i="46"/>
  <c r="J28" i="46"/>
  <c r="I28" i="46"/>
  <c r="H28" i="46"/>
  <c r="H133" i="46" s="1"/>
  <c r="G28" i="46"/>
  <c r="G133" i="46" s="1"/>
  <c r="F28" i="46"/>
  <c r="F133" i="46" s="1"/>
  <c r="E28" i="46"/>
  <c r="E133" i="46" s="1"/>
  <c r="D28" i="46"/>
  <c r="D133" i="46" s="1"/>
  <c r="C28" i="46"/>
  <c r="C133" i="46" s="1"/>
  <c r="B28" i="46"/>
  <c r="B133" i="46" s="1"/>
  <c r="AG27" i="46"/>
  <c r="AG26" i="46"/>
  <c r="AG25" i="46"/>
  <c r="AG24" i="46"/>
  <c r="AG23" i="46"/>
  <c r="AG22" i="46"/>
  <c r="AG21" i="46"/>
  <c r="AG20" i="46"/>
  <c r="AG19" i="46"/>
  <c r="AG18" i="46"/>
  <c r="AG17" i="46"/>
  <c r="AG16" i="46"/>
  <c r="AG15" i="46"/>
  <c r="AG14" i="46"/>
  <c r="AG13" i="46"/>
  <c r="AG12" i="46"/>
  <c r="AG11" i="46"/>
  <c r="AG10" i="46"/>
  <c r="AG9" i="46"/>
  <c r="AG8" i="46"/>
  <c r="AG7" i="46"/>
  <c r="AG6" i="46"/>
  <c r="AG5" i="46"/>
  <c r="AG4" i="46"/>
  <c r="AF3" i="46"/>
  <c r="AE3" i="46"/>
  <c r="AD3" i="46"/>
  <c r="AC3" i="46"/>
  <c r="AB3" i="46"/>
  <c r="AA3" i="46"/>
  <c r="Z3" i="46"/>
  <c r="Y3" i="46"/>
  <c r="X3" i="46"/>
  <c r="W3" i="46"/>
  <c r="V3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H3" i="46"/>
  <c r="G3" i="46"/>
  <c r="F3" i="46"/>
  <c r="E3" i="46"/>
  <c r="D3" i="46"/>
  <c r="C3" i="46"/>
  <c r="B3" i="46"/>
  <c r="C2" i="46"/>
  <c r="D2" i="46" s="1"/>
  <c r="E2" i="46" s="1"/>
  <c r="F2" i="46" s="1"/>
  <c r="G2" i="46" s="1"/>
  <c r="H2" i="46" s="1"/>
  <c r="I2" i="46" s="1"/>
  <c r="J2" i="46" s="1"/>
  <c r="K2" i="46" s="1"/>
  <c r="L2" i="46" s="1"/>
  <c r="M2" i="46" s="1"/>
  <c r="N2" i="46" s="1"/>
  <c r="O2" i="46" s="1"/>
  <c r="P2" i="46" s="1"/>
  <c r="Q2" i="46" s="1"/>
  <c r="R2" i="46" s="1"/>
  <c r="S2" i="46" s="1"/>
  <c r="T2" i="46" s="1"/>
  <c r="U2" i="46" s="1"/>
  <c r="V2" i="46" s="1"/>
  <c r="W2" i="46" s="1"/>
  <c r="X2" i="46" s="1"/>
  <c r="Y2" i="46" s="1"/>
  <c r="Z2" i="46" s="1"/>
  <c r="AA2" i="46" s="1"/>
  <c r="AB2" i="46" s="1"/>
  <c r="AC2" i="46" s="1"/>
  <c r="AD2" i="46" s="1"/>
  <c r="AE2" i="46" s="1"/>
  <c r="AF2" i="46" s="1"/>
  <c r="AG180" i="45"/>
  <c r="AG179" i="45"/>
  <c r="AG178" i="45"/>
  <c r="AF177" i="45"/>
  <c r="AE177" i="45"/>
  <c r="AD177" i="45"/>
  <c r="AC177" i="45"/>
  <c r="AB177" i="45"/>
  <c r="AA177" i="45"/>
  <c r="Z177" i="45"/>
  <c r="Y177" i="45"/>
  <c r="X177" i="45"/>
  <c r="W177" i="45"/>
  <c r="V177" i="45"/>
  <c r="U177" i="45"/>
  <c r="T177" i="45"/>
  <c r="S177" i="45"/>
  <c r="R177" i="45"/>
  <c r="Q177" i="45"/>
  <c r="P177" i="45"/>
  <c r="O177" i="45"/>
  <c r="N177" i="45"/>
  <c r="M177" i="45"/>
  <c r="L177" i="45"/>
  <c r="K177" i="45"/>
  <c r="J177" i="45"/>
  <c r="I177" i="45"/>
  <c r="H177" i="45"/>
  <c r="G177" i="45"/>
  <c r="F177" i="45"/>
  <c r="E177" i="45"/>
  <c r="D177" i="45"/>
  <c r="C177" i="45"/>
  <c r="B177" i="45"/>
  <c r="AG177" i="45" s="1"/>
  <c r="AG176" i="45"/>
  <c r="AG175" i="45"/>
  <c r="AG174" i="45"/>
  <c r="AG173" i="45"/>
  <c r="AG172" i="45"/>
  <c r="AF171" i="45"/>
  <c r="AE171" i="45"/>
  <c r="AD171" i="45"/>
  <c r="AC171" i="45"/>
  <c r="AB171" i="45"/>
  <c r="AA171" i="45"/>
  <c r="Z171" i="45"/>
  <c r="Y171" i="45"/>
  <c r="X171" i="45"/>
  <c r="W171" i="45"/>
  <c r="V171" i="45"/>
  <c r="U171" i="45"/>
  <c r="T171" i="45"/>
  <c r="S171" i="45"/>
  <c r="R171" i="45"/>
  <c r="Q171" i="45"/>
  <c r="P171" i="45"/>
  <c r="O171" i="45"/>
  <c r="N171" i="45"/>
  <c r="M171" i="45"/>
  <c r="L171" i="45"/>
  <c r="K171" i="45"/>
  <c r="J171" i="45"/>
  <c r="I171" i="45"/>
  <c r="H171" i="45"/>
  <c r="G171" i="45"/>
  <c r="F171" i="45"/>
  <c r="E171" i="45"/>
  <c r="D171" i="45"/>
  <c r="C171" i="45"/>
  <c r="B171" i="45"/>
  <c r="AG170" i="45"/>
  <c r="AG169" i="45"/>
  <c r="AG168" i="45"/>
  <c r="AG167" i="45"/>
  <c r="AG166" i="45"/>
  <c r="AG165" i="45"/>
  <c r="AG164" i="45"/>
  <c r="AG163" i="45"/>
  <c r="AG162" i="45"/>
  <c r="AG161" i="45"/>
  <c r="AG160" i="45"/>
  <c r="AG159" i="45"/>
  <c r="AG158" i="45"/>
  <c r="AG157" i="45"/>
  <c r="AG156" i="45"/>
  <c r="AG155" i="45"/>
  <c r="AG154" i="45"/>
  <c r="AG153" i="45"/>
  <c r="AG152" i="45"/>
  <c r="AG151" i="45"/>
  <c r="AG150" i="45"/>
  <c r="AG149" i="45"/>
  <c r="AG148" i="45"/>
  <c r="AG147" i="45"/>
  <c r="AG146" i="45"/>
  <c r="AG145" i="45"/>
  <c r="AF144" i="45"/>
  <c r="AE144" i="45"/>
  <c r="AD144" i="45"/>
  <c r="AC144" i="45"/>
  <c r="AB144" i="45"/>
  <c r="AA144" i="45"/>
  <c r="Z144" i="45"/>
  <c r="Y144" i="45"/>
  <c r="X144" i="45"/>
  <c r="W144" i="45"/>
  <c r="V144" i="45"/>
  <c r="U144" i="45"/>
  <c r="T144" i="45"/>
  <c r="S144" i="45"/>
  <c r="R144" i="45"/>
  <c r="Q144" i="45"/>
  <c r="P144" i="45"/>
  <c r="O144" i="45"/>
  <c r="N144" i="45"/>
  <c r="M144" i="45"/>
  <c r="L144" i="45"/>
  <c r="K144" i="45"/>
  <c r="J144" i="45"/>
  <c r="I144" i="45"/>
  <c r="H144" i="45"/>
  <c r="G144" i="45"/>
  <c r="F144" i="45"/>
  <c r="E144" i="45"/>
  <c r="D144" i="45"/>
  <c r="C144" i="45"/>
  <c r="B144" i="45"/>
  <c r="AG143" i="45"/>
  <c r="AG142" i="45"/>
  <c r="AG141" i="45"/>
  <c r="AG140" i="45"/>
  <c r="AF139" i="45"/>
  <c r="AE139" i="45"/>
  <c r="AD139" i="45"/>
  <c r="AC139" i="45"/>
  <c r="AB139" i="45"/>
  <c r="AA139" i="45"/>
  <c r="Z139" i="45"/>
  <c r="Y139" i="45"/>
  <c r="X139" i="45"/>
  <c r="W139" i="45"/>
  <c r="V139" i="45"/>
  <c r="U139" i="45"/>
  <c r="T139" i="45"/>
  <c r="S139" i="45"/>
  <c r="R139" i="45"/>
  <c r="Q139" i="45"/>
  <c r="P139" i="45"/>
  <c r="O139" i="45"/>
  <c r="N139" i="45"/>
  <c r="M139" i="45"/>
  <c r="L139" i="45"/>
  <c r="K139" i="45"/>
  <c r="J139" i="45"/>
  <c r="I139" i="45"/>
  <c r="H139" i="45"/>
  <c r="G139" i="45"/>
  <c r="F139" i="45"/>
  <c r="E139" i="45"/>
  <c r="D139" i="45"/>
  <c r="C139" i="45"/>
  <c r="B139" i="45"/>
  <c r="AG138" i="45"/>
  <c r="AG137" i="45"/>
  <c r="AG136" i="45"/>
  <c r="AF135" i="45"/>
  <c r="AE135" i="45"/>
  <c r="AD135" i="45"/>
  <c r="AC135" i="45"/>
  <c r="AB135" i="45"/>
  <c r="AA135" i="45"/>
  <c r="Z135" i="45"/>
  <c r="Y135" i="45"/>
  <c r="X135" i="45"/>
  <c r="W135" i="45"/>
  <c r="V135" i="45"/>
  <c r="U135" i="45"/>
  <c r="T135" i="45"/>
  <c r="S135" i="45"/>
  <c r="R135" i="45"/>
  <c r="Q135" i="45"/>
  <c r="P135" i="45"/>
  <c r="O135" i="45"/>
  <c r="N135" i="45"/>
  <c r="M135" i="45"/>
  <c r="L135" i="45"/>
  <c r="K135" i="45"/>
  <c r="J135" i="45"/>
  <c r="I135" i="45"/>
  <c r="H135" i="45"/>
  <c r="G135" i="45"/>
  <c r="F135" i="45"/>
  <c r="E135" i="45"/>
  <c r="D135" i="45"/>
  <c r="C135" i="45"/>
  <c r="B135" i="45"/>
  <c r="L133" i="45"/>
  <c r="AG132" i="45"/>
  <c r="AG131" i="45"/>
  <c r="AG130" i="45"/>
  <c r="AG129" i="45"/>
  <c r="AG128" i="45"/>
  <c r="AG127" i="45"/>
  <c r="AG126" i="45"/>
  <c r="AG125" i="45"/>
  <c r="AG124" i="45"/>
  <c r="AG123" i="45"/>
  <c r="AG122" i="45"/>
  <c r="AG121" i="45"/>
  <c r="AG120" i="45"/>
  <c r="AF119" i="45"/>
  <c r="AE119" i="45"/>
  <c r="AD119" i="45"/>
  <c r="AC119" i="45"/>
  <c r="AB119" i="45"/>
  <c r="AA119" i="45"/>
  <c r="Z119" i="45"/>
  <c r="Y119" i="45"/>
  <c r="X119" i="45"/>
  <c r="W119" i="45"/>
  <c r="V119" i="45"/>
  <c r="U119" i="45"/>
  <c r="T119" i="45"/>
  <c r="S119" i="45"/>
  <c r="R119" i="45"/>
  <c r="Q119" i="45"/>
  <c r="P119" i="45"/>
  <c r="O119" i="45"/>
  <c r="N119" i="45"/>
  <c r="M119" i="45"/>
  <c r="L119" i="45"/>
  <c r="K119" i="45"/>
  <c r="J119" i="45"/>
  <c r="I119" i="45"/>
  <c r="H119" i="45"/>
  <c r="G119" i="45"/>
  <c r="F119" i="45"/>
  <c r="E119" i="45"/>
  <c r="D119" i="45"/>
  <c r="C119" i="45"/>
  <c r="B119" i="45"/>
  <c r="AG118" i="45"/>
  <c r="AG117" i="45"/>
  <c r="AF116" i="45"/>
  <c r="AE116" i="45"/>
  <c r="AD116" i="45"/>
  <c r="AC116" i="45"/>
  <c r="AB116" i="45"/>
  <c r="AA116" i="45"/>
  <c r="Z116" i="45"/>
  <c r="Y116" i="45"/>
  <c r="X116" i="45"/>
  <c r="W116" i="45"/>
  <c r="V116" i="45"/>
  <c r="U116" i="45"/>
  <c r="T116" i="45"/>
  <c r="S116" i="45"/>
  <c r="R116" i="45"/>
  <c r="Q116" i="45"/>
  <c r="P116" i="45"/>
  <c r="O116" i="45"/>
  <c r="N116" i="45"/>
  <c r="M116" i="45"/>
  <c r="L116" i="45"/>
  <c r="K116" i="45"/>
  <c r="J116" i="45"/>
  <c r="I116" i="45"/>
  <c r="H116" i="45"/>
  <c r="G116" i="45"/>
  <c r="F116" i="45"/>
  <c r="E116" i="45"/>
  <c r="D116" i="45"/>
  <c r="C116" i="45"/>
  <c r="B116" i="45"/>
  <c r="AG115" i="45"/>
  <c r="AG114" i="45"/>
  <c r="AG113" i="45"/>
  <c r="AG112" i="45"/>
  <c r="AG111" i="45"/>
  <c r="AG110" i="45"/>
  <c r="AG109" i="45"/>
  <c r="AG108" i="45"/>
  <c r="AG107" i="45"/>
  <c r="AG106" i="45"/>
  <c r="AG105" i="45"/>
  <c r="AG104" i="45"/>
  <c r="AG103" i="45"/>
  <c r="AG102" i="45"/>
  <c r="AG101" i="45"/>
  <c r="AF100" i="45"/>
  <c r="AE100" i="45"/>
  <c r="AD100" i="45"/>
  <c r="AC100" i="45"/>
  <c r="AB100" i="45"/>
  <c r="AA100" i="45"/>
  <c r="Z100" i="45"/>
  <c r="Y100" i="45"/>
  <c r="X100" i="45"/>
  <c r="W100" i="45"/>
  <c r="V100" i="45"/>
  <c r="V93" i="45" s="1"/>
  <c r="U100" i="45"/>
  <c r="U93" i="45" s="1"/>
  <c r="T100" i="45"/>
  <c r="S100" i="45"/>
  <c r="S93" i="45" s="1"/>
  <c r="R100" i="45"/>
  <c r="Q100" i="45"/>
  <c r="Q93" i="45" s="1"/>
  <c r="P100" i="45"/>
  <c r="O100" i="45"/>
  <c r="N100" i="45"/>
  <c r="M100" i="45"/>
  <c r="L100" i="45"/>
  <c r="K100" i="45"/>
  <c r="J100" i="45"/>
  <c r="J93" i="45" s="1"/>
  <c r="I100" i="45"/>
  <c r="H100" i="45"/>
  <c r="G100" i="45"/>
  <c r="F100" i="45"/>
  <c r="E100" i="45"/>
  <c r="E93" i="45" s="1"/>
  <c r="D100" i="45"/>
  <c r="D93" i="45" s="1"/>
  <c r="C100" i="45"/>
  <c r="B100" i="45"/>
  <c r="AG99" i="45"/>
  <c r="AG98" i="45"/>
  <c r="AG97" i="45"/>
  <c r="AG96" i="45"/>
  <c r="AG95" i="45"/>
  <c r="AF94" i="45"/>
  <c r="AE94" i="45"/>
  <c r="AD94" i="45"/>
  <c r="AC94" i="45"/>
  <c r="AB94" i="45"/>
  <c r="AB93" i="45" s="1"/>
  <c r="AA94" i="45"/>
  <c r="AA93" i="45" s="1"/>
  <c r="Z94" i="45"/>
  <c r="Z93" i="45" s="1"/>
  <c r="Y94" i="45"/>
  <c r="Y93" i="45" s="1"/>
  <c r="X94" i="45"/>
  <c r="W94" i="45"/>
  <c r="V94" i="45"/>
  <c r="U94" i="45"/>
  <c r="T94" i="45"/>
  <c r="S94" i="45"/>
  <c r="R94" i="45"/>
  <c r="Q94" i="45"/>
  <c r="P94" i="45"/>
  <c r="O94" i="45"/>
  <c r="N94" i="45"/>
  <c r="M94" i="45"/>
  <c r="L94" i="45"/>
  <c r="K94" i="45"/>
  <c r="J94" i="45"/>
  <c r="I94" i="45"/>
  <c r="H94" i="45"/>
  <c r="G94" i="45"/>
  <c r="G93" i="45" s="1"/>
  <c r="F94" i="45"/>
  <c r="F93" i="45" s="1"/>
  <c r="E94" i="45"/>
  <c r="D94" i="45"/>
  <c r="C94" i="45"/>
  <c r="B94" i="45"/>
  <c r="AD93" i="45"/>
  <c r="O93" i="45"/>
  <c r="L93" i="45"/>
  <c r="I93" i="45"/>
  <c r="H93" i="45"/>
  <c r="AG92" i="45"/>
  <c r="AG91" i="45"/>
  <c r="AG90" i="45"/>
  <c r="AG89" i="45"/>
  <c r="AG88" i="45"/>
  <c r="AF87" i="45"/>
  <c r="AE87" i="45"/>
  <c r="AD87" i="45"/>
  <c r="AC87" i="45"/>
  <c r="AB87" i="45"/>
  <c r="AA87" i="45"/>
  <c r="Z87" i="45"/>
  <c r="Y87" i="45"/>
  <c r="X87" i="45"/>
  <c r="W87" i="45"/>
  <c r="V87" i="45"/>
  <c r="U87" i="45"/>
  <c r="T87" i="45"/>
  <c r="S87" i="45"/>
  <c r="R87" i="45"/>
  <c r="Q87" i="45"/>
  <c r="P87" i="45"/>
  <c r="O87" i="45"/>
  <c r="N87" i="45"/>
  <c r="M87" i="45"/>
  <c r="L87" i="45"/>
  <c r="K87" i="45"/>
  <c r="J87" i="45"/>
  <c r="I87" i="45"/>
  <c r="H87" i="45"/>
  <c r="G87" i="45"/>
  <c r="F87" i="45"/>
  <c r="E87" i="45"/>
  <c r="D87" i="45"/>
  <c r="C87" i="45"/>
  <c r="B87" i="45"/>
  <c r="AG86" i="45"/>
  <c r="AG85" i="45"/>
  <c r="AF84" i="45"/>
  <c r="AE84" i="45"/>
  <c r="AD84" i="45"/>
  <c r="AC84" i="45"/>
  <c r="AB84" i="45"/>
  <c r="AA84" i="45"/>
  <c r="Z84" i="45"/>
  <c r="Y84" i="45"/>
  <c r="X84" i="45"/>
  <c r="W84" i="45"/>
  <c r="V84" i="45"/>
  <c r="U84" i="45"/>
  <c r="T84" i="45"/>
  <c r="S84" i="45"/>
  <c r="R84" i="45"/>
  <c r="Q84" i="45"/>
  <c r="P84" i="45"/>
  <c r="O84" i="45"/>
  <c r="N84" i="45"/>
  <c r="M84" i="45"/>
  <c r="L84" i="45"/>
  <c r="K84" i="45"/>
  <c r="J84" i="45"/>
  <c r="I84" i="45"/>
  <c r="H84" i="45"/>
  <c r="G84" i="45"/>
  <c r="F84" i="45"/>
  <c r="E84" i="45"/>
  <c r="D84" i="45"/>
  <c r="C84" i="45"/>
  <c r="B84" i="45"/>
  <c r="U83" i="45"/>
  <c r="N83" i="45"/>
  <c r="N81" i="45" s="1"/>
  <c r="AF82" i="45"/>
  <c r="AE82" i="45"/>
  <c r="AE83" i="45" s="1"/>
  <c r="AE81" i="45" s="1"/>
  <c r="AD82" i="45"/>
  <c r="AD83" i="45" s="1"/>
  <c r="AD81" i="45" s="1"/>
  <c r="AC82" i="45"/>
  <c r="AC83" i="45" s="1"/>
  <c r="AC81" i="45" s="1"/>
  <c r="AB82" i="45"/>
  <c r="AB83" i="45" s="1"/>
  <c r="AB81" i="45" s="1"/>
  <c r="AA82" i="45"/>
  <c r="AA83" i="45" s="1"/>
  <c r="AA81" i="45" s="1"/>
  <c r="Z82" i="45"/>
  <c r="Z83" i="45" s="1"/>
  <c r="Y82" i="45"/>
  <c r="Y83" i="45" s="1"/>
  <c r="Y81" i="45" s="1"/>
  <c r="X82" i="45"/>
  <c r="X83" i="45" s="1"/>
  <c r="W82" i="45"/>
  <c r="W83" i="45" s="1"/>
  <c r="V82" i="45"/>
  <c r="V83" i="45" s="1"/>
  <c r="V81" i="45" s="1"/>
  <c r="U82" i="45"/>
  <c r="T82" i="45"/>
  <c r="T83" i="45" s="1"/>
  <c r="T81" i="45" s="1"/>
  <c r="S82" i="45"/>
  <c r="S83" i="45" s="1"/>
  <c r="S81" i="45" s="1"/>
  <c r="R82" i="45"/>
  <c r="R83" i="45" s="1"/>
  <c r="R81" i="45" s="1"/>
  <c r="Q82" i="45"/>
  <c r="Q83" i="45" s="1"/>
  <c r="Q81" i="45" s="1"/>
  <c r="P82" i="45"/>
  <c r="P83" i="45" s="1"/>
  <c r="P81" i="45" s="1"/>
  <c r="O82" i="45"/>
  <c r="O83" i="45" s="1"/>
  <c r="O81" i="45" s="1"/>
  <c r="N82" i="45"/>
  <c r="M82" i="45"/>
  <c r="L82" i="45"/>
  <c r="L83" i="45" s="1"/>
  <c r="L81" i="45" s="1"/>
  <c r="K82" i="45"/>
  <c r="K83" i="45" s="1"/>
  <c r="K81" i="45" s="1"/>
  <c r="J82" i="45"/>
  <c r="J83" i="45" s="1"/>
  <c r="J81" i="45" s="1"/>
  <c r="I82" i="45"/>
  <c r="I83" i="45" s="1"/>
  <c r="I81" i="45" s="1"/>
  <c r="H82" i="45"/>
  <c r="H83" i="45" s="1"/>
  <c r="H81" i="45" s="1"/>
  <c r="G82" i="45"/>
  <c r="G83" i="45" s="1"/>
  <c r="G81" i="45" s="1"/>
  <c r="F82" i="45"/>
  <c r="F83" i="45" s="1"/>
  <c r="E82" i="45"/>
  <c r="E83" i="45" s="1"/>
  <c r="E81" i="45" s="1"/>
  <c r="D82" i="45"/>
  <c r="D83" i="45" s="1"/>
  <c r="D81" i="45" s="1"/>
  <c r="C82" i="45"/>
  <c r="C83" i="45" s="1"/>
  <c r="B82" i="45"/>
  <c r="B83" i="45" s="1"/>
  <c r="AG80" i="45"/>
  <c r="AF79" i="45"/>
  <c r="AF78" i="45" s="1"/>
  <c r="AE79" i="45"/>
  <c r="AE78" i="45" s="1"/>
  <c r="AD79" i="45"/>
  <c r="AD78" i="45" s="1"/>
  <c r="AC79" i="45"/>
  <c r="AC78" i="45" s="1"/>
  <c r="AB79" i="45"/>
  <c r="AA79" i="45"/>
  <c r="AA78" i="45" s="1"/>
  <c r="Z79" i="45"/>
  <c r="Z78" i="45" s="1"/>
  <c r="Y79" i="45"/>
  <c r="Y78" i="45" s="1"/>
  <c r="X79" i="45"/>
  <c r="X78" i="45" s="1"/>
  <c r="W79" i="45"/>
  <c r="W78" i="45" s="1"/>
  <c r="V79" i="45"/>
  <c r="U79" i="45"/>
  <c r="U78" i="45" s="1"/>
  <c r="T79" i="45"/>
  <c r="T78" i="45" s="1"/>
  <c r="S79" i="45"/>
  <c r="S78" i="45" s="1"/>
  <c r="R79" i="45"/>
  <c r="R78" i="45" s="1"/>
  <c r="Q79" i="45"/>
  <c r="Q78" i="45" s="1"/>
  <c r="P79" i="45"/>
  <c r="P78" i="45" s="1"/>
  <c r="O79" i="45"/>
  <c r="O78" i="45" s="1"/>
  <c r="N79" i="45"/>
  <c r="N78" i="45" s="1"/>
  <c r="M79" i="45"/>
  <c r="M78" i="45" s="1"/>
  <c r="L79" i="45"/>
  <c r="L78" i="45" s="1"/>
  <c r="K79" i="45"/>
  <c r="K78" i="45" s="1"/>
  <c r="J79" i="45"/>
  <c r="J78" i="45" s="1"/>
  <c r="I79" i="45"/>
  <c r="I78" i="45" s="1"/>
  <c r="H79" i="45"/>
  <c r="H78" i="45" s="1"/>
  <c r="G79" i="45"/>
  <c r="G78" i="45" s="1"/>
  <c r="F79" i="45"/>
  <c r="F78" i="45" s="1"/>
  <c r="E79" i="45"/>
  <c r="E78" i="45" s="1"/>
  <c r="D79" i="45"/>
  <c r="D78" i="45" s="1"/>
  <c r="C79" i="45"/>
  <c r="B79" i="45"/>
  <c r="AB78" i="45"/>
  <c r="V78" i="45"/>
  <c r="C78" i="45"/>
  <c r="B78" i="45"/>
  <c r="AG77" i="45"/>
  <c r="AG76" i="45"/>
  <c r="AG75" i="45"/>
  <c r="AG74" i="45"/>
  <c r="AG73" i="45"/>
  <c r="AG72" i="45"/>
  <c r="AG71" i="45"/>
  <c r="AG70" i="45"/>
  <c r="AG69" i="45"/>
  <c r="AG68" i="45"/>
  <c r="AG67" i="45"/>
  <c r="AG66" i="45"/>
  <c r="AG65" i="45"/>
  <c r="AG64" i="45"/>
  <c r="AG63" i="45"/>
  <c r="AG62" i="45"/>
  <c r="AG61" i="45"/>
  <c r="AG60" i="45"/>
  <c r="AG59" i="45"/>
  <c r="AG58" i="45"/>
  <c r="AG57" i="45"/>
  <c r="AG56" i="45"/>
  <c r="AG55" i="45"/>
  <c r="AG54" i="45"/>
  <c r="AF53" i="45"/>
  <c r="AF134" i="45" s="1"/>
  <c r="AE53" i="45"/>
  <c r="AE134" i="45" s="1"/>
  <c r="AD53" i="45"/>
  <c r="AD134" i="45" s="1"/>
  <c r="AC53" i="45"/>
  <c r="AC134" i="45" s="1"/>
  <c r="AB53" i="45"/>
  <c r="AB134" i="45" s="1"/>
  <c r="AA53" i="45"/>
  <c r="AA134" i="45" s="1"/>
  <c r="Z53" i="45"/>
  <c r="Z134" i="45" s="1"/>
  <c r="Y53" i="45"/>
  <c r="Y134" i="45" s="1"/>
  <c r="X53" i="45"/>
  <c r="X134" i="45" s="1"/>
  <c r="W53" i="45"/>
  <c r="W134" i="45" s="1"/>
  <c r="V53" i="45"/>
  <c r="V134" i="45" s="1"/>
  <c r="U53" i="45"/>
  <c r="U134" i="45" s="1"/>
  <c r="T53" i="45"/>
  <c r="T134" i="45" s="1"/>
  <c r="S53" i="45"/>
  <c r="S134" i="45" s="1"/>
  <c r="R53" i="45"/>
  <c r="R134" i="45" s="1"/>
  <c r="Q53" i="45"/>
  <c r="Q134" i="45" s="1"/>
  <c r="P53" i="45"/>
  <c r="P134" i="45" s="1"/>
  <c r="O53" i="45"/>
  <c r="O134" i="45" s="1"/>
  <c r="N53" i="45"/>
  <c r="N134" i="45" s="1"/>
  <c r="M53" i="45"/>
  <c r="M134" i="45" s="1"/>
  <c r="L53" i="45"/>
  <c r="L134" i="45" s="1"/>
  <c r="K53" i="45"/>
  <c r="K134" i="45" s="1"/>
  <c r="J53" i="45"/>
  <c r="J134" i="45" s="1"/>
  <c r="I53" i="45"/>
  <c r="I134" i="45" s="1"/>
  <c r="H53" i="45"/>
  <c r="H134" i="45" s="1"/>
  <c r="G53" i="45"/>
  <c r="F53" i="45"/>
  <c r="F134" i="45" s="1"/>
  <c r="E53" i="45"/>
  <c r="E134" i="45" s="1"/>
  <c r="D53" i="45"/>
  <c r="D134" i="45" s="1"/>
  <c r="C53" i="45"/>
  <c r="C134" i="45" s="1"/>
  <c r="B53" i="45"/>
  <c r="B134" i="45" s="1"/>
  <c r="AG52" i="45"/>
  <c r="AG51" i="45"/>
  <c r="AG50" i="45"/>
  <c r="AG49" i="45"/>
  <c r="AG48" i="45"/>
  <c r="AG47" i="45"/>
  <c r="AG46" i="45"/>
  <c r="AG45" i="45"/>
  <c r="AG44" i="45"/>
  <c r="AG43" i="45"/>
  <c r="AG42" i="45"/>
  <c r="AG41" i="45"/>
  <c r="AG40" i="45"/>
  <c r="AG39" i="45"/>
  <c r="AG38" i="45"/>
  <c r="AG37" i="45"/>
  <c r="AG36" i="45"/>
  <c r="AG35" i="45"/>
  <c r="AG34" i="45"/>
  <c r="AG33" i="45"/>
  <c r="AG32" i="45"/>
  <c r="AG31" i="45"/>
  <c r="AG30" i="45"/>
  <c r="AG29" i="45"/>
  <c r="AF28" i="45"/>
  <c r="AF133" i="45" s="1"/>
  <c r="AE28" i="45"/>
  <c r="AE133" i="45" s="1"/>
  <c r="AD28" i="45"/>
  <c r="AD133" i="45" s="1"/>
  <c r="AC28" i="45"/>
  <c r="AC133" i="45" s="1"/>
  <c r="AB28" i="45"/>
  <c r="AB133" i="45" s="1"/>
  <c r="AA28" i="45"/>
  <c r="AA133" i="45" s="1"/>
  <c r="Z28" i="45"/>
  <c r="Z133" i="45" s="1"/>
  <c r="Y28" i="45"/>
  <c r="Y133" i="45" s="1"/>
  <c r="X28" i="45"/>
  <c r="X133" i="45" s="1"/>
  <c r="W28" i="45"/>
  <c r="W133" i="45" s="1"/>
  <c r="V28" i="45"/>
  <c r="V133" i="45" s="1"/>
  <c r="U28" i="45"/>
  <c r="U133" i="45" s="1"/>
  <c r="T28" i="45"/>
  <c r="T133" i="45" s="1"/>
  <c r="S28" i="45"/>
  <c r="S133" i="45" s="1"/>
  <c r="R28" i="45"/>
  <c r="R133" i="45" s="1"/>
  <c r="Q28" i="45"/>
  <c r="Q133" i="45" s="1"/>
  <c r="P28" i="45"/>
  <c r="P133" i="45" s="1"/>
  <c r="O28" i="45"/>
  <c r="O133" i="45" s="1"/>
  <c r="N28" i="45"/>
  <c r="N133" i="45" s="1"/>
  <c r="M28" i="45"/>
  <c r="M133" i="45" s="1"/>
  <c r="L28" i="45"/>
  <c r="K28" i="45"/>
  <c r="K133" i="45" s="1"/>
  <c r="J28" i="45"/>
  <c r="J133" i="45" s="1"/>
  <c r="I28" i="45"/>
  <c r="I133" i="45" s="1"/>
  <c r="H28" i="45"/>
  <c r="H133" i="45" s="1"/>
  <c r="G28" i="45"/>
  <c r="G133" i="45" s="1"/>
  <c r="F28" i="45"/>
  <c r="F133" i="45" s="1"/>
  <c r="E28" i="45"/>
  <c r="E133" i="45" s="1"/>
  <c r="D28" i="45"/>
  <c r="D133" i="45" s="1"/>
  <c r="C28" i="45"/>
  <c r="C133" i="45" s="1"/>
  <c r="B28" i="45"/>
  <c r="B133" i="45" s="1"/>
  <c r="AG27" i="45"/>
  <c r="AG26" i="45"/>
  <c r="AG25" i="45"/>
  <c r="AG24" i="45"/>
  <c r="AG23" i="45"/>
  <c r="AG22" i="45"/>
  <c r="AG21" i="45"/>
  <c r="AG20" i="45"/>
  <c r="AG19" i="45"/>
  <c r="AG18" i="45"/>
  <c r="AG17" i="45"/>
  <c r="AG16" i="45"/>
  <c r="AG15" i="45"/>
  <c r="AG14" i="45"/>
  <c r="AG13" i="45"/>
  <c r="AG12" i="45"/>
  <c r="AG11" i="45"/>
  <c r="AG10" i="45"/>
  <c r="AG9" i="45"/>
  <c r="AG8" i="45"/>
  <c r="AG7" i="45"/>
  <c r="AG6" i="45"/>
  <c r="AG5" i="45"/>
  <c r="AG4" i="45"/>
  <c r="AF3" i="45"/>
  <c r="AE3" i="45"/>
  <c r="AD3" i="45"/>
  <c r="AC3" i="45"/>
  <c r="AB3" i="45"/>
  <c r="AA3" i="45"/>
  <c r="Z3" i="45"/>
  <c r="Y3" i="45"/>
  <c r="X3" i="45"/>
  <c r="W3" i="45"/>
  <c r="V3" i="45"/>
  <c r="U3" i="45"/>
  <c r="T3" i="45"/>
  <c r="S3" i="45"/>
  <c r="R3" i="45"/>
  <c r="Q3" i="45"/>
  <c r="P3" i="45"/>
  <c r="O3" i="45"/>
  <c r="N3" i="45"/>
  <c r="M3" i="45"/>
  <c r="L3" i="45"/>
  <c r="K3" i="45"/>
  <c r="J3" i="45"/>
  <c r="I3" i="45"/>
  <c r="H3" i="45"/>
  <c r="G3" i="45"/>
  <c r="F3" i="45"/>
  <c r="E3" i="45"/>
  <c r="D3" i="45"/>
  <c r="C3" i="45"/>
  <c r="B3" i="45"/>
  <c r="C2" i="45"/>
  <c r="D2" i="45" s="1"/>
  <c r="E2" i="45" s="1"/>
  <c r="F2" i="45" s="1"/>
  <c r="G2" i="45" s="1"/>
  <c r="H2" i="45" s="1"/>
  <c r="I2" i="45" s="1"/>
  <c r="J2" i="45" s="1"/>
  <c r="K2" i="45" s="1"/>
  <c r="L2" i="45" s="1"/>
  <c r="M2" i="45" s="1"/>
  <c r="N2" i="45" s="1"/>
  <c r="O2" i="45" s="1"/>
  <c r="P2" i="45" s="1"/>
  <c r="Q2" i="45" s="1"/>
  <c r="R2" i="45" s="1"/>
  <c r="S2" i="45" s="1"/>
  <c r="T2" i="45" s="1"/>
  <c r="U2" i="45" s="1"/>
  <c r="V2" i="45" s="1"/>
  <c r="W2" i="45" s="1"/>
  <c r="X2" i="45" s="1"/>
  <c r="Y2" i="45" s="1"/>
  <c r="Z2" i="45" s="1"/>
  <c r="AA2" i="45" s="1"/>
  <c r="AB2" i="45" s="1"/>
  <c r="AC2" i="45" s="1"/>
  <c r="AD2" i="45" s="1"/>
  <c r="AE2" i="45" s="1"/>
  <c r="AF2" i="45" s="1"/>
  <c r="AG180" i="44"/>
  <c r="AG179" i="44"/>
  <c r="AG178" i="44"/>
  <c r="AF177" i="44"/>
  <c r="AE177" i="44"/>
  <c r="AD177" i="44"/>
  <c r="AC177" i="44"/>
  <c r="AB177" i="44"/>
  <c r="AA177" i="44"/>
  <c r="Z177" i="44"/>
  <c r="Y177" i="44"/>
  <c r="X177" i="44"/>
  <c r="W177" i="44"/>
  <c r="V177" i="44"/>
  <c r="U177" i="44"/>
  <c r="T177" i="44"/>
  <c r="S177" i="44"/>
  <c r="R177" i="44"/>
  <c r="Q177" i="44"/>
  <c r="P177" i="44"/>
  <c r="O177" i="44"/>
  <c r="N177" i="44"/>
  <c r="M177" i="44"/>
  <c r="L177" i="44"/>
  <c r="K177" i="44"/>
  <c r="J177" i="44"/>
  <c r="I177" i="44"/>
  <c r="H177" i="44"/>
  <c r="G177" i="44"/>
  <c r="F177" i="44"/>
  <c r="E177" i="44"/>
  <c r="D177" i="44"/>
  <c r="C177" i="44"/>
  <c r="B177" i="44"/>
  <c r="AG177" i="44" s="1"/>
  <c r="AG176" i="44"/>
  <c r="AG175" i="44"/>
  <c r="AG174" i="44"/>
  <c r="AG173" i="44"/>
  <c r="AG172" i="44"/>
  <c r="AF171" i="44"/>
  <c r="AE171" i="44"/>
  <c r="AD171" i="44"/>
  <c r="AC171" i="44"/>
  <c r="AB171" i="44"/>
  <c r="AA171" i="44"/>
  <c r="Z171" i="44"/>
  <c r="Y171" i="44"/>
  <c r="X171" i="44"/>
  <c r="W171" i="44"/>
  <c r="V171" i="44"/>
  <c r="U171" i="44"/>
  <c r="T171" i="44"/>
  <c r="S171" i="44"/>
  <c r="R171" i="44"/>
  <c r="Q171" i="44"/>
  <c r="P171" i="44"/>
  <c r="O171" i="44"/>
  <c r="N171" i="44"/>
  <c r="M171" i="44"/>
  <c r="L171" i="44"/>
  <c r="K171" i="44"/>
  <c r="J171" i="44"/>
  <c r="I171" i="44"/>
  <c r="H171" i="44"/>
  <c r="G171" i="44"/>
  <c r="F171" i="44"/>
  <c r="E171" i="44"/>
  <c r="D171" i="44"/>
  <c r="C171" i="44"/>
  <c r="B171" i="44"/>
  <c r="AG170" i="44"/>
  <c r="AG169" i="44"/>
  <c r="AG168" i="44"/>
  <c r="AG167" i="44"/>
  <c r="AG166" i="44"/>
  <c r="AG165" i="44"/>
  <c r="AG164" i="44"/>
  <c r="AG163" i="44"/>
  <c r="AG162" i="44"/>
  <c r="AG161" i="44"/>
  <c r="AG160" i="44"/>
  <c r="AG159" i="44"/>
  <c r="AG158" i="44"/>
  <c r="AG157" i="44"/>
  <c r="AG156" i="44"/>
  <c r="AG155" i="44"/>
  <c r="AG154" i="44"/>
  <c r="AG153" i="44"/>
  <c r="AG152" i="44"/>
  <c r="AG151" i="44"/>
  <c r="AG150" i="44"/>
  <c r="AG149" i="44"/>
  <c r="AG148" i="44"/>
  <c r="AG147" i="44"/>
  <c r="AG146" i="44"/>
  <c r="AG145" i="44"/>
  <c r="AF144" i="44"/>
  <c r="AE144" i="44"/>
  <c r="AD144" i="44"/>
  <c r="AC144" i="44"/>
  <c r="AB144" i="44"/>
  <c r="AA144" i="44"/>
  <c r="Z144" i="44"/>
  <c r="Y144" i="44"/>
  <c r="X144" i="44"/>
  <c r="W144" i="44"/>
  <c r="V144" i="44"/>
  <c r="U144" i="44"/>
  <c r="T144" i="44"/>
  <c r="S144" i="44"/>
  <c r="R144" i="44"/>
  <c r="Q144" i="44"/>
  <c r="P144" i="44"/>
  <c r="O144" i="44"/>
  <c r="N144" i="44"/>
  <c r="M144" i="44"/>
  <c r="L144" i="44"/>
  <c r="K144" i="44"/>
  <c r="J144" i="44"/>
  <c r="I144" i="44"/>
  <c r="H144" i="44"/>
  <c r="G144" i="44"/>
  <c r="F144" i="44"/>
  <c r="E144" i="44"/>
  <c r="D144" i="44"/>
  <c r="C144" i="44"/>
  <c r="B144" i="44"/>
  <c r="AG143" i="44"/>
  <c r="AG142" i="44"/>
  <c r="AG141" i="44"/>
  <c r="AG140" i="44"/>
  <c r="AF139" i="44"/>
  <c r="AE139" i="44"/>
  <c r="AD139" i="44"/>
  <c r="AC139" i="44"/>
  <c r="AB139" i="44"/>
  <c r="AA139" i="44"/>
  <c r="Z139" i="44"/>
  <c r="Y139" i="44"/>
  <c r="X139" i="44"/>
  <c r="W139" i="44"/>
  <c r="V139" i="44"/>
  <c r="U139" i="44"/>
  <c r="T139" i="44"/>
  <c r="S139" i="44"/>
  <c r="R139" i="44"/>
  <c r="Q139" i="44"/>
  <c r="P139" i="44"/>
  <c r="O139" i="44"/>
  <c r="N139" i="44"/>
  <c r="M139" i="44"/>
  <c r="L139" i="44"/>
  <c r="K139" i="44"/>
  <c r="J139" i="44"/>
  <c r="I139" i="44"/>
  <c r="H139" i="44"/>
  <c r="G139" i="44"/>
  <c r="F139" i="44"/>
  <c r="E139" i="44"/>
  <c r="D139" i="44"/>
  <c r="C139" i="44"/>
  <c r="B139" i="44"/>
  <c r="AG138" i="44"/>
  <c r="AG137" i="44"/>
  <c r="AG136" i="44"/>
  <c r="AF135" i="44"/>
  <c r="AE135" i="44"/>
  <c r="AD135" i="44"/>
  <c r="AC135" i="44"/>
  <c r="AB135" i="44"/>
  <c r="AA135" i="44"/>
  <c r="Z135" i="44"/>
  <c r="Y135" i="44"/>
  <c r="X135" i="44"/>
  <c r="W135" i="44"/>
  <c r="V135" i="44"/>
  <c r="U135" i="44"/>
  <c r="T135" i="44"/>
  <c r="S135" i="44"/>
  <c r="R135" i="44"/>
  <c r="Q135" i="44"/>
  <c r="P135" i="44"/>
  <c r="O135" i="44"/>
  <c r="N135" i="44"/>
  <c r="M135" i="44"/>
  <c r="L135" i="44"/>
  <c r="K135" i="44"/>
  <c r="J135" i="44"/>
  <c r="I135" i="44"/>
  <c r="H135" i="44"/>
  <c r="G135" i="44"/>
  <c r="F135" i="44"/>
  <c r="E135" i="44"/>
  <c r="D135" i="44"/>
  <c r="C135" i="44"/>
  <c r="B135" i="44"/>
  <c r="AG132" i="44"/>
  <c r="AG131" i="44"/>
  <c r="AG130" i="44"/>
  <c r="AG129" i="44"/>
  <c r="AG128" i="44"/>
  <c r="AG127" i="44"/>
  <c r="AG126" i="44"/>
  <c r="AG125" i="44"/>
  <c r="AG124" i="44"/>
  <c r="AG123" i="44"/>
  <c r="AG122" i="44"/>
  <c r="AG121" i="44"/>
  <c r="AG120" i="44"/>
  <c r="AF119" i="44"/>
  <c r="AE119" i="44"/>
  <c r="AD119" i="44"/>
  <c r="AC119" i="44"/>
  <c r="AB119" i="44"/>
  <c r="AA119" i="44"/>
  <c r="Z119" i="44"/>
  <c r="Y119" i="44"/>
  <c r="X119" i="44"/>
  <c r="W119" i="44"/>
  <c r="V119" i="44"/>
  <c r="U119" i="44"/>
  <c r="T119" i="44"/>
  <c r="S119" i="44"/>
  <c r="R119" i="44"/>
  <c r="Q119" i="44"/>
  <c r="P119" i="44"/>
  <c r="O119" i="44"/>
  <c r="N119" i="44"/>
  <c r="M119" i="44"/>
  <c r="L119" i="44"/>
  <c r="K119" i="44"/>
  <c r="J119" i="44"/>
  <c r="I119" i="44"/>
  <c r="H119" i="44"/>
  <c r="G119" i="44"/>
  <c r="F119" i="44"/>
  <c r="E119" i="44"/>
  <c r="D119" i="44"/>
  <c r="C119" i="44"/>
  <c r="B119" i="44"/>
  <c r="AG118" i="44"/>
  <c r="AG117" i="44"/>
  <c r="AF116" i="44"/>
  <c r="AE116" i="44"/>
  <c r="AD116" i="44"/>
  <c r="AC116" i="44"/>
  <c r="AB116" i="44"/>
  <c r="AA116" i="44"/>
  <c r="Z116" i="44"/>
  <c r="Y116" i="44"/>
  <c r="X116" i="44"/>
  <c r="W116" i="44"/>
  <c r="V116" i="44"/>
  <c r="U116" i="44"/>
  <c r="T116" i="44"/>
  <c r="S116" i="44"/>
  <c r="R116" i="44"/>
  <c r="Q116" i="44"/>
  <c r="P116" i="44"/>
  <c r="O116" i="44"/>
  <c r="N116" i="44"/>
  <c r="M116" i="44"/>
  <c r="L116" i="44"/>
  <c r="K116" i="44"/>
  <c r="J116" i="44"/>
  <c r="I116" i="44"/>
  <c r="H116" i="44"/>
  <c r="G116" i="44"/>
  <c r="F116" i="44"/>
  <c r="E116" i="44"/>
  <c r="D116" i="44"/>
  <c r="C116" i="44"/>
  <c r="B116" i="44"/>
  <c r="AG115" i="44"/>
  <c r="AG114" i="44"/>
  <c r="AG113" i="44"/>
  <c r="AG112" i="44"/>
  <c r="AG111" i="44"/>
  <c r="AG110" i="44"/>
  <c r="AG109" i="44"/>
  <c r="AG108" i="44"/>
  <c r="AG107" i="44"/>
  <c r="AG106" i="44"/>
  <c r="AG105" i="44"/>
  <c r="AG104" i="44"/>
  <c r="AG103" i="44"/>
  <c r="AG102" i="44"/>
  <c r="AG101" i="44"/>
  <c r="AF100" i="44"/>
  <c r="AE100" i="44"/>
  <c r="AD100" i="44"/>
  <c r="AC100" i="44"/>
  <c r="AB100" i="44"/>
  <c r="AA100" i="44"/>
  <c r="Z100" i="44"/>
  <c r="Z93" i="44" s="1"/>
  <c r="Y100" i="44"/>
  <c r="X100" i="44"/>
  <c r="W100" i="44"/>
  <c r="V100" i="44"/>
  <c r="U100" i="44"/>
  <c r="T100" i="44"/>
  <c r="S100" i="44"/>
  <c r="R100" i="44"/>
  <c r="Q100" i="44"/>
  <c r="P100" i="44"/>
  <c r="O100" i="44"/>
  <c r="N100" i="44"/>
  <c r="M100" i="44"/>
  <c r="L100" i="44"/>
  <c r="K100" i="44"/>
  <c r="J100" i="44"/>
  <c r="I100" i="44"/>
  <c r="H100" i="44"/>
  <c r="G100" i="44"/>
  <c r="F100" i="44"/>
  <c r="E100" i="44"/>
  <c r="D100" i="44"/>
  <c r="C100" i="44"/>
  <c r="B100" i="44"/>
  <c r="AG99" i="44"/>
  <c r="AG98" i="44"/>
  <c r="AG97" i="44"/>
  <c r="AG96" i="44"/>
  <c r="AG95" i="44"/>
  <c r="AF94" i="44"/>
  <c r="AF93" i="44" s="1"/>
  <c r="AE94" i="44"/>
  <c r="AD94" i="44"/>
  <c r="AC94" i="44"/>
  <c r="AC93" i="44" s="1"/>
  <c r="AB94" i="44"/>
  <c r="AA94" i="44"/>
  <c r="AA93" i="44" s="1"/>
  <c r="Z94" i="44"/>
  <c r="Y94" i="44"/>
  <c r="X94" i="44"/>
  <c r="W94" i="44"/>
  <c r="W93" i="44" s="1"/>
  <c r="V94" i="44"/>
  <c r="U94" i="44"/>
  <c r="U93" i="44" s="1"/>
  <c r="T94" i="44"/>
  <c r="S94" i="44"/>
  <c r="R94" i="44"/>
  <c r="R93" i="44" s="1"/>
  <c r="Q94" i="44"/>
  <c r="Q93" i="44" s="1"/>
  <c r="P94" i="44"/>
  <c r="O94" i="44"/>
  <c r="N94" i="44"/>
  <c r="M94" i="44"/>
  <c r="M93" i="44" s="1"/>
  <c r="L94" i="44"/>
  <c r="K94" i="44"/>
  <c r="K93" i="44" s="1"/>
  <c r="J94" i="44"/>
  <c r="I94" i="44"/>
  <c r="I93" i="44" s="1"/>
  <c r="H94" i="44"/>
  <c r="H93" i="44" s="1"/>
  <c r="G94" i="44"/>
  <c r="F94" i="44"/>
  <c r="F93" i="44" s="1"/>
  <c r="E94" i="44"/>
  <c r="E93" i="44" s="1"/>
  <c r="D94" i="44"/>
  <c r="C94" i="44"/>
  <c r="C93" i="44" s="1"/>
  <c r="B94" i="44"/>
  <c r="O93" i="44"/>
  <c r="AG92" i="44"/>
  <c r="AG91" i="44"/>
  <c r="AG90" i="44"/>
  <c r="AG89" i="44"/>
  <c r="AG88" i="44"/>
  <c r="AF87" i="44"/>
  <c r="AE87" i="44"/>
  <c r="AD87" i="44"/>
  <c r="AC87" i="44"/>
  <c r="AB87" i="44"/>
  <c r="AA87" i="44"/>
  <c r="Z87" i="44"/>
  <c r="Y87" i="44"/>
  <c r="X87" i="44"/>
  <c r="W87" i="44"/>
  <c r="V87" i="44"/>
  <c r="U87" i="44"/>
  <c r="T87" i="44"/>
  <c r="S87" i="44"/>
  <c r="R87" i="44"/>
  <c r="Q87" i="44"/>
  <c r="P87" i="44"/>
  <c r="O87" i="44"/>
  <c r="N87" i="44"/>
  <c r="M87" i="44"/>
  <c r="L87" i="44"/>
  <c r="K87" i="44"/>
  <c r="J87" i="44"/>
  <c r="I87" i="44"/>
  <c r="H87" i="44"/>
  <c r="G87" i="44"/>
  <c r="F87" i="44"/>
  <c r="E87" i="44"/>
  <c r="D87" i="44"/>
  <c r="C87" i="44"/>
  <c r="B87" i="44"/>
  <c r="AG86" i="44"/>
  <c r="AG85" i="44"/>
  <c r="AF84" i="44"/>
  <c r="AE84" i="44"/>
  <c r="AD84" i="44"/>
  <c r="AC84" i="44"/>
  <c r="AB84" i="44"/>
  <c r="AA84" i="44"/>
  <c r="Z84" i="44"/>
  <c r="Y84" i="44"/>
  <c r="X84" i="44"/>
  <c r="W84" i="44"/>
  <c r="V84" i="44"/>
  <c r="U84" i="44"/>
  <c r="T84" i="44"/>
  <c r="S84" i="44"/>
  <c r="R84" i="44"/>
  <c r="Q84" i="44"/>
  <c r="P84" i="44"/>
  <c r="O84" i="44"/>
  <c r="N84" i="44"/>
  <c r="M84" i="44"/>
  <c r="L84" i="44"/>
  <c r="K84" i="44"/>
  <c r="J84" i="44"/>
  <c r="I84" i="44"/>
  <c r="H84" i="44"/>
  <c r="G84" i="44"/>
  <c r="F84" i="44"/>
  <c r="E84" i="44"/>
  <c r="D84" i="44"/>
  <c r="C84" i="44"/>
  <c r="B84" i="44"/>
  <c r="AC83" i="44"/>
  <c r="AC81" i="44" s="1"/>
  <c r="AB83" i="44"/>
  <c r="AB81" i="44" s="1"/>
  <c r="X83" i="44"/>
  <c r="X81" i="44" s="1"/>
  <c r="AF82" i="44"/>
  <c r="AE82" i="44"/>
  <c r="AD82" i="44"/>
  <c r="AD83" i="44" s="1"/>
  <c r="AD81" i="44" s="1"/>
  <c r="AC82" i="44"/>
  <c r="AB82" i="44"/>
  <c r="AA82" i="44"/>
  <c r="AA83" i="44" s="1"/>
  <c r="Z82" i="44"/>
  <c r="Z83" i="44" s="1"/>
  <c r="Z81" i="44" s="1"/>
  <c r="Y82" i="44"/>
  <c r="Y83" i="44" s="1"/>
  <c r="X82" i="44"/>
  <c r="W82" i="44"/>
  <c r="W83" i="44" s="1"/>
  <c r="V82" i="44"/>
  <c r="U82" i="44"/>
  <c r="U83" i="44" s="1"/>
  <c r="U81" i="44" s="1"/>
  <c r="T82" i="44"/>
  <c r="S82" i="44"/>
  <c r="R82" i="44"/>
  <c r="R83" i="44" s="1"/>
  <c r="R81" i="44" s="1"/>
  <c r="Q82" i="44"/>
  <c r="Q83" i="44" s="1"/>
  <c r="Q81" i="44" s="1"/>
  <c r="P82" i="44"/>
  <c r="O82" i="44"/>
  <c r="O83" i="44" s="1"/>
  <c r="N82" i="44"/>
  <c r="N83" i="44" s="1"/>
  <c r="N81" i="44" s="1"/>
  <c r="M82" i="44"/>
  <c r="M83" i="44" s="1"/>
  <c r="L82" i="44"/>
  <c r="L83" i="44" s="1"/>
  <c r="L81" i="44" s="1"/>
  <c r="K82" i="44"/>
  <c r="K83" i="44" s="1"/>
  <c r="J82" i="44"/>
  <c r="I82" i="44"/>
  <c r="I83" i="44" s="1"/>
  <c r="I81" i="44" s="1"/>
  <c r="H82" i="44"/>
  <c r="G82" i="44"/>
  <c r="F82" i="44"/>
  <c r="F83" i="44" s="1"/>
  <c r="F81" i="44" s="1"/>
  <c r="E82" i="44"/>
  <c r="E83" i="44" s="1"/>
  <c r="D82" i="44"/>
  <c r="D83" i="44" s="1"/>
  <c r="C82" i="44"/>
  <c r="C83" i="44" s="1"/>
  <c r="B82" i="44"/>
  <c r="B83" i="44" s="1"/>
  <c r="AG80" i="44"/>
  <c r="AF79" i="44"/>
  <c r="AF78" i="44" s="1"/>
  <c r="AE79" i="44"/>
  <c r="AE78" i="44" s="1"/>
  <c r="AD79" i="44"/>
  <c r="AD78" i="44" s="1"/>
  <c r="AC79" i="44"/>
  <c r="AC78" i="44" s="1"/>
  <c r="AB79" i="44"/>
  <c r="AB78" i="44" s="1"/>
  <c r="AA79" i="44"/>
  <c r="AA78" i="44" s="1"/>
  <c r="Z79" i="44"/>
  <c r="Z78" i="44" s="1"/>
  <c r="Y79" i="44"/>
  <c r="Y78" i="44" s="1"/>
  <c r="X79" i="44"/>
  <c r="X78" i="44" s="1"/>
  <c r="W79" i="44"/>
  <c r="W78" i="44" s="1"/>
  <c r="V79" i="44"/>
  <c r="V78" i="44" s="1"/>
  <c r="U79" i="44"/>
  <c r="U78" i="44" s="1"/>
  <c r="T79" i="44"/>
  <c r="T78" i="44" s="1"/>
  <c r="S79" i="44"/>
  <c r="S78" i="44" s="1"/>
  <c r="R79" i="44"/>
  <c r="R78" i="44" s="1"/>
  <c r="Q79" i="44"/>
  <c r="Q78" i="44" s="1"/>
  <c r="P79" i="44"/>
  <c r="P78" i="44" s="1"/>
  <c r="O79" i="44"/>
  <c r="O78" i="44" s="1"/>
  <c r="N79" i="44"/>
  <c r="N78" i="44" s="1"/>
  <c r="M79" i="44"/>
  <c r="M78" i="44" s="1"/>
  <c r="L79" i="44"/>
  <c r="L78" i="44" s="1"/>
  <c r="K79" i="44"/>
  <c r="K78" i="44" s="1"/>
  <c r="J79" i="44"/>
  <c r="J78" i="44" s="1"/>
  <c r="I79" i="44"/>
  <c r="I78" i="44" s="1"/>
  <c r="H79" i="44"/>
  <c r="H78" i="44" s="1"/>
  <c r="G79" i="44"/>
  <c r="G78" i="44" s="1"/>
  <c r="F79" i="44"/>
  <c r="F78" i="44" s="1"/>
  <c r="E79" i="44"/>
  <c r="E78" i="44" s="1"/>
  <c r="D79" i="44"/>
  <c r="D78" i="44" s="1"/>
  <c r="C79" i="44"/>
  <c r="C78" i="44" s="1"/>
  <c r="B79" i="44"/>
  <c r="B78" i="44" s="1"/>
  <c r="AG77" i="44"/>
  <c r="AG76" i="44"/>
  <c r="AG75" i="44"/>
  <c r="AG74" i="44"/>
  <c r="AG73" i="44"/>
  <c r="AG72" i="44"/>
  <c r="AG71" i="44"/>
  <c r="AG70" i="44"/>
  <c r="AG69" i="44"/>
  <c r="AG68" i="44"/>
  <c r="AG67" i="44"/>
  <c r="AG66" i="44"/>
  <c r="AG65" i="44"/>
  <c r="AG64" i="44"/>
  <c r="AG63" i="44"/>
  <c r="AG62" i="44"/>
  <c r="AG61" i="44"/>
  <c r="AG60" i="44"/>
  <c r="AG59" i="44"/>
  <c r="AG58" i="44"/>
  <c r="AG57" i="44"/>
  <c r="AG56" i="44"/>
  <c r="AG55" i="44"/>
  <c r="AG54" i="44"/>
  <c r="AF53" i="44"/>
  <c r="AF134" i="44" s="1"/>
  <c r="AE53" i="44"/>
  <c r="AE134" i="44" s="1"/>
  <c r="AD53" i="44"/>
  <c r="AD134" i="44" s="1"/>
  <c r="AC53" i="44"/>
  <c r="AC134" i="44" s="1"/>
  <c r="AB53" i="44"/>
  <c r="AB134" i="44" s="1"/>
  <c r="AA53" i="44"/>
  <c r="AA134" i="44" s="1"/>
  <c r="Z53" i="44"/>
  <c r="Z134" i="44" s="1"/>
  <c r="Y53" i="44"/>
  <c r="Y134" i="44" s="1"/>
  <c r="X53" i="44"/>
  <c r="X134" i="44" s="1"/>
  <c r="W53" i="44"/>
  <c r="W134" i="44" s="1"/>
  <c r="V53" i="44"/>
  <c r="V134" i="44" s="1"/>
  <c r="U53" i="44"/>
  <c r="U134" i="44" s="1"/>
  <c r="T53" i="44"/>
  <c r="T134" i="44" s="1"/>
  <c r="S53" i="44"/>
  <c r="S134" i="44" s="1"/>
  <c r="R53" i="44"/>
  <c r="R134" i="44" s="1"/>
  <c r="Q53" i="44"/>
  <c r="Q134" i="44" s="1"/>
  <c r="P53" i="44"/>
  <c r="P134" i="44" s="1"/>
  <c r="O53" i="44"/>
  <c r="O134" i="44" s="1"/>
  <c r="N53" i="44"/>
  <c r="N134" i="44" s="1"/>
  <c r="M53" i="44"/>
  <c r="M134" i="44" s="1"/>
  <c r="L53" i="44"/>
  <c r="L134" i="44" s="1"/>
  <c r="K53" i="44"/>
  <c r="K134" i="44" s="1"/>
  <c r="J53" i="44"/>
  <c r="J134" i="44" s="1"/>
  <c r="I53" i="44"/>
  <c r="I134" i="44" s="1"/>
  <c r="H53" i="44"/>
  <c r="H134" i="44" s="1"/>
  <c r="G53" i="44"/>
  <c r="G134" i="44" s="1"/>
  <c r="F53" i="44"/>
  <c r="F134" i="44" s="1"/>
  <c r="E53" i="44"/>
  <c r="E134" i="44" s="1"/>
  <c r="D53" i="44"/>
  <c r="D134" i="44" s="1"/>
  <c r="C53" i="44"/>
  <c r="C134" i="44" s="1"/>
  <c r="B53" i="44"/>
  <c r="AG52" i="44"/>
  <c r="AG51" i="44"/>
  <c r="AG50" i="44"/>
  <c r="AG49" i="44"/>
  <c r="AG48" i="44"/>
  <c r="AG47" i="44"/>
  <c r="AG46" i="44"/>
  <c r="AG45" i="44"/>
  <c r="AG44" i="44"/>
  <c r="AG43" i="44"/>
  <c r="AG42" i="44"/>
  <c r="AG41" i="44"/>
  <c r="AG40" i="44"/>
  <c r="AG39" i="44"/>
  <c r="AG38" i="44"/>
  <c r="AG37" i="44"/>
  <c r="AG36" i="44"/>
  <c r="AG35" i="44"/>
  <c r="AG34" i="44"/>
  <c r="AG33" i="44"/>
  <c r="AG32" i="44"/>
  <c r="AG31" i="44"/>
  <c r="AG30" i="44"/>
  <c r="AG29" i="44"/>
  <c r="AF28" i="44"/>
  <c r="AF133" i="44" s="1"/>
  <c r="AE28" i="44"/>
  <c r="AE133" i="44" s="1"/>
  <c r="AD28" i="44"/>
  <c r="AD133" i="44" s="1"/>
  <c r="AC28" i="44"/>
  <c r="AC133" i="44" s="1"/>
  <c r="AB28" i="44"/>
  <c r="AB133" i="44" s="1"/>
  <c r="AA28" i="44"/>
  <c r="AA133" i="44" s="1"/>
  <c r="Z28" i="44"/>
  <c r="Z133" i="44" s="1"/>
  <c r="Y28" i="44"/>
  <c r="Y133" i="44" s="1"/>
  <c r="X28" i="44"/>
  <c r="X133" i="44" s="1"/>
  <c r="W28" i="44"/>
  <c r="W133" i="44" s="1"/>
  <c r="V28" i="44"/>
  <c r="V133" i="44" s="1"/>
  <c r="U28" i="44"/>
  <c r="U133" i="44" s="1"/>
  <c r="T28" i="44"/>
  <c r="T133" i="44" s="1"/>
  <c r="S28" i="44"/>
  <c r="S133" i="44" s="1"/>
  <c r="R28" i="44"/>
  <c r="R133" i="44" s="1"/>
  <c r="Q28" i="44"/>
  <c r="Q133" i="44" s="1"/>
  <c r="P28" i="44"/>
  <c r="P133" i="44" s="1"/>
  <c r="O28" i="44"/>
  <c r="O133" i="44" s="1"/>
  <c r="N28" i="44"/>
  <c r="N133" i="44" s="1"/>
  <c r="M28" i="44"/>
  <c r="M133" i="44" s="1"/>
  <c r="L28" i="44"/>
  <c r="L133" i="44" s="1"/>
  <c r="K28" i="44"/>
  <c r="K133" i="44" s="1"/>
  <c r="J28" i="44"/>
  <c r="J133" i="44" s="1"/>
  <c r="I28" i="44"/>
  <c r="I133" i="44" s="1"/>
  <c r="H28" i="44"/>
  <c r="H133" i="44" s="1"/>
  <c r="G28" i="44"/>
  <c r="G133" i="44" s="1"/>
  <c r="F28" i="44"/>
  <c r="F133" i="44" s="1"/>
  <c r="E28" i="44"/>
  <c r="E133" i="44" s="1"/>
  <c r="D28" i="44"/>
  <c r="D133" i="44" s="1"/>
  <c r="C28" i="44"/>
  <c r="C133" i="44" s="1"/>
  <c r="B28" i="44"/>
  <c r="B133" i="44" s="1"/>
  <c r="AG27" i="44"/>
  <c r="AG26" i="44"/>
  <c r="AG25" i="44"/>
  <c r="AG24" i="44"/>
  <c r="AG23" i="44"/>
  <c r="AG22" i="44"/>
  <c r="AG21" i="44"/>
  <c r="AG20" i="44"/>
  <c r="AG19" i="44"/>
  <c r="AG18" i="44"/>
  <c r="AG17" i="44"/>
  <c r="AG16" i="44"/>
  <c r="AG15" i="44"/>
  <c r="AG14" i="44"/>
  <c r="AG13" i="44"/>
  <c r="AG12" i="44"/>
  <c r="AG11" i="44"/>
  <c r="AG10" i="44"/>
  <c r="AG9" i="44"/>
  <c r="AG8" i="44"/>
  <c r="AG7" i="44"/>
  <c r="AG6" i="44"/>
  <c r="AG5" i="44"/>
  <c r="AG4" i="44"/>
  <c r="AF3" i="44"/>
  <c r="AE3" i="44"/>
  <c r="AD3" i="44"/>
  <c r="AC3" i="44"/>
  <c r="AB3" i="44"/>
  <c r="AA3" i="44"/>
  <c r="Z3" i="44"/>
  <c r="Y3" i="44"/>
  <c r="X3" i="44"/>
  <c r="W3" i="44"/>
  <c r="V3" i="44"/>
  <c r="U3" i="44"/>
  <c r="T3" i="44"/>
  <c r="S3" i="44"/>
  <c r="R3" i="44"/>
  <c r="Q3" i="44"/>
  <c r="P3" i="44"/>
  <c r="O3" i="44"/>
  <c r="N3" i="44"/>
  <c r="M3" i="44"/>
  <c r="L3" i="44"/>
  <c r="K3" i="44"/>
  <c r="J3" i="44"/>
  <c r="I3" i="44"/>
  <c r="H3" i="44"/>
  <c r="G3" i="44"/>
  <c r="F3" i="44"/>
  <c r="E3" i="44"/>
  <c r="D3" i="44"/>
  <c r="C3" i="44"/>
  <c r="B3" i="44"/>
  <c r="D2" i="44"/>
  <c r="E2" i="44" s="1"/>
  <c r="F2" i="44" s="1"/>
  <c r="G2" i="44" s="1"/>
  <c r="H2" i="44" s="1"/>
  <c r="I2" i="44" s="1"/>
  <c r="J2" i="44" s="1"/>
  <c r="K2" i="44" s="1"/>
  <c r="L2" i="44" s="1"/>
  <c r="M2" i="44" s="1"/>
  <c r="N2" i="44" s="1"/>
  <c r="O2" i="44" s="1"/>
  <c r="P2" i="44" s="1"/>
  <c r="Q2" i="44" s="1"/>
  <c r="R2" i="44" s="1"/>
  <c r="S2" i="44" s="1"/>
  <c r="T2" i="44" s="1"/>
  <c r="U2" i="44" s="1"/>
  <c r="V2" i="44" s="1"/>
  <c r="W2" i="44" s="1"/>
  <c r="X2" i="44" s="1"/>
  <c r="Y2" i="44" s="1"/>
  <c r="Z2" i="44" s="1"/>
  <c r="AA2" i="44" s="1"/>
  <c r="AB2" i="44" s="1"/>
  <c r="AC2" i="44" s="1"/>
  <c r="AD2" i="44" s="1"/>
  <c r="AE2" i="44" s="1"/>
  <c r="AF2" i="44" s="1"/>
  <c r="C2" i="44"/>
  <c r="AG180" i="43"/>
  <c r="AG179" i="43"/>
  <c r="AG178" i="43"/>
  <c r="AF177" i="43"/>
  <c r="AE177" i="43"/>
  <c r="AD177" i="43"/>
  <c r="AC177" i="43"/>
  <c r="AB177" i="43"/>
  <c r="AA177" i="43"/>
  <c r="Z177" i="43"/>
  <c r="Y177" i="43"/>
  <c r="X177" i="43"/>
  <c r="W177" i="43"/>
  <c r="V177" i="43"/>
  <c r="U177" i="43"/>
  <c r="T177" i="43"/>
  <c r="S177" i="43"/>
  <c r="R177" i="43"/>
  <c r="Q177" i="43"/>
  <c r="P177" i="43"/>
  <c r="O177" i="43"/>
  <c r="N177" i="43"/>
  <c r="M177" i="43"/>
  <c r="L177" i="43"/>
  <c r="K177" i="43"/>
  <c r="J177" i="43"/>
  <c r="I177" i="43"/>
  <c r="H177" i="43"/>
  <c r="G177" i="43"/>
  <c r="F177" i="43"/>
  <c r="E177" i="43"/>
  <c r="AG177" i="43" s="1"/>
  <c r="D177" i="43"/>
  <c r="C177" i="43"/>
  <c r="B177" i="43"/>
  <c r="AG176" i="43"/>
  <c r="AG175" i="43"/>
  <c r="AG174" i="43"/>
  <c r="AG173" i="43"/>
  <c r="AG172" i="43"/>
  <c r="AF171" i="43"/>
  <c r="AE171" i="43"/>
  <c r="AD171" i="43"/>
  <c r="AC171" i="43"/>
  <c r="AB171" i="43"/>
  <c r="AA171" i="43"/>
  <c r="Z171" i="43"/>
  <c r="Y171" i="43"/>
  <c r="X171" i="43"/>
  <c r="W171" i="43"/>
  <c r="V171" i="43"/>
  <c r="U171" i="43"/>
  <c r="T171" i="43"/>
  <c r="S171" i="43"/>
  <c r="R171" i="43"/>
  <c r="Q171" i="43"/>
  <c r="P171" i="43"/>
  <c r="O171" i="43"/>
  <c r="N171" i="43"/>
  <c r="M171" i="43"/>
  <c r="L171" i="43"/>
  <c r="K171" i="43"/>
  <c r="J171" i="43"/>
  <c r="I171" i="43"/>
  <c r="H171" i="43"/>
  <c r="G171" i="43"/>
  <c r="F171" i="43"/>
  <c r="E171" i="43"/>
  <c r="D171" i="43"/>
  <c r="C171" i="43"/>
  <c r="B171" i="43"/>
  <c r="AG170" i="43"/>
  <c r="AG169" i="43"/>
  <c r="AG168" i="43"/>
  <c r="AG167" i="43"/>
  <c r="AG166" i="43"/>
  <c r="AG165" i="43"/>
  <c r="AG164" i="43"/>
  <c r="AG163" i="43"/>
  <c r="AG162" i="43"/>
  <c r="AG161" i="43"/>
  <c r="AG160" i="43"/>
  <c r="AG159" i="43"/>
  <c r="AG158" i="43"/>
  <c r="AG157" i="43"/>
  <c r="AG156" i="43"/>
  <c r="AG155" i="43"/>
  <c r="AG154" i="43"/>
  <c r="AG153" i="43"/>
  <c r="AG152" i="43"/>
  <c r="AG151" i="43"/>
  <c r="AG150" i="43"/>
  <c r="AG149" i="43"/>
  <c r="AG148" i="43"/>
  <c r="AG147" i="43"/>
  <c r="AG146" i="43"/>
  <c r="AG145" i="43"/>
  <c r="AF144" i="43"/>
  <c r="AE144" i="43"/>
  <c r="AD144" i="43"/>
  <c r="AC144" i="43"/>
  <c r="AB144" i="43"/>
  <c r="AA144" i="43"/>
  <c r="Z144" i="43"/>
  <c r="Y144" i="43"/>
  <c r="X144" i="43"/>
  <c r="W144" i="43"/>
  <c r="V144" i="43"/>
  <c r="U144" i="43"/>
  <c r="T144" i="43"/>
  <c r="S144" i="43"/>
  <c r="R144" i="43"/>
  <c r="Q144" i="43"/>
  <c r="P144" i="43"/>
  <c r="O144" i="43"/>
  <c r="N144" i="43"/>
  <c r="M144" i="43"/>
  <c r="L144" i="43"/>
  <c r="K144" i="43"/>
  <c r="J144" i="43"/>
  <c r="I144" i="43"/>
  <c r="H144" i="43"/>
  <c r="G144" i="43"/>
  <c r="F144" i="43"/>
  <c r="E144" i="43"/>
  <c r="D144" i="43"/>
  <c r="C144" i="43"/>
  <c r="B144" i="43"/>
  <c r="AG143" i="43"/>
  <c r="AG142" i="43"/>
  <c r="AG141" i="43"/>
  <c r="AG140" i="43"/>
  <c r="AF139" i="43"/>
  <c r="AE139" i="43"/>
  <c r="AD139" i="43"/>
  <c r="AC139" i="43"/>
  <c r="AB139" i="43"/>
  <c r="AA139" i="43"/>
  <c r="Z139" i="43"/>
  <c r="Y139" i="43"/>
  <c r="X139" i="43"/>
  <c r="W139" i="43"/>
  <c r="V139" i="43"/>
  <c r="U139" i="43"/>
  <c r="T139" i="43"/>
  <c r="S139" i="43"/>
  <c r="R139" i="43"/>
  <c r="Q139" i="43"/>
  <c r="P139" i="43"/>
  <c r="O139" i="43"/>
  <c r="N139" i="43"/>
  <c r="M139" i="43"/>
  <c r="L139" i="43"/>
  <c r="K139" i="43"/>
  <c r="J139" i="43"/>
  <c r="I139" i="43"/>
  <c r="H139" i="43"/>
  <c r="G139" i="43"/>
  <c r="F139" i="43"/>
  <c r="E139" i="43"/>
  <c r="D139" i="43"/>
  <c r="C139" i="43"/>
  <c r="B139" i="43"/>
  <c r="AG138" i="43"/>
  <c r="AG137" i="43"/>
  <c r="AG136" i="43"/>
  <c r="AF135" i="43"/>
  <c r="AE135" i="43"/>
  <c r="AD135" i="43"/>
  <c r="AC135" i="43"/>
  <c r="AB135" i="43"/>
  <c r="AA135" i="43"/>
  <c r="Z135" i="43"/>
  <c r="Y135" i="43"/>
  <c r="X135" i="43"/>
  <c r="W135" i="43"/>
  <c r="V135" i="43"/>
  <c r="U135" i="43"/>
  <c r="T135" i="43"/>
  <c r="S135" i="43"/>
  <c r="R135" i="43"/>
  <c r="Q135" i="43"/>
  <c r="P135" i="43"/>
  <c r="O135" i="43"/>
  <c r="N135" i="43"/>
  <c r="M135" i="43"/>
  <c r="L135" i="43"/>
  <c r="K135" i="43"/>
  <c r="J135" i="43"/>
  <c r="I135" i="43"/>
  <c r="H135" i="43"/>
  <c r="G135" i="43"/>
  <c r="F135" i="43"/>
  <c r="E135" i="43"/>
  <c r="D135" i="43"/>
  <c r="C135" i="43"/>
  <c r="B135" i="43"/>
  <c r="I133" i="43"/>
  <c r="AG132" i="43"/>
  <c r="AG131" i="43"/>
  <c r="AG130" i="43"/>
  <c r="AG129" i="43"/>
  <c r="AG128" i="43"/>
  <c r="AG127" i="43"/>
  <c r="AG126" i="43"/>
  <c r="AG125" i="43"/>
  <c r="AG124" i="43"/>
  <c r="AG123" i="43"/>
  <c r="AG122" i="43"/>
  <c r="AG121" i="43"/>
  <c r="AG120" i="43"/>
  <c r="AF119" i="43"/>
  <c r="AE119" i="43"/>
  <c r="AD119" i="43"/>
  <c r="AC119" i="43"/>
  <c r="AB119" i="43"/>
  <c r="AA119" i="43"/>
  <c r="Z119" i="43"/>
  <c r="Y119" i="43"/>
  <c r="X119" i="43"/>
  <c r="W119" i="43"/>
  <c r="V119" i="43"/>
  <c r="U119" i="43"/>
  <c r="T119" i="43"/>
  <c r="S119" i="43"/>
  <c r="R119" i="43"/>
  <c r="Q119" i="43"/>
  <c r="P119" i="43"/>
  <c r="O119" i="43"/>
  <c r="N119" i="43"/>
  <c r="M119" i="43"/>
  <c r="L119" i="43"/>
  <c r="K119" i="43"/>
  <c r="J119" i="43"/>
  <c r="I119" i="43"/>
  <c r="H119" i="43"/>
  <c r="G119" i="43"/>
  <c r="F119" i="43"/>
  <c r="E119" i="43"/>
  <c r="D119" i="43"/>
  <c r="C119" i="43"/>
  <c r="B119" i="43"/>
  <c r="AG118" i="43"/>
  <c r="AG117" i="43"/>
  <c r="AF116" i="43"/>
  <c r="AE116" i="43"/>
  <c r="AD116" i="43"/>
  <c r="AC116" i="43"/>
  <c r="AB116" i="43"/>
  <c r="AA116" i="43"/>
  <c r="Z116" i="43"/>
  <c r="Y116" i="43"/>
  <c r="X116" i="43"/>
  <c r="W116" i="43"/>
  <c r="V116" i="43"/>
  <c r="U116" i="43"/>
  <c r="T116" i="43"/>
  <c r="S116" i="43"/>
  <c r="R116" i="43"/>
  <c r="Q116" i="43"/>
  <c r="P116" i="43"/>
  <c r="O116" i="43"/>
  <c r="N116" i="43"/>
  <c r="M116" i="43"/>
  <c r="L116" i="43"/>
  <c r="K116" i="43"/>
  <c r="J116" i="43"/>
  <c r="I116" i="43"/>
  <c r="H116" i="43"/>
  <c r="G116" i="43"/>
  <c r="F116" i="43"/>
  <c r="E116" i="43"/>
  <c r="D116" i="43"/>
  <c r="C116" i="43"/>
  <c r="B116" i="43"/>
  <c r="AG115" i="43"/>
  <c r="AG114" i="43"/>
  <c r="AG113" i="43"/>
  <c r="AG112" i="43"/>
  <c r="AG111" i="43"/>
  <c r="AG110" i="43"/>
  <c r="AG109" i="43"/>
  <c r="AG108" i="43"/>
  <c r="AG107" i="43"/>
  <c r="AG106" i="43"/>
  <c r="AG105" i="43"/>
  <c r="AG104" i="43"/>
  <c r="AG103" i="43"/>
  <c r="AG102" i="43"/>
  <c r="AG101" i="43"/>
  <c r="AF100" i="43"/>
  <c r="AE100" i="43"/>
  <c r="AD100" i="43"/>
  <c r="AC100" i="43"/>
  <c r="AB100" i="43"/>
  <c r="AA100" i="43"/>
  <c r="Z100" i="43"/>
  <c r="Y100" i="43"/>
  <c r="X100" i="43"/>
  <c r="W100" i="43"/>
  <c r="V100" i="43"/>
  <c r="U100" i="43"/>
  <c r="T100" i="43"/>
  <c r="S100" i="43"/>
  <c r="R100" i="43"/>
  <c r="Q100" i="43"/>
  <c r="P100" i="43"/>
  <c r="O100" i="43"/>
  <c r="N100" i="43"/>
  <c r="M100" i="43"/>
  <c r="L100" i="43"/>
  <c r="K100" i="43"/>
  <c r="J100" i="43"/>
  <c r="I100" i="43"/>
  <c r="H100" i="43"/>
  <c r="G100" i="43"/>
  <c r="F100" i="43"/>
  <c r="E100" i="43"/>
  <c r="D100" i="43"/>
  <c r="C100" i="43"/>
  <c r="B100" i="43"/>
  <c r="AG99" i="43"/>
  <c r="AG98" i="43"/>
  <c r="AG97" i="43"/>
  <c r="AG96" i="43"/>
  <c r="AG95" i="43"/>
  <c r="AF94" i="43"/>
  <c r="AE94" i="43"/>
  <c r="AE93" i="43" s="1"/>
  <c r="AD94" i="43"/>
  <c r="AD93" i="43" s="1"/>
  <c r="AC94" i="43"/>
  <c r="AC93" i="43" s="1"/>
  <c r="AB94" i="43"/>
  <c r="AB93" i="43" s="1"/>
  <c r="AA94" i="43"/>
  <c r="AA93" i="43" s="1"/>
  <c r="Z94" i="43"/>
  <c r="Y94" i="43"/>
  <c r="Y93" i="43" s="1"/>
  <c r="X94" i="43"/>
  <c r="X93" i="43" s="1"/>
  <c r="W94" i="43"/>
  <c r="V94" i="43"/>
  <c r="U94" i="43"/>
  <c r="T94" i="43"/>
  <c r="S94" i="43"/>
  <c r="S93" i="43" s="1"/>
  <c r="R94" i="43"/>
  <c r="R93" i="43" s="1"/>
  <c r="Q94" i="43"/>
  <c r="Q93" i="43" s="1"/>
  <c r="P94" i="43"/>
  <c r="P93" i="43" s="1"/>
  <c r="O94" i="43"/>
  <c r="N94" i="43"/>
  <c r="N93" i="43" s="1"/>
  <c r="M94" i="43"/>
  <c r="M93" i="43" s="1"/>
  <c r="L94" i="43"/>
  <c r="L93" i="43" s="1"/>
  <c r="K94" i="43"/>
  <c r="J94" i="43"/>
  <c r="J93" i="43" s="1"/>
  <c r="I94" i="43"/>
  <c r="I93" i="43" s="1"/>
  <c r="H94" i="43"/>
  <c r="G94" i="43"/>
  <c r="G93" i="43" s="1"/>
  <c r="F94" i="43"/>
  <c r="E94" i="43"/>
  <c r="D94" i="43"/>
  <c r="D93" i="43" s="1"/>
  <c r="C94" i="43"/>
  <c r="C93" i="43" s="1"/>
  <c r="B94" i="43"/>
  <c r="Z93" i="43"/>
  <c r="V93" i="43"/>
  <c r="U93" i="43"/>
  <c r="AG92" i="43"/>
  <c r="AG91" i="43"/>
  <c r="AG90" i="43"/>
  <c r="AG89" i="43"/>
  <c r="AG88" i="43"/>
  <c r="AF87" i="43"/>
  <c r="AE87" i="43"/>
  <c r="AD87" i="43"/>
  <c r="AC87" i="43"/>
  <c r="AB87" i="43"/>
  <c r="AA87" i="43"/>
  <c r="Z87" i="43"/>
  <c r="Y87" i="43"/>
  <c r="X87" i="43"/>
  <c r="W87" i="43"/>
  <c r="V87" i="43"/>
  <c r="U87" i="43"/>
  <c r="T87" i="43"/>
  <c r="S87" i="43"/>
  <c r="R87" i="43"/>
  <c r="Q87" i="43"/>
  <c r="P87" i="43"/>
  <c r="O87" i="43"/>
  <c r="N87" i="43"/>
  <c r="M87" i="43"/>
  <c r="L87" i="43"/>
  <c r="K87" i="43"/>
  <c r="J87" i="43"/>
  <c r="I87" i="43"/>
  <c r="H87" i="43"/>
  <c r="G87" i="43"/>
  <c r="F87" i="43"/>
  <c r="E87" i="43"/>
  <c r="D87" i="43"/>
  <c r="C87" i="43"/>
  <c r="B87" i="43"/>
  <c r="AG86" i="43"/>
  <c r="AG85" i="43"/>
  <c r="AF84" i="43"/>
  <c r="AE84" i="43"/>
  <c r="AD84" i="43"/>
  <c r="AC84" i="43"/>
  <c r="AB84" i="43"/>
  <c r="AA84" i="43"/>
  <c r="Z84" i="43"/>
  <c r="Y84" i="43"/>
  <c r="X84" i="43"/>
  <c r="W84" i="43"/>
  <c r="V84" i="43"/>
  <c r="U84" i="43"/>
  <c r="T84" i="43"/>
  <c r="S84" i="43"/>
  <c r="R84" i="43"/>
  <c r="Q84" i="43"/>
  <c r="P84" i="43"/>
  <c r="O84" i="43"/>
  <c r="N84" i="43"/>
  <c r="M84" i="43"/>
  <c r="L84" i="43"/>
  <c r="K84" i="43"/>
  <c r="J84" i="43"/>
  <c r="I84" i="43"/>
  <c r="H84" i="43"/>
  <c r="G84" i="43"/>
  <c r="F84" i="43"/>
  <c r="E84" i="43"/>
  <c r="D84" i="43"/>
  <c r="C84" i="43"/>
  <c r="B84" i="43"/>
  <c r="Y83" i="43"/>
  <c r="Y81" i="43" s="1"/>
  <c r="AF82" i="43"/>
  <c r="AE82" i="43"/>
  <c r="AD82" i="43"/>
  <c r="AC82" i="43"/>
  <c r="AC83" i="43" s="1"/>
  <c r="AC81" i="43" s="1"/>
  <c r="AB82" i="43"/>
  <c r="AA82" i="43"/>
  <c r="AA83" i="43" s="1"/>
  <c r="Z82" i="43"/>
  <c r="Z83" i="43" s="1"/>
  <c r="Y82" i="43"/>
  <c r="X82" i="43"/>
  <c r="X83" i="43" s="1"/>
  <c r="X81" i="43" s="1"/>
  <c r="W82" i="43"/>
  <c r="V82" i="43"/>
  <c r="V83" i="43" s="1"/>
  <c r="V81" i="43" s="1"/>
  <c r="U82" i="43"/>
  <c r="U83" i="43" s="1"/>
  <c r="U81" i="43" s="1"/>
  <c r="T82" i="43"/>
  <c r="S82" i="43"/>
  <c r="R82" i="43"/>
  <c r="Q82" i="43"/>
  <c r="Q83" i="43" s="1"/>
  <c r="Q81" i="43" s="1"/>
  <c r="P82" i="43"/>
  <c r="P83" i="43" s="1"/>
  <c r="P81" i="43" s="1"/>
  <c r="O82" i="43"/>
  <c r="O83" i="43" s="1"/>
  <c r="N82" i="43"/>
  <c r="N83" i="43" s="1"/>
  <c r="M82" i="43"/>
  <c r="M83" i="43" s="1"/>
  <c r="L82" i="43"/>
  <c r="L83" i="43" s="1"/>
  <c r="L81" i="43" s="1"/>
  <c r="K82" i="43"/>
  <c r="K83" i="43" s="1"/>
  <c r="J82" i="43"/>
  <c r="J83" i="43" s="1"/>
  <c r="J81" i="43" s="1"/>
  <c r="I82" i="43"/>
  <c r="H82" i="43"/>
  <c r="G82" i="43"/>
  <c r="F82" i="43"/>
  <c r="F83" i="43" s="1"/>
  <c r="E82" i="43"/>
  <c r="E83" i="43" s="1"/>
  <c r="E81" i="43" s="1"/>
  <c r="D82" i="43"/>
  <c r="D83" i="43" s="1"/>
  <c r="D81" i="43" s="1"/>
  <c r="C82" i="43"/>
  <c r="C83" i="43" s="1"/>
  <c r="B82" i="43"/>
  <c r="B83" i="43" s="1"/>
  <c r="AG80" i="43"/>
  <c r="AF79" i="43"/>
  <c r="AF78" i="43" s="1"/>
  <c r="AE79" i="43"/>
  <c r="AE78" i="43" s="1"/>
  <c r="AD79" i="43"/>
  <c r="AD78" i="43" s="1"/>
  <c r="AC79" i="43"/>
  <c r="AC78" i="43" s="1"/>
  <c r="AB79" i="43"/>
  <c r="AB78" i="43" s="1"/>
  <c r="AA79" i="43"/>
  <c r="AA78" i="43" s="1"/>
  <c r="Z79" i="43"/>
  <c r="Z78" i="43" s="1"/>
  <c r="Y79" i="43"/>
  <c r="Y78" i="43" s="1"/>
  <c r="X79" i="43"/>
  <c r="X78" i="43" s="1"/>
  <c r="W79" i="43"/>
  <c r="W78" i="43" s="1"/>
  <c r="V79" i="43"/>
  <c r="V78" i="43" s="1"/>
  <c r="U79" i="43"/>
  <c r="T79" i="43"/>
  <c r="T78" i="43" s="1"/>
  <c r="S79" i="43"/>
  <c r="S78" i="43" s="1"/>
  <c r="R79" i="43"/>
  <c r="R78" i="43" s="1"/>
  <c r="Q79" i="43"/>
  <c r="Q78" i="43" s="1"/>
  <c r="P79" i="43"/>
  <c r="P78" i="43" s="1"/>
  <c r="O79" i="43"/>
  <c r="O78" i="43" s="1"/>
  <c r="N79" i="43"/>
  <c r="N78" i="43" s="1"/>
  <c r="M79" i="43"/>
  <c r="M78" i="43" s="1"/>
  <c r="L79" i="43"/>
  <c r="L78" i="43" s="1"/>
  <c r="K79" i="43"/>
  <c r="K78" i="43" s="1"/>
  <c r="J79" i="43"/>
  <c r="J78" i="43" s="1"/>
  <c r="I79" i="43"/>
  <c r="I78" i="43" s="1"/>
  <c r="H79" i="43"/>
  <c r="H78" i="43" s="1"/>
  <c r="G79" i="43"/>
  <c r="G78" i="43" s="1"/>
  <c r="F79" i="43"/>
  <c r="F78" i="43" s="1"/>
  <c r="E79" i="43"/>
  <c r="E78" i="43" s="1"/>
  <c r="D79" i="43"/>
  <c r="D78" i="43" s="1"/>
  <c r="C79" i="43"/>
  <c r="C78" i="43" s="1"/>
  <c r="B79" i="43"/>
  <c r="B78" i="43" s="1"/>
  <c r="U78" i="43"/>
  <c r="AG77" i="43"/>
  <c r="AG76" i="43"/>
  <c r="AG75" i="43"/>
  <c r="AG74" i="43"/>
  <c r="AG73" i="43"/>
  <c r="AG72" i="43"/>
  <c r="AG71" i="43"/>
  <c r="AG70" i="43"/>
  <c r="AG69" i="43"/>
  <c r="AG68" i="43"/>
  <c r="AG67" i="43"/>
  <c r="AG66" i="43"/>
  <c r="AG65" i="43"/>
  <c r="AG64" i="43"/>
  <c r="AG63" i="43"/>
  <c r="AG62" i="43"/>
  <c r="AG61" i="43"/>
  <c r="AG60" i="43"/>
  <c r="AG59" i="43"/>
  <c r="AG58" i="43"/>
  <c r="AG57" i="43"/>
  <c r="AG56" i="43"/>
  <c r="AG55" i="43"/>
  <c r="AG54" i="43"/>
  <c r="AF53" i="43"/>
  <c r="AF134" i="43" s="1"/>
  <c r="AE53" i="43"/>
  <c r="AE134" i="43" s="1"/>
  <c r="AD53" i="43"/>
  <c r="AD134" i="43" s="1"/>
  <c r="AC53" i="43"/>
  <c r="AC134" i="43" s="1"/>
  <c r="AB53" i="43"/>
  <c r="AB134" i="43" s="1"/>
  <c r="AA53" i="43"/>
  <c r="AA134" i="43" s="1"/>
  <c r="Z53" i="43"/>
  <c r="Z134" i="43" s="1"/>
  <c r="Y53" i="43"/>
  <c r="Y134" i="43" s="1"/>
  <c r="X53" i="43"/>
  <c r="X134" i="43" s="1"/>
  <c r="W53" i="43"/>
  <c r="W134" i="43" s="1"/>
  <c r="V53" i="43"/>
  <c r="V134" i="43" s="1"/>
  <c r="U53" i="43"/>
  <c r="U134" i="43" s="1"/>
  <c r="T53" i="43"/>
  <c r="T134" i="43" s="1"/>
  <c r="S53" i="43"/>
  <c r="S134" i="43" s="1"/>
  <c r="R53" i="43"/>
  <c r="R134" i="43" s="1"/>
  <c r="Q53" i="43"/>
  <c r="Q134" i="43" s="1"/>
  <c r="P53" i="43"/>
  <c r="P134" i="43" s="1"/>
  <c r="O53" i="43"/>
  <c r="O134" i="43" s="1"/>
  <c r="N53" i="43"/>
  <c r="N134" i="43" s="1"/>
  <c r="M53" i="43"/>
  <c r="M134" i="43" s="1"/>
  <c r="L53" i="43"/>
  <c r="L134" i="43" s="1"/>
  <c r="K53" i="43"/>
  <c r="K134" i="43" s="1"/>
  <c r="J53" i="43"/>
  <c r="J134" i="43" s="1"/>
  <c r="I53" i="43"/>
  <c r="I134" i="43" s="1"/>
  <c r="H53" i="43"/>
  <c r="H134" i="43" s="1"/>
  <c r="G53" i="43"/>
  <c r="G134" i="43" s="1"/>
  <c r="F53" i="43"/>
  <c r="F134" i="43" s="1"/>
  <c r="E53" i="43"/>
  <c r="E134" i="43" s="1"/>
  <c r="D53" i="43"/>
  <c r="D134" i="43" s="1"/>
  <c r="C53" i="43"/>
  <c r="C134" i="43" s="1"/>
  <c r="B53" i="43"/>
  <c r="B134" i="43" s="1"/>
  <c r="AG52" i="43"/>
  <c r="AG51" i="43"/>
  <c r="AG50" i="43"/>
  <c r="AG49" i="43"/>
  <c r="AG48" i="43"/>
  <c r="AG47" i="43"/>
  <c r="AG46" i="43"/>
  <c r="AG45" i="43"/>
  <c r="AG44" i="43"/>
  <c r="AG43" i="43"/>
  <c r="AG42" i="43"/>
  <c r="AG41" i="43"/>
  <c r="AG40" i="43"/>
  <c r="AG39" i="43"/>
  <c r="AG38" i="43"/>
  <c r="AG37" i="43"/>
  <c r="AG36" i="43"/>
  <c r="AG35" i="43"/>
  <c r="AG34" i="43"/>
  <c r="AG33" i="43"/>
  <c r="AG32" i="43"/>
  <c r="AG31" i="43"/>
  <c r="AG30" i="43"/>
  <c r="AG29" i="43"/>
  <c r="AF28" i="43"/>
  <c r="AF133" i="43" s="1"/>
  <c r="AE28" i="43"/>
  <c r="AE133" i="43" s="1"/>
  <c r="AD28" i="43"/>
  <c r="AD133" i="43" s="1"/>
  <c r="AC28" i="43"/>
  <c r="AC133" i="43" s="1"/>
  <c r="AB28" i="43"/>
  <c r="AB133" i="43" s="1"/>
  <c r="AA28" i="43"/>
  <c r="AA133" i="43" s="1"/>
  <c r="Z28" i="43"/>
  <c r="Z133" i="43" s="1"/>
  <c r="Y28" i="43"/>
  <c r="Y133" i="43" s="1"/>
  <c r="X28" i="43"/>
  <c r="X133" i="43" s="1"/>
  <c r="W28" i="43"/>
  <c r="W133" i="43" s="1"/>
  <c r="V28" i="43"/>
  <c r="V133" i="43" s="1"/>
  <c r="U28" i="43"/>
  <c r="U133" i="43" s="1"/>
  <c r="T28" i="43"/>
  <c r="T133" i="43" s="1"/>
  <c r="S28" i="43"/>
  <c r="S133" i="43" s="1"/>
  <c r="R28" i="43"/>
  <c r="R133" i="43" s="1"/>
  <c r="Q28" i="43"/>
  <c r="Q133" i="43" s="1"/>
  <c r="P28" i="43"/>
  <c r="P133" i="43" s="1"/>
  <c r="O28" i="43"/>
  <c r="O133" i="43" s="1"/>
  <c r="N28" i="43"/>
  <c r="N133" i="43" s="1"/>
  <c r="M28" i="43"/>
  <c r="M133" i="43" s="1"/>
  <c r="L28" i="43"/>
  <c r="L133" i="43" s="1"/>
  <c r="K28" i="43"/>
  <c r="K133" i="43" s="1"/>
  <c r="J28" i="43"/>
  <c r="J133" i="43" s="1"/>
  <c r="I28" i="43"/>
  <c r="H28" i="43"/>
  <c r="H133" i="43" s="1"/>
  <c r="G28" i="43"/>
  <c r="G133" i="43" s="1"/>
  <c r="F28" i="43"/>
  <c r="F133" i="43" s="1"/>
  <c r="E28" i="43"/>
  <c r="E133" i="43" s="1"/>
  <c r="D28" i="43"/>
  <c r="D133" i="43" s="1"/>
  <c r="C28" i="43"/>
  <c r="C133" i="43" s="1"/>
  <c r="B28" i="43"/>
  <c r="B133" i="43" s="1"/>
  <c r="AG27" i="43"/>
  <c r="AG26" i="43"/>
  <c r="AG25" i="43"/>
  <c r="AG24" i="43"/>
  <c r="AG23" i="43"/>
  <c r="AG22" i="43"/>
  <c r="AG21" i="43"/>
  <c r="AG20" i="43"/>
  <c r="AG19" i="43"/>
  <c r="AG18" i="43"/>
  <c r="AG17" i="43"/>
  <c r="AG16" i="43"/>
  <c r="AG15" i="43"/>
  <c r="AG14" i="43"/>
  <c r="AG13" i="43"/>
  <c r="AG12" i="43"/>
  <c r="AG11" i="43"/>
  <c r="AG10" i="43"/>
  <c r="AG9" i="43"/>
  <c r="AG8" i="43"/>
  <c r="AG7" i="43"/>
  <c r="AG6" i="43"/>
  <c r="AG5" i="43"/>
  <c r="AG4" i="43"/>
  <c r="AF3" i="43"/>
  <c r="AE3" i="43"/>
  <c r="AD3" i="43"/>
  <c r="AC3" i="43"/>
  <c r="AB3" i="43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/>
  <c r="D3" i="43"/>
  <c r="C3" i="43"/>
  <c r="B3" i="43"/>
  <c r="D2" i="43"/>
  <c r="E2" i="43" s="1"/>
  <c r="F2" i="43" s="1"/>
  <c r="G2" i="43" s="1"/>
  <c r="H2" i="43" s="1"/>
  <c r="I2" i="43" s="1"/>
  <c r="J2" i="43" s="1"/>
  <c r="K2" i="43" s="1"/>
  <c r="L2" i="43" s="1"/>
  <c r="M2" i="43" s="1"/>
  <c r="N2" i="43" s="1"/>
  <c r="O2" i="43" s="1"/>
  <c r="P2" i="43" s="1"/>
  <c r="Q2" i="43" s="1"/>
  <c r="R2" i="43" s="1"/>
  <c r="S2" i="43" s="1"/>
  <c r="T2" i="43" s="1"/>
  <c r="U2" i="43" s="1"/>
  <c r="V2" i="43" s="1"/>
  <c r="W2" i="43" s="1"/>
  <c r="X2" i="43" s="1"/>
  <c r="Y2" i="43" s="1"/>
  <c r="Z2" i="43" s="1"/>
  <c r="AA2" i="43" s="1"/>
  <c r="AB2" i="43" s="1"/>
  <c r="AC2" i="43" s="1"/>
  <c r="AD2" i="43" s="1"/>
  <c r="AE2" i="43" s="1"/>
  <c r="AF2" i="43" s="1"/>
  <c r="C2" i="43"/>
  <c r="AG180" i="42"/>
  <c r="AG179" i="42"/>
  <c r="AG178" i="42"/>
  <c r="AF177" i="42"/>
  <c r="AE177" i="42"/>
  <c r="AD177" i="42"/>
  <c r="AC177" i="42"/>
  <c r="AB177" i="42"/>
  <c r="AA177" i="42"/>
  <c r="Z177" i="42"/>
  <c r="Y177" i="42"/>
  <c r="X177" i="42"/>
  <c r="W177" i="42"/>
  <c r="V177" i="42"/>
  <c r="U177" i="42"/>
  <c r="T177" i="42"/>
  <c r="S177" i="42"/>
  <c r="R177" i="42"/>
  <c r="Q177" i="42"/>
  <c r="P177" i="42"/>
  <c r="O177" i="42"/>
  <c r="N177" i="42"/>
  <c r="M177" i="42"/>
  <c r="L177" i="42"/>
  <c r="K177" i="42"/>
  <c r="J177" i="42"/>
  <c r="I177" i="42"/>
  <c r="H177" i="42"/>
  <c r="G177" i="42"/>
  <c r="F177" i="42"/>
  <c r="AG177" i="42" s="1"/>
  <c r="E177" i="42"/>
  <c r="D177" i="42"/>
  <c r="C177" i="42"/>
  <c r="B177" i="42"/>
  <c r="AG176" i="42"/>
  <c r="AG175" i="42"/>
  <c r="AG174" i="42"/>
  <c r="AG173" i="42"/>
  <c r="AG172" i="42"/>
  <c r="AF171" i="42"/>
  <c r="AE171" i="42"/>
  <c r="AD171" i="42"/>
  <c r="AC171" i="42"/>
  <c r="AB171" i="42"/>
  <c r="AA171" i="42"/>
  <c r="Z171" i="42"/>
  <c r="Y171" i="42"/>
  <c r="X171" i="42"/>
  <c r="W171" i="42"/>
  <c r="V171" i="42"/>
  <c r="U171" i="42"/>
  <c r="T171" i="42"/>
  <c r="S171" i="42"/>
  <c r="R171" i="42"/>
  <c r="Q171" i="42"/>
  <c r="P171" i="42"/>
  <c r="O171" i="42"/>
  <c r="N171" i="42"/>
  <c r="M171" i="42"/>
  <c r="L171" i="42"/>
  <c r="K171" i="42"/>
  <c r="J171" i="42"/>
  <c r="I171" i="42"/>
  <c r="H171" i="42"/>
  <c r="G171" i="42"/>
  <c r="F171" i="42"/>
  <c r="E171" i="42"/>
  <c r="D171" i="42"/>
  <c r="C171" i="42"/>
  <c r="B171" i="42"/>
  <c r="AG170" i="42"/>
  <c r="AG169" i="42"/>
  <c r="AG168" i="42"/>
  <c r="AG167" i="42"/>
  <c r="AG166" i="42"/>
  <c r="AG165" i="42"/>
  <c r="AG164" i="42"/>
  <c r="AG163" i="42"/>
  <c r="AG162" i="42"/>
  <c r="AG161" i="42"/>
  <c r="AG160" i="42"/>
  <c r="AG159" i="42"/>
  <c r="AG158" i="42"/>
  <c r="AG157" i="42"/>
  <c r="AG156" i="42"/>
  <c r="AG155" i="42"/>
  <c r="AG154" i="42"/>
  <c r="AG153" i="42"/>
  <c r="AG152" i="42"/>
  <c r="AG151" i="42"/>
  <c r="AG150" i="42"/>
  <c r="AG149" i="42"/>
  <c r="AG148" i="42"/>
  <c r="AG147" i="42"/>
  <c r="AG146" i="42"/>
  <c r="AG145" i="42"/>
  <c r="AF144" i="42"/>
  <c r="AE144" i="42"/>
  <c r="AD144" i="42"/>
  <c r="AC144" i="42"/>
  <c r="AB144" i="42"/>
  <c r="AA144" i="42"/>
  <c r="Z144" i="42"/>
  <c r="Y144" i="42"/>
  <c r="X144" i="42"/>
  <c r="W144" i="42"/>
  <c r="V144" i="42"/>
  <c r="U144" i="42"/>
  <c r="T144" i="42"/>
  <c r="S144" i="42"/>
  <c r="R144" i="42"/>
  <c r="Q144" i="42"/>
  <c r="P144" i="42"/>
  <c r="O144" i="42"/>
  <c r="N144" i="42"/>
  <c r="M144" i="42"/>
  <c r="L144" i="42"/>
  <c r="K144" i="42"/>
  <c r="J144" i="42"/>
  <c r="I144" i="42"/>
  <c r="H144" i="42"/>
  <c r="G144" i="42"/>
  <c r="F144" i="42"/>
  <c r="E144" i="42"/>
  <c r="D144" i="42"/>
  <c r="C144" i="42"/>
  <c r="B144" i="42"/>
  <c r="AG143" i="42"/>
  <c r="AG142" i="42"/>
  <c r="AG141" i="42"/>
  <c r="AG140" i="42"/>
  <c r="AF139" i="42"/>
  <c r="AE139" i="42"/>
  <c r="AD139" i="42"/>
  <c r="AC139" i="42"/>
  <c r="AB139" i="42"/>
  <c r="AA139" i="42"/>
  <c r="Z139" i="42"/>
  <c r="Y139" i="42"/>
  <c r="X139" i="42"/>
  <c r="W139" i="42"/>
  <c r="V139" i="42"/>
  <c r="U139" i="42"/>
  <c r="T139" i="42"/>
  <c r="S139" i="42"/>
  <c r="R139" i="42"/>
  <c r="Q139" i="42"/>
  <c r="P139" i="42"/>
  <c r="O139" i="42"/>
  <c r="N139" i="42"/>
  <c r="M139" i="42"/>
  <c r="L139" i="42"/>
  <c r="K139" i="42"/>
  <c r="J139" i="42"/>
  <c r="I139" i="42"/>
  <c r="H139" i="42"/>
  <c r="G139" i="42"/>
  <c r="F139" i="42"/>
  <c r="E139" i="42"/>
  <c r="D139" i="42"/>
  <c r="C139" i="42"/>
  <c r="B139" i="42"/>
  <c r="AG138" i="42"/>
  <c r="AG137" i="42"/>
  <c r="AG136" i="42"/>
  <c r="AF135" i="42"/>
  <c r="AE135" i="42"/>
  <c r="AD135" i="42"/>
  <c r="AC135" i="42"/>
  <c r="AB135" i="42"/>
  <c r="AA135" i="42"/>
  <c r="Z135" i="42"/>
  <c r="Y135" i="42"/>
  <c r="X135" i="42"/>
  <c r="W135" i="42"/>
  <c r="V135" i="42"/>
  <c r="U135" i="42"/>
  <c r="T135" i="42"/>
  <c r="S135" i="42"/>
  <c r="R135" i="42"/>
  <c r="Q135" i="42"/>
  <c r="P135" i="42"/>
  <c r="O135" i="42"/>
  <c r="N135" i="42"/>
  <c r="M135" i="42"/>
  <c r="L135" i="42"/>
  <c r="K135" i="42"/>
  <c r="J135" i="42"/>
  <c r="I135" i="42"/>
  <c r="H135" i="42"/>
  <c r="G135" i="42"/>
  <c r="F135" i="42"/>
  <c r="E135" i="42"/>
  <c r="D135" i="42"/>
  <c r="C135" i="42"/>
  <c r="B135" i="42"/>
  <c r="R133" i="42"/>
  <c r="AG132" i="42"/>
  <c r="AG131" i="42"/>
  <c r="AG130" i="42"/>
  <c r="AG129" i="42"/>
  <c r="AG128" i="42"/>
  <c r="AG127" i="42"/>
  <c r="AG126" i="42"/>
  <c r="AG125" i="42"/>
  <c r="AG124" i="42"/>
  <c r="AG123" i="42"/>
  <c r="AG122" i="42"/>
  <c r="AG121" i="42"/>
  <c r="AG120" i="42"/>
  <c r="AF119" i="42"/>
  <c r="AE119" i="42"/>
  <c r="AD119" i="42"/>
  <c r="AC119" i="42"/>
  <c r="AB119" i="42"/>
  <c r="AA119" i="42"/>
  <c r="Z119" i="42"/>
  <c r="Y119" i="42"/>
  <c r="X119" i="42"/>
  <c r="W119" i="42"/>
  <c r="V119" i="42"/>
  <c r="U119" i="42"/>
  <c r="T119" i="42"/>
  <c r="S119" i="42"/>
  <c r="R119" i="42"/>
  <c r="Q119" i="42"/>
  <c r="P119" i="42"/>
  <c r="O119" i="42"/>
  <c r="N119" i="42"/>
  <c r="M119" i="42"/>
  <c r="L119" i="42"/>
  <c r="K119" i="42"/>
  <c r="J119" i="42"/>
  <c r="I119" i="42"/>
  <c r="H119" i="42"/>
  <c r="G119" i="42"/>
  <c r="F119" i="42"/>
  <c r="E119" i="42"/>
  <c r="D119" i="42"/>
  <c r="C119" i="42"/>
  <c r="B119" i="42"/>
  <c r="AG118" i="42"/>
  <c r="AG117" i="42"/>
  <c r="AF116" i="42"/>
  <c r="AE116" i="42"/>
  <c r="AD116" i="42"/>
  <c r="AC116" i="42"/>
  <c r="AB116" i="42"/>
  <c r="AA116" i="42"/>
  <c r="Z116" i="42"/>
  <c r="Y116" i="42"/>
  <c r="X116" i="42"/>
  <c r="W116" i="42"/>
  <c r="V116" i="42"/>
  <c r="U116" i="42"/>
  <c r="T116" i="42"/>
  <c r="S116" i="42"/>
  <c r="R116" i="42"/>
  <c r="Q116" i="42"/>
  <c r="P116" i="42"/>
  <c r="O116" i="42"/>
  <c r="N116" i="42"/>
  <c r="M116" i="42"/>
  <c r="L116" i="42"/>
  <c r="K116" i="42"/>
  <c r="J116" i="42"/>
  <c r="I116" i="42"/>
  <c r="H116" i="42"/>
  <c r="G116" i="42"/>
  <c r="F116" i="42"/>
  <c r="E116" i="42"/>
  <c r="D116" i="42"/>
  <c r="C116" i="42"/>
  <c r="B116" i="42"/>
  <c r="AG115" i="42"/>
  <c r="AG114" i="42"/>
  <c r="AG113" i="42"/>
  <c r="AG112" i="42"/>
  <c r="AG111" i="42"/>
  <c r="AG110" i="42"/>
  <c r="AG109" i="42"/>
  <c r="AG108" i="42"/>
  <c r="AG107" i="42"/>
  <c r="AG106" i="42"/>
  <c r="AG105" i="42"/>
  <c r="AG104" i="42"/>
  <c r="AG103" i="42"/>
  <c r="AG102" i="42"/>
  <c r="AG101" i="42"/>
  <c r="AF100" i="42"/>
  <c r="AE100" i="42"/>
  <c r="AD100" i="42"/>
  <c r="AC100" i="42"/>
  <c r="AB100" i="42"/>
  <c r="AA100" i="42"/>
  <c r="Z100" i="42"/>
  <c r="Y100" i="42"/>
  <c r="X100" i="42"/>
  <c r="W100" i="42"/>
  <c r="V100" i="42"/>
  <c r="U100" i="42"/>
  <c r="T100" i="42"/>
  <c r="S100" i="42"/>
  <c r="R100" i="42"/>
  <c r="Q100" i="42"/>
  <c r="P100" i="42"/>
  <c r="P93" i="42" s="1"/>
  <c r="O100" i="42"/>
  <c r="N100" i="42"/>
  <c r="M100" i="42"/>
  <c r="L100" i="42"/>
  <c r="K100" i="42"/>
  <c r="J100" i="42"/>
  <c r="I100" i="42"/>
  <c r="H100" i="42"/>
  <c r="G100" i="42"/>
  <c r="F100" i="42"/>
  <c r="E100" i="42"/>
  <c r="D100" i="42"/>
  <c r="C100" i="42"/>
  <c r="B100" i="42"/>
  <c r="AG99" i="42"/>
  <c r="AG98" i="42"/>
  <c r="AG97" i="42"/>
  <c r="AG96" i="42"/>
  <c r="AG95" i="42"/>
  <c r="AF94" i="42"/>
  <c r="AE94" i="42"/>
  <c r="AD94" i="42"/>
  <c r="AC94" i="42"/>
  <c r="AB94" i="42"/>
  <c r="AA94" i="42"/>
  <c r="AA93" i="42" s="1"/>
  <c r="Z94" i="42"/>
  <c r="Z93" i="42" s="1"/>
  <c r="Y94" i="42"/>
  <c r="Y93" i="42" s="1"/>
  <c r="X94" i="42"/>
  <c r="X93" i="42" s="1"/>
  <c r="W94" i="42"/>
  <c r="V94" i="42"/>
  <c r="U94" i="42"/>
  <c r="T94" i="42"/>
  <c r="S94" i="42"/>
  <c r="R94" i="42"/>
  <c r="R93" i="42" s="1"/>
  <c r="Q94" i="42"/>
  <c r="P94" i="42"/>
  <c r="O94" i="42"/>
  <c r="N94" i="42"/>
  <c r="M94" i="42"/>
  <c r="L94" i="42"/>
  <c r="L93" i="42" s="1"/>
  <c r="K94" i="42"/>
  <c r="J94" i="42"/>
  <c r="J93" i="42" s="1"/>
  <c r="I94" i="42"/>
  <c r="I93" i="42" s="1"/>
  <c r="H94" i="42"/>
  <c r="G94" i="42"/>
  <c r="G93" i="42" s="1"/>
  <c r="F94" i="42"/>
  <c r="E94" i="42"/>
  <c r="D94" i="42"/>
  <c r="C94" i="42"/>
  <c r="B94" i="42"/>
  <c r="B93" i="42" s="1"/>
  <c r="V93" i="42"/>
  <c r="U93" i="42"/>
  <c r="S93" i="42"/>
  <c r="AG92" i="42"/>
  <c r="AG91" i="42"/>
  <c r="AG90" i="42"/>
  <c r="AG89" i="42"/>
  <c r="AG88" i="42"/>
  <c r="AF87" i="42"/>
  <c r="AE87" i="42"/>
  <c r="AD87" i="42"/>
  <c r="AC87" i="42"/>
  <c r="AB87" i="42"/>
  <c r="AA87" i="42"/>
  <c r="Z87" i="42"/>
  <c r="Y87" i="42"/>
  <c r="X87" i="42"/>
  <c r="W87" i="42"/>
  <c r="V87" i="42"/>
  <c r="U87" i="42"/>
  <c r="T87" i="42"/>
  <c r="S87" i="42"/>
  <c r="R87" i="42"/>
  <c r="Q87" i="42"/>
  <c r="P87" i="42"/>
  <c r="O87" i="42"/>
  <c r="N87" i="42"/>
  <c r="M87" i="42"/>
  <c r="L87" i="42"/>
  <c r="K87" i="42"/>
  <c r="J87" i="42"/>
  <c r="I87" i="42"/>
  <c r="H87" i="42"/>
  <c r="G87" i="42"/>
  <c r="F87" i="42"/>
  <c r="E87" i="42"/>
  <c r="D87" i="42"/>
  <c r="C87" i="42"/>
  <c r="B87" i="42"/>
  <c r="AG86" i="42"/>
  <c r="AG85" i="42"/>
  <c r="AF84" i="42"/>
  <c r="AE84" i="42"/>
  <c r="AD84" i="42"/>
  <c r="AC84" i="42"/>
  <c r="AB84" i="42"/>
  <c r="AA84" i="42"/>
  <c r="Z84" i="42"/>
  <c r="Y84" i="42"/>
  <c r="X84" i="42"/>
  <c r="W84" i="42"/>
  <c r="V84" i="42"/>
  <c r="U84" i="42"/>
  <c r="T84" i="42"/>
  <c r="S84" i="42"/>
  <c r="R84" i="42"/>
  <c r="Q84" i="42"/>
  <c r="P84" i="42"/>
  <c r="O84" i="42"/>
  <c r="N84" i="42"/>
  <c r="M84" i="42"/>
  <c r="L84" i="42"/>
  <c r="K84" i="42"/>
  <c r="J84" i="42"/>
  <c r="I84" i="42"/>
  <c r="H84" i="42"/>
  <c r="G84" i="42"/>
  <c r="F84" i="42"/>
  <c r="E84" i="42"/>
  <c r="D84" i="42"/>
  <c r="C84" i="42"/>
  <c r="B84" i="42"/>
  <c r="L83" i="42"/>
  <c r="L81" i="42" s="1"/>
  <c r="AF82" i="42"/>
  <c r="AE82" i="42"/>
  <c r="AE83" i="42" s="1"/>
  <c r="AE81" i="42" s="1"/>
  <c r="AD82" i="42"/>
  <c r="AD83" i="42" s="1"/>
  <c r="AD81" i="42" s="1"/>
  <c r="AC82" i="42"/>
  <c r="AC83" i="42" s="1"/>
  <c r="AB82" i="42"/>
  <c r="AB83" i="42" s="1"/>
  <c r="AA82" i="42"/>
  <c r="AA83" i="42" s="1"/>
  <c r="Z82" i="42"/>
  <c r="Z83" i="42" s="1"/>
  <c r="Y82" i="42"/>
  <c r="Y83" i="42" s="1"/>
  <c r="X82" i="42"/>
  <c r="W82" i="42"/>
  <c r="W83" i="42" s="1"/>
  <c r="W81" i="42" s="1"/>
  <c r="V82" i="42"/>
  <c r="V83" i="42" s="1"/>
  <c r="V81" i="42" s="1"/>
  <c r="U82" i="42"/>
  <c r="U83" i="42" s="1"/>
  <c r="U81" i="42" s="1"/>
  <c r="T82" i="42"/>
  <c r="T83" i="42" s="1"/>
  <c r="S82" i="42"/>
  <c r="S83" i="42" s="1"/>
  <c r="S81" i="42" s="1"/>
  <c r="R82" i="42"/>
  <c r="R83" i="42" s="1"/>
  <c r="R81" i="42" s="1"/>
  <c r="Q82" i="42"/>
  <c r="Q83" i="42" s="1"/>
  <c r="P82" i="42"/>
  <c r="P83" i="42" s="1"/>
  <c r="O82" i="42"/>
  <c r="O83" i="42" s="1"/>
  <c r="N82" i="42"/>
  <c r="N83" i="42" s="1"/>
  <c r="M82" i="42"/>
  <c r="M83" i="42" s="1"/>
  <c r="L82" i="42"/>
  <c r="K82" i="42"/>
  <c r="K83" i="42" s="1"/>
  <c r="K81" i="42" s="1"/>
  <c r="J82" i="42"/>
  <c r="J83" i="42" s="1"/>
  <c r="J81" i="42" s="1"/>
  <c r="I82" i="42"/>
  <c r="I83" i="42" s="1"/>
  <c r="I81" i="42" s="1"/>
  <c r="H82" i="42"/>
  <c r="H83" i="42" s="1"/>
  <c r="H81" i="42" s="1"/>
  <c r="G82" i="42"/>
  <c r="G83" i="42" s="1"/>
  <c r="G81" i="42" s="1"/>
  <c r="F82" i="42"/>
  <c r="F83" i="42" s="1"/>
  <c r="F81" i="42" s="1"/>
  <c r="E82" i="42"/>
  <c r="E83" i="42" s="1"/>
  <c r="D82" i="42"/>
  <c r="D83" i="42" s="1"/>
  <c r="C82" i="42"/>
  <c r="C83" i="42" s="1"/>
  <c r="B82" i="42"/>
  <c r="B83" i="42" s="1"/>
  <c r="AG80" i="42"/>
  <c r="AF79" i="42"/>
  <c r="AF78" i="42" s="1"/>
  <c r="AE79" i="42"/>
  <c r="AE78" i="42" s="1"/>
  <c r="AD79" i="42"/>
  <c r="AD78" i="42" s="1"/>
  <c r="AC79" i="42"/>
  <c r="AC78" i="42" s="1"/>
  <c r="AB79" i="42"/>
  <c r="AB78" i="42" s="1"/>
  <c r="AA79" i="42"/>
  <c r="AA78" i="42" s="1"/>
  <c r="Z79" i="42"/>
  <c r="Z78" i="42" s="1"/>
  <c r="Y79" i="42"/>
  <c r="Y78" i="42" s="1"/>
  <c r="X79" i="42"/>
  <c r="X78" i="42" s="1"/>
  <c r="W79" i="42"/>
  <c r="W78" i="42" s="1"/>
  <c r="V79" i="42"/>
  <c r="V78" i="42" s="1"/>
  <c r="U79" i="42"/>
  <c r="U78" i="42" s="1"/>
  <c r="T79" i="42"/>
  <c r="T78" i="42" s="1"/>
  <c r="S79" i="42"/>
  <c r="S78" i="42" s="1"/>
  <c r="R79" i="42"/>
  <c r="R78" i="42" s="1"/>
  <c r="Q79" i="42"/>
  <c r="Q78" i="42" s="1"/>
  <c r="P79" i="42"/>
  <c r="P78" i="42" s="1"/>
  <c r="O79" i="42"/>
  <c r="O78" i="42" s="1"/>
  <c r="N79" i="42"/>
  <c r="N78" i="42" s="1"/>
  <c r="M79" i="42"/>
  <c r="M78" i="42" s="1"/>
  <c r="L79" i="42"/>
  <c r="L78" i="42" s="1"/>
  <c r="K79" i="42"/>
  <c r="K78" i="42" s="1"/>
  <c r="J79" i="42"/>
  <c r="J78" i="42" s="1"/>
  <c r="I79" i="42"/>
  <c r="I78" i="42" s="1"/>
  <c r="H79" i="42"/>
  <c r="H78" i="42" s="1"/>
  <c r="G79" i="42"/>
  <c r="G78" i="42" s="1"/>
  <c r="F79" i="42"/>
  <c r="F78" i="42" s="1"/>
  <c r="E79" i="42"/>
  <c r="E78" i="42" s="1"/>
  <c r="D79" i="42"/>
  <c r="D78" i="42" s="1"/>
  <c r="C79" i="42"/>
  <c r="C78" i="42" s="1"/>
  <c r="B79" i="42"/>
  <c r="B78" i="42" s="1"/>
  <c r="AG77" i="42"/>
  <c r="AG76" i="42"/>
  <c r="AG75" i="42"/>
  <c r="AG74" i="42"/>
  <c r="AG73" i="42"/>
  <c r="AG72" i="42"/>
  <c r="AG71" i="42"/>
  <c r="AG70" i="42"/>
  <c r="AG69" i="42"/>
  <c r="AG68" i="42"/>
  <c r="AG67" i="42"/>
  <c r="AG66" i="42"/>
  <c r="AG65" i="42"/>
  <c r="AG64" i="42"/>
  <c r="AG63" i="42"/>
  <c r="AG62" i="42"/>
  <c r="AG61" i="42"/>
  <c r="AG60" i="42"/>
  <c r="AG59" i="42"/>
  <c r="AG58" i="42"/>
  <c r="AG57" i="42"/>
  <c r="AG56" i="42"/>
  <c r="AG55" i="42"/>
  <c r="AG54" i="42"/>
  <c r="AF53" i="42"/>
  <c r="AF134" i="42" s="1"/>
  <c r="AE53" i="42"/>
  <c r="AE134" i="42" s="1"/>
  <c r="AD53" i="42"/>
  <c r="AD134" i="42" s="1"/>
  <c r="AC53" i="42"/>
  <c r="AC134" i="42" s="1"/>
  <c r="AB53" i="42"/>
  <c r="AB134" i="42" s="1"/>
  <c r="AA53" i="42"/>
  <c r="AA134" i="42" s="1"/>
  <c r="Z53" i="42"/>
  <c r="Z134" i="42" s="1"/>
  <c r="Y53" i="42"/>
  <c r="Y134" i="42" s="1"/>
  <c r="X53" i="42"/>
  <c r="X134" i="42" s="1"/>
  <c r="W53" i="42"/>
  <c r="W134" i="42" s="1"/>
  <c r="V53" i="42"/>
  <c r="V134" i="42" s="1"/>
  <c r="U53" i="42"/>
  <c r="U134" i="42" s="1"/>
  <c r="T53" i="42"/>
  <c r="T134" i="42" s="1"/>
  <c r="S53" i="42"/>
  <c r="S134" i="42" s="1"/>
  <c r="R53" i="42"/>
  <c r="R134" i="42" s="1"/>
  <c r="Q53" i="42"/>
  <c r="Q134" i="42" s="1"/>
  <c r="P53" i="42"/>
  <c r="P134" i="42" s="1"/>
  <c r="O53" i="42"/>
  <c r="O134" i="42" s="1"/>
  <c r="N53" i="42"/>
  <c r="N134" i="42" s="1"/>
  <c r="M53" i="42"/>
  <c r="M134" i="42" s="1"/>
  <c r="L53" i="42"/>
  <c r="L134" i="42" s="1"/>
  <c r="K53" i="42"/>
  <c r="K134" i="42" s="1"/>
  <c r="J53" i="42"/>
  <c r="J134" i="42" s="1"/>
  <c r="I53" i="42"/>
  <c r="H53" i="42"/>
  <c r="H134" i="42" s="1"/>
  <c r="G53" i="42"/>
  <c r="G134" i="42" s="1"/>
  <c r="F53" i="42"/>
  <c r="F134" i="42" s="1"/>
  <c r="E53" i="42"/>
  <c r="E134" i="42" s="1"/>
  <c r="D53" i="42"/>
  <c r="D134" i="42" s="1"/>
  <c r="C53" i="42"/>
  <c r="C134" i="42" s="1"/>
  <c r="B53" i="42"/>
  <c r="B134" i="42" s="1"/>
  <c r="AG52" i="42"/>
  <c r="AG51" i="42"/>
  <c r="AG50" i="42"/>
  <c r="AG49" i="42"/>
  <c r="AG48" i="42"/>
  <c r="AG47" i="42"/>
  <c r="AG46" i="42"/>
  <c r="AG45" i="42"/>
  <c r="AG44" i="42"/>
  <c r="AG43" i="42"/>
  <c r="AG42" i="42"/>
  <c r="AG41" i="42"/>
  <c r="AG40" i="42"/>
  <c r="AG39" i="42"/>
  <c r="AG38" i="42"/>
  <c r="AG37" i="42"/>
  <c r="AG36" i="42"/>
  <c r="AG35" i="42"/>
  <c r="AG34" i="42"/>
  <c r="AG33" i="42"/>
  <c r="AG32" i="42"/>
  <c r="AG31" i="42"/>
  <c r="AG30" i="42"/>
  <c r="AG29" i="42"/>
  <c r="AF28" i="42"/>
  <c r="AF133" i="42" s="1"/>
  <c r="AE28" i="42"/>
  <c r="AE133" i="42" s="1"/>
  <c r="AD28" i="42"/>
  <c r="AD133" i="42" s="1"/>
  <c r="AC28" i="42"/>
  <c r="AC133" i="42" s="1"/>
  <c r="AB28" i="42"/>
  <c r="AB133" i="42" s="1"/>
  <c r="AA28" i="42"/>
  <c r="AA133" i="42" s="1"/>
  <c r="Z28" i="42"/>
  <c r="Z133" i="42" s="1"/>
  <c r="Y28" i="42"/>
  <c r="Y133" i="42" s="1"/>
  <c r="X28" i="42"/>
  <c r="X133" i="42" s="1"/>
  <c r="W28" i="42"/>
  <c r="W133" i="42" s="1"/>
  <c r="V28" i="42"/>
  <c r="V133" i="42" s="1"/>
  <c r="U28" i="42"/>
  <c r="U133" i="42" s="1"/>
  <c r="T28" i="42"/>
  <c r="T133" i="42" s="1"/>
  <c r="S28" i="42"/>
  <c r="S133" i="42" s="1"/>
  <c r="R28" i="42"/>
  <c r="Q28" i="42"/>
  <c r="Q133" i="42" s="1"/>
  <c r="P28" i="42"/>
  <c r="P133" i="42" s="1"/>
  <c r="O28" i="42"/>
  <c r="O133" i="42" s="1"/>
  <c r="N28" i="42"/>
  <c r="N133" i="42" s="1"/>
  <c r="M28" i="42"/>
  <c r="M133" i="42" s="1"/>
  <c r="L28" i="42"/>
  <c r="L133" i="42" s="1"/>
  <c r="K28" i="42"/>
  <c r="K133" i="42" s="1"/>
  <c r="J28" i="42"/>
  <c r="J133" i="42" s="1"/>
  <c r="I28" i="42"/>
  <c r="I133" i="42" s="1"/>
  <c r="H28" i="42"/>
  <c r="H133" i="42" s="1"/>
  <c r="G28" i="42"/>
  <c r="G133" i="42" s="1"/>
  <c r="F28" i="42"/>
  <c r="F133" i="42" s="1"/>
  <c r="E28" i="42"/>
  <c r="E133" i="42" s="1"/>
  <c r="D28" i="42"/>
  <c r="D133" i="42" s="1"/>
  <c r="C28" i="42"/>
  <c r="C133" i="42" s="1"/>
  <c r="B28" i="42"/>
  <c r="B133" i="42" s="1"/>
  <c r="AG27" i="42"/>
  <c r="AG26" i="42"/>
  <c r="AG25" i="42"/>
  <c r="AG24" i="42"/>
  <c r="AG23" i="42"/>
  <c r="AG22" i="42"/>
  <c r="AG21" i="42"/>
  <c r="AG20" i="42"/>
  <c r="AG19" i="42"/>
  <c r="AG18" i="42"/>
  <c r="AG17" i="42"/>
  <c r="AG16" i="42"/>
  <c r="AG15" i="42"/>
  <c r="AG14" i="42"/>
  <c r="AG13" i="42"/>
  <c r="AG12" i="42"/>
  <c r="AG11" i="42"/>
  <c r="AG10" i="42"/>
  <c r="AG9" i="42"/>
  <c r="AG8" i="42"/>
  <c r="AG7" i="42"/>
  <c r="AG6" i="42"/>
  <c r="AG5" i="42"/>
  <c r="AG4" i="42"/>
  <c r="AF3" i="42"/>
  <c r="AE3" i="42"/>
  <c r="AD3" i="42"/>
  <c r="AC3" i="42"/>
  <c r="AB3" i="42"/>
  <c r="AA3" i="42"/>
  <c r="Z3" i="42"/>
  <c r="Y3" i="42"/>
  <c r="X3" i="42"/>
  <c r="W3" i="42"/>
  <c r="V3" i="42"/>
  <c r="U3" i="42"/>
  <c r="T3" i="42"/>
  <c r="S3" i="42"/>
  <c r="R3" i="42"/>
  <c r="Q3" i="42"/>
  <c r="P3" i="42"/>
  <c r="O3" i="42"/>
  <c r="N3" i="42"/>
  <c r="M3" i="42"/>
  <c r="L3" i="42"/>
  <c r="K3" i="42"/>
  <c r="J3" i="42"/>
  <c r="I3" i="42"/>
  <c r="H3" i="42"/>
  <c r="G3" i="42"/>
  <c r="F3" i="42"/>
  <c r="E3" i="42"/>
  <c r="D3" i="42"/>
  <c r="C3" i="42"/>
  <c r="B3" i="42"/>
  <c r="C2" i="42"/>
  <c r="D2" i="42" s="1"/>
  <c r="E2" i="42" s="1"/>
  <c r="F2" i="42" s="1"/>
  <c r="G2" i="42" s="1"/>
  <c r="H2" i="42" s="1"/>
  <c r="I2" i="42" s="1"/>
  <c r="J2" i="42" s="1"/>
  <c r="K2" i="42" s="1"/>
  <c r="L2" i="42" s="1"/>
  <c r="M2" i="42" s="1"/>
  <c r="N2" i="42" s="1"/>
  <c r="O2" i="42" s="1"/>
  <c r="P2" i="42" s="1"/>
  <c r="Q2" i="42" s="1"/>
  <c r="R2" i="42" s="1"/>
  <c r="S2" i="42" s="1"/>
  <c r="T2" i="42" s="1"/>
  <c r="U2" i="42" s="1"/>
  <c r="V2" i="42" s="1"/>
  <c r="W2" i="42" s="1"/>
  <c r="X2" i="42" s="1"/>
  <c r="Y2" i="42" s="1"/>
  <c r="Z2" i="42" s="1"/>
  <c r="AA2" i="42" s="1"/>
  <c r="AB2" i="42" s="1"/>
  <c r="AC2" i="42" s="1"/>
  <c r="AD2" i="42" s="1"/>
  <c r="AE2" i="42" s="1"/>
  <c r="AF2" i="42" s="1"/>
  <c r="AG180" i="41"/>
  <c r="AG179" i="41"/>
  <c r="AG178" i="41"/>
  <c r="AF177" i="41"/>
  <c r="AE177" i="41"/>
  <c r="AD177" i="41"/>
  <c r="AC177" i="41"/>
  <c r="AB177" i="41"/>
  <c r="AA177" i="41"/>
  <c r="Z177" i="41"/>
  <c r="Y177" i="41"/>
  <c r="X177" i="41"/>
  <c r="W177" i="41"/>
  <c r="V177" i="41"/>
  <c r="U177" i="41"/>
  <c r="T177" i="41"/>
  <c r="S177" i="41"/>
  <c r="R177" i="41"/>
  <c r="Q177" i="41"/>
  <c r="P177" i="41"/>
  <c r="O177" i="41"/>
  <c r="N177" i="41"/>
  <c r="M177" i="41"/>
  <c r="L177" i="41"/>
  <c r="K177" i="41"/>
  <c r="J177" i="41"/>
  <c r="I177" i="41"/>
  <c r="H177" i="41"/>
  <c r="AG177" i="41" s="1"/>
  <c r="G177" i="41"/>
  <c r="F177" i="41"/>
  <c r="E177" i="41"/>
  <c r="D177" i="41"/>
  <c r="C177" i="41"/>
  <c r="B177" i="41"/>
  <c r="AG176" i="41"/>
  <c r="AG175" i="41"/>
  <c r="AG174" i="41"/>
  <c r="AG173" i="41"/>
  <c r="AG172" i="41"/>
  <c r="AF171" i="41"/>
  <c r="AE171" i="41"/>
  <c r="AD171" i="41"/>
  <c r="AC171" i="41"/>
  <c r="AB171" i="41"/>
  <c r="AA171" i="41"/>
  <c r="Z171" i="41"/>
  <c r="Y171" i="41"/>
  <c r="X171" i="41"/>
  <c r="W171" i="41"/>
  <c r="V171" i="41"/>
  <c r="U171" i="41"/>
  <c r="T171" i="41"/>
  <c r="S171" i="41"/>
  <c r="R171" i="41"/>
  <c r="Q171" i="41"/>
  <c r="P171" i="41"/>
  <c r="O171" i="41"/>
  <c r="N171" i="41"/>
  <c r="M171" i="41"/>
  <c r="L171" i="41"/>
  <c r="K171" i="41"/>
  <c r="J171" i="41"/>
  <c r="I171" i="41"/>
  <c r="H171" i="41"/>
  <c r="G171" i="41"/>
  <c r="F171" i="41"/>
  <c r="E171" i="41"/>
  <c r="D171" i="41"/>
  <c r="C171" i="41"/>
  <c r="B171" i="41"/>
  <c r="AG170" i="41"/>
  <c r="AG169" i="41"/>
  <c r="AG168" i="41"/>
  <c r="AG167" i="41"/>
  <c r="AG166" i="41"/>
  <c r="AG165" i="41"/>
  <c r="AG164" i="41"/>
  <c r="AG163" i="41"/>
  <c r="AG162" i="41"/>
  <c r="AG161" i="41"/>
  <c r="AG160" i="41"/>
  <c r="AG159" i="41"/>
  <c r="AG158" i="41"/>
  <c r="AG157" i="41"/>
  <c r="AG156" i="41"/>
  <c r="AG155" i="41"/>
  <c r="AG154" i="41"/>
  <c r="AG153" i="41"/>
  <c r="AG152" i="41"/>
  <c r="AG151" i="41"/>
  <c r="AG150" i="41"/>
  <c r="AG149" i="41"/>
  <c r="AG148" i="41"/>
  <c r="AG147" i="41"/>
  <c r="AG146" i="41"/>
  <c r="AG145" i="41"/>
  <c r="AF144" i="41"/>
  <c r="AE144" i="41"/>
  <c r="AD144" i="41"/>
  <c r="AC144" i="41"/>
  <c r="AB144" i="41"/>
  <c r="AA144" i="41"/>
  <c r="Z144" i="41"/>
  <c r="Y144" i="41"/>
  <c r="X144" i="41"/>
  <c r="W144" i="41"/>
  <c r="V144" i="41"/>
  <c r="U144" i="41"/>
  <c r="T144" i="41"/>
  <c r="S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D144" i="41"/>
  <c r="C144" i="41"/>
  <c r="B144" i="41"/>
  <c r="AG143" i="41"/>
  <c r="AG142" i="41"/>
  <c r="AG141" i="41"/>
  <c r="AG140" i="41"/>
  <c r="AF139" i="41"/>
  <c r="AE139" i="41"/>
  <c r="AD139" i="41"/>
  <c r="AC139" i="41"/>
  <c r="AB139" i="41"/>
  <c r="AA139" i="41"/>
  <c r="Z139" i="41"/>
  <c r="Y139" i="41"/>
  <c r="X139" i="41"/>
  <c r="W139" i="41"/>
  <c r="V139" i="41"/>
  <c r="U139" i="41"/>
  <c r="T139" i="41"/>
  <c r="S139" i="41"/>
  <c r="R139" i="41"/>
  <c r="Q139" i="41"/>
  <c r="P139" i="41"/>
  <c r="O139" i="41"/>
  <c r="N139" i="41"/>
  <c r="M139" i="41"/>
  <c r="L139" i="41"/>
  <c r="K139" i="41"/>
  <c r="J139" i="41"/>
  <c r="I139" i="41"/>
  <c r="H139" i="41"/>
  <c r="G139" i="41"/>
  <c r="F139" i="41"/>
  <c r="E139" i="41"/>
  <c r="D139" i="41"/>
  <c r="C139" i="41"/>
  <c r="B139" i="41"/>
  <c r="AG138" i="41"/>
  <c r="AG137" i="41"/>
  <c r="AG136" i="41"/>
  <c r="AF135" i="41"/>
  <c r="AE135" i="41"/>
  <c r="AD135" i="41"/>
  <c r="AC135" i="41"/>
  <c r="AB135" i="41"/>
  <c r="AA135" i="41"/>
  <c r="Z135" i="41"/>
  <c r="Y135" i="41"/>
  <c r="X135" i="41"/>
  <c r="W135" i="41"/>
  <c r="V135" i="41"/>
  <c r="U135" i="41"/>
  <c r="T135" i="41"/>
  <c r="S135" i="41"/>
  <c r="R135" i="41"/>
  <c r="Q135" i="41"/>
  <c r="P135" i="41"/>
  <c r="O135" i="41"/>
  <c r="N135" i="41"/>
  <c r="M135" i="41"/>
  <c r="L135" i="41"/>
  <c r="K135" i="41"/>
  <c r="J135" i="41"/>
  <c r="I135" i="41"/>
  <c r="H135" i="41"/>
  <c r="G135" i="41"/>
  <c r="F135" i="41"/>
  <c r="E135" i="41"/>
  <c r="D135" i="41"/>
  <c r="C135" i="41"/>
  <c r="B135" i="41"/>
  <c r="AF134" i="41"/>
  <c r="AG132" i="41"/>
  <c r="AG131" i="41"/>
  <c r="AG130" i="41"/>
  <c r="AG129" i="41"/>
  <c r="AG128" i="41"/>
  <c r="AG127" i="41"/>
  <c r="AG126" i="41"/>
  <c r="AG125" i="41"/>
  <c r="AG124" i="41"/>
  <c r="AG123" i="41"/>
  <c r="AG122" i="41"/>
  <c r="AG121" i="41"/>
  <c r="AG120" i="41"/>
  <c r="AF119" i="41"/>
  <c r="AE119" i="41"/>
  <c r="AD119" i="41"/>
  <c r="AC119" i="41"/>
  <c r="AB119" i="41"/>
  <c r="AA119" i="41"/>
  <c r="Z119" i="41"/>
  <c r="Y119" i="41"/>
  <c r="X119" i="41"/>
  <c r="W119" i="41"/>
  <c r="V119" i="41"/>
  <c r="U119" i="41"/>
  <c r="T119" i="41"/>
  <c r="S119" i="41"/>
  <c r="R119" i="41"/>
  <c r="Q119" i="41"/>
  <c r="P119" i="41"/>
  <c r="O119" i="41"/>
  <c r="N119" i="41"/>
  <c r="M119" i="41"/>
  <c r="L119" i="41"/>
  <c r="K119" i="41"/>
  <c r="J119" i="41"/>
  <c r="I119" i="41"/>
  <c r="H119" i="41"/>
  <c r="G119" i="41"/>
  <c r="F119" i="41"/>
  <c r="E119" i="41"/>
  <c r="D119" i="41"/>
  <c r="C119" i="41"/>
  <c r="B119" i="41"/>
  <c r="AG118" i="41"/>
  <c r="AG117" i="41"/>
  <c r="AF116" i="41"/>
  <c r="AE116" i="41"/>
  <c r="AD116" i="41"/>
  <c r="AC116" i="41"/>
  <c r="AB116" i="41"/>
  <c r="AA116" i="41"/>
  <c r="Z116" i="41"/>
  <c r="Y116" i="41"/>
  <c r="X116" i="41"/>
  <c r="W116" i="41"/>
  <c r="V116" i="41"/>
  <c r="U116" i="41"/>
  <c r="T116" i="41"/>
  <c r="S116" i="41"/>
  <c r="R116" i="41"/>
  <c r="Q116" i="41"/>
  <c r="P116" i="41"/>
  <c r="O116" i="41"/>
  <c r="N116" i="41"/>
  <c r="M116" i="41"/>
  <c r="L116" i="41"/>
  <c r="K116" i="41"/>
  <c r="J116" i="41"/>
  <c r="I116" i="41"/>
  <c r="H116" i="41"/>
  <c r="G116" i="41"/>
  <c r="F116" i="41"/>
  <c r="E116" i="41"/>
  <c r="D116" i="41"/>
  <c r="C116" i="41"/>
  <c r="B116" i="41"/>
  <c r="AG115" i="41"/>
  <c r="AG114" i="41"/>
  <c r="AG113" i="41"/>
  <c r="AG112" i="41"/>
  <c r="AG111" i="41"/>
  <c r="AG110" i="41"/>
  <c r="AG109" i="41"/>
  <c r="AG108" i="41"/>
  <c r="AG107" i="41"/>
  <c r="AG106" i="41"/>
  <c r="AG105" i="41"/>
  <c r="AG104" i="41"/>
  <c r="AG103" i="41"/>
  <c r="AG102" i="41"/>
  <c r="AG101" i="41"/>
  <c r="AF100" i="41"/>
  <c r="AE100" i="41"/>
  <c r="AD100" i="41"/>
  <c r="AC100" i="41"/>
  <c r="AB100" i="41"/>
  <c r="AA100" i="41"/>
  <c r="Z100" i="41"/>
  <c r="Y100" i="41"/>
  <c r="X100" i="41"/>
  <c r="W100" i="41"/>
  <c r="V100" i="41"/>
  <c r="U100" i="41"/>
  <c r="T100" i="41"/>
  <c r="S100" i="41"/>
  <c r="R100" i="41"/>
  <c r="Q100" i="41"/>
  <c r="P100" i="41"/>
  <c r="O100" i="41"/>
  <c r="N100" i="41"/>
  <c r="M100" i="41"/>
  <c r="L100" i="41"/>
  <c r="K100" i="41"/>
  <c r="J100" i="41"/>
  <c r="I100" i="41"/>
  <c r="H100" i="41"/>
  <c r="G100" i="41"/>
  <c r="F100" i="41"/>
  <c r="E100" i="41"/>
  <c r="D100" i="41"/>
  <c r="C100" i="41"/>
  <c r="B100" i="41"/>
  <c r="AG99" i="41"/>
  <c r="AG98" i="41"/>
  <c r="AG97" i="41"/>
  <c r="AG96" i="41"/>
  <c r="AG95" i="41"/>
  <c r="AF94" i="41"/>
  <c r="AF93" i="41" s="1"/>
  <c r="AE94" i="41"/>
  <c r="AD94" i="41"/>
  <c r="AD93" i="41" s="1"/>
  <c r="AC94" i="41"/>
  <c r="AC93" i="41" s="1"/>
  <c r="AB94" i="41"/>
  <c r="AB93" i="41" s="1"/>
  <c r="AA94" i="41"/>
  <c r="AA93" i="41" s="1"/>
  <c r="Z94" i="41"/>
  <c r="Y94" i="41"/>
  <c r="Y93" i="41" s="1"/>
  <c r="X94" i="41"/>
  <c r="W94" i="41"/>
  <c r="W93" i="41" s="1"/>
  <c r="V94" i="41"/>
  <c r="V93" i="41" s="1"/>
  <c r="U94" i="41"/>
  <c r="U93" i="41" s="1"/>
  <c r="T94" i="41"/>
  <c r="S94" i="41"/>
  <c r="R94" i="41"/>
  <c r="Q94" i="41"/>
  <c r="Q93" i="41" s="1"/>
  <c r="P94" i="41"/>
  <c r="O94" i="41"/>
  <c r="N94" i="41"/>
  <c r="M94" i="41"/>
  <c r="M93" i="41" s="1"/>
  <c r="L94" i="41"/>
  <c r="K94" i="41"/>
  <c r="J94" i="41"/>
  <c r="I94" i="41"/>
  <c r="I93" i="41" s="1"/>
  <c r="H94" i="41"/>
  <c r="H93" i="41" s="1"/>
  <c r="G94" i="41"/>
  <c r="F94" i="41"/>
  <c r="F93" i="41" s="1"/>
  <c r="E94" i="41"/>
  <c r="D94" i="41"/>
  <c r="D93" i="41" s="1"/>
  <c r="C94" i="41"/>
  <c r="B94" i="41"/>
  <c r="R93" i="41"/>
  <c r="J93" i="41"/>
  <c r="AG92" i="41"/>
  <c r="AG91" i="41"/>
  <c r="AG90" i="41"/>
  <c r="AG89" i="41"/>
  <c r="AG88" i="41"/>
  <c r="AF87" i="41"/>
  <c r="AE87" i="41"/>
  <c r="AD87" i="41"/>
  <c r="AC87" i="41"/>
  <c r="AB87" i="41"/>
  <c r="AA87" i="41"/>
  <c r="Z87" i="41"/>
  <c r="Y87" i="41"/>
  <c r="X87" i="41"/>
  <c r="W87" i="41"/>
  <c r="V87" i="41"/>
  <c r="U87" i="41"/>
  <c r="T87" i="41"/>
  <c r="S87" i="41"/>
  <c r="R87" i="41"/>
  <c r="Q87" i="41"/>
  <c r="P87" i="41"/>
  <c r="O87" i="41"/>
  <c r="N87" i="41"/>
  <c r="M87" i="41"/>
  <c r="L87" i="41"/>
  <c r="K87" i="41"/>
  <c r="J87" i="41"/>
  <c r="I87" i="41"/>
  <c r="H87" i="41"/>
  <c r="G87" i="41"/>
  <c r="F87" i="41"/>
  <c r="E87" i="41"/>
  <c r="D87" i="41"/>
  <c r="C87" i="41"/>
  <c r="B87" i="41"/>
  <c r="AG86" i="41"/>
  <c r="AG85" i="41"/>
  <c r="AF84" i="41"/>
  <c r="AE84" i="41"/>
  <c r="AD84" i="41"/>
  <c r="AC84" i="41"/>
  <c r="AB84" i="41"/>
  <c r="AA84" i="41"/>
  <c r="Z84" i="41"/>
  <c r="Y84" i="41"/>
  <c r="X84" i="41"/>
  <c r="W84" i="41"/>
  <c r="V84" i="41"/>
  <c r="U84" i="41"/>
  <c r="T84" i="41"/>
  <c r="S84" i="41"/>
  <c r="R84" i="41"/>
  <c r="Q84" i="41"/>
  <c r="P84" i="41"/>
  <c r="O84" i="41"/>
  <c r="N84" i="41"/>
  <c r="M84" i="41"/>
  <c r="L84" i="41"/>
  <c r="K84" i="41"/>
  <c r="J84" i="41"/>
  <c r="I84" i="41"/>
  <c r="H84" i="41"/>
  <c r="G84" i="41"/>
  <c r="F84" i="41"/>
  <c r="E84" i="41"/>
  <c r="D84" i="41"/>
  <c r="C84" i="41"/>
  <c r="B84" i="41"/>
  <c r="P83" i="41"/>
  <c r="P81" i="41" s="1"/>
  <c r="AF82" i="41"/>
  <c r="AF83" i="41" s="1"/>
  <c r="AF81" i="41" s="1"/>
  <c r="AE82" i="41"/>
  <c r="AE83" i="41" s="1"/>
  <c r="AE81" i="41" s="1"/>
  <c r="AD82" i="41"/>
  <c r="AD83" i="41" s="1"/>
  <c r="AC82" i="41"/>
  <c r="AC83" i="41" s="1"/>
  <c r="AB82" i="41"/>
  <c r="AB83" i="41" s="1"/>
  <c r="AB81" i="41" s="1"/>
  <c r="AA82" i="41"/>
  <c r="AA83" i="41" s="1"/>
  <c r="Z82" i="41"/>
  <c r="Z83" i="41" s="1"/>
  <c r="Z81" i="41" s="1"/>
  <c r="Y82" i="41"/>
  <c r="Y83" i="41" s="1"/>
  <c r="X82" i="41"/>
  <c r="X83" i="41" s="1"/>
  <c r="X81" i="41" s="1"/>
  <c r="W82" i="41"/>
  <c r="V82" i="41"/>
  <c r="U82" i="41"/>
  <c r="U83" i="41" s="1"/>
  <c r="U81" i="41" s="1"/>
  <c r="T82" i="41"/>
  <c r="T83" i="41" s="1"/>
  <c r="T81" i="41" s="1"/>
  <c r="S82" i="41"/>
  <c r="S83" i="41" s="1"/>
  <c r="S81" i="41" s="1"/>
  <c r="R82" i="41"/>
  <c r="R83" i="41" s="1"/>
  <c r="Q82" i="41"/>
  <c r="Q83" i="41" s="1"/>
  <c r="P82" i="41"/>
  <c r="O82" i="41"/>
  <c r="O83" i="41" s="1"/>
  <c r="N82" i="41"/>
  <c r="N83" i="41" s="1"/>
  <c r="N81" i="41" s="1"/>
  <c r="M82" i="41"/>
  <c r="M83" i="41" s="1"/>
  <c r="L82" i="41"/>
  <c r="L83" i="41" s="1"/>
  <c r="L81" i="41" s="1"/>
  <c r="K82" i="41"/>
  <c r="J82" i="41"/>
  <c r="I82" i="41"/>
  <c r="I83" i="41" s="1"/>
  <c r="I81" i="41" s="1"/>
  <c r="H82" i="41"/>
  <c r="H83" i="41" s="1"/>
  <c r="H81" i="41" s="1"/>
  <c r="G82" i="41"/>
  <c r="G83" i="41" s="1"/>
  <c r="G81" i="41" s="1"/>
  <c r="F82" i="41"/>
  <c r="F83" i="41" s="1"/>
  <c r="E82" i="41"/>
  <c r="E83" i="41" s="1"/>
  <c r="D82" i="41"/>
  <c r="D83" i="41" s="1"/>
  <c r="D81" i="41" s="1"/>
  <c r="C82" i="41"/>
  <c r="C83" i="41" s="1"/>
  <c r="B82" i="41"/>
  <c r="AG80" i="41"/>
  <c r="AF79" i="41"/>
  <c r="AE79" i="41"/>
  <c r="AE78" i="41" s="1"/>
  <c r="AD79" i="41"/>
  <c r="AD78" i="41" s="1"/>
  <c r="AC79" i="41"/>
  <c r="AC78" i="41" s="1"/>
  <c r="AB79" i="41"/>
  <c r="AB78" i="41" s="1"/>
  <c r="AA79" i="41"/>
  <c r="AA78" i="41" s="1"/>
  <c r="Z79" i="41"/>
  <c r="Z78" i="41" s="1"/>
  <c r="Y79" i="41"/>
  <c r="Y78" i="41" s="1"/>
  <c r="X79" i="41"/>
  <c r="X78" i="41" s="1"/>
  <c r="W79" i="41"/>
  <c r="W78" i="41" s="1"/>
  <c r="V79" i="41"/>
  <c r="V78" i="41" s="1"/>
  <c r="U79" i="41"/>
  <c r="U78" i="41" s="1"/>
  <c r="T79" i="41"/>
  <c r="T78" i="41" s="1"/>
  <c r="S79" i="41"/>
  <c r="S78" i="41" s="1"/>
  <c r="R79" i="41"/>
  <c r="R78" i="41" s="1"/>
  <c r="Q79" i="41"/>
  <c r="Q78" i="41" s="1"/>
  <c r="P79" i="41"/>
  <c r="P78" i="41" s="1"/>
  <c r="O79" i="41"/>
  <c r="O78" i="41" s="1"/>
  <c r="N79" i="41"/>
  <c r="N78" i="41" s="1"/>
  <c r="M79" i="41"/>
  <c r="M78" i="41" s="1"/>
  <c r="L79" i="41"/>
  <c r="L78" i="41" s="1"/>
  <c r="K79" i="41"/>
  <c r="K78" i="41" s="1"/>
  <c r="J79" i="41"/>
  <c r="I79" i="41"/>
  <c r="I78" i="41" s="1"/>
  <c r="H79" i="41"/>
  <c r="H78" i="41" s="1"/>
  <c r="G79" i="41"/>
  <c r="G78" i="41" s="1"/>
  <c r="F79" i="41"/>
  <c r="F78" i="41" s="1"/>
  <c r="E79" i="41"/>
  <c r="E78" i="41" s="1"/>
  <c r="D79" i="41"/>
  <c r="D78" i="41" s="1"/>
  <c r="C79" i="41"/>
  <c r="C78" i="41" s="1"/>
  <c r="B79" i="41"/>
  <c r="B78" i="41" s="1"/>
  <c r="AF78" i="41"/>
  <c r="J78" i="41"/>
  <c r="AG77" i="41"/>
  <c r="AG76" i="41"/>
  <c r="AG75" i="41"/>
  <c r="AG74" i="41"/>
  <c r="AG73" i="41"/>
  <c r="AG72" i="41"/>
  <c r="AG71" i="41"/>
  <c r="AG70" i="41"/>
  <c r="AG69" i="41"/>
  <c r="AG68" i="41"/>
  <c r="AG67" i="41"/>
  <c r="AG66" i="41"/>
  <c r="AG65" i="41"/>
  <c r="AG64" i="41"/>
  <c r="AG63" i="41"/>
  <c r="AG62" i="41"/>
  <c r="AG61" i="41"/>
  <c r="AG60" i="41"/>
  <c r="AG59" i="41"/>
  <c r="AG58" i="41"/>
  <c r="AG57" i="41"/>
  <c r="AG56" i="41"/>
  <c r="AG55" i="41"/>
  <c r="AG54" i="41"/>
  <c r="AF53" i="41"/>
  <c r="AE53" i="41"/>
  <c r="AE134" i="41" s="1"/>
  <c r="AD53" i="41"/>
  <c r="AD134" i="41" s="1"/>
  <c r="AC53" i="41"/>
  <c r="AC134" i="41" s="1"/>
  <c r="AB53" i="41"/>
  <c r="AB134" i="41" s="1"/>
  <c r="AA53" i="41"/>
  <c r="AA134" i="41" s="1"/>
  <c r="Z53" i="41"/>
  <c r="Z134" i="41" s="1"/>
  <c r="Y53" i="41"/>
  <c r="Y134" i="41" s="1"/>
  <c r="X53" i="41"/>
  <c r="X134" i="41" s="1"/>
  <c r="W53" i="41"/>
  <c r="W134" i="41" s="1"/>
  <c r="V53" i="41"/>
  <c r="V134" i="41" s="1"/>
  <c r="U53" i="41"/>
  <c r="U134" i="41" s="1"/>
  <c r="T53" i="41"/>
  <c r="T134" i="41" s="1"/>
  <c r="S53" i="41"/>
  <c r="S134" i="41" s="1"/>
  <c r="R53" i="41"/>
  <c r="R134" i="41" s="1"/>
  <c r="Q53" i="41"/>
  <c r="Q134" i="41" s="1"/>
  <c r="P53" i="41"/>
  <c r="P134" i="41" s="1"/>
  <c r="O53" i="41"/>
  <c r="O134" i="41" s="1"/>
  <c r="N53" i="41"/>
  <c r="N134" i="41" s="1"/>
  <c r="M53" i="41"/>
  <c r="M134" i="41" s="1"/>
  <c r="L53" i="41"/>
  <c r="L134" i="41" s="1"/>
  <c r="K53" i="41"/>
  <c r="K134" i="41" s="1"/>
  <c r="J53" i="41"/>
  <c r="J134" i="41" s="1"/>
  <c r="I53" i="41"/>
  <c r="I134" i="41" s="1"/>
  <c r="H53" i="41"/>
  <c r="H134" i="41" s="1"/>
  <c r="G53" i="41"/>
  <c r="G134" i="41" s="1"/>
  <c r="F53" i="41"/>
  <c r="F134" i="41" s="1"/>
  <c r="E53" i="41"/>
  <c r="E134" i="41" s="1"/>
  <c r="D53" i="41"/>
  <c r="D134" i="41" s="1"/>
  <c r="C53" i="41"/>
  <c r="B53" i="41"/>
  <c r="B134" i="41" s="1"/>
  <c r="AG52" i="41"/>
  <c r="AG51" i="41"/>
  <c r="AG50" i="41"/>
  <c r="AG49" i="41"/>
  <c r="AG48" i="41"/>
  <c r="AG47" i="41"/>
  <c r="AG46" i="41"/>
  <c r="AG45" i="41"/>
  <c r="AG44" i="41"/>
  <c r="AG43" i="41"/>
  <c r="AG42" i="41"/>
  <c r="AG41" i="41"/>
  <c r="AG40" i="41"/>
  <c r="AG39" i="41"/>
  <c r="AG38" i="41"/>
  <c r="AG37" i="41"/>
  <c r="AG36" i="41"/>
  <c r="AG35" i="41"/>
  <c r="AG34" i="41"/>
  <c r="AG33" i="41"/>
  <c r="AG32" i="41"/>
  <c r="AG31" i="41"/>
  <c r="AG30" i="41"/>
  <c r="AG29" i="41"/>
  <c r="AF28" i="41"/>
  <c r="AF133" i="41" s="1"/>
  <c r="AE28" i="41"/>
  <c r="AE133" i="41" s="1"/>
  <c r="AD28" i="41"/>
  <c r="AD133" i="41" s="1"/>
  <c r="AC28" i="41"/>
  <c r="AC133" i="41" s="1"/>
  <c r="AB28" i="41"/>
  <c r="AB133" i="41" s="1"/>
  <c r="AA28" i="41"/>
  <c r="AA133" i="41" s="1"/>
  <c r="Z28" i="41"/>
  <c r="Z133" i="41" s="1"/>
  <c r="Y28" i="41"/>
  <c r="Y133" i="41" s="1"/>
  <c r="X28" i="41"/>
  <c r="X133" i="41" s="1"/>
  <c r="W28" i="41"/>
  <c r="W133" i="41" s="1"/>
  <c r="V28" i="41"/>
  <c r="V133" i="41" s="1"/>
  <c r="U28" i="41"/>
  <c r="U133" i="41" s="1"/>
  <c r="T28" i="41"/>
  <c r="T133" i="41" s="1"/>
  <c r="S28" i="41"/>
  <c r="S133" i="41" s="1"/>
  <c r="R28" i="41"/>
  <c r="R133" i="41" s="1"/>
  <c r="Q28" i="41"/>
  <c r="Q133" i="41" s="1"/>
  <c r="P28" i="41"/>
  <c r="P133" i="41" s="1"/>
  <c r="O28" i="41"/>
  <c r="O133" i="41" s="1"/>
  <c r="N28" i="41"/>
  <c r="N133" i="41" s="1"/>
  <c r="M28" i="41"/>
  <c r="M133" i="41" s="1"/>
  <c r="L28" i="41"/>
  <c r="L133" i="41" s="1"/>
  <c r="K28" i="41"/>
  <c r="K133" i="41" s="1"/>
  <c r="J28" i="41"/>
  <c r="J133" i="41" s="1"/>
  <c r="I28" i="41"/>
  <c r="H28" i="41"/>
  <c r="H133" i="41" s="1"/>
  <c r="G28" i="41"/>
  <c r="G133" i="41" s="1"/>
  <c r="F28" i="41"/>
  <c r="F133" i="41" s="1"/>
  <c r="E28" i="41"/>
  <c r="E133" i="41" s="1"/>
  <c r="D28" i="41"/>
  <c r="D133" i="41" s="1"/>
  <c r="C28" i="41"/>
  <c r="C133" i="41" s="1"/>
  <c r="B28" i="41"/>
  <c r="B133" i="41" s="1"/>
  <c r="AG27" i="41"/>
  <c r="AG26" i="41"/>
  <c r="AG25" i="41"/>
  <c r="AG24" i="41"/>
  <c r="AG23" i="41"/>
  <c r="AG22" i="41"/>
  <c r="AG21" i="41"/>
  <c r="AG20" i="41"/>
  <c r="AG19" i="41"/>
  <c r="AG18" i="41"/>
  <c r="AG17" i="41"/>
  <c r="AG16" i="41"/>
  <c r="AG15" i="41"/>
  <c r="AG14" i="41"/>
  <c r="AG13" i="41"/>
  <c r="AG12" i="41"/>
  <c r="AG11" i="41"/>
  <c r="AG10" i="41"/>
  <c r="AG9" i="41"/>
  <c r="AG8" i="41"/>
  <c r="AG7" i="41"/>
  <c r="AG6" i="41"/>
  <c r="AG5" i="41"/>
  <c r="AG4" i="41"/>
  <c r="AF3" i="41"/>
  <c r="AE3" i="41"/>
  <c r="AD3" i="41"/>
  <c r="AC3" i="41"/>
  <c r="AB3" i="41"/>
  <c r="AA3" i="41"/>
  <c r="Z3" i="41"/>
  <c r="Y3" i="41"/>
  <c r="X3" i="41"/>
  <c r="W3" i="41"/>
  <c r="V3" i="41"/>
  <c r="U3" i="41"/>
  <c r="T3" i="4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C3" i="41"/>
  <c r="B3" i="41"/>
  <c r="C2" i="41"/>
  <c r="D2" i="41" s="1"/>
  <c r="E2" i="41" s="1"/>
  <c r="F2" i="41" s="1"/>
  <c r="G2" i="41" s="1"/>
  <c r="H2" i="41" s="1"/>
  <c r="I2" i="41" s="1"/>
  <c r="J2" i="41" s="1"/>
  <c r="K2" i="41" s="1"/>
  <c r="L2" i="41" s="1"/>
  <c r="M2" i="41" s="1"/>
  <c r="N2" i="41" s="1"/>
  <c r="O2" i="41" s="1"/>
  <c r="P2" i="41" s="1"/>
  <c r="Q2" i="41" s="1"/>
  <c r="R2" i="41" s="1"/>
  <c r="S2" i="41" s="1"/>
  <c r="T2" i="41" s="1"/>
  <c r="U2" i="41" s="1"/>
  <c r="V2" i="41" s="1"/>
  <c r="W2" i="41" s="1"/>
  <c r="X2" i="41" s="1"/>
  <c r="Y2" i="41" s="1"/>
  <c r="Z2" i="41" s="1"/>
  <c r="AA2" i="41" s="1"/>
  <c r="AB2" i="41" s="1"/>
  <c r="AC2" i="41" s="1"/>
  <c r="AD2" i="41" s="1"/>
  <c r="AE2" i="41" s="1"/>
  <c r="AF2" i="41" s="1"/>
  <c r="AG180" i="40"/>
  <c r="AG179" i="40"/>
  <c r="AG178" i="40"/>
  <c r="AF177" i="40"/>
  <c r="AE177" i="40"/>
  <c r="AD177" i="40"/>
  <c r="AC177" i="40"/>
  <c r="AB177" i="40"/>
  <c r="AA177" i="40"/>
  <c r="Z177" i="40"/>
  <c r="Y177" i="40"/>
  <c r="X177" i="40"/>
  <c r="W177" i="40"/>
  <c r="V177" i="40"/>
  <c r="U177" i="40"/>
  <c r="T177" i="40"/>
  <c r="S177" i="40"/>
  <c r="R177" i="40"/>
  <c r="Q177" i="40"/>
  <c r="P177" i="40"/>
  <c r="O177" i="40"/>
  <c r="N177" i="40"/>
  <c r="M177" i="40"/>
  <c r="L177" i="40"/>
  <c r="K177" i="40"/>
  <c r="J177" i="40"/>
  <c r="I177" i="40"/>
  <c r="H177" i="40"/>
  <c r="G177" i="40"/>
  <c r="F177" i="40"/>
  <c r="E177" i="40"/>
  <c r="D177" i="40"/>
  <c r="C177" i="40"/>
  <c r="B177" i="40"/>
  <c r="AG177" i="40" s="1"/>
  <c r="AG176" i="40"/>
  <c r="AG175" i="40"/>
  <c r="AG174" i="40"/>
  <c r="AG173" i="40"/>
  <c r="AG172" i="40"/>
  <c r="AF171" i="40"/>
  <c r="AE171" i="40"/>
  <c r="AD171" i="40"/>
  <c r="AC171" i="40"/>
  <c r="AB171" i="40"/>
  <c r="AA171" i="40"/>
  <c r="Z171" i="40"/>
  <c r="Y171" i="40"/>
  <c r="X171" i="40"/>
  <c r="W171" i="40"/>
  <c r="V171" i="40"/>
  <c r="U171" i="40"/>
  <c r="T171" i="40"/>
  <c r="S171" i="40"/>
  <c r="R171" i="40"/>
  <c r="Q171" i="40"/>
  <c r="P171" i="40"/>
  <c r="O171" i="40"/>
  <c r="N171" i="40"/>
  <c r="M171" i="40"/>
  <c r="L171" i="40"/>
  <c r="K171" i="40"/>
  <c r="J171" i="40"/>
  <c r="I171" i="40"/>
  <c r="H171" i="40"/>
  <c r="G171" i="40"/>
  <c r="F171" i="40"/>
  <c r="E171" i="40"/>
  <c r="D171" i="40"/>
  <c r="C171" i="40"/>
  <c r="B171" i="40"/>
  <c r="AG170" i="40"/>
  <c r="AG169" i="40"/>
  <c r="AG168" i="40"/>
  <c r="AG167" i="40"/>
  <c r="AG166" i="40"/>
  <c r="AG165" i="40"/>
  <c r="AG164" i="40"/>
  <c r="AG163" i="40"/>
  <c r="AG162" i="40"/>
  <c r="AG161" i="40"/>
  <c r="AG160" i="40"/>
  <c r="AG159" i="40"/>
  <c r="AG158" i="40"/>
  <c r="AG157" i="40"/>
  <c r="AG156" i="40"/>
  <c r="AG155" i="40"/>
  <c r="AG154" i="40"/>
  <c r="AG153" i="40"/>
  <c r="AG152" i="40"/>
  <c r="AG151" i="40"/>
  <c r="AG150" i="40"/>
  <c r="AG149" i="40"/>
  <c r="AG148" i="40"/>
  <c r="AG147" i="40"/>
  <c r="AG146" i="40"/>
  <c r="AG145" i="40"/>
  <c r="AF144" i="40"/>
  <c r="AE144" i="40"/>
  <c r="AD144" i="40"/>
  <c r="AC144" i="40"/>
  <c r="AB144" i="40"/>
  <c r="AA144" i="40"/>
  <c r="Z144" i="40"/>
  <c r="Y144" i="40"/>
  <c r="X144" i="40"/>
  <c r="W144" i="40"/>
  <c r="V144" i="40"/>
  <c r="U144" i="40"/>
  <c r="T144" i="40"/>
  <c r="S144" i="40"/>
  <c r="R144" i="40"/>
  <c r="Q144" i="40"/>
  <c r="P144" i="40"/>
  <c r="O144" i="40"/>
  <c r="N144" i="40"/>
  <c r="M144" i="40"/>
  <c r="L144" i="40"/>
  <c r="K144" i="40"/>
  <c r="J144" i="40"/>
  <c r="I144" i="40"/>
  <c r="H144" i="40"/>
  <c r="G144" i="40"/>
  <c r="F144" i="40"/>
  <c r="E144" i="40"/>
  <c r="D144" i="40"/>
  <c r="C144" i="40"/>
  <c r="B144" i="40"/>
  <c r="AG143" i="40"/>
  <c r="AG142" i="40"/>
  <c r="AG141" i="40"/>
  <c r="AG140" i="40"/>
  <c r="AF139" i="40"/>
  <c r="AE139" i="40"/>
  <c r="AD139" i="40"/>
  <c r="AC139" i="40"/>
  <c r="AB139" i="40"/>
  <c r="AA139" i="40"/>
  <c r="Z139" i="40"/>
  <c r="Y139" i="40"/>
  <c r="X139" i="40"/>
  <c r="W139" i="40"/>
  <c r="V139" i="40"/>
  <c r="U139" i="40"/>
  <c r="T139" i="40"/>
  <c r="S139" i="40"/>
  <c r="R139" i="40"/>
  <c r="Q139" i="40"/>
  <c r="P139" i="40"/>
  <c r="O139" i="40"/>
  <c r="N139" i="40"/>
  <c r="M139" i="40"/>
  <c r="L139" i="40"/>
  <c r="K139" i="40"/>
  <c r="J139" i="40"/>
  <c r="I139" i="40"/>
  <c r="H139" i="40"/>
  <c r="G139" i="40"/>
  <c r="F139" i="40"/>
  <c r="E139" i="40"/>
  <c r="D139" i="40"/>
  <c r="C139" i="40"/>
  <c r="B139" i="40"/>
  <c r="AG138" i="40"/>
  <c r="AG137" i="40"/>
  <c r="AG136" i="40"/>
  <c r="AF135" i="40"/>
  <c r="AE135" i="40"/>
  <c r="AD135" i="40"/>
  <c r="AC135" i="40"/>
  <c r="AB135" i="40"/>
  <c r="AA135" i="40"/>
  <c r="Z135" i="40"/>
  <c r="Y135" i="40"/>
  <c r="X135" i="40"/>
  <c r="W135" i="40"/>
  <c r="V135" i="40"/>
  <c r="U135" i="40"/>
  <c r="T135" i="40"/>
  <c r="S135" i="40"/>
  <c r="R135" i="40"/>
  <c r="Q135" i="40"/>
  <c r="P135" i="40"/>
  <c r="O135" i="40"/>
  <c r="N135" i="40"/>
  <c r="M135" i="40"/>
  <c r="L135" i="40"/>
  <c r="K135" i="40"/>
  <c r="J135" i="40"/>
  <c r="I135" i="40"/>
  <c r="H135" i="40"/>
  <c r="G135" i="40"/>
  <c r="F135" i="40"/>
  <c r="E135" i="40"/>
  <c r="D135" i="40"/>
  <c r="C135" i="40"/>
  <c r="B135" i="40"/>
  <c r="AG132" i="40"/>
  <c r="AG131" i="40"/>
  <c r="AG130" i="40"/>
  <c r="AG129" i="40"/>
  <c r="AG128" i="40"/>
  <c r="AG127" i="40"/>
  <c r="AG126" i="40"/>
  <c r="AG125" i="40"/>
  <c r="AG124" i="40"/>
  <c r="AG123" i="40"/>
  <c r="AG122" i="40"/>
  <c r="AG121" i="40"/>
  <c r="AG120" i="40"/>
  <c r="AF119" i="40"/>
  <c r="AE119" i="40"/>
  <c r="AD119" i="40"/>
  <c r="AC119" i="40"/>
  <c r="AB119" i="40"/>
  <c r="AA119" i="40"/>
  <c r="Z119" i="40"/>
  <c r="Y119" i="40"/>
  <c r="X119" i="40"/>
  <c r="W119" i="40"/>
  <c r="V119" i="40"/>
  <c r="U119" i="40"/>
  <c r="T119" i="40"/>
  <c r="S119" i="40"/>
  <c r="R119" i="40"/>
  <c r="Q119" i="40"/>
  <c r="P119" i="40"/>
  <c r="O119" i="40"/>
  <c r="N119" i="40"/>
  <c r="M119" i="40"/>
  <c r="L119" i="40"/>
  <c r="K119" i="40"/>
  <c r="J119" i="40"/>
  <c r="I119" i="40"/>
  <c r="H119" i="40"/>
  <c r="G119" i="40"/>
  <c r="F119" i="40"/>
  <c r="E119" i="40"/>
  <c r="D119" i="40"/>
  <c r="C119" i="40"/>
  <c r="B119" i="40"/>
  <c r="AG118" i="40"/>
  <c r="AG117" i="40"/>
  <c r="AF116" i="40"/>
  <c r="AE116" i="40"/>
  <c r="AD116" i="40"/>
  <c r="AC116" i="40"/>
  <c r="AB116" i="40"/>
  <c r="AA116" i="40"/>
  <c r="Z116" i="40"/>
  <c r="Y116" i="40"/>
  <c r="X116" i="40"/>
  <c r="W116" i="40"/>
  <c r="V116" i="40"/>
  <c r="U116" i="40"/>
  <c r="T116" i="40"/>
  <c r="S116" i="40"/>
  <c r="R116" i="40"/>
  <c r="Q116" i="40"/>
  <c r="P116" i="40"/>
  <c r="O116" i="40"/>
  <c r="N116" i="40"/>
  <c r="M116" i="40"/>
  <c r="L116" i="40"/>
  <c r="K116" i="40"/>
  <c r="J116" i="40"/>
  <c r="I116" i="40"/>
  <c r="H116" i="40"/>
  <c r="G116" i="40"/>
  <c r="F116" i="40"/>
  <c r="E116" i="40"/>
  <c r="D116" i="40"/>
  <c r="C116" i="40"/>
  <c r="B116" i="40"/>
  <c r="AG115" i="40"/>
  <c r="AG114" i="40"/>
  <c r="AG113" i="40"/>
  <c r="AG112" i="40"/>
  <c r="AG111" i="40"/>
  <c r="AG110" i="40"/>
  <c r="AG109" i="40"/>
  <c r="AG108" i="40"/>
  <c r="AG107" i="40"/>
  <c r="AG106" i="40"/>
  <c r="AG105" i="40"/>
  <c r="AG104" i="40"/>
  <c r="AG103" i="40"/>
  <c r="AG102" i="40"/>
  <c r="AG101" i="40"/>
  <c r="AF100" i="40"/>
  <c r="AE100" i="40"/>
  <c r="AD100" i="40"/>
  <c r="AC100" i="40"/>
  <c r="AB100" i="40"/>
  <c r="AA100" i="40"/>
  <c r="AA93" i="40" s="1"/>
  <c r="Z100" i="40"/>
  <c r="Y100" i="40"/>
  <c r="X100" i="40"/>
  <c r="W100" i="40"/>
  <c r="V100" i="40"/>
  <c r="U100" i="40"/>
  <c r="T100" i="40"/>
  <c r="S100" i="40"/>
  <c r="R100" i="40"/>
  <c r="Q100" i="40"/>
  <c r="P100" i="40"/>
  <c r="O100" i="40"/>
  <c r="N100" i="40"/>
  <c r="M100" i="40"/>
  <c r="L100" i="40"/>
  <c r="K100" i="40"/>
  <c r="J100" i="40"/>
  <c r="I100" i="40"/>
  <c r="H100" i="40"/>
  <c r="G100" i="40"/>
  <c r="F100" i="40"/>
  <c r="E100" i="40"/>
  <c r="D100" i="40"/>
  <c r="C100" i="40"/>
  <c r="B100" i="40"/>
  <c r="AG99" i="40"/>
  <c r="AG98" i="40"/>
  <c r="AG97" i="40"/>
  <c r="AG96" i="40"/>
  <c r="AG95" i="40"/>
  <c r="AF94" i="40"/>
  <c r="AF93" i="40" s="1"/>
  <c r="AE94" i="40"/>
  <c r="AE93" i="40" s="1"/>
  <c r="AD94" i="40"/>
  <c r="AD93" i="40" s="1"/>
  <c r="AC94" i="40"/>
  <c r="AC93" i="40" s="1"/>
  <c r="AB94" i="40"/>
  <c r="AA94" i="40"/>
  <c r="Z94" i="40"/>
  <c r="Y94" i="40"/>
  <c r="X94" i="40"/>
  <c r="X93" i="40" s="1"/>
  <c r="W94" i="40"/>
  <c r="V94" i="40"/>
  <c r="V93" i="40" s="1"/>
  <c r="U94" i="40"/>
  <c r="T94" i="40"/>
  <c r="T93" i="40" s="1"/>
  <c r="S94" i="40"/>
  <c r="S93" i="40" s="1"/>
  <c r="R94" i="40"/>
  <c r="Q94" i="40"/>
  <c r="Q93" i="40" s="1"/>
  <c r="P94" i="40"/>
  <c r="O94" i="40"/>
  <c r="O93" i="40" s="1"/>
  <c r="N94" i="40"/>
  <c r="M94" i="40"/>
  <c r="L94" i="40"/>
  <c r="K94" i="40"/>
  <c r="J94" i="40"/>
  <c r="J93" i="40" s="1"/>
  <c r="I94" i="40"/>
  <c r="H94" i="40"/>
  <c r="G94" i="40"/>
  <c r="F94" i="40"/>
  <c r="F93" i="40" s="1"/>
  <c r="E94" i="40"/>
  <c r="E93" i="40" s="1"/>
  <c r="D94" i="40"/>
  <c r="C94" i="40"/>
  <c r="C93" i="40" s="1"/>
  <c r="B94" i="40"/>
  <c r="L93" i="40"/>
  <c r="AG92" i="40"/>
  <c r="AG91" i="40"/>
  <c r="AG90" i="40"/>
  <c r="AG89" i="40"/>
  <c r="AG88" i="40"/>
  <c r="AF87" i="40"/>
  <c r="AE87" i="40"/>
  <c r="AD87" i="40"/>
  <c r="AC87" i="40"/>
  <c r="AB87" i="40"/>
  <c r="AA87" i="40"/>
  <c r="Z87" i="40"/>
  <c r="Y87" i="40"/>
  <c r="X87" i="40"/>
  <c r="W87" i="40"/>
  <c r="V87" i="40"/>
  <c r="U87" i="40"/>
  <c r="T87" i="40"/>
  <c r="S87" i="40"/>
  <c r="R87" i="40"/>
  <c r="Q87" i="40"/>
  <c r="P87" i="40"/>
  <c r="O87" i="40"/>
  <c r="N87" i="40"/>
  <c r="M87" i="40"/>
  <c r="L87" i="40"/>
  <c r="K87" i="40"/>
  <c r="J87" i="40"/>
  <c r="I87" i="40"/>
  <c r="H87" i="40"/>
  <c r="G87" i="40"/>
  <c r="F87" i="40"/>
  <c r="E87" i="40"/>
  <c r="D87" i="40"/>
  <c r="C87" i="40"/>
  <c r="B87" i="40"/>
  <c r="AG86" i="40"/>
  <c r="AG85" i="40"/>
  <c r="AF84" i="40"/>
  <c r="AE84" i="40"/>
  <c r="AD84" i="40"/>
  <c r="AC84" i="40"/>
  <c r="AB84" i="40"/>
  <c r="AA84" i="40"/>
  <c r="Z84" i="40"/>
  <c r="Y84" i="40"/>
  <c r="X84" i="40"/>
  <c r="W84" i="40"/>
  <c r="V84" i="40"/>
  <c r="U84" i="40"/>
  <c r="T84" i="40"/>
  <c r="S84" i="40"/>
  <c r="R84" i="40"/>
  <c r="Q84" i="40"/>
  <c r="P84" i="40"/>
  <c r="O84" i="40"/>
  <c r="N84" i="40"/>
  <c r="M84" i="40"/>
  <c r="L84" i="40"/>
  <c r="K84" i="40"/>
  <c r="J84" i="40"/>
  <c r="I84" i="40"/>
  <c r="H84" i="40"/>
  <c r="G84" i="40"/>
  <c r="F84" i="40"/>
  <c r="E84" i="40"/>
  <c r="D84" i="40"/>
  <c r="C84" i="40"/>
  <c r="B84" i="40"/>
  <c r="AA83" i="40"/>
  <c r="AA81" i="40" s="1"/>
  <c r="X83" i="40"/>
  <c r="AF82" i="40"/>
  <c r="AF83" i="40" s="1"/>
  <c r="AE82" i="40"/>
  <c r="AD82" i="40"/>
  <c r="AC82" i="40"/>
  <c r="AC83" i="40" s="1"/>
  <c r="AC81" i="40" s="1"/>
  <c r="AB82" i="40"/>
  <c r="AB83" i="40" s="1"/>
  <c r="AA82" i="40"/>
  <c r="Z82" i="40"/>
  <c r="Z83" i="40" s="1"/>
  <c r="Z81" i="40" s="1"/>
  <c r="Y82" i="40"/>
  <c r="X82" i="40"/>
  <c r="W82" i="40"/>
  <c r="W83" i="40" s="1"/>
  <c r="W81" i="40" s="1"/>
  <c r="V82" i="40"/>
  <c r="V83" i="40" s="1"/>
  <c r="V81" i="40" s="1"/>
  <c r="U82" i="40"/>
  <c r="T82" i="40"/>
  <c r="S82" i="40"/>
  <c r="R82" i="40"/>
  <c r="R83" i="40" s="1"/>
  <c r="Q82" i="40"/>
  <c r="Q83" i="40" s="1"/>
  <c r="Q81" i="40" s="1"/>
  <c r="P82" i="40"/>
  <c r="P83" i="40" s="1"/>
  <c r="O82" i="40"/>
  <c r="O83" i="40" s="1"/>
  <c r="O81" i="40" s="1"/>
  <c r="N82" i="40"/>
  <c r="N83" i="40" s="1"/>
  <c r="N81" i="40" s="1"/>
  <c r="M82" i="40"/>
  <c r="M83" i="40" s="1"/>
  <c r="L82" i="40"/>
  <c r="L83" i="40" s="1"/>
  <c r="K82" i="40"/>
  <c r="K83" i="40" s="1"/>
  <c r="K81" i="40" s="1"/>
  <c r="J82" i="40"/>
  <c r="I82" i="40"/>
  <c r="I83" i="40" s="1"/>
  <c r="H82" i="40"/>
  <c r="H83" i="40" s="1"/>
  <c r="G82" i="40"/>
  <c r="F82" i="40"/>
  <c r="F83" i="40" s="1"/>
  <c r="F81" i="40" s="1"/>
  <c r="E82" i="40"/>
  <c r="E83" i="40" s="1"/>
  <c r="E81" i="40" s="1"/>
  <c r="D82" i="40"/>
  <c r="D83" i="40" s="1"/>
  <c r="C82" i="40"/>
  <c r="B82" i="40"/>
  <c r="B83" i="40" s="1"/>
  <c r="AG80" i="40"/>
  <c r="AF79" i="40"/>
  <c r="AF78" i="40" s="1"/>
  <c r="AE79" i="40"/>
  <c r="AE78" i="40" s="1"/>
  <c r="AD79" i="40"/>
  <c r="AD78" i="40" s="1"/>
  <c r="AC79" i="40"/>
  <c r="AC78" i="40" s="1"/>
  <c r="AB79" i="40"/>
  <c r="AB78" i="40" s="1"/>
  <c r="AA79" i="40"/>
  <c r="AA78" i="40" s="1"/>
  <c r="Z79" i="40"/>
  <c r="Z78" i="40" s="1"/>
  <c r="Y79" i="40"/>
  <c r="Y78" i="40" s="1"/>
  <c r="X79" i="40"/>
  <c r="X78" i="40" s="1"/>
  <c r="W79" i="40"/>
  <c r="W78" i="40" s="1"/>
  <c r="V79" i="40"/>
  <c r="V78" i="40" s="1"/>
  <c r="U79" i="40"/>
  <c r="U78" i="40" s="1"/>
  <c r="T79" i="40"/>
  <c r="T78" i="40" s="1"/>
  <c r="S79" i="40"/>
  <c r="S78" i="40" s="1"/>
  <c r="R79" i="40"/>
  <c r="R78" i="40" s="1"/>
  <c r="Q79" i="40"/>
  <c r="Q78" i="40" s="1"/>
  <c r="P79" i="40"/>
  <c r="P78" i="40" s="1"/>
  <c r="O79" i="40"/>
  <c r="O78" i="40" s="1"/>
  <c r="N79" i="40"/>
  <c r="N78" i="40" s="1"/>
  <c r="M79" i="40"/>
  <c r="M78" i="40" s="1"/>
  <c r="L79" i="40"/>
  <c r="L78" i="40" s="1"/>
  <c r="K79" i="40"/>
  <c r="K78" i="40" s="1"/>
  <c r="J79" i="40"/>
  <c r="J78" i="40" s="1"/>
  <c r="I79" i="40"/>
  <c r="I78" i="40" s="1"/>
  <c r="H79" i="40"/>
  <c r="H78" i="40" s="1"/>
  <c r="G79" i="40"/>
  <c r="G78" i="40" s="1"/>
  <c r="F79" i="40"/>
  <c r="F78" i="40" s="1"/>
  <c r="E79" i="40"/>
  <c r="E78" i="40" s="1"/>
  <c r="D79" i="40"/>
  <c r="D78" i="40" s="1"/>
  <c r="C79" i="40"/>
  <c r="C78" i="40" s="1"/>
  <c r="B79" i="40"/>
  <c r="B78" i="40" s="1"/>
  <c r="AG77" i="40"/>
  <c r="AG76" i="40"/>
  <c r="AG75" i="40"/>
  <c r="AG74" i="40"/>
  <c r="AG73" i="40"/>
  <c r="AG72" i="40"/>
  <c r="AG71" i="40"/>
  <c r="AG70" i="40"/>
  <c r="AG69" i="40"/>
  <c r="AG68" i="40"/>
  <c r="AG67" i="40"/>
  <c r="AG66" i="40"/>
  <c r="AG65" i="40"/>
  <c r="AG64" i="40"/>
  <c r="AG63" i="40"/>
  <c r="AG62" i="40"/>
  <c r="AG61" i="40"/>
  <c r="AG60" i="40"/>
  <c r="AG59" i="40"/>
  <c r="AG58" i="40"/>
  <c r="AG57" i="40"/>
  <c r="AG56" i="40"/>
  <c r="AG55" i="40"/>
  <c r="AG54" i="40"/>
  <c r="AF53" i="40"/>
  <c r="AF134" i="40" s="1"/>
  <c r="AE53" i="40"/>
  <c r="AE134" i="40" s="1"/>
  <c r="AD53" i="40"/>
  <c r="AD134" i="40" s="1"/>
  <c r="AC53" i="40"/>
  <c r="AC134" i="40" s="1"/>
  <c r="AB53" i="40"/>
  <c r="AB134" i="40" s="1"/>
  <c r="AA53" i="40"/>
  <c r="AA134" i="40" s="1"/>
  <c r="Z53" i="40"/>
  <c r="Z134" i="40" s="1"/>
  <c r="Y53" i="40"/>
  <c r="Y134" i="40" s="1"/>
  <c r="X53" i="40"/>
  <c r="X134" i="40" s="1"/>
  <c r="W53" i="40"/>
  <c r="W134" i="40" s="1"/>
  <c r="V53" i="40"/>
  <c r="V134" i="40" s="1"/>
  <c r="U53" i="40"/>
  <c r="U134" i="40" s="1"/>
  <c r="T53" i="40"/>
  <c r="T134" i="40" s="1"/>
  <c r="S53" i="40"/>
  <c r="S134" i="40" s="1"/>
  <c r="R53" i="40"/>
  <c r="R134" i="40" s="1"/>
  <c r="Q53" i="40"/>
  <c r="Q134" i="40" s="1"/>
  <c r="P53" i="40"/>
  <c r="P134" i="40" s="1"/>
  <c r="O53" i="40"/>
  <c r="O134" i="40" s="1"/>
  <c r="N53" i="40"/>
  <c r="N134" i="40" s="1"/>
  <c r="M53" i="40"/>
  <c r="M134" i="40" s="1"/>
  <c r="L53" i="40"/>
  <c r="L134" i="40" s="1"/>
  <c r="K53" i="40"/>
  <c r="K134" i="40" s="1"/>
  <c r="J53" i="40"/>
  <c r="J134" i="40" s="1"/>
  <c r="I53" i="40"/>
  <c r="I134" i="40" s="1"/>
  <c r="H53" i="40"/>
  <c r="H134" i="40" s="1"/>
  <c r="G53" i="40"/>
  <c r="G134" i="40" s="1"/>
  <c r="F53" i="40"/>
  <c r="F134" i="40" s="1"/>
  <c r="E53" i="40"/>
  <c r="E134" i="40" s="1"/>
  <c r="D53" i="40"/>
  <c r="D134" i="40" s="1"/>
  <c r="C53" i="40"/>
  <c r="C134" i="40" s="1"/>
  <c r="B53" i="40"/>
  <c r="AG52" i="40"/>
  <c r="AG51" i="40"/>
  <c r="AG50" i="40"/>
  <c r="AG49" i="40"/>
  <c r="AG48" i="40"/>
  <c r="AG47" i="40"/>
  <c r="AG46" i="40"/>
  <c r="AG45" i="40"/>
  <c r="AG44" i="40"/>
  <c r="AG43" i="40"/>
  <c r="AG42" i="40"/>
  <c r="AG41" i="40"/>
  <c r="AG40" i="40"/>
  <c r="AG39" i="40"/>
  <c r="AG38" i="40"/>
  <c r="AG37" i="40"/>
  <c r="AG36" i="40"/>
  <c r="AG35" i="40"/>
  <c r="AG34" i="40"/>
  <c r="AG33" i="40"/>
  <c r="AG32" i="40"/>
  <c r="AG31" i="40"/>
  <c r="AG30" i="40"/>
  <c r="AG29" i="40"/>
  <c r="AF28" i="40"/>
  <c r="AF133" i="40" s="1"/>
  <c r="AE28" i="40"/>
  <c r="AE133" i="40" s="1"/>
  <c r="AD28" i="40"/>
  <c r="AD133" i="40" s="1"/>
  <c r="AC28" i="40"/>
  <c r="AC133" i="40" s="1"/>
  <c r="AB28" i="40"/>
  <c r="AB133" i="40" s="1"/>
  <c r="AA28" i="40"/>
  <c r="AA133" i="40" s="1"/>
  <c r="Z28" i="40"/>
  <c r="Z133" i="40" s="1"/>
  <c r="Y28" i="40"/>
  <c r="Y133" i="40" s="1"/>
  <c r="X28" i="40"/>
  <c r="X133" i="40" s="1"/>
  <c r="W28" i="40"/>
  <c r="W133" i="40" s="1"/>
  <c r="V28" i="40"/>
  <c r="V133" i="40" s="1"/>
  <c r="U28" i="40"/>
  <c r="U133" i="40" s="1"/>
  <c r="T28" i="40"/>
  <c r="T133" i="40" s="1"/>
  <c r="S28" i="40"/>
  <c r="S133" i="40" s="1"/>
  <c r="R28" i="40"/>
  <c r="R133" i="40" s="1"/>
  <c r="Q28" i="40"/>
  <c r="Q133" i="40" s="1"/>
  <c r="P28" i="40"/>
  <c r="P133" i="40" s="1"/>
  <c r="O28" i="40"/>
  <c r="O133" i="40" s="1"/>
  <c r="N28" i="40"/>
  <c r="N133" i="40" s="1"/>
  <c r="M28" i="40"/>
  <c r="M133" i="40" s="1"/>
  <c r="L28" i="40"/>
  <c r="L133" i="40" s="1"/>
  <c r="K28" i="40"/>
  <c r="K133" i="40" s="1"/>
  <c r="J28" i="40"/>
  <c r="J133" i="40" s="1"/>
  <c r="I28" i="40"/>
  <c r="I133" i="40" s="1"/>
  <c r="H28" i="40"/>
  <c r="H133" i="40" s="1"/>
  <c r="G28" i="40"/>
  <c r="G133" i="40" s="1"/>
  <c r="F28" i="40"/>
  <c r="F133" i="40" s="1"/>
  <c r="E28" i="40"/>
  <c r="E133" i="40" s="1"/>
  <c r="D28" i="40"/>
  <c r="D133" i="40" s="1"/>
  <c r="C28" i="40"/>
  <c r="C133" i="40" s="1"/>
  <c r="B28" i="40"/>
  <c r="B133" i="40" s="1"/>
  <c r="AG27" i="40"/>
  <c r="AG26" i="40"/>
  <c r="AG25" i="40"/>
  <c r="AG24" i="40"/>
  <c r="AG23" i="40"/>
  <c r="AG22" i="40"/>
  <c r="AG21" i="40"/>
  <c r="AG20" i="40"/>
  <c r="AG19" i="40"/>
  <c r="AG18" i="40"/>
  <c r="AG17" i="40"/>
  <c r="AG16" i="40"/>
  <c r="AG15" i="40"/>
  <c r="AG14" i="40"/>
  <c r="AG13" i="40"/>
  <c r="AG12" i="40"/>
  <c r="AG11" i="40"/>
  <c r="AG10" i="40"/>
  <c r="AG9" i="40"/>
  <c r="AG8" i="40"/>
  <c r="AG7" i="40"/>
  <c r="AG6" i="40"/>
  <c r="AG5" i="40"/>
  <c r="AG4" i="40"/>
  <c r="AF3" i="40"/>
  <c r="AE3" i="40"/>
  <c r="AD3" i="40"/>
  <c r="AC3" i="40"/>
  <c r="AB3" i="40"/>
  <c r="AA3" i="40"/>
  <c r="Z3" i="40"/>
  <c r="Y3" i="40"/>
  <c r="X3" i="40"/>
  <c r="W3" i="40"/>
  <c r="V3" i="40"/>
  <c r="U3" i="40"/>
  <c r="T3" i="40"/>
  <c r="S3" i="40"/>
  <c r="R3" i="40"/>
  <c r="Q3" i="40"/>
  <c r="P3" i="40"/>
  <c r="O3" i="40"/>
  <c r="N3" i="40"/>
  <c r="M3" i="40"/>
  <c r="L3" i="40"/>
  <c r="K3" i="40"/>
  <c r="J3" i="40"/>
  <c r="I3" i="40"/>
  <c r="H3" i="40"/>
  <c r="G3" i="40"/>
  <c r="F3" i="40"/>
  <c r="E3" i="40"/>
  <c r="D3" i="40"/>
  <c r="C3" i="40"/>
  <c r="B3" i="40"/>
  <c r="D2" i="40"/>
  <c r="E2" i="40" s="1"/>
  <c r="F2" i="40" s="1"/>
  <c r="G2" i="40" s="1"/>
  <c r="H2" i="40" s="1"/>
  <c r="I2" i="40" s="1"/>
  <c r="J2" i="40" s="1"/>
  <c r="K2" i="40" s="1"/>
  <c r="L2" i="40" s="1"/>
  <c r="M2" i="40" s="1"/>
  <c r="N2" i="40" s="1"/>
  <c r="O2" i="40" s="1"/>
  <c r="P2" i="40" s="1"/>
  <c r="Q2" i="40" s="1"/>
  <c r="R2" i="40" s="1"/>
  <c r="S2" i="40" s="1"/>
  <c r="T2" i="40" s="1"/>
  <c r="U2" i="40" s="1"/>
  <c r="V2" i="40" s="1"/>
  <c r="W2" i="40" s="1"/>
  <c r="X2" i="40" s="1"/>
  <c r="Y2" i="40" s="1"/>
  <c r="Z2" i="40" s="1"/>
  <c r="AA2" i="40" s="1"/>
  <c r="AB2" i="40" s="1"/>
  <c r="AC2" i="40" s="1"/>
  <c r="AD2" i="40" s="1"/>
  <c r="AE2" i="40" s="1"/>
  <c r="AF2" i="40" s="1"/>
  <c r="C2" i="40"/>
  <c r="AG180" i="39"/>
  <c r="AG179" i="39"/>
  <c r="AG178" i="39"/>
  <c r="AF177" i="39"/>
  <c r="AE177" i="39"/>
  <c r="AD177" i="39"/>
  <c r="AC177" i="39"/>
  <c r="AB177" i="39"/>
  <c r="AA177" i="39"/>
  <c r="Z177" i="39"/>
  <c r="Y177" i="39"/>
  <c r="X177" i="39"/>
  <c r="W177" i="39"/>
  <c r="V177" i="39"/>
  <c r="U177" i="39"/>
  <c r="T177" i="39"/>
  <c r="S177" i="39"/>
  <c r="R177" i="39"/>
  <c r="Q177" i="39"/>
  <c r="P177" i="39"/>
  <c r="O177" i="39"/>
  <c r="N177" i="39"/>
  <c r="M177" i="39"/>
  <c r="L177" i="39"/>
  <c r="K177" i="39"/>
  <c r="J177" i="39"/>
  <c r="I177" i="39"/>
  <c r="AG177" i="39" s="1"/>
  <c r="H177" i="39"/>
  <c r="G177" i="39"/>
  <c r="F177" i="39"/>
  <c r="E177" i="39"/>
  <c r="D177" i="39"/>
  <c r="C177" i="39"/>
  <c r="B177" i="39"/>
  <c r="AG176" i="39"/>
  <c r="AG175" i="39"/>
  <c r="AG174" i="39"/>
  <c r="AG173" i="39"/>
  <c r="AG172" i="39"/>
  <c r="AF171" i="39"/>
  <c r="AE171" i="39"/>
  <c r="AD171" i="39"/>
  <c r="AC171" i="39"/>
  <c r="AB171" i="39"/>
  <c r="AA171" i="39"/>
  <c r="Z171" i="39"/>
  <c r="Y171" i="39"/>
  <c r="X171" i="39"/>
  <c r="W171" i="39"/>
  <c r="V171" i="39"/>
  <c r="U171" i="39"/>
  <c r="T171" i="39"/>
  <c r="S171" i="39"/>
  <c r="R171" i="39"/>
  <c r="Q171" i="39"/>
  <c r="P171" i="39"/>
  <c r="O171" i="39"/>
  <c r="N171" i="39"/>
  <c r="M171" i="39"/>
  <c r="L171" i="39"/>
  <c r="K171" i="39"/>
  <c r="J171" i="39"/>
  <c r="I171" i="39"/>
  <c r="H171" i="39"/>
  <c r="G171" i="39"/>
  <c r="F171" i="39"/>
  <c r="E171" i="39"/>
  <c r="D171" i="39"/>
  <c r="C171" i="39"/>
  <c r="B171" i="39"/>
  <c r="AG170" i="39"/>
  <c r="AG169" i="39"/>
  <c r="AG168" i="39"/>
  <c r="AG167" i="39"/>
  <c r="AG166" i="39"/>
  <c r="AG165" i="39"/>
  <c r="AG164" i="39"/>
  <c r="AG163" i="39"/>
  <c r="AG162" i="39"/>
  <c r="AG161" i="39"/>
  <c r="AG160" i="39"/>
  <c r="AG159" i="39"/>
  <c r="AG158" i="39"/>
  <c r="AG157" i="39"/>
  <c r="AG156" i="39"/>
  <c r="AG155" i="39"/>
  <c r="AG154" i="39"/>
  <c r="AG153" i="39"/>
  <c r="AG152" i="39"/>
  <c r="AG151" i="39"/>
  <c r="AG150" i="39"/>
  <c r="AG149" i="39"/>
  <c r="AG148" i="39"/>
  <c r="AG147" i="39"/>
  <c r="AG146" i="39"/>
  <c r="AG145" i="39"/>
  <c r="AF144" i="39"/>
  <c r="AE144" i="39"/>
  <c r="AD144" i="39"/>
  <c r="AC144" i="39"/>
  <c r="AB144" i="39"/>
  <c r="AA144" i="39"/>
  <c r="Z144" i="39"/>
  <c r="Y144" i="39"/>
  <c r="X144" i="39"/>
  <c r="W144" i="39"/>
  <c r="V144" i="39"/>
  <c r="U144" i="39"/>
  <c r="T144" i="39"/>
  <c r="S144" i="39"/>
  <c r="R144" i="39"/>
  <c r="Q144" i="39"/>
  <c r="P144" i="39"/>
  <c r="O144" i="39"/>
  <c r="N144" i="39"/>
  <c r="M144" i="39"/>
  <c r="L144" i="39"/>
  <c r="K144" i="39"/>
  <c r="J144" i="39"/>
  <c r="I144" i="39"/>
  <c r="H144" i="39"/>
  <c r="G144" i="39"/>
  <c r="F144" i="39"/>
  <c r="E144" i="39"/>
  <c r="D144" i="39"/>
  <c r="C144" i="39"/>
  <c r="B144" i="39"/>
  <c r="AG143" i="39"/>
  <c r="AG142" i="39"/>
  <c r="AG141" i="39"/>
  <c r="AG140" i="39"/>
  <c r="AF139" i="39"/>
  <c r="AE139" i="39"/>
  <c r="AD139" i="39"/>
  <c r="AC139" i="39"/>
  <c r="AB139" i="39"/>
  <c r="AA139" i="39"/>
  <c r="Z139" i="39"/>
  <c r="Y139" i="39"/>
  <c r="X139" i="39"/>
  <c r="W139" i="39"/>
  <c r="V139" i="39"/>
  <c r="U139" i="39"/>
  <c r="T139" i="39"/>
  <c r="S139" i="39"/>
  <c r="R139" i="39"/>
  <c r="Q139" i="39"/>
  <c r="P139" i="39"/>
  <c r="O139" i="39"/>
  <c r="N139" i="39"/>
  <c r="M139" i="39"/>
  <c r="L139" i="39"/>
  <c r="K139" i="39"/>
  <c r="J139" i="39"/>
  <c r="I139" i="39"/>
  <c r="H139" i="39"/>
  <c r="G139" i="39"/>
  <c r="F139" i="39"/>
  <c r="E139" i="39"/>
  <c r="D139" i="39"/>
  <c r="C139" i="39"/>
  <c r="B139" i="39"/>
  <c r="AG138" i="39"/>
  <c r="AG137" i="39"/>
  <c r="AG136" i="39"/>
  <c r="AF135" i="39"/>
  <c r="AE135" i="39"/>
  <c r="AD135" i="39"/>
  <c r="AC135" i="39"/>
  <c r="AB135" i="39"/>
  <c r="AA135" i="39"/>
  <c r="Z135" i="39"/>
  <c r="Y135" i="39"/>
  <c r="X135" i="39"/>
  <c r="W135" i="39"/>
  <c r="V135" i="39"/>
  <c r="U135" i="39"/>
  <c r="T135" i="39"/>
  <c r="S135" i="39"/>
  <c r="R135" i="39"/>
  <c r="Q135" i="39"/>
  <c r="P135" i="39"/>
  <c r="O135" i="39"/>
  <c r="N135" i="39"/>
  <c r="M135" i="39"/>
  <c r="L135" i="39"/>
  <c r="K135" i="39"/>
  <c r="J135" i="39"/>
  <c r="I135" i="39"/>
  <c r="H135" i="39"/>
  <c r="G135" i="39"/>
  <c r="F135" i="39"/>
  <c r="E135" i="39"/>
  <c r="D135" i="39"/>
  <c r="C135" i="39"/>
  <c r="B135" i="39"/>
  <c r="AF134" i="39"/>
  <c r="AG132" i="39"/>
  <c r="AG131" i="39"/>
  <c r="AG130" i="39"/>
  <c r="AG129" i="39"/>
  <c r="AG128" i="39"/>
  <c r="AG127" i="39"/>
  <c r="AG126" i="39"/>
  <c r="AG125" i="39"/>
  <c r="AG124" i="39"/>
  <c r="AG123" i="39"/>
  <c r="AG122" i="39"/>
  <c r="AG121" i="39"/>
  <c r="AG120" i="39"/>
  <c r="AF119" i="39"/>
  <c r="AE119" i="39"/>
  <c r="AD119" i="39"/>
  <c r="AC119" i="39"/>
  <c r="AB119" i="39"/>
  <c r="AA119" i="39"/>
  <c r="Z119" i="39"/>
  <c r="Y119" i="39"/>
  <c r="X119" i="39"/>
  <c r="W119" i="39"/>
  <c r="V119" i="39"/>
  <c r="U119" i="39"/>
  <c r="T119" i="39"/>
  <c r="S119" i="39"/>
  <c r="R119" i="39"/>
  <c r="Q119" i="39"/>
  <c r="P119" i="39"/>
  <c r="O119" i="39"/>
  <c r="N119" i="39"/>
  <c r="M119" i="39"/>
  <c r="L119" i="39"/>
  <c r="K119" i="39"/>
  <c r="J119" i="39"/>
  <c r="I119" i="39"/>
  <c r="H119" i="39"/>
  <c r="G119" i="39"/>
  <c r="F119" i="39"/>
  <c r="E119" i="39"/>
  <c r="D119" i="39"/>
  <c r="C119" i="39"/>
  <c r="B119" i="39"/>
  <c r="AG118" i="39"/>
  <c r="AG117" i="39"/>
  <c r="AF116" i="39"/>
  <c r="AE116" i="39"/>
  <c r="AD116" i="39"/>
  <c r="AC116" i="39"/>
  <c r="AB116" i="39"/>
  <c r="AA116" i="39"/>
  <c r="Z116" i="39"/>
  <c r="Y116" i="39"/>
  <c r="X116" i="39"/>
  <c r="W116" i="39"/>
  <c r="V116" i="39"/>
  <c r="U116" i="39"/>
  <c r="T116" i="39"/>
  <c r="S116" i="39"/>
  <c r="R116" i="39"/>
  <c r="Q116" i="39"/>
  <c r="P116" i="39"/>
  <c r="O116" i="39"/>
  <c r="N116" i="39"/>
  <c r="M116" i="39"/>
  <c r="L116" i="39"/>
  <c r="K116" i="39"/>
  <c r="J116" i="39"/>
  <c r="I116" i="39"/>
  <c r="H116" i="39"/>
  <c r="G116" i="39"/>
  <c r="F116" i="39"/>
  <c r="E116" i="39"/>
  <c r="D116" i="39"/>
  <c r="C116" i="39"/>
  <c r="B116" i="39"/>
  <c r="AG115" i="39"/>
  <c r="AG114" i="39"/>
  <c r="AG113" i="39"/>
  <c r="AG112" i="39"/>
  <c r="AG111" i="39"/>
  <c r="AG110" i="39"/>
  <c r="AG109" i="39"/>
  <c r="AG108" i="39"/>
  <c r="AG107" i="39"/>
  <c r="AG106" i="39"/>
  <c r="AG105" i="39"/>
  <c r="AG104" i="39"/>
  <c r="AG103" i="39"/>
  <c r="AG102" i="39"/>
  <c r="AG101" i="39"/>
  <c r="AF100" i="39"/>
  <c r="AF93" i="39" s="1"/>
  <c r="AE100" i="39"/>
  <c r="AD100" i="39"/>
  <c r="AC100" i="39"/>
  <c r="AB100" i="39"/>
  <c r="AA100" i="39"/>
  <c r="AA93" i="39" s="1"/>
  <c r="Z100" i="39"/>
  <c r="Z93" i="39" s="1"/>
  <c r="Y100" i="39"/>
  <c r="X100" i="39"/>
  <c r="W100" i="39"/>
  <c r="V100" i="39"/>
  <c r="U100" i="39"/>
  <c r="T100" i="39"/>
  <c r="S100" i="39"/>
  <c r="R100" i="39"/>
  <c r="Q100" i="39"/>
  <c r="P100" i="39"/>
  <c r="O100" i="39"/>
  <c r="N100" i="39"/>
  <c r="M100" i="39"/>
  <c r="L100" i="39"/>
  <c r="K100" i="39"/>
  <c r="J100" i="39"/>
  <c r="I100" i="39"/>
  <c r="H100" i="39"/>
  <c r="G100" i="39"/>
  <c r="F100" i="39"/>
  <c r="E100" i="39"/>
  <c r="D100" i="39"/>
  <c r="C100" i="39"/>
  <c r="B100" i="39"/>
  <c r="AG99" i="39"/>
  <c r="AG98" i="39"/>
  <c r="AG97" i="39"/>
  <c r="AG96" i="39"/>
  <c r="AG95" i="39"/>
  <c r="AF94" i="39"/>
  <c r="AE94" i="39"/>
  <c r="AD94" i="39"/>
  <c r="AC94" i="39"/>
  <c r="AC93" i="39" s="1"/>
  <c r="AB94" i="39"/>
  <c r="AA94" i="39"/>
  <c r="Z94" i="39"/>
  <c r="Y94" i="39"/>
  <c r="Y93" i="39" s="1"/>
  <c r="X94" i="39"/>
  <c r="W94" i="39"/>
  <c r="W93" i="39" s="1"/>
  <c r="V94" i="39"/>
  <c r="V93" i="39" s="1"/>
  <c r="U94" i="39"/>
  <c r="T94" i="39"/>
  <c r="S94" i="39"/>
  <c r="R94" i="39"/>
  <c r="Q94" i="39"/>
  <c r="P94" i="39"/>
  <c r="P93" i="39" s="1"/>
  <c r="O94" i="39"/>
  <c r="N94" i="39"/>
  <c r="M94" i="39"/>
  <c r="M93" i="39" s="1"/>
  <c r="L94" i="39"/>
  <c r="K94" i="39"/>
  <c r="K93" i="39" s="1"/>
  <c r="J94" i="39"/>
  <c r="I94" i="39"/>
  <c r="H94" i="39"/>
  <c r="G94" i="39"/>
  <c r="F94" i="39"/>
  <c r="F93" i="39" s="1"/>
  <c r="E94" i="39"/>
  <c r="E93" i="39" s="1"/>
  <c r="D94" i="39"/>
  <c r="C94" i="39"/>
  <c r="B94" i="39"/>
  <c r="AG92" i="39"/>
  <c r="AG91" i="39"/>
  <c r="AG90" i="39"/>
  <c r="AG89" i="39"/>
  <c r="AG88" i="39"/>
  <c r="AF87" i="39"/>
  <c r="AE87" i="39"/>
  <c r="AD87" i="39"/>
  <c r="AC87" i="39"/>
  <c r="AB87" i="39"/>
  <c r="AA87" i="39"/>
  <c r="Z87" i="39"/>
  <c r="Y87" i="39"/>
  <c r="X87" i="39"/>
  <c r="W87" i="39"/>
  <c r="V87" i="39"/>
  <c r="U87" i="39"/>
  <c r="T87" i="39"/>
  <c r="S87" i="39"/>
  <c r="R87" i="39"/>
  <c r="Q87" i="39"/>
  <c r="P87" i="39"/>
  <c r="O87" i="39"/>
  <c r="N87" i="39"/>
  <c r="M87" i="39"/>
  <c r="L87" i="39"/>
  <c r="K87" i="39"/>
  <c r="J87" i="39"/>
  <c r="I87" i="39"/>
  <c r="H87" i="39"/>
  <c r="G87" i="39"/>
  <c r="F87" i="39"/>
  <c r="E87" i="39"/>
  <c r="D87" i="39"/>
  <c r="C87" i="39"/>
  <c r="B87" i="39"/>
  <c r="AG86" i="39"/>
  <c r="AG85" i="39"/>
  <c r="AF84" i="39"/>
  <c r="AE84" i="39"/>
  <c r="AD84" i="39"/>
  <c r="AC84" i="39"/>
  <c r="AB84" i="39"/>
  <c r="AA84" i="39"/>
  <c r="Z84" i="39"/>
  <c r="Y84" i="39"/>
  <c r="X84" i="39"/>
  <c r="W84" i="39"/>
  <c r="V84" i="39"/>
  <c r="U84" i="39"/>
  <c r="T84" i="39"/>
  <c r="S84" i="39"/>
  <c r="R84" i="39"/>
  <c r="Q84" i="39"/>
  <c r="P84" i="39"/>
  <c r="O84" i="39"/>
  <c r="N84" i="39"/>
  <c r="M84" i="39"/>
  <c r="L84" i="39"/>
  <c r="K84" i="39"/>
  <c r="J84" i="39"/>
  <c r="I84" i="39"/>
  <c r="H84" i="39"/>
  <c r="G84" i="39"/>
  <c r="F84" i="39"/>
  <c r="E84" i="39"/>
  <c r="D84" i="39"/>
  <c r="C84" i="39"/>
  <c r="B84" i="39"/>
  <c r="X83" i="39"/>
  <c r="AF82" i="39"/>
  <c r="AF83" i="39" s="1"/>
  <c r="AF81" i="39" s="1"/>
  <c r="AE82" i="39"/>
  <c r="AE83" i="39" s="1"/>
  <c r="AE81" i="39" s="1"/>
  <c r="AD82" i="39"/>
  <c r="AD83" i="39" s="1"/>
  <c r="AD81" i="39" s="1"/>
  <c r="AC82" i="39"/>
  <c r="AC83" i="39" s="1"/>
  <c r="AC81" i="39" s="1"/>
  <c r="AB82" i="39"/>
  <c r="AB83" i="39" s="1"/>
  <c r="AB81" i="39" s="1"/>
  <c r="AA82" i="39"/>
  <c r="AA83" i="39" s="1"/>
  <c r="Z82" i="39"/>
  <c r="Z83" i="39" s="1"/>
  <c r="Z81" i="39" s="1"/>
  <c r="Y82" i="39"/>
  <c r="Y83" i="39" s="1"/>
  <c r="X82" i="39"/>
  <c r="W82" i="39"/>
  <c r="V82" i="39"/>
  <c r="V83" i="39" s="1"/>
  <c r="V81" i="39" s="1"/>
  <c r="U82" i="39"/>
  <c r="U83" i="39" s="1"/>
  <c r="U81" i="39" s="1"/>
  <c r="T82" i="39"/>
  <c r="T83" i="39" s="1"/>
  <c r="T81" i="39" s="1"/>
  <c r="S82" i="39"/>
  <c r="S83" i="39" s="1"/>
  <c r="S81" i="39" s="1"/>
  <c r="R82" i="39"/>
  <c r="R83" i="39" s="1"/>
  <c r="R81" i="39" s="1"/>
  <c r="Q82" i="39"/>
  <c r="Q83" i="39" s="1"/>
  <c r="Q81" i="39" s="1"/>
  <c r="P82" i="39"/>
  <c r="P83" i="39" s="1"/>
  <c r="P81" i="39" s="1"/>
  <c r="O82" i="39"/>
  <c r="O83" i="39" s="1"/>
  <c r="N82" i="39"/>
  <c r="N83" i="39" s="1"/>
  <c r="N81" i="39" s="1"/>
  <c r="M82" i="39"/>
  <c r="M83" i="39" s="1"/>
  <c r="L82" i="39"/>
  <c r="L83" i="39" s="1"/>
  <c r="L81" i="39" s="1"/>
  <c r="K82" i="39"/>
  <c r="J82" i="39"/>
  <c r="J83" i="39" s="1"/>
  <c r="J81" i="39" s="1"/>
  <c r="I82" i="39"/>
  <c r="I83" i="39" s="1"/>
  <c r="I81" i="39" s="1"/>
  <c r="H82" i="39"/>
  <c r="H83" i="39" s="1"/>
  <c r="H81" i="39" s="1"/>
  <c r="G82" i="39"/>
  <c r="G83" i="39" s="1"/>
  <c r="G81" i="39" s="1"/>
  <c r="F82" i="39"/>
  <c r="F83" i="39" s="1"/>
  <c r="F81" i="39" s="1"/>
  <c r="E82" i="39"/>
  <c r="E83" i="39" s="1"/>
  <c r="E81" i="39" s="1"/>
  <c r="D82" i="39"/>
  <c r="D83" i="39" s="1"/>
  <c r="D81" i="39" s="1"/>
  <c r="C82" i="39"/>
  <c r="C83" i="39" s="1"/>
  <c r="B82" i="39"/>
  <c r="AG80" i="39"/>
  <c r="AF79" i="39"/>
  <c r="AE79" i="39"/>
  <c r="AE78" i="39" s="1"/>
  <c r="AD79" i="39"/>
  <c r="AD78" i="39" s="1"/>
  <c r="AC79" i="39"/>
  <c r="AC78" i="39" s="1"/>
  <c r="AB79" i="39"/>
  <c r="AB78" i="39" s="1"/>
  <c r="AA79" i="39"/>
  <c r="AA78" i="39" s="1"/>
  <c r="Z79" i="39"/>
  <c r="Z78" i="39" s="1"/>
  <c r="Y79" i="39"/>
  <c r="Y78" i="39" s="1"/>
  <c r="X79" i="39"/>
  <c r="X78" i="39" s="1"/>
  <c r="W79" i="39"/>
  <c r="W78" i="39" s="1"/>
  <c r="V79" i="39"/>
  <c r="V78" i="39" s="1"/>
  <c r="U79" i="39"/>
  <c r="U78" i="39" s="1"/>
  <c r="T79" i="39"/>
  <c r="T78" i="39" s="1"/>
  <c r="S79" i="39"/>
  <c r="S78" i="39" s="1"/>
  <c r="R79" i="39"/>
  <c r="R78" i="39" s="1"/>
  <c r="Q79" i="39"/>
  <c r="Q78" i="39" s="1"/>
  <c r="P79" i="39"/>
  <c r="P78" i="39" s="1"/>
  <c r="O79" i="39"/>
  <c r="O78" i="39" s="1"/>
  <c r="N79" i="39"/>
  <c r="N78" i="39" s="1"/>
  <c r="M79" i="39"/>
  <c r="M78" i="39" s="1"/>
  <c r="L79" i="39"/>
  <c r="L78" i="39" s="1"/>
  <c r="K79" i="39"/>
  <c r="K78" i="39" s="1"/>
  <c r="J79" i="39"/>
  <c r="J78" i="39" s="1"/>
  <c r="I79" i="39"/>
  <c r="I78" i="39" s="1"/>
  <c r="H79" i="39"/>
  <c r="H78" i="39" s="1"/>
  <c r="G79" i="39"/>
  <c r="G78" i="39" s="1"/>
  <c r="F79" i="39"/>
  <c r="F78" i="39" s="1"/>
  <c r="E79" i="39"/>
  <c r="D79" i="39"/>
  <c r="D78" i="39" s="1"/>
  <c r="C79" i="39"/>
  <c r="C78" i="39" s="1"/>
  <c r="B79" i="39"/>
  <c r="B78" i="39" s="1"/>
  <c r="AF78" i="39"/>
  <c r="AG77" i="39"/>
  <c r="AG76" i="39"/>
  <c r="AG75" i="39"/>
  <c r="AG74" i="39"/>
  <c r="AG73" i="39"/>
  <c r="AG72" i="39"/>
  <c r="AG71" i="39"/>
  <c r="AG70" i="39"/>
  <c r="AG69" i="39"/>
  <c r="AG68" i="39"/>
  <c r="AG67" i="39"/>
  <c r="AG66" i="39"/>
  <c r="AG65" i="39"/>
  <c r="AG64" i="39"/>
  <c r="AG63" i="39"/>
  <c r="AG62" i="39"/>
  <c r="AG61" i="39"/>
  <c r="AG60" i="39"/>
  <c r="AG59" i="39"/>
  <c r="AG58" i="39"/>
  <c r="AG57" i="39"/>
  <c r="AG56" i="39"/>
  <c r="AG55" i="39"/>
  <c r="AG54" i="39"/>
  <c r="AF53" i="39"/>
  <c r="AE53" i="39"/>
  <c r="AE134" i="39" s="1"/>
  <c r="AD53" i="39"/>
  <c r="AD134" i="39" s="1"/>
  <c r="AC53" i="39"/>
  <c r="AC134" i="39" s="1"/>
  <c r="AB53" i="39"/>
  <c r="AB134" i="39" s="1"/>
  <c r="AA53" i="39"/>
  <c r="AA134" i="39" s="1"/>
  <c r="Z53" i="39"/>
  <c r="Z134" i="39" s="1"/>
  <c r="Y53" i="39"/>
  <c r="Y134" i="39" s="1"/>
  <c r="X53" i="39"/>
  <c r="X134" i="39" s="1"/>
  <c r="W53" i="39"/>
  <c r="W134" i="39" s="1"/>
  <c r="V53" i="39"/>
  <c r="V134" i="39" s="1"/>
  <c r="U53" i="39"/>
  <c r="U134" i="39" s="1"/>
  <c r="T53" i="39"/>
  <c r="T134" i="39" s="1"/>
  <c r="S53" i="39"/>
  <c r="S134" i="39" s="1"/>
  <c r="R53" i="39"/>
  <c r="R134" i="39" s="1"/>
  <c r="Q53" i="39"/>
  <c r="Q134" i="39" s="1"/>
  <c r="P53" i="39"/>
  <c r="P134" i="39" s="1"/>
  <c r="O53" i="39"/>
  <c r="O134" i="39" s="1"/>
  <c r="N53" i="39"/>
  <c r="N134" i="39" s="1"/>
  <c r="M53" i="39"/>
  <c r="M134" i="39" s="1"/>
  <c r="L53" i="39"/>
  <c r="L134" i="39" s="1"/>
  <c r="K53" i="39"/>
  <c r="K134" i="39" s="1"/>
  <c r="J53" i="39"/>
  <c r="J134" i="39" s="1"/>
  <c r="I53" i="39"/>
  <c r="H53" i="39"/>
  <c r="H134" i="39" s="1"/>
  <c r="G53" i="39"/>
  <c r="G134" i="39" s="1"/>
  <c r="F53" i="39"/>
  <c r="F134" i="39" s="1"/>
  <c r="E53" i="39"/>
  <c r="E134" i="39" s="1"/>
  <c r="D53" i="39"/>
  <c r="D134" i="39" s="1"/>
  <c r="C53" i="39"/>
  <c r="C134" i="39" s="1"/>
  <c r="B53" i="39"/>
  <c r="B134" i="39" s="1"/>
  <c r="AG52" i="39"/>
  <c r="AG51" i="39"/>
  <c r="AG50" i="39"/>
  <c r="AG49" i="39"/>
  <c r="AG48" i="39"/>
  <c r="AG47" i="39"/>
  <c r="AG46" i="39"/>
  <c r="AG45" i="39"/>
  <c r="AG44" i="39"/>
  <c r="AG43" i="39"/>
  <c r="AG42" i="39"/>
  <c r="AG41" i="39"/>
  <c r="AG40" i="39"/>
  <c r="AG39" i="39"/>
  <c r="AG38" i="39"/>
  <c r="AG37" i="39"/>
  <c r="AG36" i="39"/>
  <c r="AG35" i="39"/>
  <c r="AG34" i="39"/>
  <c r="AG33" i="39"/>
  <c r="AG32" i="39"/>
  <c r="AG31" i="39"/>
  <c r="AG30" i="39"/>
  <c r="AG29" i="39"/>
  <c r="AF28" i="39"/>
  <c r="AF133" i="39" s="1"/>
  <c r="AE28" i="39"/>
  <c r="AE133" i="39" s="1"/>
  <c r="AD28" i="39"/>
  <c r="AD133" i="39" s="1"/>
  <c r="AC28" i="39"/>
  <c r="AC133" i="39" s="1"/>
  <c r="AB28" i="39"/>
  <c r="AB133" i="39" s="1"/>
  <c r="AA28" i="39"/>
  <c r="AA133" i="39" s="1"/>
  <c r="Z28" i="39"/>
  <c r="Z133" i="39" s="1"/>
  <c r="Y28" i="39"/>
  <c r="Y133" i="39" s="1"/>
  <c r="X28" i="39"/>
  <c r="X133" i="39" s="1"/>
  <c r="W28" i="39"/>
  <c r="W133" i="39" s="1"/>
  <c r="V28" i="39"/>
  <c r="V133" i="39" s="1"/>
  <c r="U28" i="39"/>
  <c r="U133" i="39" s="1"/>
  <c r="T28" i="39"/>
  <c r="T133" i="39" s="1"/>
  <c r="S28" i="39"/>
  <c r="S133" i="39" s="1"/>
  <c r="R28" i="39"/>
  <c r="R133" i="39" s="1"/>
  <c r="Q28" i="39"/>
  <c r="Q133" i="39" s="1"/>
  <c r="P28" i="39"/>
  <c r="P133" i="39" s="1"/>
  <c r="O28" i="39"/>
  <c r="O133" i="39" s="1"/>
  <c r="N28" i="39"/>
  <c r="N133" i="39" s="1"/>
  <c r="M28" i="39"/>
  <c r="M133" i="39" s="1"/>
  <c r="L28" i="39"/>
  <c r="L133" i="39" s="1"/>
  <c r="K28" i="39"/>
  <c r="K133" i="39" s="1"/>
  <c r="J28" i="39"/>
  <c r="J133" i="39" s="1"/>
  <c r="I28" i="39"/>
  <c r="I133" i="39" s="1"/>
  <c r="H28" i="39"/>
  <c r="H133" i="39" s="1"/>
  <c r="G28" i="39"/>
  <c r="G133" i="39" s="1"/>
  <c r="F28" i="39"/>
  <c r="F133" i="39" s="1"/>
  <c r="E28" i="39"/>
  <c r="E133" i="39" s="1"/>
  <c r="D28" i="39"/>
  <c r="D133" i="39" s="1"/>
  <c r="C28" i="39"/>
  <c r="C133" i="39" s="1"/>
  <c r="B28" i="39"/>
  <c r="B133" i="39" s="1"/>
  <c r="AG27" i="39"/>
  <c r="AG26" i="39"/>
  <c r="AG25" i="39"/>
  <c r="AG24" i="39"/>
  <c r="AG23" i="39"/>
  <c r="AG22" i="39"/>
  <c r="AG21" i="39"/>
  <c r="AG20" i="39"/>
  <c r="AG19" i="39"/>
  <c r="AG18" i="39"/>
  <c r="AG17" i="39"/>
  <c r="AG16" i="39"/>
  <c r="AG15" i="39"/>
  <c r="AG14" i="39"/>
  <c r="AG13" i="39"/>
  <c r="AG12" i="39"/>
  <c r="AG11" i="39"/>
  <c r="AG10" i="39"/>
  <c r="AG9" i="39"/>
  <c r="AG8" i="39"/>
  <c r="AG7" i="39"/>
  <c r="AG6" i="39"/>
  <c r="AG5" i="39"/>
  <c r="AG4" i="39"/>
  <c r="AF3" i="39"/>
  <c r="AE3" i="39"/>
  <c r="AD3" i="39"/>
  <c r="AC3" i="39"/>
  <c r="AB3" i="39"/>
  <c r="AA3" i="39"/>
  <c r="Z3" i="39"/>
  <c r="Y3" i="39"/>
  <c r="X3" i="39"/>
  <c r="W3" i="39"/>
  <c r="V3" i="39"/>
  <c r="U3" i="39"/>
  <c r="T3" i="39"/>
  <c r="S3" i="39"/>
  <c r="R3" i="39"/>
  <c r="Q3" i="39"/>
  <c r="P3" i="39"/>
  <c r="O3" i="39"/>
  <c r="N3" i="39"/>
  <c r="M3" i="39"/>
  <c r="L3" i="39"/>
  <c r="K3" i="39"/>
  <c r="J3" i="39"/>
  <c r="I3" i="39"/>
  <c r="H3" i="39"/>
  <c r="G3" i="39"/>
  <c r="F3" i="39"/>
  <c r="E3" i="39"/>
  <c r="D3" i="39"/>
  <c r="C3" i="39"/>
  <c r="B3" i="39"/>
  <c r="C2" i="39"/>
  <c r="D2" i="39" s="1"/>
  <c r="E2" i="39" s="1"/>
  <c r="F2" i="39" s="1"/>
  <c r="G2" i="39" s="1"/>
  <c r="H2" i="39" s="1"/>
  <c r="I2" i="39" s="1"/>
  <c r="J2" i="39" s="1"/>
  <c r="K2" i="39" s="1"/>
  <c r="L2" i="39" s="1"/>
  <c r="M2" i="39" s="1"/>
  <c r="N2" i="39" s="1"/>
  <c r="O2" i="39" s="1"/>
  <c r="P2" i="39" s="1"/>
  <c r="Q2" i="39" s="1"/>
  <c r="R2" i="39" s="1"/>
  <c r="S2" i="39" s="1"/>
  <c r="T2" i="39" s="1"/>
  <c r="U2" i="39" s="1"/>
  <c r="V2" i="39" s="1"/>
  <c r="W2" i="39" s="1"/>
  <c r="X2" i="39" s="1"/>
  <c r="Y2" i="39" s="1"/>
  <c r="Z2" i="39" s="1"/>
  <c r="AA2" i="39" s="1"/>
  <c r="AB2" i="39" s="1"/>
  <c r="AC2" i="39" s="1"/>
  <c r="AD2" i="39" s="1"/>
  <c r="AE2" i="39" s="1"/>
  <c r="AF2" i="39" s="1"/>
  <c r="AG180" i="38"/>
  <c r="AG179" i="38"/>
  <c r="AG178" i="38"/>
  <c r="AF177" i="38"/>
  <c r="AE177" i="38"/>
  <c r="AD177" i="38"/>
  <c r="AC177" i="38"/>
  <c r="AB177" i="38"/>
  <c r="AA177" i="38"/>
  <c r="Z177" i="38"/>
  <c r="Y177" i="38"/>
  <c r="X177" i="38"/>
  <c r="W177" i="38"/>
  <c r="V177" i="38"/>
  <c r="U177" i="38"/>
  <c r="T177" i="38"/>
  <c r="S177" i="38"/>
  <c r="R177" i="38"/>
  <c r="Q177" i="38"/>
  <c r="P177" i="38"/>
  <c r="O177" i="38"/>
  <c r="N177" i="38"/>
  <c r="M177" i="38"/>
  <c r="L177" i="38"/>
  <c r="K177" i="38"/>
  <c r="J177" i="38"/>
  <c r="I177" i="38"/>
  <c r="H177" i="38"/>
  <c r="G177" i="38"/>
  <c r="F177" i="38"/>
  <c r="E177" i="38"/>
  <c r="D177" i="38"/>
  <c r="C177" i="38"/>
  <c r="AG177" i="38" s="1"/>
  <c r="B177" i="38"/>
  <c r="AG176" i="38"/>
  <c r="AG175" i="38"/>
  <c r="AG174" i="38"/>
  <c r="AG173" i="38"/>
  <c r="AG172" i="38"/>
  <c r="AF171" i="38"/>
  <c r="AE171" i="38"/>
  <c r="AD171" i="38"/>
  <c r="AC171" i="38"/>
  <c r="AB171" i="38"/>
  <c r="AA171" i="38"/>
  <c r="Z171" i="38"/>
  <c r="Y171" i="38"/>
  <c r="X171" i="38"/>
  <c r="W171" i="38"/>
  <c r="V171" i="38"/>
  <c r="U171" i="38"/>
  <c r="T171" i="38"/>
  <c r="S171" i="38"/>
  <c r="R171" i="38"/>
  <c r="Q171" i="38"/>
  <c r="P171" i="38"/>
  <c r="O171" i="38"/>
  <c r="N171" i="38"/>
  <c r="M171" i="38"/>
  <c r="L171" i="38"/>
  <c r="K171" i="38"/>
  <c r="J171" i="38"/>
  <c r="I171" i="38"/>
  <c r="H171" i="38"/>
  <c r="G171" i="38"/>
  <c r="F171" i="38"/>
  <c r="E171" i="38"/>
  <c r="D171" i="38"/>
  <c r="C171" i="38"/>
  <c r="B171" i="38"/>
  <c r="AG170" i="38"/>
  <c r="AG169" i="38"/>
  <c r="AG168" i="38"/>
  <c r="AG167" i="38"/>
  <c r="AG166" i="38"/>
  <c r="AG165" i="38"/>
  <c r="AG164" i="38"/>
  <c r="AG163" i="38"/>
  <c r="AG162" i="38"/>
  <c r="AG161" i="38"/>
  <c r="AG160" i="38"/>
  <c r="AG159" i="38"/>
  <c r="AG158" i="38"/>
  <c r="AG157" i="38"/>
  <c r="AG156" i="38"/>
  <c r="AG155" i="38"/>
  <c r="AG154" i="38"/>
  <c r="AG153" i="38"/>
  <c r="AG152" i="38"/>
  <c r="AG151" i="38"/>
  <c r="AG150" i="38"/>
  <c r="AG149" i="38"/>
  <c r="AG148" i="38"/>
  <c r="AG147" i="38"/>
  <c r="AG146" i="38"/>
  <c r="AG145" i="38"/>
  <c r="AF144" i="38"/>
  <c r="AE144" i="38"/>
  <c r="AD144" i="38"/>
  <c r="AC144" i="38"/>
  <c r="AB144" i="38"/>
  <c r="AA144" i="38"/>
  <c r="Z144" i="38"/>
  <c r="Y144" i="38"/>
  <c r="X144" i="38"/>
  <c r="W144" i="38"/>
  <c r="V144" i="38"/>
  <c r="U144" i="38"/>
  <c r="T144" i="38"/>
  <c r="S144" i="38"/>
  <c r="R144" i="38"/>
  <c r="Q144" i="38"/>
  <c r="P144" i="38"/>
  <c r="O144" i="38"/>
  <c r="N144" i="38"/>
  <c r="M144" i="38"/>
  <c r="L144" i="38"/>
  <c r="K144" i="38"/>
  <c r="J144" i="38"/>
  <c r="I144" i="38"/>
  <c r="H144" i="38"/>
  <c r="G144" i="38"/>
  <c r="F144" i="38"/>
  <c r="E144" i="38"/>
  <c r="D144" i="38"/>
  <c r="C144" i="38"/>
  <c r="B144" i="38"/>
  <c r="AG143" i="38"/>
  <c r="AG142" i="38"/>
  <c r="AG141" i="38"/>
  <c r="AG140" i="38"/>
  <c r="AF139" i="38"/>
  <c r="AE139" i="38"/>
  <c r="AD139" i="38"/>
  <c r="AC139" i="38"/>
  <c r="AB139" i="38"/>
  <c r="AA139" i="38"/>
  <c r="Z139" i="38"/>
  <c r="Y139" i="38"/>
  <c r="X139" i="38"/>
  <c r="W139" i="38"/>
  <c r="V139" i="38"/>
  <c r="U139" i="38"/>
  <c r="T139" i="38"/>
  <c r="S139" i="38"/>
  <c r="R139" i="38"/>
  <c r="Q139" i="38"/>
  <c r="P139" i="38"/>
  <c r="O139" i="38"/>
  <c r="N139" i="38"/>
  <c r="M139" i="38"/>
  <c r="L139" i="38"/>
  <c r="K139" i="38"/>
  <c r="J139" i="38"/>
  <c r="I139" i="38"/>
  <c r="H139" i="38"/>
  <c r="G139" i="38"/>
  <c r="F139" i="38"/>
  <c r="E139" i="38"/>
  <c r="D139" i="38"/>
  <c r="C139" i="38"/>
  <c r="B139" i="38"/>
  <c r="AG138" i="38"/>
  <c r="AG137" i="38"/>
  <c r="AG136" i="38"/>
  <c r="AF135" i="38"/>
  <c r="AE135" i="38"/>
  <c r="AD135" i="38"/>
  <c r="AC135" i="38"/>
  <c r="AB135" i="38"/>
  <c r="AA135" i="38"/>
  <c r="Z135" i="38"/>
  <c r="Y135" i="38"/>
  <c r="X135" i="38"/>
  <c r="W135" i="38"/>
  <c r="V135" i="38"/>
  <c r="U135" i="38"/>
  <c r="T135" i="38"/>
  <c r="S135" i="38"/>
  <c r="R135" i="38"/>
  <c r="Q135" i="38"/>
  <c r="P135" i="38"/>
  <c r="O135" i="38"/>
  <c r="N135" i="38"/>
  <c r="M135" i="38"/>
  <c r="L135" i="38"/>
  <c r="K135" i="38"/>
  <c r="J135" i="38"/>
  <c r="I135" i="38"/>
  <c r="H135" i="38"/>
  <c r="G135" i="38"/>
  <c r="F135" i="38"/>
  <c r="E135" i="38"/>
  <c r="D135" i="38"/>
  <c r="C135" i="38"/>
  <c r="B135" i="38"/>
  <c r="AG132" i="38"/>
  <c r="AG131" i="38"/>
  <c r="AG130" i="38"/>
  <c r="AG129" i="38"/>
  <c r="AG128" i="38"/>
  <c r="AG127" i="38"/>
  <c r="AG126" i="38"/>
  <c r="AG125" i="38"/>
  <c r="AG124" i="38"/>
  <c r="AG123" i="38"/>
  <c r="AG122" i="38"/>
  <c r="AG121" i="38"/>
  <c r="AG120" i="38"/>
  <c r="AF119" i="38"/>
  <c r="AE119" i="38"/>
  <c r="AD119" i="38"/>
  <c r="AC119" i="38"/>
  <c r="AB119" i="38"/>
  <c r="AA119" i="38"/>
  <c r="Z119" i="38"/>
  <c r="Y119" i="38"/>
  <c r="X119" i="38"/>
  <c r="W119" i="38"/>
  <c r="V119" i="38"/>
  <c r="U119" i="38"/>
  <c r="T119" i="38"/>
  <c r="S119" i="38"/>
  <c r="R119" i="38"/>
  <c r="Q119" i="38"/>
  <c r="P119" i="38"/>
  <c r="O119" i="38"/>
  <c r="N119" i="38"/>
  <c r="M119" i="38"/>
  <c r="L119" i="38"/>
  <c r="K119" i="38"/>
  <c r="J119" i="38"/>
  <c r="I119" i="38"/>
  <c r="H119" i="38"/>
  <c r="G119" i="38"/>
  <c r="F119" i="38"/>
  <c r="E119" i="38"/>
  <c r="D119" i="38"/>
  <c r="C119" i="38"/>
  <c r="B119" i="38"/>
  <c r="AG118" i="38"/>
  <c r="AG117" i="38"/>
  <c r="AF116" i="38"/>
  <c r="AE116" i="38"/>
  <c r="AD116" i="38"/>
  <c r="AC116" i="38"/>
  <c r="AB116" i="38"/>
  <c r="AA116" i="38"/>
  <c r="Z116" i="38"/>
  <c r="Y116" i="38"/>
  <c r="X116" i="38"/>
  <c r="W116" i="38"/>
  <c r="V116" i="38"/>
  <c r="U116" i="38"/>
  <c r="T116" i="38"/>
  <c r="S116" i="38"/>
  <c r="R116" i="38"/>
  <c r="Q116" i="38"/>
  <c r="P116" i="38"/>
  <c r="O116" i="38"/>
  <c r="N116" i="38"/>
  <c r="M116" i="38"/>
  <c r="L116" i="38"/>
  <c r="K116" i="38"/>
  <c r="J116" i="38"/>
  <c r="I116" i="38"/>
  <c r="H116" i="38"/>
  <c r="G116" i="38"/>
  <c r="F116" i="38"/>
  <c r="E116" i="38"/>
  <c r="D116" i="38"/>
  <c r="C116" i="38"/>
  <c r="B116" i="38"/>
  <c r="AG115" i="38"/>
  <c r="AG114" i="38"/>
  <c r="AG113" i="38"/>
  <c r="AG112" i="38"/>
  <c r="AG111" i="38"/>
  <c r="AG110" i="38"/>
  <c r="AG109" i="38"/>
  <c r="AG108" i="38"/>
  <c r="AG107" i="38"/>
  <c r="AG106" i="38"/>
  <c r="AG105" i="38"/>
  <c r="AG104" i="38"/>
  <c r="AG103" i="38"/>
  <c r="AG102" i="38"/>
  <c r="AG101" i="38"/>
  <c r="AF100" i="38"/>
  <c r="AE100" i="38"/>
  <c r="AD100" i="38"/>
  <c r="AC100" i="38"/>
  <c r="AB100" i="38"/>
  <c r="AA100" i="38"/>
  <c r="Z100" i="38"/>
  <c r="Y100" i="38"/>
  <c r="X100" i="38"/>
  <c r="W100" i="38"/>
  <c r="V100" i="38"/>
  <c r="U100" i="38"/>
  <c r="T100" i="38"/>
  <c r="S100" i="38"/>
  <c r="R100" i="38"/>
  <c r="Q100" i="38"/>
  <c r="P100" i="38"/>
  <c r="O100" i="38"/>
  <c r="N100" i="38"/>
  <c r="M100" i="38"/>
  <c r="L100" i="38"/>
  <c r="K100" i="38"/>
  <c r="J100" i="38"/>
  <c r="I100" i="38"/>
  <c r="H100" i="38"/>
  <c r="G100" i="38"/>
  <c r="F100" i="38"/>
  <c r="E100" i="38"/>
  <c r="D100" i="38"/>
  <c r="C100" i="38"/>
  <c r="B100" i="38"/>
  <c r="AG99" i="38"/>
  <c r="AG98" i="38"/>
  <c r="AG97" i="38"/>
  <c r="AG96" i="38"/>
  <c r="AG95" i="38"/>
  <c r="AF94" i="38"/>
  <c r="AE94" i="38"/>
  <c r="AD94" i="38"/>
  <c r="AC94" i="38"/>
  <c r="AC93" i="38" s="1"/>
  <c r="AB94" i="38"/>
  <c r="AA94" i="38"/>
  <c r="Z94" i="38"/>
  <c r="Y94" i="38"/>
  <c r="Y93" i="38" s="1"/>
  <c r="X94" i="38"/>
  <c r="W94" i="38"/>
  <c r="V94" i="38"/>
  <c r="U94" i="38"/>
  <c r="T94" i="38"/>
  <c r="S94" i="38"/>
  <c r="R94" i="38"/>
  <c r="Q94" i="38"/>
  <c r="P94" i="38"/>
  <c r="O94" i="38"/>
  <c r="N94" i="38"/>
  <c r="M94" i="38"/>
  <c r="L94" i="38"/>
  <c r="K94" i="38"/>
  <c r="K93" i="38" s="1"/>
  <c r="J94" i="38"/>
  <c r="I94" i="38"/>
  <c r="H94" i="38"/>
  <c r="G94" i="38"/>
  <c r="F94" i="38"/>
  <c r="E94" i="38"/>
  <c r="D94" i="38"/>
  <c r="C94" i="38"/>
  <c r="B94" i="38"/>
  <c r="B93" i="38" s="1"/>
  <c r="AG92" i="38"/>
  <c r="AG91" i="38"/>
  <c r="AG90" i="38"/>
  <c r="AG89" i="38"/>
  <c r="AG88" i="38"/>
  <c r="AF87" i="38"/>
  <c r="AE87" i="38"/>
  <c r="AD87" i="38"/>
  <c r="AC87" i="38"/>
  <c r="AB87" i="38"/>
  <c r="AA87" i="38"/>
  <c r="Z87" i="38"/>
  <c r="Y87" i="38"/>
  <c r="X87" i="38"/>
  <c r="W87" i="38"/>
  <c r="V87" i="38"/>
  <c r="U87" i="38"/>
  <c r="T87" i="38"/>
  <c r="S87" i="38"/>
  <c r="R87" i="38"/>
  <c r="Q87" i="38"/>
  <c r="P87" i="38"/>
  <c r="O87" i="38"/>
  <c r="N87" i="38"/>
  <c r="M87" i="38"/>
  <c r="L87" i="38"/>
  <c r="K87" i="38"/>
  <c r="J87" i="38"/>
  <c r="I87" i="38"/>
  <c r="H87" i="38"/>
  <c r="G87" i="38"/>
  <c r="F87" i="38"/>
  <c r="E87" i="38"/>
  <c r="D87" i="38"/>
  <c r="C87" i="38"/>
  <c r="B87" i="38"/>
  <c r="AG86" i="38"/>
  <c r="AG85" i="38"/>
  <c r="AF84" i="38"/>
  <c r="AE84" i="38"/>
  <c r="AD84" i="38"/>
  <c r="AC84" i="38"/>
  <c r="AB84" i="38"/>
  <c r="AA84" i="38"/>
  <c r="Z84" i="38"/>
  <c r="Y84" i="38"/>
  <c r="X84" i="38"/>
  <c r="W84" i="38"/>
  <c r="V84" i="38"/>
  <c r="U84" i="38"/>
  <c r="T84" i="38"/>
  <c r="S84" i="38"/>
  <c r="R84" i="38"/>
  <c r="Q84" i="38"/>
  <c r="P84" i="38"/>
  <c r="O84" i="38"/>
  <c r="N84" i="38"/>
  <c r="M84" i="38"/>
  <c r="L84" i="38"/>
  <c r="K84" i="38"/>
  <c r="J84" i="38"/>
  <c r="I84" i="38"/>
  <c r="H84" i="38"/>
  <c r="G84" i="38"/>
  <c r="F84" i="38"/>
  <c r="E84" i="38"/>
  <c r="D84" i="38"/>
  <c r="C84" i="38"/>
  <c r="B84" i="38"/>
  <c r="AF82" i="38"/>
  <c r="AF83" i="38" s="1"/>
  <c r="AF81" i="38" s="1"/>
  <c r="AE82" i="38"/>
  <c r="AD82" i="38"/>
  <c r="AD83" i="38" s="1"/>
  <c r="AD81" i="38" s="1"/>
  <c r="AC82" i="38"/>
  <c r="AC83" i="38" s="1"/>
  <c r="AB82" i="38"/>
  <c r="AB83" i="38" s="1"/>
  <c r="AA82" i="38"/>
  <c r="AA83" i="38" s="1"/>
  <c r="Z82" i="38"/>
  <c r="Z83" i="38" s="1"/>
  <c r="Z81" i="38" s="1"/>
  <c r="Y82" i="38"/>
  <c r="Y83" i="38" s="1"/>
  <c r="X82" i="38"/>
  <c r="X83" i="38" s="1"/>
  <c r="X81" i="38" s="1"/>
  <c r="W82" i="38"/>
  <c r="V82" i="38"/>
  <c r="V83" i="38" s="1"/>
  <c r="V81" i="38" s="1"/>
  <c r="U82" i="38"/>
  <c r="U83" i="38" s="1"/>
  <c r="U81" i="38" s="1"/>
  <c r="T82" i="38"/>
  <c r="S82" i="38"/>
  <c r="S83" i="38" s="1"/>
  <c r="R82" i="38"/>
  <c r="R83" i="38" s="1"/>
  <c r="R81" i="38" s="1"/>
  <c r="Q82" i="38"/>
  <c r="Q83" i="38" s="1"/>
  <c r="P82" i="38"/>
  <c r="P83" i="38" s="1"/>
  <c r="O82" i="38"/>
  <c r="O83" i="38" s="1"/>
  <c r="N82" i="38"/>
  <c r="M82" i="38"/>
  <c r="M83" i="38" s="1"/>
  <c r="L82" i="38"/>
  <c r="L83" i="38" s="1"/>
  <c r="L81" i="38" s="1"/>
  <c r="K82" i="38"/>
  <c r="J82" i="38"/>
  <c r="J83" i="38" s="1"/>
  <c r="J81" i="38" s="1"/>
  <c r="I82" i="38"/>
  <c r="I83" i="38" s="1"/>
  <c r="I81" i="38" s="1"/>
  <c r="H82" i="38"/>
  <c r="H83" i="38" s="1"/>
  <c r="H81" i="38" s="1"/>
  <c r="G82" i="38"/>
  <c r="F82" i="38"/>
  <c r="F83" i="38" s="1"/>
  <c r="F81" i="38" s="1"/>
  <c r="E82" i="38"/>
  <c r="E83" i="38" s="1"/>
  <c r="D82" i="38"/>
  <c r="D83" i="38" s="1"/>
  <c r="C82" i="38"/>
  <c r="C83" i="38" s="1"/>
  <c r="B82" i="38"/>
  <c r="AG80" i="38"/>
  <c r="AF79" i="38"/>
  <c r="AF78" i="38" s="1"/>
  <c r="AE79" i="38"/>
  <c r="AE78" i="38" s="1"/>
  <c r="AD79" i="38"/>
  <c r="AD78" i="38" s="1"/>
  <c r="AC79" i="38"/>
  <c r="AC78" i="38" s="1"/>
  <c r="AB79" i="38"/>
  <c r="AB78" i="38" s="1"/>
  <c r="AA79" i="38"/>
  <c r="AA78" i="38" s="1"/>
  <c r="Z79" i="38"/>
  <c r="Z78" i="38" s="1"/>
  <c r="Y79" i="38"/>
  <c r="Y78" i="38" s="1"/>
  <c r="X79" i="38"/>
  <c r="X78" i="38" s="1"/>
  <c r="W79" i="38"/>
  <c r="W78" i="38" s="1"/>
  <c r="V79" i="38"/>
  <c r="V78" i="38" s="1"/>
  <c r="U79" i="38"/>
  <c r="U78" i="38" s="1"/>
  <c r="T79" i="38"/>
  <c r="T78" i="38" s="1"/>
  <c r="S79" i="38"/>
  <c r="S78" i="38" s="1"/>
  <c r="R79" i="38"/>
  <c r="R78" i="38" s="1"/>
  <c r="Q79" i="38"/>
  <c r="Q78" i="38" s="1"/>
  <c r="P79" i="38"/>
  <c r="P78" i="38" s="1"/>
  <c r="O79" i="38"/>
  <c r="O78" i="38" s="1"/>
  <c r="N79" i="38"/>
  <c r="N78" i="38" s="1"/>
  <c r="M79" i="38"/>
  <c r="M78" i="38" s="1"/>
  <c r="L79" i="38"/>
  <c r="L78" i="38" s="1"/>
  <c r="K79" i="38"/>
  <c r="K78" i="38" s="1"/>
  <c r="J79" i="38"/>
  <c r="J78" i="38" s="1"/>
  <c r="I79" i="38"/>
  <c r="I78" i="38" s="1"/>
  <c r="H79" i="38"/>
  <c r="H78" i="38" s="1"/>
  <c r="G79" i="38"/>
  <c r="G78" i="38" s="1"/>
  <c r="F79" i="38"/>
  <c r="F78" i="38" s="1"/>
  <c r="E79" i="38"/>
  <c r="E78" i="38" s="1"/>
  <c r="D79" i="38"/>
  <c r="D78" i="38" s="1"/>
  <c r="C79" i="38"/>
  <c r="C78" i="38" s="1"/>
  <c r="B79" i="38"/>
  <c r="B78" i="38" s="1"/>
  <c r="AG77" i="38"/>
  <c r="AG76" i="38"/>
  <c r="AG75" i="38"/>
  <c r="AG74" i="38"/>
  <c r="AG73" i="38"/>
  <c r="AG72" i="38"/>
  <c r="AG71" i="38"/>
  <c r="AG70" i="38"/>
  <c r="AG69" i="38"/>
  <c r="AG68" i="38"/>
  <c r="AG67" i="38"/>
  <c r="AG66" i="38"/>
  <c r="AG65" i="38"/>
  <c r="AG64" i="38"/>
  <c r="AG63" i="38"/>
  <c r="AG62" i="38"/>
  <c r="AG61" i="38"/>
  <c r="AG60" i="38"/>
  <c r="AG59" i="38"/>
  <c r="AG58" i="38"/>
  <c r="AG57" i="38"/>
  <c r="AG56" i="38"/>
  <c r="AG55" i="38"/>
  <c r="AG54" i="38"/>
  <c r="AF53" i="38"/>
  <c r="AF134" i="38" s="1"/>
  <c r="AE53" i="38"/>
  <c r="AE134" i="38" s="1"/>
  <c r="AD53" i="38"/>
  <c r="AD134" i="38" s="1"/>
  <c r="AC53" i="38"/>
  <c r="AC134" i="38" s="1"/>
  <c r="AB53" i="38"/>
  <c r="AB134" i="38" s="1"/>
  <c r="AA53" i="38"/>
  <c r="AA134" i="38" s="1"/>
  <c r="Z53" i="38"/>
  <c r="Z134" i="38" s="1"/>
  <c r="Y53" i="38"/>
  <c r="Y134" i="38" s="1"/>
  <c r="X53" i="38"/>
  <c r="X134" i="38" s="1"/>
  <c r="W53" i="38"/>
  <c r="W134" i="38" s="1"/>
  <c r="V53" i="38"/>
  <c r="V134" i="38" s="1"/>
  <c r="U53" i="38"/>
  <c r="U134" i="38" s="1"/>
  <c r="T53" i="38"/>
  <c r="T134" i="38" s="1"/>
  <c r="S53" i="38"/>
  <c r="S134" i="38" s="1"/>
  <c r="R53" i="38"/>
  <c r="R134" i="38" s="1"/>
  <c r="Q53" i="38"/>
  <c r="Q134" i="38" s="1"/>
  <c r="P53" i="38"/>
  <c r="P134" i="38" s="1"/>
  <c r="O53" i="38"/>
  <c r="O134" i="38" s="1"/>
  <c r="N53" i="38"/>
  <c r="N134" i="38" s="1"/>
  <c r="M53" i="38"/>
  <c r="M134" i="38" s="1"/>
  <c r="L53" i="38"/>
  <c r="L134" i="38" s="1"/>
  <c r="K53" i="38"/>
  <c r="K134" i="38" s="1"/>
  <c r="J53" i="38"/>
  <c r="J134" i="38" s="1"/>
  <c r="I53" i="38"/>
  <c r="I134" i="38" s="1"/>
  <c r="H53" i="38"/>
  <c r="H134" i="38" s="1"/>
  <c r="G53" i="38"/>
  <c r="G134" i="38" s="1"/>
  <c r="F53" i="38"/>
  <c r="F134" i="38" s="1"/>
  <c r="E53" i="38"/>
  <c r="E134" i="38" s="1"/>
  <c r="D53" i="38"/>
  <c r="D134" i="38" s="1"/>
  <c r="C53" i="38"/>
  <c r="B53" i="38"/>
  <c r="B134" i="38" s="1"/>
  <c r="AG52" i="38"/>
  <c r="AG51" i="38"/>
  <c r="AG50" i="38"/>
  <c r="AG49" i="38"/>
  <c r="AG48" i="38"/>
  <c r="AG47" i="38"/>
  <c r="AG46" i="38"/>
  <c r="AG45" i="38"/>
  <c r="AG44" i="38"/>
  <c r="AG43" i="38"/>
  <c r="AG42" i="38"/>
  <c r="AG41" i="38"/>
  <c r="AG40" i="38"/>
  <c r="AG39" i="38"/>
  <c r="AG38" i="38"/>
  <c r="AG37" i="38"/>
  <c r="AG36" i="38"/>
  <c r="AG35" i="38"/>
  <c r="AG34" i="38"/>
  <c r="AG33" i="38"/>
  <c r="AG32" i="38"/>
  <c r="AG31" i="38"/>
  <c r="AG30" i="38"/>
  <c r="AG29" i="38"/>
  <c r="AF28" i="38"/>
  <c r="AF133" i="38" s="1"/>
  <c r="AE28" i="38"/>
  <c r="AE133" i="38" s="1"/>
  <c r="AD28" i="38"/>
  <c r="AD133" i="38" s="1"/>
  <c r="AC28" i="38"/>
  <c r="AC133" i="38" s="1"/>
  <c r="AB28" i="38"/>
  <c r="AB133" i="38" s="1"/>
  <c r="AA28" i="38"/>
  <c r="AA133" i="38" s="1"/>
  <c r="Z28" i="38"/>
  <c r="Z133" i="38" s="1"/>
  <c r="Y28" i="38"/>
  <c r="Y133" i="38" s="1"/>
  <c r="X28" i="38"/>
  <c r="X133" i="38" s="1"/>
  <c r="W28" i="38"/>
  <c r="W133" i="38" s="1"/>
  <c r="V28" i="38"/>
  <c r="V133" i="38" s="1"/>
  <c r="U28" i="38"/>
  <c r="U133" i="38" s="1"/>
  <c r="T28" i="38"/>
  <c r="T133" i="38" s="1"/>
  <c r="S28" i="38"/>
  <c r="S133" i="38" s="1"/>
  <c r="R28" i="38"/>
  <c r="R133" i="38" s="1"/>
  <c r="Q28" i="38"/>
  <c r="Q133" i="38" s="1"/>
  <c r="P28" i="38"/>
  <c r="P133" i="38" s="1"/>
  <c r="O28" i="38"/>
  <c r="O133" i="38" s="1"/>
  <c r="N28" i="38"/>
  <c r="N133" i="38" s="1"/>
  <c r="M28" i="38"/>
  <c r="M133" i="38" s="1"/>
  <c r="L28" i="38"/>
  <c r="L133" i="38" s="1"/>
  <c r="K28" i="38"/>
  <c r="K133" i="38" s="1"/>
  <c r="J28" i="38"/>
  <c r="J133" i="38" s="1"/>
  <c r="I28" i="38"/>
  <c r="H28" i="38"/>
  <c r="H133" i="38" s="1"/>
  <c r="G28" i="38"/>
  <c r="G133" i="38" s="1"/>
  <c r="F28" i="38"/>
  <c r="F133" i="38" s="1"/>
  <c r="E28" i="38"/>
  <c r="E133" i="38" s="1"/>
  <c r="D28" i="38"/>
  <c r="D133" i="38" s="1"/>
  <c r="C28" i="38"/>
  <c r="C133" i="38" s="1"/>
  <c r="B28" i="38"/>
  <c r="B133" i="38" s="1"/>
  <c r="AG27" i="38"/>
  <c r="AG26" i="38"/>
  <c r="AG25" i="38"/>
  <c r="AG24" i="38"/>
  <c r="AG23" i="38"/>
  <c r="AG22" i="38"/>
  <c r="AG21" i="38"/>
  <c r="AG20" i="38"/>
  <c r="AG19" i="38"/>
  <c r="AG18" i="38"/>
  <c r="AG17" i="38"/>
  <c r="AG16" i="38"/>
  <c r="AG15" i="38"/>
  <c r="AG14" i="38"/>
  <c r="AG13" i="38"/>
  <c r="AG12" i="38"/>
  <c r="AG11" i="38"/>
  <c r="AG10" i="38"/>
  <c r="AG9" i="38"/>
  <c r="AG8" i="38"/>
  <c r="AG7" i="38"/>
  <c r="AG6" i="38"/>
  <c r="AG5" i="38"/>
  <c r="AG4" i="38"/>
  <c r="AF3" i="38"/>
  <c r="AE3" i="38"/>
  <c r="AD3" i="38"/>
  <c r="AC3" i="38"/>
  <c r="AB3" i="38"/>
  <c r="AA3" i="38"/>
  <c r="Z3" i="38"/>
  <c r="Y3" i="38"/>
  <c r="X3" i="38"/>
  <c r="W3" i="38"/>
  <c r="V3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D3" i="38"/>
  <c r="C3" i="38"/>
  <c r="B3" i="38"/>
  <c r="D2" i="38"/>
  <c r="E2" i="38" s="1"/>
  <c r="F2" i="38" s="1"/>
  <c r="G2" i="38" s="1"/>
  <c r="H2" i="38" s="1"/>
  <c r="I2" i="38" s="1"/>
  <c r="J2" i="38" s="1"/>
  <c r="K2" i="38" s="1"/>
  <c r="L2" i="38" s="1"/>
  <c r="M2" i="38" s="1"/>
  <c r="N2" i="38" s="1"/>
  <c r="O2" i="38" s="1"/>
  <c r="P2" i="38" s="1"/>
  <c r="Q2" i="38" s="1"/>
  <c r="R2" i="38" s="1"/>
  <c r="S2" i="38" s="1"/>
  <c r="T2" i="38" s="1"/>
  <c r="U2" i="38" s="1"/>
  <c r="V2" i="38" s="1"/>
  <c r="W2" i="38" s="1"/>
  <c r="X2" i="38" s="1"/>
  <c r="Y2" i="38" s="1"/>
  <c r="Z2" i="38" s="1"/>
  <c r="AA2" i="38" s="1"/>
  <c r="AB2" i="38" s="1"/>
  <c r="AC2" i="38" s="1"/>
  <c r="AD2" i="38" s="1"/>
  <c r="AE2" i="38" s="1"/>
  <c r="AF2" i="38" s="1"/>
  <c r="C2" i="38"/>
  <c r="AG180" i="37"/>
  <c r="AG179" i="37"/>
  <c r="AG178" i="37"/>
  <c r="AF177" i="37"/>
  <c r="AE177" i="37"/>
  <c r="AD177" i="37"/>
  <c r="AC177" i="37"/>
  <c r="AB177" i="37"/>
  <c r="AA177" i="37"/>
  <c r="Z177" i="37"/>
  <c r="Y177" i="37"/>
  <c r="X177" i="37"/>
  <c r="W177" i="37"/>
  <c r="V177" i="37"/>
  <c r="U177" i="37"/>
  <c r="T177" i="37"/>
  <c r="S177" i="37"/>
  <c r="R177" i="37"/>
  <c r="Q177" i="37"/>
  <c r="P177" i="37"/>
  <c r="O177" i="37"/>
  <c r="N177" i="37"/>
  <c r="M177" i="37"/>
  <c r="L177" i="37"/>
  <c r="K177" i="37"/>
  <c r="J177" i="37"/>
  <c r="I177" i="37"/>
  <c r="H177" i="37"/>
  <c r="AG177" i="37" s="1"/>
  <c r="G177" i="37"/>
  <c r="F177" i="37"/>
  <c r="E177" i="37"/>
  <c r="D177" i="37"/>
  <c r="C177" i="37"/>
  <c r="B177" i="37"/>
  <c r="AG176" i="37"/>
  <c r="AG175" i="37"/>
  <c r="AG174" i="37"/>
  <c r="AG173" i="37"/>
  <c r="AG172" i="37"/>
  <c r="AF171" i="37"/>
  <c r="AE171" i="37"/>
  <c r="AD171" i="37"/>
  <c r="AC171" i="37"/>
  <c r="AB171" i="37"/>
  <c r="AA171" i="37"/>
  <c r="Z171" i="37"/>
  <c r="Y171" i="37"/>
  <c r="X171" i="37"/>
  <c r="W171" i="37"/>
  <c r="V171" i="37"/>
  <c r="U171" i="37"/>
  <c r="T171" i="37"/>
  <c r="S171" i="37"/>
  <c r="R171" i="37"/>
  <c r="Q171" i="37"/>
  <c r="P171" i="37"/>
  <c r="O171" i="37"/>
  <c r="N171" i="37"/>
  <c r="M171" i="37"/>
  <c r="L171" i="37"/>
  <c r="K171" i="37"/>
  <c r="J171" i="37"/>
  <c r="I171" i="37"/>
  <c r="H171" i="37"/>
  <c r="G171" i="37"/>
  <c r="F171" i="37"/>
  <c r="E171" i="37"/>
  <c r="D171" i="37"/>
  <c r="C171" i="37"/>
  <c r="B171" i="37"/>
  <c r="AG170" i="37"/>
  <c r="AG169" i="37"/>
  <c r="AG168" i="37"/>
  <c r="AG167" i="37"/>
  <c r="AG166" i="37"/>
  <c r="AG165" i="37"/>
  <c r="AG164" i="37"/>
  <c r="AG163" i="37"/>
  <c r="AG162" i="37"/>
  <c r="AG161" i="37"/>
  <c r="AG160" i="37"/>
  <c r="AG159" i="37"/>
  <c r="AG158" i="37"/>
  <c r="AG157" i="37"/>
  <c r="AG156" i="37"/>
  <c r="AG155" i="37"/>
  <c r="AG154" i="37"/>
  <c r="AG153" i="37"/>
  <c r="AG152" i="37"/>
  <c r="AG151" i="37"/>
  <c r="AG150" i="37"/>
  <c r="AG149" i="37"/>
  <c r="AG148" i="37"/>
  <c r="AG147" i="37"/>
  <c r="AG146" i="37"/>
  <c r="AG145" i="37"/>
  <c r="AF144" i="37"/>
  <c r="AE144" i="37"/>
  <c r="AD144" i="37"/>
  <c r="AC144" i="37"/>
  <c r="AB144" i="37"/>
  <c r="AA144" i="37"/>
  <c r="Z144" i="37"/>
  <c r="Y144" i="37"/>
  <c r="X144" i="37"/>
  <c r="W144" i="37"/>
  <c r="V144" i="37"/>
  <c r="U144" i="37"/>
  <c r="T144" i="37"/>
  <c r="S144" i="37"/>
  <c r="R144" i="37"/>
  <c r="Q144" i="37"/>
  <c r="P144" i="37"/>
  <c r="O144" i="37"/>
  <c r="N144" i="37"/>
  <c r="M144" i="37"/>
  <c r="L144" i="37"/>
  <c r="K144" i="37"/>
  <c r="J144" i="37"/>
  <c r="I144" i="37"/>
  <c r="H144" i="37"/>
  <c r="G144" i="37"/>
  <c r="F144" i="37"/>
  <c r="E144" i="37"/>
  <c r="D144" i="37"/>
  <c r="C144" i="37"/>
  <c r="B144" i="37"/>
  <c r="AG143" i="37"/>
  <c r="AG142" i="37"/>
  <c r="AG141" i="37"/>
  <c r="AG140" i="37"/>
  <c r="AF139" i="37"/>
  <c r="AE139" i="37"/>
  <c r="AD139" i="37"/>
  <c r="AC139" i="37"/>
  <c r="AB139" i="37"/>
  <c r="AA139" i="37"/>
  <c r="Z139" i="37"/>
  <c r="Y139" i="37"/>
  <c r="X139" i="37"/>
  <c r="W139" i="37"/>
  <c r="V139" i="37"/>
  <c r="U139" i="37"/>
  <c r="T139" i="37"/>
  <c r="S139" i="37"/>
  <c r="R139" i="37"/>
  <c r="Q139" i="37"/>
  <c r="P139" i="37"/>
  <c r="O139" i="37"/>
  <c r="N139" i="37"/>
  <c r="M139" i="37"/>
  <c r="L139" i="37"/>
  <c r="K139" i="37"/>
  <c r="J139" i="37"/>
  <c r="I139" i="37"/>
  <c r="H139" i="37"/>
  <c r="G139" i="37"/>
  <c r="F139" i="37"/>
  <c r="E139" i="37"/>
  <c r="D139" i="37"/>
  <c r="C139" i="37"/>
  <c r="B139" i="37"/>
  <c r="AG138" i="37"/>
  <c r="AG137" i="37"/>
  <c r="AG136" i="37"/>
  <c r="AF135" i="37"/>
  <c r="AE135" i="37"/>
  <c r="AD135" i="37"/>
  <c r="AC135" i="37"/>
  <c r="AB135" i="37"/>
  <c r="AA135" i="37"/>
  <c r="Z135" i="37"/>
  <c r="Y135" i="37"/>
  <c r="X135" i="37"/>
  <c r="W135" i="37"/>
  <c r="V135" i="37"/>
  <c r="U135" i="37"/>
  <c r="T135" i="37"/>
  <c r="S135" i="37"/>
  <c r="R135" i="37"/>
  <c r="Q135" i="37"/>
  <c r="P135" i="37"/>
  <c r="O135" i="37"/>
  <c r="N135" i="37"/>
  <c r="M135" i="37"/>
  <c r="L135" i="37"/>
  <c r="K135" i="37"/>
  <c r="J135" i="37"/>
  <c r="I135" i="37"/>
  <c r="H135" i="37"/>
  <c r="G135" i="37"/>
  <c r="F135" i="37"/>
  <c r="E135" i="37"/>
  <c r="D135" i="37"/>
  <c r="C135" i="37"/>
  <c r="B135" i="37"/>
  <c r="AG132" i="37"/>
  <c r="AG131" i="37"/>
  <c r="AG130" i="37"/>
  <c r="AG129" i="37"/>
  <c r="AG128" i="37"/>
  <c r="AG127" i="37"/>
  <c r="AG126" i="37"/>
  <c r="AG125" i="37"/>
  <c r="AG124" i="37"/>
  <c r="AG123" i="37"/>
  <c r="AG122" i="37"/>
  <c r="AG121" i="37"/>
  <c r="AG120" i="37"/>
  <c r="AF119" i="37"/>
  <c r="AE119" i="37"/>
  <c r="AD119" i="37"/>
  <c r="AC119" i="37"/>
  <c r="AB119" i="37"/>
  <c r="AA119" i="37"/>
  <c r="Z119" i="37"/>
  <c r="Y119" i="37"/>
  <c r="X119" i="37"/>
  <c r="W119" i="37"/>
  <c r="V119" i="37"/>
  <c r="U119" i="37"/>
  <c r="T119" i="37"/>
  <c r="S119" i="37"/>
  <c r="R119" i="37"/>
  <c r="Q119" i="37"/>
  <c r="P119" i="37"/>
  <c r="O119" i="37"/>
  <c r="N119" i="37"/>
  <c r="M119" i="37"/>
  <c r="L119" i="37"/>
  <c r="K119" i="37"/>
  <c r="J119" i="37"/>
  <c r="I119" i="37"/>
  <c r="H119" i="37"/>
  <c r="G119" i="37"/>
  <c r="F119" i="37"/>
  <c r="E119" i="37"/>
  <c r="D119" i="37"/>
  <c r="C119" i="37"/>
  <c r="B119" i="37"/>
  <c r="AG118" i="37"/>
  <c r="AG117" i="37"/>
  <c r="AF116" i="37"/>
  <c r="AE116" i="37"/>
  <c r="AD116" i="37"/>
  <c r="AC116" i="37"/>
  <c r="AB116" i="37"/>
  <c r="AA116" i="37"/>
  <c r="Z116" i="37"/>
  <c r="Y116" i="37"/>
  <c r="X116" i="37"/>
  <c r="W116" i="37"/>
  <c r="V116" i="37"/>
  <c r="U116" i="37"/>
  <c r="T116" i="37"/>
  <c r="S116" i="37"/>
  <c r="R116" i="37"/>
  <c r="Q116" i="37"/>
  <c r="P116" i="37"/>
  <c r="O116" i="37"/>
  <c r="N116" i="37"/>
  <c r="M116" i="37"/>
  <c r="L116" i="37"/>
  <c r="K116" i="37"/>
  <c r="J116" i="37"/>
  <c r="I116" i="37"/>
  <c r="H116" i="37"/>
  <c r="G116" i="37"/>
  <c r="F116" i="37"/>
  <c r="E116" i="37"/>
  <c r="D116" i="37"/>
  <c r="C116" i="37"/>
  <c r="B116" i="37"/>
  <c r="AG115" i="37"/>
  <c r="AG114" i="37"/>
  <c r="AG113" i="37"/>
  <c r="AG112" i="37"/>
  <c r="AG111" i="37"/>
  <c r="AG110" i="37"/>
  <c r="AG109" i="37"/>
  <c r="AG108" i="37"/>
  <c r="AG107" i="37"/>
  <c r="AG106" i="37"/>
  <c r="AG105" i="37"/>
  <c r="AG104" i="37"/>
  <c r="AG103" i="37"/>
  <c r="AG102" i="37"/>
  <c r="AG101" i="37"/>
  <c r="AF100" i="37"/>
  <c r="AE100" i="37"/>
  <c r="AE93" i="37" s="1"/>
  <c r="AD100" i="37"/>
  <c r="AC100" i="37"/>
  <c r="AB100" i="37"/>
  <c r="AA100" i="37"/>
  <c r="Z100" i="37"/>
  <c r="Y100" i="37"/>
  <c r="X100" i="37"/>
  <c r="W100" i="37"/>
  <c r="V100" i="37"/>
  <c r="U100" i="37"/>
  <c r="T100" i="37"/>
  <c r="S100" i="37"/>
  <c r="R100" i="37"/>
  <c r="Q100" i="37"/>
  <c r="P100" i="37"/>
  <c r="O100" i="37"/>
  <c r="N100" i="37"/>
  <c r="M100" i="37"/>
  <c r="L100" i="37"/>
  <c r="K100" i="37"/>
  <c r="J100" i="37"/>
  <c r="I100" i="37"/>
  <c r="H100" i="37"/>
  <c r="G100" i="37"/>
  <c r="F100" i="37"/>
  <c r="E100" i="37"/>
  <c r="D100" i="37"/>
  <c r="C100" i="37"/>
  <c r="B100" i="37"/>
  <c r="AG99" i="37"/>
  <c r="AG98" i="37"/>
  <c r="AG97" i="37"/>
  <c r="AG96" i="37"/>
  <c r="AG95" i="37"/>
  <c r="AF94" i="37"/>
  <c r="AF93" i="37" s="1"/>
  <c r="AE94" i="37"/>
  <c r="AD94" i="37"/>
  <c r="AD93" i="37" s="1"/>
  <c r="AC94" i="37"/>
  <c r="AC93" i="37" s="1"/>
  <c r="AB94" i="37"/>
  <c r="AB93" i="37" s="1"/>
  <c r="AA94" i="37"/>
  <c r="AA93" i="37" s="1"/>
  <c r="Z94" i="37"/>
  <c r="Y94" i="37"/>
  <c r="Y93" i="37" s="1"/>
  <c r="X94" i="37"/>
  <c r="W94" i="37"/>
  <c r="W93" i="37" s="1"/>
  <c r="V94" i="37"/>
  <c r="U94" i="37"/>
  <c r="T94" i="37"/>
  <c r="S94" i="37"/>
  <c r="R94" i="37"/>
  <c r="Q94" i="37"/>
  <c r="Q93" i="37" s="1"/>
  <c r="P94" i="37"/>
  <c r="O94" i="37"/>
  <c r="O93" i="37" s="1"/>
  <c r="N94" i="37"/>
  <c r="M94" i="37"/>
  <c r="M93" i="37" s="1"/>
  <c r="L94" i="37"/>
  <c r="K94" i="37"/>
  <c r="J94" i="37"/>
  <c r="J93" i="37" s="1"/>
  <c r="I94" i="37"/>
  <c r="H94" i="37"/>
  <c r="G94" i="37"/>
  <c r="F94" i="37"/>
  <c r="E94" i="37"/>
  <c r="D94" i="37"/>
  <c r="D93" i="37" s="1"/>
  <c r="C94" i="37"/>
  <c r="B94" i="37"/>
  <c r="V93" i="37"/>
  <c r="N93" i="37"/>
  <c r="AG92" i="37"/>
  <c r="AG91" i="37"/>
  <c r="AG90" i="37"/>
  <c r="AG89" i="37"/>
  <c r="AG88" i="37"/>
  <c r="AF87" i="37"/>
  <c r="AE87" i="37"/>
  <c r="AD87" i="37"/>
  <c r="AC87" i="37"/>
  <c r="AB87" i="37"/>
  <c r="AA87" i="37"/>
  <c r="Z87" i="37"/>
  <c r="Y87" i="37"/>
  <c r="X87" i="37"/>
  <c r="W87" i="37"/>
  <c r="V87" i="37"/>
  <c r="U87" i="37"/>
  <c r="T87" i="37"/>
  <c r="S87" i="37"/>
  <c r="R87" i="37"/>
  <c r="Q87" i="37"/>
  <c r="P87" i="37"/>
  <c r="O87" i="37"/>
  <c r="N87" i="37"/>
  <c r="M87" i="37"/>
  <c r="L87" i="37"/>
  <c r="K87" i="37"/>
  <c r="J87" i="37"/>
  <c r="I87" i="37"/>
  <c r="H87" i="37"/>
  <c r="G87" i="37"/>
  <c r="F87" i="37"/>
  <c r="E87" i="37"/>
  <c r="D87" i="37"/>
  <c r="C87" i="37"/>
  <c r="B87" i="37"/>
  <c r="AG86" i="37"/>
  <c r="AG85" i="37"/>
  <c r="AF84" i="37"/>
  <c r="AE84" i="37"/>
  <c r="AD84" i="37"/>
  <c r="AC84" i="37"/>
  <c r="AB84" i="37"/>
  <c r="AA84" i="37"/>
  <c r="Z84" i="37"/>
  <c r="Y84" i="37"/>
  <c r="X84" i="37"/>
  <c r="W84" i="37"/>
  <c r="V84" i="37"/>
  <c r="U84" i="37"/>
  <c r="T84" i="37"/>
  <c r="S84" i="37"/>
  <c r="R84" i="37"/>
  <c r="Q84" i="37"/>
  <c r="P84" i="37"/>
  <c r="O84" i="37"/>
  <c r="N84" i="37"/>
  <c r="M84" i="37"/>
  <c r="L84" i="37"/>
  <c r="K84" i="37"/>
  <c r="J84" i="37"/>
  <c r="I84" i="37"/>
  <c r="H84" i="37"/>
  <c r="G84" i="37"/>
  <c r="F84" i="37"/>
  <c r="E84" i="37"/>
  <c r="D84" i="37"/>
  <c r="C84" i="37"/>
  <c r="B84" i="37"/>
  <c r="AE83" i="37"/>
  <c r="Q83" i="37"/>
  <c r="Q81" i="37" s="1"/>
  <c r="G83" i="37"/>
  <c r="G81" i="37" s="1"/>
  <c r="AF82" i="37"/>
  <c r="AE82" i="37"/>
  <c r="AD82" i="37"/>
  <c r="AD83" i="37" s="1"/>
  <c r="AC82" i="37"/>
  <c r="AB82" i="37"/>
  <c r="AB83" i="37" s="1"/>
  <c r="AB81" i="37" s="1"/>
  <c r="AA82" i="37"/>
  <c r="AA83" i="37" s="1"/>
  <c r="Z82" i="37"/>
  <c r="Z83" i="37" s="1"/>
  <c r="Z81" i="37" s="1"/>
  <c r="Y82" i="37"/>
  <c r="Y83" i="37" s="1"/>
  <c r="X82" i="37"/>
  <c r="X83" i="37" s="1"/>
  <c r="X81" i="37" s="1"/>
  <c r="W82" i="37"/>
  <c r="V82" i="37"/>
  <c r="U82" i="37"/>
  <c r="U83" i="37" s="1"/>
  <c r="U81" i="37" s="1"/>
  <c r="T82" i="37"/>
  <c r="S82" i="37"/>
  <c r="S83" i="37" s="1"/>
  <c r="R82" i="37"/>
  <c r="R83" i="37" s="1"/>
  <c r="Q82" i="37"/>
  <c r="P82" i="37"/>
  <c r="P83" i="37" s="1"/>
  <c r="P81" i="37" s="1"/>
  <c r="O82" i="37"/>
  <c r="O83" i="37" s="1"/>
  <c r="N82" i="37"/>
  <c r="N83" i="37" s="1"/>
  <c r="N81" i="37" s="1"/>
  <c r="M82" i="37"/>
  <c r="M83" i="37" s="1"/>
  <c r="L82" i="37"/>
  <c r="L83" i="37" s="1"/>
  <c r="L81" i="37" s="1"/>
  <c r="K82" i="37"/>
  <c r="J82" i="37"/>
  <c r="I82" i="37"/>
  <c r="I83" i="37" s="1"/>
  <c r="I81" i="37" s="1"/>
  <c r="H82" i="37"/>
  <c r="G82" i="37"/>
  <c r="F82" i="37"/>
  <c r="F83" i="37" s="1"/>
  <c r="E82" i="37"/>
  <c r="D82" i="37"/>
  <c r="D83" i="37" s="1"/>
  <c r="D81" i="37" s="1"/>
  <c r="C82" i="37"/>
  <c r="C83" i="37" s="1"/>
  <c r="B82" i="37"/>
  <c r="AE81" i="37"/>
  <c r="AG80" i="37"/>
  <c r="AF79" i="37"/>
  <c r="AE79" i="37"/>
  <c r="AD79" i="37"/>
  <c r="AC79" i="37"/>
  <c r="AC78" i="37" s="1"/>
  <c r="AB79" i="37"/>
  <c r="AB78" i="37" s="1"/>
  <c r="AA79" i="37"/>
  <c r="AA78" i="37" s="1"/>
  <c r="Z79" i="37"/>
  <c r="Z78" i="37" s="1"/>
  <c r="Y79" i="37"/>
  <c r="Y78" i="37" s="1"/>
  <c r="X79" i="37"/>
  <c r="X78" i="37" s="1"/>
  <c r="W79" i="37"/>
  <c r="W78" i="37" s="1"/>
  <c r="V79" i="37"/>
  <c r="V78" i="37" s="1"/>
  <c r="U79" i="37"/>
  <c r="U78" i="37" s="1"/>
  <c r="T79" i="37"/>
  <c r="T78" i="37" s="1"/>
  <c r="S79" i="37"/>
  <c r="S78" i="37" s="1"/>
  <c r="R79" i="37"/>
  <c r="R78" i="37" s="1"/>
  <c r="Q79" i="37"/>
  <c r="Q78" i="37" s="1"/>
  <c r="P79" i="37"/>
  <c r="P78" i="37" s="1"/>
  <c r="O79" i="37"/>
  <c r="O78" i="37" s="1"/>
  <c r="N79" i="37"/>
  <c r="N78" i="37" s="1"/>
  <c r="M79" i="37"/>
  <c r="M78" i="37" s="1"/>
  <c r="L79" i="37"/>
  <c r="L78" i="37" s="1"/>
  <c r="K79" i="37"/>
  <c r="K78" i="37" s="1"/>
  <c r="J79" i="37"/>
  <c r="J78" i="37" s="1"/>
  <c r="I79" i="37"/>
  <c r="I78" i="37" s="1"/>
  <c r="H79" i="37"/>
  <c r="H78" i="37" s="1"/>
  <c r="G79" i="37"/>
  <c r="G78" i="37" s="1"/>
  <c r="F79" i="37"/>
  <c r="F78" i="37" s="1"/>
  <c r="E79" i="37"/>
  <c r="E78" i="37" s="1"/>
  <c r="D79" i="37"/>
  <c r="D78" i="37" s="1"/>
  <c r="C79" i="37"/>
  <c r="C78" i="37" s="1"/>
  <c r="B79" i="37"/>
  <c r="B78" i="37" s="1"/>
  <c r="AF78" i="37"/>
  <c r="AE78" i="37"/>
  <c r="AD78" i="37"/>
  <c r="AG77" i="37"/>
  <c r="AG76" i="37"/>
  <c r="AG75" i="37"/>
  <c r="AG74" i="37"/>
  <c r="AG73" i="37"/>
  <c r="AG72" i="37"/>
  <c r="AG71" i="37"/>
  <c r="AG70" i="37"/>
  <c r="AG69" i="37"/>
  <c r="AG68" i="37"/>
  <c r="AG67" i="37"/>
  <c r="AG66" i="37"/>
  <c r="AG65" i="37"/>
  <c r="AG64" i="37"/>
  <c r="AG63" i="37"/>
  <c r="AG62" i="37"/>
  <c r="AG61" i="37"/>
  <c r="AG60" i="37"/>
  <c r="AG59" i="37"/>
  <c r="AG58" i="37"/>
  <c r="AG57" i="37"/>
  <c r="AG56" i="37"/>
  <c r="AG55" i="37"/>
  <c r="AG54" i="37"/>
  <c r="AF53" i="37"/>
  <c r="AF134" i="37" s="1"/>
  <c r="AE53" i="37"/>
  <c r="AE134" i="37" s="1"/>
  <c r="AD53" i="37"/>
  <c r="AD134" i="37" s="1"/>
  <c r="AC53" i="37"/>
  <c r="AC134" i="37" s="1"/>
  <c r="AB53" i="37"/>
  <c r="AB134" i="37" s="1"/>
  <c r="AA53" i="37"/>
  <c r="AA134" i="37" s="1"/>
  <c r="Z53" i="37"/>
  <c r="Z134" i="37" s="1"/>
  <c r="Y53" i="37"/>
  <c r="Y134" i="37" s="1"/>
  <c r="X53" i="37"/>
  <c r="X134" i="37" s="1"/>
  <c r="W53" i="37"/>
  <c r="W134" i="37" s="1"/>
  <c r="V53" i="37"/>
  <c r="V134" i="37" s="1"/>
  <c r="U53" i="37"/>
  <c r="U134" i="37" s="1"/>
  <c r="T53" i="37"/>
  <c r="T134" i="37" s="1"/>
  <c r="S53" i="37"/>
  <c r="S134" i="37" s="1"/>
  <c r="R53" i="37"/>
  <c r="R134" i="37" s="1"/>
  <c r="Q53" i="37"/>
  <c r="Q134" i="37" s="1"/>
  <c r="P53" i="37"/>
  <c r="P134" i="37" s="1"/>
  <c r="O53" i="37"/>
  <c r="O134" i="37" s="1"/>
  <c r="N53" i="37"/>
  <c r="N134" i="37" s="1"/>
  <c r="M53" i="37"/>
  <c r="M134" i="37" s="1"/>
  <c r="L53" i="37"/>
  <c r="L134" i="37" s="1"/>
  <c r="K53" i="37"/>
  <c r="K134" i="37" s="1"/>
  <c r="J53" i="37"/>
  <c r="J134" i="37" s="1"/>
  <c r="I53" i="37"/>
  <c r="I134" i="37" s="1"/>
  <c r="H53" i="37"/>
  <c r="H134" i="37" s="1"/>
  <c r="G53" i="37"/>
  <c r="G134" i="37" s="1"/>
  <c r="F53" i="37"/>
  <c r="F134" i="37" s="1"/>
  <c r="E53" i="37"/>
  <c r="E134" i="37" s="1"/>
  <c r="D53" i="37"/>
  <c r="D134" i="37" s="1"/>
  <c r="C53" i="37"/>
  <c r="C134" i="37" s="1"/>
  <c r="B53" i="37"/>
  <c r="B134" i="37" s="1"/>
  <c r="AG52" i="37"/>
  <c r="AG51" i="37"/>
  <c r="AG50" i="37"/>
  <c r="AG49" i="37"/>
  <c r="AG48" i="37"/>
  <c r="AG47" i="37"/>
  <c r="AG46" i="37"/>
  <c r="AG45" i="37"/>
  <c r="AG44" i="37"/>
  <c r="AG43" i="37"/>
  <c r="AG42" i="37"/>
  <c r="AG41" i="37"/>
  <c r="AG40" i="37"/>
  <c r="AG39" i="37"/>
  <c r="AG38" i="37"/>
  <c r="AG37" i="37"/>
  <c r="AG36" i="37"/>
  <c r="AG35" i="37"/>
  <c r="AG34" i="37"/>
  <c r="AG33" i="37"/>
  <c r="AG32" i="37"/>
  <c r="AG31" i="37"/>
  <c r="AG30" i="37"/>
  <c r="AG29" i="37"/>
  <c r="AF28" i="37"/>
  <c r="AF133" i="37" s="1"/>
  <c r="AE28" i="37"/>
  <c r="AE133" i="37" s="1"/>
  <c r="AD28" i="37"/>
  <c r="AD133" i="37" s="1"/>
  <c r="AC28" i="37"/>
  <c r="AC133" i="37" s="1"/>
  <c r="AB28" i="37"/>
  <c r="AB133" i="37" s="1"/>
  <c r="AA28" i="37"/>
  <c r="AA133" i="37" s="1"/>
  <c r="Z28" i="37"/>
  <c r="Z133" i="37" s="1"/>
  <c r="Y28" i="37"/>
  <c r="Y133" i="37" s="1"/>
  <c r="X28" i="37"/>
  <c r="X133" i="37" s="1"/>
  <c r="W28" i="37"/>
  <c r="W133" i="37" s="1"/>
  <c r="V28" i="37"/>
  <c r="V133" i="37" s="1"/>
  <c r="U28" i="37"/>
  <c r="U133" i="37" s="1"/>
  <c r="T28" i="37"/>
  <c r="T133" i="37" s="1"/>
  <c r="S28" i="37"/>
  <c r="S133" i="37" s="1"/>
  <c r="R28" i="37"/>
  <c r="R133" i="37" s="1"/>
  <c r="Q28" i="37"/>
  <c r="Q133" i="37" s="1"/>
  <c r="P28" i="37"/>
  <c r="P133" i="37" s="1"/>
  <c r="O28" i="37"/>
  <c r="O133" i="37" s="1"/>
  <c r="N28" i="37"/>
  <c r="N133" i="37" s="1"/>
  <c r="M28" i="37"/>
  <c r="M133" i="37" s="1"/>
  <c r="L28" i="37"/>
  <c r="L133" i="37" s="1"/>
  <c r="K28" i="37"/>
  <c r="K133" i="37" s="1"/>
  <c r="J28" i="37"/>
  <c r="J133" i="37" s="1"/>
  <c r="I28" i="37"/>
  <c r="I133" i="37" s="1"/>
  <c r="H28" i="37"/>
  <c r="H133" i="37" s="1"/>
  <c r="G28" i="37"/>
  <c r="G133" i="37" s="1"/>
  <c r="F28" i="37"/>
  <c r="F133" i="37" s="1"/>
  <c r="E28" i="37"/>
  <c r="E133" i="37" s="1"/>
  <c r="D28" i="37"/>
  <c r="D133" i="37" s="1"/>
  <c r="C28" i="37"/>
  <c r="C133" i="37" s="1"/>
  <c r="B28" i="37"/>
  <c r="B133" i="37" s="1"/>
  <c r="AG27" i="37"/>
  <c r="AG26" i="37"/>
  <c r="AG25" i="37"/>
  <c r="AG24" i="37"/>
  <c r="AG23" i="37"/>
  <c r="AG22" i="37"/>
  <c r="AG21" i="37"/>
  <c r="AG20" i="37"/>
  <c r="AG19" i="37"/>
  <c r="AG18" i="37"/>
  <c r="AG17" i="37"/>
  <c r="AG16" i="37"/>
  <c r="AG15" i="37"/>
  <c r="AG14" i="37"/>
  <c r="AG13" i="37"/>
  <c r="AG12" i="37"/>
  <c r="AG11" i="37"/>
  <c r="AG10" i="37"/>
  <c r="AG9" i="37"/>
  <c r="AG8" i="37"/>
  <c r="AG7" i="37"/>
  <c r="AG6" i="37"/>
  <c r="AG5" i="37"/>
  <c r="AG4" i="37"/>
  <c r="AF3" i="37"/>
  <c r="AE3" i="37"/>
  <c r="AD3" i="37"/>
  <c r="AC3" i="37"/>
  <c r="AB3" i="37"/>
  <c r="AA3" i="37"/>
  <c r="Z3" i="37"/>
  <c r="Y3" i="37"/>
  <c r="X3" i="37"/>
  <c r="W3" i="37"/>
  <c r="V3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F3" i="37"/>
  <c r="E3" i="37"/>
  <c r="D3" i="37"/>
  <c r="C3" i="37"/>
  <c r="B3" i="37"/>
  <c r="E2" i="37"/>
  <c r="F2" i="37" s="1"/>
  <c r="G2" i="37" s="1"/>
  <c r="H2" i="37" s="1"/>
  <c r="I2" i="37" s="1"/>
  <c r="J2" i="37" s="1"/>
  <c r="K2" i="37" s="1"/>
  <c r="L2" i="37" s="1"/>
  <c r="M2" i="37" s="1"/>
  <c r="N2" i="37" s="1"/>
  <c r="O2" i="37" s="1"/>
  <c r="P2" i="37" s="1"/>
  <c r="Q2" i="37" s="1"/>
  <c r="R2" i="37" s="1"/>
  <c r="S2" i="37" s="1"/>
  <c r="T2" i="37" s="1"/>
  <c r="U2" i="37" s="1"/>
  <c r="V2" i="37" s="1"/>
  <c r="W2" i="37" s="1"/>
  <c r="X2" i="37" s="1"/>
  <c r="Y2" i="37" s="1"/>
  <c r="Z2" i="37" s="1"/>
  <c r="AA2" i="37" s="1"/>
  <c r="AB2" i="37" s="1"/>
  <c r="AC2" i="37" s="1"/>
  <c r="AD2" i="37" s="1"/>
  <c r="AE2" i="37" s="1"/>
  <c r="AF2" i="37" s="1"/>
  <c r="D2" i="37"/>
  <c r="C2" i="37"/>
  <c r="AF177" i="29"/>
  <c r="AE177" i="29"/>
  <c r="AD177" i="29"/>
  <c r="AC177" i="29"/>
  <c r="AB177" i="29"/>
  <c r="AA177" i="29"/>
  <c r="Z177" i="29"/>
  <c r="Y177" i="29"/>
  <c r="X177" i="29"/>
  <c r="W177" i="29"/>
  <c r="V177" i="29"/>
  <c r="U177" i="29"/>
  <c r="T177" i="29"/>
  <c r="S177" i="29"/>
  <c r="R177" i="29"/>
  <c r="Q177" i="29"/>
  <c r="P177" i="29"/>
  <c r="O177" i="29"/>
  <c r="N177" i="29"/>
  <c r="M177" i="29"/>
  <c r="L177" i="29"/>
  <c r="K177" i="29"/>
  <c r="AG177" i="29" s="1"/>
  <c r="J177" i="29"/>
  <c r="I177" i="29"/>
  <c r="H177" i="29"/>
  <c r="G177" i="29"/>
  <c r="F177" i="29"/>
  <c r="E177" i="29"/>
  <c r="D177" i="29"/>
  <c r="C177" i="29"/>
  <c r="B177" i="29"/>
  <c r="AF177" i="36"/>
  <c r="AE177" i="36"/>
  <c r="AD177" i="36"/>
  <c r="AC177" i="36"/>
  <c r="AB177" i="36"/>
  <c r="AA177" i="36"/>
  <c r="Z177" i="36"/>
  <c r="Y177" i="36"/>
  <c r="X177" i="36"/>
  <c r="W177" i="36"/>
  <c r="V177" i="36"/>
  <c r="U177" i="36"/>
  <c r="T177" i="36"/>
  <c r="S177" i="36"/>
  <c r="R177" i="36"/>
  <c r="Q177" i="36"/>
  <c r="P177" i="36"/>
  <c r="O177" i="36"/>
  <c r="N177" i="36"/>
  <c r="M177" i="36"/>
  <c r="L177" i="36"/>
  <c r="K177" i="36"/>
  <c r="J177" i="36"/>
  <c r="I177" i="36"/>
  <c r="H177" i="36"/>
  <c r="AG177" i="36" s="1"/>
  <c r="G177" i="36"/>
  <c r="F177" i="36"/>
  <c r="E177" i="36"/>
  <c r="D177" i="36"/>
  <c r="C177" i="36"/>
  <c r="B177" i="36"/>
  <c r="AG180" i="36"/>
  <c r="AG179" i="36"/>
  <c r="AG178" i="36"/>
  <c r="AG176" i="36"/>
  <c r="AG175" i="36"/>
  <c r="AG174" i="36"/>
  <c r="AG173" i="36"/>
  <c r="AG172" i="36"/>
  <c r="AF171" i="36"/>
  <c r="AE171" i="36"/>
  <c r="AD171" i="36"/>
  <c r="AC171" i="36"/>
  <c r="AB171" i="36"/>
  <c r="AA171" i="36"/>
  <c r="Z171" i="36"/>
  <c r="Y171" i="36"/>
  <c r="X171" i="36"/>
  <c r="W171" i="36"/>
  <c r="V171" i="36"/>
  <c r="U171" i="36"/>
  <c r="T171" i="36"/>
  <c r="S171" i="36"/>
  <c r="R171" i="36"/>
  <c r="Q171" i="36"/>
  <c r="P171" i="36"/>
  <c r="O171" i="36"/>
  <c r="N171" i="36"/>
  <c r="M171" i="36"/>
  <c r="L171" i="36"/>
  <c r="K171" i="36"/>
  <c r="J171" i="36"/>
  <c r="I171" i="36"/>
  <c r="H171" i="36"/>
  <c r="G171" i="36"/>
  <c r="F171" i="36"/>
  <c r="E171" i="36"/>
  <c r="D171" i="36"/>
  <c r="C171" i="36"/>
  <c r="B171" i="36"/>
  <c r="AG170" i="36"/>
  <c r="AG169" i="36"/>
  <c r="AG168" i="36"/>
  <c r="AG167" i="36"/>
  <c r="AG166" i="36"/>
  <c r="AG165" i="36"/>
  <c r="AG164" i="36"/>
  <c r="AG163" i="36"/>
  <c r="AG162" i="36"/>
  <c r="AG161" i="36"/>
  <c r="AG160" i="36"/>
  <c r="AG159" i="36"/>
  <c r="AG158" i="36"/>
  <c r="AG157" i="36"/>
  <c r="AG156" i="36"/>
  <c r="AG155" i="36"/>
  <c r="AG154" i="36"/>
  <c r="AG153" i="36"/>
  <c r="AG152" i="36"/>
  <c r="AG151" i="36"/>
  <c r="AG150" i="36"/>
  <c r="AG149" i="36"/>
  <c r="AG148" i="36"/>
  <c r="AG147" i="36"/>
  <c r="AG146" i="36"/>
  <c r="AG145" i="36"/>
  <c r="AF144" i="36"/>
  <c r="AE144" i="36"/>
  <c r="AD144" i="36"/>
  <c r="AC144" i="36"/>
  <c r="AB144" i="36"/>
  <c r="AA144" i="36"/>
  <c r="Z144" i="36"/>
  <c r="Y144" i="36"/>
  <c r="X144" i="36"/>
  <c r="W144" i="36"/>
  <c r="V144" i="36"/>
  <c r="U144" i="36"/>
  <c r="T144" i="36"/>
  <c r="S144" i="36"/>
  <c r="R144" i="36"/>
  <c r="Q144" i="36"/>
  <c r="P144" i="36"/>
  <c r="O144" i="36"/>
  <c r="N144" i="36"/>
  <c r="M144" i="36"/>
  <c r="L144" i="36"/>
  <c r="K144" i="36"/>
  <c r="J144" i="36"/>
  <c r="I144" i="36"/>
  <c r="H144" i="36"/>
  <c r="G144" i="36"/>
  <c r="F144" i="36"/>
  <c r="E144" i="36"/>
  <c r="D144" i="36"/>
  <c r="C144" i="36"/>
  <c r="B144" i="36"/>
  <c r="AG143" i="36"/>
  <c r="AG142" i="36"/>
  <c r="AG141" i="36"/>
  <c r="AG140" i="36"/>
  <c r="AF139" i="36"/>
  <c r="AE139" i="36"/>
  <c r="AD139" i="36"/>
  <c r="AC139" i="36"/>
  <c r="AB139" i="36"/>
  <c r="AA139" i="36"/>
  <c r="Z139" i="36"/>
  <c r="Y139" i="36"/>
  <c r="X139" i="36"/>
  <c r="W139" i="36"/>
  <c r="V139" i="36"/>
  <c r="U139" i="36"/>
  <c r="T139" i="36"/>
  <c r="S139" i="36"/>
  <c r="R139" i="36"/>
  <c r="Q139" i="36"/>
  <c r="P139" i="36"/>
  <c r="O139" i="36"/>
  <c r="N139" i="36"/>
  <c r="M139" i="36"/>
  <c r="L139" i="36"/>
  <c r="K139" i="36"/>
  <c r="J139" i="36"/>
  <c r="I139" i="36"/>
  <c r="H139" i="36"/>
  <c r="G139" i="36"/>
  <c r="F139" i="36"/>
  <c r="E139" i="36"/>
  <c r="D139" i="36"/>
  <c r="C139" i="36"/>
  <c r="B139" i="36"/>
  <c r="AG138" i="36"/>
  <c r="AG137" i="36"/>
  <c r="AG136" i="36"/>
  <c r="AF135" i="36"/>
  <c r="AE135" i="36"/>
  <c r="AD135" i="36"/>
  <c r="AC135" i="36"/>
  <c r="AB135" i="36"/>
  <c r="AA135" i="36"/>
  <c r="Z135" i="36"/>
  <c r="Y135" i="36"/>
  <c r="X135" i="36"/>
  <c r="W135" i="36"/>
  <c r="V135" i="36"/>
  <c r="U135" i="36"/>
  <c r="T135" i="36"/>
  <c r="S135" i="36"/>
  <c r="R135" i="36"/>
  <c r="Q135" i="36"/>
  <c r="P135" i="36"/>
  <c r="O135" i="36"/>
  <c r="N135" i="36"/>
  <c r="M135" i="36"/>
  <c r="L135" i="36"/>
  <c r="K135" i="36"/>
  <c r="J135" i="36"/>
  <c r="I135" i="36"/>
  <c r="H135" i="36"/>
  <c r="G135" i="36"/>
  <c r="F135" i="36"/>
  <c r="E135" i="36"/>
  <c r="D135" i="36"/>
  <c r="C135" i="36"/>
  <c r="B135" i="36"/>
  <c r="AG132" i="36"/>
  <c r="AG131" i="36"/>
  <c r="AG130" i="36"/>
  <c r="AG129" i="36"/>
  <c r="AG128" i="36"/>
  <c r="AG127" i="36"/>
  <c r="AG126" i="36"/>
  <c r="AG125" i="36"/>
  <c r="AG124" i="36"/>
  <c r="AG123" i="36"/>
  <c r="AG122" i="36"/>
  <c r="AG121" i="36"/>
  <c r="AG120" i="36"/>
  <c r="AF119" i="36"/>
  <c r="AE119" i="36"/>
  <c r="AD119" i="36"/>
  <c r="AC119" i="36"/>
  <c r="AB119" i="36"/>
  <c r="AA119" i="36"/>
  <c r="Z119" i="36"/>
  <c r="Y119" i="36"/>
  <c r="X119" i="36"/>
  <c r="W119" i="36"/>
  <c r="V119" i="36"/>
  <c r="U119" i="36"/>
  <c r="T119" i="36"/>
  <c r="S119" i="36"/>
  <c r="R119" i="36"/>
  <c r="Q119" i="36"/>
  <c r="P119" i="36"/>
  <c r="O119" i="36"/>
  <c r="N119" i="36"/>
  <c r="M119" i="36"/>
  <c r="L119" i="36"/>
  <c r="K119" i="36"/>
  <c r="J119" i="36"/>
  <c r="I119" i="36"/>
  <c r="H119" i="36"/>
  <c r="G119" i="36"/>
  <c r="F119" i="36"/>
  <c r="E119" i="36"/>
  <c r="D119" i="36"/>
  <c r="C119" i="36"/>
  <c r="B119" i="36"/>
  <c r="AG118" i="36"/>
  <c r="AG117" i="36"/>
  <c r="AF116" i="36"/>
  <c r="AE116" i="36"/>
  <c r="AD116" i="36"/>
  <c r="AC116" i="36"/>
  <c r="AB116" i="36"/>
  <c r="AA116" i="36"/>
  <c r="Z116" i="36"/>
  <c r="Y116" i="36"/>
  <c r="X116" i="36"/>
  <c r="W116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E116" i="36"/>
  <c r="D116" i="36"/>
  <c r="C116" i="36"/>
  <c r="B116" i="36"/>
  <c r="AG115" i="36"/>
  <c r="AG114" i="36"/>
  <c r="AG113" i="36"/>
  <c r="AG112" i="36"/>
  <c r="AG111" i="36"/>
  <c r="AG110" i="36"/>
  <c r="AG109" i="36"/>
  <c r="AG108" i="36"/>
  <c r="AG107" i="36"/>
  <c r="AG106" i="36"/>
  <c r="AG105" i="36"/>
  <c r="AG104" i="36"/>
  <c r="AG103" i="36"/>
  <c r="AG102" i="36"/>
  <c r="AG101" i="36"/>
  <c r="AF100" i="36"/>
  <c r="AE100" i="36"/>
  <c r="AD100" i="36"/>
  <c r="AC100" i="36"/>
  <c r="AB100" i="36"/>
  <c r="AA100" i="36"/>
  <c r="Z100" i="36"/>
  <c r="Y100" i="36"/>
  <c r="X100" i="36"/>
  <c r="W100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E100" i="36"/>
  <c r="D100" i="36"/>
  <c r="C100" i="36"/>
  <c r="B100" i="36"/>
  <c r="AG99" i="36"/>
  <c r="AG98" i="36"/>
  <c r="AG97" i="36"/>
  <c r="AG96" i="36"/>
  <c r="AG95" i="36"/>
  <c r="AF94" i="36"/>
  <c r="AE94" i="36"/>
  <c r="AE93" i="36" s="1"/>
  <c r="AD94" i="36"/>
  <c r="AD93" i="36" s="1"/>
  <c r="AC94" i="36"/>
  <c r="AB94" i="36"/>
  <c r="AA94" i="36"/>
  <c r="Z94" i="36"/>
  <c r="Z93" i="36" s="1"/>
  <c r="Y94" i="36"/>
  <c r="X94" i="36"/>
  <c r="W94" i="36"/>
  <c r="V94" i="36"/>
  <c r="V93" i="36" s="1"/>
  <c r="U94" i="36"/>
  <c r="U93" i="36" s="1"/>
  <c r="T94" i="36"/>
  <c r="T93" i="36" s="1"/>
  <c r="S94" i="36"/>
  <c r="R94" i="36"/>
  <c r="Q94" i="36"/>
  <c r="Q93" i="36" s="1"/>
  <c r="P94" i="36"/>
  <c r="O94" i="36"/>
  <c r="N94" i="36"/>
  <c r="M94" i="36"/>
  <c r="L94" i="36"/>
  <c r="L93" i="36" s="1"/>
  <c r="K94" i="36"/>
  <c r="K93" i="36" s="1"/>
  <c r="J94" i="36"/>
  <c r="I94" i="36"/>
  <c r="H94" i="36"/>
  <c r="G94" i="36"/>
  <c r="G93" i="36" s="1"/>
  <c r="F94" i="36"/>
  <c r="F93" i="36" s="1"/>
  <c r="E94" i="36"/>
  <c r="E93" i="36" s="1"/>
  <c r="D94" i="36"/>
  <c r="D93" i="36" s="1"/>
  <c r="C94" i="36"/>
  <c r="B94" i="36"/>
  <c r="AA93" i="36"/>
  <c r="W93" i="36"/>
  <c r="P93" i="36"/>
  <c r="AG92" i="36"/>
  <c r="AG91" i="36"/>
  <c r="AG90" i="36"/>
  <c r="AG89" i="36"/>
  <c r="AG88" i="36"/>
  <c r="AF87" i="36"/>
  <c r="AE87" i="36"/>
  <c r="AD87" i="36"/>
  <c r="AC87" i="36"/>
  <c r="AB87" i="36"/>
  <c r="AA87" i="36"/>
  <c r="Z87" i="36"/>
  <c r="Y87" i="36"/>
  <c r="X87" i="36"/>
  <c r="W87" i="36"/>
  <c r="V87" i="36"/>
  <c r="U87" i="36"/>
  <c r="T87" i="36"/>
  <c r="S87" i="36"/>
  <c r="R87" i="36"/>
  <c r="Q87" i="36"/>
  <c r="P87" i="36"/>
  <c r="O87" i="36"/>
  <c r="N87" i="36"/>
  <c r="M87" i="36"/>
  <c r="L87" i="36"/>
  <c r="K87" i="36"/>
  <c r="J87" i="36"/>
  <c r="I87" i="36"/>
  <c r="H87" i="36"/>
  <c r="G87" i="36"/>
  <c r="F87" i="36"/>
  <c r="E87" i="36"/>
  <c r="D87" i="36"/>
  <c r="C87" i="36"/>
  <c r="B87" i="36"/>
  <c r="AG86" i="36"/>
  <c r="AG85" i="36"/>
  <c r="AF84" i="36"/>
  <c r="AE84" i="36"/>
  <c r="AD84" i="36"/>
  <c r="AC84" i="36"/>
  <c r="AB84" i="36"/>
  <c r="AA84" i="36"/>
  <c r="Z84" i="36"/>
  <c r="Y84" i="36"/>
  <c r="X84" i="36"/>
  <c r="W84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E84" i="36"/>
  <c r="D84" i="36"/>
  <c r="C84" i="36"/>
  <c r="B84" i="36"/>
  <c r="AC83" i="36"/>
  <c r="AC81" i="36" s="1"/>
  <c r="AA83" i="36"/>
  <c r="AA81" i="36" s="1"/>
  <c r="Q83" i="36"/>
  <c r="Q81" i="36" s="1"/>
  <c r="C83" i="36"/>
  <c r="C81" i="36" s="1"/>
  <c r="AF82" i="36"/>
  <c r="AF83" i="36" s="1"/>
  <c r="AE82" i="36"/>
  <c r="AE83" i="36" s="1"/>
  <c r="AD82" i="36"/>
  <c r="AD83" i="36" s="1"/>
  <c r="AD81" i="36" s="1"/>
  <c r="AC82" i="36"/>
  <c r="AB82" i="36"/>
  <c r="AA82" i="36"/>
  <c r="Z82" i="36"/>
  <c r="Y82" i="36"/>
  <c r="Y83" i="36" s="1"/>
  <c r="Y81" i="36" s="1"/>
  <c r="X82" i="36"/>
  <c r="X83" i="36" s="1"/>
  <c r="W82" i="36"/>
  <c r="W83" i="36" s="1"/>
  <c r="V82" i="36"/>
  <c r="V83" i="36" s="1"/>
  <c r="V81" i="36" s="1"/>
  <c r="U82" i="36"/>
  <c r="U83" i="36" s="1"/>
  <c r="T82" i="36"/>
  <c r="T83" i="36" s="1"/>
  <c r="S82" i="36"/>
  <c r="S83" i="36" s="1"/>
  <c r="R82" i="36"/>
  <c r="R83" i="36" s="1"/>
  <c r="R81" i="36" s="1"/>
  <c r="Q82" i="36"/>
  <c r="P82" i="36"/>
  <c r="O82" i="36"/>
  <c r="O83" i="36" s="1"/>
  <c r="N82" i="36"/>
  <c r="M82" i="36"/>
  <c r="M83" i="36" s="1"/>
  <c r="M81" i="36" s="1"/>
  <c r="L82" i="36"/>
  <c r="K82" i="36"/>
  <c r="K83" i="36" s="1"/>
  <c r="J82" i="36"/>
  <c r="J83" i="36" s="1"/>
  <c r="J81" i="36" s="1"/>
  <c r="I82" i="36"/>
  <c r="I83" i="36" s="1"/>
  <c r="H82" i="36"/>
  <c r="H83" i="36" s="1"/>
  <c r="G82" i="36"/>
  <c r="G83" i="36" s="1"/>
  <c r="F82" i="36"/>
  <c r="F83" i="36" s="1"/>
  <c r="F81" i="36" s="1"/>
  <c r="E82" i="36"/>
  <c r="E83" i="36" s="1"/>
  <c r="D82" i="36"/>
  <c r="C82" i="36"/>
  <c r="B82" i="36"/>
  <c r="AG80" i="36"/>
  <c r="AF79" i="36"/>
  <c r="AF78" i="36" s="1"/>
  <c r="AE79" i="36"/>
  <c r="AE78" i="36" s="1"/>
  <c r="AD79" i="36"/>
  <c r="AD78" i="36" s="1"/>
  <c r="AC79" i="36"/>
  <c r="AC78" i="36" s="1"/>
  <c r="AB79" i="36"/>
  <c r="AB78" i="36" s="1"/>
  <c r="AA79" i="36"/>
  <c r="AA78" i="36" s="1"/>
  <c r="Z79" i="36"/>
  <c r="Z78" i="36" s="1"/>
  <c r="Y79" i="36"/>
  <c r="Y78" i="36" s="1"/>
  <c r="X79" i="36"/>
  <c r="X78" i="36" s="1"/>
  <c r="W79" i="36"/>
  <c r="W78" i="36" s="1"/>
  <c r="V79" i="36"/>
  <c r="V78" i="36" s="1"/>
  <c r="U79" i="36"/>
  <c r="U78" i="36" s="1"/>
  <c r="T79" i="36"/>
  <c r="T78" i="36" s="1"/>
  <c r="S79" i="36"/>
  <c r="S78" i="36" s="1"/>
  <c r="R79" i="36"/>
  <c r="R78" i="36" s="1"/>
  <c r="Q79" i="36"/>
  <c r="Q78" i="36" s="1"/>
  <c r="P79" i="36"/>
  <c r="O79" i="36"/>
  <c r="O78" i="36" s="1"/>
  <c r="N79" i="36"/>
  <c r="N78" i="36" s="1"/>
  <c r="M79" i="36"/>
  <c r="M78" i="36" s="1"/>
  <c r="L79" i="36"/>
  <c r="L78" i="36" s="1"/>
  <c r="K79" i="36"/>
  <c r="K78" i="36" s="1"/>
  <c r="J79" i="36"/>
  <c r="J78" i="36" s="1"/>
  <c r="I79" i="36"/>
  <c r="H79" i="36"/>
  <c r="H78" i="36" s="1"/>
  <c r="G79" i="36"/>
  <c r="G78" i="36" s="1"/>
  <c r="F79" i="36"/>
  <c r="F78" i="36" s="1"/>
  <c r="E79" i="36"/>
  <c r="E78" i="36" s="1"/>
  <c r="D79" i="36"/>
  <c r="D78" i="36" s="1"/>
  <c r="C79" i="36"/>
  <c r="C78" i="36" s="1"/>
  <c r="B79" i="36"/>
  <c r="P78" i="36"/>
  <c r="I78" i="36"/>
  <c r="AG77" i="36"/>
  <c r="AG76" i="36"/>
  <c r="AG75" i="36"/>
  <c r="AG74" i="36"/>
  <c r="AG73" i="36"/>
  <c r="AG72" i="36"/>
  <c r="AG71" i="36"/>
  <c r="AG70" i="36"/>
  <c r="AG69" i="36"/>
  <c r="AG68" i="36"/>
  <c r="AG67" i="36"/>
  <c r="AG66" i="36"/>
  <c r="AG65" i="36"/>
  <c r="AG64" i="36"/>
  <c r="AG63" i="36"/>
  <c r="AG62" i="36"/>
  <c r="AG61" i="36"/>
  <c r="AG60" i="36"/>
  <c r="AG59" i="36"/>
  <c r="AG58" i="36"/>
  <c r="AG57" i="36"/>
  <c r="AG56" i="36"/>
  <c r="AG55" i="36"/>
  <c r="AG54" i="36"/>
  <c r="AF53" i="36"/>
  <c r="AF134" i="36" s="1"/>
  <c r="AE53" i="36"/>
  <c r="AE134" i="36" s="1"/>
  <c r="AD53" i="36"/>
  <c r="AD134" i="36" s="1"/>
  <c r="AC53" i="36"/>
  <c r="AC134" i="36" s="1"/>
  <c r="AB53" i="36"/>
  <c r="AB134" i="36" s="1"/>
  <c r="AA53" i="36"/>
  <c r="AA134" i="36" s="1"/>
  <c r="Z53" i="36"/>
  <c r="Z134" i="36" s="1"/>
  <c r="Y53" i="36"/>
  <c r="Y134" i="36" s="1"/>
  <c r="X53" i="36"/>
  <c r="X134" i="36" s="1"/>
  <c r="W53" i="36"/>
  <c r="W134" i="36" s="1"/>
  <c r="V53" i="36"/>
  <c r="V134" i="36" s="1"/>
  <c r="U53" i="36"/>
  <c r="U134" i="36" s="1"/>
  <c r="T53" i="36"/>
  <c r="T134" i="36" s="1"/>
  <c r="S53" i="36"/>
  <c r="S134" i="36" s="1"/>
  <c r="R53" i="36"/>
  <c r="R134" i="36" s="1"/>
  <c r="Q53" i="36"/>
  <c r="Q134" i="36" s="1"/>
  <c r="P53" i="36"/>
  <c r="P134" i="36" s="1"/>
  <c r="O53" i="36"/>
  <c r="O134" i="36" s="1"/>
  <c r="N53" i="36"/>
  <c r="N134" i="36" s="1"/>
  <c r="M53" i="36"/>
  <c r="M134" i="36" s="1"/>
  <c r="L53" i="36"/>
  <c r="L134" i="36" s="1"/>
  <c r="K53" i="36"/>
  <c r="K134" i="36" s="1"/>
  <c r="J53" i="36"/>
  <c r="J134" i="36" s="1"/>
  <c r="I53" i="36"/>
  <c r="I134" i="36" s="1"/>
  <c r="H53" i="36"/>
  <c r="H134" i="36" s="1"/>
  <c r="G53" i="36"/>
  <c r="G134" i="36" s="1"/>
  <c r="F53" i="36"/>
  <c r="F134" i="36" s="1"/>
  <c r="E53" i="36"/>
  <c r="E134" i="36" s="1"/>
  <c r="D53" i="36"/>
  <c r="D134" i="36" s="1"/>
  <c r="C53" i="36"/>
  <c r="C134" i="36" s="1"/>
  <c r="B53" i="36"/>
  <c r="AG52" i="36"/>
  <c r="AG51" i="36"/>
  <c r="AG50" i="36"/>
  <c r="AG49" i="36"/>
  <c r="AG48" i="36"/>
  <c r="AG47" i="36"/>
  <c r="AG46" i="36"/>
  <c r="AG45" i="36"/>
  <c r="AG44" i="36"/>
  <c r="AG43" i="36"/>
  <c r="AG42" i="36"/>
  <c r="AG41" i="36"/>
  <c r="AG40" i="36"/>
  <c r="AG39" i="36"/>
  <c r="AG38" i="36"/>
  <c r="AG37" i="36"/>
  <c r="AG36" i="36"/>
  <c r="AG35" i="36"/>
  <c r="AG34" i="36"/>
  <c r="AG33" i="36"/>
  <c r="AG32" i="36"/>
  <c r="AG31" i="36"/>
  <c r="AG30" i="36"/>
  <c r="AG29" i="36"/>
  <c r="AF28" i="36"/>
  <c r="AF133" i="36" s="1"/>
  <c r="AE28" i="36"/>
  <c r="AE133" i="36" s="1"/>
  <c r="AD28" i="36"/>
  <c r="AD133" i="36" s="1"/>
  <c r="AC28" i="36"/>
  <c r="AC133" i="36" s="1"/>
  <c r="AB28" i="36"/>
  <c r="AB133" i="36" s="1"/>
  <c r="AA28" i="36"/>
  <c r="AA133" i="36" s="1"/>
  <c r="Z28" i="36"/>
  <c r="Z133" i="36" s="1"/>
  <c r="Y28" i="36"/>
  <c r="Y133" i="36" s="1"/>
  <c r="X28" i="36"/>
  <c r="X133" i="36" s="1"/>
  <c r="W28" i="36"/>
  <c r="W133" i="36" s="1"/>
  <c r="V28" i="36"/>
  <c r="V133" i="36" s="1"/>
  <c r="U28" i="36"/>
  <c r="U133" i="36" s="1"/>
  <c r="T28" i="36"/>
  <c r="T133" i="36" s="1"/>
  <c r="S28" i="36"/>
  <c r="S133" i="36" s="1"/>
  <c r="R28" i="36"/>
  <c r="R133" i="36" s="1"/>
  <c r="Q28" i="36"/>
  <c r="Q133" i="36" s="1"/>
  <c r="P28" i="36"/>
  <c r="P133" i="36" s="1"/>
  <c r="O28" i="36"/>
  <c r="O133" i="36" s="1"/>
  <c r="N28" i="36"/>
  <c r="N133" i="36" s="1"/>
  <c r="M28" i="36"/>
  <c r="M133" i="36" s="1"/>
  <c r="L28" i="36"/>
  <c r="L133" i="36" s="1"/>
  <c r="K28" i="36"/>
  <c r="K133" i="36" s="1"/>
  <c r="J28" i="36"/>
  <c r="J133" i="36" s="1"/>
  <c r="I28" i="36"/>
  <c r="I133" i="36" s="1"/>
  <c r="H28" i="36"/>
  <c r="H133" i="36" s="1"/>
  <c r="G28" i="36"/>
  <c r="G133" i="36" s="1"/>
  <c r="F28" i="36"/>
  <c r="F133" i="36" s="1"/>
  <c r="E28" i="36"/>
  <c r="E133" i="36" s="1"/>
  <c r="D28" i="36"/>
  <c r="D133" i="36" s="1"/>
  <c r="C28" i="36"/>
  <c r="C133" i="36" s="1"/>
  <c r="B28" i="36"/>
  <c r="AG27" i="36"/>
  <c r="AG26" i="36"/>
  <c r="AG25" i="36"/>
  <c r="AG24" i="36"/>
  <c r="AG23" i="36"/>
  <c r="AG22" i="36"/>
  <c r="AG21" i="36"/>
  <c r="AG20" i="36"/>
  <c r="AG19" i="36"/>
  <c r="AG18" i="36"/>
  <c r="AG17" i="36"/>
  <c r="AG16" i="36"/>
  <c r="AG15" i="36"/>
  <c r="AG14" i="36"/>
  <c r="AG13" i="36"/>
  <c r="AG12" i="36"/>
  <c r="AG11" i="36"/>
  <c r="AG10" i="36"/>
  <c r="AG9" i="36"/>
  <c r="AG8" i="36"/>
  <c r="AG7" i="36"/>
  <c r="AG6" i="36"/>
  <c r="AG5" i="36"/>
  <c r="AG4" i="36"/>
  <c r="AF3" i="36"/>
  <c r="AE3" i="36"/>
  <c r="AD3" i="36"/>
  <c r="AC3" i="36"/>
  <c r="AB3" i="36"/>
  <c r="AA3" i="36"/>
  <c r="Z3" i="36"/>
  <c r="Y3" i="36"/>
  <c r="X3" i="36"/>
  <c r="W3" i="36"/>
  <c r="V3" i="36"/>
  <c r="U3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C2" i="36"/>
  <c r="D2" i="36" s="1"/>
  <c r="E2" i="36" s="1"/>
  <c r="F2" i="36" s="1"/>
  <c r="G2" i="36" s="1"/>
  <c r="H2" i="36" s="1"/>
  <c r="I2" i="36" s="1"/>
  <c r="J2" i="36" s="1"/>
  <c r="K2" i="36" s="1"/>
  <c r="L2" i="36" s="1"/>
  <c r="M2" i="36" s="1"/>
  <c r="N2" i="36" s="1"/>
  <c r="O2" i="36" s="1"/>
  <c r="P2" i="36" s="1"/>
  <c r="Q2" i="36" s="1"/>
  <c r="R2" i="36" s="1"/>
  <c r="S2" i="36" s="1"/>
  <c r="T2" i="36" s="1"/>
  <c r="U2" i="36" s="1"/>
  <c r="V2" i="36" s="1"/>
  <c r="W2" i="36" s="1"/>
  <c r="X2" i="36" s="1"/>
  <c r="Y2" i="36" s="1"/>
  <c r="Z2" i="36" s="1"/>
  <c r="AA2" i="36" s="1"/>
  <c r="AB2" i="36" s="1"/>
  <c r="AC2" i="36" s="1"/>
  <c r="AD2" i="36" s="1"/>
  <c r="AE2" i="36" s="1"/>
  <c r="AF2" i="36" s="1"/>
  <c r="AG180" i="29"/>
  <c r="AG179" i="29"/>
  <c r="AG178" i="29"/>
  <c r="AG176" i="29"/>
  <c r="AG175" i="29"/>
  <c r="AG174" i="29"/>
  <c r="AG173" i="29"/>
  <c r="AG172" i="29"/>
  <c r="AF171" i="29"/>
  <c r="AE171" i="29"/>
  <c r="AD171" i="29"/>
  <c r="AC171" i="29"/>
  <c r="AB171" i="29"/>
  <c r="AA171" i="29"/>
  <c r="Z171" i="29"/>
  <c r="Y171" i="29"/>
  <c r="X171" i="29"/>
  <c r="W171" i="29"/>
  <c r="V171" i="29"/>
  <c r="U171" i="29"/>
  <c r="T171" i="29"/>
  <c r="S171" i="29"/>
  <c r="R171" i="29"/>
  <c r="Q171" i="29"/>
  <c r="P171" i="29"/>
  <c r="O171" i="29"/>
  <c r="N171" i="29"/>
  <c r="M171" i="29"/>
  <c r="L171" i="29"/>
  <c r="K171" i="29"/>
  <c r="J171" i="29"/>
  <c r="I171" i="29"/>
  <c r="H171" i="29"/>
  <c r="G171" i="29"/>
  <c r="F171" i="29"/>
  <c r="E171" i="29"/>
  <c r="D171" i="29"/>
  <c r="C171" i="29"/>
  <c r="B171" i="29"/>
  <c r="AG170" i="29"/>
  <c r="AG169" i="29"/>
  <c r="AG168" i="29"/>
  <c r="AG167" i="29"/>
  <c r="AG166" i="29"/>
  <c r="AG165" i="29"/>
  <c r="AG164" i="29"/>
  <c r="AG163" i="29"/>
  <c r="AG162" i="29"/>
  <c r="AG161" i="29"/>
  <c r="AG160" i="29"/>
  <c r="AG159" i="29"/>
  <c r="AG158" i="29"/>
  <c r="AG157" i="29"/>
  <c r="AG156" i="29"/>
  <c r="AG155" i="29"/>
  <c r="AG154" i="29"/>
  <c r="AG153" i="29"/>
  <c r="AG152" i="29"/>
  <c r="AG151" i="29"/>
  <c r="AG150" i="29"/>
  <c r="AG149" i="29"/>
  <c r="AG148" i="29"/>
  <c r="AG147" i="29"/>
  <c r="AG146" i="29"/>
  <c r="AG145" i="29"/>
  <c r="AF144" i="29"/>
  <c r="AE144" i="29"/>
  <c r="AD144" i="29"/>
  <c r="AC144" i="29"/>
  <c r="AB144" i="29"/>
  <c r="AA144" i="29"/>
  <c r="Z144" i="29"/>
  <c r="Y144" i="29"/>
  <c r="X144" i="29"/>
  <c r="W144" i="29"/>
  <c r="V144" i="29"/>
  <c r="U144" i="29"/>
  <c r="T144" i="29"/>
  <c r="S144" i="29"/>
  <c r="R144" i="29"/>
  <c r="Q144" i="29"/>
  <c r="P144" i="29"/>
  <c r="O144" i="29"/>
  <c r="N144" i="29"/>
  <c r="M144" i="29"/>
  <c r="L144" i="29"/>
  <c r="K144" i="29"/>
  <c r="J144" i="29"/>
  <c r="I144" i="29"/>
  <c r="H144" i="29"/>
  <c r="G144" i="29"/>
  <c r="F144" i="29"/>
  <c r="E144" i="29"/>
  <c r="D144" i="29"/>
  <c r="C144" i="29"/>
  <c r="B144" i="29"/>
  <c r="AG143" i="29"/>
  <c r="AG142" i="29"/>
  <c r="AG141" i="29"/>
  <c r="AG140" i="29"/>
  <c r="AF139" i="29"/>
  <c r="AE139" i="29"/>
  <c r="AD139" i="29"/>
  <c r="AC139" i="29"/>
  <c r="AB139" i="29"/>
  <c r="AA139" i="29"/>
  <c r="Z139" i="29"/>
  <c r="Y139" i="29"/>
  <c r="X139" i="29"/>
  <c r="W139" i="29"/>
  <c r="V139" i="29"/>
  <c r="U139" i="29"/>
  <c r="T139" i="29"/>
  <c r="S139" i="29"/>
  <c r="R139" i="29"/>
  <c r="Q139" i="29"/>
  <c r="P139" i="29"/>
  <c r="O139" i="29"/>
  <c r="N139" i="29"/>
  <c r="M139" i="29"/>
  <c r="L139" i="29"/>
  <c r="K139" i="29"/>
  <c r="J139" i="29"/>
  <c r="I139" i="29"/>
  <c r="H139" i="29"/>
  <c r="G139" i="29"/>
  <c r="F139" i="29"/>
  <c r="E139" i="29"/>
  <c r="D139" i="29"/>
  <c r="C139" i="29"/>
  <c r="B139" i="29"/>
  <c r="AG138" i="29"/>
  <c r="AG137" i="29"/>
  <c r="AG136" i="29"/>
  <c r="AF135" i="29"/>
  <c r="AE135" i="29"/>
  <c r="AD135" i="29"/>
  <c r="AC135" i="29"/>
  <c r="AB135" i="29"/>
  <c r="AA135" i="29"/>
  <c r="Z135" i="29"/>
  <c r="Y135" i="29"/>
  <c r="X135" i="29"/>
  <c r="W135" i="29"/>
  <c r="V135" i="29"/>
  <c r="U135" i="29"/>
  <c r="T135" i="29"/>
  <c r="S135" i="29"/>
  <c r="R135" i="29"/>
  <c r="Q135" i="29"/>
  <c r="P135" i="29"/>
  <c r="O135" i="29"/>
  <c r="N135" i="29"/>
  <c r="M135" i="29"/>
  <c r="L135" i="29"/>
  <c r="K135" i="29"/>
  <c r="J135" i="29"/>
  <c r="I135" i="29"/>
  <c r="H135" i="29"/>
  <c r="G135" i="29"/>
  <c r="F135" i="29"/>
  <c r="E135" i="29"/>
  <c r="D135" i="29"/>
  <c r="C135" i="29"/>
  <c r="B135" i="29"/>
  <c r="AG135" i="29" s="1"/>
  <c r="AG132" i="29"/>
  <c r="AG131" i="29"/>
  <c r="AG130" i="29"/>
  <c r="AG129" i="29"/>
  <c r="AG128" i="29"/>
  <c r="AG127" i="29"/>
  <c r="AG126" i="29"/>
  <c r="AG125" i="29"/>
  <c r="AG124" i="29"/>
  <c r="AG123" i="29"/>
  <c r="AG122" i="29"/>
  <c r="AG121" i="29"/>
  <c r="AG120" i="29"/>
  <c r="AF119" i="29"/>
  <c r="AE119" i="29"/>
  <c r="AD119" i="29"/>
  <c r="AC119" i="29"/>
  <c r="AB119" i="29"/>
  <c r="AA119" i="29"/>
  <c r="Z119" i="29"/>
  <c r="Y119" i="29"/>
  <c r="X119" i="29"/>
  <c r="W119" i="29"/>
  <c r="V119" i="29"/>
  <c r="U119" i="29"/>
  <c r="T119" i="29"/>
  <c r="S119" i="29"/>
  <c r="R119" i="29"/>
  <c r="Q119" i="29"/>
  <c r="P119" i="29"/>
  <c r="O119" i="29"/>
  <c r="N119" i="29"/>
  <c r="M119" i="29"/>
  <c r="L119" i="29"/>
  <c r="K119" i="29"/>
  <c r="J119" i="29"/>
  <c r="I119" i="29"/>
  <c r="H119" i="29"/>
  <c r="G119" i="29"/>
  <c r="F119" i="29"/>
  <c r="E119" i="29"/>
  <c r="D119" i="29"/>
  <c r="C119" i="29"/>
  <c r="B119" i="29"/>
  <c r="AG119" i="29" s="1"/>
  <c r="AG118" i="29"/>
  <c r="AG117" i="29"/>
  <c r="AF116" i="29"/>
  <c r="AE116" i="29"/>
  <c r="AD116" i="29"/>
  <c r="AC116" i="29"/>
  <c r="AB116" i="29"/>
  <c r="AA116" i="29"/>
  <c r="Z116" i="29"/>
  <c r="Y116" i="29"/>
  <c r="X116" i="29"/>
  <c r="W116" i="29"/>
  <c r="V116" i="29"/>
  <c r="U116" i="29"/>
  <c r="T116" i="29"/>
  <c r="S116" i="29"/>
  <c r="R116" i="29"/>
  <c r="Q116" i="29"/>
  <c r="P116" i="29"/>
  <c r="O116" i="29"/>
  <c r="N116" i="29"/>
  <c r="M116" i="29"/>
  <c r="L116" i="29"/>
  <c r="K116" i="29"/>
  <c r="J116" i="29"/>
  <c r="I116" i="29"/>
  <c r="H116" i="29"/>
  <c r="G116" i="29"/>
  <c r="F116" i="29"/>
  <c r="E116" i="29"/>
  <c r="D116" i="29"/>
  <c r="C116" i="29"/>
  <c r="B116" i="29"/>
  <c r="AG115" i="29"/>
  <c r="AG114" i="29"/>
  <c r="AG113" i="29"/>
  <c r="AG112" i="29"/>
  <c r="AG111" i="29"/>
  <c r="AG110" i="29"/>
  <c r="AG109" i="29"/>
  <c r="AG108" i="29"/>
  <c r="AG107" i="29"/>
  <c r="AG106" i="29"/>
  <c r="AG105" i="29"/>
  <c r="AG104" i="29"/>
  <c r="AG103" i="29"/>
  <c r="AG102" i="29"/>
  <c r="AG101" i="29"/>
  <c r="AF100" i="29"/>
  <c r="AE100" i="29"/>
  <c r="AD100" i="29"/>
  <c r="AC100" i="29"/>
  <c r="AB100" i="29"/>
  <c r="AA100" i="29"/>
  <c r="Z100" i="29"/>
  <c r="Y100" i="29"/>
  <c r="X100" i="29"/>
  <c r="W100" i="29"/>
  <c r="V100" i="29"/>
  <c r="U100" i="29"/>
  <c r="T100" i="29"/>
  <c r="S100" i="29"/>
  <c r="R100" i="29"/>
  <c r="Q100" i="29"/>
  <c r="P100" i="29"/>
  <c r="O100" i="29"/>
  <c r="N100" i="29"/>
  <c r="M100" i="29"/>
  <c r="L100" i="29"/>
  <c r="K100" i="29"/>
  <c r="J100" i="29"/>
  <c r="I100" i="29"/>
  <c r="H100" i="29"/>
  <c r="G100" i="29"/>
  <c r="F100" i="29"/>
  <c r="E100" i="29"/>
  <c r="D100" i="29"/>
  <c r="C100" i="29"/>
  <c r="B100" i="29"/>
  <c r="AG99" i="29"/>
  <c r="AG98" i="29"/>
  <c r="AG97" i="29"/>
  <c r="AG96" i="29"/>
  <c r="AG95" i="29"/>
  <c r="AF94" i="29"/>
  <c r="AE94" i="29"/>
  <c r="AD94" i="29"/>
  <c r="AC94" i="29"/>
  <c r="AB94" i="29"/>
  <c r="AA94" i="29"/>
  <c r="AA93" i="29" s="1"/>
  <c r="Z94" i="29"/>
  <c r="Z93" i="29" s="1"/>
  <c r="Y94" i="29"/>
  <c r="X94" i="29"/>
  <c r="W94" i="29"/>
  <c r="V94" i="29"/>
  <c r="U94" i="29"/>
  <c r="T94" i="29"/>
  <c r="S94" i="29"/>
  <c r="R94" i="29"/>
  <c r="R93" i="29" s="1"/>
  <c r="Q94" i="29"/>
  <c r="P94" i="29"/>
  <c r="O94" i="29"/>
  <c r="N94" i="29"/>
  <c r="M94" i="29"/>
  <c r="L94" i="29"/>
  <c r="L93" i="29" s="1"/>
  <c r="K94" i="29"/>
  <c r="J94" i="29"/>
  <c r="J93" i="29" s="1"/>
  <c r="I94" i="29"/>
  <c r="I93" i="29" s="1"/>
  <c r="H94" i="29"/>
  <c r="G94" i="29"/>
  <c r="F94" i="29"/>
  <c r="E94" i="29"/>
  <c r="D94" i="29"/>
  <c r="C94" i="29"/>
  <c r="C93" i="29" s="1"/>
  <c r="B94" i="29"/>
  <c r="AF93" i="29"/>
  <c r="AB93" i="29"/>
  <c r="Y93" i="29"/>
  <c r="X93" i="29"/>
  <c r="T93" i="29"/>
  <c r="S93" i="29"/>
  <c r="Q93" i="29"/>
  <c r="P93" i="29"/>
  <c r="K93" i="29"/>
  <c r="H93" i="29"/>
  <c r="D93" i="29"/>
  <c r="AG92" i="29"/>
  <c r="AG91" i="29"/>
  <c r="AG90" i="29"/>
  <c r="AG89" i="29"/>
  <c r="AG88" i="29"/>
  <c r="AF87" i="29"/>
  <c r="AE87" i="29"/>
  <c r="AD87" i="29"/>
  <c r="AC87" i="29"/>
  <c r="AB87" i="29"/>
  <c r="AA87" i="29"/>
  <c r="Z87" i="29"/>
  <c r="Y87" i="29"/>
  <c r="X87" i="29"/>
  <c r="W87" i="29"/>
  <c r="V87" i="29"/>
  <c r="U87" i="29"/>
  <c r="T87" i="29"/>
  <c r="S87" i="29"/>
  <c r="R87" i="29"/>
  <c r="Q87" i="29"/>
  <c r="P87" i="29"/>
  <c r="O87" i="29"/>
  <c r="N87" i="29"/>
  <c r="M87" i="29"/>
  <c r="L87" i="29"/>
  <c r="K87" i="29"/>
  <c r="J87" i="29"/>
  <c r="I87" i="29"/>
  <c r="H87" i="29"/>
  <c r="G87" i="29"/>
  <c r="F87" i="29"/>
  <c r="E87" i="29"/>
  <c r="D87" i="29"/>
  <c r="C87" i="29"/>
  <c r="B87" i="29"/>
  <c r="AG86" i="29"/>
  <c r="AG85" i="29"/>
  <c r="AF84" i="29"/>
  <c r="AE84" i="29"/>
  <c r="AD84" i="29"/>
  <c r="AC84" i="29"/>
  <c r="AB84" i="29"/>
  <c r="AA84" i="29"/>
  <c r="Z84" i="29"/>
  <c r="Y84" i="29"/>
  <c r="X84" i="29"/>
  <c r="W84" i="29"/>
  <c r="V84" i="29"/>
  <c r="U84" i="29"/>
  <c r="T84" i="29"/>
  <c r="S84" i="29"/>
  <c r="R84" i="29"/>
  <c r="Q84" i="29"/>
  <c r="P84" i="29"/>
  <c r="O84" i="29"/>
  <c r="N84" i="29"/>
  <c r="M84" i="29"/>
  <c r="L84" i="29"/>
  <c r="K84" i="29"/>
  <c r="J84" i="29"/>
  <c r="I84" i="29"/>
  <c r="H84" i="29"/>
  <c r="G84" i="29"/>
  <c r="F84" i="29"/>
  <c r="E84" i="29"/>
  <c r="D84" i="29"/>
  <c r="C84" i="29"/>
  <c r="B84" i="29"/>
  <c r="AF82" i="29"/>
  <c r="AF83" i="29" s="1"/>
  <c r="AF81" i="29" s="1"/>
  <c r="AE82" i="29"/>
  <c r="AE83" i="29" s="1"/>
  <c r="AE81" i="29" s="1"/>
  <c r="AD82" i="29"/>
  <c r="AD83" i="29" s="1"/>
  <c r="AD81" i="29" s="1"/>
  <c r="AC82" i="29"/>
  <c r="AC83" i="29" s="1"/>
  <c r="AC81" i="29" s="1"/>
  <c r="AB82" i="29"/>
  <c r="AA82" i="29"/>
  <c r="AA83" i="29" s="1"/>
  <c r="AA81" i="29" s="1"/>
  <c r="Z82" i="29"/>
  <c r="Z83" i="29" s="1"/>
  <c r="Z81" i="29" s="1"/>
  <c r="Y82" i="29"/>
  <c r="Y83" i="29" s="1"/>
  <c r="Y81" i="29" s="1"/>
  <c r="X82" i="29"/>
  <c r="X83" i="29" s="1"/>
  <c r="X81" i="29" s="1"/>
  <c r="W82" i="29"/>
  <c r="W83" i="29" s="1"/>
  <c r="W81" i="29" s="1"/>
  <c r="V82" i="29"/>
  <c r="V83" i="29" s="1"/>
  <c r="V81" i="29" s="1"/>
  <c r="U82" i="29"/>
  <c r="U83" i="29" s="1"/>
  <c r="U81" i="29" s="1"/>
  <c r="T82" i="29"/>
  <c r="S82" i="29"/>
  <c r="S83" i="29" s="1"/>
  <c r="S81" i="29" s="1"/>
  <c r="R82" i="29"/>
  <c r="R83" i="29" s="1"/>
  <c r="R81" i="29" s="1"/>
  <c r="Q82" i="29"/>
  <c r="Q83" i="29" s="1"/>
  <c r="Q81" i="29" s="1"/>
  <c r="P82" i="29"/>
  <c r="P83" i="29" s="1"/>
  <c r="P81" i="29" s="1"/>
  <c r="O82" i="29"/>
  <c r="O83" i="29" s="1"/>
  <c r="O81" i="29" s="1"/>
  <c r="N82" i="29"/>
  <c r="N83" i="29" s="1"/>
  <c r="N81" i="29" s="1"/>
  <c r="M82" i="29"/>
  <c r="M83" i="29" s="1"/>
  <c r="M81" i="29" s="1"/>
  <c r="L82" i="29"/>
  <c r="K82" i="29"/>
  <c r="K83" i="29" s="1"/>
  <c r="K81" i="29" s="1"/>
  <c r="J82" i="29"/>
  <c r="J83" i="29" s="1"/>
  <c r="J81" i="29" s="1"/>
  <c r="I82" i="29"/>
  <c r="I83" i="29" s="1"/>
  <c r="I81" i="29" s="1"/>
  <c r="H82" i="29"/>
  <c r="H83" i="29" s="1"/>
  <c r="H81" i="29" s="1"/>
  <c r="G82" i="29"/>
  <c r="G83" i="29" s="1"/>
  <c r="G81" i="29" s="1"/>
  <c r="F82" i="29"/>
  <c r="F83" i="29" s="1"/>
  <c r="F81" i="29" s="1"/>
  <c r="E82" i="29"/>
  <c r="E83" i="29" s="1"/>
  <c r="E81" i="29" s="1"/>
  <c r="D82" i="29"/>
  <c r="C82" i="29"/>
  <c r="C83" i="29" s="1"/>
  <c r="C81" i="29" s="1"/>
  <c r="B82" i="29"/>
  <c r="B83" i="29" s="1"/>
  <c r="AG80" i="29"/>
  <c r="AF79" i="29"/>
  <c r="AF78" i="29" s="1"/>
  <c r="AE79" i="29"/>
  <c r="AD79" i="29"/>
  <c r="AC79" i="29"/>
  <c r="AB79" i="29"/>
  <c r="AA79" i="29"/>
  <c r="Z79" i="29"/>
  <c r="Y79" i="29"/>
  <c r="Y78" i="29" s="1"/>
  <c r="X79" i="29"/>
  <c r="X78" i="29" s="1"/>
  <c r="W79" i="29"/>
  <c r="V79" i="29"/>
  <c r="U79" i="29"/>
  <c r="U78" i="29" s="1"/>
  <c r="T79" i="29"/>
  <c r="T78" i="29" s="1"/>
  <c r="S79" i="29"/>
  <c r="R79" i="29"/>
  <c r="Q79" i="29"/>
  <c r="P79" i="29"/>
  <c r="O79" i="29"/>
  <c r="N79" i="29"/>
  <c r="M79" i="29"/>
  <c r="M78" i="29" s="1"/>
  <c r="L79" i="29"/>
  <c r="L78" i="29" s="1"/>
  <c r="K79" i="29"/>
  <c r="J79" i="29"/>
  <c r="I79" i="29"/>
  <c r="I78" i="29" s="1"/>
  <c r="H79" i="29"/>
  <c r="G79" i="29"/>
  <c r="F79" i="29"/>
  <c r="F78" i="29" s="1"/>
  <c r="E79" i="29"/>
  <c r="D79" i="29"/>
  <c r="D78" i="29" s="1"/>
  <c r="C79" i="29"/>
  <c r="B79" i="29"/>
  <c r="AE78" i="29"/>
  <c r="AD78" i="29"/>
  <c r="AC78" i="29"/>
  <c r="AB78" i="29"/>
  <c r="AA78" i="29"/>
  <c r="Z78" i="29"/>
  <c r="W78" i="29"/>
  <c r="V78" i="29"/>
  <c r="S78" i="29"/>
  <c r="R78" i="29"/>
  <c r="Q78" i="29"/>
  <c r="P78" i="29"/>
  <c r="O78" i="29"/>
  <c r="N78" i="29"/>
  <c r="K78" i="29"/>
  <c r="J78" i="29"/>
  <c r="H78" i="29"/>
  <c r="G78" i="29"/>
  <c r="E78" i="29"/>
  <c r="C78" i="29"/>
  <c r="B78" i="29"/>
  <c r="AG77" i="29"/>
  <c r="AG76" i="29"/>
  <c r="AG75" i="29"/>
  <c r="AG74" i="29"/>
  <c r="AG73" i="29"/>
  <c r="AG72" i="29"/>
  <c r="AG71" i="29"/>
  <c r="AG70" i="29"/>
  <c r="AG69" i="29"/>
  <c r="AG68" i="29"/>
  <c r="AG67" i="29"/>
  <c r="AG66" i="29"/>
  <c r="AG65" i="29"/>
  <c r="AG64" i="29"/>
  <c r="AG63" i="29"/>
  <c r="AG62" i="29"/>
  <c r="AG61" i="29"/>
  <c r="AG60" i="29"/>
  <c r="AG59" i="29"/>
  <c r="AG58" i="29"/>
  <c r="AG57" i="29"/>
  <c r="AG56" i="29"/>
  <c r="AG55" i="29"/>
  <c r="AG54" i="29"/>
  <c r="AF53" i="29"/>
  <c r="AF134" i="29" s="1"/>
  <c r="AE53" i="29"/>
  <c r="AE134" i="29" s="1"/>
  <c r="AD53" i="29"/>
  <c r="AD134" i="29" s="1"/>
  <c r="AC53" i="29"/>
  <c r="AC134" i="29" s="1"/>
  <c r="AB53" i="29"/>
  <c r="AB134" i="29" s="1"/>
  <c r="AA53" i="29"/>
  <c r="AA134" i="29" s="1"/>
  <c r="Z53" i="29"/>
  <c r="Z134" i="29" s="1"/>
  <c r="Y53" i="29"/>
  <c r="Y134" i="29" s="1"/>
  <c r="X53" i="29"/>
  <c r="X134" i="29" s="1"/>
  <c r="W53" i="29"/>
  <c r="W134" i="29" s="1"/>
  <c r="V53" i="29"/>
  <c r="V134" i="29" s="1"/>
  <c r="U53" i="29"/>
  <c r="U134" i="29" s="1"/>
  <c r="T53" i="29"/>
  <c r="T134" i="29" s="1"/>
  <c r="S53" i="29"/>
  <c r="S134" i="29" s="1"/>
  <c r="R53" i="29"/>
  <c r="R134" i="29" s="1"/>
  <c r="Q53" i="29"/>
  <c r="Q134" i="29" s="1"/>
  <c r="P53" i="29"/>
  <c r="P134" i="29" s="1"/>
  <c r="O53" i="29"/>
  <c r="O134" i="29" s="1"/>
  <c r="N53" i="29"/>
  <c r="N134" i="29" s="1"/>
  <c r="M53" i="29"/>
  <c r="M134" i="29" s="1"/>
  <c r="L53" i="29"/>
  <c r="L134" i="29" s="1"/>
  <c r="K53" i="29"/>
  <c r="K134" i="29" s="1"/>
  <c r="J53" i="29"/>
  <c r="J134" i="29" s="1"/>
  <c r="I53" i="29"/>
  <c r="I134" i="29" s="1"/>
  <c r="H53" i="29"/>
  <c r="H134" i="29" s="1"/>
  <c r="G53" i="29"/>
  <c r="G134" i="29" s="1"/>
  <c r="F53" i="29"/>
  <c r="F134" i="29" s="1"/>
  <c r="E53" i="29"/>
  <c r="E134" i="29" s="1"/>
  <c r="D53" i="29"/>
  <c r="D134" i="29" s="1"/>
  <c r="C53" i="29"/>
  <c r="C134" i="29" s="1"/>
  <c r="B53" i="29"/>
  <c r="B134" i="29" s="1"/>
  <c r="AG52" i="29"/>
  <c r="AG51" i="29"/>
  <c r="AG50" i="29"/>
  <c r="AG49" i="29"/>
  <c r="AG48" i="29"/>
  <c r="AG47" i="29"/>
  <c r="AG46" i="29"/>
  <c r="AG45" i="29"/>
  <c r="AG44" i="29"/>
  <c r="AG43" i="29"/>
  <c r="AG42" i="29"/>
  <c r="AG41" i="29"/>
  <c r="AG40" i="29"/>
  <c r="AG39" i="29"/>
  <c r="AG38" i="29"/>
  <c r="AG37" i="29"/>
  <c r="AG36" i="29"/>
  <c r="AG35" i="29"/>
  <c r="AG34" i="29"/>
  <c r="AG33" i="29"/>
  <c r="AG32" i="29"/>
  <c r="AG31" i="29"/>
  <c r="AG30" i="29"/>
  <c r="AG29" i="29"/>
  <c r="AF28" i="29"/>
  <c r="AF133" i="29" s="1"/>
  <c r="AE28" i="29"/>
  <c r="AE133" i="29" s="1"/>
  <c r="AD28" i="29"/>
  <c r="AD133" i="29" s="1"/>
  <c r="AC28" i="29"/>
  <c r="AC133" i="29" s="1"/>
  <c r="AB28" i="29"/>
  <c r="AB133" i="29" s="1"/>
  <c r="AA28" i="29"/>
  <c r="AA133" i="29" s="1"/>
  <c r="Z28" i="29"/>
  <c r="Z133" i="29" s="1"/>
  <c r="Y28" i="29"/>
  <c r="Y133" i="29" s="1"/>
  <c r="X28" i="29"/>
  <c r="X133" i="29" s="1"/>
  <c r="W28" i="29"/>
  <c r="W133" i="29" s="1"/>
  <c r="V28" i="29"/>
  <c r="V133" i="29" s="1"/>
  <c r="U28" i="29"/>
  <c r="U133" i="29" s="1"/>
  <c r="T28" i="29"/>
  <c r="T133" i="29" s="1"/>
  <c r="S28" i="29"/>
  <c r="S133" i="29" s="1"/>
  <c r="R28" i="29"/>
  <c r="R133" i="29" s="1"/>
  <c r="Q28" i="29"/>
  <c r="Q133" i="29" s="1"/>
  <c r="P28" i="29"/>
  <c r="P133" i="29" s="1"/>
  <c r="O28" i="29"/>
  <c r="O133" i="29" s="1"/>
  <c r="N28" i="29"/>
  <c r="N133" i="29" s="1"/>
  <c r="M28" i="29"/>
  <c r="M133" i="29" s="1"/>
  <c r="L28" i="29"/>
  <c r="L133" i="29" s="1"/>
  <c r="K28" i="29"/>
  <c r="K133" i="29" s="1"/>
  <c r="J28" i="29"/>
  <c r="J133" i="29" s="1"/>
  <c r="I28" i="29"/>
  <c r="I133" i="29" s="1"/>
  <c r="H28" i="29"/>
  <c r="H133" i="29" s="1"/>
  <c r="G28" i="29"/>
  <c r="G133" i="29" s="1"/>
  <c r="F28" i="29"/>
  <c r="F133" i="29" s="1"/>
  <c r="E28" i="29"/>
  <c r="E133" i="29" s="1"/>
  <c r="D28" i="29"/>
  <c r="D133" i="29" s="1"/>
  <c r="C28" i="29"/>
  <c r="C133" i="29" s="1"/>
  <c r="B28" i="29"/>
  <c r="B133" i="29" s="1"/>
  <c r="AG27" i="29"/>
  <c r="AG26" i="29"/>
  <c r="AG25" i="29"/>
  <c r="AG24" i="29"/>
  <c r="AG23" i="29"/>
  <c r="AG22" i="29"/>
  <c r="AG21" i="29"/>
  <c r="AG20" i="29"/>
  <c r="AG19" i="29"/>
  <c r="AG18" i="29"/>
  <c r="AG17" i="29"/>
  <c r="AG16" i="29"/>
  <c r="AG15" i="29"/>
  <c r="AG14" i="29"/>
  <c r="AG13" i="29"/>
  <c r="AG12" i="29"/>
  <c r="AG11" i="29"/>
  <c r="AG10" i="29"/>
  <c r="AG9" i="29"/>
  <c r="AG8" i="29"/>
  <c r="AG7" i="29"/>
  <c r="AG6" i="29"/>
  <c r="AG5" i="29"/>
  <c r="AG4" i="29"/>
  <c r="AF3" i="29"/>
  <c r="AE3" i="29"/>
  <c r="AD3" i="29"/>
  <c r="AC3" i="29"/>
  <c r="AB3" i="29"/>
  <c r="AA3" i="29"/>
  <c r="Z3" i="29"/>
  <c r="Y3" i="29"/>
  <c r="X3" i="29"/>
  <c r="W3" i="29"/>
  <c r="V3" i="29"/>
  <c r="U3" i="29"/>
  <c r="T3" i="29"/>
  <c r="S3" i="29"/>
  <c r="R3" i="29"/>
  <c r="Q3" i="29"/>
  <c r="P3" i="29"/>
  <c r="O3" i="29"/>
  <c r="N3" i="29"/>
  <c r="M3" i="29"/>
  <c r="L3" i="29"/>
  <c r="K3" i="29"/>
  <c r="J3" i="29"/>
  <c r="I3" i="29"/>
  <c r="H3" i="29"/>
  <c r="G3" i="29"/>
  <c r="F3" i="29"/>
  <c r="E3" i="29"/>
  <c r="D3" i="29"/>
  <c r="C3" i="29"/>
  <c r="B3" i="29"/>
  <c r="C2" i="29"/>
  <c r="D2" i="29" s="1"/>
  <c r="E2" i="29" s="1"/>
  <c r="F2" i="29" s="1"/>
  <c r="G2" i="29" s="1"/>
  <c r="H2" i="29" s="1"/>
  <c r="I2" i="29" s="1"/>
  <c r="J2" i="29" s="1"/>
  <c r="K2" i="29" s="1"/>
  <c r="L2" i="29" s="1"/>
  <c r="M2" i="29" s="1"/>
  <c r="N2" i="29" s="1"/>
  <c r="O2" i="29" s="1"/>
  <c r="P2" i="29" s="1"/>
  <c r="Q2" i="29" s="1"/>
  <c r="R2" i="29" s="1"/>
  <c r="S2" i="29" s="1"/>
  <c r="T2" i="29" s="1"/>
  <c r="U2" i="29" s="1"/>
  <c r="V2" i="29" s="1"/>
  <c r="W2" i="29" s="1"/>
  <c r="X2" i="29" s="1"/>
  <c r="Y2" i="29" s="1"/>
  <c r="Z2" i="29" s="1"/>
  <c r="AA2" i="29" s="1"/>
  <c r="AB2" i="29" s="1"/>
  <c r="AC2" i="29" s="1"/>
  <c r="AD2" i="29" s="1"/>
  <c r="AE2" i="29" s="1"/>
  <c r="AF2" i="29" s="1"/>
  <c r="AE93" i="47" l="1"/>
  <c r="AC93" i="47"/>
  <c r="AB93" i="47"/>
  <c r="Z93" i="47"/>
  <c r="Y93" i="47"/>
  <c r="V93" i="47"/>
  <c r="U93" i="47"/>
  <c r="T93" i="47"/>
  <c r="Q83" i="47"/>
  <c r="Q81" i="47" s="1"/>
  <c r="O93" i="47"/>
  <c r="N93" i="47"/>
  <c r="M93" i="47"/>
  <c r="J93" i="47"/>
  <c r="I93" i="47"/>
  <c r="G93" i="47"/>
  <c r="L93" i="47"/>
  <c r="AF93" i="47"/>
  <c r="O81" i="47"/>
  <c r="L83" i="47"/>
  <c r="L81" i="47" s="1"/>
  <c r="R81" i="47"/>
  <c r="S81" i="47"/>
  <c r="P93" i="47"/>
  <c r="Q93" i="47"/>
  <c r="AG177" i="47"/>
  <c r="R93" i="47"/>
  <c r="AF83" i="47"/>
  <c r="AF81" i="47" s="1"/>
  <c r="H81" i="47"/>
  <c r="I81" i="47"/>
  <c r="AC81" i="47"/>
  <c r="AB81" i="47"/>
  <c r="F93" i="47"/>
  <c r="E93" i="47"/>
  <c r="AG84" i="47"/>
  <c r="AG139" i="47"/>
  <c r="D93" i="47"/>
  <c r="AG116" i="47"/>
  <c r="AG144" i="47"/>
  <c r="AG171" i="47"/>
  <c r="AG135" i="47"/>
  <c r="AG119" i="47"/>
  <c r="AG53" i="47"/>
  <c r="AG82" i="47"/>
  <c r="AG87" i="47"/>
  <c r="AG100" i="47"/>
  <c r="B93" i="47"/>
  <c r="B83" i="47"/>
  <c r="B81" i="47" s="1"/>
  <c r="AG3" i="47"/>
  <c r="AG133" i="47"/>
  <c r="C81" i="47"/>
  <c r="AG78" i="47"/>
  <c r="AG28" i="47"/>
  <c r="K83" i="47"/>
  <c r="AE83" i="47"/>
  <c r="AE81" i="47" s="1"/>
  <c r="AG94" i="47"/>
  <c r="AG79" i="47"/>
  <c r="B134" i="47"/>
  <c r="AG134" i="47" s="1"/>
  <c r="X81" i="47"/>
  <c r="E81" i="47"/>
  <c r="Y81" i="47"/>
  <c r="D81" i="47"/>
  <c r="F81" i="47"/>
  <c r="Z81" i="47"/>
  <c r="G81" i="47"/>
  <c r="AA81" i="47"/>
  <c r="J81" i="47"/>
  <c r="AD81" i="47"/>
  <c r="C93" i="47"/>
  <c r="Y93" i="46"/>
  <c r="X93" i="46"/>
  <c r="W93" i="46"/>
  <c r="W83" i="46"/>
  <c r="W81" i="46" s="1"/>
  <c r="V93" i="46"/>
  <c r="U93" i="46"/>
  <c r="T93" i="46"/>
  <c r="S93" i="46"/>
  <c r="R93" i="46"/>
  <c r="Q81" i="46"/>
  <c r="P93" i="46"/>
  <c r="O93" i="46"/>
  <c r="O81" i="46"/>
  <c r="N93" i="46"/>
  <c r="N83" i="46"/>
  <c r="N81" i="46" s="1"/>
  <c r="M83" i="46"/>
  <c r="M81" i="46" s="1"/>
  <c r="K93" i="46"/>
  <c r="L93" i="46"/>
  <c r="L81" i="46"/>
  <c r="J93" i="46"/>
  <c r="I93" i="46"/>
  <c r="H93" i="46"/>
  <c r="G93" i="46"/>
  <c r="AG139" i="46"/>
  <c r="AG135" i="46"/>
  <c r="D93" i="46"/>
  <c r="AG53" i="46"/>
  <c r="AG84" i="46"/>
  <c r="AG171" i="46"/>
  <c r="AG119" i="46"/>
  <c r="E93" i="46"/>
  <c r="AG100" i="46"/>
  <c r="AG144" i="46"/>
  <c r="C93" i="46"/>
  <c r="C83" i="46"/>
  <c r="C81" i="46" s="1"/>
  <c r="AG87" i="46"/>
  <c r="AG116" i="46"/>
  <c r="B93" i="46"/>
  <c r="AG3" i="46"/>
  <c r="AF93" i="45"/>
  <c r="AG78" i="46"/>
  <c r="AG133" i="46"/>
  <c r="AG28" i="46"/>
  <c r="K83" i="46"/>
  <c r="K81" i="46" s="1"/>
  <c r="AE83" i="46"/>
  <c r="AE81" i="46" s="1"/>
  <c r="AG94" i="46"/>
  <c r="B134" i="46"/>
  <c r="AG134" i="46" s="1"/>
  <c r="AG79" i="46"/>
  <c r="E81" i="46"/>
  <c r="Z81" i="46"/>
  <c r="AG82" i="46"/>
  <c r="G81" i="46"/>
  <c r="AB81" i="46"/>
  <c r="I81" i="46"/>
  <c r="AC81" i="46"/>
  <c r="D83" i="46"/>
  <c r="X83" i="46"/>
  <c r="X81" i="46" s="1"/>
  <c r="J81" i="46"/>
  <c r="AD81" i="46"/>
  <c r="Y83" i="46"/>
  <c r="Y81" i="46" s="1"/>
  <c r="F83" i="46"/>
  <c r="F81" i="46" s="1"/>
  <c r="AA83" i="46"/>
  <c r="AA81" i="46" s="1"/>
  <c r="H83" i="46"/>
  <c r="H81" i="46" s="1"/>
  <c r="AE93" i="45"/>
  <c r="AC93" i="45"/>
  <c r="W93" i="45"/>
  <c r="X93" i="45"/>
  <c r="U81" i="45"/>
  <c r="T93" i="45"/>
  <c r="R93" i="45"/>
  <c r="P93" i="45"/>
  <c r="N93" i="45"/>
  <c r="M93" i="45"/>
  <c r="K93" i="45"/>
  <c r="AG84" i="45"/>
  <c r="AG87" i="45"/>
  <c r="AG144" i="45"/>
  <c r="AG3" i="45"/>
  <c r="AG116" i="45"/>
  <c r="AG139" i="45"/>
  <c r="AG135" i="45"/>
  <c r="AG119" i="45"/>
  <c r="AG100" i="45"/>
  <c r="C93" i="45"/>
  <c r="AG79" i="45"/>
  <c r="AG171" i="45"/>
  <c r="B93" i="45"/>
  <c r="AG53" i="45"/>
  <c r="AG78" i="45"/>
  <c r="AG134" i="45"/>
  <c r="B81" i="45"/>
  <c r="AG133" i="45"/>
  <c r="AG28" i="45"/>
  <c r="AG94" i="45"/>
  <c r="AF83" i="45"/>
  <c r="AF81" i="45" s="1"/>
  <c r="M83" i="45"/>
  <c r="M81" i="45" s="1"/>
  <c r="C81" i="45"/>
  <c r="W81" i="45"/>
  <c r="X81" i="45"/>
  <c r="F81" i="45"/>
  <c r="Z81" i="45"/>
  <c r="AG82" i="45"/>
  <c r="G134" i="45"/>
  <c r="AE93" i="44"/>
  <c r="AD93" i="44"/>
  <c r="AB93" i="44"/>
  <c r="Y93" i="44"/>
  <c r="X93" i="44"/>
  <c r="W81" i="44"/>
  <c r="V93" i="44"/>
  <c r="T93" i="44"/>
  <c r="S93" i="44"/>
  <c r="P93" i="44"/>
  <c r="P83" i="44"/>
  <c r="P81" i="44" s="1"/>
  <c r="N93" i="44"/>
  <c r="L93" i="44"/>
  <c r="K81" i="44"/>
  <c r="J93" i="44"/>
  <c r="G93" i="44"/>
  <c r="E81" i="44"/>
  <c r="AG139" i="44"/>
  <c r="D81" i="44"/>
  <c r="AG116" i="44"/>
  <c r="AG144" i="44"/>
  <c r="AG94" i="44"/>
  <c r="AG53" i="44"/>
  <c r="AG78" i="44"/>
  <c r="AG84" i="44"/>
  <c r="AG87" i="44"/>
  <c r="AG171" i="44"/>
  <c r="AG135" i="44"/>
  <c r="AG119" i="44"/>
  <c r="AG100" i="44"/>
  <c r="B93" i="44"/>
  <c r="B134" i="44"/>
  <c r="AG134" i="44" s="1"/>
  <c r="AG3" i="44"/>
  <c r="AG133" i="44"/>
  <c r="AG28" i="44"/>
  <c r="AG79" i="44"/>
  <c r="G83" i="44"/>
  <c r="G81" i="44" s="1"/>
  <c r="S83" i="44"/>
  <c r="S81" i="44" s="1"/>
  <c r="AE83" i="44"/>
  <c r="AE81" i="44" s="1"/>
  <c r="M81" i="44"/>
  <c r="Y81" i="44"/>
  <c r="H83" i="44"/>
  <c r="H81" i="44" s="1"/>
  <c r="T83" i="44"/>
  <c r="T81" i="44" s="1"/>
  <c r="AF83" i="44"/>
  <c r="AF81" i="44" s="1"/>
  <c r="B81" i="44"/>
  <c r="C81" i="44"/>
  <c r="O81" i="44"/>
  <c r="AA81" i="44"/>
  <c r="J83" i="44"/>
  <c r="J81" i="44" s="1"/>
  <c r="V83" i="44"/>
  <c r="V81" i="44" s="1"/>
  <c r="AG82" i="44"/>
  <c r="D93" i="44"/>
  <c r="AF93" i="43"/>
  <c r="AD83" i="43"/>
  <c r="AD81" i="43" s="1"/>
  <c r="AB83" i="43"/>
  <c r="AB81" i="43" s="1"/>
  <c r="W93" i="43"/>
  <c r="W83" i="43"/>
  <c r="W81" i="43" s="1"/>
  <c r="T93" i="43"/>
  <c r="R83" i="43"/>
  <c r="R81" i="43" s="1"/>
  <c r="O93" i="43"/>
  <c r="M81" i="43"/>
  <c r="K93" i="43"/>
  <c r="K81" i="43"/>
  <c r="I83" i="43"/>
  <c r="I81" i="43" s="1"/>
  <c r="H93" i="43"/>
  <c r="AF93" i="42"/>
  <c r="AF83" i="42"/>
  <c r="AF81" i="42" s="1"/>
  <c r="F93" i="43"/>
  <c r="F81" i="43"/>
  <c r="AG84" i="43"/>
  <c r="AG171" i="43"/>
  <c r="AG119" i="43"/>
  <c r="AG87" i="43"/>
  <c r="AG116" i="43"/>
  <c r="AG144" i="43"/>
  <c r="AG139" i="43"/>
  <c r="AG135" i="43"/>
  <c r="B93" i="43"/>
  <c r="AG100" i="43"/>
  <c r="AG94" i="43"/>
  <c r="AG3" i="43"/>
  <c r="AG78" i="43"/>
  <c r="AE81" i="43"/>
  <c r="AG134" i="43"/>
  <c r="AG133" i="43"/>
  <c r="AG28" i="43"/>
  <c r="AG79" i="43"/>
  <c r="G83" i="43"/>
  <c r="S83" i="43"/>
  <c r="S81" i="43" s="1"/>
  <c r="AE83" i="43"/>
  <c r="H83" i="43"/>
  <c r="H81" i="43" s="1"/>
  <c r="T83" i="43"/>
  <c r="T81" i="43" s="1"/>
  <c r="AF83" i="43"/>
  <c r="AF81" i="43" s="1"/>
  <c r="B81" i="43"/>
  <c r="N81" i="43"/>
  <c r="Z81" i="43"/>
  <c r="C81" i="43"/>
  <c r="O81" i="43"/>
  <c r="AA81" i="43"/>
  <c r="AG82" i="43"/>
  <c r="E93" i="43"/>
  <c r="AG53" i="43"/>
  <c r="AE93" i="42"/>
  <c r="AD93" i="42"/>
  <c r="AC93" i="42"/>
  <c r="AB93" i="42"/>
  <c r="Y81" i="42"/>
  <c r="X83" i="42"/>
  <c r="X81" i="42" s="1"/>
  <c r="W93" i="42"/>
  <c r="T93" i="42"/>
  <c r="T81" i="42"/>
  <c r="Q93" i="42"/>
  <c r="O93" i="42"/>
  <c r="N93" i="42"/>
  <c r="M93" i="42"/>
  <c r="M81" i="42"/>
  <c r="K93" i="42"/>
  <c r="H93" i="42"/>
  <c r="F93" i="42"/>
  <c r="E93" i="42"/>
  <c r="AG171" i="42"/>
  <c r="D93" i="42"/>
  <c r="AG84" i="42"/>
  <c r="AG87" i="42"/>
  <c r="AG135" i="42"/>
  <c r="AG119" i="42"/>
  <c r="C93" i="42"/>
  <c r="AG100" i="42"/>
  <c r="AG94" i="42"/>
  <c r="AG3" i="42"/>
  <c r="AG116" i="42"/>
  <c r="AG144" i="42"/>
  <c r="AG139" i="42"/>
  <c r="AG53" i="42"/>
  <c r="AG78" i="42"/>
  <c r="AG133" i="42"/>
  <c r="AG28" i="42"/>
  <c r="AG79" i="42"/>
  <c r="I134" i="42"/>
  <c r="AG134" i="42" s="1"/>
  <c r="C81" i="42"/>
  <c r="O81" i="42"/>
  <c r="AA81" i="42"/>
  <c r="B81" i="42"/>
  <c r="N81" i="42"/>
  <c r="Z81" i="42"/>
  <c r="D81" i="42"/>
  <c r="P81" i="42"/>
  <c r="AB81" i="42"/>
  <c r="E81" i="42"/>
  <c r="Q81" i="42"/>
  <c r="AC81" i="42"/>
  <c r="AG82" i="42"/>
  <c r="AE93" i="41"/>
  <c r="Z93" i="41"/>
  <c r="X93" i="41"/>
  <c r="T93" i="41"/>
  <c r="S93" i="41"/>
  <c r="P93" i="41"/>
  <c r="O93" i="41"/>
  <c r="N93" i="41"/>
  <c r="L93" i="41"/>
  <c r="K93" i="41"/>
  <c r="G93" i="41"/>
  <c r="E93" i="41"/>
  <c r="AG84" i="41"/>
  <c r="AG87" i="41"/>
  <c r="AG171" i="41"/>
  <c r="AG135" i="41"/>
  <c r="AG119" i="41"/>
  <c r="C93" i="41"/>
  <c r="AG100" i="41"/>
  <c r="AG82" i="41"/>
  <c r="AG3" i="41"/>
  <c r="AG116" i="41"/>
  <c r="AG144" i="41"/>
  <c r="AG139" i="41"/>
  <c r="B83" i="41"/>
  <c r="B81" i="41" s="1"/>
  <c r="AG53" i="41"/>
  <c r="AG28" i="41"/>
  <c r="AG78" i="41"/>
  <c r="AG79" i="41"/>
  <c r="M81" i="41"/>
  <c r="Y81" i="41"/>
  <c r="C81" i="41"/>
  <c r="O81" i="41"/>
  <c r="AA81" i="41"/>
  <c r="J83" i="41"/>
  <c r="J81" i="41" s="1"/>
  <c r="V83" i="41"/>
  <c r="V81" i="41" s="1"/>
  <c r="K83" i="41"/>
  <c r="K81" i="41" s="1"/>
  <c r="W83" i="41"/>
  <c r="W81" i="41" s="1"/>
  <c r="B93" i="41"/>
  <c r="I133" i="41"/>
  <c r="AG133" i="41" s="1"/>
  <c r="E81" i="41"/>
  <c r="Q81" i="41"/>
  <c r="AC81" i="41"/>
  <c r="F81" i="41"/>
  <c r="R81" i="41"/>
  <c r="AD81" i="41"/>
  <c r="C134" i="41"/>
  <c r="AG134" i="41" s="1"/>
  <c r="AG94" i="41"/>
  <c r="AF81" i="40"/>
  <c r="AD83" i="40"/>
  <c r="AD81" i="40" s="1"/>
  <c r="AB93" i="40"/>
  <c r="Z93" i="40"/>
  <c r="Y93" i="40"/>
  <c r="Y83" i="40"/>
  <c r="Y81" i="40" s="1"/>
  <c r="X81" i="40"/>
  <c r="W93" i="40"/>
  <c r="U93" i="40"/>
  <c r="U83" i="40"/>
  <c r="U81" i="40" s="1"/>
  <c r="T83" i="40"/>
  <c r="T81" i="40" s="1"/>
  <c r="R93" i="40"/>
  <c r="R81" i="40"/>
  <c r="P93" i="40"/>
  <c r="N93" i="40"/>
  <c r="M93" i="40"/>
  <c r="M81" i="40"/>
  <c r="L81" i="40"/>
  <c r="K93" i="40"/>
  <c r="J83" i="40"/>
  <c r="J81" i="40" s="1"/>
  <c r="I93" i="40"/>
  <c r="I81" i="40"/>
  <c r="H93" i="40"/>
  <c r="H81" i="40"/>
  <c r="G93" i="40"/>
  <c r="AG84" i="40"/>
  <c r="D93" i="40"/>
  <c r="AG87" i="40"/>
  <c r="AG116" i="40"/>
  <c r="AG144" i="40"/>
  <c r="AG171" i="40"/>
  <c r="AG139" i="40"/>
  <c r="AG135" i="40"/>
  <c r="AG119" i="40"/>
  <c r="AG100" i="40"/>
  <c r="AG94" i="40"/>
  <c r="AG53" i="40"/>
  <c r="C83" i="40"/>
  <c r="C81" i="40" s="1"/>
  <c r="AG3" i="40"/>
  <c r="B81" i="40"/>
  <c r="AG133" i="40"/>
  <c r="AG78" i="40"/>
  <c r="AG28" i="40"/>
  <c r="AG79" i="40"/>
  <c r="G83" i="40"/>
  <c r="S83" i="40"/>
  <c r="S81" i="40" s="1"/>
  <c r="AE83" i="40"/>
  <c r="AE81" i="40" s="1"/>
  <c r="D81" i="40"/>
  <c r="P81" i="40"/>
  <c r="AB81" i="40"/>
  <c r="B93" i="40"/>
  <c r="AG82" i="40"/>
  <c r="B134" i="40"/>
  <c r="AG134" i="40" s="1"/>
  <c r="AE93" i="39"/>
  <c r="AD93" i="39"/>
  <c r="AB93" i="39"/>
  <c r="X93" i="39"/>
  <c r="X81" i="39"/>
  <c r="U93" i="39"/>
  <c r="N93" i="39"/>
  <c r="J93" i="39"/>
  <c r="I93" i="39"/>
  <c r="C93" i="39"/>
  <c r="B93" i="39"/>
  <c r="AF93" i="38"/>
  <c r="AA93" i="38"/>
  <c r="Z93" i="38"/>
  <c r="V93" i="38"/>
  <c r="T93" i="38"/>
  <c r="U93" i="38"/>
  <c r="O93" i="38"/>
  <c r="N93" i="38"/>
  <c r="M93" i="38"/>
  <c r="J93" i="38"/>
  <c r="I93" i="38"/>
  <c r="H93" i="38"/>
  <c r="F93" i="38"/>
  <c r="E93" i="38"/>
  <c r="T93" i="39"/>
  <c r="S93" i="39"/>
  <c r="Q93" i="39"/>
  <c r="R93" i="39"/>
  <c r="O93" i="39"/>
  <c r="L93" i="39"/>
  <c r="H93" i="39"/>
  <c r="G93" i="39"/>
  <c r="AG116" i="39"/>
  <c r="AG87" i="39"/>
  <c r="D93" i="39"/>
  <c r="AG100" i="39"/>
  <c r="AG82" i="39"/>
  <c r="AG171" i="39"/>
  <c r="AG119" i="39"/>
  <c r="AG3" i="39"/>
  <c r="AG84" i="39"/>
  <c r="AG144" i="39"/>
  <c r="AG139" i="39"/>
  <c r="AG135" i="39"/>
  <c r="AG53" i="39"/>
  <c r="B83" i="39"/>
  <c r="B81" i="39" s="1"/>
  <c r="AG79" i="39"/>
  <c r="AG133" i="39"/>
  <c r="M81" i="39"/>
  <c r="Y81" i="39"/>
  <c r="I134" i="39"/>
  <c r="AG134" i="39" s="1"/>
  <c r="AG28" i="39"/>
  <c r="C81" i="39"/>
  <c r="O81" i="39"/>
  <c r="AA81" i="39"/>
  <c r="K83" i="39"/>
  <c r="K81" i="39" s="1"/>
  <c r="W83" i="39"/>
  <c r="W81" i="39" s="1"/>
  <c r="E78" i="39"/>
  <c r="AG78" i="39" s="1"/>
  <c r="AG94" i="39"/>
  <c r="AE93" i="38"/>
  <c r="AE83" i="38"/>
  <c r="AE81" i="38" s="1"/>
  <c r="AD93" i="38"/>
  <c r="AB93" i="38"/>
  <c r="X93" i="38"/>
  <c r="W93" i="38"/>
  <c r="T83" i="38"/>
  <c r="T81" i="38" s="1"/>
  <c r="S93" i="38"/>
  <c r="S81" i="38"/>
  <c r="R93" i="38"/>
  <c r="Q93" i="38"/>
  <c r="P93" i="38"/>
  <c r="N83" i="38"/>
  <c r="N81" i="38" s="1"/>
  <c r="L93" i="38"/>
  <c r="G93" i="38"/>
  <c r="G83" i="38"/>
  <c r="G81" i="38" s="1"/>
  <c r="AG87" i="38"/>
  <c r="AG94" i="38"/>
  <c r="D93" i="38"/>
  <c r="AG171" i="38"/>
  <c r="AG135" i="38"/>
  <c r="AG119" i="38"/>
  <c r="AG100" i="38"/>
  <c r="AG82" i="38"/>
  <c r="AG84" i="38"/>
  <c r="AG116" i="38"/>
  <c r="AG144" i="38"/>
  <c r="AG139" i="38"/>
  <c r="AG53" i="38"/>
  <c r="B83" i="38"/>
  <c r="B81" i="38" s="1"/>
  <c r="AG28" i="38"/>
  <c r="AG3" i="38"/>
  <c r="AG78" i="38"/>
  <c r="AG79" i="38"/>
  <c r="M81" i="38"/>
  <c r="Y81" i="38"/>
  <c r="C81" i="38"/>
  <c r="O81" i="38"/>
  <c r="AA81" i="38"/>
  <c r="D81" i="38"/>
  <c r="P81" i="38"/>
  <c r="AB81" i="38"/>
  <c r="K83" i="38"/>
  <c r="W83" i="38"/>
  <c r="W81" i="38" s="1"/>
  <c r="I133" i="38"/>
  <c r="AG133" i="38" s="1"/>
  <c r="E81" i="38"/>
  <c r="Q81" i="38"/>
  <c r="AC81" i="38"/>
  <c r="C93" i="38"/>
  <c r="C134" i="38"/>
  <c r="AG134" i="38" s="1"/>
  <c r="AC83" i="37"/>
  <c r="AC81" i="37" s="1"/>
  <c r="Z93" i="37"/>
  <c r="X93" i="37"/>
  <c r="U93" i="37"/>
  <c r="T93" i="37"/>
  <c r="S93" i="37"/>
  <c r="S81" i="37"/>
  <c r="R93" i="37"/>
  <c r="P93" i="37"/>
  <c r="L93" i="37"/>
  <c r="K93" i="37"/>
  <c r="I93" i="37"/>
  <c r="H93" i="37"/>
  <c r="G93" i="37"/>
  <c r="E93" i="37"/>
  <c r="E83" i="37"/>
  <c r="E81" i="37" s="1"/>
  <c r="AG84" i="37"/>
  <c r="AG87" i="37"/>
  <c r="AG135" i="37"/>
  <c r="AG119" i="37"/>
  <c r="C93" i="37"/>
  <c r="AG100" i="37"/>
  <c r="AG82" i="37"/>
  <c r="AG116" i="37"/>
  <c r="AG144" i="37"/>
  <c r="AG171" i="37"/>
  <c r="AG139" i="37"/>
  <c r="B93" i="37"/>
  <c r="AG94" i="37"/>
  <c r="B83" i="37"/>
  <c r="B81" i="37" s="1"/>
  <c r="AG3" i="37"/>
  <c r="AG78" i="37"/>
  <c r="AG133" i="37"/>
  <c r="AG134" i="37"/>
  <c r="M81" i="37"/>
  <c r="Y81" i="37"/>
  <c r="H83" i="37"/>
  <c r="T83" i="37"/>
  <c r="T81" i="37" s="1"/>
  <c r="AF83" i="37"/>
  <c r="AF81" i="37" s="1"/>
  <c r="AG28" i="37"/>
  <c r="AG79" i="37"/>
  <c r="C81" i="37"/>
  <c r="O81" i="37"/>
  <c r="AA81" i="37"/>
  <c r="J83" i="37"/>
  <c r="J81" i="37" s="1"/>
  <c r="V83" i="37"/>
  <c r="V81" i="37" s="1"/>
  <c r="K83" i="37"/>
  <c r="K81" i="37" s="1"/>
  <c r="W83" i="37"/>
  <c r="W81" i="37" s="1"/>
  <c r="F81" i="37"/>
  <c r="R81" i="37"/>
  <c r="AD81" i="37"/>
  <c r="AG53" i="37"/>
  <c r="F93" i="37"/>
  <c r="AF93" i="36"/>
  <c r="AC93" i="36"/>
  <c r="AB93" i="36"/>
  <c r="Y93" i="36"/>
  <c r="X93" i="36"/>
  <c r="X81" i="36"/>
  <c r="S93" i="36"/>
  <c r="R93" i="36"/>
  <c r="O93" i="36"/>
  <c r="O81" i="36"/>
  <c r="N93" i="36"/>
  <c r="M93" i="36"/>
  <c r="L83" i="36"/>
  <c r="L81" i="36" s="1"/>
  <c r="J93" i="36"/>
  <c r="I93" i="36"/>
  <c r="H93" i="36"/>
  <c r="AG116" i="36"/>
  <c r="E81" i="36"/>
  <c r="AG84" i="36"/>
  <c r="C93" i="36"/>
  <c r="AG53" i="36"/>
  <c r="AG28" i="36"/>
  <c r="AG79" i="36"/>
  <c r="AG87" i="36"/>
  <c r="AG144" i="36"/>
  <c r="AG171" i="36"/>
  <c r="AG139" i="36"/>
  <c r="AG135" i="36"/>
  <c r="AG119" i="36"/>
  <c r="AG100" i="36"/>
  <c r="B93" i="36"/>
  <c r="B134" i="36"/>
  <c r="AG3" i="36"/>
  <c r="Z81" i="36"/>
  <c r="AG134" i="36"/>
  <c r="B81" i="36"/>
  <c r="G81" i="36"/>
  <c r="S81" i="36"/>
  <c r="AE81" i="36"/>
  <c r="B83" i="36"/>
  <c r="N83" i="36"/>
  <c r="N81" i="36" s="1"/>
  <c r="Z83" i="36"/>
  <c r="H81" i="36"/>
  <c r="T81" i="36"/>
  <c r="AF81" i="36"/>
  <c r="AG94" i="36"/>
  <c r="B78" i="36"/>
  <c r="AG78" i="36" s="1"/>
  <c r="I81" i="36"/>
  <c r="U81" i="36"/>
  <c r="D83" i="36"/>
  <c r="D81" i="36" s="1"/>
  <c r="P83" i="36"/>
  <c r="P81" i="36" s="1"/>
  <c r="AB83" i="36"/>
  <c r="AB81" i="36" s="1"/>
  <c r="B133" i="36"/>
  <c r="AG133" i="36" s="1"/>
  <c r="AG82" i="36"/>
  <c r="K81" i="36"/>
  <c r="W81" i="36"/>
  <c r="U93" i="29"/>
  <c r="AG87" i="29"/>
  <c r="V93" i="29"/>
  <c r="M93" i="29"/>
  <c r="AG144" i="29"/>
  <c r="E93" i="29"/>
  <c r="AC93" i="29"/>
  <c r="F93" i="29"/>
  <c r="AD93" i="29"/>
  <c r="AG84" i="29"/>
  <c r="AG94" i="29"/>
  <c r="AG100" i="29"/>
  <c r="N93" i="29"/>
  <c r="AG133" i="29"/>
  <c r="AH133" i="29" s="1"/>
  <c r="O93" i="29"/>
  <c r="AG171" i="29"/>
  <c r="AH171" i="29" s="1"/>
  <c r="G93" i="29"/>
  <c r="AE93" i="29"/>
  <c r="AG139" i="29"/>
  <c r="AG3" i="29"/>
  <c r="AG79" i="29"/>
  <c r="W93" i="29"/>
  <c r="AG116" i="29"/>
  <c r="AH87" i="29"/>
  <c r="B81" i="29"/>
  <c r="AG78" i="29"/>
  <c r="AG134" i="29"/>
  <c r="D83" i="29"/>
  <c r="AG28" i="29"/>
  <c r="AG53" i="29"/>
  <c r="L83" i="29"/>
  <c r="L81" i="29" s="1"/>
  <c r="AB83" i="29"/>
  <c r="AB81" i="29" s="1"/>
  <c r="AG82" i="29"/>
  <c r="T83" i="29"/>
  <c r="T81" i="29" s="1"/>
  <c r="B93" i="29"/>
  <c r="AG93" i="29" s="1"/>
  <c r="AH93" i="29" s="1"/>
  <c r="AH87" i="47" l="1"/>
  <c r="AG83" i="47"/>
  <c r="AH84" i="47" s="1"/>
  <c r="AG93" i="47"/>
  <c r="AH171" i="47" s="1"/>
  <c r="K81" i="47"/>
  <c r="AG81" i="47" s="1"/>
  <c r="AH81" i="47" s="1"/>
  <c r="AH87" i="46"/>
  <c r="AG93" i="46"/>
  <c r="AH171" i="46" s="1"/>
  <c r="AG93" i="45"/>
  <c r="AG83" i="46"/>
  <c r="AH84" i="46" s="1"/>
  <c r="D81" i="46"/>
  <c r="AG81" i="46" s="1"/>
  <c r="AH81" i="46" s="1"/>
  <c r="AH87" i="45"/>
  <c r="AH119" i="45"/>
  <c r="AH171" i="45"/>
  <c r="AH133" i="45"/>
  <c r="AG83" i="45"/>
  <c r="AH84" i="45" s="1"/>
  <c r="AG81" i="45"/>
  <c r="AH81" i="45" s="1"/>
  <c r="AH93" i="45"/>
  <c r="AG93" i="44"/>
  <c r="AH93" i="44" s="1"/>
  <c r="AH87" i="44"/>
  <c r="AG83" i="44"/>
  <c r="AH84" i="44" s="1"/>
  <c r="AG81" i="44"/>
  <c r="AH81" i="44" s="1"/>
  <c r="AH87" i="43"/>
  <c r="AG83" i="43"/>
  <c r="AH84" i="43" s="1"/>
  <c r="AG93" i="43"/>
  <c r="AH93" i="43" s="1"/>
  <c r="G81" i="43"/>
  <c r="AG81" i="43" s="1"/>
  <c r="AH81" i="43" s="1"/>
  <c r="AG83" i="42"/>
  <c r="AH84" i="42" s="1"/>
  <c r="AH87" i="42"/>
  <c r="AG93" i="42"/>
  <c r="AH119" i="42" s="1"/>
  <c r="AG81" i="42"/>
  <c r="AH81" i="42" s="1"/>
  <c r="AG83" i="41"/>
  <c r="AH84" i="41" s="1"/>
  <c r="AH87" i="41"/>
  <c r="AG93" i="41"/>
  <c r="AH119" i="41" s="1"/>
  <c r="AG81" i="41"/>
  <c r="AH81" i="41" s="1"/>
  <c r="AG83" i="40"/>
  <c r="AH84" i="40" s="1"/>
  <c r="G81" i="40"/>
  <c r="AG81" i="40" s="1"/>
  <c r="AH81" i="40" s="1"/>
  <c r="AH87" i="40"/>
  <c r="AG93" i="40"/>
  <c r="AH171" i="40" s="1"/>
  <c r="AG93" i="39"/>
  <c r="AH119" i="39" s="1"/>
  <c r="AH87" i="39"/>
  <c r="AG83" i="39"/>
  <c r="AH84" i="39" s="1"/>
  <c r="AG81" i="39"/>
  <c r="AH81" i="39" s="1"/>
  <c r="AG93" i="38"/>
  <c r="AH93" i="38" s="1"/>
  <c r="AG83" i="38"/>
  <c r="AH84" i="38" s="1"/>
  <c r="AH87" i="38"/>
  <c r="K81" i="38"/>
  <c r="AG81" i="38" s="1"/>
  <c r="AH81" i="38" s="1"/>
  <c r="AH87" i="37"/>
  <c r="AG93" i="37"/>
  <c r="AH93" i="37" s="1"/>
  <c r="AG83" i="37"/>
  <c r="AH84" i="37" s="1"/>
  <c r="H81" i="37"/>
  <c r="AG81" i="37" s="1"/>
  <c r="AH81" i="37" s="1"/>
  <c r="AH87" i="36"/>
  <c r="AG93" i="36"/>
  <c r="AH93" i="36" s="1"/>
  <c r="AG81" i="36"/>
  <c r="AH81" i="36" s="1"/>
  <c r="AG83" i="36"/>
  <c r="AH84" i="36" s="1"/>
  <c r="AG83" i="29"/>
  <c r="AH84" i="29" s="1"/>
  <c r="D81" i="29"/>
  <c r="AG81" i="29"/>
  <c r="AH81" i="29" s="1"/>
  <c r="AH119" i="29"/>
  <c r="AH119" i="47" l="1"/>
  <c r="AH133" i="47"/>
  <c r="AH93" i="47"/>
  <c r="AH119" i="46"/>
  <c r="AH93" i="46"/>
  <c r="AH133" i="46"/>
  <c r="AH119" i="44"/>
  <c r="AH133" i="44"/>
  <c r="AH171" i="44"/>
  <c r="AH119" i="43"/>
  <c r="AH133" i="43"/>
  <c r="AH171" i="43"/>
  <c r="AH93" i="42"/>
  <c r="AH171" i="42"/>
  <c r="AH133" i="42"/>
  <c r="AH93" i="41"/>
  <c r="AH133" i="41"/>
  <c r="AH171" i="41"/>
  <c r="AH119" i="40"/>
  <c r="AH93" i="40"/>
  <c r="AH133" i="40"/>
  <c r="AH171" i="39"/>
  <c r="AH133" i="39"/>
  <c r="AH93" i="39"/>
  <c r="AH119" i="38"/>
  <c r="AH133" i="38"/>
  <c r="AH171" i="38"/>
  <c r="AH133" i="37"/>
  <c r="AH171" i="37"/>
  <c r="AH119" i="37"/>
  <c r="AH133" i="36"/>
  <c r="AH119" i="36"/>
  <c r="AH171" i="36"/>
  <c r="N180" i="23"/>
  <c r="N166" i="23"/>
  <c r="N150" i="23"/>
  <c r="N170" i="23" l="1"/>
  <c r="N9" i="23"/>
  <c r="N17" i="23"/>
  <c r="N25" i="23"/>
  <c r="N35" i="23"/>
  <c r="N43" i="23"/>
  <c r="N51" i="23"/>
  <c r="N61" i="23"/>
  <c r="N69" i="23"/>
  <c r="N77" i="23"/>
  <c r="N86" i="23"/>
  <c r="N88" i="23"/>
  <c r="N169" i="23"/>
  <c r="N101" i="23"/>
  <c r="N11" i="23"/>
  <c r="N19" i="23"/>
  <c r="N27" i="23"/>
  <c r="N29" i="23"/>
  <c r="N37" i="23"/>
  <c r="N45" i="23"/>
  <c r="N55" i="23"/>
  <c r="N63" i="23"/>
  <c r="N71" i="23"/>
  <c r="N90" i="23"/>
  <c r="N4" i="23"/>
  <c r="N12" i="23"/>
  <c r="N20" i="23"/>
  <c r="N30" i="23"/>
  <c r="N38" i="23"/>
  <c r="N46" i="23"/>
  <c r="N56" i="23"/>
  <c r="N64" i="23"/>
  <c r="N72" i="23"/>
  <c r="N91" i="23"/>
  <c r="N103" i="23"/>
  <c r="N111" i="23"/>
  <c r="N123" i="23"/>
  <c r="N131" i="23"/>
  <c r="N147" i="23"/>
  <c r="N163" i="23"/>
  <c r="N173" i="23"/>
  <c r="N98" i="23"/>
  <c r="N128" i="23"/>
  <c r="N99" i="23"/>
  <c r="N121" i="23"/>
  <c r="N153" i="23"/>
  <c r="N5" i="23"/>
  <c r="N13" i="23"/>
  <c r="N21" i="23"/>
  <c r="N31" i="23"/>
  <c r="N39" i="23"/>
  <c r="N47" i="23"/>
  <c r="N57" i="23"/>
  <c r="N65" i="23"/>
  <c r="N73" i="23"/>
  <c r="N92" i="23"/>
  <c r="N104" i="23"/>
  <c r="N112" i="23"/>
  <c r="N124" i="23"/>
  <c r="N132" i="23"/>
  <c r="N136" i="23"/>
  <c r="N148" i="23"/>
  <c r="N174" i="23"/>
  <c r="N108" i="23"/>
  <c r="N120" i="23"/>
  <c r="N129" i="23"/>
  <c r="N145" i="23"/>
  <c r="N95" i="23"/>
  <c r="N105" i="23"/>
  <c r="N113" i="23"/>
  <c r="N125" i="23"/>
  <c r="N137" i="23"/>
  <c r="N149" i="23"/>
  <c r="N165" i="23"/>
  <c r="N175" i="23"/>
  <c r="N168" i="23"/>
  <c r="N7" i="23"/>
  <c r="N15" i="23"/>
  <c r="N23" i="23"/>
  <c r="N33" i="23"/>
  <c r="N41" i="23"/>
  <c r="N49" i="23"/>
  <c r="N59" i="23"/>
  <c r="N67" i="23"/>
  <c r="N75" i="23"/>
  <c r="N118" i="23"/>
  <c r="N109" i="23"/>
  <c r="N8" i="23"/>
  <c r="N16" i="23"/>
  <c r="N24" i="23"/>
  <c r="N34" i="23"/>
  <c r="N42" i="23"/>
  <c r="N50" i="23"/>
  <c r="N60" i="23"/>
  <c r="N68" i="23"/>
  <c r="N76" i="23"/>
  <c r="N85" i="23"/>
  <c r="N97" i="23"/>
  <c r="N107" i="23"/>
  <c r="N117" i="23"/>
  <c r="N127" i="23"/>
  <c r="N141" i="23"/>
  <c r="N167" i="23"/>
  <c r="N115" i="23"/>
  <c r="N151" i="23"/>
  <c r="N155" i="23"/>
  <c r="N159" i="23"/>
  <c r="N177" i="23"/>
  <c r="N142" i="23"/>
  <c r="N152" i="23"/>
  <c r="N156" i="23"/>
  <c r="N160" i="23"/>
  <c r="N164" i="23"/>
  <c r="N178" i="23"/>
  <c r="N80" i="23"/>
  <c r="N143" i="23"/>
  <c r="N157" i="23"/>
  <c r="N161" i="23"/>
  <c r="N179" i="23"/>
  <c r="N6" i="23"/>
  <c r="N10" i="23"/>
  <c r="N14" i="23"/>
  <c r="N18" i="23"/>
  <c r="N22" i="23"/>
  <c r="N26" i="23"/>
  <c r="N32" i="23"/>
  <c r="N36" i="23"/>
  <c r="N40" i="23"/>
  <c r="N44" i="23"/>
  <c r="N48" i="23"/>
  <c r="N52" i="23"/>
  <c r="N54" i="23"/>
  <c r="N58" i="23"/>
  <c r="N62" i="23"/>
  <c r="N66" i="23"/>
  <c r="N70" i="23"/>
  <c r="N74" i="23"/>
  <c r="N89" i="23"/>
  <c r="N96" i="23"/>
  <c r="N102" i="23"/>
  <c r="N106" i="23"/>
  <c r="N110" i="23"/>
  <c r="N114" i="23"/>
  <c r="N122" i="23"/>
  <c r="N126" i="23"/>
  <c r="N130" i="23"/>
  <c r="N138" i="23"/>
  <c r="N140" i="23"/>
  <c r="N146" i="23"/>
  <c r="N154" i="23"/>
  <c r="N158" i="23"/>
  <c r="N162" i="23"/>
  <c r="N172" i="23"/>
  <c r="N176" i="23"/>
  <c r="N134" i="23" l="1"/>
  <c r="N119" i="23"/>
  <c r="N94" i="23"/>
  <c r="N133" i="23"/>
  <c r="N135" i="23"/>
  <c r="N28" i="23"/>
  <c r="N100" i="23"/>
  <c r="N171" i="23"/>
  <c r="N3" i="23"/>
  <c r="N116" i="23"/>
  <c r="N82" i="23"/>
  <c r="N84" i="23"/>
  <c r="N78" i="23"/>
  <c r="N87" i="23"/>
  <c r="N53" i="23"/>
  <c r="N144" i="23"/>
  <c r="N79" i="23"/>
  <c r="N139" i="23"/>
  <c r="O87" i="23" l="1"/>
  <c r="N81" i="23" l="1"/>
  <c r="O81" i="23" s="1"/>
  <c r="N83" i="23"/>
  <c r="O84" i="23" s="1"/>
  <c r="N93" i="23"/>
  <c r="O171" i="23" s="1"/>
  <c r="O133" i="23" l="1"/>
  <c r="O119" i="23"/>
  <c r="O93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A07024F8-47A1-4981-A125-0648ABEF5243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EC682287-B195-49CB-B506-D8DE09C05BAE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D8300791-CAF9-4AF9-8A4F-7F444D200E16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6A800AA4-40B9-4833-8E4E-5319E2F6AF2E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E4BF70C9-126D-463F-8349-904A3A199B38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FC2560C4-73B5-4742-8F4D-81D1B33CA290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388EFC59-E176-4FBD-BA3F-8AB2F1853A05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2BEBC40F-DA6A-409B-834A-23253BF505DF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750D3004-C818-4E3F-86AE-9AD0FA06338A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AB9E6564-CADF-4D9F-BB06-28F84B707CA4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E2012596-C8AC-4F4F-8D1E-C42C32120219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9EDE1629-C9D5-4DA6-A74C-F5ED1949019F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CD8FDA06-9D2E-4391-A3C2-A9E5321C10B1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42D7AD65-727B-4AE7-A764-AABC544CC3A7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5BC56893-4A2A-4DA0-9EB8-4C690E987F33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EA1A9CC0-0D99-4A66-9347-DFAF5A69F174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B4E5C812-8299-4F68-92F7-C45C60D6C8C0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3988D78E-74DC-4032-B349-CD8E29DFC018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AD9E064C-E1DF-4696-AE2F-6A23F1BFB722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F53401C4-8E33-4F99-BC76-A680208FE686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5B96549F-CC0B-4AE3-9527-EDB2632DA9BE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824A17EF-63EB-4F69-96DA-02CC25E76ED4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0F9ADDCF-3DA5-414A-BF47-27EE85A68FFB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4BD181BF-3EFD-47C0-9700-FE9F76FB18A0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947E24EF-4BB0-4625-863C-0DAFCB3D3C73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  <comment ref="A2" authorId="0" shapeId="0" xr:uid="{75D9440E-17D9-42AF-A43D-15D27887D833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sharedStrings.xml><?xml version="1.0" encoding="utf-8"?>
<sst xmlns="http://schemas.openxmlformats.org/spreadsheetml/2006/main" count="3134" uniqueCount="185">
  <si>
    <t>TOTAL</t>
  </si>
  <si>
    <t>Total de Inscritos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</si>
  <si>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</si>
  <si>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</si>
  <si>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</si>
  <si>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</si>
  <si>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</si>
  <si>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</si>
  <si>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</si>
  <si>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</si>
  <si>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</si>
  <si>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</si>
  <si>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</si>
  <si>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</si>
  <si>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</si>
  <si>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</si>
  <si>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</si>
  <si>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</si>
  <si>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</si>
  <si>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</si>
  <si>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</si>
  <si>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</si>
  <si>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</si>
  <si>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</si>
  <si>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</si>
  <si>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</si>
  <si>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Total de atendidos</t>
  </si>
  <si>
    <t>Total de NSP</t>
  </si>
  <si>
    <t>TOTAL PACIENTES INSCRITOS</t>
  </si>
  <si>
    <t>SAR</t>
  </si>
  <si>
    <t>PAR</t>
  </si>
  <si>
    <t>TOTAL NSP</t>
  </si>
  <si>
    <t>NSP PEDIATR. / ADULTOS</t>
  </si>
  <si>
    <t>NSP PEDIATRICOS (&lt;15 AÑOS)</t>
  </si>
  <si>
    <t>NSP ADULTOS</t>
  </si>
  <si>
    <t>NSP CATEGORIZACION</t>
  </si>
  <si>
    <t>SIN CATEGORIZACIÓN nsp</t>
  </si>
  <si>
    <t>C2</t>
  </si>
  <si>
    <t>C3</t>
  </si>
  <si>
    <t>C4</t>
  </si>
  <si>
    <t>C5</t>
  </si>
  <si>
    <t>TOTAL PACIENTES ATENDIDOS</t>
  </si>
  <si>
    <t>Menor 15 años</t>
  </si>
  <si>
    <t>Menor 1 Año</t>
  </si>
  <si>
    <t>1 Año</t>
  </si>
  <si>
    <t xml:space="preserve"> 2 - 4</t>
  </si>
  <si>
    <t>5 - 9</t>
  </si>
  <si>
    <t>10 - 14</t>
  </si>
  <si>
    <t>Mayor de 15 años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</si>
  <si>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</si>
  <si>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</si>
  <si>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</si>
  <si>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</si>
  <si>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</si>
  <si>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</si>
  <si>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</si>
  <si>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</si>
  <si>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</si>
  <si>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</si>
  <si>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</si>
  <si>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</si>
  <si>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</si>
  <si>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</si>
  <si>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CENTRO DE SALUD INSCRITO</t>
  </si>
  <si>
    <t>Violeta Parra</t>
  </si>
  <si>
    <t>Ultraestación</t>
  </si>
  <si>
    <t>Los Volcanes</t>
  </si>
  <si>
    <t>Isabel Riquelme</t>
  </si>
  <si>
    <t>Sol de Oriente</t>
  </si>
  <si>
    <t>San Ramón Nonato</t>
  </si>
  <si>
    <t>Federico Puga</t>
  </si>
  <si>
    <t>Michelle Bachelet</t>
  </si>
  <si>
    <t>Coihueco</t>
  </si>
  <si>
    <t>Pinto</t>
  </si>
  <si>
    <t>Portezuelo</t>
  </si>
  <si>
    <t>Otros</t>
  </si>
  <si>
    <t>Sin Centro de Salud</t>
  </si>
  <si>
    <t>CENTRO DE SALUD ATENDIDO</t>
  </si>
  <si>
    <t>TOTAL ATENDIDOS</t>
  </si>
  <si>
    <t>Traidos por SAMU a SAR</t>
  </si>
  <si>
    <t>MEDIO DE LLEGADA</t>
  </si>
  <si>
    <t>SAMU 1</t>
  </si>
  <si>
    <t>SAMU 2</t>
  </si>
  <si>
    <t>SAMU 3</t>
  </si>
  <si>
    <t>Derivado de SAR  a UEH</t>
  </si>
  <si>
    <t>DESTINO</t>
  </si>
  <si>
    <t>PEDIATRICOS</t>
  </si>
  <si>
    <t>ADULTOS</t>
  </si>
  <si>
    <t>ACTIVID. KINE. RAYEN (DIURNO)</t>
  </si>
  <si>
    <t>ACTIVID. KINE. SAR</t>
  </si>
  <si>
    <t>TOTAL MOTIVO CONSULTA</t>
  </si>
  <si>
    <t>Constatacion de lesiones</t>
  </si>
  <si>
    <t>Accidente de Transito</t>
  </si>
  <si>
    <t>Accidente Otro Tipo</t>
  </si>
  <si>
    <t>ACC. DE TRANSITO Y LABORAL</t>
  </si>
  <si>
    <t>RESPIRATORIO</t>
  </si>
  <si>
    <t>Accidente Bicicleta</t>
  </si>
  <si>
    <t>Accidente trabajo Obrero</t>
  </si>
  <si>
    <t>Accidente Trabajo Funcionario</t>
  </si>
  <si>
    <t>Accidentes en el Hogar</t>
  </si>
  <si>
    <t>Accidentes Escolares</t>
  </si>
  <si>
    <t>Accidente por Agresion</t>
  </si>
  <si>
    <t>Accidente por Asalto</t>
  </si>
  <si>
    <t>Accidente por caida de Animal</t>
  </si>
  <si>
    <t>Alcoholemias</t>
  </si>
  <si>
    <t>Agresor Sexual</t>
  </si>
  <si>
    <t>Autoagresion</t>
  </si>
  <si>
    <t>Derivado al Servicio Medico Legal</t>
  </si>
  <si>
    <t>VIF</t>
  </si>
  <si>
    <t>INTOXICACION POR ALCOHOL</t>
  </si>
  <si>
    <t>Intoxicación por Medicamentos</t>
  </si>
  <si>
    <t>Intoxicación por Alimentos</t>
  </si>
  <si>
    <t>Intoxicación por Quimicos</t>
  </si>
  <si>
    <t>Mordedura de Gato</t>
  </si>
  <si>
    <t>Mordedura de Perro</t>
  </si>
  <si>
    <t>Mordedura de Araña</t>
  </si>
  <si>
    <t>Mordedura de  Raton</t>
  </si>
  <si>
    <t>TOTAL TRIAGE</t>
  </si>
  <si>
    <t>C1</t>
  </si>
  <si>
    <t>SALIDA DE AMBULANCIA</t>
  </si>
  <si>
    <t>SERVICIOS GENERALES</t>
  </si>
  <si>
    <t>HORARIO DIURNO (08:00 - 17:00)</t>
  </si>
  <si>
    <t>HORARIO SAR (17:00 - 07:59)</t>
  </si>
  <si>
    <t xml:space="preserve">OTRAS SALIDAS </t>
  </si>
  <si>
    <t>CESFAM COIHUECO</t>
  </si>
  <si>
    <t>CESFAM DR.FED. PUGA CH. VIEJO</t>
  </si>
  <si>
    <t>CESFAM LOS VOLCANES</t>
  </si>
  <si>
    <t>CESFAM MICHELLE BACHELET JERIA</t>
  </si>
  <si>
    <t>CESFAM QUINCHAMALI</t>
  </si>
  <si>
    <t>CESFAM SAN GREGORIO</t>
  </si>
  <si>
    <t>CESFAM SAN RAMON NONATO</t>
  </si>
  <si>
    <t>CESFAM SANTA CLARA BULNES</t>
  </si>
  <si>
    <t>CESFAM SOL DE ORIENTE</t>
  </si>
  <si>
    <t>CESFAM TERESA BALDECCHI</t>
  </si>
  <si>
    <t>CESFAM ULTRAESTACION</t>
  </si>
  <si>
    <t>CESFAM VIOLETA PARRA</t>
  </si>
  <si>
    <t>CONS. NO DEFINIDO</t>
  </si>
  <si>
    <t>CONS. RURAL PINTO</t>
  </si>
  <si>
    <t>CONS. RURAL PORTEZUELO</t>
  </si>
  <si>
    <t>CONS. RURAL QUILLON</t>
  </si>
  <si>
    <t>CONS. RURAL SAN FABIAN</t>
  </si>
  <si>
    <t>CONS. RURAL SAN IGNACIO</t>
  </si>
  <si>
    <t>CONS. RURAL SAN NICOLAS</t>
  </si>
  <si>
    <t>CONS. RURAL TREHUACO</t>
  </si>
  <si>
    <t>CONS. SAN RAFAEL (LA PINTANA)</t>
  </si>
  <si>
    <t>CONSULTORIO CAMPANARIO</t>
  </si>
  <si>
    <t>CONSULTORIO DE NIPAS</t>
  </si>
  <si>
    <t>CONSULTORIO DURAN TRUJILLO</t>
  </si>
  <si>
    <t>CONSULTORIO PEMUCO</t>
  </si>
  <si>
    <t>CONSULTORIO RURAL PUEBLO SECO</t>
  </si>
  <si>
    <t>CONSULTORIO RURAL QUIRIQUINA</t>
  </si>
  <si>
    <t>DESAMU COELEMU</t>
  </si>
  <si>
    <t>DESAMU EL CARMEN</t>
  </si>
  <si>
    <t>HOSPITAL COMUNITARIO BULNES</t>
  </si>
  <si>
    <t>HOSPITAL COMUNITARIO COELEMU</t>
  </si>
  <si>
    <t>HOSPITAL COMUNITARIO DE YUNGAY</t>
  </si>
  <si>
    <t>HOSPITAL COMUNITARIO EL CARMEN</t>
  </si>
  <si>
    <t>HOSPITAL COMUNITARIO QUIRIHUE</t>
  </si>
  <si>
    <t>HOSPITAL SAN CARLOS</t>
  </si>
  <si>
    <t>ISABEL RIQUELME</t>
  </si>
  <si>
    <t>SI CONSULTORIO</t>
  </si>
  <si>
    <t>SIN CONSULTORIO ASOCIADO</t>
  </si>
  <si>
    <t>UAPO COELEMU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</si>
  <si>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</si>
  <si>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</si>
  <si>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</si>
  <si>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</si>
  <si>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</si>
  <si>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</si>
  <si>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</si>
  <si>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</si>
  <si>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</si>
  <si>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</si>
  <si>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</si>
  <si>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</si>
  <si>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CONSOLIDADO 2024</t>
  </si>
  <si>
    <t>2025 - ENERO</t>
  </si>
  <si>
    <t>2025 - MES</t>
  </si>
  <si>
    <t>Archivo: "Traslados Ambulancia 2025"</t>
  </si>
  <si>
    <t>2025 - FEBRERO</t>
  </si>
  <si>
    <t>2025 - JUNIO</t>
  </si>
  <si>
    <t>2025 - SEPTIEMBRE</t>
  </si>
  <si>
    <t>2025 - OCTUBRE</t>
  </si>
  <si>
    <t>2025 - NOVIEMBRE</t>
  </si>
  <si>
    <t>2025 - 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</si>
</sst>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</font>
    <font>
      <sz val="11"/>
      <name val="Calibri"/>
      <family val="2"/>
    </font>
    <font>
      <sz val="22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</font>
    <font>
      <sz val="11"/>
      <color theme="1"/>
      <name val="Calibri"/>
      <family val="2"/>
    </font>
    <font>
      <sz val="14"/>
      <color rgb="FF000000"/>
      <name val="Calibri"/>
      <family val="2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</font>
    <font>
      <b/>
      <sz val="14"/>
      <color indexed="81"/>
      <name val="Tahoma"/>
      <family val="2"/>
    </font>
    <font>
      <b/>
      <sz val="9"/>
      <color indexed="81"/>
      <name val="Tahoma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E598"/>
        <bgColor rgb="FFFFE598"/>
      </patternFill>
    </fill>
    <fill>
      <patternFill patternType="solid">
        <fgColor theme="0"/>
        <bgColor theme="0"/>
      </patternFill>
    </fill>
    <fill>
      <patternFill patternType="solid">
        <fgColor rgb="FF00B0F0"/>
        <bgColor rgb="FF00B0F0"/>
      </patternFill>
    </fill>
    <fill>
      <patternFill patternType="solid">
        <fgColor rgb="FF9CC2E5"/>
        <bgColor rgb="FF9CC2E5"/>
      </patternFill>
    </fill>
    <fill>
      <patternFill patternType="solid">
        <fgColor rgb="FF2E75B5"/>
        <bgColor rgb="FF2E75B5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8496B0"/>
        <bgColor rgb="FF8496B0"/>
      </patternFill>
    </fill>
    <fill>
      <patternFill patternType="solid">
        <fgColor rgb="FFF4B083"/>
        <bgColor rgb="FFF4B083"/>
      </patternFill>
    </fill>
    <fill>
      <patternFill patternType="solid">
        <fgColor rgb="FFC5E0B3"/>
        <bgColor rgb="FFC5E0B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1" fillId="0" borderId="28" applyNumberFormat="0" applyFill="0" applyAlignment="0" applyProtection="0"/>
    <xf numFmtId="0" fontId="12" fillId="0" borderId="29" applyNumberFormat="0" applyFill="0" applyAlignment="0" applyProtection="0"/>
    <xf numFmtId="0" fontId="13" fillId="0" borderId="30" applyNumberFormat="0" applyFill="0" applyAlignment="0" applyProtection="0"/>
    <xf numFmtId="0" fontId="16" fillId="19" borderId="31" applyNumberFormat="0" applyAlignment="0" applyProtection="0"/>
    <xf numFmtId="0" fontId="17" fillId="20" borderId="32" applyNumberFormat="0" applyAlignment="0" applyProtection="0"/>
    <xf numFmtId="0" fontId="18" fillId="20" borderId="31" applyNumberFormat="0" applyAlignment="0" applyProtection="0"/>
    <xf numFmtId="0" fontId="19" fillId="0" borderId="33" applyNumberFormat="0" applyFill="0" applyAlignment="0" applyProtection="0"/>
    <xf numFmtId="0" fontId="20" fillId="21" borderId="34" applyNumberFormat="0" applyAlignment="0" applyProtection="0"/>
    <xf numFmtId="0" fontId="23" fillId="0" borderId="36" applyNumberFormat="0" applyFill="0" applyAlignment="0" applyProtection="0"/>
    <xf numFmtId="0" fontId="1" fillId="0" borderId="19"/>
    <xf numFmtId="0" fontId="10" fillId="0" borderId="19" applyNumberFormat="0" applyFill="0" applyBorder="0" applyAlignment="0" applyProtection="0"/>
    <xf numFmtId="0" fontId="13" fillId="0" borderId="19" applyNumberFormat="0" applyFill="0" applyBorder="0" applyAlignment="0" applyProtection="0"/>
    <xf numFmtId="0" fontId="14" fillId="16" borderId="19" applyNumberFormat="0" applyBorder="0" applyAlignment="0" applyProtection="0"/>
    <xf numFmtId="0" fontId="15" fillId="17" borderId="19" applyNumberFormat="0" applyBorder="0" applyAlignment="0" applyProtection="0"/>
    <xf numFmtId="0" fontId="25" fillId="18" borderId="19" applyNumberFormat="0" applyBorder="0" applyAlignment="0" applyProtection="0"/>
    <xf numFmtId="0" fontId="21" fillId="0" borderId="19" applyNumberFormat="0" applyFill="0" applyBorder="0" applyAlignment="0" applyProtection="0"/>
    <xf numFmtId="0" fontId="1" fillId="22" borderId="35" applyNumberFormat="0" applyFont="0" applyAlignment="0" applyProtection="0"/>
    <xf numFmtId="0" fontId="22" fillId="0" borderId="19" applyNumberFormat="0" applyFill="0" applyBorder="0" applyAlignment="0" applyProtection="0"/>
    <xf numFmtId="0" fontId="24" fillId="23" borderId="19" applyNumberFormat="0" applyBorder="0" applyAlignment="0" applyProtection="0"/>
    <xf numFmtId="0" fontId="1" fillId="24" borderId="19" applyNumberFormat="0" applyBorder="0" applyAlignment="0" applyProtection="0"/>
    <xf numFmtId="0" fontId="1" fillId="25" borderId="19" applyNumberFormat="0" applyBorder="0" applyAlignment="0" applyProtection="0"/>
    <xf numFmtId="0" fontId="1" fillId="26" borderId="19" applyNumberFormat="0" applyBorder="0" applyAlignment="0" applyProtection="0"/>
    <xf numFmtId="0" fontId="24" fillId="27" borderId="19" applyNumberFormat="0" applyBorder="0" applyAlignment="0" applyProtection="0"/>
    <xf numFmtId="0" fontId="1" fillId="28" borderId="19" applyNumberFormat="0" applyBorder="0" applyAlignment="0" applyProtection="0"/>
    <xf numFmtId="0" fontId="1" fillId="29" borderId="19" applyNumberFormat="0" applyBorder="0" applyAlignment="0" applyProtection="0"/>
    <xf numFmtId="0" fontId="1" fillId="30" borderId="19" applyNumberFormat="0" applyBorder="0" applyAlignment="0" applyProtection="0"/>
    <xf numFmtId="0" fontId="24" fillId="31" borderId="19" applyNumberFormat="0" applyBorder="0" applyAlignment="0" applyProtection="0"/>
    <xf numFmtId="0" fontId="1" fillId="32" borderId="19" applyNumberFormat="0" applyBorder="0" applyAlignment="0" applyProtection="0"/>
    <xf numFmtId="0" fontId="1" fillId="33" borderId="19" applyNumberFormat="0" applyBorder="0" applyAlignment="0" applyProtection="0"/>
    <xf numFmtId="0" fontId="1" fillId="34" borderId="19" applyNumberFormat="0" applyBorder="0" applyAlignment="0" applyProtection="0"/>
    <xf numFmtId="0" fontId="24" fillId="35" borderId="19" applyNumberFormat="0" applyBorder="0" applyAlignment="0" applyProtection="0"/>
    <xf numFmtId="0" fontId="1" fillId="36" borderId="19" applyNumberFormat="0" applyBorder="0" applyAlignment="0" applyProtection="0"/>
    <xf numFmtId="0" fontId="1" fillId="37" borderId="19" applyNumberFormat="0" applyBorder="0" applyAlignment="0" applyProtection="0"/>
    <xf numFmtId="0" fontId="1" fillId="38" borderId="19" applyNumberFormat="0" applyBorder="0" applyAlignment="0" applyProtection="0"/>
    <xf numFmtId="0" fontId="24" fillId="39" borderId="19" applyNumberFormat="0" applyBorder="0" applyAlignment="0" applyProtection="0"/>
    <xf numFmtId="0" fontId="1" fillId="40" borderId="19" applyNumberFormat="0" applyBorder="0" applyAlignment="0" applyProtection="0"/>
    <xf numFmtId="0" fontId="1" fillId="41" borderId="19" applyNumberFormat="0" applyBorder="0" applyAlignment="0" applyProtection="0"/>
    <xf numFmtId="0" fontId="1" fillId="42" borderId="19" applyNumberFormat="0" applyBorder="0" applyAlignment="0" applyProtection="0"/>
    <xf numFmtId="0" fontId="24" fillId="43" borderId="19" applyNumberFormat="0" applyBorder="0" applyAlignment="0" applyProtection="0"/>
    <xf numFmtId="0" fontId="1" fillId="44" borderId="19" applyNumberFormat="0" applyBorder="0" applyAlignment="0" applyProtection="0"/>
    <xf numFmtId="0" fontId="1" fillId="45" borderId="19" applyNumberFormat="0" applyBorder="0" applyAlignment="0" applyProtection="0"/>
    <xf numFmtId="0" fontId="1" fillId="46" borderId="19" applyNumberFormat="0" applyBorder="0" applyAlignment="0" applyProtection="0"/>
  </cellStyleXfs>
  <cellXfs count="146">
    <xf numFmtId="0" fontId="0" fillId="0" borderId="0" xfId="0"/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7" borderId="6" xfId="0" applyFont="1" applyFill="1" applyBorder="1" applyAlignment="1">
      <alignment horizontal="center" vertical="center" wrapText="1"/>
    </xf>
    <xf numFmtId="0" fontId="7" fillId="4" borderId="19" xfId="0" applyFont="1" applyFill="1" applyBorder="1" applyAlignment="1">
      <alignment horizontal="center" vertical="center" wrapText="1"/>
    </xf>
    <xf numFmtId="0" fontId="7" fillId="9" borderId="6" xfId="0" applyFont="1" applyFill="1" applyBorder="1" applyAlignment="1">
      <alignment horizontal="center" vertical="center" wrapText="1"/>
    </xf>
    <xf numFmtId="0" fontId="7" fillId="9" borderId="5" xfId="0" applyFont="1" applyFill="1" applyBorder="1" applyAlignment="1">
      <alignment horizontal="center" vertical="center" wrapText="1"/>
    </xf>
    <xf numFmtId="0" fontId="7" fillId="9" borderId="7" xfId="0" applyFont="1" applyFill="1" applyBorder="1" applyAlignment="1">
      <alignment horizontal="center" vertical="center" wrapText="1"/>
    </xf>
    <xf numFmtId="0" fontId="7" fillId="9" borderId="15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10" xfId="0" applyFont="1" applyFill="1" applyBorder="1" applyAlignment="1">
      <alignment horizontal="center" vertical="center" wrapText="1"/>
    </xf>
    <xf numFmtId="0" fontId="7" fillId="2" borderId="2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 wrapText="1"/>
    </xf>
    <xf numFmtId="0" fontId="7" fillId="11" borderId="13" xfId="0" applyFont="1" applyFill="1" applyBorder="1" applyAlignment="1">
      <alignment horizontal="center" vertical="center" wrapText="1"/>
    </xf>
    <xf numFmtId="0" fontId="6" fillId="0" borderId="0" xfId="0" applyFont="1"/>
    <xf numFmtId="0" fontId="7" fillId="4" borderId="7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13" borderId="13" xfId="0" applyFont="1" applyFill="1" applyBorder="1" applyAlignment="1">
      <alignment horizontal="center" vertical="center" wrapText="1"/>
    </xf>
    <xf numFmtId="0" fontId="7" fillId="11" borderId="9" xfId="0" applyFont="1" applyFill="1" applyBorder="1" applyAlignment="1">
      <alignment horizontal="center" vertical="center" wrapText="1"/>
    </xf>
    <xf numFmtId="0" fontId="7" fillId="12" borderId="9" xfId="0" applyFont="1" applyFill="1" applyBorder="1" applyAlignment="1">
      <alignment horizontal="center" vertical="center" wrapText="1"/>
    </xf>
    <xf numFmtId="0" fontId="7" fillId="14" borderId="6" xfId="0" applyFont="1" applyFill="1" applyBorder="1" applyAlignment="1">
      <alignment horizontal="center" vertical="center" wrapText="1"/>
    </xf>
    <xf numFmtId="0" fontId="7" fillId="14" borderId="5" xfId="0" applyFont="1" applyFill="1" applyBorder="1" applyAlignment="1">
      <alignment horizontal="center" vertical="center" wrapText="1"/>
    </xf>
    <xf numFmtId="0" fontId="7" fillId="14" borderId="7" xfId="0" applyFont="1" applyFill="1" applyBorder="1" applyAlignment="1">
      <alignment horizontal="center" vertical="center" wrapText="1"/>
    </xf>
    <xf numFmtId="0" fontId="7" fillId="14" borderId="9" xfId="0" applyFont="1" applyFill="1" applyBorder="1" applyAlignment="1">
      <alignment horizontal="center" vertical="center" wrapText="1"/>
    </xf>
    <xf numFmtId="0" fontId="7" fillId="14" borderId="11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5" fillId="4" borderId="22" xfId="0" applyFont="1" applyFill="1" applyBorder="1" applyAlignment="1" applyProtection="1">
      <alignment horizontal="center" vertical="center" wrapText="1"/>
      <protection locked="0"/>
    </xf>
    <xf numFmtId="0" fontId="5" fillId="3" borderId="4" xfId="0" applyFont="1" applyFill="1" applyBorder="1" applyAlignment="1" applyProtection="1">
      <alignment horizontal="center" vertical="center" wrapText="1"/>
      <protection locked="0"/>
    </xf>
    <xf numFmtId="0" fontId="6" fillId="5" borderId="5" xfId="0" applyFont="1" applyFill="1" applyBorder="1" applyAlignment="1" applyProtection="1">
      <alignment vertical="center"/>
      <protection locked="0"/>
    </xf>
    <xf numFmtId="0" fontId="6" fillId="6" borderId="7" xfId="0" applyFont="1" applyFill="1" applyBorder="1" applyAlignment="1" applyProtection="1">
      <alignment horizontal="left" vertical="center"/>
      <protection locked="0"/>
    </xf>
    <xf numFmtId="0" fontId="7" fillId="6" borderId="10" xfId="0" applyFont="1" applyFill="1" applyBorder="1" applyAlignment="1" applyProtection="1">
      <alignment horizontal="center" vertical="center" wrapText="1"/>
      <protection locked="0"/>
    </xf>
    <xf numFmtId="0" fontId="7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9" xfId="0" applyFont="1" applyFill="1" applyBorder="1" applyAlignment="1" applyProtection="1">
      <alignment horizontal="left" vertical="center"/>
      <protection locked="0"/>
    </xf>
    <xf numFmtId="0" fontId="6" fillId="6" borderId="11" xfId="0" applyFont="1" applyFill="1" applyBorder="1" applyAlignment="1" applyProtection="1">
      <alignment horizontal="left" vertical="center"/>
      <protection locked="0"/>
    </xf>
    <xf numFmtId="0" fontId="7" fillId="6" borderId="12" xfId="0" applyFont="1" applyFill="1" applyBorder="1" applyAlignment="1" applyProtection="1">
      <alignment horizontal="center" vertical="center" wrapText="1"/>
      <protection locked="0"/>
    </xf>
    <xf numFmtId="0" fontId="6" fillId="5" borderId="13" xfId="0" applyFont="1" applyFill="1" applyBorder="1" applyAlignment="1" applyProtection="1">
      <alignment vertical="center"/>
      <protection locked="0"/>
    </xf>
    <xf numFmtId="0" fontId="7" fillId="6" borderId="16" xfId="0" applyFont="1" applyFill="1" applyBorder="1" applyAlignment="1" applyProtection="1">
      <alignment horizontal="center" vertical="center" wrapText="1"/>
      <protection locked="0"/>
    </xf>
    <xf numFmtId="0" fontId="6" fillId="6" borderId="15" xfId="0" applyFont="1" applyFill="1" applyBorder="1" applyAlignment="1" applyProtection="1">
      <alignment horizontal="left" vertical="center"/>
      <protection locked="0"/>
    </xf>
    <xf numFmtId="0" fontId="7" fillId="6" borderId="18" xfId="0" applyFont="1" applyFill="1" applyBorder="1" applyAlignment="1" applyProtection="1">
      <alignment horizontal="center" vertical="center" wrapText="1"/>
      <protection locked="0"/>
    </xf>
    <xf numFmtId="0" fontId="6" fillId="7" borderId="5" xfId="0" applyFont="1" applyFill="1" applyBorder="1" applyAlignment="1" applyProtection="1">
      <alignment vertical="center"/>
      <protection locked="0"/>
    </xf>
    <xf numFmtId="0" fontId="6" fillId="6" borderId="7" xfId="0" applyFont="1" applyFill="1" applyBorder="1" applyAlignment="1" applyProtection="1">
      <alignment vertical="center"/>
      <protection locked="0"/>
    </xf>
    <xf numFmtId="0" fontId="6" fillId="6" borderId="15" xfId="0" applyFont="1" applyFill="1" applyBorder="1" applyAlignment="1" applyProtection="1">
      <alignment vertical="center"/>
      <protection locked="0"/>
    </xf>
    <xf numFmtId="0" fontId="7" fillId="2" borderId="16" xfId="0" applyFont="1" applyFill="1" applyBorder="1" applyAlignment="1" applyProtection="1">
      <alignment horizontal="center" vertical="center" wrapText="1"/>
      <protection locked="0"/>
    </xf>
    <xf numFmtId="0" fontId="6" fillId="9" borderId="5" xfId="0" applyFont="1" applyFill="1" applyBorder="1" applyAlignment="1" applyProtection="1">
      <alignment vertical="center"/>
      <protection locked="0"/>
    </xf>
    <xf numFmtId="0" fontId="6" fillId="9" borderId="17" xfId="0" applyFont="1" applyFill="1" applyBorder="1" applyAlignment="1" applyProtection="1">
      <alignment vertical="center"/>
      <protection locked="0"/>
    </xf>
    <xf numFmtId="0" fontId="7" fillId="9" borderId="8" xfId="0" applyFont="1" applyFill="1" applyBorder="1" applyAlignment="1" applyProtection="1">
      <alignment horizontal="center" vertical="center" wrapText="1"/>
      <protection locked="0"/>
    </xf>
    <xf numFmtId="0" fontId="6" fillId="9" borderId="15" xfId="0" applyFont="1" applyFill="1" applyBorder="1" applyAlignment="1" applyProtection="1">
      <alignment vertical="center"/>
      <protection locked="0"/>
    </xf>
    <xf numFmtId="0" fontId="7" fillId="9" borderId="16" xfId="0" applyFont="1" applyFill="1" applyBorder="1" applyAlignment="1" applyProtection="1">
      <alignment horizontal="center" vertical="center" wrapText="1"/>
      <protection locked="0"/>
    </xf>
    <xf numFmtId="0" fontId="6" fillId="10" borderId="5" xfId="0" applyFont="1" applyFill="1" applyBorder="1" applyAlignment="1" applyProtection="1">
      <alignment vertical="center"/>
      <protection locked="0"/>
    </xf>
    <xf numFmtId="0" fontId="6" fillId="10" borderId="17" xfId="0" applyFont="1" applyFill="1" applyBorder="1" applyAlignment="1" applyProtection="1">
      <alignment vertical="center"/>
      <protection locked="0"/>
    </xf>
    <xf numFmtId="0" fontId="6" fillId="10" borderId="15" xfId="0" applyFont="1" applyFill="1" applyBorder="1" applyAlignment="1" applyProtection="1">
      <alignment vertical="center"/>
      <protection locked="0"/>
    </xf>
    <xf numFmtId="0" fontId="6" fillId="7" borderId="13" xfId="0" applyFont="1" applyFill="1" applyBorder="1" applyAlignment="1" applyProtection="1">
      <alignment vertical="center"/>
      <protection locked="0"/>
    </xf>
    <xf numFmtId="0" fontId="6" fillId="7" borderId="9" xfId="0" applyFont="1" applyFill="1" applyBorder="1" applyAlignment="1" applyProtection="1">
      <alignment vertical="center"/>
      <protection locked="0"/>
    </xf>
    <xf numFmtId="0" fontId="7" fillId="7" borderId="10" xfId="0" applyFont="1" applyFill="1" applyBorder="1" applyAlignment="1" applyProtection="1">
      <alignment horizontal="center" vertical="center" wrapText="1"/>
      <protection locked="0"/>
    </xf>
    <xf numFmtId="0" fontId="6" fillId="6" borderId="9" xfId="0" applyFont="1" applyFill="1" applyBorder="1" applyAlignment="1" applyProtection="1">
      <alignment horizontal="center" vertical="center"/>
      <protection locked="0"/>
    </xf>
    <xf numFmtId="2" fontId="6" fillId="6" borderId="9" xfId="0" applyNumberFormat="1" applyFont="1" applyFill="1" applyBorder="1" applyAlignment="1" applyProtection="1">
      <alignment horizontal="center" vertical="center"/>
      <protection locked="0"/>
    </xf>
    <xf numFmtId="16" fontId="6" fillId="6" borderId="9" xfId="0" applyNumberFormat="1" applyFont="1" applyFill="1" applyBorder="1" applyAlignment="1" applyProtection="1">
      <alignment horizontal="center" vertical="center"/>
      <protection locked="0"/>
    </xf>
    <xf numFmtId="49" fontId="6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9" xfId="0" applyFont="1" applyFill="1" applyBorder="1" applyAlignment="1" applyProtection="1">
      <alignment horizontal="center" vertical="center" wrapText="1"/>
      <protection locked="0"/>
    </xf>
    <xf numFmtId="0" fontId="6" fillId="2" borderId="15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6" fillId="6" borderId="9" xfId="0" applyFont="1" applyFill="1" applyBorder="1" applyAlignment="1" applyProtection="1">
      <alignment vertical="center"/>
      <protection locked="0"/>
    </xf>
    <xf numFmtId="0" fontId="6" fillId="2" borderId="11" xfId="0" applyFont="1" applyFill="1" applyBorder="1" applyAlignment="1" applyProtection="1">
      <alignment vertical="center"/>
      <protection locked="0"/>
    </xf>
    <xf numFmtId="0" fontId="7" fillId="2" borderId="12" xfId="0" applyFont="1" applyFill="1" applyBorder="1" applyAlignment="1" applyProtection="1">
      <alignment horizontal="center" vertical="center" wrapText="1"/>
      <protection locked="0"/>
    </xf>
    <xf numFmtId="0" fontId="0" fillId="47" borderId="0" xfId="0" applyFill="1" applyAlignment="1" applyProtection="1">
      <alignment horizontal="left"/>
      <protection locked="0"/>
    </xf>
    <xf numFmtId="0" fontId="6" fillId="2" borderId="20" xfId="0" applyFont="1" applyFill="1" applyBorder="1" applyAlignment="1" applyProtection="1">
      <alignment vertical="center"/>
      <protection locked="0"/>
    </xf>
    <xf numFmtId="0" fontId="6" fillId="4" borderId="7" xfId="0" applyFont="1" applyFill="1" applyBorder="1" applyAlignment="1" applyProtection="1">
      <alignment vertical="center"/>
      <protection locked="0"/>
    </xf>
    <xf numFmtId="0" fontId="7" fillId="4" borderId="8" xfId="0" applyFont="1" applyFill="1" applyBorder="1" applyAlignment="1" applyProtection="1">
      <alignment horizontal="center" vertical="center" wrapText="1"/>
      <protection locked="0"/>
    </xf>
    <xf numFmtId="0" fontId="6" fillId="4" borderId="9" xfId="0" applyFont="1" applyFill="1" applyBorder="1" applyAlignment="1" applyProtection="1">
      <alignment vertical="center"/>
      <protection locked="0"/>
    </xf>
    <xf numFmtId="0" fontId="7" fillId="4" borderId="10" xfId="0" applyFont="1" applyFill="1" applyBorder="1" applyAlignment="1" applyProtection="1">
      <alignment horizontal="center" vertical="center" wrapText="1"/>
      <protection locked="0"/>
    </xf>
    <xf numFmtId="0" fontId="6" fillId="4" borderId="15" xfId="0" applyFont="1" applyFill="1" applyBorder="1" applyAlignment="1" applyProtection="1">
      <alignment vertical="center"/>
      <protection locked="0"/>
    </xf>
    <xf numFmtId="0" fontId="7" fillId="4" borderId="16" xfId="0" applyFont="1" applyFill="1" applyBorder="1" applyAlignment="1" applyProtection="1">
      <alignment horizontal="center" vertical="center" wrapText="1"/>
      <protection locked="0"/>
    </xf>
    <xf numFmtId="0" fontId="6" fillId="10" borderId="13" xfId="0" applyFont="1" applyFill="1" applyBorder="1" applyAlignment="1" applyProtection="1">
      <alignment vertical="center"/>
      <protection locked="0"/>
    </xf>
    <xf numFmtId="0" fontId="7" fillId="4" borderId="14" xfId="0" applyFont="1" applyFill="1" applyBorder="1" applyAlignment="1" applyProtection="1">
      <alignment horizontal="center" vertical="center" wrapText="1"/>
      <protection locked="0"/>
    </xf>
    <xf numFmtId="0" fontId="7" fillId="4" borderId="18" xfId="0" applyFont="1" applyFill="1" applyBorder="1" applyAlignment="1" applyProtection="1">
      <alignment horizontal="center" vertical="center" wrapText="1"/>
      <protection locked="0"/>
    </xf>
    <xf numFmtId="0" fontId="6" fillId="12" borderId="13" xfId="0" applyFont="1" applyFill="1" applyBorder="1" applyAlignment="1" applyProtection="1">
      <alignment vertical="center"/>
      <protection locked="0"/>
    </xf>
    <xf numFmtId="0" fontId="7" fillId="12" borderId="14" xfId="0" applyFont="1" applyFill="1" applyBorder="1" applyAlignment="1" applyProtection="1">
      <alignment horizontal="center" vertical="center" wrapText="1"/>
      <protection locked="0"/>
    </xf>
    <xf numFmtId="0" fontId="6" fillId="12" borderId="11" xfId="0" applyFont="1" applyFill="1" applyBorder="1" applyAlignment="1" applyProtection="1">
      <alignment vertical="center"/>
      <protection locked="0"/>
    </xf>
    <xf numFmtId="0" fontId="7" fillId="12" borderId="12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6" fillId="13" borderId="7" xfId="0" applyFont="1" applyFill="1" applyBorder="1" applyAlignment="1" applyProtection="1">
      <alignment vertical="center"/>
      <protection locked="0"/>
    </xf>
    <xf numFmtId="0" fontId="7" fillId="13" borderId="8" xfId="0" applyFont="1" applyFill="1" applyBorder="1" applyAlignment="1" applyProtection="1">
      <alignment horizontal="center" vertical="center" wrapText="1"/>
      <protection locked="0"/>
    </xf>
    <xf numFmtId="0" fontId="6" fillId="7" borderId="7" xfId="0" applyFont="1" applyFill="1" applyBorder="1" applyAlignment="1" applyProtection="1">
      <alignment vertical="center"/>
      <protection locked="0"/>
    </xf>
    <xf numFmtId="0" fontId="6" fillId="11" borderId="7" xfId="0" applyFont="1" applyFill="1" applyBorder="1" applyAlignment="1" applyProtection="1">
      <alignment vertical="center"/>
      <protection locked="0"/>
    </xf>
    <xf numFmtId="0" fontId="7" fillId="11" borderId="10" xfId="0" applyFont="1" applyFill="1" applyBorder="1" applyAlignment="1" applyProtection="1">
      <alignment horizontal="center" vertical="center" wrapText="1"/>
      <protection locked="0"/>
    </xf>
    <xf numFmtId="0" fontId="0" fillId="47" borderId="0" xfId="0" applyFill="1" applyProtection="1">
      <protection locked="0"/>
    </xf>
    <xf numFmtId="0" fontId="6" fillId="12" borderId="9" xfId="0" applyFont="1" applyFill="1" applyBorder="1" applyAlignment="1" applyProtection="1">
      <alignment vertical="center"/>
      <protection locked="0"/>
    </xf>
    <xf numFmtId="0" fontId="7" fillId="12" borderId="10" xfId="0" applyFont="1" applyFill="1" applyBorder="1" applyAlignment="1" applyProtection="1">
      <alignment horizontal="center" vertical="center" wrapText="1"/>
      <protection locked="0"/>
    </xf>
    <xf numFmtId="0" fontId="6" fillId="7" borderId="15" xfId="0" applyFont="1" applyFill="1" applyBorder="1" applyAlignment="1" applyProtection="1">
      <alignment vertical="center"/>
      <protection locked="0"/>
    </xf>
    <xf numFmtId="0" fontId="7" fillId="7" borderId="16" xfId="0" applyFont="1" applyFill="1" applyBorder="1" applyAlignment="1" applyProtection="1">
      <alignment horizontal="center" vertical="center" wrapText="1"/>
      <protection locked="0"/>
    </xf>
    <xf numFmtId="0" fontId="6" fillId="7" borderId="17" xfId="0" applyFont="1" applyFill="1" applyBorder="1" applyAlignment="1" applyProtection="1">
      <alignment vertical="center"/>
      <protection locked="0"/>
    </xf>
    <xf numFmtId="0" fontId="6" fillId="7" borderId="11" xfId="0" applyFont="1" applyFill="1" applyBorder="1" applyAlignment="1" applyProtection="1">
      <alignment vertical="center"/>
      <protection locked="0"/>
    </xf>
    <xf numFmtId="0" fontId="6" fillId="14" borderId="5" xfId="0" applyFont="1" applyFill="1" applyBorder="1" applyAlignment="1" applyProtection="1">
      <alignment vertical="center"/>
      <protection locked="0"/>
    </xf>
    <xf numFmtId="0" fontId="6" fillId="14" borderId="7" xfId="0" applyFont="1" applyFill="1" applyBorder="1" applyAlignment="1" applyProtection="1">
      <alignment vertical="center"/>
      <protection locked="0"/>
    </xf>
    <xf numFmtId="0" fontId="7" fillId="14" borderId="8" xfId="0" applyFont="1" applyFill="1" applyBorder="1" applyAlignment="1" applyProtection="1">
      <alignment horizontal="center" vertical="center" wrapText="1"/>
      <protection locked="0"/>
    </xf>
    <xf numFmtId="0" fontId="6" fillId="14" borderId="9" xfId="0" applyFont="1" applyFill="1" applyBorder="1" applyAlignment="1" applyProtection="1">
      <alignment vertical="center"/>
      <protection locked="0"/>
    </xf>
    <xf numFmtId="0" fontId="7" fillId="14" borderId="10" xfId="0" applyFont="1" applyFill="1" applyBorder="1" applyAlignment="1" applyProtection="1">
      <alignment horizontal="center" vertical="center" wrapText="1"/>
      <protection locked="0"/>
    </xf>
    <xf numFmtId="0" fontId="6" fillId="14" borderId="11" xfId="0" applyFont="1" applyFill="1" applyBorder="1" applyAlignment="1" applyProtection="1">
      <alignment vertical="center"/>
      <protection locked="0"/>
    </xf>
    <xf numFmtId="0" fontId="7" fillId="14" borderId="12" xfId="0" applyFont="1" applyFill="1" applyBorder="1" applyAlignment="1" applyProtection="1">
      <alignment horizontal="center" vertical="center" wrapText="1"/>
      <protection locked="0"/>
    </xf>
    <xf numFmtId="0" fontId="6" fillId="11" borderId="13" xfId="0" applyFont="1" applyFill="1" applyBorder="1" applyAlignment="1" applyProtection="1">
      <alignment horizontal="left" vertical="center"/>
      <protection locked="0"/>
    </xf>
    <xf numFmtId="0" fontId="7" fillId="11" borderId="22" xfId="0" applyFont="1" applyFill="1" applyBorder="1" applyAlignment="1" applyProtection="1">
      <alignment horizontal="center" vertical="center" wrapText="1"/>
      <protection locked="0"/>
    </xf>
    <xf numFmtId="0" fontId="6" fillId="15" borderId="9" xfId="0" applyFont="1" applyFill="1" applyBorder="1" applyAlignment="1" applyProtection="1">
      <alignment horizontal="left" vertical="center"/>
      <protection locked="0"/>
    </xf>
    <xf numFmtId="0" fontId="9" fillId="15" borderId="10" xfId="0" applyFont="1" applyFill="1" applyBorder="1" applyAlignment="1" applyProtection="1">
      <alignment horizontal="center" vertical="center" wrapText="1"/>
      <protection locked="0"/>
    </xf>
    <xf numFmtId="0" fontId="9" fillId="15" borderId="24" xfId="0" applyFont="1" applyFill="1" applyBorder="1" applyAlignment="1" applyProtection="1">
      <alignment horizontal="center" vertical="center" wrapText="1"/>
      <protection locked="0"/>
    </xf>
    <xf numFmtId="0" fontId="6" fillId="15" borderId="11" xfId="0" applyFont="1" applyFill="1" applyBorder="1" applyAlignment="1" applyProtection="1">
      <alignment horizontal="left" vertical="center"/>
      <protection locked="0"/>
    </xf>
    <xf numFmtId="0" fontId="9" fillId="15" borderId="12" xfId="0" applyFont="1" applyFill="1" applyBorder="1" applyAlignment="1" applyProtection="1">
      <alignment horizontal="center" vertical="center" wrapText="1"/>
      <protection locked="0"/>
    </xf>
    <xf numFmtId="0" fontId="7" fillId="15" borderId="21" xfId="0" applyFont="1" applyFill="1" applyBorder="1" applyAlignment="1" applyProtection="1">
      <alignment horizontal="center" vertical="center" wrapText="1"/>
      <protection locked="0"/>
    </xf>
    <xf numFmtId="0" fontId="7" fillId="15" borderId="27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Protection="1">
      <protection locked="0"/>
    </xf>
    <xf numFmtId="0" fontId="23" fillId="0" borderId="0" xfId="0" applyFont="1" applyProtection="1">
      <protection locked="0"/>
    </xf>
    <xf numFmtId="0" fontId="27" fillId="3" borderId="17" xfId="0" applyFont="1" applyFill="1" applyBorder="1" applyAlignment="1" applyProtection="1">
      <alignment horizontal="center" vertical="center" wrapText="1"/>
      <protection locked="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5" fillId="3" borderId="17" xfId="0" applyFont="1" applyFill="1" applyBorder="1" applyAlignment="1" applyProtection="1">
      <alignment horizontal="center" vertical="center" wrapText="1"/>
      <protection locked="0"/>
    </xf>
    <xf numFmtId="0" fontId="2" fillId="48" borderId="37" xfId="0" applyFont="1" applyFill="1" applyBorder="1" applyAlignment="1" applyProtection="1">
      <alignment vertical="center"/>
      <protection locked="0"/>
    </xf>
    <xf numFmtId="0" fontId="3" fillId="49" borderId="38" xfId="0" applyFont="1" applyFill="1" applyBorder="1" applyProtection="1">
      <protection locked="0"/>
    </xf>
    <xf numFmtId="0" fontId="3" fillId="49" borderId="39" xfId="0" applyFont="1" applyFill="1" applyBorder="1" applyProtection="1">
      <protection locked="0"/>
    </xf>
    <xf numFmtId="0" fontId="6" fillId="2" borderId="23" xfId="0" applyFont="1" applyFill="1" applyBorder="1" applyAlignment="1">
      <alignment horizontal="center" vertical="center" wrapText="1"/>
    </xf>
    <xf numFmtId="0" fontId="3" fillId="0" borderId="25" xfId="0" applyFont="1" applyBorder="1"/>
    <xf numFmtId="0" fontId="3" fillId="0" borderId="26" xfId="0" applyFont="1" applyBorder="1"/>
    <xf numFmtId="0" fontId="2" fillId="2" borderId="1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Protection="1">
      <protection locked="0"/>
    </xf>
    <xf numFmtId="0" fontId="3" fillId="0" borderId="3" xfId="0" applyFont="1" applyBorder="1" applyProtection="1">
      <protection locked="0"/>
    </xf>
  </cellXfs>
  <cellStyles count="43">
    <cellStyle name="20% - Énfasis1 2" xfId="20" xr:uid="{00000000-0005-0000-0000-000000000000}"/>
    <cellStyle name="20% - Énfasis2 2" xfId="24" xr:uid="{00000000-0005-0000-0000-000001000000}"/>
    <cellStyle name="20% - Énfasis3 2" xfId="28" xr:uid="{00000000-0005-0000-0000-000002000000}"/>
    <cellStyle name="20% - Énfasis4 2" xfId="32" xr:uid="{00000000-0005-0000-0000-000003000000}"/>
    <cellStyle name="20% - Énfasis5 2" xfId="36" xr:uid="{00000000-0005-0000-0000-000004000000}"/>
    <cellStyle name="20% - Énfasis6 2" xfId="40" xr:uid="{00000000-0005-0000-0000-000005000000}"/>
    <cellStyle name="40% - Énfasis1 2" xfId="21" xr:uid="{00000000-0005-0000-0000-000006000000}"/>
    <cellStyle name="40% - Énfasis2 2" xfId="25" xr:uid="{00000000-0005-0000-0000-000007000000}"/>
    <cellStyle name="40% - Énfasis3 2" xfId="29" xr:uid="{00000000-0005-0000-0000-000008000000}"/>
    <cellStyle name="40% - Énfasis4 2" xfId="33" xr:uid="{00000000-0005-0000-0000-000009000000}"/>
    <cellStyle name="40% - Énfasis5 2" xfId="37" xr:uid="{00000000-0005-0000-0000-00000A000000}"/>
    <cellStyle name="40% - Énfasis6 2" xfId="41" xr:uid="{00000000-0005-0000-0000-00000B000000}"/>
    <cellStyle name="60% - Énfasis1 2" xfId="22" xr:uid="{00000000-0005-0000-0000-00000C000000}"/>
    <cellStyle name="60% - Énfasis2 2" xfId="26" xr:uid="{00000000-0005-0000-0000-00000D000000}"/>
    <cellStyle name="60% - Énfasis3 2" xfId="30" xr:uid="{00000000-0005-0000-0000-00000E000000}"/>
    <cellStyle name="60% - Énfasis4 2" xfId="34" xr:uid="{00000000-0005-0000-0000-00000F000000}"/>
    <cellStyle name="60% - Énfasis5 2" xfId="38" xr:uid="{00000000-0005-0000-0000-000010000000}"/>
    <cellStyle name="60% - Énfasis6 2" xfId="42" xr:uid="{00000000-0005-0000-0000-000011000000}"/>
    <cellStyle name="Buena 2" xfId="13" xr:uid="{00000000-0005-0000-0000-000012000000}"/>
    <cellStyle name="Cálculo" xfId="6" builtinId="22" customBuiltin="1"/>
    <cellStyle name="Celda de comprobación" xfId="8" builtinId="23" customBuiltin="1"/>
    <cellStyle name="Celda vinculada" xfId="7" builtinId="24" customBuiltin="1"/>
    <cellStyle name="Encabezado 1" xfId="1" builtinId="16" customBuiltin="1"/>
    <cellStyle name="Encabezado 4 2" xfId="12" xr:uid="{00000000-0005-0000-0000-000017000000}"/>
    <cellStyle name="Énfasis1 2" xfId="19" xr:uid="{00000000-0005-0000-0000-000018000000}"/>
    <cellStyle name="Énfasis2 2" xfId="23" xr:uid="{00000000-0005-0000-0000-000019000000}"/>
    <cellStyle name="Énfasis3 2" xfId="27" xr:uid="{00000000-0005-0000-0000-00001A000000}"/>
    <cellStyle name="Énfasis4 2" xfId="31" xr:uid="{00000000-0005-0000-0000-00001B000000}"/>
    <cellStyle name="Énfasis5 2" xfId="35" xr:uid="{00000000-0005-0000-0000-00001C000000}"/>
    <cellStyle name="Énfasis6 2" xfId="39" xr:uid="{00000000-0005-0000-0000-00001D000000}"/>
    <cellStyle name="Entrada" xfId="4" builtinId="20" customBuiltin="1"/>
    <cellStyle name="Incorrecto 2" xfId="14" xr:uid="{00000000-0005-0000-0000-00001F000000}"/>
    <cellStyle name="Neutral 2" xfId="15" xr:uid="{00000000-0005-0000-0000-000020000000}"/>
    <cellStyle name="Normal" xfId="0" builtinId="0"/>
    <cellStyle name="Normal 2" xfId="10" xr:uid="{00000000-0005-0000-0000-000022000000}"/>
    <cellStyle name="Notas 2" xfId="17" xr:uid="{00000000-0005-0000-0000-000023000000}"/>
    <cellStyle name="Salida" xfId="5" builtinId="21" customBuiltin="1"/>
    <cellStyle name="Texto de advertencia 2" xfId="16" xr:uid="{00000000-0005-0000-0000-000025000000}"/>
    <cellStyle name="Texto explicativo 2" xfId="18" xr:uid="{00000000-0005-0000-0000-000026000000}"/>
    <cellStyle name="Título 2" xfId="2" builtinId="17" customBuiltin="1"/>
    <cellStyle name="Título 3" xfId="3" builtinId="18" customBuiltin="1"/>
    <cellStyle name="Título 4" xfId="11" xr:uid="{00000000-0005-0000-0000-000029000000}"/>
    <cellStyle name="Total" xfId="9" builtinId="25" customBuiltin="1"/>
  </cellStyles>
  <dxfs count="42"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checked="Checked" firstButton="1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Radio" checked="Checked" firstButton="1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checked="Checked" firstButton="1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checked="Checked" firstButton="1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Radio" checked="Checked" firstButton="1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Radio" checked="Checked" firstButton="1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Radio" checked="Checked" firstButton="1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Radio" checked="Checked" firstButton="1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Radio" checked="Checked" firstButton="1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checked="Checked" firstButton="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27650" name="Option 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43010" name="Option 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2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3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44034" name="Option 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3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45058" name="Option 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46082" name="Option 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5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47106" name="Option 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6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7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48130" name="Option 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7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8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49154" name="Option 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8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9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50178" name="Option 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9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A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51202" name="Option 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A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B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52226" name="Option 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B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53250" name="Option 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D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54274" name="Option 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D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954"/>
  <sheetViews>
    <sheetView tabSelected="1" topLeftCell="A2" zoomScale="85" zoomScaleNormal="85" workbookViewId="0">
      <pane xSplit="1" ySplit="2" topLeftCell="B4" activePane="bottomRight" state="frozen"/>
      <selection activeCell="A2" sqref="A2"/>
      <selection pane="topRight" activeCell="B2" sqref="B2"/>
      <selection pane="bottomLeft" activeCell="A4" sqref="A4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13" width="13.140625" style="47" customWidth="1"/>
    <col min="14" max="14" width="11.140625" style="47" customWidth="1"/>
    <col min="15" max="17" width="14.42578125" style="47"/>
    <col min="18" max="18" width="36.28515625" style="47" bestFit="1" customWidth="1"/>
    <col min="19" max="16384" width="14.42578125" style="47"/>
  </cols>
  <sheetData>
    <row r="1" spans="1:14" ht="21.75" thickBot="1" x14ac:dyDescent="0.3">
      <c r="A1" s="137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9"/>
    </row>
    <row r="2" spans="1:14" ht="24" thickBot="1" x14ac:dyDescent="0.3">
      <c r="A2" s="134" t="s">
        <v>175</v>
      </c>
      <c r="B2" s="135" t="s">
        <v>163</v>
      </c>
      <c r="C2" s="135" t="s">
        <v>164</v>
      </c>
      <c r="D2" s="135" t="s">
        <v>165</v>
      </c>
      <c r="E2" s="135" t="s">
        <v>166</v>
      </c>
      <c r="F2" s="135" t="s">
        <v>167</v>
      </c>
      <c r="G2" s="135" t="s">
        <v>168</v>
      </c>
      <c r="H2" s="135" t="s">
        <v>169</v>
      </c>
      <c r="I2" s="135" t="s">
        <v>170</v>
      </c>
      <c r="J2" s="135" t="s">
        <v>171</v>
      </c>
      <c r="K2" s="135" t="s">
        <v>172</v>
      </c>
      <c r="L2" s="135" t="s">
        <v>173</v>
      </c>
      <c r="M2" s="135" t="s">
        <v>174</v>
      </c>
      <c r="N2" s="136" t="s">
        <v>0</v>
      </c>
    </row>
    <row r="3" spans="1:14" ht="19.5" thickBot="1" x14ac:dyDescent="0.3">
      <c r="A3" s="52" t="s">
        <v>1</v>
      </c>
      <c r="B3" s="1">
        <f>+ENERO!$AG3</f>
        <v>4259</v>
      </c>
      <c r="C3" s="1">
        <f>+FEBRERO!$AG3</f>
        <v>3556</v>
      </c>
      <c r="D3" s="1">
        <f>+MARZO!$AG3</f>
        <v>4324</v>
      </c>
      <c r="E3" s="1">
        <f>+ABRIL!$AG3</f>
        <v>4024</v>
      </c>
      <c r="F3" s="1">
        <f>+MAYO!$AG3</f>
        <v>4763</v>
      </c>
      <c r="G3" s="1">
        <f>+JUNIO!$AG3</f>
        <v>4027</v>
      </c>
      <c r="H3" s="1">
        <f>+JULIO!$AG3</f>
        <v>4051</v>
      </c>
      <c r="I3" s="1">
        <f>+AGOSTO!$AG3</f>
        <v>4197</v>
      </c>
      <c r="J3" s="1">
        <f>+SEPTIEMBRE!$AG3</f>
        <v>4402</v>
      </c>
      <c r="K3" s="1">
        <f>+OCTUBRE!$AG3</f>
        <v>4726</v>
      </c>
      <c r="L3" s="1">
        <f>+NOVIEMBRE!$AG3</f>
        <v>4885</v>
      </c>
      <c r="M3" s="1">
        <f>+DICIEMBRE!$AG3</f>
        <v>4602</v>
      </c>
      <c r="N3" s="2">
        <f t="shared" ref="N3:N34" si="0">SUM(B3:M3)</f>
        <v>51816</v>
      </c>
    </row>
    <row r="4" spans="1:14" ht="18.75" x14ac:dyDescent="0.25">
      <c r="A4" s="53" t="s">
        <v>2</v>
      </c>
      <c r="B4" s="54">
        <f>+ENERO!$AG4</f>
        <v>35</v>
      </c>
      <c r="C4" s="54">
        <f>+FEBRERO!$AG4</f>
        <v>37</v>
      </c>
      <c r="D4" s="54">
        <f>+MARZO!$AG4</f>
        <v>48</v>
      </c>
      <c r="E4" s="54">
        <f>+ABRIL!$AG4</f>
        <v>62</v>
      </c>
      <c r="F4" s="54">
        <f>+MAYO!$AG4</f>
        <v>84</v>
      </c>
      <c r="G4" s="54">
        <f>+JUNIO!$AG4</f>
        <v>39</v>
      </c>
      <c r="H4" s="54">
        <f>+JULIO!$AG4</f>
        <v>45</v>
      </c>
      <c r="I4" s="54">
        <f>+AGOSTO!$AG4</f>
        <v>82</v>
      </c>
      <c r="J4" s="54">
        <f>+SEPTIEMBRE!$AG4</f>
        <v>50</v>
      </c>
      <c r="K4" s="54">
        <f>+OCTUBRE!$AG4</f>
        <v>79</v>
      </c>
      <c r="L4" s="54">
        <f>+NOVIEMBRE!$AG4</f>
        <v>73</v>
      </c>
      <c r="M4" s="54">
        <f>+DICIEMBRE!$AG4</f>
        <v>65</v>
      </c>
      <c r="N4" s="4">
        <f t="shared" si="0"/>
        <v>699</v>
      </c>
    </row>
    <row r="5" spans="1:14" ht="18.75" x14ac:dyDescent="0.25">
      <c r="A5" s="56" t="s">
        <v>3</v>
      </c>
      <c r="B5" s="54">
        <f>+ENERO!$AG5</f>
        <v>77</v>
      </c>
      <c r="C5" s="54">
        <f>+FEBRERO!$AG5</f>
        <v>45</v>
      </c>
      <c r="D5" s="54">
        <f>+MARZO!$AG5</f>
        <v>91</v>
      </c>
      <c r="E5" s="54">
        <f>+ABRIL!$AG5</f>
        <v>90</v>
      </c>
      <c r="F5" s="54">
        <f>+MAYO!$AG5</f>
        <v>118</v>
      </c>
      <c r="G5" s="54">
        <f>+JUNIO!$AG5</f>
        <v>81</v>
      </c>
      <c r="H5" s="54">
        <f>+JULIO!$AG5</f>
        <v>81</v>
      </c>
      <c r="I5" s="54">
        <f>+AGOSTO!$AG5</f>
        <v>121</v>
      </c>
      <c r="J5" s="54">
        <f>+SEPTIEMBRE!$AG5</f>
        <v>90</v>
      </c>
      <c r="K5" s="54">
        <f>+OCTUBRE!$AG5</f>
        <v>92</v>
      </c>
      <c r="L5" s="54">
        <f>+NOVIEMBRE!$AG5</f>
        <v>118</v>
      </c>
      <c r="M5" s="54">
        <f>+DICIEMBRE!$AG5</f>
        <v>96</v>
      </c>
      <c r="N5" s="5">
        <f t="shared" si="0"/>
        <v>1100</v>
      </c>
    </row>
    <row r="6" spans="1:14" ht="18.75" x14ac:dyDescent="0.25">
      <c r="A6" s="56" t="s">
        <v>4</v>
      </c>
      <c r="B6" s="54">
        <f>+ENERO!$AG6</f>
        <v>88</v>
      </c>
      <c r="C6" s="54">
        <f>+FEBRERO!$AG6</f>
        <v>74</v>
      </c>
      <c r="D6" s="54">
        <f>+MARZO!$AG6</f>
        <v>108</v>
      </c>
      <c r="E6" s="54">
        <f>+ABRIL!$AG6</f>
        <v>125</v>
      </c>
      <c r="F6" s="54">
        <f>+MAYO!$AG6</f>
        <v>147</v>
      </c>
      <c r="G6" s="54">
        <f>+JUNIO!$AG6</f>
        <v>100</v>
      </c>
      <c r="H6" s="54">
        <f>+JULIO!$AG6</f>
        <v>80</v>
      </c>
      <c r="I6" s="54">
        <f>+AGOSTO!$AG6</f>
        <v>150</v>
      </c>
      <c r="J6" s="54">
        <f>+SEPTIEMBRE!$AG6</f>
        <v>124</v>
      </c>
      <c r="K6" s="54">
        <f>+OCTUBRE!$AG6</f>
        <v>134</v>
      </c>
      <c r="L6" s="54">
        <f>+NOVIEMBRE!$AG6</f>
        <v>154</v>
      </c>
      <c r="M6" s="54">
        <f>+DICIEMBRE!$AG6</f>
        <v>111</v>
      </c>
      <c r="N6" s="5">
        <f t="shared" si="0"/>
        <v>1395</v>
      </c>
    </row>
    <row r="7" spans="1:14" ht="18.75" x14ac:dyDescent="0.25">
      <c r="A7" s="56" t="s">
        <v>5</v>
      </c>
      <c r="B7" s="54">
        <f>+ENERO!$AG7</f>
        <v>110</v>
      </c>
      <c r="C7" s="54">
        <f>+FEBRERO!$AG7</f>
        <v>92</v>
      </c>
      <c r="D7" s="54">
        <f>+MARZO!$AG7</f>
        <v>111</v>
      </c>
      <c r="E7" s="54">
        <f>+ABRIL!$AG7</f>
        <v>143</v>
      </c>
      <c r="F7" s="54">
        <f>+MAYO!$AG7</f>
        <v>170</v>
      </c>
      <c r="G7" s="54">
        <f>+JUNIO!$AG7</f>
        <v>161</v>
      </c>
      <c r="H7" s="54">
        <f>+JULIO!$AG7</f>
        <v>120</v>
      </c>
      <c r="I7" s="54">
        <f>+AGOSTO!$AG7</f>
        <v>166</v>
      </c>
      <c r="J7" s="54">
        <f>+SEPTIEMBRE!$AG7</f>
        <v>121</v>
      </c>
      <c r="K7" s="54">
        <f>+OCTUBRE!$AG7</f>
        <v>106</v>
      </c>
      <c r="L7" s="54">
        <f>+NOVIEMBRE!$AG7</f>
        <v>149</v>
      </c>
      <c r="M7" s="54">
        <f>+DICIEMBRE!$AG7</f>
        <v>139</v>
      </c>
      <c r="N7" s="5">
        <f t="shared" si="0"/>
        <v>1588</v>
      </c>
    </row>
    <row r="8" spans="1:14" ht="18.75" x14ac:dyDescent="0.25">
      <c r="A8" s="56" t="s">
        <v>6</v>
      </c>
      <c r="B8" s="54">
        <f>+ENERO!$AG8</f>
        <v>103</v>
      </c>
      <c r="C8" s="54">
        <f>+FEBRERO!$AG8</f>
        <v>90</v>
      </c>
      <c r="D8" s="54">
        <f>+MARZO!$AG8</f>
        <v>123</v>
      </c>
      <c r="E8" s="54">
        <f>+ABRIL!$AG8</f>
        <v>110</v>
      </c>
      <c r="F8" s="54">
        <f>+MAYO!$AG8</f>
        <v>149</v>
      </c>
      <c r="G8" s="54">
        <f>+JUNIO!$AG8</f>
        <v>130</v>
      </c>
      <c r="H8" s="54">
        <f>+JULIO!$AG8</f>
        <v>125</v>
      </c>
      <c r="I8" s="54">
        <f>+AGOSTO!$AG8</f>
        <v>150</v>
      </c>
      <c r="J8" s="54">
        <f>+SEPTIEMBRE!$AG8</f>
        <v>130</v>
      </c>
      <c r="K8" s="54">
        <f>+OCTUBRE!$AG8</f>
        <v>109</v>
      </c>
      <c r="L8" s="54">
        <f>+NOVIEMBRE!$AG8</f>
        <v>122</v>
      </c>
      <c r="M8" s="54">
        <f>+DICIEMBRE!$AG8</f>
        <v>134</v>
      </c>
      <c r="N8" s="5">
        <f t="shared" si="0"/>
        <v>1475</v>
      </c>
    </row>
    <row r="9" spans="1:14" ht="18.75" x14ac:dyDescent="0.25">
      <c r="A9" s="56" t="s">
        <v>7</v>
      </c>
      <c r="B9" s="54">
        <f>+ENERO!$AG9</f>
        <v>86</v>
      </c>
      <c r="C9" s="54">
        <f>+FEBRERO!$AG9</f>
        <v>70</v>
      </c>
      <c r="D9" s="54">
        <f>+MARZO!$AG9</f>
        <v>107</v>
      </c>
      <c r="E9" s="54">
        <f>+ABRIL!$AG9</f>
        <v>85</v>
      </c>
      <c r="F9" s="54">
        <f>+MAYO!$AG9</f>
        <v>140</v>
      </c>
      <c r="G9" s="54">
        <f>+JUNIO!$AG9</f>
        <v>118</v>
      </c>
      <c r="H9" s="54">
        <f>+JULIO!$AG9</f>
        <v>100</v>
      </c>
      <c r="I9" s="54">
        <f>+AGOSTO!$AG9</f>
        <v>116</v>
      </c>
      <c r="J9" s="54">
        <f>+SEPTIEMBRE!$AG9</f>
        <v>129</v>
      </c>
      <c r="K9" s="54">
        <f>+OCTUBRE!$AG9</f>
        <v>104</v>
      </c>
      <c r="L9" s="54">
        <f>+NOVIEMBRE!$AG9</f>
        <v>97</v>
      </c>
      <c r="M9" s="54">
        <f>+DICIEMBRE!$AG9</f>
        <v>105</v>
      </c>
      <c r="N9" s="5">
        <f t="shared" si="0"/>
        <v>1257</v>
      </c>
    </row>
    <row r="10" spans="1:14" ht="18.75" x14ac:dyDescent="0.25">
      <c r="A10" s="56" t="s">
        <v>8</v>
      </c>
      <c r="B10" s="54">
        <f>+ENERO!$AG10</f>
        <v>77</v>
      </c>
      <c r="C10" s="54">
        <f>+FEBRERO!$AG10</f>
        <v>65</v>
      </c>
      <c r="D10" s="54">
        <f>+MARZO!$AG10</f>
        <v>90</v>
      </c>
      <c r="E10" s="54">
        <f>+ABRIL!$AG10</f>
        <v>91</v>
      </c>
      <c r="F10" s="54">
        <f>+MAYO!$AG10</f>
        <v>125</v>
      </c>
      <c r="G10" s="54">
        <f>+JUNIO!$AG10</f>
        <v>108</v>
      </c>
      <c r="H10" s="54">
        <f>+JULIO!$AG10</f>
        <v>86</v>
      </c>
      <c r="I10" s="54">
        <f>+AGOSTO!$AG10</f>
        <v>114</v>
      </c>
      <c r="J10" s="54">
        <f>+SEPTIEMBRE!$AG10</f>
        <v>103</v>
      </c>
      <c r="K10" s="54">
        <f>+OCTUBRE!$AG10</f>
        <v>103</v>
      </c>
      <c r="L10" s="54">
        <f>+NOVIEMBRE!$AG10</f>
        <v>101</v>
      </c>
      <c r="M10" s="54">
        <f>+DICIEMBRE!$AG10</f>
        <v>124</v>
      </c>
      <c r="N10" s="5">
        <f t="shared" si="0"/>
        <v>1187</v>
      </c>
    </row>
    <row r="11" spans="1:14" ht="18.75" x14ac:dyDescent="0.25">
      <c r="A11" s="56" t="s">
        <v>9</v>
      </c>
      <c r="B11" s="54">
        <f>+ENERO!$AG11</f>
        <v>119</v>
      </c>
      <c r="C11" s="54">
        <f>+FEBRERO!$AG11</f>
        <v>91</v>
      </c>
      <c r="D11" s="54">
        <f>+MARZO!$AG11</f>
        <v>116</v>
      </c>
      <c r="E11" s="54">
        <f>+ABRIL!$AG11</f>
        <v>131</v>
      </c>
      <c r="F11" s="54">
        <f>+MAYO!$AG11</f>
        <v>170</v>
      </c>
      <c r="G11" s="54">
        <f>+JUNIO!$AG11</f>
        <v>152</v>
      </c>
      <c r="H11" s="54">
        <f>+JULIO!$AG11</f>
        <v>125</v>
      </c>
      <c r="I11" s="54">
        <f>+AGOSTO!$AG11</f>
        <v>164</v>
      </c>
      <c r="J11" s="54">
        <f>+SEPTIEMBRE!$AG11</f>
        <v>128</v>
      </c>
      <c r="K11" s="54">
        <f>+OCTUBRE!$AG11</f>
        <v>166</v>
      </c>
      <c r="L11" s="54">
        <f>+NOVIEMBRE!$AG11</f>
        <v>145</v>
      </c>
      <c r="M11" s="54">
        <f>+DICIEMBRE!$AG11</f>
        <v>150</v>
      </c>
      <c r="N11" s="5">
        <f t="shared" si="0"/>
        <v>1657</v>
      </c>
    </row>
    <row r="12" spans="1:14" ht="18.75" x14ac:dyDescent="0.25">
      <c r="A12" s="56" t="s">
        <v>10</v>
      </c>
      <c r="B12" s="54">
        <f>+ENERO!$AG12</f>
        <v>353</v>
      </c>
      <c r="C12" s="54">
        <f>+FEBRERO!$AG12</f>
        <v>236</v>
      </c>
      <c r="D12" s="54">
        <f>+MARZO!$AG12</f>
        <v>342</v>
      </c>
      <c r="E12" s="54">
        <f>+ABRIL!$AG12</f>
        <v>311</v>
      </c>
      <c r="F12" s="54">
        <f>+MAYO!$AG12</f>
        <v>454</v>
      </c>
      <c r="G12" s="54">
        <f>+JUNIO!$AG12</f>
        <v>330</v>
      </c>
      <c r="H12" s="54">
        <f>+JULIO!$AG12</f>
        <v>380</v>
      </c>
      <c r="I12" s="54">
        <f>+AGOSTO!$AG12</f>
        <v>326</v>
      </c>
      <c r="J12" s="54">
        <f>+SEPTIEMBRE!$AG12</f>
        <v>357</v>
      </c>
      <c r="K12" s="54">
        <f>+OCTUBRE!$AG12</f>
        <v>366</v>
      </c>
      <c r="L12" s="54">
        <f>+NOVIEMBRE!$AG12</f>
        <v>343</v>
      </c>
      <c r="M12" s="54">
        <f>+DICIEMBRE!$AG12</f>
        <v>351</v>
      </c>
      <c r="N12" s="5">
        <f t="shared" si="0"/>
        <v>4149</v>
      </c>
    </row>
    <row r="13" spans="1:14" ht="18.75" x14ac:dyDescent="0.25">
      <c r="A13" s="56" t="s">
        <v>11</v>
      </c>
      <c r="B13" s="54">
        <f>+ENERO!$AG13</f>
        <v>906</v>
      </c>
      <c r="C13" s="54">
        <f>+FEBRERO!$AG13</f>
        <v>840</v>
      </c>
      <c r="D13" s="54">
        <f>+MARZO!$AG13</f>
        <v>1021</v>
      </c>
      <c r="E13" s="54">
        <f>+ABRIL!$AG13</f>
        <v>1060</v>
      </c>
      <c r="F13" s="54">
        <f>+MAYO!$AG13</f>
        <v>1129</v>
      </c>
      <c r="G13" s="54">
        <f>+JUNIO!$AG13</f>
        <v>1100</v>
      </c>
      <c r="H13" s="54">
        <f>+JULIO!$AG13</f>
        <v>1112</v>
      </c>
      <c r="I13" s="54">
        <f>+AGOSTO!$AG13</f>
        <v>1065</v>
      </c>
      <c r="J13" s="54">
        <f>+SEPTIEMBRE!$AG13</f>
        <v>1134</v>
      </c>
      <c r="K13" s="54">
        <f>+OCTUBRE!$AG13</f>
        <v>1180</v>
      </c>
      <c r="L13" s="54">
        <f>+NOVIEMBRE!$AG13</f>
        <v>1192</v>
      </c>
      <c r="M13" s="54">
        <f>+DICIEMBRE!$AG13</f>
        <v>1015</v>
      </c>
      <c r="N13" s="5">
        <f t="shared" si="0"/>
        <v>12754</v>
      </c>
    </row>
    <row r="14" spans="1:14" ht="18.75" x14ac:dyDescent="0.25">
      <c r="A14" s="56" t="s">
        <v>12</v>
      </c>
      <c r="B14" s="54">
        <f>+ENERO!$AG14</f>
        <v>366</v>
      </c>
      <c r="C14" s="54">
        <f>+FEBRERO!$AG14</f>
        <v>350</v>
      </c>
      <c r="D14" s="54">
        <f>+MARZO!$AG14</f>
        <v>418</v>
      </c>
      <c r="E14" s="54">
        <f>+ABRIL!$AG14</f>
        <v>380</v>
      </c>
      <c r="F14" s="54">
        <f>+MAYO!$AG14</f>
        <v>417</v>
      </c>
      <c r="G14" s="54">
        <f>+JUNIO!$AG14</f>
        <v>377</v>
      </c>
      <c r="H14" s="54">
        <f>+JULIO!$AG14</f>
        <v>412</v>
      </c>
      <c r="I14" s="54">
        <f>+AGOSTO!$AG14</f>
        <v>347</v>
      </c>
      <c r="J14" s="54">
        <f>+SEPTIEMBRE!$AG14</f>
        <v>411</v>
      </c>
      <c r="K14" s="54">
        <f>+OCTUBRE!$AG14</f>
        <v>458</v>
      </c>
      <c r="L14" s="54">
        <f>+NOVIEMBRE!$AG14</f>
        <v>426</v>
      </c>
      <c r="M14" s="54">
        <f>+DICIEMBRE!$AG14</f>
        <v>364</v>
      </c>
      <c r="N14" s="5">
        <f t="shared" si="0"/>
        <v>4726</v>
      </c>
    </row>
    <row r="15" spans="1:14" ht="18.75" x14ac:dyDescent="0.25">
      <c r="A15" s="56" t="s">
        <v>13</v>
      </c>
      <c r="B15" s="54">
        <f>+ENERO!$AG15</f>
        <v>326</v>
      </c>
      <c r="C15" s="54">
        <f>+FEBRERO!$AG15</f>
        <v>281</v>
      </c>
      <c r="D15" s="54">
        <f>+MARZO!$AG15</f>
        <v>387</v>
      </c>
      <c r="E15" s="54">
        <f>+ABRIL!$AG15</f>
        <v>323</v>
      </c>
      <c r="F15" s="54">
        <f>+MAYO!$AG15</f>
        <v>370</v>
      </c>
      <c r="G15" s="54">
        <f>+JUNIO!$AG15</f>
        <v>263</v>
      </c>
      <c r="H15" s="54">
        <f>+JULIO!$AG15</f>
        <v>286</v>
      </c>
      <c r="I15" s="54">
        <f>+AGOSTO!$AG15</f>
        <v>292</v>
      </c>
      <c r="J15" s="54">
        <f>+SEPTIEMBRE!$AG15</f>
        <v>332</v>
      </c>
      <c r="K15" s="54">
        <f>+OCTUBRE!$AG15</f>
        <v>418</v>
      </c>
      <c r="L15" s="54">
        <f>+NOVIEMBRE!$AG15</f>
        <v>425</v>
      </c>
      <c r="M15" s="54">
        <f>+DICIEMBRE!$AG15</f>
        <v>313</v>
      </c>
      <c r="N15" s="5">
        <f t="shared" si="0"/>
        <v>4016</v>
      </c>
    </row>
    <row r="16" spans="1:14" ht="18.75" x14ac:dyDescent="0.25">
      <c r="A16" s="56" t="s">
        <v>14</v>
      </c>
      <c r="B16" s="54">
        <f>+ENERO!$AG16</f>
        <v>354</v>
      </c>
      <c r="C16" s="54">
        <f>+FEBRERO!$AG16</f>
        <v>248</v>
      </c>
      <c r="D16" s="54">
        <f>+MARZO!$AG16</f>
        <v>324</v>
      </c>
      <c r="E16" s="54">
        <f>+ABRIL!$AG16</f>
        <v>269</v>
      </c>
      <c r="F16" s="54">
        <f>+MAYO!$AG16</f>
        <v>310</v>
      </c>
      <c r="G16" s="54">
        <f>+JUNIO!$AG16</f>
        <v>247</v>
      </c>
      <c r="H16" s="54">
        <f>+JULIO!$AG16</f>
        <v>255</v>
      </c>
      <c r="I16" s="54">
        <f>+AGOSTO!$AG16</f>
        <v>302</v>
      </c>
      <c r="J16" s="54">
        <f>+SEPTIEMBRE!$AG16</f>
        <v>339</v>
      </c>
      <c r="K16" s="54">
        <f>+OCTUBRE!$AG16</f>
        <v>363</v>
      </c>
      <c r="L16" s="54">
        <f>+NOVIEMBRE!$AG16</f>
        <v>347</v>
      </c>
      <c r="M16" s="54">
        <f>+DICIEMBRE!$AG16</f>
        <v>346</v>
      </c>
      <c r="N16" s="5">
        <f t="shared" si="0"/>
        <v>3704</v>
      </c>
    </row>
    <row r="17" spans="1:14" ht="18.75" x14ac:dyDescent="0.25">
      <c r="A17" s="56" t="s">
        <v>15</v>
      </c>
      <c r="B17" s="54">
        <f>+ENERO!$AG17</f>
        <v>296</v>
      </c>
      <c r="C17" s="54">
        <f>+FEBRERO!$AG17</f>
        <v>266</v>
      </c>
      <c r="D17" s="54">
        <f>+MARZO!$AG17</f>
        <v>280</v>
      </c>
      <c r="E17" s="54">
        <f>+ABRIL!$AG17</f>
        <v>238</v>
      </c>
      <c r="F17" s="54">
        <f>+MAYO!$AG17</f>
        <v>232</v>
      </c>
      <c r="G17" s="54">
        <f>+JUNIO!$AG17</f>
        <v>212</v>
      </c>
      <c r="H17" s="54">
        <f>+JULIO!$AG17</f>
        <v>213</v>
      </c>
      <c r="I17" s="54">
        <f>+AGOSTO!$AG17</f>
        <v>209</v>
      </c>
      <c r="J17" s="54">
        <f>+SEPTIEMBRE!$AG17</f>
        <v>267</v>
      </c>
      <c r="K17" s="54">
        <f>+OCTUBRE!$AG17</f>
        <v>283</v>
      </c>
      <c r="L17" s="54">
        <f>+NOVIEMBRE!$AG17</f>
        <v>311</v>
      </c>
      <c r="M17" s="54">
        <f>+DICIEMBRE!$AG17</f>
        <v>317</v>
      </c>
      <c r="N17" s="5">
        <f t="shared" si="0"/>
        <v>3124</v>
      </c>
    </row>
    <row r="18" spans="1:14" ht="18.75" x14ac:dyDescent="0.25">
      <c r="A18" s="56" t="s">
        <v>16</v>
      </c>
      <c r="B18" s="54">
        <f>+ENERO!$AG18</f>
        <v>284</v>
      </c>
      <c r="C18" s="54">
        <f>+FEBRERO!$AG18</f>
        <v>228</v>
      </c>
      <c r="D18" s="54">
        <f>+MARZO!$AG18</f>
        <v>212</v>
      </c>
      <c r="E18" s="54">
        <f>+ABRIL!$AG18</f>
        <v>160</v>
      </c>
      <c r="F18" s="54">
        <f>+MAYO!$AG18</f>
        <v>206</v>
      </c>
      <c r="G18" s="54">
        <f>+JUNIO!$AG18</f>
        <v>183</v>
      </c>
      <c r="H18" s="54">
        <f>+JULIO!$AG18</f>
        <v>163</v>
      </c>
      <c r="I18" s="54">
        <f>+AGOSTO!$AG18</f>
        <v>185</v>
      </c>
      <c r="J18" s="54">
        <f>+SEPTIEMBRE!$AG18</f>
        <v>208</v>
      </c>
      <c r="K18" s="54">
        <f>+OCTUBRE!$AG18</f>
        <v>234</v>
      </c>
      <c r="L18" s="54">
        <f>+NOVIEMBRE!$AG18</f>
        <v>261</v>
      </c>
      <c r="M18" s="54">
        <f>+DICIEMBRE!$AG18</f>
        <v>274</v>
      </c>
      <c r="N18" s="5">
        <f t="shared" si="0"/>
        <v>2598</v>
      </c>
    </row>
    <row r="19" spans="1:14" ht="18.75" x14ac:dyDescent="0.25">
      <c r="A19" s="56" t="s">
        <v>17</v>
      </c>
      <c r="B19" s="54">
        <f>+ENERO!$AG19</f>
        <v>196</v>
      </c>
      <c r="C19" s="54">
        <f>+FEBRERO!$AG19</f>
        <v>157</v>
      </c>
      <c r="D19" s="54">
        <f>+MARZO!$AG19</f>
        <v>127</v>
      </c>
      <c r="E19" s="54">
        <f>+ABRIL!$AG19</f>
        <v>138</v>
      </c>
      <c r="F19" s="54">
        <f>+MAYO!$AG19</f>
        <v>146</v>
      </c>
      <c r="G19" s="54">
        <f>+JUNIO!$AG19</f>
        <v>127</v>
      </c>
      <c r="H19" s="54">
        <f>+JULIO!$AG19</f>
        <v>135</v>
      </c>
      <c r="I19" s="54">
        <f>+AGOSTO!$AG19</f>
        <v>117</v>
      </c>
      <c r="J19" s="54">
        <f>+SEPTIEMBRE!$AG19</f>
        <v>141</v>
      </c>
      <c r="K19" s="54">
        <f>+OCTUBRE!$AG19</f>
        <v>169</v>
      </c>
      <c r="L19" s="54">
        <f>+NOVIEMBRE!$AG19</f>
        <v>177</v>
      </c>
      <c r="M19" s="54">
        <f>+DICIEMBRE!$AG19</f>
        <v>209</v>
      </c>
      <c r="N19" s="5">
        <f t="shared" si="0"/>
        <v>1839</v>
      </c>
    </row>
    <row r="20" spans="1:14" ht="18.75" x14ac:dyDescent="0.25">
      <c r="A20" s="56" t="s">
        <v>18</v>
      </c>
      <c r="B20" s="54">
        <f>+ENERO!$AG20</f>
        <v>128</v>
      </c>
      <c r="C20" s="54">
        <f>+FEBRERO!$AG20</f>
        <v>101</v>
      </c>
      <c r="D20" s="54">
        <f>+MARZO!$AG20</f>
        <v>112</v>
      </c>
      <c r="E20" s="54">
        <f>+ABRIL!$AG20</f>
        <v>87</v>
      </c>
      <c r="F20" s="54">
        <f>+MAYO!$AG20</f>
        <v>102</v>
      </c>
      <c r="G20" s="54">
        <f>+JUNIO!$AG20</f>
        <v>82</v>
      </c>
      <c r="H20" s="54">
        <f>+JULIO!$AG20</f>
        <v>86</v>
      </c>
      <c r="I20" s="54">
        <f>+AGOSTO!$AG20</f>
        <v>68</v>
      </c>
      <c r="J20" s="54">
        <f>+SEPTIEMBRE!$AG20</f>
        <v>89</v>
      </c>
      <c r="K20" s="54">
        <f>+OCTUBRE!$AG20</f>
        <v>89</v>
      </c>
      <c r="L20" s="54">
        <f>+NOVIEMBRE!$AG20</f>
        <v>124</v>
      </c>
      <c r="M20" s="54">
        <f>+DICIEMBRE!$AG20</f>
        <v>131</v>
      </c>
      <c r="N20" s="5">
        <f t="shared" si="0"/>
        <v>1199</v>
      </c>
    </row>
    <row r="21" spans="1:14" ht="15.75" customHeight="1" x14ac:dyDescent="0.25">
      <c r="A21" s="56" t="s">
        <v>19</v>
      </c>
      <c r="B21" s="54">
        <f>+ENERO!$AG21</f>
        <v>88</v>
      </c>
      <c r="C21" s="54">
        <f>+FEBRERO!$AG21</f>
        <v>86</v>
      </c>
      <c r="D21" s="54">
        <f>+MARZO!$AG21</f>
        <v>84</v>
      </c>
      <c r="E21" s="54">
        <f>+ABRIL!$AG21</f>
        <v>58</v>
      </c>
      <c r="F21" s="54">
        <f>+MAYO!$AG21</f>
        <v>78</v>
      </c>
      <c r="G21" s="54">
        <f>+JUNIO!$AG21</f>
        <v>57</v>
      </c>
      <c r="H21" s="54">
        <f>+JULIO!$AG21</f>
        <v>57</v>
      </c>
      <c r="I21" s="54">
        <f>+AGOSTO!$AG21</f>
        <v>64</v>
      </c>
      <c r="J21" s="54">
        <f>+SEPTIEMBRE!$AG21</f>
        <v>63</v>
      </c>
      <c r="K21" s="54">
        <f>+OCTUBRE!$AG21</f>
        <v>58</v>
      </c>
      <c r="L21" s="54">
        <f>+NOVIEMBRE!$AG21</f>
        <v>79</v>
      </c>
      <c r="M21" s="54">
        <f>+DICIEMBRE!$AG21</f>
        <v>87</v>
      </c>
      <c r="N21" s="5">
        <f t="shared" si="0"/>
        <v>859</v>
      </c>
    </row>
    <row r="22" spans="1:14" ht="15.75" customHeight="1" x14ac:dyDescent="0.25">
      <c r="A22" s="56" t="s">
        <v>20</v>
      </c>
      <c r="B22" s="54">
        <f>+ENERO!$AG22</f>
        <v>56</v>
      </c>
      <c r="C22" s="54">
        <f>+FEBRERO!$AG22</f>
        <v>54</v>
      </c>
      <c r="D22" s="54">
        <f>+MARZO!$AG22</f>
        <v>48</v>
      </c>
      <c r="E22" s="54">
        <f>+ABRIL!$AG22</f>
        <v>40</v>
      </c>
      <c r="F22" s="54">
        <f>+MAYO!$AG22</f>
        <v>45</v>
      </c>
      <c r="G22" s="54">
        <f>+JUNIO!$AG22</f>
        <v>44</v>
      </c>
      <c r="H22" s="54">
        <f>+JULIO!$AG22</f>
        <v>40</v>
      </c>
      <c r="I22" s="54">
        <f>+AGOSTO!$AG22</f>
        <v>38</v>
      </c>
      <c r="J22" s="54">
        <f>+SEPTIEMBRE!$AG22</f>
        <v>53</v>
      </c>
      <c r="K22" s="54">
        <f>+OCTUBRE!$AG22</f>
        <v>48</v>
      </c>
      <c r="L22" s="54">
        <f>+NOVIEMBRE!$AG22</f>
        <v>50</v>
      </c>
      <c r="M22" s="54">
        <f>+DICIEMBRE!$AG22</f>
        <v>65</v>
      </c>
      <c r="N22" s="5">
        <f t="shared" si="0"/>
        <v>581</v>
      </c>
    </row>
    <row r="23" spans="1:14" ht="15.75" customHeight="1" x14ac:dyDescent="0.25">
      <c r="A23" s="56" t="s">
        <v>21</v>
      </c>
      <c r="B23" s="54">
        <f>+ENERO!$AG23</f>
        <v>63</v>
      </c>
      <c r="C23" s="54">
        <f>+FEBRERO!$AG23</f>
        <v>39</v>
      </c>
      <c r="D23" s="54">
        <f>+MARZO!$AG23</f>
        <v>34</v>
      </c>
      <c r="E23" s="54">
        <f>+ABRIL!$AG23</f>
        <v>31</v>
      </c>
      <c r="F23" s="54">
        <f>+MAYO!$AG23</f>
        <v>51</v>
      </c>
      <c r="G23" s="54">
        <f>+JUNIO!$AG23</f>
        <v>25</v>
      </c>
      <c r="H23" s="54">
        <f>+JULIO!$AG23</f>
        <v>44</v>
      </c>
      <c r="I23" s="54">
        <f>+AGOSTO!$AG23</f>
        <v>37</v>
      </c>
      <c r="J23" s="54">
        <f>+SEPTIEMBRE!$AG23</f>
        <v>35</v>
      </c>
      <c r="K23" s="54">
        <f>+OCTUBRE!$AG23</f>
        <v>32</v>
      </c>
      <c r="L23" s="54">
        <f>+NOVIEMBRE!$AG23</f>
        <v>36</v>
      </c>
      <c r="M23" s="54">
        <f>+DICIEMBRE!$AG23</f>
        <v>48</v>
      </c>
      <c r="N23" s="5">
        <f t="shared" si="0"/>
        <v>475</v>
      </c>
    </row>
    <row r="24" spans="1:14" ht="15.75" customHeight="1" x14ac:dyDescent="0.25">
      <c r="A24" s="56" t="s">
        <v>22</v>
      </c>
      <c r="B24" s="54">
        <f>+ENERO!$AG24</f>
        <v>44</v>
      </c>
      <c r="C24" s="54">
        <f>+FEBRERO!$AG24</f>
        <v>30</v>
      </c>
      <c r="D24" s="54">
        <f>+MARZO!$AG24</f>
        <v>37</v>
      </c>
      <c r="E24" s="54">
        <f>+ABRIL!$AG24</f>
        <v>24</v>
      </c>
      <c r="F24" s="54">
        <f>+MAYO!$AG24</f>
        <v>42</v>
      </c>
      <c r="G24" s="54">
        <f>+JUNIO!$AG24</f>
        <v>21</v>
      </c>
      <c r="H24" s="54">
        <f>+JULIO!$AG24</f>
        <v>23</v>
      </c>
      <c r="I24" s="54">
        <f>+AGOSTO!$AG24</f>
        <v>28</v>
      </c>
      <c r="J24" s="54">
        <f>+SEPTIEMBRE!$AG24</f>
        <v>31</v>
      </c>
      <c r="K24" s="54">
        <f>+OCTUBRE!$AG24</f>
        <v>38</v>
      </c>
      <c r="L24" s="54">
        <f>+NOVIEMBRE!$AG24</f>
        <v>33</v>
      </c>
      <c r="M24" s="54">
        <f>+DICIEMBRE!$AG24</f>
        <v>48</v>
      </c>
      <c r="N24" s="5">
        <f t="shared" si="0"/>
        <v>399</v>
      </c>
    </row>
    <row r="25" spans="1:14" ht="15.75" customHeight="1" x14ac:dyDescent="0.25">
      <c r="A25" s="56" t="s">
        <v>23</v>
      </c>
      <c r="B25" s="54">
        <f>+ENERO!$AG25</f>
        <v>40</v>
      </c>
      <c r="C25" s="54">
        <f>+FEBRERO!$AG25</f>
        <v>27</v>
      </c>
      <c r="D25" s="54">
        <f>+MARZO!$AG25</f>
        <v>34</v>
      </c>
      <c r="E25" s="54">
        <f>+ABRIL!$AG25</f>
        <v>23</v>
      </c>
      <c r="F25" s="54">
        <f>+MAYO!$AG25</f>
        <v>37</v>
      </c>
      <c r="G25" s="54">
        <f>+JUNIO!$AG25</f>
        <v>31</v>
      </c>
      <c r="H25" s="54">
        <f>+JULIO!$AG25</f>
        <v>27</v>
      </c>
      <c r="I25" s="54">
        <f>+AGOSTO!$AG25</f>
        <v>19</v>
      </c>
      <c r="J25" s="54">
        <f>+SEPTIEMBRE!$AG25</f>
        <v>24</v>
      </c>
      <c r="K25" s="54">
        <f>+OCTUBRE!$AG25</f>
        <v>41</v>
      </c>
      <c r="L25" s="54">
        <f>+NOVIEMBRE!$AG25</f>
        <v>36</v>
      </c>
      <c r="M25" s="54">
        <f>+DICIEMBRE!$AG25</f>
        <v>35</v>
      </c>
      <c r="N25" s="5">
        <f t="shared" si="0"/>
        <v>374</v>
      </c>
    </row>
    <row r="26" spans="1:14" ht="15.75" customHeight="1" x14ac:dyDescent="0.25">
      <c r="A26" s="56" t="s">
        <v>24</v>
      </c>
      <c r="B26" s="54">
        <f>+ENERO!$AG26</f>
        <v>45</v>
      </c>
      <c r="C26" s="54">
        <f>+FEBRERO!$AG26</f>
        <v>32</v>
      </c>
      <c r="D26" s="54">
        <f>+MARZO!$AG26</f>
        <v>52</v>
      </c>
      <c r="E26" s="54">
        <f>+ABRIL!$AG26</f>
        <v>30</v>
      </c>
      <c r="F26" s="54">
        <f>+MAYO!$AG26</f>
        <v>27</v>
      </c>
      <c r="G26" s="54">
        <f>+JUNIO!$AG26</f>
        <v>21</v>
      </c>
      <c r="H26" s="54">
        <f>+JULIO!$AG26</f>
        <v>29</v>
      </c>
      <c r="I26" s="54">
        <f>+AGOSTO!$AG26</f>
        <v>21</v>
      </c>
      <c r="J26" s="54">
        <f>+SEPTIEMBRE!$AG26</f>
        <v>28</v>
      </c>
      <c r="K26" s="54">
        <f>+OCTUBRE!$AG26</f>
        <v>34</v>
      </c>
      <c r="L26" s="54">
        <f>+NOVIEMBRE!$AG26</f>
        <v>42</v>
      </c>
      <c r="M26" s="54">
        <f>+DICIEMBRE!$AG26</f>
        <v>37</v>
      </c>
      <c r="N26" s="5">
        <f t="shared" si="0"/>
        <v>398</v>
      </c>
    </row>
    <row r="27" spans="1:14" ht="15.75" customHeight="1" thickBot="1" x14ac:dyDescent="0.3">
      <c r="A27" s="57" t="s">
        <v>25</v>
      </c>
      <c r="B27" s="58">
        <f>+ENERO!$AG27</f>
        <v>19</v>
      </c>
      <c r="C27" s="58">
        <f>+FEBRERO!$AG27</f>
        <v>17</v>
      </c>
      <c r="D27" s="58">
        <f>+MARZO!$AG27</f>
        <v>18</v>
      </c>
      <c r="E27" s="58">
        <f>+ABRIL!$AG27</f>
        <v>15</v>
      </c>
      <c r="F27" s="58">
        <f>+MAYO!$AG27</f>
        <v>14</v>
      </c>
      <c r="G27" s="58">
        <f>+JUNIO!$AG27</f>
        <v>18</v>
      </c>
      <c r="H27" s="58">
        <f>+JULIO!$AG27</f>
        <v>27</v>
      </c>
      <c r="I27" s="58">
        <f>+AGOSTO!$AG27</f>
        <v>16</v>
      </c>
      <c r="J27" s="58">
        <f>+SEPTIEMBRE!$AG27</f>
        <v>15</v>
      </c>
      <c r="K27" s="58">
        <f>+OCTUBRE!$AG27</f>
        <v>22</v>
      </c>
      <c r="L27" s="58">
        <f>+NOVIEMBRE!$AG27</f>
        <v>44</v>
      </c>
      <c r="M27" s="58">
        <f>+DICIEMBRE!$AG27</f>
        <v>38</v>
      </c>
      <c r="N27" s="5">
        <f t="shared" si="0"/>
        <v>263</v>
      </c>
    </row>
    <row r="28" spans="1:14" ht="15.75" customHeight="1" x14ac:dyDescent="0.25">
      <c r="A28" s="59" t="s">
        <v>26</v>
      </c>
      <c r="B28" s="6">
        <f>+ENERO!$AG28</f>
        <v>3973</v>
      </c>
      <c r="C28" s="6">
        <f>+FEBRERO!$AG28</f>
        <v>3314</v>
      </c>
      <c r="D28" s="6">
        <f>+MARZO!$AG28</f>
        <v>4019</v>
      </c>
      <c r="E28" s="6">
        <f>+ABRIL!$AG28</f>
        <v>3730</v>
      </c>
      <c r="F28" s="6">
        <f>+MAYO!$AG28</f>
        <v>4479</v>
      </c>
      <c r="G28" s="6">
        <f>+JUNIO!$AG28</f>
        <v>3821</v>
      </c>
      <c r="H28" s="6">
        <f>+JULIO!$AG28</f>
        <v>3853</v>
      </c>
      <c r="I28" s="6">
        <f>+AGOSTO!$AG28</f>
        <v>4002</v>
      </c>
      <c r="J28" s="6">
        <f>+SEPTIEMBRE!$AG28</f>
        <v>4058</v>
      </c>
      <c r="K28" s="6">
        <f>+OCTUBRE!$AG28</f>
        <v>4419</v>
      </c>
      <c r="L28" s="6">
        <f>+NOVIEMBRE!$AG28</f>
        <v>4506</v>
      </c>
      <c r="M28" s="6">
        <f>+DICIEMBRE!$AG28</f>
        <v>4382</v>
      </c>
      <c r="N28" s="7">
        <f t="shared" si="0"/>
        <v>48556</v>
      </c>
    </row>
    <row r="29" spans="1:14" ht="15.75" customHeight="1" x14ac:dyDescent="0.25">
      <c r="A29" s="53" t="s">
        <v>2</v>
      </c>
      <c r="B29" s="54">
        <f>+ENERO!$AG29</f>
        <v>24</v>
      </c>
      <c r="C29" s="54">
        <f>+FEBRERO!$AG29</f>
        <v>33</v>
      </c>
      <c r="D29" s="54">
        <f>+MARZO!$AG29</f>
        <v>29</v>
      </c>
      <c r="E29" s="54">
        <f>+ABRIL!$AG29</f>
        <v>41</v>
      </c>
      <c r="F29" s="54">
        <f>+MAYO!$AG29</f>
        <v>49</v>
      </c>
      <c r="G29" s="54">
        <f>+JUNIO!$AG29</f>
        <v>25</v>
      </c>
      <c r="H29" s="54">
        <f>+JULIO!$AG29</f>
        <v>28</v>
      </c>
      <c r="I29" s="54">
        <f>+AGOSTO!$AG29</f>
        <v>53</v>
      </c>
      <c r="J29" s="54">
        <f>+SEPTIEMBRE!$AG29</f>
        <v>35</v>
      </c>
      <c r="K29" s="54">
        <f>+OCTUBRE!$AG29</f>
        <v>33</v>
      </c>
      <c r="L29" s="54">
        <f>+NOVIEMBRE!$AG29</f>
        <v>43</v>
      </c>
      <c r="M29" s="54">
        <f>+DICIEMBRE!$AG29</f>
        <v>39</v>
      </c>
      <c r="N29" s="5">
        <f t="shared" si="0"/>
        <v>432</v>
      </c>
    </row>
    <row r="30" spans="1:14" ht="15.75" customHeight="1" x14ac:dyDescent="0.25">
      <c r="A30" s="56" t="s">
        <v>3</v>
      </c>
      <c r="B30" s="54">
        <f>+ENERO!$AG30</f>
        <v>46</v>
      </c>
      <c r="C30" s="54">
        <f>+FEBRERO!$AG30</f>
        <v>30</v>
      </c>
      <c r="D30" s="54">
        <f>+MARZO!$AG30</f>
        <v>60</v>
      </c>
      <c r="E30" s="54">
        <f>+ABRIL!$AG30</f>
        <v>71</v>
      </c>
      <c r="F30" s="54">
        <f>+MAYO!$AG30</f>
        <v>84</v>
      </c>
      <c r="G30" s="54">
        <f>+JUNIO!$AG30</f>
        <v>60</v>
      </c>
      <c r="H30" s="54">
        <f>+JULIO!$AG30</f>
        <v>69</v>
      </c>
      <c r="I30" s="54">
        <f>+AGOSTO!$AG30</f>
        <v>93</v>
      </c>
      <c r="J30" s="54">
        <f>+SEPTIEMBRE!$AG30</f>
        <v>53</v>
      </c>
      <c r="K30" s="54">
        <f>+OCTUBRE!$AG30</f>
        <v>87</v>
      </c>
      <c r="L30" s="54">
        <f>+NOVIEMBRE!$AG30</f>
        <v>83</v>
      </c>
      <c r="M30" s="54">
        <f>+DICIEMBRE!$AG30</f>
        <v>72</v>
      </c>
      <c r="N30" s="5">
        <f t="shared" si="0"/>
        <v>808</v>
      </c>
    </row>
    <row r="31" spans="1:14" ht="15.75" customHeight="1" x14ac:dyDescent="0.25">
      <c r="A31" s="56" t="s">
        <v>4</v>
      </c>
      <c r="B31" s="54">
        <f>+ENERO!$AG31</f>
        <v>75</v>
      </c>
      <c r="C31" s="54">
        <f>+FEBRERO!$AG31</f>
        <v>68</v>
      </c>
      <c r="D31" s="54">
        <f>+MARZO!$AG31</f>
        <v>103</v>
      </c>
      <c r="E31" s="54">
        <f>+ABRIL!$AG31</f>
        <v>106</v>
      </c>
      <c r="F31" s="54">
        <f>+MAYO!$AG31</f>
        <v>128</v>
      </c>
      <c r="G31" s="54">
        <f>+JUNIO!$AG31</f>
        <v>80</v>
      </c>
      <c r="H31" s="54">
        <f>+JULIO!$AG31</f>
        <v>70</v>
      </c>
      <c r="I31" s="54">
        <f>+AGOSTO!$AG31</f>
        <v>104</v>
      </c>
      <c r="J31" s="54">
        <f>+SEPTIEMBRE!$AG31</f>
        <v>98</v>
      </c>
      <c r="K31" s="54">
        <f>+OCTUBRE!$AG31</f>
        <v>107</v>
      </c>
      <c r="L31" s="54">
        <f>+NOVIEMBRE!$AG31</f>
        <v>105</v>
      </c>
      <c r="M31" s="54">
        <f>+DICIEMBRE!$AG31</f>
        <v>114</v>
      </c>
      <c r="N31" s="5">
        <f t="shared" si="0"/>
        <v>1158</v>
      </c>
    </row>
    <row r="32" spans="1:14" ht="15.75" customHeight="1" x14ac:dyDescent="0.25">
      <c r="A32" s="56" t="s">
        <v>5</v>
      </c>
      <c r="B32" s="54">
        <f>+ENERO!$AG32</f>
        <v>95</v>
      </c>
      <c r="C32" s="54">
        <f>+FEBRERO!$AG32</f>
        <v>73</v>
      </c>
      <c r="D32" s="54">
        <f>+MARZO!$AG32</f>
        <v>93</v>
      </c>
      <c r="E32" s="54">
        <f>+ABRIL!$AG32</f>
        <v>113</v>
      </c>
      <c r="F32" s="54">
        <f>+MAYO!$AG32</f>
        <v>141</v>
      </c>
      <c r="G32" s="54">
        <f>+JUNIO!$AG32</f>
        <v>107</v>
      </c>
      <c r="H32" s="54">
        <f>+JULIO!$AG32</f>
        <v>78</v>
      </c>
      <c r="I32" s="54">
        <f>+AGOSTO!$AG32</f>
        <v>131</v>
      </c>
      <c r="J32" s="54">
        <f>+SEPTIEMBRE!$AG32</f>
        <v>105</v>
      </c>
      <c r="K32" s="54">
        <f>+OCTUBRE!$AG32</f>
        <v>92</v>
      </c>
      <c r="L32" s="54">
        <f>+NOVIEMBRE!$AG32</f>
        <v>102</v>
      </c>
      <c r="M32" s="54">
        <f>+DICIEMBRE!$AG32</f>
        <v>107</v>
      </c>
      <c r="N32" s="5">
        <f t="shared" si="0"/>
        <v>1237</v>
      </c>
    </row>
    <row r="33" spans="1:14" ht="15.75" customHeight="1" x14ac:dyDescent="0.25">
      <c r="A33" s="56" t="s">
        <v>6</v>
      </c>
      <c r="B33" s="54">
        <f>+ENERO!$AG33</f>
        <v>91</v>
      </c>
      <c r="C33" s="54">
        <f>+FEBRERO!$AG33</f>
        <v>79</v>
      </c>
      <c r="D33" s="54">
        <f>+MARZO!$AG33</f>
        <v>108</v>
      </c>
      <c r="E33" s="54">
        <f>+ABRIL!$AG33</f>
        <v>108</v>
      </c>
      <c r="F33" s="54">
        <f>+MAYO!$AG33</f>
        <v>133</v>
      </c>
      <c r="G33" s="54">
        <f>+JUNIO!$AG33</f>
        <v>105</v>
      </c>
      <c r="H33" s="54">
        <f>+JULIO!$AG33</f>
        <v>97</v>
      </c>
      <c r="I33" s="54">
        <f>+AGOSTO!$AG33</f>
        <v>152</v>
      </c>
      <c r="J33" s="54">
        <f>+SEPTIEMBRE!$AG33</f>
        <v>115</v>
      </c>
      <c r="K33" s="54">
        <f>+OCTUBRE!$AG33</f>
        <v>104</v>
      </c>
      <c r="L33" s="54">
        <f>+NOVIEMBRE!$AG33</f>
        <v>109</v>
      </c>
      <c r="M33" s="54">
        <f>+DICIEMBRE!$AG33</f>
        <v>122</v>
      </c>
      <c r="N33" s="5">
        <f t="shared" si="0"/>
        <v>1323</v>
      </c>
    </row>
    <row r="34" spans="1:14" ht="15.75" customHeight="1" x14ac:dyDescent="0.25">
      <c r="A34" s="56" t="s">
        <v>7</v>
      </c>
      <c r="B34" s="54">
        <f>+ENERO!$AG34</f>
        <v>68</v>
      </c>
      <c r="C34" s="54">
        <f>+FEBRERO!$AG34</f>
        <v>63</v>
      </c>
      <c r="D34" s="54">
        <f>+MARZO!$AG34</f>
        <v>82</v>
      </c>
      <c r="E34" s="54">
        <f>+ABRIL!$AG34</f>
        <v>58</v>
      </c>
      <c r="F34" s="54">
        <f>+MAYO!$AG34</f>
        <v>101</v>
      </c>
      <c r="G34" s="54">
        <f>+JUNIO!$AG34</f>
        <v>86</v>
      </c>
      <c r="H34" s="54">
        <f>+JULIO!$AG34</f>
        <v>94</v>
      </c>
      <c r="I34" s="54">
        <f>+AGOSTO!$AG34</f>
        <v>102</v>
      </c>
      <c r="J34" s="54">
        <f>+SEPTIEMBRE!$AG34</f>
        <v>86</v>
      </c>
      <c r="K34" s="54">
        <f>+OCTUBRE!$AG34</f>
        <v>81</v>
      </c>
      <c r="L34" s="54">
        <f>+NOVIEMBRE!$AG34</f>
        <v>104</v>
      </c>
      <c r="M34" s="54">
        <f>+DICIEMBRE!$AG34</f>
        <v>92</v>
      </c>
      <c r="N34" s="5">
        <f t="shared" si="0"/>
        <v>1017</v>
      </c>
    </row>
    <row r="35" spans="1:14" ht="15.75" customHeight="1" x14ac:dyDescent="0.25">
      <c r="A35" s="56" t="s">
        <v>8</v>
      </c>
      <c r="B35" s="54">
        <f>+ENERO!$AG35</f>
        <v>71</v>
      </c>
      <c r="C35" s="54">
        <f>+FEBRERO!$AG35</f>
        <v>64</v>
      </c>
      <c r="D35" s="54">
        <f>+MARZO!$AG35</f>
        <v>68</v>
      </c>
      <c r="E35" s="54">
        <f>+ABRIL!$AG35</f>
        <v>73</v>
      </c>
      <c r="F35" s="54">
        <f>+MAYO!$AG35</f>
        <v>106</v>
      </c>
      <c r="G35" s="54">
        <f>+JUNIO!$AG35</f>
        <v>105</v>
      </c>
      <c r="H35" s="54">
        <f>+JULIO!$AG35</f>
        <v>82</v>
      </c>
      <c r="I35" s="54">
        <f>+AGOSTO!$AG35</f>
        <v>128</v>
      </c>
      <c r="J35" s="54">
        <f>+SEPTIEMBRE!$AG35</f>
        <v>106</v>
      </c>
      <c r="K35" s="54">
        <f>+OCTUBRE!$AG35</f>
        <v>82</v>
      </c>
      <c r="L35" s="54">
        <f>+NOVIEMBRE!$AG35</f>
        <v>60</v>
      </c>
      <c r="M35" s="54">
        <f>+DICIEMBRE!$AG35</f>
        <v>74</v>
      </c>
      <c r="N35" s="5">
        <f t="shared" ref="N35:N66" si="1">SUM(B35:M35)</f>
        <v>1019</v>
      </c>
    </row>
    <row r="36" spans="1:14" ht="15.75" customHeight="1" x14ac:dyDescent="0.25">
      <c r="A36" s="56" t="s">
        <v>9</v>
      </c>
      <c r="B36" s="54">
        <f>+ENERO!$AG36</f>
        <v>77</v>
      </c>
      <c r="C36" s="54">
        <f>+FEBRERO!$AG36</f>
        <v>72</v>
      </c>
      <c r="D36" s="54">
        <f>+MARZO!$AG36</f>
        <v>99</v>
      </c>
      <c r="E36" s="54">
        <f>+ABRIL!$AG36</f>
        <v>87</v>
      </c>
      <c r="F36" s="54">
        <f>+MAYO!$AG36</f>
        <v>111</v>
      </c>
      <c r="G36" s="54">
        <f>+JUNIO!$AG36</f>
        <v>102</v>
      </c>
      <c r="H36" s="54">
        <f>+JULIO!$AG36</f>
        <v>93</v>
      </c>
      <c r="I36" s="54">
        <f>+AGOSTO!$AG36</f>
        <v>125</v>
      </c>
      <c r="J36" s="54">
        <f>+SEPTIEMBRE!$AG36</f>
        <v>86</v>
      </c>
      <c r="K36" s="54">
        <f>+OCTUBRE!$AG36</f>
        <v>114</v>
      </c>
      <c r="L36" s="54">
        <f>+NOVIEMBRE!$AG36</f>
        <v>106</v>
      </c>
      <c r="M36" s="54">
        <f>+DICIEMBRE!$AG36</f>
        <v>82</v>
      </c>
      <c r="N36" s="5">
        <f t="shared" si="1"/>
        <v>1154</v>
      </c>
    </row>
    <row r="37" spans="1:14" ht="15.75" customHeight="1" x14ac:dyDescent="0.25">
      <c r="A37" s="56" t="s">
        <v>10</v>
      </c>
      <c r="B37" s="54">
        <f>+ENERO!$AG37</f>
        <v>116</v>
      </c>
      <c r="C37" s="54">
        <f>+FEBRERO!$AG37</f>
        <v>87</v>
      </c>
      <c r="D37" s="54">
        <f>+MARZO!$AG37</f>
        <v>117</v>
      </c>
      <c r="E37" s="54">
        <f>+ABRIL!$AG37</f>
        <v>120</v>
      </c>
      <c r="F37" s="54">
        <f>+MAYO!$AG37</f>
        <v>194</v>
      </c>
      <c r="G37" s="54">
        <f>+JUNIO!$AG37</f>
        <v>141</v>
      </c>
      <c r="H37" s="54">
        <f>+JULIO!$AG37</f>
        <v>128</v>
      </c>
      <c r="I37" s="54">
        <f>+AGOSTO!$AG37</f>
        <v>140</v>
      </c>
      <c r="J37" s="54">
        <f>+SEPTIEMBRE!$AG37</f>
        <v>122</v>
      </c>
      <c r="K37" s="54">
        <f>+OCTUBRE!$AG37</f>
        <v>169</v>
      </c>
      <c r="L37" s="54">
        <f>+NOVIEMBRE!$AG37</f>
        <v>160</v>
      </c>
      <c r="M37" s="54">
        <f>+DICIEMBRE!$AG37</f>
        <v>116</v>
      </c>
      <c r="N37" s="5">
        <f t="shared" si="1"/>
        <v>1610</v>
      </c>
    </row>
    <row r="38" spans="1:14" ht="15.75" customHeight="1" x14ac:dyDescent="0.25">
      <c r="A38" s="56" t="s">
        <v>11</v>
      </c>
      <c r="B38" s="54">
        <f>+ENERO!$AG38</f>
        <v>310</v>
      </c>
      <c r="C38" s="54">
        <f>+FEBRERO!$AG38</f>
        <v>274</v>
      </c>
      <c r="D38" s="54">
        <f>+MARZO!$AG38</f>
        <v>272</v>
      </c>
      <c r="E38" s="54">
        <f>+ABRIL!$AG38</f>
        <v>313</v>
      </c>
      <c r="F38" s="54">
        <f>+MAYO!$AG38</f>
        <v>392</v>
      </c>
      <c r="G38" s="54">
        <f>+JUNIO!$AG38</f>
        <v>319</v>
      </c>
      <c r="H38" s="54">
        <f>+JULIO!$AG38</f>
        <v>325</v>
      </c>
      <c r="I38" s="54">
        <f>+AGOSTO!$AG38</f>
        <v>314</v>
      </c>
      <c r="J38" s="54">
        <f>+SEPTIEMBRE!$AG38</f>
        <v>313</v>
      </c>
      <c r="K38" s="54">
        <f>+OCTUBRE!$AG38</f>
        <v>367</v>
      </c>
      <c r="L38" s="54">
        <f>+NOVIEMBRE!$AG38</f>
        <v>307</v>
      </c>
      <c r="M38" s="54">
        <f>+DICIEMBRE!$AG38</f>
        <v>324</v>
      </c>
      <c r="N38" s="5">
        <f t="shared" si="1"/>
        <v>3830</v>
      </c>
    </row>
    <row r="39" spans="1:14" ht="15.75" customHeight="1" x14ac:dyDescent="0.25">
      <c r="A39" s="56" t="s">
        <v>12</v>
      </c>
      <c r="B39" s="54">
        <f>+ENERO!$AG39</f>
        <v>418</v>
      </c>
      <c r="C39" s="54">
        <f>+FEBRERO!$AG39</f>
        <v>352</v>
      </c>
      <c r="D39" s="54">
        <f>+MARZO!$AG39</f>
        <v>444</v>
      </c>
      <c r="E39" s="54">
        <f>+ABRIL!$AG39</f>
        <v>411</v>
      </c>
      <c r="F39" s="54">
        <f>+MAYO!$AG39</f>
        <v>518</v>
      </c>
      <c r="G39" s="54">
        <f>+JUNIO!$AG39</f>
        <v>549</v>
      </c>
      <c r="H39" s="54">
        <f>+JULIO!$AG39</f>
        <v>559</v>
      </c>
      <c r="I39" s="54">
        <f>+AGOSTO!$AG39</f>
        <v>477</v>
      </c>
      <c r="J39" s="54">
        <f>+SEPTIEMBRE!$AG39</f>
        <v>471</v>
      </c>
      <c r="K39" s="54">
        <f>+OCTUBRE!$AG39</f>
        <v>479</v>
      </c>
      <c r="L39" s="54">
        <f>+NOVIEMBRE!$AG39</f>
        <v>464</v>
      </c>
      <c r="M39" s="54">
        <f>+DICIEMBRE!$AG39</f>
        <v>489</v>
      </c>
      <c r="N39" s="5">
        <f t="shared" si="1"/>
        <v>5631</v>
      </c>
    </row>
    <row r="40" spans="1:14" ht="15.75" customHeight="1" x14ac:dyDescent="0.25">
      <c r="A40" s="56" t="s">
        <v>13</v>
      </c>
      <c r="B40" s="54">
        <f>+ENERO!$AG40</f>
        <v>470</v>
      </c>
      <c r="C40" s="54">
        <f>+FEBRERO!$AG40</f>
        <v>401</v>
      </c>
      <c r="D40" s="54">
        <f>+MARZO!$AG40</f>
        <v>463</v>
      </c>
      <c r="E40" s="54">
        <f>+ABRIL!$AG40</f>
        <v>423</v>
      </c>
      <c r="F40" s="54">
        <f>+MAYO!$AG40</f>
        <v>535</v>
      </c>
      <c r="G40" s="54">
        <f>+JUNIO!$AG40</f>
        <v>508</v>
      </c>
      <c r="H40" s="54">
        <f>+JULIO!$AG40</f>
        <v>547</v>
      </c>
      <c r="I40" s="54">
        <f>+AGOSTO!$AG40</f>
        <v>506</v>
      </c>
      <c r="J40" s="54">
        <f>+SEPTIEMBRE!$AG40</f>
        <v>440</v>
      </c>
      <c r="K40" s="54">
        <f>+OCTUBRE!$AG40</f>
        <v>543</v>
      </c>
      <c r="L40" s="54">
        <f>+NOVIEMBRE!$AG40</f>
        <v>483</v>
      </c>
      <c r="M40" s="54">
        <f>+DICIEMBRE!$AG40</f>
        <v>527</v>
      </c>
      <c r="N40" s="5">
        <f t="shared" si="1"/>
        <v>5846</v>
      </c>
    </row>
    <row r="41" spans="1:14" ht="15.75" customHeight="1" x14ac:dyDescent="0.25">
      <c r="A41" s="56" t="s">
        <v>14</v>
      </c>
      <c r="B41" s="54">
        <f>+ENERO!$AG41</f>
        <v>429</v>
      </c>
      <c r="C41" s="54">
        <f>+FEBRERO!$AG41</f>
        <v>348</v>
      </c>
      <c r="D41" s="54">
        <f>+MARZO!$AG41</f>
        <v>447</v>
      </c>
      <c r="E41" s="54">
        <f>+ABRIL!$AG41</f>
        <v>374</v>
      </c>
      <c r="F41" s="54">
        <f>+MAYO!$AG41</f>
        <v>500</v>
      </c>
      <c r="G41" s="54">
        <f>+JUNIO!$AG41</f>
        <v>453</v>
      </c>
      <c r="H41" s="54">
        <f>+JULIO!$AG41</f>
        <v>463</v>
      </c>
      <c r="I41" s="54">
        <f>+AGOSTO!$AG41</f>
        <v>419</v>
      </c>
      <c r="J41" s="54">
        <f>+SEPTIEMBRE!$AG41</f>
        <v>465</v>
      </c>
      <c r="K41" s="54">
        <f>+OCTUBRE!$AG41</f>
        <v>483</v>
      </c>
      <c r="L41" s="54">
        <f>+NOVIEMBRE!$AG41</f>
        <v>492</v>
      </c>
      <c r="M41" s="54">
        <f>+DICIEMBRE!$AG41</f>
        <v>456</v>
      </c>
      <c r="N41" s="5">
        <f t="shared" si="1"/>
        <v>5329</v>
      </c>
    </row>
    <row r="42" spans="1:14" ht="15.75" customHeight="1" x14ac:dyDescent="0.25">
      <c r="A42" s="56" t="s">
        <v>15</v>
      </c>
      <c r="B42" s="54">
        <f>+ENERO!$AG42</f>
        <v>347</v>
      </c>
      <c r="C42" s="54">
        <f>+FEBRERO!$AG42</f>
        <v>301</v>
      </c>
      <c r="D42" s="54">
        <f>+MARZO!$AG42</f>
        <v>390</v>
      </c>
      <c r="E42" s="54">
        <f>+ABRIL!$AG42</f>
        <v>335</v>
      </c>
      <c r="F42" s="54">
        <f>+MAYO!$AG42</f>
        <v>392</v>
      </c>
      <c r="G42" s="54">
        <f>+JUNIO!$AG42</f>
        <v>325</v>
      </c>
      <c r="H42" s="54">
        <f>+JULIO!$AG42</f>
        <v>330</v>
      </c>
      <c r="I42" s="54">
        <f>+AGOSTO!$AG42</f>
        <v>326</v>
      </c>
      <c r="J42" s="54">
        <f>+SEPTIEMBRE!$AG42</f>
        <v>402</v>
      </c>
      <c r="K42" s="54">
        <f>+OCTUBRE!$AG42</f>
        <v>412</v>
      </c>
      <c r="L42" s="54">
        <f>+NOVIEMBRE!$AG42</f>
        <v>420</v>
      </c>
      <c r="M42" s="54">
        <f>+DICIEMBRE!$AG42</f>
        <v>379</v>
      </c>
      <c r="N42" s="5">
        <f t="shared" si="1"/>
        <v>4359</v>
      </c>
    </row>
    <row r="43" spans="1:14" ht="15.75" customHeight="1" x14ac:dyDescent="0.25">
      <c r="A43" s="56" t="s">
        <v>16</v>
      </c>
      <c r="B43" s="54">
        <f>+ENERO!$AG43</f>
        <v>258</v>
      </c>
      <c r="C43" s="54">
        <f>+FEBRERO!$AG43</f>
        <v>261</v>
      </c>
      <c r="D43" s="54">
        <f>+MARZO!$AG43</f>
        <v>292</v>
      </c>
      <c r="E43" s="54">
        <f>+ABRIL!$AG43</f>
        <v>268</v>
      </c>
      <c r="F43" s="54">
        <f>+MAYO!$AG43</f>
        <v>256</v>
      </c>
      <c r="G43" s="54">
        <f>+JUNIO!$AG43</f>
        <v>243</v>
      </c>
      <c r="H43" s="54">
        <f>+JULIO!$AG43</f>
        <v>248</v>
      </c>
      <c r="I43" s="54">
        <f>+AGOSTO!$AG43</f>
        <v>259</v>
      </c>
      <c r="J43" s="54">
        <f>+SEPTIEMBRE!$AG43</f>
        <v>288</v>
      </c>
      <c r="K43" s="54">
        <f>+OCTUBRE!$AG43</f>
        <v>311</v>
      </c>
      <c r="L43" s="54">
        <f>+NOVIEMBRE!$AG43</f>
        <v>328</v>
      </c>
      <c r="M43" s="54">
        <f>+DICIEMBRE!$AG43</f>
        <v>300</v>
      </c>
      <c r="N43" s="5">
        <f t="shared" si="1"/>
        <v>3312</v>
      </c>
    </row>
    <row r="44" spans="1:14" ht="15.75" customHeight="1" x14ac:dyDescent="0.25">
      <c r="A44" s="56" t="s">
        <v>17</v>
      </c>
      <c r="B44" s="54">
        <f>+ENERO!$AG44</f>
        <v>238</v>
      </c>
      <c r="C44" s="54">
        <f>+FEBRERO!$AG44</f>
        <v>176</v>
      </c>
      <c r="D44" s="54">
        <f>+MARZO!$AG44</f>
        <v>204</v>
      </c>
      <c r="E44" s="54">
        <f>+ABRIL!$AG44</f>
        <v>180</v>
      </c>
      <c r="F44" s="54">
        <f>+MAYO!$AG44</f>
        <v>200</v>
      </c>
      <c r="G44" s="54">
        <f>+JUNIO!$AG44</f>
        <v>159</v>
      </c>
      <c r="H44" s="54">
        <f>+JULIO!$AG44</f>
        <v>160</v>
      </c>
      <c r="I44" s="54">
        <f>+AGOSTO!$AG44</f>
        <v>197</v>
      </c>
      <c r="J44" s="54">
        <f>+SEPTIEMBRE!$AG44</f>
        <v>208</v>
      </c>
      <c r="K44" s="54">
        <f>+OCTUBRE!$AG44</f>
        <v>217</v>
      </c>
      <c r="L44" s="54">
        <f>+NOVIEMBRE!$AG44</f>
        <v>243</v>
      </c>
      <c r="M44" s="54">
        <f>+DICIEMBRE!$AG44</f>
        <v>215</v>
      </c>
      <c r="N44" s="5">
        <f t="shared" si="1"/>
        <v>2397</v>
      </c>
    </row>
    <row r="45" spans="1:14" ht="15.75" customHeight="1" x14ac:dyDescent="0.25">
      <c r="A45" s="56" t="s">
        <v>18</v>
      </c>
      <c r="B45" s="54">
        <f>+ENERO!$AG45</f>
        <v>206</v>
      </c>
      <c r="C45" s="54">
        <f>+FEBRERO!$AG45</f>
        <v>172</v>
      </c>
      <c r="D45" s="54">
        <f>+MARZO!$AG45</f>
        <v>190</v>
      </c>
      <c r="E45" s="54">
        <f>+ABRIL!$AG45</f>
        <v>197</v>
      </c>
      <c r="F45" s="54">
        <f>+MAYO!$AG45</f>
        <v>151</v>
      </c>
      <c r="G45" s="54">
        <f>+JUNIO!$AG45</f>
        <v>132</v>
      </c>
      <c r="H45" s="54">
        <f>+JULIO!$AG45</f>
        <v>143</v>
      </c>
      <c r="I45" s="54">
        <f>+AGOSTO!$AG45</f>
        <v>142</v>
      </c>
      <c r="J45" s="54">
        <f>+SEPTIEMBRE!$AG45</f>
        <v>179</v>
      </c>
      <c r="K45" s="54">
        <f>+OCTUBRE!$AG45</f>
        <v>196</v>
      </c>
      <c r="L45" s="54">
        <f>+NOVIEMBRE!$AG45</f>
        <v>229</v>
      </c>
      <c r="M45" s="54">
        <f>+DICIEMBRE!$AG45</f>
        <v>212</v>
      </c>
      <c r="N45" s="5">
        <f t="shared" si="1"/>
        <v>2149</v>
      </c>
    </row>
    <row r="46" spans="1:14" ht="15.75" customHeight="1" x14ac:dyDescent="0.25">
      <c r="A46" s="56" t="s">
        <v>19</v>
      </c>
      <c r="B46" s="54">
        <f>+ENERO!$AG46</f>
        <v>200</v>
      </c>
      <c r="C46" s="54">
        <f>+FEBRERO!$AG46</f>
        <v>154</v>
      </c>
      <c r="D46" s="54">
        <f>+MARZO!$AG46</f>
        <v>191</v>
      </c>
      <c r="E46" s="54">
        <f>+ABRIL!$AG46</f>
        <v>167</v>
      </c>
      <c r="F46" s="54">
        <f>+MAYO!$AG46</f>
        <v>158</v>
      </c>
      <c r="G46" s="54">
        <f>+JUNIO!$AG46</f>
        <v>115</v>
      </c>
      <c r="H46" s="54">
        <f>+JULIO!$AG46</f>
        <v>102</v>
      </c>
      <c r="I46" s="54">
        <f>+AGOSTO!$AG46</f>
        <v>118</v>
      </c>
      <c r="J46" s="54">
        <f>+SEPTIEMBRE!$AG46</f>
        <v>152</v>
      </c>
      <c r="K46" s="54">
        <f>+OCTUBRE!$AG46</f>
        <v>182</v>
      </c>
      <c r="L46" s="54">
        <f>+NOVIEMBRE!$AG46</f>
        <v>247</v>
      </c>
      <c r="M46" s="54">
        <f>+DICIEMBRE!$AG46</f>
        <v>181</v>
      </c>
      <c r="N46" s="5">
        <f t="shared" si="1"/>
        <v>1967</v>
      </c>
    </row>
    <row r="47" spans="1:14" ht="15.75" customHeight="1" x14ac:dyDescent="0.25">
      <c r="A47" s="56" t="s">
        <v>20</v>
      </c>
      <c r="B47" s="54">
        <f>+ENERO!$AG47</f>
        <v>143</v>
      </c>
      <c r="C47" s="54">
        <f>+FEBRERO!$AG47</f>
        <v>111</v>
      </c>
      <c r="D47" s="54">
        <f>+MARZO!$AG47</f>
        <v>135</v>
      </c>
      <c r="E47" s="54">
        <f>+ABRIL!$AG47</f>
        <v>104</v>
      </c>
      <c r="F47" s="54">
        <f>+MAYO!$AG47</f>
        <v>95</v>
      </c>
      <c r="G47" s="54">
        <f>+JUNIO!$AG47</f>
        <v>85</v>
      </c>
      <c r="H47" s="54">
        <f>+JULIO!$AG47</f>
        <v>65</v>
      </c>
      <c r="I47" s="54">
        <f>+AGOSTO!$AG47</f>
        <v>70</v>
      </c>
      <c r="J47" s="54">
        <f>+SEPTIEMBRE!$AG47</f>
        <v>123</v>
      </c>
      <c r="K47" s="54">
        <f>+OCTUBRE!$AG47</f>
        <v>125</v>
      </c>
      <c r="L47" s="54">
        <f>+NOVIEMBRE!$AG47</f>
        <v>136</v>
      </c>
      <c r="M47" s="54">
        <f>+DICIEMBRE!$AG47</f>
        <v>142</v>
      </c>
      <c r="N47" s="5">
        <f t="shared" si="1"/>
        <v>1334</v>
      </c>
    </row>
    <row r="48" spans="1:14" ht="15.75" customHeight="1" x14ac:dyDescent="0.25">
      <c r="A48" s="56" t="s">
        <v>21</v>
      </c>
      <c r="B48" s="54">
        <f>+ENERO!$AG48</f>
        <v>77</v>
      </c>
      <c r="C48" s="54">
        <f>+FEBRERO!$AG48</f>
        <v>62</v>
      </c>
      <c r="D48" s="54">
        <f>+MARZO!$AG48</f>
        <v>80</v>
      </c>
      <c r="E48" s="54">
        <f>+ABRIL!$AG48</f>
        <v>66</v>
      </c>
      <c r="F48" s="54">
        <f>+MAYO!$AG48</f>
        <v>78</v>
      </c>
      <c r="G48" s="54">
        <f>+JUNIO!$AG48</f>
        <v>30</v>
      </c>
      <c r="H48" s="54">
        <f>+JULIO!$AG48</f>
        <v>64</v>
      </c>
      <c r="I48" s="54">
        <f>+AGOSTO!$AG48</f>
        <v>53</v>
      </c>
      <c r="J48" s="54">
        <f>+SEPTIEMBRE!$AG48</f>
        <v>84</v>
      </c>
      <c r="K48" s="54">
        <f>+OCTUBRE!$AG48</f>
        <v>70</v>
      </c>
      <c r="L48" s="54">
        <f>+NOVIEMBRE!$AG48</f>
        <v>92</v>
      </c>
      <c r="M48" s="54">
        <f>+DICIEMBRE!$AG48</f>
        <v>109</v>
      </c>
      <c r="N48" s="5">
        <f t="shared" si="1"/>
        <v>865</v>
      </c>
    </row>
    <row r="49" spans="1:14" ht="15.75" customHeight="1" x14ac:dyDescent="0.25">
      <c r="A49" s="56" t="s">
        <v>22</v>
      </c>
      <c r="B49" s="54">
        <f>+ENERO!$AG49</f>
        <v>86</v>
      </c>
      <c r="C49" s="54">
        <f>+FEBRERO!$AG49</f>
        <v>45</v>
      </c>
      <c r="D49" s="54">
        <f>+MARZO!$AG49</f>
        <v>36</v>
      </c>
      <c r="E49" s="54">
        <f>+ABRIL!$AG49</f>
        <v>41</v>
      </c>
      <c r="F49" s="54">
        <f>+MAYO!$AG49</f>
        <v>57</v>
      </c>
      <c r="G49" s="54">
        <f>+JUNIO!$AG49</f>
        <v>26</v>
      </c>
      <c r="H49" s="54">
        <f>+JULIO!$AG49</f>
        <v>25</v>
      </c>
      <c r="I49" s="54">
        <f>+AGOSTO!$AG49</f>
        <v>34</v>
      </c>
      <c r="J49" s="54">
        <f>+SEPTIEMBRE!$AG49</f>
        <v>43</v>
      </c>
      <c r="K49" s="54">
        <f>+OCTUBRE!$AG49</f>
        <v>39</v>
      </c>
      <c r="L49" s="54">
        <f>+NOVIEMBRE!$AG49</f>
        <v>56</v>
      </c>
      <c r="M49" s="54">
        <f>+DICIEMBRE!$AG49</f>
        <v>63</v>
      </c>
      <c r="N49" s="5">
        <f t="shared" si="1"/>
        <v>551</v>
      </c>
    </row>
    <row r="50" spans="1:14" ht="15.75" customHeight="1" x14ac:dyDescent="0.25">
      <c r="A50" s="56" t="s">
        <v>23</v>
      </c>
      <c r="B50" s="54">
        <f>+ENERO!$AG50</f>
        <v>46</v>
      </c>
      <c r="C50" s="54">
        <f>+FEBRERO!$AG50</f>
        <v>38</v>
      </c>
      <c r="D50" s="54">
        <f>+MARZO!$AG50</f>
        <v>31</v>
      </c>
      <c r="E50" s="54">
        <f>+ABRIL!$AG50</f>
        <v>26</v>
      </c>
      <c r="F50" s="54">
        <f>+MAYO!$AG50</f>
        <v>47</v>
      </c>
      <c r="G50" s="54">
        <f>+JUNIO!$AG50</f>
        <v>23</v>
      </c>
      <c r="H50" s="54">
        <f>+JULIO!$AG50</f>
        <v>28</v>
      </c>
      <c r="I50" s="54">
        <f>+AGOSTO!$AG50</f>
        <v>22</v>
      </c>
      <c r="J50" s="54">
        <f>+SEPTIEMBRE!$AG50</f>
        <v>31</v>
      </c>
      <c r="K50" s="54">
        <f>+OCTUBRE!$AG50</f>
        <v>44</v>
      </c>
      <c r="L50" s="54">
        <f>+NOVIEMBRE!$AG50</f>
        <v>44</v>
      </c>
      <c r="M50" s="54">
        <f>+DICIEMBRE!$AG50</f>
        <v>36</v>
      </c>
      <c r="N50" s="5">
        <f t="shared" si="1"/>
        <v>416</v>
      </c>
    </row>
    <row r="51" spans="1:14" ht="15.75" customHeight="1" x14ac:dyDescent="0.25">
      <c r="A51" s="56" t="s">
        <v>24</v>
      </c>
      <c r="B51" s="54">
        <f>+ENERO!$AG51</f>
        <v>48</v>
      </c>
      <c r="C51" s="54">
        <f>+FEBRERO!$AG51</f>
        <v>35</v>
      </c>
      <c r="D51" s="54">
        <f>+MARZO!$AG51</f>
        <v>57</v>
      </c>
      <c r="E51" s="54">
        <f>+ABRIL!$AG51</f>
        <v>34</v>
      </c>
      <c r="F51" s="54">
        <f>+MAYO!$AG51</f>
        <v>33</v>
      </c>
      <c r="G51" s="54">
        <f>+JUNIO!$AG51</f>
        <v>26</v>
      </c>
      <c r="H51" s="54">
        <f>+JULIO!$AG51</f>
        <v>32</v>
      </c>
      <c r="I51" s="54">
        <f>+AGOSTO!$AG51</f>
        <v>17</v>
      </c>
      <c r="J51" s="54">
        <f>+SEPTIEMBRE!$AG51</f>
        <v>32</v>
      </c>
      <c r="K51" s="54">
        <f>+OCTUBRE!$AG51</f>
        <v>38</v>
      </c>
      <c r="L51" s="54">
        <f>+NOVIEMBRE!$AG51</f>
        <v>36</v>
      </c>
      <c r="M51" s="54">
        <f>+DICIEMBRE!$AG51</f>
        <v>44</v>
      </c>
      <c r="N51" s="5">
        <f t="shared" si="1"/>
        <v>432</v>
      </c>
    </row>
    <row r="52" spans="1:14" ht="15.75" customHeight="1" thickBot="1" x14ac:dyDescent="0.3">
      <c r="A52" s="57" t="s">
        <v>25</v>
      </c>
      <c r="B52" s="58">
        <f>+ENERO!$AG52</f>
        <v>34</v>
      </c>
      <c r="C52" s="58">
        <f>+FEBRERO!$AG52</f>
        <v>15</v>
      </c>
      <c r="D52" s="58">
        <f>+MARZO!$AG52</f>
        <v>28</v>
      </c>
      <c r="E52" s="58">
        <f>+ABRIL!$AG52</f>
        <v>14</v>
      </c>
      <c r="F52" s="58">
        <f>+MAYO!$AG52</f>
        <v>20</v>
      </c>
      <c r="G52" s="58">
        <f>+JUNIO!$AG52</f>
        <v>17</v>
      </c>
      <c r="H52" s="58">
        <f>+JULIO!$AG52</f>
        <v>23</v>
      </c>
      <c r="I52" s="58">
        <f>+AGOSTO!$AG52</f>
        <v>20</v>
      </c>
      <c r="J52" s="58">
        <f>+SEPTIEMBRE!$AG52</f>
        <v>21</v>
      </c>
      <c r="K52" s="58">
        <f>+OCTUBRE!$AG52</f>
        <v>44</v>
      </c>
      <c r="L52" s="58">
        <f>+NOVIEMBRE!$AG52</f>
        <v>57</v>
      </c>
      <c r="M52" s="58">
        <f>+DICIEMBRE!$AG52</f>
        <v>87</v>
      </c>
      <c r="N52" s="9">
        <f t="shared" si="1"/>
        <v>380</v>
      </c>
    </row>
    <row r="53" spans="1:14" ht="15.75" customHeight="1" thickBot="1" x14ac:dyDescent="0.3">
      <c r="A53" s="52" t="s">
        <v>27</v>
      </c>
      <c r="B53" s="1">
        <f>+ENERO!$AG53</f>
        <v>286</v>
      </c>
      <c r="C53" s="1">
        <f>+FEBRERO!$AG53</f>
        <v>242</v>
      </c>
      <c r="D53" s="1">
        <f>+MARZO!$AG53</f>
        <v>305</v>
      </c>
      <c r="E53" s="1">
        <f>+ABRIL!$AG53</f>
        <v>294</v>
      </c>
      <c r="F53" s="1">
        <f>+MAYO!$AG53</f>
        <v>284</v>
      </c>
      <c r="G53" s="1">
        <f>+JUNIO!$AG53</f>
        <v>206</v>
      </c>
      <c r="H53" s="1">
        <f>+JULIO!$AG53</f>
        <v>198</v>
      </c>
      <c r="I53" s="1">
        <f>+AGOSTO!$AG53</f>
        <v>195</v>
      </c>
      <c r="J53" s="1">
        <f>+SEPTIEMBRE!$AG53</f>
        <v>344</v>
      </c>
      <c r="K53" s="1">
        <f>+OCTUBRE!$AG53</f>
        <v>307</v>
      </c>
      <c r="L53" s="1">
        <f>+NOVIEMBRE!$AG53</f>
        <v>379</v>
      </c>
      <c r="M53" s="1">
        <f>+DICIEMBRE!$AG53</f>
        <v>222</v>
      </c>
      <c r="N53" s="10">
        <f t="shared" si="1"/>
        <v>3262</v>
      </c>
    </row>
    <row r="54" spans="1:14" ht="15.75" customHeight="1" x14ac:dyDescent="0.25">
      <c r="A54" s="56" t="s">
        <v>2</v>
      </c>
      <c r="B54" s="54">
        <f>+ENERO!$AG54</f>
        <v>0</v>
      </c>
      <c r="C54" s="54">
        <f>+FEBRERO!$AG54</f>
        <v>1</v>
      </c>
      <c r="D54" s="54">
        <f>+MARZO!$AG54</f>
        <v>0</v>
      </c>
      <c r="E54" s="54">
        <f>+ABRIL!$AG54</f>
        <v>0</v>
      </c>
      <c r="F54" s="54">
        <f>+MAYO!$AG54</f>
        <v>0</v>
      </c>
      <c r="G54" s="54">
        <f>+JUNIO!$AG54</f>
        <v>0</v>
      </c>
      <c r="H54" s="54">
        <f>+JULIO!$AG54</f>
        <v>0</v>
      </c>
      <c r="I54" s="54">
        <f>+AGOSTO!$AG54</f>
        <v>1</v>
      </c>
      <c r="J54" s="54">
        <f>+SEPTIEMBRE!$AG54</f>
        <v>0</v>
      </c>
      <c r="K54" s="54">
        <f>+OCTUBRE!$AG54</f>
        <v>1</v>
      </c>
      <c r="L54" s="54">
        <f>+NOVIEMBRE!$AG54</f>
        <v>2</v>
      </c>
      <c r="M54" s="54">
        <f>+DICIEMBRE!$AG54</f>
        <v>0</v>
      </c>
      <c r="N54" s="4">
        <f t="shared" si="1"/>
        <v>5</v>
      </c>
    </row>
    <row r="55" spans="1:14" ht="15.75" customHeight="1" x14ac:dyDescent="0.25">
      <c r="A55" s="56" t="s">
        <v>3</v>
      </c>
      <c r="B55" s="54">
        <f>+ENERO!$AG55</f>
        <v>1</v>
      </c>
      <c r="C55" s="54">
        <f>+FEBRERO!$AG55</f>
        <v>0</v>
      </c>
      <c r="D55" s="54">
        <f>+MARZO!$AG55</f>
        <v>1</v>
      </c>
      <c r="E55" s="54">
        <f>+ABRIL!$AG55</f>
        <v>0</v>
      </c>
      <c r="F55" s="54">
        <f>+MAYO!$AG55</f>
        <v>4</v>
      </c>
      <c r="G55" s="54">
        <f>+JUNIO!$AG55</f>
        <v>0</v>
      </c>
      <c r="H55" s="54">
        <f>+JULIO!$AG55</f>
        <v>0</v>
      </c>
      <c r="I55" s="54">
        <f>+AGOSTO!$AG55</f>
        <v>1</v>
      </c>
      <c r="J55" s="54">
        <f>+SEPTIEMBRE!$AG55</f>
        <v>0</v>
      </c>
      <c r="K55" s="54">
        <f>+OCTUBRE!$AG55</f>
        <v>0</v>
      </c>
      <c r="L55" s="54">
        <f>+NOVIEMBRE!$AG55</f>
        <v>1</v>
      </c>
      <c r="M55" s="54">
        <f>+DICIEMBRE!$AG55</f>
        <v>1</v>
      </c>
      <c r="N55" s="5">
        <f t="shared" si="1"/>
        <v>9</v>
      </c>
    </row>
    <row r="56" spans="1:14" ht="15.75" customHeight="1" x14ac:dyDescent="0.25">
      <c r="A56" s="56" t="s">
        <v>4</v>
      </c>
      <c r="B56" s="54">
        <f>+ENERO!$AG56</f>
        <v>2</v>
      </c>
      <c r="C56" s="54">
        <f>+FEBRERO!$AG56</f>
        <v>2</v>
      </c>
      <c r="D56" s="54">
        <f>+MARZO!$AG56</f>
        <v>2</v>
      </c>
      <c r="E56" s="54">
        <f>+ABRIL!$AG56</f>
        <v>1</v>
      </c>
      <c r="F56" s="54">
        <f>+MAYO!$AG56</f>
        <v>1</v>
      </c>
      <c r="G56" s="54">
        <f>+JUNIO!$AG56</f>
        <v>0</v>
      </c>
      <c r="H56" s="54">
        <f>+JULIO!$AG56</f>
        <v>3</v>
      </c>
      <c r="I56" s="54">
        <f>+AGOSTO!$AG56</f>
        <v>2</v>
      </c>
      <c r="J56" s="54">
        <f>+SEPTIEMBRE!$AG56</f>
        <v>5</v>
      </c>
      <c r="K56" s="54">
        <f>+OCTUBRE!$AG56</f>
        <v>0</v>
      </c>
      <c r="L56" s="54">
        <f>+NOVIEMBRE!$AG56</f>
        <v>0</v>
      </c>
      <c r="M56" s="54">
        <f>+DICIEMBRE!$AG56</f>
        <v>0</v>
      </c>
      <c r="N56" s="5">
        <f t="shared" si="1"/>
        <v>18</v>
      </c>
    </row>
    <row r="57" spans="1:14" ht="15.75" customHeight="1" x14ac:dyDescent="0.25">
      <c r="A57" s="56" t="s">
        <v>5</v>
      </c>
      <c r="B57" s="54">
        <f>+ENERO!$AG57</f>
        <v>0</v>
      </c>
      <c r="C57" s="54">
        <f>+FEBRERO!$AG57</f>
        <v>1</v>
      </c>
      <c r="D57" s="54">
        <f>+MARZO!$AG57</f>
        <v>1</v>
      </c>
      <c r="E57" s="54">
        <f>+ABRIL!$AG57</f>
        <v>2</v>
      </c>
      <c r="F57" s="54">
        <f>+MAYO!$AG57</f>
        <v>0</v>
      </c>
      <c r="G57" s="54">
        <f>+JUNIO!$AG57</f>
        <v>2</v>
      </c>
      <c r="H57" s="54">
        <f>+JULIO!$AG57</f>
        <v>3</v>
      </c>
      <c r="I57" s="54">
        <f>+AGOSTO!$AG57</f>
        <v>1</v>
      </c>
      <c r="J57" s="54">
        <f>+SEPTIEMBRE!$AG57</f>
        <v>0</v>
      </c>
      <c r="K57" s="54">
        <f>+OCTUBRE!$AG57</f>
        <v>0</v>
      </c>
      <c r="L57" s="54">
        <f>+NOVIEMBRE!$AG57</f>
        <v>2</v>
      </c>
      <c r="M57" s="54">
        <f>+DICIEMBRE!$AG57</f>
        <v>0</v>
      </c>
      <c r="N57" s="5">
        <f t="shared" si="1"/>
        <v>12</v>
      </c>
    </row>
    <row r="58" spans="1:14" ht="15.75" customHeight="1" x14ac:dyDescent="0.25">
      <c r="A58" s="56" t="s">
        <v>6</v>
      </c>
      <c r="B58" s="54">
        <f>+ENERO!$AG58</f>
        <v>2</v>
      </c>
      <c r="C58" s="54">
        <f>+FEBRERO!$AG58</f>
        <v>1</v>
      </c>
      <c r="D58" s="54">
        <f>+MARZO!$AG58</f>
        <v>2</v>
      </c>
      <c r="E58" s="54">
        <f>+ABRIL!$AG58</f>
        <v>2</v>
      </c>
      <c r="F58" s="54">
        <f>+MAYO!$AG58</f>
        <v>1</v>
      </c>
      <c r="G58" s="54">
        <f>+JUNIO!$AG58</f>
        <v>3</v>
      </c>
      <c r="H58" s="54">
        <f>+JULIO!$AG58</f>
        <v>0</v>
      </c>
      <c r="I58" s="54">
        <f>+AGOSTO!$AG58</f>
        <v>1</v>
      </c>
      <c r="J58" s="54">
        <f>+SEPTIEMBRE!$AG58</f>
        <v>2</v>
      </c>
      <c r="K58" s="54">
        <f>+OCTUBRE!$AG58</f>
        <v>1</v>
      </c>
      <c r="L58" s="54">
        <f>+NOVIEMBRE!$AG58</f>
        <v>2</v>
      </c>
      <c r="M58" s="54">
        <f>+DICIEMBRE!$AG58</f>
        <v>3</v>
      </c>
      <c r="N58" s="5">
        <f t="shared" si="1"/>
        <v>20</v>
      </c>
    </row>
    <row r="59" spans="1:14" ht="15.75" customHeight="1" x14ac:dyDescent="0.25">
      <c r="A59" s="56" t="s">
        <v>7</v>
      </c>
      <c r="B59" s="54">
        <f>+ENERO!$AG59</f>
        <v>3</v>
      </c>
      <c r="C59" s="54">
        <f>+FEBRERO!$AG59</f>
        <v>1</v>
      </c>
      <c r="D59" s="54">
        <f>+MARZO!$AG59</f>
        <v>4</v>
      </c>
      <c r="E59" s="54">
        <f>+ABRIL!$AG59</f>
        <v>2</v>
      </c>
      <c r="F59" s="54">
        <f>+MAYO!$AG59</f>
        <v>1</v>
      </c>
      <c r="G59" s="54">
        <f>+JUNIO!$AG59</f>
        <v>1</v>
      </c>
      <c r="H59" s="54">
        <f>+JULIO!$AG59</f>
        <v>2</v>
      </c>
      <c r="I59" s="54">
        <f>+AGOSTO!$AG59</f>
        <v>2</v>
      </c>
      <c r="J59" s="54">
        <f>+SEPTIEMBRE!$AG59</f>
        <v>2</v>
      </c>
      <c r="K59" s="54">
        <f>+OCTUBRE!$AG59</f>
        <v>6</v>
      </c>
      <c r="L59" s="54">
        <f>+NOVIEMBRE!$AG59</f>
        <v>7</v>
      </c>
      <c r="M59" s="54">
        <f>+DICIEMBRE!$AG59</f>
        <v>4</v>
      </c>
      <c r="N59" s="5">
        <f t="shared" si="1"/>
        <v>35</v>
      </c>
    </row>
    <row r="60" spans="1:14" ht="15.75" customHeight="1" x14ac:dyDescent="0.25">
      <c r="A60" s="56" t="s">
        <v>8</v>
      </c>
      <c r="B60" s="54">
        <f>+ENERO!$AG60</f>
        <v>0</v>
      </c>
      <c r="C60" s="54">
        <f>+FEBRERO!$AG60</f>
        <v>2</v>
      </c>
      <c r="D60" s="54">
        <f>+MARZO!$AG60</f>
        <v>0</v>
      </c>
      <c r="E60" s="54">
        <f>+ABRIL!$AG60</f>
        <v>4</v>
      </c>
      <c r="F60" s="54">
        <f>+MAYO!$AG60</f>
        <v>4</v>
      </c>
      <c r="G60" s="54">
        <f>+JUNIO!$AG60</f>
        <v>3</v>
      </c>
      <c r="H60" s="54">
        <f>+JULIO!$AG60</f>
        <v>8</v>
      </c>
      <c r="I60" s="54">
        <f>+AGOSTO!$AG60</f>
        <v>3</v>
      </c>
      <c r="J60" s="54">
        <f>+SEPTIEMBRE!$AG60</f>
        <v>3</v>
      </c>
      <c r="K60" s="54">
        <f>+OCTUBRE!$AG60</f>
        <v>2</v>
      </c>
      <c r="L60" s="54">
        <f>+NOVIEMBRE!$AG60</f>
        <v>2</v>
      </c>
      <c r="M60" s="54">
        <f>+DICIEMBRE!$AG60</f>
        <v>3</v>
      </c>
      <c r="N60" s="5">
        <f t="shared" si="1"/>
        <v>34</v>
      </c>
    </row>
    <row r="61" spans="1:14" ht="15.75" customHeight="1" x14ac:dyDescent="0.25">
      <c r="A61" s="56" t="s">
        <v>9</v>
      </c>
      <c r="B61" s="54">
        <f>+ENERO!$AG61</f>
        <v>1</v>
      </c>
      <c r="C61" s="54">
        <f>+FEBRERO!$AG61</f>
        <v>0</v>
      </c>
      <c r="D61" s="54">
        <f>+MARZO!$AG61</f>
        <v>4</v>
      </c>
      <c r="E61" s="54">
        <f>+ABRIL!$AG61</f>
        <v>6</v>
      </c>
      <c r="F61" s="54">
        <f>+MAYO!$AG61</f>
        <v>8</v>
      </c>
      <c r="G61" s="54">
        <f>+JUNIO!$AG61</f>
        <v>8</v>
      </c>
      <c r="H61" s="54">
        <f>+JULIO!$AG61</f>
        <v>2</v>
      </c>
      <c r="I61" s="54">
        <f>+AGOSTO!$AG61</f>
        <v>2</v>
      </c>
      <c r="J61" s="54">
        <f>+SEPTIEMBRE!$AG61</f>
        <v>4</v>
      </c>
      <c r="K61" s="54">
        <f>+OCTUBRE!$AG61</f>
        <v>1</v>
      </c>
      <c r="L61" s="54">
        <f>+NOVIEMBRE!$AG61</f>
        <v>9</v>
      </c>
      <c r="M61" s="54">
        <f>+DICIEMBRE!$AG61</f>
        <v>6</v>
      </c>
      <c r="N61" s="5">
        <f t="shared" si="1"/>
        <v>51</v>
      </c>
    </row>
    <row r="62" spans="1:14" ht="15.75" customHeight="1" x14ac:dyDescent="0.25">
      <c r="A62" s="56" t="s">
        <v>10</v>
      </c>
      <c r="B62" s="54">
        <f>+ENERO!$AG62</f>
        <v>13</v>
      </c>
      <c r="C62" s="54">
        <f>+FEBRERO!$AG62</f>
        <v>6</v>
      </c>
      <c r="D62" s="54">
        <f>+MARZO!$AG62</f>
        <v>8</v>
      </c>
      <c r="E62" s="54">
        <f>+ABRIL!$AG62</f>
        <v>7</v>
      </c>
      <c r="F62" s="54">
        <f>+MAYO!$AG62</f>
        <v>11</v>
      </c>
      <c r="G62" s="54">
        <f>+JUNIO!$AG62</f>
        <v>12</v>
      </c>
      <c r="H62" s="54">
        <f>+JULIO!$AG62</f>
        <v>6</v>
      </c>
      <c r="I62" s="54">
        <f>+AGOSTO!$AG62</f>
        <v>5</v>
      </c>
      <c r="J62" s="54">
        <f>+SEPTIEMBRE!$AG62</f>
        <v>3</v>
      </c>
      <c r="K62" s="54">
        <f>+OCTUBRE!$AG62</f>
        <v>5</v>
      </c>
      <c r="L62" s="54">
        <f>+NOVIEMBRE!$AG62</f>
        <v>11</v>
      </c>
      <c r="M62" s="54">
        <f>+DICIEMBRE!$AG62</f>
        <v>3</v>
      </c>
      <c r="N62" s="5">
        <f t="shared" si="1"/>
        <v>90</v>
      </c>
    </row>
    <row r="63" spans="1:14" ht="15.75" customHeight="1" x14ac:dyDescent="0.25">
      <c r="A63" s="56" t="s">
        <v>11</v>
      </c>
      <c r="B63" s="54">
        <f>+ENERO!$AG63</f>
        <v>21</v>
      </c>
      <c r="C63" s="54">
        <f>+FEBRERO!$AG63</f>
        <v>16</v>
      </c>
      <c r="D63" s="54">
        <f>+MARZO!$AG63</f>
        <v>21</v>
      </c>
      <c r="E63" s="54">
        <f>+ABRIL!$AG63</f>
        <v>8</v>
      </c>
      <c r="F63" s="54">
        <f>+MAYO!$AG63</f>
        <v>17</v>
      </c>
      <c r="G63" s="54">
        <f>+JUNIO!$AG63</f>
        <v>21</v>
      </c>
      <c r="H63" s="54">
        <f>+JULIO!$AG63</f>
        <v>15</v>
      </c>
      <c r="I63" s="54">
        <f>+AGOSTO!$AG63</f>
        <v>10</v>
      </c>
      <c r="J63" s="54">
        <f>+SEPTIEMBRE!$AG63</f>
        <v>24</v>
      </c>
      <c r="K63" s="54">
        <f>+OCTUBRE!$AG63</f>
        <v>11</v>
      </c>
      <c r="L63" s="54">
        <f>+NOVIEMBRE!$AG63</f>
        <v>18</v>
      </c>
      <c r="M63" s="54">
        <f>+DICIEMBRE!$AG63</f>
        <v>9</v>
      </c>
      <c r="N63" s="5">
        <f t="shared" si="1"/>
        <v>191</v>
      </c>
    </row>
    <row r="64" spans="1:14" ht="15.75" customHeight="1" x14ac:dyDescent="0.25">
      <c r="A64" s="56" t="s">
        <v>12</v>
      </c>
      <c r="B64" s="54">
        <f>+ENERO!$AG64</f>
        <v>22</v>
      </c>
      <c r="C64" s="54">
        <f>+FEBRERO!$AG64</f>
        <v>11</v>
      </c>
      <c r="D64" s="54">
        <f>+MARZO!$AG64</f>
        <v>28</v>
      </c>
      <c r="E64" s="54">
        <f>+ABRIL!$AG64</f>
        <v>22</v>
      </c>
      <c r="F64" s="54">
        <f>+MAYO!$AG64</f>
        <v>20</v>
      </c>
      <c r="G64" s="54">
        <f>+JUNIO!$AG64</f>
        <v>34</v>
      </c>
      <c r="H64" s="54">
        <f>+JULIO!$AG64</f>
        <v>21</v>
      </c>
      <c r="I64" s="54">
        <f>+AGOSTO!$AG64</f>
        <v>11</v>
      </c>
      <c r="J64" s="54">
        <f>+SEPTIEMBRE!$AG64</f>
        <v>22</v>
      </c>
      <c r="K64" s="54">
        <f>+OCTUBRE!$AG64</f>
        <v>15</v>
      </c>
      <c r="L64" s="54">
        <f>+NOVIEMBRE!$AG64</f>
        <v>23</v>
      </c>
      <c r="M64" s="54">
        <f>+DICIEMBRE!$AG64</f>
        <v>9</v>
      </c>
      <c r="N64" s="5">
        <f t="shared" si="1"/>
        <v>238</v>
      </c>
    </row>
    <row r="65" spans="1:14" ht="15.75" customHeight="1" x14ac:dyDescent="0.25">
      <c r="A65" s="56" t="s">
        <v>13</v>
      </c>
      <c r="B65" s="54">
        <f>+ENERO!$AG65</f>
        <v>26</v>
      </c>
      <c r="C65" s="54">
        <f>+FEBRERO!$AG65</f>
        <v>29</v>
      </c>
      <c r="D65" s="54">
        <f>+MARZO!$AG65</f>
        <v>19</v>
      </c>
      <c r="E65" s="54">
        <f>+ABRIL!$AG65</f>
        <v>20</v>
      </c>
      <c r="F65" s="54">
        <f>+MAYO!$AG65</f>
        <v>44</v>
      </c>
      <c r="G65" s="54">
        <f>+JUNIO!$AG65</f>
        <v>29</v>
      </c>
      <c r="H65" s="54">
        <f>+JULIO!$AG65</f>
        <v>29</v>
      </c>
      <c r="I65" s="54">
        <f>+AGOSTO!$AG65</f>
        <v>34</v>
      </c>
      <c r="J65" s="54">
        <f>+SEPTIEMBRE!$AG65</f>
        <v>45</v>
      </c>
      <c r="K65" s="54">
        <f>+OCTUBRE!$AG65</f>
        <v>23</v>
      </c>
      <c r="L65" s="54">
        <f>+NOVIEMBRE!$AG65</f>
        <v>30</v>
      </c>
      <c r="M65" s="54">
        <f>+DICIEMBRE!$AG65</f>
        <v>32</v>
      </c>
      <c r="N65" s="5">
        <f t="shared" si="1"/>
        <v>360</v>
      </c>
    </row>
    <row r="66" spans="1:14" ht="15.75" customHeight="1" x14ac:dyDescent="0.25">
      <c r="A66" s="56" t="s">
        <v>14</v>
      </c>
      <c r="B66" s="54">
        <f>+ENERO!$AG66</f>
        <v>29</v>
      </c>
      <c r="C66" s="54">
        <f>+FEBRERO!$AG66</f>
        <v>17</v>
      </c>
      <c r="D66" s="54">
        <f>+MARZO!$AG66</f>
        <v>35</v>
      </c>
      <c r="E66" s="54">
        <f>+ABRIL!$AG66</f>
        <v>28</v>
      </c>
      <c r="F66" s="54">
        <f>+MAYO!$AG66</f>
        <v>40</v>
      </c>
      <c r="G66" s="54">
        <f>+JUNIO!$AG66</f>
        <v>31</v>
      </c>
      <c r="H66" s="54">
        <f>+JULIO!$AG66</f>
        <v>42</v>
      </c>
      <c r="I66" s="54">
        <f>+AGOSTO!$AG66</f>
        <v>34</v>
      </c>
      <c r="J66" s="54">
        <f>+SEPTIEMBRE!$AG66</f>
        <v>38</v>
      </c>
      <c r="K66" s="54">
        <f>+OCTUBRE!$AG66</f>
        <v>40</v>
      </c>
      <c r="L66" s="54">
        <f>+NOVIEMBRE!$AG66</f>
        <v>39</v>
      </c>
      <c r="M66" s="54">
        <f>+DICIEMBRE!$AG66</f>
        <v>31</v>
      </c>
      <c r="N66" s="5">
        <f t="shared" si="1"/>
        <v>404</v>
      </c>
    </row>
    <row r="67" spans="1:14" ht="15.75" customHeight="1" x14ac:dyDescent="0.25">
      <c r="A67" s="56" t="s">
        <v>15</v>
      </c>
      <c r="B67" s="54">
        <f>+ENERO!$AG67</f>
        <v>40</v>
      </c>
      <c r="C67" s="54">
        <f>+FEBRERO!$AG67</f>
        <v>33</v>
      </c>
      <c r="D67" s="54">
        <f>+MARZO!$AG67</f>
        <v>40</v>
      </c>
      <c r="E67" s="54">
        <f>+ABRIL!$AG67</f>
        <v>24</v>
      </c>
      <c r="F67" s="54">
        <f>+MAYO!$AG67</f>
        <v>34</v>
      </c>
      <c r="G67" s="54">
        <f>+JUNIO!$AG67</f>
        <v>19</v>
      </c>
      <c r="H67" s="54">
        <f>+JULIO!$AG67</f>
        <v>28</v>
      </c>
      <c r="I67" s="54">
        <f>+AGOSTO!$AG67</f>
        <v>34</v>
      </c>
      <c r="J67" s="54">
        <f>+SEPTIEMBRE!$AG67</f>
        <v>41</v>
      </c>
      <c r="K67" s="54">
        <f>+OCTUBRE!$AG67</f>
        <v>44</v>
      </c>
      <c r="L67" s="54">
        <f>+NOVIEMBRE!$AG67</f>
        <v>29</v>
      </c>
      <c r="M67" s="54">
        <f>+DICIEMBRE!$AG67</f>
        <v>29</v>
      </c>
      <c r="N67" s="5">
        <f t="shared" ref="N67:N98" si="2">SUM(B67:M67)</f>
        <v>395</v>
      </c>
    </row>
    <row r="68" spans="1:14" ht="15.75" customHeight="1" x14ac:dyDescent="0.25">
      <c r="A68" s="56" t="s">
        <v>16</v>
      </c>
      <c r="B68" s="54">
        <f>+ENERO!$AG68</f>
        <v>27</v>
      </c>
      <c r="C68" s="54">
        <f>+FEBRERO!$AG68</f>
        <v>31</v>
      </c>
      <c r="D68" s="54">
        <f>+MARZO!$AG68</f>
        <v>41</v>
      </c>
      <c r="E68" s="54">
        <f>+ABRIL!$AG68</f>
        <v>37</v>
      </c>
      <c r="F68" s="54">
        <f>+MAYO!$AG68</f>
        <v>16</v>
      </c>
      <c r="G68" s="54">
        <f>+JUNIO!$AG68</f>
        <v>22</v>
      </c>
      <c r="H68" s="54">
        <f>+JULIO!$AG68</f>
        <v>13</v>
      </c>
      <c r="I68" s="54">
        <f>+AGOSTO!$AG68</f>
        <v>19</v>
      </c>
      <c r="J68" s="54">
        <f>+SEPTIEMBRE!$AG68</f>
        <v>40</v>
      </c>
      <c r="K68" s="54">
        <f>+OCTUBRE!$AG68</f>
        <v>37</v>
      </c>
      <c r="L68" s="54">
        <f>+NOVIEMBRE!$AG68</f>
        <v>32</v>
      </c>
      <c r="M68" s="54">
        <f>+DICIEMBRE!$AG68</f>
        <v>22</v>
      </c>
      <c r="N68" s="5">
        <f t="shared" si="2"/>
        <v>337</v>
      </c>
    </row>
    <row r="69" spans="1:14" ht="15.75" customHeight="1" x14ac:dyDescent="0.25">
      <c r="A69" s="56" t="s">
        <v>17</v>
      </c>
      <c r="B69" s="54">
        <f>+ENERO!$AG69</f>
        <v>17</v>
      </c>
      <c r="C69" s="54">
        <f>+FEBRERO!$AG69</f>
        <v>13</v>
      </c>
      <c r="D69" s="54">
        <f>+MARZO!$AG69</f>
        <v>21</v>
      </c>
      <c r="E69" s="54">
        <f>+ABRIL!$AG69</f>
        <v>22</v>
      </c>
      <c r="F69" s="54">
        <f>+MAYO!$AG69</f>
        <v>13</v>
      </c>
      <c r="G69" s="54">
        <f>+JUNIO!$AG69</f>
        <v>3</v>
      </c>
      <c r="H69" s="54">
        <f>+JULIO!$AG69</f>
        <v>4</v>
      </c>
      <c r="I69" s="54">
        <f>+AGOSTO!$AG69</f>
        <v>12</v>
      </c>
      <c r="J69" s="54">
        <f>+SEPTIEMBRE!$AG69</f>
        <v>26</v>
      </c>
      <c r="K69" s="54">
        <f>+OCTUBRE!$AG69</f>
        <v>29</v>
      </c>
      <c r="L69" s="54">
        <f>+NOVIEMBRE!$AG69</f>
        <v>26</v>
      </c>
      <c r="M69" s="54">
        <f>+DICIEMBRE!$AG69</f>
        <v>17</v>
      </c>
      <c r="N69" s="5">
        <f t="shared" si="2"/>
        <v>203</v>
      </c>
    </row>
    <row r="70" spans="1:14" ht="15.75" customHeight="1" x14ac:dyDescent="0.25">
      <c r="A70" s="56" t="s">
        <v>18</v>
      </c>
      <c r="B70" s="54">
        <f>+ENERO!$AG70</f>
        <v>22</v>
      </c>
      <c r="C70" s="54">
        <f>+FEBRERO!$AG70</f>
        <v>25</v>
      </c>
      <c r="D70" s="54">
        <f>+MARZO!$AG70</f>
        <v>25</v>
      </c>
      <c r="E70" s="54">
        <f>+ABRIL!$AG70</f>
        <v>27</v>
      </c>
      <c r="F70" s="54">
        <f>+MAYO!$AG70</f>
        <v>24</v>
      </c>
      <c r="G70" s="54">
        <f>+JUNIO!$AG70</f>
        <v>6</v>
      </c>
      <c r="H70" s="54">
        <f>+JULIO!$AG70</f>
        <v>8</v>
      </c>
      <c r="I70" s="54">
        <f>+AGOSTO!$AG70</f>
        <v>14</v>
      </c>
      <c r="J70" s="54">
        <f>+SEPTIEMBRE!$AG70</f>
        <v>31</v>
      </c>
      <c r="K70" s="54">
        <f>+OCTUBRE!$AG70</f>
        <v>35</v>
      </c>
      <c r="L70" s="54">
        <f>+NOVIEMBRE!$AG70</f>
        <v>42</v>
      </c>
      <c r="M70" s="54">
        <f>+DICIEMBRE!$AG70</f>
        <v>11</v>
      </c>
      <c r="N70" s="5">
        <f t="shared" si="2"/>
        <v>270</v>
      </c>
    </row>
    <row r="71" spans="1:14" ht="15.75" customHeight="1" x14ac:dyDescent="0.25">
      <c r="A71" s="56" t="s">
        <v>19</v>
      </c>
      <c r="B71" s="54">
        <f>+ENERO!$AG71</f>
        <v>16</v>
      </c>
      <c r="C71" s="54">
        <f>+FEBRERO!$AG71</f>
        <v>24</v>
      </c>
      <c r="D71" s="54">
        <f>+MARZO!$AG71</f>
        <v>33</v>
      </c>
      <c r="E71" s="54">
        <f>+ABRIL!$AG71</f>
        <v>48</v>
      </c>
      <c r="F71" s="54">
        <f>+MAYO!$AG71</f>
        <v>15</v>
      </c>
      <c r="G71" s="54">
        <f>+JUNIO!$AG71</f>
        <v>5</v>
      </c>
      <c r="H71" s="54">
        <f>+JULIO!$AG71</f>
        <v>8</v>
      </c>
      <c r="I71" s="54">
        <f>+AGOSTO!$AG71</f>
        <v>5</v>
      </c>
      <c r="J71" s="54">
        <f>+SEPTIEMBRE!$AG71</f>
        <v>34</v>
      </c>
      <c r="K71" s="54">
        <f>+OCTUBRE!$AG71</f>
        <v>30</v>
      </c>
      <c r="L71" s="54">
        <f>+NOVIEMBRE!$AG71</f>
        <v>59</v>
      </c>
      <c r="M71" s="54">
        <f>+DICIEMBRE!$AG71</f>
        <v>14</v>
      </c>
      <c r="N71" s="5">
        <f t="shared" si="2"/>
        <v>291</v>
      </c>
    </row>
    <row r="72" spans="1:14" ht="15.75" customHeight="1" x14ac:dyDescent="0.25">
      <c r="A72" s="56" t="s">
        <v>20</v>
      </c>
      <c r="B72" s="54">
        <f>+ENERO!$AG72</f>
        <v>11</v>
      </c>
      <c r="C72" s="54">
        <f>+FEBRERO!$AG72</f>
        <v>17</v>
      </c>
      <c r="D72" s="54">
        <f>+MARZO!$AG72</f>
        <v>8</v>
      </c>
      <c r="E72" s="54">
        <f>+ABRIL!$AG72</f>
        <v>27</v>
      </c>
      <c r="F72" s="54">
        <f>+MAYO!$AG72</f>
        <v>20</v>
      </c>
      <c r="G72" s="54">
        <f>+JUNIO!$AG72</f>
        <v>4</v>
      </c>
      <c r="H72" s="54">
        <f>+JULIO!$AG72</f>
        <v>5</v>
      </c>
      <c r="I72" s="54">
        <f>+AGOSTO!$AG72</f>
        <v>2</v>
      </c>
      <c r="J72" s="54">
        <f>+SEPTIEMBRE!$AG72</f>
        <v>12</v>
      </c>
      <c r="K72" s="54">
        <f>+OCTUBRE!$AG72</f>
        <v>19</v>
      </c>
      <c r="L72" s="54">
        <f>+NOVIEMBRE!$AG72</f>
        <v>20</v>
      </c>
      <c r="M72" s="54">
        <f>+DICIEMBRE!$AG72</f>
        <v>13</v>
      </c>
      <c r="N72" s="5">
        <f t="shared" si="2"/>
        <v>158</v>
      </c>
    </row>
    <row r="73" spans="1:14" ht="15.75" customHeight="1" x14ac:dyDescent="0.25">
      <c r="A73" s="56" t="s">
        <v>21</v>
      </c>
      <c r="B73" s="54">
        <f>+ENERO!$AG73</f>
        <v>22</v>
      </c>
      <c r="C73" s="54">
        <f>+FEBRERO!$AG73</f>
        <v>4</v>
      </c>
      <c r="D73" s="54">
        <f>+MARZO!$AG73</f>
        <v>5</v>
      </c>
      <c r="E73" s="54">
        <f>+ABRIL!$AG73</f>
        <v>4</v>
      </c>
      <c r="F73" s="54">
        <f>+MAYO!$AG73</f>
        <v>4</v>
      </c>
      <c r="G73" s="54">
        <f>+JUNIO!$AG73</f>
        <v>0</v>
      </c>
      <c r="H73" s="54">
        <f>+JULIO!$AG73</f>
        <v>1</v>
      </c>
      <c r="I73" s="54">
        <f>+AGOSTO!$AG73</f>
        <v>1</v>
      </c>
      <c r="J73" s="54">
        <f>+SEPTIEMBRE!$AG73</f>
        <v>6</v>
      </c>
      <c r="K73" s="54">
        <f>+OCTUBRE!$AG73</f>
        <v>5</v>
      </c>
      <c r="L73" s="54">
        <f>+NOVIEMBRE!$AG73</f>
        <v>11</v>
      </c>
      <c r="M73" s="54">
        <f>+DICIEMBRE!$AG73</f>
        <v>6</v>
      </c>
      <c r="N73" s="5">
        <f t="shared" si="2"/>
        <v>69</v>
      </c>
    </row>
    <row r="74" spans="1:14" ht="15.75" customHeight="1" x14ac:dyDescent="0.25">
      <c r="A74" s="56" t="s">
        <v>22</v>
      </c>
      <c r="B74" s="54">
        <f>+ENERO!$AG74</f>
        <v>3</v>
      </c>
      <c r="C74" s="54">
        <f>+FEBRERO!$AG74</f>
        <v>2</v>
      </c>
      <c r="D74" s="54">
        <f>+MARZO!$AG74</f>
        <v>3</v>
      </c>
      <c r="E74" s="54">
        <f>+ABRIL!$AG74</f>
        <v>2</v>
      </c>
      <c r="F74" s="54">
        <f>+MAYO!$AG74</f>
        <v>7</v>
      </c>
      <c r="G74" s="54">
        <f>+JUNIO!$AG74</f>
        <v>0</v>
      </c>
      <c r="H74" s="54">
        <f>+JULIO!$AG74</f>
        <v>0</v>
      </c>
      <c r="I74" s="54">
        <f>+AGOSTO!$AG74</f>
        <v>0</v>
      </c>
      <c r="J74" s="54">
        <f>+SEPTIEMBRE!$AG74</f>
        <v>5</v>
      </c>
      <c r="K74" s="54">
        <f>+OCTUBRE!$AG74</f>
        <v>3</v>
      </c>
      <c r="L74" s="54">
        <f>+NOVIEMBRE!$AG74</f>
        <v>9</v>
      </c>
      <c r="M74" s="54">
        <f>+DICIEMBRE!$AG74</f>
        <v>6</v>
      </c>
      <c r="N74" s="5">
        <f t="shared" si="2"/>
        <v>40</v>
      </c>
    </row>
    <row r="75" spans="1:14" ht="15.75" customHeight="1" x14ac:dyDescent="0.25">
      <c r="A75" s="56" t="s">
        <v>23</v>
      </c>
      <c r="B75" s="54">
        <f>+ENERO!$AG75</f>
        <v>6</v>
      </c>
      <c r="C75" s="54">
        <f>+FEBRERO!$AG75</f>
        <v>0</v>
      </c>
      <c r="D75" s="54">
        <f>+MARZO!$AG75</f>
        <v>1</v>
      </c>
      <c r="E75" s="54">
        <f>+ABRIL!$AG75</f>
        <v>0</v>
      </c>
      <c r="F75" s="54">
        <f>+MAYO!$AG75</f>
        <v>0</v>
      </c>
      <c r="G75" s="54">
        <f>+JUNIO!$AG75</f>
        <v>2</v>
      </c>
      <c r="H75" s="54">
        <f>+JULIO!$AG75</f>
        <v>0</v>
      </c>
      <c r="I75" s="54">
        <f>+AGOSTO!$AG75</f>
        <v>0</v>
      </c>
      <c r="J75" s="54">
        <f>+SEPTIEMBRE!$AG75</f>
        <v>1</v>
      </c>
      <c r="K75" s="54">
        <f>+OCTUBRE!$AG75</f>
        <v>0</v>
      </c>
      <c r="L75" s="54">
        <f>+NOVIEMBRE!$AG75</f>
        <v>0</v>
      </c>
      <c r="M75" s="54">
        <f>+DICIEMBRE!$AG75</f>
        <v>0</v>
      </c>
      <c r="N75" s="5">
        <f t="shared" si="2"/>
        <v>10</v>
      </c>
    </row>
    <row r="76" spans="1:14" ht="15.75" customHeight="1" x14ac:dyDescent="0.25">
      <c r="A76" s="56" t="s">
        <v>24</v>
      </c>
      <c r="B76" s="54">
        <f>+ENERO!$AG76</f>
        <v>1</v>
      </c>
      <c r="C76" s="54">
        <f>+FEBRERO!$AG76</f>
        <v>4</v>
      </c>
      <c r="D76" s="54">
        <f>+MARZO!$AG76</f>
        <v>2</v>
      </c>
      <c r="E76" s="54">
        <f>+ABRIL!$AG76</f>
        <v>1</v>
      </c>
      <c r="F76" s="54">
        <f>+MAYO!$AG76</f>
        <v>0</v>
      </c>
      <c r="G76" s="54">
        <f>+JUNIO!$AG76</f>
        <v>1</v>
      </c>
      <c r="H76" s="54">
        <f>+JULIO!$AG76</f>
        <v>0</v>
      </c>
      <c r="I76" s="54">
        <f>+AGOSTO!$AG76</f>
        <v>1</v>
      </c>
      <c r="J76" s="54">
        <f>+SEPTIEMBRE!$AG76</f>
        <v>0</v>
      </c>
      <c r="K76" s="54">
        <f>+OCTUBRE!$AG76</f>
        <v>0</v>
      </c>
      <c r="L76" s="54">
        <f>+NOVIEMBRE!$AG76</f>
        <v>3</v>
      </c>
      <c r="M76" s="54">
        <f>+DICIEMBRE!$AG76</f>
        <v>2</v>
      </c>
      <c r="N76" s="5">
        <f t="shared" si="2"/>
        <v>15</v>
      </c>
    </row>
    <row r="77" spans="1:14" ht="15.75" customHeight="1" thickBot="1" x14ac:dyDescent="0.3">
      <c r="A77" s="61" t="s">
        <v>25</v>
      </c>
      <c r="B77" s="58">
        <f>+ENERO!$AG77</f>
        <v>1</v>
      </c>
      <c r="C77" s="58">
        <f>+FEBRERO!$AG77</f>
        <v>2</v>
      </c>
      <c r="D77" s="58">
        <f>+MARZO!$AG77</f>
        <v>1</v>
      </c>
      <c r="E77" s="58">
        <f>+ABRIL!$AG77</f>
        <v>0</v>
      </c>
      <c r="F77" s="58">
        <f>+MAYO!$AG77</f>
        <v>0</v>
      </c>
      <c r="G77" s="58">
        <f>+JUNIO!$AG77</f>
        <v>0</v>
      </c>
      <c r="H77" s="58">
        <f>+JULIO!$AG77</f>
        <v>0</v>
      </c>
      <c r="I77" s="58">
        <f>+AGOSTO!$AG77</f>
        <v>0</v>
      </c>
      <c r="J77" s="58">
        <f>+SEPTIEMBRE!$AG77</f>
        <v>0</v>
      </c>
      <c r="K77" s="58">
        <f>+OCTUBRE!$AG77</f>
        <v>0</v>
      </c>
      <c r="L77" s="58">
        <f>+NOVIEMBRE!$AG77</f>
        <v>2</v>
      </c>
      <c r="M77" s="58">
        <f>+DICIEMBRE!$AG77</f>
        <v>1</v>
      </c>
      <c r="N77" s="9">
        <f t="shared" si="2"/>
        <v>7</v>
      </c>
    </row>
    <row r="78" spans="1:14" ht="19.5" customHeight="1" thickBot="1" x14ac:dyDescent="0.3">
      <c r="A78" s="63" t="s">
        <v>28</v>
      </c>
      <c r="B78" s="11">
        <f>+ENERO!$AG78</f>
        <v>4259</v>
      </c>
      <c r="C78" s="11">
        <f>+FEBRERO!$AG78</f>
        <v>3556</v>
      </c>
      <c r="D78" s="11">
        <f>+MARZO!$AG78</f>
        <v>4324</v>
      </c>
      <c r="E78" s="11">
        <f>+ABRIL!$AG78</f>
        <v>4024</v>
      </c>
      <c r="F78" s="11">
        <f>+MAYO!$AG78</f>
        <v>4763</v>
      </c>
      <c r="G78" s="11">
        <f>+JUNIO!$AG78</f>
        <v>4027</v>
      </c>
      <c r="H78" s="11">
        <f>+JULIO!$AG78</f>
        <v>4051</v>
      </c>
      <c r="I78" s="11">
        <f>+AGOSTO!$AG78</f>
        <v>4197</v>
      </c>
      <c r="J78" s="11">
        <f>+SEPTIEMBRE!$AG78</f>
        <v>4402</v>
      </c>
      <c r="K78" s="11">
        <f>+OCTUBRE!$AG78</f>
        <v>4726</v>
      </c>
      <c r="L78" s="11">
        <f>+NOVIEMBRE!$AG78</f>
        <v>4885</v>
      </c>
      <c r="M78" s="11">
        <f>+DICIEMBRE!$AG78</f>
        <v>4602</v>
      </c>
      <c r="N78" s="10">
        <f t="shared" si="2"/>
        <v>51816</v>
      </c>
    </row>
    <row r="79" spans="1:14" ht="19.5" customHeight="1" x14ac:dyDescent="0.25">
      <c r="A79" s="64" t="s">
        <v>29</v>
      </c>
      <c r="B79" s="3">
        <f>+ENERO!$AG79</f>
        <v>4259</v>
      </c>
      <c r="C79" s="3">
        <f>+FEBRERO!$AG79</f>
        <v>3556</v>
      </c>
      <c r="D79" s="3">
        <f>+MARZO!$AG79</f>
        <v>4324</v>
      </c>
      <c r="E79" s="3">
        <f>+ABRIL!$AG79</f>
        <v>4024</v>
      </c>
      <c r="F79" s="3">
        <f>+MAYO!$AG79</f>
        <v>4763</v>
      </c>
      <c r="G79" s="3">
        <f>+JUNIO!$AG79</f>
        <v>4027</v>
      </c>
      <c r="H79" s="3">
        <f>+JULIO!$AG79</f>
        <v>4051</v>
      </c>
      <c r="I79" s="3">
        <f>+AGOSTO!$AG79</f>
        <v>4197</v>
      </c>
      <c r="J79" s="3">
        <f>+SEPTIEMBRE!$AG79</f>
        <v>4402</v>
      </c>
      <c r="K79" s="3">
        <f>+OCTUBRE!$AG79</f>
        <v>4726</v>
      </c>
      <c r="L79" s="3">
        <f>+NOVIEMBRE!$AG79</f>
        <v>4885</v>
      </c>
      <c r="M79" s="3">
        <f>+DICIEMBRE!$AG79</f>
        <v>4602</v>
      </c>
      <c r="N79" s="4">
        <f t="shared" si="2"/>
        <v>51816</v>
      </c>
    </row>
    <row r="80" spans="1:14" ht="19.5" customHeight="1" thickBot="1" x14ac:dyDescent="0.3">
      <c r="A80" s="65" t="s">
        <v>30</v>
      </c>
      <c r="B80" s="66">
        <f>+ENERO!$AG80</f>
        <v>0</v>
      </c>
      <c r="C80" s="66">
        <f>+FEBRERO!$AG80</f>
        <v>0</v>
      </c>
      <c r="D80" s="66">
        <f>+MARZO!$AG80</f>
        <v>0</v>
      </c>
      <c r="E80" s="66">
        <f>+ABRIL!$AG80</f>
        <v>0</v>
      </c>
      <c r="F80" s="66">
        <f>+MAYO!$AG80</f>
        <v>0</v>
      </c>
      <c r="G80" s="66">
        <f>+JUNIO!$AG80</f>
        <v>0</v>
      </c>
      <c r="H80" s="66">
        <f>+JULIO!$AG80</f>
        <v>0</v>
      </c>
      <c r="I80" s="66">
        <f>+AGOSTO!$AG80</f>
        <v>0</v>
      </c>
      <c r="J80" s="66">
        <f>+SEPTIEMBRE!$AG80</f>
        <v>0</v>
      </c>
      <c r="K80" s="66">
        <f>+OCTUBRE!$AG80</f>
        <v>0</v>
      </c>
      <c r="L80" s="66">
        <f>+NOVIEMBRE!$AG80</f>
        <v>0</v>
      </c>
      <c r="M80" s="66">
        <f>+DICIEMBRE!$AG80</f>
        <v>0</v>
      </c>
      <c r="N80" s="9">
        <f t="shared" si="2"/>
        <v>0</v>
      </c>
    </row>
    <row r="81" spans="1:15" ht="15.75" customHeight="1" thickBot="1" x14ac:dyDescent="0.3">
      <c r="A81" s="63" t="s">
        <v>31</v>
      </c>
      <c r="B81" s="12">
        <f>+ENERO!$AG81</f>
        <v>286</v>
      </c>
      <c r="C81" s="12">
        <f>+FEBRERO!$AG81</f>
        <v>242</v>
      </c>
      <c r="D81" s="12">
        <f>+MARZO!$AG81</f>
        <v>305</v>
      </c>
      <c r="E81" s="12">
        <f>+ABRIL!$AG81</f>
        <v>294</v>
      </c>
      <c r="F81" s="12">
        <f>+MAYO!$AG81</f>
        <v>284</v>
      </c>
      <c r="G81" s="12">
        <f>+JUNIO!$AG81</f>
        <v>206</v>
      </c>
      <c r="H81" s="12">
        <f>+JULIO!$AG81</f>
        <v>198</v>
      </c>
      <c r="I81" s="12">
        <f>+AGOSTO!$AG81</f>
        <v>195</v>
      </c>
      <c r="J81" s="12">
        <f>+SEPTIEMBRE!$AG81</f>
        <v>344</v>
      </c>
      <c r="K81" s="12">
        <f>+OCTUBRE!$AG81</f>
        <v>307</v>
      </c>
      <c r="L81" s="12">
        <f>+NOVIEMBRE!$AG81</f>
        <v>379</v>
      </c>
      <c r="M81" s="12">
        <f>+DICIEMBRE!$AG81</f>
        <v>222</v>
      </c>
      <c r="N81" s="10">
        <f t="shared" si="2"/>
        <v>3262</v>
      </c>
      <c r="O81" s="47" t="str">
        <f>IF(N81&lt;&gt;N53,"*","")</f>
        <v/>
      </c>
    </row>
    <row r="82" spans="1:15" ht="15.75" customHeight="1" x14ac:dyDescent="0.25">
      <c r="A82" s="64" t="s">
        <v>30</v>
      </c>
      <c r="B82" s="3">
        <f>+ENERO!$AG82</f>
        <v>22</v>
      </c>
      <c r="C82" s="3">
        <f>+FEBRERO!$AG82</f>
        <v>14</v>
      </c>
      <c r="D82" s="3">
        <f>+MARZO!$AG82</f>
        <v>22</v>
      </c>
      <c r="E82" s="3">
        <f>+ABRIL!$AG82</f>
        <v>24</v>
      </c>
      <c r="F82" s="3">
        <f>+MAYO!$AG82</f>
        <v>30</v>
      </c>
      <c r="G82" s="3">
        <f>+JUNIO!$AG82</f>
        <v>29</v>
      </c>
      <c r="H82" s="3">
        <f>+JULIO!$AG82</f>
        <v>24</v>
      </c>
      <c r="I82" s="3">
        <f>+AGOSTO!$AG82</f>
        <v>18</v>
      </c>
      <c r="J82" s="3">
        <f>+SEPTIEMBRE!$AG82</f>
        <v>19</v>
      </c>
      <c r="K82" s="3">
        <f>+OCTUBRE!$AG82</f>
        <v>16</v>
      </c>
      <c r="L82" s="3">
        <f>+NOVIEMBRE!$AG82</f>
        <v>36</v>
      </c>
      <c r="M82" s="3">
        <f>+DICIEMBRE!$AG82</f>
        <v>20</v>
      </c>
      <c r="N82" s="4">
        <f t="shared" si="2"/>
        <v>274</v>
      </c>
    </row>
    <row r="83" spans="1:15" ht="15.75" customHeight="1" thickBot="1" x14ac:dyDescent="0.3">
      <c r="A83" s="65" t="s">
        <v>29</v>
      </c>
      <c r="B83" s="8">
        <f>+ENERO!$AG83</f>
        <v>264</v>
      </c>
      <c r="C83" s="8">
        <f>+FEBRERO!$AG83</f>
        <v>228</v>
      </c>
      <c r="D83" s="8">
        <f>+MARZO!$AG83</f>
        <v>283</v>
      </c>
      <c r="E83" s="8">
        <f>+ABRIL!$AG83</f>
        <v>270</v>
      </c>
      <c r="F83" s="8">
        <f>+MAYO!$AG83</f>
        <v>254</v>
      </c>
      <c r="G83" s="8">
        <f>+JUNIO!$AG83</f>
        <v>177</v>
      </c>
      <c r="H83" s="8">
        <f>+JULIO!$AG83</f>
        <v>174</v>
      </c>
      <c r="I83" s="8">
        <f>+AGOSTO!$AG83</f>
        <v>177</v>
      </c>
      <c r="J83" s="8">
        <f>+SEPTIEMBRE!$AG83</f>
        <v>325</v>
      </c>
      <c r="K83" s="8">
        <f>+OCTUBRE!$AG83</f>
        <v>291</v>
      </c>
      <c r="L83" s="8">
        <f>+NOVIEMBRE!$AG83</f>
        <v>343</v>
      </c>
      <c r="M83" s="8">
        <f>+DICIEMBRE!$AG83</f>
        <v>202</v>
      </c>
      <c r="N83" s="5">
        <f t="shared" si="2"/>
        <v>2988</v>
      </c>
    </row>
    <row r="84" spans="1:15" ht="15.75" customHeight="1" thickBot="1" x14ac:dyDescent="0.3">
      <c r="A84" s="67" t="s">
        <v>32</v>
      </c>
      <c r="B84" s="14">
        <f>+ENERO!$AG84</f>
        <v>286</v>
      </c>
      <c r="C84" s="14">
        <f>+FEBRERO!$AG84</f>
        <v>242</v>
      </c>
      <c r="D84" s="14">
        <f>+MARZO!$AG84</f>
        <v>305</v>
      </c>
      <c r="E84" s="14">
        <f>+ABRIL!$AG84</f>
        <v>294</v>
      </c>
      <c r="F84" s="14">
        <f>+MAYO!$AG84</f>
        <v>284</v>
      </c>
      <c r="G84" s="14">
        <f>+JUNIO!$AG84</f>
        <v>206</v>
      </c>
      <c r="H84" s="14">
        <f>+JULIO!$AG84</f>
        <v>198</v>
      </c>
      <c r="I84" s="14">
        <f>+AGOSTO!$AG84</f>
        <v>195</v>
      </c>
      <c r="J84" s="14">
        <f>+SEPTIEMBRE!$AG84</f>
        <v>344</v>
      </c>
      <c r="K84" s="14">
        <f>+OCTUBRE!$AG84</f>
        <v>307</v>
      </c>
      <c r="L84" s="14">
        <f>+NOVIEMBRE!$AG84</f>
        <v>379</v>
      </c>
      <c r="M84" s="14">
        <f>+DICIEMBRE!$AG84</f>
        <v>222</v>
      </c>
      <c r="N84" s="15">
        <f t="shared" si="2"/>
        <v>3262</v>
      </c>
      <c r="O84" s="47" t="str">
        <f>IF(N84&lt;&gt;N82+N83,"*","")</f>
        <v/>
      </c>
    </row>
    <row r="85" spans="1:15" ht="15.75" customHeight="1" x14ac:dyDescent="0.25">
      <c r="A85" s="68" t="s">
        <v>33</v>
      </c>
      <c r="B85" s="69">
        <f>+ENERO!$AG85</f>
        <v>45</v>
      </c>
      <c r="C85" s="69">
        <f>+FEBRERO!$AG85</f>
        <v>26</v>
      </c>
      <c r="D85" s="69">
        <f>+MARZO!$AG85</f>
        <v>63</v>
      </c>
      <c r="E85" s="69">
        <f>+ABRIL!$AG85</f>
        <v>67</v>
      </c>
      <c r="F85" s="69">
        <f>+MAYO!$AG85</f>
        <v>50</v>
      </c>
      <c r="G85" s="69">
        <f>+JUNIO!$AG85</f>
        <v>40</v>
      </c>
      <c r="H85" s="69">
        <f>+JULIO!$AG85</f>
        <v>34</v>
      </c>
      <c r="I85" s="69">
        <f>+AGOSTO!$AG85</f>
        <v>47</v>
      </c>
      <c r="J85" s="69">
        <f>+SEPTIEMBRE!$AG85</f>
        <v>85</v>
      </c>
      <c r="K85" s="69">
        <f>+OCTUBRE!$AG85</f>
        <v>85</v>
      </c>
      <c r="L85" s="69">
        <f>+NOVIEMBRE!$AG85</f>
        <v>101</v>
      </c>
      <c r="M85" s="69">
        <f>+DICIEMBRE!$AG85</f>
        <v>46</v>
      </c>
      <c r="N85" s="16">
        <f t="shared" si="2"/>
        <v>689</v>
      </c>
    </row>
    <row r="86" spans="1:15" ht="15.75" customHeight="1" thickBot="1" x14ac:dyDescent="0.3">
      <c r="A86" s="70" t="s">
        <v>34</v>
      </c>
      <c r="B86" s="71">
        <f>+ENERO!$AG86</f>
        <v>241</v>
      </c>
      <c r="C86" s="71">
        <f>+FEBRERO!$AG86</f>
        <v>216</v>
      </c>
      <c r="D86" s="71">
        <f>+MARZO!$AG86</f>
        <v>242</v>
      </c>
      <c r="E86" s="71">
        <f>+ABRIL!$AG86</f>
        <v>227</v>
      </c>
      <c r="F86" s="71">
        <f>+MAYO!$AG86</f>
        <v>234</v>
      </c>
      <c r="G86" s="71">
        <f>+JUNIO!$AG86</f>
        <v>166</v>
      </c>
      <c r="H86" s="71">
        <f>+JULIO!$AG86</f>
        <v>164</v>
      </c>
      <c r="I86" s="71">
        <f>+AGOSTO!$AG86</f>
        <v>148</v>
      </c>
      <c r="J86" s="71">
        <f>+SEPTIEMBRE!$AG86</f>
        <v>259</v>
      </c>
      <c r="K86" s="71">
        <f>+OCTUBRE!$AG86</f>
        <v>222</v>
      </c>
      <c r="L86" s="71">
        <f>+NOVIEMBRE!$AG86</f>
        <v>278</v>
      </c>
      <c r="M86" s="71">
        <f>+DICIEMBRE!$AG86</f>
        <v>176</v>
      </c>
      <c r="N86" s="17">
        <f t="shared" si="2"/>
        <v>2573</v>
      </c>
    </row>
    <row r="87" spans="1:15" ht="15.75" customHeight="1" thickBot="1" x14ac:dyDescent="0.3">
      <c r="A87" s="72" t="s">
        <v>35</v>
      </c>
      <c r="B87" s="18">
        <f>+ENERO!$AG87</f>
        <v>286</v>
      </c>
      <c r="C87" s="18">
        <f>+FEBRERO!$AG87</f>
        <v>242</v>
      </c>
      <c r="D87" s="18">
        <f>+MARZO!$AG87</f>
        <v>305</v>
      </c>
      <c r="E87" s="18">
        <f>+ABRIL!$AG87</f>
        <v>294</v>
      </c>
      <c r="F87" s="18">
        <f>+MAYO!$AG87</f>
        <v>284</v>
      </c>
      <c r="G87" s="18">
        <f>+JUNIO!$AG87</f>
        <v>206</v>
      </c>
      <c r="H87" s="18">
        <f>+JULIO!$AG87</f>
        <v>198</v>
      </c>
      <c r="I87" s="18">
        <f>+AGOSTO!$AG87</f>
        <v>195</v>
      </c>
      <c r="J87" s="18">
        <f>+SEPTIEMBRE!$AG87</f>
        <v>344</v>
      </c>
      <c r="K87" s="18">
        <f>+OCTUBRE!$AG87</f>
        <v>307</v>
      </c>
      <c r="L87" s="18">
        <f>+NOVIEMBRE!$AG87</f>
        <v>379</v>
      </c>
      <c r="M87" s="18">
        <f>+DICIEMBRE!$AG87</f>
        <v>222</v>
      </c>
      <c r="N87" s="19">
        <f t="shared" si="2"/>
        <v>3262</v>
      </c>
      <c r="O87" s="47" t="str">
        <f>IF(N87&lt;&gt;N84,"*","")</f>
        <v/>
      </c>
    </row>
    <row r="88" spans="1:15" ht="15.75" customHeight="1" x14ac:dyDescent="0.25">
      <c r="A88" s="73" t="s">
        <v>36</v>
      </c>
      <c r="B88" s="60">
        <f>+ENERO!$AG88</f>
        <v>111</v>
      </c>
      <c r="C88" s="60">
        <f>+FEBRERO!$AG88</f>
        <v>72</v>
      </c>
      <c r="D88" s="60">
        <f>+MARZO!$AG88</f>
        <v>78</v>
      </c>
      <c r="E88" s="60">
        <f>+ABRIL!$AG88</f>
        <v>53</v>
      </c>
      <c r="F88" s="60">
        <f>+MAYO!$AG88</f>
        <v>71</v>
      </c>
      <c r="G88" s="60">
        <f>+JUNIO!$AG88</f>
        <v>73</v>
      </c>
      <c r="H88" s="60">
        <f>+JULIO!$AG88</f>
        <v>71</v>
      </c>
      <c r="I88" s="60">
        <f>+AGOSTO!$AG88</f>
        <v>81</v>
      </c>
      <c r="J88" s="60">
        <f>+SEPTIEMBRE!$AG88</f>
        <v>113</v>
      </c>
      <c r="K88" s="60">
        <f>+OCTUBRE!$AG88</f>
        <v>84</v>
      </c>
      <c r="L88" s="60">
        <f>+NOVIEMBRE!$AG88</f>
        <v>83</v>
      </c>
      <c r="M88" s="60">
        <f>+DICIEMBRE!$AG88</f>
        <v>55</v>
      </c>
      <c r="N88" s="4">
        <f t="shared" si="2"/>
        <v>945</v>
      </c>
    </row>
    <row r="89" spans="1:15" ht="15.75" customHeight="1" x14ac:dyDescent="0.25">
      <c r="A89" s="74" t="s">
        <v>37</v>
      </c>
      <c r="B89" s="60">
        <f>+ENERO!$AG89</f>
        <v>0</v>
      </c>
      <c r="C89" s="60">
        <f>+FEBRERO!$AG89</f>
        <v>0</v>
      </c>
      <c r="D89" s="60">
        <f>+MARZO!$AG89</f>
        <v>0</v>
      </c>
      <c r="E89" s="60">
        <f>+ABRIL!$AG89</f>
        <v>0</v>
      </c>
      <c r="F89" s="60">
        <f>+MAYO!$AG89</f>
        <v>0</v>
      </c>
      <c r="G89" s="60">
        <f>+JUNIO!$AG89</f>
        <v>0</v>
      </c>
      <c r="H89" s="60">
        <f>+JULIO!$AG89</f>
        <v>1</v>
      </c>
      <c r="I89" s="60">
        <f>+AGOSTO!$AG89</f>
        <v>0</v>
      </c>
      <c r="J89" s="60">
        <f>+SEPTIEMBRE!$AG89</f>
        <v>0</v>
      </c>
      <c r="K89" s="60">
        <f>+OCTUBRE!$AG89</f>
        <v>0</v>
      </c>
      <c r="L89" s="60">
        <f>+NOVIEMBRE!$AG89</f>
        <v>0</v>
      </c>
      <c r="M89" s="60">
        <f>+DICIEMBRE!$AG89</f>
        <v>1</v>
      </c>
      <c r="N89" s="5">
        <f t="shared" si="2"/>
        <v>2</v>
      </c>
    </row>
    <row r="90" spans="1:15" ht="15.75" customHeight="1" x14ac:dyDescent="0.25">
      <c r="A90" s="74" t="s">
        <v>38</v>
      </c>
      <c r="B90" s="60">
        <f>+ENERO!$AG90</f>
        <v>6</v>
      </c>
      <c r="C90" s="60">
        <f>+FEBRERO!$AG90</f>
        <v>8</v>
      </c>
      <c r="D90" s="60">
        <f>+MARZO!$AG90</f>
        <v>2</v>
      </c>
      <c r="E90" s="60">
        <f>+ABRIL!$AG90</f>
        <v>8</v>
      </c>
      <c r="F90" s="60">
        <f>+MAYO!$AG90</f>
        <v>5</v>
      </c>
      <c r="G90" s="60">
        <f>+JUNIO!$AG90</f>
        <v>9</v>
      </c>
      <c r="H90" s="60">
        <f>+JULIO!$AG90</f>
        <v>2</v>
      </c>
      <c r="I90" s="60">
        <f>+AGOSTO!$AG90</f>
        <v>4</v>
      </c>
      <c r="J90" s="60">
        <f>+SEPTIEMBRE!$AG90</f>
        <v>3</v>
      </c>
      <c r="K90" s="60">
        <f>+OCTUBRE!$AG90</f>
        <v>5</v>
      </c>
      <c r="L90" s="60">
        <f>+NOVIEMBRE!$AG90</f>
        <v>5</v>
      </c>
      <c r="M90" s="60">
        <f>+DICIEMBRE!$AG90</f>
        <v>5</v>
      </c>
      <c r="N90" s="5">
        <f t="shared" si="2"/>
        <v>62</v>
      </c>
    </row>
    <row r="91" spans="1:15" ht="15.75" customHeight="1" x14ac:dyDescent="0.25">
      <c r="A91" s="74" t="s">
        <v>39</v>
      </c>
      <c r="B91" s="60">
        <f>+ENERO!$AG91</f>
        <v>119</v>
      </c>
      <c r="C91" s="60">
        <f>+FEBRERO!$AG91</f>
        <v>109</v>
      </c>
      <c r="D91" s="60">
        <f>+MARZO!$AG91</f>
        <v>153</v>
      </c>
      <c r="E91" s="60">
        <f>+ABRIL!$AG91</f>
        <v>183</v>
      </c>
      <c r="F91" s="60">
        <f>+MAYO!$AG91</f>
        <v>155</v>
      </c>
      <c r="G91" s="60">
        <f>+JUNIO!$AG91</f>
        <v>98</v>
      </c>
      <c r="H91" s="60">
        <f>+JULIO!$AG91</f>
        <v>95</v>
      </c>
      <c r="I91" s="60">
        <f>+AGOSTO!$AG91</f>
        <v>78</v>
      </c>
      <c r="J91" s="60">
        <f>+SEPTIEMBRE!$AG91</f>
        <v>153</v>
      </c>
      <c r="K91" s="60">
        <f>+OCTUBRE!$AG91</f>
        <v>153</v>
      </c>
      <c r="L91" s="60">
        <f>+NOVIEMBRE!$AG91</f>
        <v>227</v>
      </c>
      <c r="M91" s="60">
        <f>+DICIEMBRE!$AG91</f>
        <v>123</v>
      </c>
      <c r="N91" s="5">
        <f t="shared" si="2"/>
        <v>1646</v>
      </c>
    </row>
    <row r="92" spans="1:15" ht="15.75" customHeight="1" thickBot="1" x14ac:dyDescent="0.3">
      <c r="A92" s="74" t="s">
        <v>40</v>
      </c>
      <c r="B92" s="60">
        <f>+ENERO!$AG92</f>
        <v>50</v>
      </c>
      <c r="C92" s="60">
        <f>+FEBRERO!$AG92</f>
        <v>53</v>
      </c>
      <c r="D92" s="60">
        <f>+MARZO!$AG92</f>
        <v>72</v>
      </c>
      <c r="E92" s="60">
        <f>+ABRIL!$AG92</f>
        <v>50</v>
      </c>
      <c r="F92" s="60">
        <f>+MAYO!$AG92</f>
        <v>53</v>
      </c>
      <c r="G92" s="60">
        <f>+JUNIO!$AG92</f>
        <v>26</v>
      </c>
      <c r="H92" s="60">
        <f>+JULIO!$AG92</f>
        <v>29</v>
      </c>
      <c r="I92" s="60">
        <f>+AGOSTO!$AG92</f>
        <v>32</v>
      </c>
      <c r="J92" s="60">
        <f>+SEPTIEMBRE!$AG92</f>
        <v>75</v>
      </c>
      <c r="K92" s="60">
        <f>+OCTUBRE!$AG92</f>
        <v>65</v>
      </c>
      <c r="L92" s="60">
        <f>+NOVIEMBRE!$AG92</f>
        <v>64</v>
      </c>
      <c r="M92" s="60">
        <f>+DICIEMBRE!$AG92</f>
        <v>38</v>
      </c>
      <c r="N92" s="5">
        <f t="shared" si="2"/>
        <v>607</v>
      </c>
    </row>
    <row r="93" spans="1:15" ht="15.75" customHeight="1" x14ac:dyDescent="0.25">
      <c r="A93" s="75" t="s">
        <v>41</v>
      </c>
      <c r="B93" s="20">
        <f>+ENERO!$AG93</f>
        <v>3973</v>
      </c>
      <c r="C93" s="20">
        <f>+FEBRERO!$AG93</f>
        <v>3314</v>
      </c>
      <c r="D93" s="20">
        <f>+MARZO!$AG93</f>
        <v>4019</v>
      </c>
      <c r="E93" s="20">
        <f>+ABRIL!$AG93</f>
        <v>3730</v>
      </c>
      <c r="F93" s="20">
        <f>+MAYO!$AG93</f>
        <v>4479</v>
      </c>
      <c r="G93" s="20">
        <f>+JUNIO!$AG93</f>
        <v>3821</v>
      </c>
      <c r="H93" s="20">
        <f>+JULIO!$AG93</f>
        <v>3853</v>
      </c>
      <c r="I93" s="20">
        <f>+AGOSTO!$AG93</f>
        <v>4002</v>
      </c>
      <c r="J93" s="20">
        <f>+SEPTIEMBRE!$AG93</f>
        <v>4058</v>
      </c>
      <c r="K93" s="20">
        <f>+OCTUBRE!$AG93</f>
        <v>4419</v>
      </c>
      <c r="L93" s="20">
        <f>+NOVIEMBRE!$AG93</f>
        <v>4506</v>
      </c>
      <c r="M93" s="20">
        <f>+DICIEMBRE!$AG93</f>
        <v>4382</v>
      </c>
      <c r="N93" s="5">
        <f t="shared" si="2"/>
        <v>48556</v>
      </c>
      <c r="O93" s="47" t="str">
        <f>IF(N93&lt;&gt;N28,"*","")</f>
        <v/>
      </c>
    </row>
    <row r="94" spans="1:15" ht="15.75" customHeight="1" x14ac:dyDescent="0.25">
      <c r="A94" s="76" t="s">
        <v>42</v>
      </c>
      <c r="B94" s="21">
        <f>+ENERO!$AG94</f>
        <v>417</v>
      </c>
      <c r="C94" s="21">
        <f>+FEBRERO!$AG94</f>
        <v>303</v>
      </c>
      <c r="D94" s="21">
        <f>+MARZO!$AG94</f>
        <v>539</v>
      </c>
      <c r="E94" s="21">
        <f>+ABRIL!$AG94</f>
        <v>560</v>
      </c>
      <c r="F94" s="21">
        <f>+MAYO!$AG94</f>
        <v>709</v>
      </c>
      <c r="G94" s="21">
        <f>+JUNIO!$AG94</f>
        <v>503</v>
      </c>
      <c r="H94" s="21">
        <f>+JULIO!$AG94</f>
        <v>504</v>
      </c>
      <c r="I94" s="21">
        <f>+AGOSTO!$AG94</f>
        <v>708</v>
      </c>
      <c r="J94" s="21">
        <f>+SEPTIEMBRE!$AG94</f>
        <v>674</v>
      </c>
      <c r="K94" s="21">
        <f>+OCTUBRE!$AG94</f>
        <v>793</v>
      </c>
      <c r="L94" s="21">
        <f>+NOVIEMBRE!$AG94</f>
        <v>903</v>
      </c>
      <c r="M94" s="21">
        <f>+DICIEMBRE!$AG94</f>
        <v>574</v>
      </c>
      <c r="N94" s="5">
        <f t="shared" si="2"/>
        <v>7187</v>
      </c>
    </row>
    <row r="95" spans="1:15" ht="15.75" customHeight="1" x14ac:dyDescent="0.25">
      <c r="A95" s="78" t="s">
        <v>43</v>
      </c>
      <c r="B95" s="54">
        <f>+ENERO!$AG95</f>
        <v>7</v>
      </c>
      <c r="C95" s="54">
        <f>+FEBRERO!$AG95</f>
        <v>9</v>
      </c>
      <c r="D95" s="54">
        <f>+MARZO!$AG95</f>
        <v>15</v>
      </c>
      <c r="E95" s="54">
        <f>+ABRIL!$AG95</f>
        <v>12</v>
      </c>
      <c r="F95" s="54">
        <f>+MAYO!$AG95</f>
        <v>12</v>
      </c>
      <c r="G95" s="54">
        <f>+JUNIO!$AG95</f>
        <v>14</v>
      </c>
      <c r="H95" s="54">
        <f>+JULIO!$AG95</f>
        <v>12</v>
      </c>
      <c r="I95" s="54">
        <f>+AGOSTO!$AG95</f>
        <v>22</v>
      </c>
      <c r="J95" s="54">
        <f>+SEPTIEMBRE!$AG95</f>
        <v>10</v>
      </c>
      <c r="K95" s="54">
        <f>+OCTUBRE!$AG95</f>
        <v>18</v>
      </c>
      <c r="L95" s="54">
        <f>+NOVIEMBRE!$AG95</f>
        <v>21</v>
      </c>
      <c r="M95" s="54">
        <f>+DICIEMBRE!$AG95</f>
        <v>20</v>
      </c>
      <c r="N95" s="5">
        <f t="shared" si="2"/>
        <v>172</v>
      </c>
    </row>
    <row r="96" spans="1:15" ht="15.75" customHeight="1" x14ac:dyDescent="0.25">
      <c r="A96" s="79" t="s">
        <v>44</v>
      </c>
      <c r="B96" s="54">
        <f>+ENERO!$AG96</f>
        <v>22</v>
      </c>
      <c r="C96" s="54">
        <f>+FEBRERO!$AG96</f>
        <v>20</v>
      </c>
      <c r="D96" s="54">
        <f>+MARZO!$AG96</f>
        <v>16</v>
      </c>
      <c r="E96" s="54">
        <f>+ABRIL!$AG96</f>
        <v>28</v>
      </c>
      <c r="F96" s="54">
        <f>+MAYO!$AG96</f>
        <v>30</v>
      </c>
      <c r="G96" s="54">
        <f>+JUNIO!$AG96</f>
        <v>31</v>
      </c>
      <c r="H96" s="54">
        <f>+JULIO!$AG96</f>
        <v>33</v>
      </c>
      <c r="I96" s="54">
        <f>+AGOSTO!$AG96</f>
        <v>50</v>
      </c>
      <c r="J96" s="54">
        <f>+SEPTIEMBRE!$AG96</f>
        <v>52</v>
      </c>
      <c r="K96" s="54">
        <f>+OCTUBRE!$AG96</f>
        <v>40</v>
      </c>
      <c r="L96" s="54">
        <f>+NOVIEMBRE!$AG96</f>
        <v>37</v>
      </c>
      <c r="M96" s="54">
        <f>+DICIEMBRE!$AG96</f>
        <v>31</v>
      </c>
      <c r="N96" s="5">
        <f t="shared" si="2"/>
        <v>390</v>
      </c>
    </row>
    <row r="97" spans="1:14" ht="15.75" customHeight="1" x14ac:dyDescent="0.25">
      <c r="A97" s="80" t="s">
        <v>45</v>
      </c>
      <c r="B97" s="54">
        <f>+ENERO!$AG97</f>
        <v>76</v>
      </c>
      <c r="C97" s="54">
        <f>+FEBRERO!$AG97</f>
        <v>56</v>
      </c>
      <c r="D97" s="54">
        <f>+MARZO!$AG97</f>
        <v>98</v>
      </c>
      <c r="E97" s="54">
        <f>+ABRIL!$AG97</f>
        <v>86</v>
      </c>
      <c r="F97" s="54">
        <f>+MAYO!$AG97</f>
        <v>119</v>
      </c>
      <c r="G97" s="54">
        <f>+JUNIO!$AG97</f>
        <v>111</v>
      </c>
      <c r="H97" s="54">
        <f>+JULIO!$AG97</f>
        <v>94</v>
      </c>
      <c r="I97" s="54">
        <f>+AGOSTO!$AG97</f>
        <v>120</v>
      </c>
      <c r="J97" s="54">
        <f>+SEPTIEMBRE!$AG97</f>
        <v>135</v>
      </c>
      <c r="K97" s="54">
        <f>+OCTUBRE!$AG97</f>
        <v>125</v>
      </c>
      <c r="L97" s="54">
        <f>+NOVIEMBRE!$AG97</f>
        <v>148</v>
      </c>
      <c r="M97" s="54">
        <f>+DICIEMBRE!$AG97</f>
        <v>97</v>
      </c>
      <c r="N97" s="5">
        <f t="shared" si="2"/>
        <v>1265</v>
      </c>
    </row>
    <row r="98" spans="1:14" ht="15.75" customHeight="1" x14ac:dyDescent="0.25">
      <c r="A98" s="81" t="s">
        <v>46</v>
      </c>
      <c r="B98" s="54">
        <f>+ENERO!$AG98</f>
        <v>173</v>
      </c>
      <c r="C98" s="54">
        <f>+FEBRERO!$AG98</f>
        <v>105</v>
      </c>
      <c r="D98" s="54">
        <f>+MARZO!$AG98</f>
        <v>193</v>
      </c>
      <c r="E98" s="54">
        <f>+ABRIL!$AG98</f>
        <v>224</v>
      </c>
      <c r="F98" s="54">
        <f>+MAYO!$AG98</f>
        <v>265</v>
      </c>
      <c r="G98" s="54">
        <f>+JUNIO!$AG98</f>
        <v>199</v>
      </c>
      <c r="H98" s="54">
        <f>+JULIO!$AG98</f>
        <v>189</v>
      </c>
      <c r="I98" s="54">
        <f>+AGOSTO!$AG98</f>
        <v>289</v>
      </c>
      <c r="J98" s="54">
        <f>+SEPTIEMBRE!$AG98</f>
        <v>259</v>
      </c>
      <c r="K98" s="54">
        <f>+OCTUBRE!$AG98</f>
        <v>325</v>
      </c>
      <c r="L98" s="54">
        <f>+NOVIEMBRE!$AG98</f>
        <v>363</v>
      </c>
      <c r="M98" s="54">
        <f>+DICIEMBRE!$AG98</f>
        <v>214</v>
      </c>
      <c r="N98" s="5">
        <f t="shared" si="2"/>
        <v>2798</v>
      </c>
    </row>
    <row r="99" spans="1:14" ht="15.75" customHeight="1" x14ac:dyDescent="0.25">
      <c r="A99" s="82" t="s">
        <v>47</v>
      </c>
      <c r="B99" s="54">
        <f>+ENERO!$AG99</f>
        <v>139</v>
      </c>
      <c r="C99" s="54">
        <f>+FEBRERO!$AG99</f>
        <v>113</v>
      </c>
      <c r="D99" s="54">
        <f>+MARZO!$AG99</f>
        <v>217</v>
      </c>
      <c r="E99" s="54">
        <f>+ABRIL!$AG99</f>
        <v>210</v>
      </c>
      <c r="F99" s="54">
        <f>+MAYO!$AG99</f>
        <v>283</v>
      </c>
      <c r="G99" s="54">
        <f>+JUNIO!$AG99</f>
        <v>148</v>
      </c>
      <c r="H99" s="54">
        <f>+JULIO!$AG99</f>
        <v>176</v>
      </c>
      <c r="I99" s="54">
        <f>+AGOSTO!$AG99</f>
        <v>227</v>
      </c>
      <c r="J99" s="54">
        <f>+SEPTIEMBRE!$AG99</f>
        <v>218</v>
      </c>
      <c r="K99" s="54">
        <f>+OCTUBRE!$AG99</f>
        <v>285</v>
      </c>
      <c r="L99" s="54">
        <f>+NOVIEMBRE!$AG99</f>
        <v>334</v>
      </c>
      <c r="M99" s="54">
        <f>+DICIEMBRE!$AG99</f>
        <v>212</v>
      </c>
      <c r="N99" s="5">
        <f t="shared" ref="N99:N130" si="3">SUM(B99:M99)</f>
        <v>2562</v>
      </c>
    </row>
    <row r="100" spans="1:14" ht="15.75" customHeight="1" x14ac:dyDescent="0.25">
      <c r="A100" s="76" t="s">
        <v>48</v>
      </c>
      <c r="B100" s="21">
        <f>+ENERO!$AG100</f>
        <v>3556</v>
      </c>
      <c r="C100" s="21">
        <f>+FEBRERO!$AG100</f>
        <v>3011</v>
      </c>
      <c r="D100" s="21">
        <f>+MARZO!$AG100</f>
        <v>3480</v>
      </c>
      <c r="E100" s="21">
        <f>+ABRIL!$AG100</f>
        <v>3170</v>
      </c>
      <c r="F100" s="21">
        <f>+MAYO!$AG100</f>
        <v>3770</v>
      </c>
      <c r="G100" s="21">
        <f>+JUNIO!$AG100</f>
        <v>3318</v>
      </c>
      <c r="H100" s="21">
        <f>+JULIO!$AG100</f>
        <v>3349</v>
      </c>
      <c r="I100" s="21">
        <f>+AGOSTO!$AG100</f>
        <v>3294</v>
      </c>
      <c r="J100" s="21">
        <f>+SEPTIEMBRE!$AG100</f>
        <v>3384</v>
      </c>
      <c r="K100" s="21">
        <f>+OCTUBRE!$AG100</f>
        <v>3626</v>
      </c>
      <c r="L100" s="21">
        <f>+NOVIEMBRE!$AG100</f>
        <v>3603</v>
      </c>
      <c r="M100" s="21">
        <f>+DICIEMBRE!$AG100</f>
        <v>3808</v>
      </c>
      <c r="N100" s="5">
        <f t="shared" si="3"/>
        <v>41369</v>
      </c>
    </row>
    <row r="101" spans="1:14" ht="15.75" customHeight="1" x14ac:dyDescent="0.25">
      <c r="A101" s="82" t="s">
        <v>49</v>
      </c>
      <c r="B101" s="54">
        <f>+ENERO!$AG101</f>
        <v>281</v>
      </c>
      <c r="C101" s="54">
        <f>+FEBRERO!$AG101</f>
        <v>205</v>
      </c>
      <c r="D101" s="54">
        <f>+MARZO!$AG101</f>
        <v>286</v>
      </c>
      <c r="E101" s="54">
        <f>+ABRIL!$AG101</f>
        <v>324</v>
      </c>
      <c r="F101" s="54">
        <f>+MAYO!$AG101</f>
        <v>324</v>
      </c>
      <c r="G101" s="54">
        <f>+JUNIO!$AG101</f>
        <v>221</v>
      </c>
      <c r="H101" s="54">
        <f>+JULIO!$AG101</f>
        <v>273</v>
      </c>
      <c r="I101" s="54">
        <f>+AGOSTO!$AG101</f>
        <v>259</v>
      </c>
      <c r="J101" s="54">
        <f>+SEPTIEMBRE!$AG101</f>
        <v>258</v>
      </c>
      <c r="K101" s="54">
        <f>+OCTUBRE!$AG101</f>
        <v>299</v>
      </c>
      <c r="L101" s="54">
        <f>+NOVIEMBRE!$AG101</f>
        <v>321</v>
      </c>
      <c r="M101" s="54">
        <f>+DICIEMBRE!$AG101</f>
        <v>273</v>
      </c>
      <c r="N101" s="5">
        <f t="shared" si="3"/>
        <v>3324</v>
      </c>
    </row>
    <row r="102" spans="1:14" ht="15.75" customHeight="1" x14ac:dyDescent="0.25">
      <c r="A102" s="82" t="s">
        <v>50</v>
      </c>
      <c r="B102" s="54">
        <f>+ENERO!$AG102</f>
        <v>314</v>
      </c>
      <c r="C102" s="54">
        <f>+FEBRERO!$AG102</f>
        <v>257</v>
      </c>
      <c r="D102" s="54">
        <f>+MARZO!$AG102</f>
        <v>286</v>
      </c>
      <c r="E102" s="54">
        <f>+ABRIL!$AG102</f>
        <v>266</v>
      </c>
      <c r="F102" s="54">
        <f>+MAYO!$AG102</f>
        <v>303</v>
      </c>
      <c r="G102" s="54">
        <f>+JUNIO!$AG102</f>
        <v>241</v>
      </c>
      <c r="H102" s="54">
        <f>+JULIO!$AG102</f>
        <v>285</v>
      </c>
      <c r="I102" s="54">
        <f>+AGOSTO!$AG102</f>
        <v>268</v>
      </c>
      <c r="J102" s="54">
        <f>+SEPTIEMBRE!$AG102</f>
        <v>304</v>
      </c>
      <c r="K102" s="54">
        <f>+OCTUBRE!$AG102</f>
        <v>278</v>
      </c>
      <c r="L102" s="54">
        <f>+NOVIEMBRE!$AG102</f>
        <v>330</v>
      </c>
      <c r="M102" s="54">
        <f>+DICIEMBRE!$AG102</f>
        <v>328</v>
      </c>
      <c r="N102" s="5">
        <f t="shared" si="3"/>
        <v>3460</v>
      </c>
    </row>
    <row r="103" spans="1:14" ht="15.75" customHeight="1" x14ac:dyDescent="0.25">
      <c r="A103" s="78" t="s">
        <v>51</v>
      </c>
      <c r="B103" s="54">
        <f>+ENERO!$AG103</f>
        <v>308</v>
      </c>
      <c r="C103" s="54">
        <f>+FEBRERO!$AG103</f>
        <v>228</v>
      </c>
      <c r="D103" s="54">
        <f>+MARZO!$AG103</f>
        <v>271</v>
      </c>
      <c r="E103" s="54">
        <f>+ABRIL!$AG103</f>
        <v>249</v>
      </c>
      <c r="F103" s="54">
        <f>+MAYO!$AG103</f>
        <v>317</v>
      </c>
      <c r="G103" s="54">
        <f>+JUNIO!$AG103</f>
        <v>277</v>
      </c>
      <c r="H103" s="54">
        <f>+JULIO!$AG103</f>
        <v>244</v>
      </c>
      <c r="I103" s="54">
        <f>+AGOSTO!$AG103</f>
        <v>257</v>
      </c>
      <c r="J103" s="54">
        <f>+SEPTIEMBRE!$AG103</f>
        <v>257</v>
      </c>
      <c r="K103" s="54">
        <f>+OCTUBRE!$AG103</f>
        <v>262</v>
      </c>
      <c r="L103" s="54">
        <f>+NOVIEMBRE!$AG103</f>
        <v>307</v>
      </c>
      <c r="M103" s="54">
        <f>+DICIEMBRE!$AG103</f>
        <v>362</v>
      </c>
      <c r="N103" s="5">
        <f t="shared" si="3"/>
        <v>3339</v>
      </c>
    </row>
    <row r="104" spans="1:14" ht="15.75" customHeight="1" x14ac:dyDescent="0.25">
      <c r="A104" s="78" t="s">
        <v>52</v>
      </c>
      <c r="B104" s="54">
        <f>+ENERO!$AG104</f>
        <v>287</v>
      </c>
      <c r="C104" s="54">
        <f>+FEBRERO!$AG104</f>
        <v>231</v>
      </c>
      <c r="D104" s="54">
        <f>+MARZO!$AG104</f>
        <v>259</v>
      </c>
      <c r="E104" s="54">
        <f>+ABRIL!$AG104</f>
        <v>215</v>
      </c>
      <c r="F104" s="54">
        <f>+MAYO!$AG104</f>
        <v>268</v>
      </c>
      <c r="G104" s="54">
        <f>+JUNIO!$AG104</f>
        <v>255</v>
      </c>
      <c r="H104" s="54">
        <f>+JULIO!$AG104</f>
        <v>209</v>
      </c>
      <c r="I104" s="54">
        <f>+AGOSTO!$AG104</f>
        <v>240</v>
      </c>
      <c r="J104" s="54">
        <f>+SEPTIEMBRE!$AG104</f>
        <v>226</v>
      </c>
      <c r="K104" s="54">
        <f>+OCTUBRE!$AG104</f>
        <v>310</v>
      </c>
      <c r="L104" s="54">
        <f>+NOVIEMBRE!$AG104</f>
        <v>250</v>
      </c>
      <c r="M104" s="54">
        <f>+DICIEMBRE!$AG104</f>
        <v>306</v>
      </c>
      <c r="N104" s="5">
        <f t="shared" si="3"/>
        <v>3056</v>
      </c>
    </row>
    <row r="105" spans="1:14" ht="15.75" customHeight="1" x14ac:dyDescent="0.25">
      <c r="A105" s="78" t="s">
        <v>53</v>
      </c>
      <c r="B105" s="54">
        <f>+ENERO!$AG105</f>
        <v>259</v>
      </c>
      <c r="C105" s="54">
        <f>+FEBRERO!$AG105</f>
        <v>208</v>
      </c>
      <c r="D105" s="54">
        <f>+MARZO!$AG105</f>
        <v>250</v>
      </c>
      <c r="E105" s="54">
        <f>+ABRIL!$AG105</f>
        <v>220</v>
      </c>
      <c r="F105" s="54">
        <f>+MAYO!$AG105</f>
        <v>282</v>
      </c>
      <c r="G105" s="54">
        <f>+JUNIO!$AG105</f>
        <v>252</v>
      </c>
      <c r="H105" s="54">
        <f>+JULIO!$AG105</f>
        <v>282</v>
      </c>
      <c r="I105" s="54">
        <f>+AGOSTO!$AG105</f>
        <v>265</v>
      </c>
      <c r="J105" s="54">
        <f>+SEPTIEMBRE!$AG105</f>
        <v>261</v>
      </c>
      <c r="K105" s="54">
        <f>+OCTUBRE!$AG105</f>
        <v>297</v>
      </c>
      <c r="L105" s="54">
        <f>+NOVIEMBRE!$AG105</f>
        <v>284</v>
      </c>
      <c r="M105" s="54">
        <f>+DICIEMBRE!$AG105</f>
        <v>274</v>
      </c>
      <c r="N105" s="5">
        <f t="shared" si="3"/>
        <v>3134</v>
      </c>
    </row>
    <row r="106" spans="1:14" ht="15.75" customHeight="1" x14ac:dyDescent="0.25">
      <c r="A106" s="78" t="s">
        <v>54</v>
      </c>
      <c r="B106" s="54">
        <f>+ENERO!$AG106</f>
        <v>241</v>
      </c>
      <c r="C106" s="54">
        <f>+FEBRERO!$AG106</f>
        <v>227</v>
      </c>
      <c r="D106" s="54">
        <f>+MARZO!$AG106</f>
        <v>205</v>
      </c>
      <c r="E106" s="54">
        <f>+ABRIL!$AG106</f>
        <v>235</v>
      </c>
      <c r="F106" s="54">
        <f>+MAYO!$AG106</f>
        <v>244</v>
      </c>
      <c r="G106" s="54">
        <f>+JUNIO!$AG106</f>
        <v>221</v>
      </c>
      <c r="H106" s="54">
        <f>+JULIO!$AG106</f>
        <v>212</v>
      </c>
      <c r="I106" s="54">
        <f>+AGOSTO!$AG106</f>
        <v>240</v>
      </c>
      <c r="J106" s="54">
        <f>+SEPTIEMBRE!$AG106</f>
        <v>211</v>
      </c>
      <c r="K106" s="54">
        <f>+OCTUBRE!$AG106</f>
        <v>224</v>
      </c>
      <c r="L106" s="54">
        <f>+NOVIEMBRE!$AG106</f>
        <v>232</v>
      </c>
      <c r="M106" s="54">
        <f>+DICIEMBRE!$AG106</f>
        <v>231</v>
      </c>
      <c r="N106" s="5">
        <f t="shared" si="3"/>
        <v>2723</v>
      </c>
    </row>
    <row r="107" spans="1:14" ht="15.75" customHeight="1" x14ac:dyDescent="0.25">
      <c r="A107" s="78" t="s">
        <v>55</v>
      </c>
      <c r="B107" s="54">
        <f>+ENERO!$AG107</f>
        <v>197</v>
      </c>
      <c r="C107" s="54">
        <f>+FEBRERO!$AG107</f>
        <v>189</v>
      </c>
      <c r="D107" s="54">
        <f>+MARZO!$AG107</f>
        <v>255</v>
      </c>
      <c r="E107" s="54">
        <f>+ABRIL!$AG107</f>
        <v>222</v>
      </c>
      <c r="F107" s="54">
        <f>+MAYO!$AG107</f>
        <v>252</v>
      </c>
      <c r="G107" s="54">
        <f>+JUNIO!$AG107</f>
        <v>222</v>
      </c>
      <c r="H107" s="54">
        <f>+JULIO!$AG107</f>
        <v>242</v>
      </c>
      <c r="I107" s="54">
        <f>+AGOSTO!$AG107</f>
        <v>224</v>
      </c>
      <c r="J107" s="54">
        <f>+SEPTIEMBRE!$AG107</f>
        <v>233</v>
      </c>
      <c r="K107" s="54">
        <f>+OCTUBRE!$AG107</f>
        <v>241</v>
      </c>
      <c r="L107" s="54">
        <f>+NOVIEMBRE!$AG107</f>
        <v>210</v>
      </c>
      <c r="M107" s="54">
        <f>+DICIEMBRE!$AG107</f>
        <v>220</v>
      </c>
      <c r="N107" s="5">
        <f t="shared" si="3"/>
        <v>2707</v>
      </c>
    </row>
    <row r="108" spans="1:14" ht="15.75" customHeight="1" x14ac:dyDescent="0.25">
      <c r="A108" s="78" t="s">
        <v>56</v>
      </c>
      <c r="B108" s="54">
        <f>+ENERO!$AG108</f>
        <v>259</v>
      </c>
      <c r="C108" s="54">
        <f>+FEBRERO!$AG108</f>
        <v>255</v>
      </c>
      <c r="D108" s="54">
        <f>+MARZO!$AG108</f>
        <v>262</v>
      </c>
      <c r="E108" s="54">
        <f>+ABRIL!$AG108</f>
        <v>249</v>
      </c>
      <c r="F108" s="54">
        <f>+MAYO!$AG108</f>
        <v>311</v>
      </c>
      <c r="G108" s="54">
        <f>+JUNIO!$AG108</f>
        <v>279</v>
      </c>
      <c r="H108" s="54">
        <f>+JULIO!$AG108</f>
        <v>284</v>
      </c>
      <c r="I108" s="54">
        <f>+AGOSTO!$AG108</f>
        <v>256</v>
      </c>
      <c r="J108" s="54">
        <f>+SEPTIEMBRE!$AG108</f>
        <v>270</v>
      </c>
      <c r="K108" s="54">
        <f>+OCTUBRE!$AG108</f>
        <v>266</v>
      </c>
      <c r="L108" s="54">
        <f>+NOVIEMBRE!$AG108</f>
        <v>256</v>
      </c>
      <c r="M108" s="54">
        <f>+DICIEMBRE!$AG108</f>
        <v>256</v>
      </c>
      <c r="N108" s="5">
        <f t="shared" si="3"/>
        <v>3203</v>
      </c>
    </row>
    <row r="109" spans="1:14" ht="15.75" customHeight="1" x14ac:dyDescent="0.25">
      <c r="A109" s="78" t="s">
        <v>57</v>
      </c>
      <c r="B109" s="54">
        <f>+ENERO!$AG109</f>
        <v>296</v>
      </c>
      <c r="C109" s="54">
        <f>+FEBRERO!$AG109</f>
        <v>248</v>
      </c>
      <c r="D109" s="54">
        <f>+MARZO!$AG109</f>
        <v>275</v>
      </c>
      <c r="E109" s="54">
        <f>+ABRIL!$AG109</f>
        <v>259</v>
      </c>
      <c r="F109" s="54">
        <f>+MAYO!$AG109</f>
        <v>318</v>
      </c>
      <c r="G109" s="54">
        <f>+JUNIO!$AG109</f>
        <v>268</v>
      </c>
      <c r="H109" s="54">
        <f>+JULIO!$AG109</f>
        <v>266</v>
      </c>
      <c r="I109" s="54">
        <f>+AGOSTO!$AG109</f>
        <v>224</v>
      </c>
      <c r="J109" s="54">
        <f>+SEPTIEMBRE!$AG109</f>
        <v>302</v>
      </c>
      <c r="K109" s="54">
        <f>+OCTUBRE!$AG109</f>
        <v>280</v>
      </c>
      <c r="L109" s="54">
        <f>+NOVIEMBRE!$AG109</f>
        <v>287</v>
      </c>
      <c r="M109" s="54">
        <f>+DICIEMBRE!$AG109</f>
        <v>328</v>
      </c>
      <c r="N109" s="5">
        <f t="shared" si="3"/>
        <v>3351</v>
      </c>
    </row>
    <row r="110" spans="1:14" ht="15.75" customHeight="1" x14ac:dyDescent="0.25">
      <c r="A110" s="78" t="s">
        <v>58</v>
      </c>
      <c r="B110" s="54">
        <f>+ENERO!$AG110</f>
        <v>267</v>
      </c>
      <c r="C110" s="54">
        <f>+FEBRERO!$AG110</f>
        <v>242</v>
      </c>
      <c r="D110" s="54">
        <f>+MARZO!$AG110</f>
        <v>299</v>
      </c>
      <c r="E110" s="54">
        <f>+ABRIL!$AG110</f>
        <v>232</v>
      </c>
      <c r="F110" s="54">
        <f>+MAYO!$AG110</f>
        <v>294</v>
      </c>
      <c r="G110" s="54">
        <f>+JUNIO!$AG110</f>
        <v>277</v>
      </c>
      <c r="H110" s="54">
        <f>+JULIO!$AG110</f>
        <v>250</v>
      </c>
      <c r="I110" s="54">
        <f>+AGOSTO!$AG110</f>
        <v>261</v>
      </c>
      <c r="J110" s="54">
        <f>+SEPTIEMBRE!$AG110</f>
        <v>265</v>
      </c>
      <c r="K110" s="54">
        <f>+OCTUBRE!$AG110</f>
        <v>260</v>
      </c>
      <c r="L110" s="54">
        <f>+NOVIEMBRE!$AG110</f>
        <v>303</v>
      </c>
      <c r="M110" s="54">
        <f>+DICIEMBRE!$AG110</f>
        <v>323</v>
      </c>
      <c r="N110" s="5">
        <f t="shared" si="3"/>
        <v>3273</v>
      </c>
    </row>
    <row r="111" spans="1:14" ht="15.75" customHeight="1" x14ac:dyDescent="0.25">
      <c r="A111" s="78" t="s">
        <v>59</v>
      </c>
      <c r="B111" s="54">
        <f>+ENERO!$AG111</f>
        <v>257</v>
      </c>
      <c r="C111" s="54">
        <f>+FEBRERO!$AG111</f>
        <v>194</v>
      </c>
      <c r="D111" s="54">
        <f>+MARZO!$AG111</f>
        <v>241</v>
      </c>
      <c r="E111" s="54">
        <f>+ABRIL!$AG111</f>
        <v>201</v>
      </c>
      <c r="F111" s="54">
        <f>+MAYO!$AG111</f>
        <v>232</v>
      </c>
      <c r="G111" s="54">
        <f>+JUNIO!$AG111</f>
        <v>211</v>
      </c>
      <c r="H111" s="54">
        <f>+JULIO!$AG111</f>
        <v>195</v>
      </c>
      <c r="I111" s="54">
        <f>+AGOSTO!$AG111</f>
        <v>237</v>
      </c>
      <c r="J111" s="54">
        <f>+SEPTIEMBRE!$AG111</f>
        <v>200</v>
      </c>
      <c r="K111" s="54">
        <f>+OCTUBRE!$AG111</f>
        <v>269</v>
      </c>
      <c r="L111" s="54">
        <f>+NOVIEMBRE!$AG111</f>
        <v>228</v>
      </c>
      <c r="M111" s="54">
        <f>+DICIEMBRE!$AG111</f>
        <v>260</v>
      </c>
      <c r="N111" s="5">
        <f t="shared" si="3"/>
        <v>2725</v>
      </c>
    </row>
    <row r="112" spans="1:14" ht="15.75" customHeight="1" x14ac:dyDescent="0.25">
      <c r="A112" s="78" t="s">
        <v>60</v>
      </c>
      <c r="B112" s="54">
        <f>+ENERO!$AG112</f>
        <v>165</v>
      </c>
      <c r="C112" s="54">
        <f>+FEBRERO!$AG112</f>
        <v>158</v>
      </c>
      <c r="D112" s="54">
        <f>+MARZO!$AG112</f>
        <v>200</v>
      </c>
      <c r="E112" s="54">
        <f>+ABRIL!$AG112</f>
        <v>171</v>
      </c>
      <c r="F112" s="54">
        <f>+MAYO!$AG112</f>
        <v>207</v>
      </c>
      <c r="G112" s="54">
        <f>+JUNIO!$AG112</f>
        <v>245</v>
      </c>
      <c r="H112" s="54">
        <f>+JULIO!$AG112</f>
        <v>194</v>
      </c>
      <c r="I112" s="54">
        <f>+AGOSTO!$AG112</f>
        <v>182</v>
      </c>
      <c r="J112" s="54">
        <f>+SEPTIEMBRE!$AG112</f>
        <v>201</v>
      </c>
      <c r="K112" s="54">
        <f>+OCTUBRE!$AG112</f>
        <v>215</v>
      </c>
      <c r="L112" s="54">
        <f>+NOVIEMBRE!$AG112</f>
        <v>184</v>
      </c>
      <c r="M112" s="54">
        <f>+DICIEMBRE!$AG112</f>
        <v>235</v>
      </c>
      <c r="N112" s="5">
        <f t="shared" si="3"/>
        <v>2357</v>
      </c>
    </row>
    <row r="113" spans="1:18" ht="15.75" customHeight="1" x14ac:dyDescent="0.25">
      <c r="A113" s="78" t="s">
        <v>61</v>
      </c>
      <c r="B113" s="54">
        <f>+ENERO!$AG113</f>
        <v>169</v>
      </c>
      <c r="C113" s="54">
        <f>+FEBRERO!$AG113</f>
        <v>159</v>
      </c>
      <c r="D113" s="54">
        <f>+MARZO!$AG113</f>
        <v>139</v>
      </c>
      <c r="E113" s="54">
        <f>+ABRIL!$AG113</f>
        <v>130</v>
      </c>
      <c r="F113" s="54">
        <f>+MAYO!$AG113</f>
        <v>187</v>
      </c>
      <c r="G113" s="54">
        <f>+JUNIO!$AG113</f>
        <v>114</v>
      </c>
      <c r="H113" s="54">
        <f>+JULIO!$AG113</f>
        <v>171</v>
      </c>
      <c r="I113" s="54">
        <f>+AGOSTO!$AG113</f>
        <v>159</v>
      </c>
      <c r="J113" s="54">
        <f>+SEPTIEMBRE!$AG113</f>
        <v>163</v>
      </c>
      <c r="K113" s="54">
        <f>+OCTUBRE!$AG113</f>
        <v>185</v>
      </c>
      <c r="L113" s="54">
        <f>+NOVIEMBRE!$AG113</f>
        <v>163</v>
      </c>
      <c r="M113" s="54">
        <f>+DICIEMBRE!$AG113</f>
        <v>148</v>
      </c>
      <c r="N113" s="5">
        <f t="shared" si="3"/>
        <v>1887</v>
      </c>
    </row>
    <row r="114" spans="1:18" ht="15.75" customHeight="1" x14ac:dyDescent="0.25">
      <c r="A114" s="78" t="s">
        <v>62</v>
      </c>
      <c r="B114" s="54">
        <f>+ENERO!$AG114</f>
        <v>256</v>
      </c>
      <c r="C114" s="54">
        <f>+FEBRERO!$AG114</f>
        <v>210</v>
      </c>
      <c r="D114" s="54">
        <f>+MARZO!$AG114</f>
        <v>252</v>
      </c>
      <c r="E114" s="54">
        <f>+ABRIL!$AG114</f>
        <v>197</v>
      </c>
      <c r="F114" s="54">
        <f>+MAYO!$AG114</f>
        <v>231</v>
      </c>
      <c r="G114" s="54">
        <f>+JUNIO!$AG114</f>
        <v>235</v>
      </c>
      <c r="H114" s="54">
        <f>+JULIO!$AG114</f>
        <v>242</v>
      </c>
      <c r="I114" s="54">
        <f>+AGOSTO!$AG114</f>
        <v>222</v>
      </c>
      <c r="J114" s="54">
        <f>+SEPTIEMBRE!$AG114</f>
        <v>233</v>
      </c>
      <c r="K114" s="54">
        <f>+OCTUBRE!$AG114</f>
        <v>240</v>
      </c>
      <c r="L114" s="54">
        <f>+NOVIEMBRE!$AG114</f>
        <v>248</v>
      </c>
      <c r="M114" s="54">
        <f>+DICIEMBRE!$AG114</f>
        <v>264</v>
      </c>
      <c r="N114" s="5">
        <f t="shared" si="3"/>
        <v>2830</v>
      </c>
    </row>
    <row r="115" spans="1:18" ht="15.75" customHeight="1" thickBot="1" x14ac:dyDescent="0.3">
      <c r="A115" s="83"/>
      <c r="B115" s="66">
        <f>+ENERO!$AG115</f>
        <v>0</v>
      </c>
      <c r="C115" s="66">
        <f>+FEBRERO!$AG115</f>
        <v>0</v>
      </c>
      <c r="D115" s="66">
        <f>+MARZO!$AG115</f>
        <v>0</v>
      </c>
      <c r="E115" s="66">
        <f>+ABRIL!$AG115</f>
        <v>0</v>
      </c>
      <c r="F115" s="66">
        <f>+MAYO!$AG115</f>
        <v>0</v>
      </c>
      <c r="G115" s="66">
        <f>+JUNIO!$AG115</f>
        <v>0</v>
      </c>
      <c r="H115" s="66">
        <f>+JULIO!$AG115</f>
        <v>0</v>
      </c>
      <c r="I115" s="66">
        <f>+AGOSTO!$AG115</f>
        <v>0</v>
      </c>
      <c r="J115" s="66">
        <f>+SEPTIEMBRE!$AG115</f>
        <v>0</v>
      </c>
      <c r="K115" s="66">
        <f>+OCTUBRE!$AG115</f>
        <v>0</v>
      </c>
      <c r="L115" s="66">
        <f>+NOVIEMBRE!$AG115</f>
        <v>0</v>
      </c>
      <c r="M115" s="66">
        <f>+DICIEMBRE!$AG115</f>
        <v>0</v>
      </c>
      <c r="N115" s="5">
        <f t="shared" si="3"/>
        <v>0</v>
      </c>
      <c r="R115" s="84">
        <v>603</v>
      </c>
    </row>
    <row r="116" spans="1:18" ht="15.75" customHeight="1" x14ac:dyDescent="0.25">
      <c r="A116" s="75" t="s">
        <v>63</v>
      </c>
      <c r="B116" s="20">
        <f>+ENERO!$AG116</f>
        <v>1191</v>
      </c>
      <c r="C116" s="20">
        <f>+FEBRERO!$AG116</f>
        <v>1062</v>
      </c>
      <c r="D116" s="20">
        <f>+MARZO!$AG116</f>
        <v>1167</v>
      </c>
      <c r="E116" s="20">
        <f>+ABRIL!$AG116</f>
        <v>1033</v>
      </c>
      <c r="F116" s="20">
        <f>+MAYO!$AG116</f>
        <v>1180</v>
      </c>
      <c r="G116" s="20">
        <f>+JUNIO!$AG116</f>
        <v>1052</v>
      </c>
      <c r="H116" s="20">
        <f>+JULIO!$AG116</f>
        <v>1054</v>
      </c>
      <c r="I116" s="20">
        <f>+AGOSTO!$AG116</f>
        <v>1159</v>
      </c>
      <c r="J116" s="20">
        <f>+SEPTIEMBRE!$AG116</f>
        <v>1284</v>
      </c>
      <c r="K116" s="20">
        <f>+OCTUBRE!$AG116</f>
        <v>1296</v>
      </c>
      <c r="L116" s="20">
        <f>+NOVIEMBRE!$AG116</f>
        <v>1406</v>
      </c>
      <c r="M116" s="20">
        <f>+DICIEMBRE!$AG116</f>
        <v>1356</v>
      </c>
      <c r="N116" s="5">
        <f t="shared" si="3"/>
        <v>14240</v>
      </c>
      <c r="R116" s="84">
        <v>612</v>
      </c>
    </row>
    <row r="117" spans="1:18" ht="15.75" customHeight="1" x14ac:dyDescent="0.25">
      <c r="A117" s="85" t="s">
        <v>64</v>
      </c>
      <c r="B117" s="54">
        <f>+ENERO!$AG117</f>
        <v>927</v>
      </c>
      <c r="C117" s="54">
        <f>+FEBRERO!$AG117</f>
        <v>817</v>
      </c>
      <c r="D117" s="54">
        <f>+MARZO!$AG117</f>
        <v>963</v>
      </c>
      <c r="E117" s="54">
        <f>+ABRIL!$AG117</f>
        <v>827</v>
      </c>
      <c r="F117" s="54">
        <f>+MAYO!$AG117</f>
        <v>966</v>
      </c>
      <c r="G117" s="54">
        <f>+JUNIO!$AG117</f>
        <v>853</v>
      </c>
      <c r="H117" s="54">
        <f>+JULIO!$AG117</f>
        <v>868</v>
      </c>
      <c r="I117" s="54">
        <f>+AGOSTO!$AG117</f>
        <v>951</v>
      </c>
      <c r="J117" s="54">
        <f>+SEPTIEMBRE!$AG117</f>
        <v>1087</v>
      </c>
      <c r="K117" s="54">
        <f>+OCTUBRE!$AG117</f>
        <v>1073</v>
      </c>
      <c r="L117" s="54">
        <f>+NOVIEMBRE!$AG117</f>
        <v>1206</v>
      </c>
      <c r="M117" s="54">
        <f>+DICIEMBRE!$AG117</f>
        <v>1144</v>
      </c>
      <c r="N117" s="5">
        <f t="shared" si="3"/>
        <v>11682</v>
      </c>
      <c r="R117" s="84">
        <v>613</v>
      </c>
    </row>
    <row r="118" spans="1:18" ht="15.75" customHeight="1" thickBot="1" x14ac:dyDescent="0.3">
      <c r="A118" s="86" t="s">
        <v>76</v>
      </c>
      <c r="B118" s="87">
        <f>+ENERO!$AG118</f>
        <v>264</v>
      </c>
      <c r="C118" s="87">
        <f>+FEBRERO!$AG118</f>
        <v>245</v>
      </c>
      <c r="D118" s="87">
        <f>+MARZO!$AG118</f>
        <v>204</v>
      </c>
      <c r="E118" s="87">
        <f>+ABRIL!$AG118</f>
        <v>206</v>
      </c>
      <c r="F118" s="87">
        <f>+MAYO!$AG118</f>
        <v>214</v>
      </c>
      <c r="G118" s="87">
        <f>+JUNIO!$AG118</f>
        <v>199</v>
      </c>
      <c r="H118" s="87">
        <f>+JULIO!$AG118</f>
        <v>186</v>
      </c>
      <c r="I118" s="87">
        <f>+AGOSTO!$AG118</f>
        <v>208</v>
      </c>
      <c r="J118" s="87">
        <f>+SEPTIEMBRE!$AG118</f>
        <v>197</v>
      </c>
      <c r="K118" s="87">
        <f>+OCTUBRE!$AG118</f>
        <v>223</v>
      </c>
      <c r="L118" s="87">
        <f>+NOVIEMBRE!$AG118</f>
        <v>200</v>
      </c>
      <c r="M118" s="87">
        <f>+DICIEMBRE!$AG118</f>
        <v>212</v>
      </c>
      <c r="N118" s="5">
        <f t="shared" si="3"/>
        <v>2558</v>
      </c>
      <c r="R118" s="84" t="s">
        <v>128</v>
      </c>
    </row>
    <row r="119" spans="1:18" ht="15.75" customHeight="1" x14ac:dyDescent="0.25">
      <c r="A119" s="75" t="s">
        <v>77</v>
      </c>
      <c r="B119" s="20">
        <f>+ENERO!$AG119</f>
        <v>3973</v>
      </c>
      <c r="C119" s="20">
        <f>+FEBRERO!$AG119</f>
        <v>3314</v>
      </c>
      <c r="D119" s="20">
        <f>+MARZO!$AG119</f>
        <v>4019</v>
      </c>
      <c r="E119" s="20">
        <f>+ABRIL!$AG119</f>
        <v>3730</v>
      </c>
      <c r="F119" s="20">
        <f>+MAYO!$AG119</f>
        <v>4479</v>
      </c>
      <c r="G119" s="20">
        <f>+JUNIO!$AG119</f>
        <v>3821</v>
      </c>
      <c r="H119" s="20">
        <f>+JULIO!$AG119</f>
        <v>3853</v>
      </c>
      <c r="I119" s="20">
        <f>+AGOSTO!$AG119</f>
        <v>4002</v>
      </c>
      <c r="J119" s="20">
        <f>+SEPTIEMBRE!$AG119</f>
        <v>4058</v>
      </c>
      <c r="K119" s="20">
        <f>+OCTUBRE!$AG119</f>
        <v>4419</v>
      </c>
      <c r="L119" s="20">
        <f>+NOVIEMBRE!$AG119</f>
        <v>4506</v>
      </c>
      <c r="M119" s="20">
        <f>+DICIEMBRE!$AG119</f>
        <v>4382</v>
      </c>
      <c r="N119" s="7">
        <f t="shared" si="3"/>
        <v>48556</v>
      </c>
      <c r="O119" s="47" t="str">
        <f>IF(N119&lt;&gt;N93,"*","")</f>
        <v/>
      </c>
      <c r="R119" s="84" t="s">
        <v>129</v>
      </c>
    </row>
    <row r="120" spans="1:18" ht="15.75" customHeight="1" x14ac:dyDescent="0.25">
      <c r="A120" s="85" t="s">
        <v>64</v>
      </c>
      <c r="B120" s="54">
        <f>+ENERO!$AG120</f>
        <v>864</v>
      </c>
      <c r="C120" s="54">
        <f>+FEBRERO!$AG120</f>
        <v>759</v>
      </c>
      <c r="D120" s="54">
        <f>+MARZO!$AG120</f>
        <v>900</v>
      </c>
      <c r="E120" s="54">
        <f>+ABRIL!$AG120</f>
        <v>779</v>
      </c>
      <c r="F120" s="54">
        <f>+MAYO!$AG120</f>
        <v>908</v>
      </c>
      <c r="G120" s="54">
        <f>+JUNIO!$AG120</f>
        <v>809</v>
      </c>
      <c r="H120" s="54">
        <f>+JULIO!$AG120</f>
        <v>837</v>
      </c>
      <c r="I120" s="54">
        <f>+AGOSTO!$AG120</f>
        <v>903</v>
      </c>
      <c r="J120" s="54">
        <f>+SEPTIEMBRE!$AG120</f>
        <v>997</v>
      </c>
      <c r="K120" s="54">
        <f>+OCTUBRE!$AG120</f>
        <v>1013</v>
      </c>
      <c r="L120" s="54">
        <f>+NOVIEMBRE!$AG120</f>
        <v>1111</v>
      </c>
      <c r="M120" s="54">
        <f>+DICIEMBRE!$AG120</f>
        <v>1130</v>
      </c>
      <c r="N120" s="5">
        <f t="shared" si="3"/>
        <v>11010</v>
      </c>
      <c r="R120" s="88" t="s">
        <v>130</v>
      </c>
    </row>
    <row r="121" spans="1:18" ht="15.75" customHeight="1" x14ac:dyDescent="0.25">
      <c r="A121" s="85" t="s">
        <v>65</v>
      </c>
      <c r="B121" s="54">
        <f>+ENERO!$AG121</f>
        <v>90</v>
      </c>
      <c r="C121" s="54">
        <f>+FEBRERO!$AG121</f>
        <v>97</v>
      </c>
      <c r="D121" s="54">
        <f>+MARZO!$AG121</f>
        <v>108</v>
      </c>
      <c r="E121" s="54">
        <f>+ABRIL!$AG121</f>
        <v>101</v>
      </c>
      <c r="F121" s="54">
        <f>+MAYO!$AG121</f>
        <v>99</v>
      </c>
      <c r="G121" s="54">
        <f>+JUNIO!$AG121</f>
        <v>91</v>
      </c>
      <c r="H121" s="54">
        <f>+JULIO!$AG121</f>
        <v>92</v>
      </c>
      <c r="I121" s="54">
        <f>+AGOSTO!$AG121</f>
        <v>99</v>
      </c>
      <c r="J121" s="54">
        <f>+SEPTIEMBRE!$AG121</f>
        <v>71</v>
      </c>
      <c r="K121" s="54">
        <f>+OCTUBRE!$AG121</f>
        <v>83</v>
      </c>
      <c r="L121" s="54">
        <f>+NOVIEMBRE!$AG121</f>
        <v>89</v>
      </c>
      <c r="M121" s="54">
        <f>+DICIEMBRE!$AG121</f>
        <v>98</v>
      </c>
      <c r="N121" s="5">
        <f t="shared" si="3"/>
        <v>1118</v>
      </c>
      <c r="R121" s="84" t="s">
        <v>131</v>
      </c>
    </row>
    <row r="122" spans="1:18" ht="15.75" customHeight="1" x14ac:dyDescent="0.25">
      <c r="A122" s="85" t="s">
        <v>66</v>
      </c>
      <c r="B122" s="54">
        <f>+ENERO!$AG122</f>
        <v>250</v>
      </c>
      <c r="C122" s="54">
        <f>+FEBRERO!$AG122</f>
        <v>229</v>
      </c>
      <c r="D122" s="54">
        <f>+MARZO!$AG122</f>
        <v>257</v>
      </c>
      <c r="E122" s="54">
        <f>+ABRIL!$AG122</f>
        <v>192</v>
      </c>
      <c r="F122" s="54">
        <f>+MAYO!$AG122</f>
        <v>243</v>
      </c>
      <c r="G122" s="54">
        <f>+JUNIO!$AG122</f>
        <v>183</v>
      </c>
      <c r="H122" s="54">
        <f>+JULIO!$AG122</f>
        <v>203</v>
      </c>
      <c r="I122" s="54">
        <f>+AGOSTO!$AG122</f>
        <v>204</v>
      </c>
      <c r="J122" s="54">
        <f>+SEPTIEMBRE!$AG122</f>
        <v>199</v>
      </c>
      <c r="K122" s="54">
        <f>+OCTUBRE!$AG122</f>
        <v>250</v>
      </c>
      <c r="L122" s="54">
        <f>+NOVIEMBRE!$AG122</f>
        <v>243</v>
      </c>
      <c r="M122" s="54">
        <f>+DICIEMBRE!$AG122</f>
        <v>247</v>
      </c>
      <c r="N122" s="5">
        <f t="shared" si="3"/>
        <v>2700</v>
      </c>
      <c r="R122" s="88" t="s">
        <v>132</v>
      </c>
    </row>
    <row r="123" spans="1:18" ht="15.75" customHeight="1" x14ac:dyDescent="0.25">
      <c r="A123" s="85" t="s">
        <v>67</v>
      </c>
      <c r="B123" s="54">
        <f>+ENERO!$AG123</f>
        <v>182</v>
      </c>
      <c r="C123" s="54">
        <f>+FEBRERO!$AG123</f>
        <v>117</v>
      </c>
      <c r="D123" s="54">
        <f>+MARZO!$AG123</f>
        <v>188</v>
      </c>
      <c r="E123" s="54">
        <f>+ABRIL!$AG123</f>
        <v>158</v>
      </c>
      <c r="F123" s="54">
        <f>+MAYO!$AG123</f>
        <v>180</v>
      </c>
      <c r="G123" s="54">
        <f>+JUNIO!$AG123</f>
        <v>157</v>
      </c>
      <c r="H123" s="54">
        <f>+JULIO!$AG123</f>
        <v>163</v>
      </c>
      <c r="I123" s="54">
        <f>+AGOSTO!$AG123</f>
        <v>149</v>
      </c>
      <c r="J123" s="54">
        <f>+SEPTIEMBRE!$AG123</f>
        <v>137</v>
      </c>
      <c r="K123" s="54">
        <f>+OCTUBRE!$AG123</f>
        <v>144</v>
      </c>
      <c r="L123" s="54">
        <f>+NOVIEMBRE!$AG123</f>
        <v>127</v>
      </c>
      <c r="M123" s="54">
        <f>+DICIEMBRE!$AG123</f>
        <v>158</v>
      </c>
      <c r="N123" s="5">
        <f t="shared" si="3"/>
        <v>1860</v>
      </c>
      <c r="R123" s="84" t="s">
        <v>133</v>
      </c>
    </row>
    <row r="124" spans="1:18" ht="15.75" customHeight="1" x14ac:dyDescent="0.25">
      <c r="A124" s="85" t="s">
        <v>68</v>
      </c>
      <c r="B124" s="54">
        <f>+ENERO!$AG124</f>
        <v>260</v>
      </c>
      <c r="C124" s="54">
        <f>+FEBRERO!$AG124</f>
        <v>212</v>
      </c>
      <c r="D124" s="54">
        <f>+MARZO!$AG124</f>
        <v>272</v>
      </c>
      <c r="E124" s="54">
        <f>+ABRIL!$AG124</f>
        <v>210</v>
      </c>
      <c r="F124" s="54">
        <f>+MAYO!$AG124</f>
        <v>254</v>
      </c>
      <c r="G124" s="54">
        <f>+JUNIO!$AG124</f>
        <v>221</v>
      </c>
      <c r="H124" s="54">
        <f>+JULIO!$AG124</f>
        <v>234</v>
      </c>
      <c r="I124" s="54">
        <f>+AGOSTO!$AG124</f>
        <v>283</v>
      </c>
      <c r="J124" s="54">
        <f>+SEPTIEMBRE!$AG124</f>
        <v>292</v>
      </c>
      <c r="K124" s="54">
        <f>+OCTUBRE!$AG124</f>
        <v>311</v>
      </c>
      <c r="L124" s="54">
        <f>+NOVIEMBRE!$AG124</f>
        <v>323</v>
      </c>
      <c r="M124" s="54">
        <f>+DICIEMBRE!$AG124</f>
        <v>288</v>
      </c>
      <c r="N124" s="5">
        <f t="shared" si="3"/>
        <v>3160</v>
      </c>
      <c r="R124" s="88" t="s">
        <v>134</v>
      </c>
    </row>
    <row r="125" spans="1:18" ht="15.75" customHeight="1" x14ac:dyDescent="0.25">
      <c r="A125" s="85" t="s">
        <v>69</v>
      </c>
      <c r="B125" s="54">
        <f>+ENERO!$AG125</f>
        <v>1721</v>
      </c>
      <c r="C125" s="54">
        <f>+FEBRERO!$AG125</f>
        <v>1408</v>
      </c>
      <c r="D125" s="54">
        <f>+MARZO!$AG125</f>
        <v>1780</v>
      </c>
      <c r="E125" s="54">
        <f>+ABRIL!$AG125</f>
        <v>1788</v>
      </c>
      <c r="F125" s="54">
        <f>+MAYO!$AG125</f>
        <v>2203</v>
      </c>
      <c r="G125" s="54">
        <f>+JUNIO!$AG125</f>
        <v>1853</v>
      </c>
      <c r="H125" s="54">
        <f>+JULIO!$AG125</f>
        <v>1843</v>
      </c>
      <c r="I125" s="54">
        <f>+AGOSTO!$AG125</f>
        <v>1862</v>
      </c>
      <c r="J125" s="54">
        <f>+SEPTIEMBRE!$AG125</f>
        <v>1866</v>
      </c>
      <c r="K125" s="54">
        <f>+OCTUBRE!$AG125</f>
        <v>2074</v>
      </c>
      <c r="L125" s="54">
        <f>+NOVIEMBRE!$AG125</f>
        <v>2081</v>
      </c>
      <c r="M125" s="54">
        <f>+DICIEMBRE!$AG125</f>
        <v>1897</v>
      </c>
      <c r="N125" s="5">
        <f t="shared" si="3"/>
        <v>22376</v>
      </c>
      <c r="R125" s="88" t="s">
        <v>135</v>
      </c>
    </row>
    <row r="126" spans="1:18" ht="15.75" customHeight="1" x14ac:dyDescent="0.25">
      <c r="A126" s="85" t="s">
        <v>70</v>
      </c>
      <c r="B126" s="54">
        <f>+ENERO!$AG126</f>
        <v>90</v>
      </c>
      <c r="C126" s="54">
        <f>+FEBRERO!$AG126</f>
        <v>68</v>
      </c>
      <c r="D126" s="54">
        <f>+MARZO!$AG126</f>
        <v>80</v>
      </c>
      <c r="E126" s="54">
        <f>+ABRIL!$AG126</f>
        <v>57</v>
      </c>
      <c r="F126" s="54">
        <f>+MAYO!$AG126</f>
        <v>96</v>
      </c>
      <c r="G126" s="54">
        <f>+JUNIO!$AG126</f>
        <v>73</v>
      </c>
      <c r="H126" s="54">
        <f>+JULIO!$AG126</f>
        <v>56</v>
      </c>
      <c r="I126" s="54">
        <f>+AGOSTO!$AG126</f>
        <v>74</v>
      </c>
      <c r="J126" s="54">
        <f>+SEPTIEMBRE!$AG126</f>
        <v>53</v>
      </c>
      <c r="K126" s="54">
        <f>+OCTUBRE!$AG126</f>
        <v>70</v>
      </c>
      <c r="L126" s="54">
        <f>+NOVIEMBRE!$AG126</f>
        <v>73</v>
      </c>
      <c r="M126" s="54">
        <f>+DICIEMBRE!$AG126</f>
        <v>58</v>
      </c>
      <c r="N126" s="5">
        <f t="shared" si="3"/>
        <v>848</v>
      </c>
      <c r="R126" s="84" t="s">
        <v>136</v>
      </c>
    </row>
    <row r="127" spans="1:18" ht="15.75" customHeight="1" x14ac:dyDescent="0.25">
      <c r="A127" s="85" t="s">
        <v>71</v>
      </c>
      <c r="B127" s="54">
        <f>+ENERO!$AG127</f>
        <v>38</v>
      </c>
      <c r="C127" s="54">
        <f>+FEBRERO!$AG127</f>
        <v>24</v>
      </c>
      <c r="D127" s="54">
        <f>+MARZO!$AG127</f>
        <v>35</v>
      </c>
      <c r="E127" s="54">
        <f>+ABRIL!$AG127</f>
        <v>32</v>
      </c>
      <c r="F127" s="54">
        <f>+MAYO!$AG127</f>
        <v>39</v>
      </c>
      <c r="G127" s="54">
        <f>+JUNIO!$AG127</f>
        <v>38</v>
      </c>
      <c r="H127" s="54">
        <f>+JULIO!$AG127</f>
        <v>33</v>
      </c>
      <c r="I127" s="54">
        <f>+AGOSTO!$AG127</f>
        <v>19</v>
      </c>
      <c r="J127" s="54">
        <f>+SEPTIEMBRE!$AG127</f>
        <v>39</v>
      </c>
      <c r="K127" s="54">
        <f>+OCTUBRE!$AG127</f>
        <v>36</v>
      </c>
      <c r="L127" s="54">
        <f>+NOVIEMBRE!$AG127</f>
        <v>30</v>
      </c>
      <c r="M127" s="54">
        <f>+DICIEMBRE!$AG127</f>
        <v>33</v>
      </c>
      <c r="N127" s="5">
        <f t="shared" si="3"/>
        <v>396</v>
      </c>
      <c r="R127" s="88" t="s">
        <v>137</v>
      </c>
    </row>
    <row r="128" spans="1:18" ht="15.75" customHeight="1" x14ac:dyDescent="0.25">
      <c r="A128" s="56" t="s">
        <v>72</v>
      </c>
      <c r="B128" s="54">
        <f>+ENERO!$AG128</f>
        <v>36</v>
      </c>
      <c r="C128" s="54">
        <f>+FEBRERO!$AG128</f>
        <v>26</v>
      </c>
      <c r="D128" s="54">
        <f>+MARZO!$AG128</f>
        <v>51</v>
      </c>
      <c r="E128" s="54">
        <f>+ABRIL!$AG128</f>
        <v>38</v>
      </c>
      <c r="F128" s="54">
        <f>+MAYO!$AG128</f>
        <v>41</v>
      </c>
      <c r="G128" s="54">
        <f>+JUNIO!$AG128</f>
        <v>36</v>
      </c>
      <c r="H128" s="54">
        <f>+JULIO!$AG128</f>
        <v>56</v>
      </c>
      <c r="I128" s="54">
        <f>+AGOSTO!$AG128</f>
        <v>42</v>
      </c>
      <c r="J128" s="54">
        <f>+SEPTIEMBRE!$AG128</f>
        <v>39</v>
      </c>
      <c r="K128" s="54">
        <f>+OCTUBRE!$AG128</f>
        <v>34</v>
      </c>
      <c r="L128" s="54">
        <f>+NOVIEMBRE!$AG128</f>
        <v>50</v>
      </c>
      <c r="M128" s="54">
        <f>+DICIEMBRE!$AG128</f>
        <v>47</v>
      </c>
      <c r="N128" s="5">
        <f t="shared" si="3"/>
        <v>496</v>
      </c>
      <c r="R128" s="88" t="s">
        <v>138</v>
      </c>
    </row>
    <row r="129" spans="1:18" ht="15.75" customHeight="1" x14ac:dyDescent="0.25">
      <c r="A129" s="56" t="s">
        <v>73</v>
      </c>
      <c r="B129" s="54">
        <f>+ENERO!$AG129</f>
        <v>31</v>
      </c>
      <c r="C129" s="54">
        <f>+FEBRERO!$AG129</f>
        <v>27</v>
      </c>
      <c r="D129" s="54">
        <f>+MARZO!$AG129</f>
        <v>19</v>
      </c>
      <c r="E129" s="54">
        <f>+ABRIL!$AG129</f>
        <v>34</v>
      </c>
      <c r="F129" s="54">
        <f>+MAYO!$AG129</f>
        <v>41</v>
      </c>
      <c r="G129" s="54">
        <f>+JUNIO!$AG129</f>
        <v>27</v>
      </c>
      <c r="H129" s="54">
        <f>+JULIO!$AG129</f>
        <v>22</v>
      </c>
      <c r="I129" s="54">
        <f>+AGOSTO!$AG129</f>
        <v>25</v>
      </c>
      <c r="J129" s="54">
        <f>+SEPTIEMBRE!$AG129</f>
        <v>27</v>
      </c>
      <c r="K129" s="54">
        <f>+OCTUBRE!$AG129</f>
        <v>42</v>
      </c>
      <c r="L129" s="54">
        <f>+NOVIEMBRE!$AG129</f>
        <v>31</v>
      </c>
      <c r="M129" s="54">
        <f>+DICIEMBRE!$AG129</f>
        <v>52</v>
      </c>
      <c r="N129" s="5">
        <f t="shared" si="3"/>
        <v>378</v>
      </c>
      <c r="R129" s="84" t="s">
        <v>139</v>
      </c>
    </row>
    <row r="130" spans="1:18" ht="15.75" customHeight="1" x14ac:dyDescent="0.25">
      <c r="A130" s="56" t="s">
        <v>74</v>
      </c>
      <c r="B130" s="54">
        <f>+ENERO!$AG130</f>
        <v>11</v>
      </c>
      <c r="C130" s="54">
        <f>+FEBRERO!$AG130</f>
        <v>8</v>
      </c>
      <c r="D130" s="54">
        <f>+MARZO!$AG130</f>
        <v>6</v>
      </c>
      <c r="E130" s="54">
        <f>+ABRIL!$AG130</f>
        <v>5</v>
      </c>
      <c r="F130" s="54">
        <f>+MAYO!$AG130</f>
        <v>10</v>
      </c>
      <c r="G130" s="54">
        <f>+JUNIO!$AG130</f>
        <v>4</v>
      </c>
      <c r="H130" s="54">
        <f>+JULIO!$AG130</f>
        <v>12</v>
      </c>
      <c r="I130" s="54">
        <f>+AGOSTO!$AG130</f>
        <v>6</v>
      </c>
      <c r="J130" s="54">
        <f>+SEPTIEMBRE!$AG130</f>
        <v>9</v>
      </c>
      <c r="K130" s="54">
        <f>+OCTUBRE!$AG130</f>
        <v>7</v>
      </c>
      <c r="L130" s="54">
        <f>+NOVIEMBRE!$AG130</f>
        <v>5</v>
      </c>
      <c r="M130" s="54">
        <f>+DICIEMBRE!$AG130</f>
        <v>7</v>
      </c>
      <c r="N130" s="5">
        <f t="shared" si="3"/>
        <v>90</v>
      </c>
      <c r="R130" s="84" t="s">
        <v>140</v>
      </c>
    </row>
    <row r="131" spans="1:18" ht="15.75" customHeight="1" x14ac:dyDescent="0.25">
      <c r="A131" s="85" t="s">
        <v>75</v>
      </c>
      <c r="B131" s="54">
        <f>+ENERO!$AG131</f>
        <v>188</v>
      </c>
      <c r="C131" s="54">
        <f>+FEBRERO!$AG131</f>
        <v>124</v>
      </c>
      <c r="D131" s="54">
        <f>+MARZO!$AG131</f>
        <v>152</v>
      </c>
      <c r="E131" s="54">
        <f>+ABRIL!$AG131</f>
        <v>175</v>
      </c>
      <c r="F131" s="54">
        <f>+MAYO!$AG131</f>
        <v>181</v>
      </c>
      <c r="G131" s="54">
        <f>+JUNIO!$AG131</f>
        <v>154</v>
      </c>
      <c r="H131" s="54">
        <f>+JULIO!$AG131</f>
        <v>141</v>
      </c>
      <c r="I131" s="54">
        <f>+AGOSTO!$AG131</f>
        <v>137</v>
      </c>
      <c r="J131" s="54">
        <f>+SEPTIEMBRE!$AG131</f>
        <v>145</v>
      </c>
      <c r="K131" s="54">
        <f>+OCTUBRE!$AG131</f>
        <v>166</v>
      </c>
      <c r="L131" s="54">
        <f>+NOVIEMBRE!$AG131</f>
        <v>156</v>
      </c>
      <c r="M131" s="54">
        <f>+DICIEMBRE!$AG131</f>
        <v>167</v>
      </c>
      <c r="N131" s="5">
        <f t="shared" ref="N131:N162" si="4">SUM(B131:M131)</f>
        <v>1886</v>
      </c>
      <c r="R131" s="84" t="s">
        <v>141</v>
      </c>
    </row>
    <row r="132" spans="1:18" ht="15.75" customHeight="1" thickBot="1" x14ac:dyDescent="0.3">
      <c r="A132" s="86" t="s">
        <v>76</v>
      </c>
      <c r="B132" s="87">
        <f>+ENERO!$AG132</f>
        <v>212</v>
      </c>
      <c r="C132" s="87">
        <f>+FEBRERO!$AG132</f>
        <v>215</v>
      </c>
      <c r="D132" s="87">
        <f>+MARZO!$AG132</f>
        <v>171</v>
      </c>
      <c r="E132" s="87">
        <f>+ABRIL!$AG132</f>
        <v>161</v>
      </c>
      <c r="F132" s="87">
        <f>+MAYO!$AG132</f>
        <v>184</v>
      </c>
      <c r="G132" s="87">
        <f>+JUNIO!$AG132</f>
        <v>175</v>
      </c>
      <c r="H132" s="87">
        <f>+JULIO!$AG132</f>
        <v>161</v>
      </c>
      <c r="I132" s="87">
        <f>+AGOSTO!$AG132</f>
        <v>199</v>
      </c>
      <c r="J132" s="87">
        <f>+SEPTIEMBRE!$AG132</f>
        <v>184</v>
      </c>
      <c r="K132" s="87">
        <f>+OCTUBRE!$AG132</f>
        <v>189</v>
      </c>
      <c r="L132" s="87">
        <f>+NOVIEMBRE!$AG132</f>
        <v>187</v>
      </c>
      <c r="M132" s="87">
        <f>+DICIEMBRE!$AG132</f>
        <v>200</v>
      </c>
      <c r="N132" s="9">
        <f t="shared" si="4"/>
        <v>2238</v>
      </c>
      <c r="R132" s="84" t="s">
        <v>142</v>
      </c>
    </row>
    <row r="133" spans="1:18" ht="15.75" customHeight="1" thickBot="1" x14ac:dyDescent="0.3">
      <c r="A133" s="67" t="s">
        <v>78</v>
      </c>
      <c r="B133" s="14">
        <f>+ENERO!$AG133</f>
        <v>3973</v>
      </c>
      <c r="C133" s="14">
        <f>+FEBRERO!$AG133</f>
        <v>3314</v>
      </c>
      <c r="D133" s="14">
        <f>+MARZO!$AG133</f>
        <v>4019</v>
      </c>
      <c r="E133" s="14">
        <f>+ABRIL!$AG133</f>
        <v>3730</v>
      </c>
      <c r="F133" s="14">
        <f>+MAYO!$AG133</f>
        <v>4479</v>
      </c>
      <c r="G133" s="14">
        <f>+JUNIO!$AG133</f>
        <v>3821</v>
      </c>
      <c r="H133" s="14">
        <f>+JULIO!$AG133</f>
        <v>3853</v>
      </c>
      <c r="I133" s="14">
        <f>+AGOSTO!$AG133</f>
        <v>4002</v>
      </c>
      <c r="J133" s="14">
        <f>+SEPTIEMBRE!$AG133</f>
        <v>4058</v>
      </c>
      <c r="K133" s="14">
        <f>+OCTUBRE!$AG133</f>
        <v>4419</v>
      </c>
      <c r="L133" s="14">
        <f>+NOVIEMBRE!$AG133</f>
        <v>4506</v>
      </c>
      <c r="M133" s="14">
        <f>+DICIEMBRE!$AG133</f>
        <v>4382</v>
      </c>
      <c r="N133" s="10">
        <f t="shared" si="4"/>
        <v>48556</v>
      </c>
      <c r="O133" s="47" t="str">
        <f>IF(N133&lt;&gt;N93,"*","")</f>
        <v/>
      </c>
      <c r="R133" s="84" t="s">
        <v>143</v>
      </c>
    </row>
    <row r="134" spans="1:18" ht="15.75" customHeight="1" thickBot="1" x14ac:dyDescent="0.3">
      <c r="A134" s="89" t="s">
        <v>31</v>
      </c>
      <c r="B134" s="22">
        <f>+ENERO!$AG134</f>
        <v>286</v>
      </c>
      <c r="C134" s="22">
        <f>+FEBRERO!$AG134</f>
        <v>242</v>
      </c>
      <c r="D134" s="22">
        <f>+MARZO!$AG134</f>
        <v>305</v>
      </c>
      <c r="E134" s="22">
        <f>+ABRIL!$AG134</f>
        <v>294</v>
      </c>
      <c r="F134" s="22">
        <f>+MAYO!$AG134</f>
        <v>284</v>
      </c>
      <c r="G134" s="22">
        <f>+JUNIO!$AG134</f>
        <v>206</v>
      </c>
      <c r="H134" s="22">
        <f>+JULIO!$AG134</f>
        <v>198</v>
      </c>
      <c r="I134" s="22">
        <f>+AGOSTO!$AG134</f>
        <v>195</v>
      </c>
      <c r="J134" s="22">
        <f>+SEPTIEMBRE!$AG134</f>
        <v>344</v>
      </c>
      <c r="K134" s="22">
        <f>+OCTUBRE!$AG134</f>
        <v>307</v>
      </c>
      <c r="L134" s="22">
        <f>+NOVIEMBRE!$AG134</f>
        <v>379</v>
      </c>
      <c r="M134" s="22">
        <f>+DICIEMBRE!$AG134</f>
        <v>222</v>
      </c>
      <c r="N134" s="23">
        <f t="shared" si="4"/>
        <v>3262</v>
      </c>
      <c r="R134" s="84" t="s">
        <v>144</v>
      </c>
    </row>
    <row r="135" spans="1:18" ht="15.75" customHeight="1" thickBot="1" x14ac:dyDescent="0.3">
      <c r="A135" s="52" t="s">
        <v>79</v>
      </c>
      <c r="B135" s="1">
        <f>+ENERO!$AG135</f>
        <v>19</v>
      </c>
      <c r="C135" s="1">
        <f>+FEBRERO!$AG135</f>
        <v>16</v>
      </c>
      <c r="D135" s="1">
        <f>+MARZO!$AG135</f>
        <v>17</v>
      </c>
      <c r="E135" s="1">
        <f>+ABRIL!$AG135</f>
        <v>27</v>
      </c>
      <c r="F135" s="1">
        <f>+MAYO!$AG135</f>
        <v>30</v>
      </c>
      <c r="G135" s="1">
        <f>+JUNIO!$AG135</f>
        <v>21</v>
      </c>
      <c r="H135" s="1">
        <f>+JULIO!$AG135</f>
        <v>17</v>
      </c>
      <c r="I135" s="1">
        <f>+AGOSTO!$AG135</f>
        <v>17</v>
      </c>
      <c r="J135" s="1">
        <f>+SEPTIEMBRE!$AG135</f>
        <v>17</v>
      </c>
      <c r="K135" s="1">
        <f>+OCTUBRE!$AG135</f>
        <v>14</v>
      </c>
      <c r="L135" s="1">
        <f>+NOVIEMBRE!$AG135</f>
        <v>14</v>
      </c>
      <c r="M135" s="1">
        <f>+DICIEMBRE!$AG135</f>
        <v>20</v>
      </c>
      <c r="N135" s="2">
        <f t="shared" si="4"/>
        <v>229</v>
      </c>
      <c r="O135" s="133" t="s">
        <v>80</v>
      </c>
      <c r="R135" s="84" t="s">
        <v>145</v>
      </c>
    </row>
    <row r="136" spans="1:18" ht="15.75" customHeight="1" x14ac:dyDescent="0.25">
      <c r="A136" s="90" t="s">
        <v>81</v>
      </c>
      <c r="B136" s="91">
        <f>+ENERO!$AG136</f>
        <v>16</v>
      </c>
      <c r="C136" s="91">
        <f>+FEBRERO!$AG136</f>
        <v>14</v>
      </c>
      <c r="D136" s="91">
        <f>+MARZO!$AG136</f>
        <v>16</v>
      </c>
      <c r="E136" s="91">
        <f>+ABRIL!$AG136</f>
        <v>27</v>
      </c>
      <c r="F136" s="91">
        <f>+MAYO!$AG136</f>
        <v>29</v>
      </c>
      <c r="G136" s="91">
        <f>+JUNIO!$AG136</f>
        <v>20</v>
      </c>
      <c r="H136" s="91">
        <f>+JULIO!$AG136</f>
        <v>17</v>
      </c>
      <c r="I136" s="91">
        <f>+AGOSTO!$AG136</f>
        <v>17</v>
      </c>
      <c r="J136" s="91">
        <f>+SEPTIEMBRE!$AG136</f>
        <v>16</v>
      </c>
      <c r="K136" s="91">
        <f>+OCTUBRE!$AG136</f>
        <v>14</v>
      </c>
      <c r="L136" s="91">
        <f>+NOVIEMBRE!$AG136</f>
        <v>14</v>
      </c>
      <c r="M136" s="91">
        <f>+DICIEMBRE!$AG136</f>
        <v>19</v>
      </c>
      <c r="N136" s="28">
        <f t="shared" si="4"/>
        <v>219</v>
      </c>
      <c r="R136" s="84" t="s">
        <v>146</v>
      </c>
    </row>
    <row r="137" spans="1:18" ht="15.75" customHeight="1" x14ac:dyDescent="0.25">
      <c r="A137" s="92" t="s">
        <v>82</v>
      </c>
      <c r="B137" s="93">
        <f>+ENERO!$AG137</f>
        <v>2</v>
      </c>
      <c r="C137" s="93">
        <f>+FEBRERO!$AG137</f>
        <v>2</v>
      </c>
      <c r="D137" s="93">
        <f>+MARZO!$AG137</f>
        <v>1</v>
      </c>
      <c r="E137" s="93">
        <f>+ABRIL!$AG137</f>
        <v>0</v>
      </c>
      <c r="F137" s="93">
        <f>+MAYO!$AG137</f>
        <v>1</v>
      </c>
      <c r="G137" s="93">
        <f>+JUNIO!$AG137</f>
        <v>1</v>
      </c>
      <c r="H137" s="93">
        <f>+JULIO!$AG137</f>
        <v>0</v>
      </c>
      <c r="I137" s="93">
        <f>+AGOSTO!$AG137</f>
        <v>0</v>
      </c>
      <c r="J137" s="93">
        <f>+SEPTIEMBRE!$AG137</f>
        <v>1</v>
      </c>
      <c r="K137" s="93">
        <f>+OCTUBRE!$AG137</f>
        <v>0</v>
      </c>
      <c r="L137" s="93">
        <f>+NOVIEMBRE!$AG137</f>
        <v>0</v>
      </c>
      <c r="M137" s="93">
        <f>+DICIEMBRE!$AG137</f>
        <v>1</v>
      </c>
      <c r="N137" s="29">
        <f t="shared" si="4"/>
        <v>9</v>
      </c>
      <c r="R137" s="84" t="s">
        <v>147</v>
      </c>
    </row>
    <row r="138" spans="1:18" ht="15.75" customHeight="1" thickBot="1" x14ac:dyDescent="0.3">
      <c r="A138" s="94" t="s">
        <v>83</v>
      </c>
      <c r="B138" s="95">
        <f>+ENERO!$AG138</f>
        <v>1</v>
      </c>
      <c r="C138" s="95">
        <f>+FEBRERO!$AG138</f>
        <v>0</v>
      </c>
      <c r="D138" s="95">
        <f>+MARZO!$AG138</f>
        <v>0</v>
      </c>
      <c r="E138" s="95">
        <f>+ABRIL!$AG138</f>
        <v>0</v>
      </c>
      <c r="F138" s="95">
        <f>+MAYO!$AG138</f>
        <v>0</v>
      </c>
      <c r="G138" s="95">
        <f>+JUNIO!$AG138</f>
        <v>0</v>
      </c>
      <c r="H138" s="95">
        <f>+JULIO!$AG138</f>
        <v>0</v>
      </c>
      <c r="I138" s="95">
        <f>+AGOSTO!$AG138</f>
        <v>0</v>
      </c>
      <c r="J138" s="95">
        <f>+SEPTIEMBRE!$AG138</f>
        <v>0</v>
      </c>
      <c r="K138" s="95">
        <f>+OCTUBRE!$AG138</f>
        <v>0</v>
      </c>
      <c r="L138" s="95">
        <f>+NOVIEMBRE!$AG138</f>
        <v>0</v>
      </c>
      <c r="M138" s="95">
        <f>+DICIEMBRE!$AG138</f>
        <v>0</v>
      </c>
      <c r="N138" s="30">
        <f t="shared" si="4"/>
        <v>1</v>
      </c>
      <c r="R138" s="84" t="s">
        <v>148</v>
      </c>
    </row>
    <row r="139" spans="1:18" ht="15.75" customHeight="1" thickBot="1" x14ac:dyDescent="0.3">
      <c r="A139" s="72" t="s">
        <v>84</v>
      </c>
      <c r="B139" s="31">
        <f>+ENERO!$AG139</f>
        <v>125</v>
      </c>
      <c r="C139" s="31">
        <f>+FEBRERO!$AG139</f>
        <v>91</v>
      </c>
      <c r="D139" s="31">
        <f>+MARZO!$AG139</f>
        <v>121</v>
      </c>
      <c r="E139" s="31">
        <f>+ABRIL!$AG139</f>
        <v>107</v>
      </c>
      <c r="F139" s="31">
        <f>+MAYO!$AG139</f>
        <v>104</v>
      </c>
      <c r="G139" s="31">
        <f>+JUNIO!$AG139</f>
        <v>87</v>
      </c>
      <c r="H139" s="31">
        <f>+JULIO!$AG139</f>
        <v>98</v>
      </c>
      <c r="I139" s="31">
        <f>+AGOSTO!$AG139</f>
        <v>120</v>
      </c>
      <c r="J139" s="31">
        <f>+SEPTIEMBRE!$AG139</f>
        <v>95</v>
      </c>
      <c r="K139" s="31">
        <f>+OCTUBRE!$AG139</f>
        <v>118</v>
      </c>
      <c r="L139" s="31">
        <f>+NOVIEMBRE!$AG139</f>
        <v>74</v>
      </c>
      <c r="M139" s="31">
        <f>+DICIEMBRE!$AG139</f>
        <v>97</v>
      </c>
      <c r="N139" s="32">
        <f t="shared" si="4"/>
        <v>1237</v>
      </c>
      <c r="O139" s="27" t="s">
        <v>85</v>
      </c>
      <c r="R139" s="84" t="s">
        <v>149</v>
      </c>
    </row>
    <row r="140" spans="1:18" ht="15.75" customHeight="1" x14ac:dyDescent="0.25">
      <c r="A140" s="96" t="s">
        <v>86</v>
      </c>
      <c r="B140" s="97">
        <f>+ENERO!$AG140</f>
        <v>10</v>
      </c>
      <c r="C140" s="97">
        <f>+FEBRERO!$AG140</f>
        <v>10</v>
      </c>
      <c r="D140" s="97">
        <f>+MARZO!$AG140</f>
        <v>7</v>
      </c>
      <c r="E140" s="97">
        <f>+ABRIL!$AG140</f>
        <v>13</v>
      </c>
      <c r="F140" s="97">
        <f>+MAYO!$AG140</f>
        <v>8</v>
      </c>
      <c r="G140" s="97">
        <f>+JUNIO!$AG140</f>
        <v>10</v>
      </c>
      <c r="H140" s="97">
        <f>+JULIO!$AG140</f>
        <v>10</v>
      </c>
      <c r="I140" s="97">
        <f>+AGOSTO!$AG140</f>
        <v>12</v>
      </c>
      <c r="J140" s="97">
        <f>+SEPTIEMBRE!$AG140</f>
        <v>5</v>
      </c>
      <c r="K140" s="97">
        <f>+OCTUBRE!$AG140</f>
        <v>11</v>
      </c>
      <c r="L140" s="97">
        <f>+NOVIEMBRE!$AG140</f>
        <v>10</v>
      </c>
      <c r="M140" s="97">
        <f>+DICIEMBRE!$AG140</f>
        <v>11</v>
      </c>
      <c r="N140" s="33">
        <f t="shared" si="4"/>
        <v>117</v>
      </c>
      <c r="O140" s="27" t="s">
        <v>85</v>
      </c>
      <c r="R140" s="84" t="s">
        <v>150</v>
      </c>
    </row>
    <row r="141" spans="1:18" ht="15.75" customHeight="1" thickBot="1" x14ac:dyDescent="0.3">
      <c r="A141" s="73" t="s">
        <v>87</v>
      </c>
      <c r="B141" s="98">
        <f>+ENERO!$AG141</f>
        <v>115</v>
      </c>
      <c r="C141" s="98">
        <f>+FEBRERO!$AG141</f>
        <v>81</v>
      </c>
      <c r="D141" s="98">
        <f>+MARZO!$AG141</f>
        <v>114</v>
      </c>
      <c r="E141" s="98">
        <f>+ABRIL!$AG141</f>
        <v>94</v>
      </c>
      <c r="F141" s="98">
        <f>+MAYO!$AG141</f>
        <v>96</v>
      </c>
      <c r="G141" s="98">
        <f>+JUNIO!$AG141</f>
        <v>77</v>
      </c>
      <c r="H141" s="98">
        <f>+JULIO!$AG141</f>
        <v>88</v>
      </c>
      <c r="I141" s="98">
        <f>+AGOSTO!$AG141</f>
        <v>108</v>
      </c>
      <c r="J141" s="98">
        <f>+SEPTIEMBRE!$AG141</f>
        <v>90</v>
      </c>
      <c r="K141" s="98">
        <f>+OCTUBRE!$AG141</f>
        <v>107</v>
      </c>
      <c r="L141" s="98">
        <f>+NOVIEMBRE!$AG141</f>
        <v>64</v>
      </c>
      <c r="M141" s="98">
        <f>+DICIEMBRE!$AG141</f>
        <v>86</v>
      </c>
      <c r="N141" s="34">
        <f t="shared" si="4"/>
        <v>1120</v>
      </c>
      <c r="O141" s="27" t="s">
        <v>85</v>
      </c>
      <c r="R141" s="84" t="s">
        <v>151</v>
      </c>
    </row>
    <row r="142" spans="1:18" ht="15.75" customHeight="1" x14ac:dyDescent="0.25">
      <c r="A142" s="99" t="s">
        <v>88</v>
      </c>
      <c r="B142" s="100">
        <f>+ENERO!$AG142</f>
        <v>0</v>
      </c>
      <c r="C142" s="100">
        <f>+FEBRERO!$AG142</f>
        <v>0</v>
      </c>
      <c r="D142" s="100">
        <f>+MARZO!$AG142</f>
        <v>0</v>
      </c>
      <c r="E142" s="100">
        <f>+ABRIL!$AG142</f>
        <v>0</v>
      </c>
      <c r="F142" s="100">
        <f>+MAYO!$AG142</f>
        <v>0</v>
      </c>
      <c r="G142" s="100">
        <f>+JUNIO!$AG142</f>
        <v>0</v>
      </c>
      <c r="H142" s="100">
        <f>+JULIO!$AG142</f>
        <v>0</v>
      </c>
      <c r="I142" s="100">
        <f>+AGOSTO!$AG142</f>
        <v>0</v>
      </c>
      <c r="J142" s="100">
        <f>+SEPTIEMBRE!$AG142</f>
        <v>0</v>
      </c>
      <c r="K142" s="100">
        <f>+OCTUBRE!$AG142</f>
        <v>0</v>
      </c>
      <c r="L142" s="100">
        <f>+NOVIEMBRE!$AG142</f>
        <v>0</v>
      </c>
      <c r="M142" s="100">
        <f>+DICIEMBRE!$AG142</f>
        <v>0</v>
      </c>
      <c r="N142" s="35">
        <f t="shared" si="4"/>
        <v>0</v>
      </c>
      <c r="R142" s="84" t="s">
        <v>152</v>
      </c>
    </row>
    <row r="143" spans="1:18" ht="15.75" customHeight="1" thickBot="1" x14ac:dyDescent="0.3">
      <c r="A143" s="101" t="s">
        <v>89</v>
      </c>
      <c r="B143" s="102">
        <f>+ENERO!$AG143</f>
        <v>0</v>
      </c>
      <c r="C143" s="102">
        <f>+FEBRERO!$AG143</f>
        <v>0</v>
      </c>
      <c r="D143" s="102">
        <f>+MARZO!$AG143</f>
        <v>0</v>
      </c>
      <c r="E143" s="102">
        <f>+ABRIL!$AG143</f>
        <v>0</v>
      </c>
      <c r="F143" s="102">
        <f>+MAYO!$AG143</f>
        <v>37</v>
      </c>
      <c r="G143" s="102">
        <f>+JUNIO!$AG143</f>
        <v>66</v>
      </c>
      <c r="H143" s="102">
        <f>+JULIO!$AG143</f>
        <v>48</v>
      </c>
      <c r="I143" s="102">
        <f>+AGOSTO!$AG143</f>
        <v>77</v>
      </c>
      <c r="J143" s="102">
        <f>+SEPTIEMBRE!$AG143</f>
        <v>0</v>
      </c>
      <c r="K143" s="102">
        <f>+OCTUBRE!$AG143</f>
        <v>0</v>
      </c>
      <c r="L143" s="102">
        <f>+NOVIEMBRE!$AG143</f>
        <v>0</v>
      </c>
      <c r="M143" s="102">
        <f>+DICIEMBRE!$AG143</f>
        <v>0</v>
      </c>
      <c r="N143" s="36">
        <f t="shared" si="4"/>
        <v>228</v>
      </c>
      <c r="R143" s="84" t="s">
        <v>153</v>
      </c>
    </row>
    <row r="144" spans="1:18" ht="15.75" customHeight="1" thickBot="1" x14ac:dyDescent="0.3">
      <c r="A144" s="103" t="s">
        <v>90</v>
      </c>
      <c r="B144" s="37">
        <f>+ENERO!$AG144</f>
        <v>470</v>
      </c>
      <c r="C144" s="37">
        <f>+FEBRERO!$AG144</f>
        <v>302</v>
      </c>
      <c r="D144" s="37">
        <f>+MARZO!$AG144</f>
        <v>717</v>
      </c>
      <c r="E144" s="37">
        <f>+ABRIL!$AG144</f>
        <v>888</v>
      </c>
      <c r="F144" s="37">
        <f>+MAYO!$AG144</f>
        <v>1439</v>
      </c>
      <c r="G144" s="37">
        <f>+JUNIO!$AG144</f>
        <v>1138</v>
      </c>
      <c r="H144" s="37">
        <f>+JULIO!$AG144</f>
        <v>875</v>
      </c>
      <c r="I144" s="37">
        <f>+AGOSTO!$AG144</f>
        <v>1079</v>
      </c>
      <c r="J144" s="37">
        <f>+SEPTIEMBRE!$AG144</f>
        <v>1210</v>
      </c>
      <c r="K144" s="37">
        <f>+OCTUBRE!$AG144</f>
        <v>1374</v>
      </c>
      <c r="L144" s="37">
        <f>+NOVIEMBRE!$AG144</f>
        <v>1383</v>
      </c>
      <c r="M144" s="37">
        <f>+DICIEMBRE!$AG144</f>
        <v>1003</v>
      </c>
      <c r="N144" s="24">
        <f t="shared" si="4"/>
        <v>11878</v>
      </c>
      <c r="R144" s="84" t="s">
        <v>154</v>
      </c>
    </row>
    <row r="145" spans="1:18" ht="15.75" customHeight="1" x14ac:dyDescent="0.25">
      <c r="A145" s="104" t="s">
        <v>91</v>
      </c>
      <c r="B145" s="105">
        <f>+ENERO!$AG145</f>
        <v>76</v>
      </c>
      <c r="C145" s="105">
        <f>+FEBRERO!$AG145</f>
        <v>51</v>
      </c>
      <c r="D145" s="105">
        <f>+MARZO!$AG145</f>
        <v>64</v>
      </c>
      <c r="E145" s="105">
        <f>+ABRIL!$AG145</f>
        <v>42</v>
      </c>
      <c r="F145" s="105">
        <f>+MAYO!$AG145</f>
        <v>44</v>
      </c>
      <c r="G145" s="105">
        <f>+JUNIO!$AG145</f>
        <v>35</v>
      </c>
      <c r="H145" s="105">
        <f>+JULIO!$AG145</f>
        <v>38</v>
      </c>
      <c r="I145" s="105">
        <f>+AGOSTO!$AG145</f>
        <v>40</v>
      </c>
      <c r="J145" s="105">
        <f>+SEPTIEMBRE!$AG145</f>
        <v>44</v>
      </c>
      <c r="K145" s="105">
        <f>+OCTUBRE!$AG145</f>
        <v>48</v>
      </c>
      <c r="L145" s="105">
        <f>+NOVIEMBRE!$AG145</f>
        <v>53</v>
      </c>
      <c r="M145" s="105">
        <f>+DICIEMBRE!$AG145</f>
        <v>56</v>
      </c>
      <c r="N145" s="38">
        <f t="shared" si="4"/>
        <v>591</v>
      </c>
      <c r="R145" s="84" t="s">
        <v>155</v>
      </c>
    </row>
    <row r="146" spans="1:18" ht="15.75" customHeight="1" x14ac:dyDescent="0.25">
      <c r="A146" s="106" t="s">
        <v>92</v>
      </c>
      <c r="B146" s="77">
        <f>+ENERO!$AG146</f>
        <v>0</v>
      </c>
      <c r="C146" s="77">
        <f>+FEBRERO!$AG146</f>
        <v>0</v>
      </c>
      <c r="D146" s="77">
        <f>+MARZO!$AG146</f>
        <v>0</v>
      </c>
      <c r="E146" s="77">
        <f>+ABRIL!$AG146</f>
        <v>0</v>
      </c>
      <c r="F146" s="77">
        <f>+MAYO!$AG146</f>
        <v>2</v>
      </c>
      <c r="G146" s="77">
        <f>+JUNIO!$AG146</f>
        <v>4</v>
      </c>
      <c r="H146" s="77">
        <f>+JULIO!$AG146</f>
        <v>0</v>
      </c>
      <c r="I146" s="77">
        <f>+AGOSTO!$AG146</f>
        <v>0</v>
      </c>
      <c r="J146" s="77">
        <f>+SEPTIEMBRE!$AG146</f>
        <v>0</v>
      </c>
      <c r="K146" s="77">
        <f>+OCTUBRE!$AG146</f>
        <v>0</v>
      </c>
      <c r="L146" s="77">
        <f>+NOVIEMBRE!$AG146</f>
        <v>0</v>
      </c>
      <c r="M146" s="77">
        <f>+DICIEMBRE!$AG146</f>
        <v>0</v>
      </c>
      <c r="N146" s="5">
        <f t="shared" si="4"/>
        <v>6</v>
      </c>
      <c r="R146" s="84" t="s">
        <v>156</v>
      </c>
    </row>
    <row r="147" spans="1:18" ht="15.75" customHeight="1" x14ac:dyDescent="0.25">
      <c r="A147" s="106" t="s">
        <v>93</v>
      </c>
      <c r="B147" s="77">
        <f>+ENERO!$AG147</f>
        <v>0</v>
      </c>
      <c r="C147" s="77">
        <f>+FEBRERO!$AG147</f>
        <v>4</v>
      </c>
      <c r="D147" s="77">
        <f>+MARZO!$AG147</f>
        <v>1</v>
      </c>
      <c r="E147" s="77">
        <f>+ABRIL!$AG147</f>
        <v>1</v>
      </c>
      <c r="F147" s="77">
        <f>+MAYO!$AG147</f>
        <v>2</v>
      </c>
      <c r="G147" s="77">
        <f>+JUNIO!$AG147</f>
        <v>1</v>
      </c>
      <c r="H147" s="77">
        <f>+JULIO!$AG147</f>
        <v>1</v>
      </c>
      <c r="I147" s="77">
        <f>+AGOSTO!$AG147</f>
        <v>0</v>
      </c>
      <c r="J147" s="77">
        <f>+SEPTIEMBRE!$AG147</f>
        <v>7</v>
      </c>
      <c r="K147" s="77">
        <f>+OCTUBRE!$AG147</f>
        <v>0</v>
      </c>
      <c r="L147" s="77">
        <f>+NOVIEMBRE!$AG147</f>
        <v>0</v>
      </c>
      <c r="M147" s="77">
        <f>+DICIEMBRE!$AG147</f>
        <v>3</v>
      </c>
      <c r="N147" s="5">
        <f t="shared" si="4"/>
        <v>20</v>
      </c>
      <c r="R147" s="84" t="s">
        <v>157</v>
      </c>
    </row>
    <row r="148" spans="1:18" ht="15.75" customHeight="1" x14ac:dyDescent="0.25">
      <c r="A148" s="106" t="s">
        <v>94</v>
      </c>
      <c r="B148" s="77">
        <f>+ENERO!$AG148</f>
        <v>0</v>
      </c>
      <c r="C148" s="77">
        <f>+FEBRERO!$AG148</f>
        <v>1</v>
      </c>
      <c r="D148" s="77">
        <f>+MARZO!$AG148</f>
        <v>0</v>
      </c>
      <c r="E148" s="77">
        <f>+ABRIL!$AG148</f>
        <v>0</v>
      </c>
      <c r="F148" s="77">
        <f>+MAYO!$AG148</f>
        <v>0</v>
      </c>
      <c r="G148" s="77">
        <f>+JUNIO!$AG148</f>
        <v>0</v>
      </c>
      <c r="H148" s="77">
        <f>+JULIO!$AG148</f>
        <v>0</v>
      </c>
      <c r="I148" s="77">
        <f>+AGOSTO!$AG148</f>
        <v>0</v>
      </c>
      <c r="J148" s="77">
        <f>+SEPTIEMBRE!$AG148</f>
        <v>0</v>
      </c>
      <c r="K148" s="77">
        <f>+OCTUBRE!$AG148</f>
        <v>0</v>
      </c>
      <c r="L148" s="77">
        <f>+NOVIEMBRE!$AG148</f>
        <v>0</v>
      </c>
      <c r="M148" s="77">
        <f>+DICIEMBRE!$AG148</f>
        <v>0</v>
      </c>
      <c r="N148" s="5">
        <f t="shared" si="4"/>
        <v>1</v>
      </c>
      <c r="R148" s="84" t="s">
        <v>158</v>
      </c>
    </row>
    <row r="149" spans="1:18" ht="15.75" customHeight="1" x14ac:dyDescent="0.25">
      <c r="A149" s="107" t="s">
        <v>95</v>
      </c>
      <c r="B149" s="108">
        <f>+ENERO!$AG149</f>
        <v>350</v>
      </c>
      <c r="C149" s="108">
        <f>+FEBRERO!$AG149</f>
        <v>201</v>
      </c>
      <c r="D149" s="108">
        <f>+MARZO!$AG149</f>
        <v>566</v>
      </c>
      <c r="E149" s="108">
        <f>+ABRIL!$AG149</f>
        <v>749</v>
      </c>
      <c r="F149" s="108">
        <f>+MAYO!$AG149</f>
        <v>1307</v>
      </c>
      <c r="G149" s="108">
        <f>+JUNIO!$AG149</f>
        <v>1027</v>
      </c>
      <c r="H149" s="108">
        <f>+JULIO!$AG149</f>
        <v>768</v>
      </c>
      <c r="I149" s="108">
        <f>+AGOSTO!$AG149</f>
        <v>967</v>
      </c>
      <c r="J149" s="108">
        <f>+SEPTIEMBRE!$AG149</f>
        <v>1102</v>
      </c>
      <c r="K149" s="108">
        <f>+OCTUBRE!$AG149</f>
        <v>1253</v>
      </c>
      <c r="L149" s="108">
        <f>+NOVIEMBRE!$AG149</f>
        <v>1238</v>
      </c>
      <c r="M149" s="108">
        <f>+DICIEMBRE!$AG149</f>
        <v>884</v>
      </c>
      <c r="N149" s="39">
        <f t="shared" si="4"/>
        <v>10412</v>
      </c>
      <c r="R149" s="88" t="s">
        <v>159</v>
      </c>
    </row>
    <row r="150" spans="1:18" ht="15.75" customHeight="1" x14ac:dyDescent="0.25">
      <c r="A150" s="106" t="s">
        <v>96</v>
      </c>
      <c r="B150" s="77">
        <f>+ENERO!$AG150</f>
        <v>0</v>
      </c>
      <c r="C150" s="77">
        <f>+FEBRERO!$AG150</f>
        <v>0</v>
      </c>
      <c r="D150" s="77">
        <f>+MARZO!$AG150</f>
        <v>0</v>
      </c>
      <c r="E150" s="77">
        <f>+ABRIL!$AG150</f>
        <v>0</v>
      </c>
      <c r="F150" s="77">
        <f>+MAYO!$AG150</f>
        <v>0</v>
      </c>
      <c r="G150" s="77">
        <f>+JUNIO!$AG150</f>
        <v>0</v>
      </c>
      <c r="H150" s="77">
        <f>+JULIO!$AG150</f>
        <v>0</v>
      </c>
      <c r="I150" s="77">
        <f>+AGOSTO!$AG150</f>
        <v>0</v>
      </c>
      <c r="J150" s="77">
        <f>+SEPTIEMBRE!$AG150</f>
        <v>0</v>
      </c>
      <c r="K150" s="77">
        <f>+OCTUBRE!$AG150</f>
        <v>0</v>
      </c>
      <c r="L150" s="77">
        <f>+NOVIEMBRE!$AG150</f>
        <v>0</v>
      </c>
      <c r="M150" s="77">
        <f>+DICIEMBRE!$AG150</f>
        <v>0</v>
      </c>
      <c r="N150" s="5">
        <f t="shared" si="4"/>
        <v>0</v>
      </c>
      <c r="R150" s="84" t="s">
        <v>160</v>
      </c>
    </row>
    <row r="151" spans="1:18" ht="15.75" customHeight="1" x14ac:dyDescent="0.25">
      <c r="A151" s="106" t="s">
        <v>97</v>
      </c>
      <c r="B151" s="77">
        <f>+ENERO!$AG151</f>
        <v>0</v>
      </c>
      <c r="C151" s="77">
        <f>+FEBRERO!$AG151</f>
        <v>0</v>
      </c>
      <c r="D151" s="77">
        <f>+MARZO!$AG151</f>
        <v>0</v>
      </c>
      <c r="E151" s="77">
        <f>+ABRIL!$AG151</f>
        <v>0</v>
      </c>
      <c r="F151" s="77">
        <f>+MAYO!$AG151</f>
        <v>0</v>
      </c>
      <c r="G151" s="77">
        <f>+JUNIO!$AG151</f>
        <v>0</v>
      </c>
      <c r="H151" s="77">
        <f>+JULIO!$AG151</f>
        <v>0</v>
      </c>
      <c r="I151" s="77">
        <f>+AGOSTO!$AG151</f>
        <v>0</v>
      </c>
      <c r="J151" s="77">
        <f>+SEPTIEMBRE!$AG151</f>
        <v>0</v>
      </c>
      <c r="K151" s="77">
        <f>+OCTUBRE!$AG151</f>
        <v>0</v>
      </c>
      <c r="L151" s="77">
        <f>+NOVIEMBRE!$AG151</f>
        <v>0</v>
      </c>
      <c r="M151" s="77">
        <f>+DICIEMBRE!$AG151</f>
        <v>0</v>
      </c>
      <c r="N151" s="5">
        <f t="shared" si="4"/>
        <v>0</v>
      </c>
      <c r="R151" s="84" t="s">
        <v>161</v>
      </c>
    </row>
    <row r="152" spans="1:18" ht="15.75" customHeight="1" x14ac:dyDescent="0.25">
      <c r="A152" s="106" t="s">
        <v>98</v>
      </c>
      <c r="B152" s="77">
        <f>+ENERO!$AG152</f>
        <v>0</v>
      </c>
      <c r="C152" s="77">
        <f>+FEBRERO!$AG152</f>
        <v>0</v>
      </c>
      <c r="D152" s="77">
        <f>+MARZO!$AG152</f>
        <v>0</v>
      </c>
      <c r="E152" s="77">
        <f>+ABRIL!$AG152</f>
        <v>0</v>
      </c>
      <c r="F152" s="77">
        <f>+MAYO!$AG152</f>
        <v>0</v>
      </c>
      <c r="G152" s="77">
        <f>+JUNIO!$AG152</f>
        <v>0</v>
      </c>
      <c r="H152" s="77">
        <f>+JULIO!$AG152</f>
        <v>0</v>
      </c>
      <c r="I152" s="77">
        <f>+AGOSTO!$AG152</f>
        <v>0</v>
      </c>
      <c r="J152" s="77">
        <f>+SEPTIEMBRE!$AG152</f>
        <v>0</v>
      </c>
      <c r="K152" s="77">
        <f>+OCTUBRE!$AG152</f>
        <v>0</v>
      </c>
      <c r="L152" s="77">
        <f>+NOVIEMBRE!$AG152</f>
        <v>0</v>
      </c>
      <c r="M152" s="77">
        <f>+DICIEMBRE!$AG152</f>
        <v>0</v>
      </c>
      <c r="N152" s="5">
        <f t="shared" si="4"/>
        <v>0</v>
      </c>
      <c r="R152" s="84" t="s">
        <v>162</v>
      </c>
    </row>
    <row r="153" spans="1:18" ht="15.75" customHeight="1" x14ac:dyDescent="0.25">
      <c r="A153" s="106" t="s">
        <v>99</v>
      </c>
      <c r="B153" s="77">
        <f>+ENERO!$AG153</f>
        <v>2</v>
      </c>
      <c r="C153" s="77">
        <f>+FEBRERO!$AG153</f>
        <v>1</v>
      </c>
      <c r="D153" s="77">
        <f>+MARZO!$AG153</f>
        <v>0</v>
      </c>
      <c r="E153" s="77">
        <f>+ABRIL!$AG153</f>
        <v>0</v>
      </c>
      <c r="F153" s="77">
        <f>+MAYO!$AG153</f>
        <v>2</v>
      </c>
      <c r="G153" s="77">
        <f>+JUNIO!$AG153</f>
        <v>2</v>
      </c>
      <c r="H153" s="77">
        <f>+JULIO!$AG153</f>
        <v>1</v>
      </c>
      <c r="I153" s="77">
        <f>+AGOSTO!$AG153</f>
        <v>1</v>
      </c>
      <c r="J153" s="77">
        <f>+SEPTIEMBRE!$AG153</f>
        <v>2</v>
      </c>
      <c r="K153" s="77">
        <f>+OCTUBRE!$AG153</f>
        <v>0</v>
      </c>
      <c r="L153" s="77">
        <f>+NOVIEMBRE!$AG153</f>
        <v>0</v>
      </c>
      <c r="M153" s="77">
        <f>+DICIEMBRE!$AG153</f>
        <v>0</v>
      </c>
      <c r="N153" s="5">
        <f t="shared" si="4"/>
        <v>11</v>
      </c>
      <c r="R153" s="109" t="s">
        <v>126</v>
      </c>
    </row>
    <row r="154" spans="1:18" ht="15.75" customHeight="1" x14ac:dyDescent="0.25">
      <c r="A154" s="76" t="s">
        <v>100</v>
      </c>
      <c r="B154" s="77">
        <f>+ENERO!$AG154</f>
        <v>4</v>
      </c>
      <c r="C154" s="77">
        <f>+FEBRERO!$AG154</f>
        <v>0</v>
      </c>
      <c r="D154" s="77">
        <f>+MARZO!$AG154</f>
        <v>29</v>
      </c>
      <c r="E154" s="77">
        <f>+ABRIL!$AG154</f>
        <v>47</v>
      </c>
      <c r="F154" s="77">
        <f>+MAYO!$AG154</f>
        <v>31</v>
      </c>
      <c r="G154" s="77">
        <f>+JUNIO!$AG154</f>
        <v>11</v>
      </c>
      <c r="H154" s="77">
        <f>+JULIO!$AG154</f>
        <v>25</v>
      </c>
      <c r="I154" s="77">
        <f>+AGOSTO!$AG154</f>
        <v>29</v>
      </c>
      <c r="J154" s="77">
        <f>+SEPTIEMBRE!$AG154</f>
        <v>23</v>
      </c>
      <c r="K154" s="77">
        <f>+OCTUBRE!$AG154</f>
        <v>30</v>
      </c>
      <c r="L154" s="77">
        <f>+NOVIEMBRE!$AG154</f>
        <v>28</v>
      </c>
      <c r="M154" s="77">
        <f>+DICIEMBRE!$AG154</f>
        <v>6</v>
      </c>
      <c r="N154" s="5">
        <f t="shared" si="4"/>
        <v>263</v>
      </c>
      <c r="R154" s="109" t="s">
        <v>125</v>
      </c>
    </row>
    <row r="155" spans="1:18" ht="15.75" customHeight="1" x14ac:dyDescent="0.25">
      <c r="A155" s="76" t="s">
        <v>101</v>
      </c>
      <c r="B155" s="77">
        <f>+ENERO!$AG155</f>
        <v>0</v>
      </c>
      <c r="C155" s="77">
        <f>+FEBRERO!$AG155</f>
        <v>0</v>
      </c>
      <c r="D155" s="77">
        <f>+MARZO!$AG155</f>
        <v>0</v>
      </c>
      <c r="E155" s="77">
        <f>+ABRIL!$AG155</f>
        <v>0</v>
      </c>
      <c r="F155" s="77">
        <f>+MAYO!$AG155</f>
        <v>0</v>
      </c>
      <c r="G155" s="77">
        <f>+JUNIO!$AG155</f>
        <v>0</v>
      </c>
      <c r="H155" s="77">
        <f>+JULIO!$AG155</f>
        <v>0</v>
      </c>
      <c r="I155" s="77">
        <f>+AGOSTO!$AG155</f>
        <v>0</v>
      </c>
      <c r="J155" s="77">
        <f>+SEPTIEMBRE!$AG155</f>
        <v>0</v>
      </c>
      <c r="K155" s="77">
        <f>+OCTUBRE!$AG155</f>
        <v>0</v>
      </c>
      <c r="L155" s="77">
        <f>+NOVIEMBRE!$AG155</f>
        <v>0</v>
      </c>
      <c r="M155" s="77">
        <f>+DICIEMBRE!$AG155</f>
        <v>0</v>
      </c>
      <c r="N155" s="5">
        <f t="shared" si="4"/>
        <v>0</v>
      </c>
      <c r="R155" s="88" t="s">
        <v>127</v>
      </c>
    </row>
    <row r="156" spans="1:18" ht="15.75" customHeight="1" x14ac:dyDescent="0.25">
      <c r="A156" s="76" t="s">
        <v>102</v>
      </c>
      <c r="B156" s="77">
        <f>+ENERO!$AG156</f>
        <v>0</v>
      </c>
      <c r="C156" s="77">
        <f>+FEBRERO!$AG156</f>
        <v>0</v>
      </c>
      <c r="D156" s="77">
        <f>+MARZO!$AG156</f>
        <v>0</v>
      </c>
      <c r="E156" s="77">
        <f>+ABRIL!$AG156</f>
        <v>0</v>
      </c>
      <c r="F156" s="77">
        <f>+MAYO!$AG156</f>
        <v>0</v>
      </c>
      <c r="G156" s="77">
        <f>+JUNIO!$AG156</f>
        <v>0</v>
      </c>
      <c r="H156" s="77">
        <f>+JULIO!$AG156</f>
        <v>0</v>
      </c>
      <c r="I156" s="77">
        <f>+AGOSTO!$AG156</f>
        <v>0</v>
      </c>
      <c r="J156" s="77">
        <f>+SEPTIEMBRE!$AG156</f>
        <v>0</v>
      </c>
      <c r="K156" s="77">
        <f>+OCTUBRE!$AG156</f>
        <v>0</v>
      </c>
      <c r="L156" s="77">
        <f>+NOVIEMBRE!$AG156</f>
        <v>0</v>
      </c>
      <c r="M156" s="77">
        <f>+DICIEMBRE!$AG156</f>
        <v>0</v>
      </c>
      <c r="N156" s="5">
        <f t="shared" si="4"/>
        <v>0</v>
      </c>
      <c r="R156" s="88" t="s">
        <v>124</v>
      </c>
    </row>
    <row r="157" spans="1:18" ht="15.75" customHeight="1" x14ac:dyDescent="0.25">
      <c r="A157" s="76" t="s">
        <v>103</v>
      </c>
      <c r="B157" s="77">
        <f>+ENERO!$AG157</f>
        <v>0</v>
      </c>
      <c r="C157" s="77">
        <f>+FEBRERO!$AG157</f>
        <v>0</v>
      </c>
      <c r="D157" s="77">
        <f>+MARZO!$AG157</f>
        <v>0</v>
      </c>
      <c r="E157" s="77">
        <f>+ABRIL!$AG157</f>
        <v>0</v>
      </c>
      <c r="F157" s="77">
        <f>+MAYO!$AG157</f>
        <v>0</v>
      </c>
      <c r="G157" s="77">
        <f>+JUNIO!$AG157</f>
        <v>0</v>
      </c>
      <c r="H157" s="77">
        <f>+JULIO!$AG157</f>
        <v>0</v>
      </c>
      <c r="I157" s="77">
        <f>+AGOSTO!$AG157</f>
        <v>0</v>
      </c>
      <c r="J157" s="77">
        <f>+SEPTIEMBRE!$AG157</f>
        <v>0</v>
      </c>
      <c r="K157" s="77">
        <f>+OCTUBRE!$AG157</f>
        <v>0</v>
      </c>
      <c r="L157" s="77">
        <f>+NOVIEMBRE!$AG157</f>
        <v>0</v>
      </c>
      <c r="M157" s="77">
        <f>+DICIEMBRE!$AG157</f>
        <v>0</v>
      </c>
      <c r="N157" s="5">
        <f t="shared" si="4"/>
        <v>0</v>
      </c>
    </row>
    <row r="158" spans="1:18" ht="15.75" customHeight="1" x14ac:dyDescent="0.25">
      <c r="A158" s="110" t="s">
        <v>104</v>
      </c>
      <c r="B158" s="111">
        <f>+ENERO!$AG158</f>
        <v>17</v>
      </c>
      <c r="C158" s="111">
        <f>+FEBRERO!$AG158</f>
        <v>15</v>
      </c>
      <c r="D158" s="111">
        <f>+MARZO!$AG158</f>
        <v>24</v>
      </c>
      <c r="E158" s="111">
        <f>+ABRIL!$AG158</f>
        <v>22</v>
      </c>
      <c r="F158" s="111">
        <f>+MAYO!$AG158</f>
        <v>26</v>
      </c>
      <c r="G158" s="111">
        <f>+JUNIO!$AG158</f>
        <v>36</v>
      </c>
      <c r="H158" s="111">
        <f>+JULIO!$AG158</f>
        <v>20</v>
      </c>
      <c r="I158" s="111">
        <f>+AGOSTO!$AG158</f>
        <v>17</v>
      </c>
      <c r="J158" s="111">
        <f>+SEPTIEMBRE!$AG158</f>
        <v>14</v>
      </c>
      <c r="K158" s="111">
        <f>+OCTUBRE!$AG158</f>
        <v>24</v>
      </c>
      <c r="L158" s="111">
        <f>+NOVIEMBRE!$AG158</f>
        <v>27</v>
      </c>
      <c r="M158" s="111">
        <f>+DICIEMBRE!$AG158</f>
        <v>25</v>
      </c>
      <c r="N158" s="40">
        <f t="shared" si="4"/>
        <v>267</v>
      </c>
    </row>
    <row r="159" spans="1:18" ht="15.75" customHeight="1" x14ac:dyDescent="0.25">
      <c r="A159" s="112" t="s">
        <v>105</v>
      </c>
      <c r="B159" s="77">
        <f>+ENERO!$AG159</f>
        <v>0</v>
      </c>
      <c r="C159" s="77">
        <f>+FEBRERO!$AG159</f>
        <v>0</v>
      </c>
      <c r="D159" s="77">
        <f>+MARZO!$AG159</f>
        <v>0</v>
      </c>
      <c r="E159" s="77">
        <f>+ABRIL!$AG159</f>
        <v>0</v>
      </c>
      <c r="F159" s="77">
        <f>+MAYO!$AG159</f>
        <v>0</v>
      </c>
      <c r="G159" s="77">
        <f>+JUNIO!$AG159</f>
        <v>0</v>
      </c>
      <c r="H159" s="77">
        <f>+JULIO!$AG159</f>
        <v>0</v>
      </c>
      <c r="I159" s="77">
        <f>+AGOSTO!$AG159</f>
        <v>0</v>
      </c>
      <c r="J159" s="77">
        <f>+SEPTIEMBRE!$AG159</f>
        <v>0</v>
      </c>
      <c r="K159" s="77">
        <f>+OCTUBRE!$AG159</f>
        <v>0</v>
      </c>
      <c r="L159" s="77">
        <f>+NOVIEMBRE!$AG159</f>
        <v>0</v>
      </c>
      <c r="M159" s="77">
        <f>+DICIEMBRE!$AG159</f>
        <v>0</v>
      </c>
      <c r="N159" s="5">
        <f t="shared" si="4"/>
        <v>0</v>
      </c>
    </row>
    <row r="160" spans="1:18" ht="15.75" customHeight="1" x14ac:dyDescent="0.25">
      <c r="A160" s="112" t="s">
        <v>106</v>
      </c>
      <c r="B160" s="77">
        <f>+ENERO!$AG160</f>
        <v>0</v>
      </c>
      <c r="C160" s="77">
        <f>+FEBRERO!$AG160</f>
        <v>0</v>
      </c>
      <c r="D160" s="77">
        <f>+MARZO!$AG160</f>
        <v>0</v>
      </c>
      <c r="E160" s="77">
        <f>+ABRIL!$AG160</f>
        <v>0</v>
      </c>
      <c r="F160" s="77">
        <f>+MAYO!$AG160</f>
        <v>0</v>
      </c>
      <c r="G160" s="77">
        <f>+JUNIO!$AG160</f>
        <v>0</v>
      </c>
      <c r="H160" s="77">
        <f>+JULIO!$AG160</f>
        <v>0</v>
      </c>
      <c r="I160" s="77">
        <f>+AGOSTO!$AG160</f>
        <v>0</v>
      </c>
      <c r="J160" s="77">
        <f>+SEPTIEMBRE!$AG160</f>
        <v>0</v>
      </c>
      <c r="K160" s="77">
        <f>+OCTUBRE!$AG160</f>
        <v>0</v>
      </c>
      <c r="L160" s="77">
        <f>+NOVIEMBRE!$AG160</f>
        <v>0</v>
      </c>
      <c r="M160" s="77">
        <f>+DICIEMBRE!$AG160</f>
        <v>0</v>
      </c>
      <c r="N160" s="5">
        <f t="shared" si="4"/>
        <v>0</v>
      </c>
    </row>
    <row r="161" spans="1:15" ht="15.75" customHeight="1" x14ac:dyDescent="0.25">
      <c r="A161" s="112" t="s">
        <v>107</v>
      </c>
      <c r="B161" s="77">
        <f>+ENERO!$AG161</f>
        <v>0</v>
      </c>
      <c r="C161" s="77">
        <f>+FEBRERO!$AG161</f>
        <v>0</v>
      </c>
      <c r="D161" s="77">
        <f>+MARZO!$AG161</f>
        <v>0</v>
      </c>
      <c r="E161" s="77">
        <f>+ABRIL!$AG161</f>
        <v>0</v>
      </c>
      <c r="F161" s="77">
        <f>+MAYO!$AG161</f>
        <v>0</v>
      </c>
      <c r="G161" s="77">
        <f>+JUNIO!$AG161</f>
        <v>0</v>
      </c>
      <c r="H161" s="77">
        <f>+JULIO!$AG161</f>
        <v>0</v>
      </c>
      <c r="I161" s="77">
        <f>+AGOSTO!$AG161</f>
        <v>0</v>
      </c>
      <c r="J161" s="77">
        <f>+SEPTIEMBRE!$AG161</f>
        <v>0</v>
      </c>
      <c r="K161" s="77">
        <f>+OCTUBRE!$AG161</f>
        <v>0</v>
      </c>
      <c r="L161" s="77">
        <f>+NOVIEMBRE!$AG161</f>
        <v>0</v>
      </c>
      <c r="M161" s="77">
        <f>+DICIEMBRE!$AG161</f>
        <v>0</v>
      </c>
      <c r="N161" s="5">
        <f t="shared" si="4"/>
        <v>0</v>
      </c>
    </row>
    <row r="162" spans="1:15" ht="15.75" customHeight="1" x14ac:dyDescent="0.25">
      <c r="A162" s="112" t="s">
        <v>108</v>
      </c>
      <c r="B162" s="77">
        <f>+ENERO!$AG162</f>
        <v>0</v>
      </c>
      <c r="C162" s="77">
        <f>+FEBRERO!$AG162</f>
        <v>1</v>
      </c>
      <c r="D162" s="77">
        <f>+MARZO!$AG162</f>
        <v>1</v>
      </c>
      <c r="E162" s="77">
        <f>+ABRIL!$AG162</f>
        <v>0</v>
      </c>
      <c r="F162" s="77">
        <f>+MAYO!$AG162</f>
        <v>0</v>
      </c>
      <c r="G162" s="77">
        <f>+JUNIO!$AG162</f>
        <v>1</v>
      </c>
      <c r="H162" s="77">
        <f>+JULIO!$AG162</f>
        <v>0</v>
      </c>
      <c r="I162" s="77">
        <f>+AGOSTO!$AG162</f>
        <v>0</v>
      </c>
      <c r="J162" s="77">
        <f>+SEPTIEMBRE!$AG162</f>
        <v>0</v>
      </c>
      <c r="K162" s="77">
        <f>+OCTUBRE!$AG162</f>
        <v>0</v>
      </c>
      <c r="L162" s="77">
        <f>+NOVIEMBRE!$AG162</f>
        <v>1</v>
      </c>
      <c r="M162" s="77">
        <f>+DICIEMBRE!$AG162</f>
        <v>0</v>
      </c>
      <c r="N162" s="5">
        <f t="shared" si="4"/>
        <v>4</v>
      </c>
    </row>
    <row r="163" spans="1:15" ht="15.75" customHeight="1" x14ac:dyDescent="0.25">
      <c r="A163" s="112" t="s">
        <v>109</v>
      </c>
      <c r="B163" s="77">
        <f>+ENERO!$AG163</f>
        <v>0</v>
      </c>
      <c r="C163" s="77">
        <f>+FEBRERO!$AG163</f>
        <v>0</v>
      </c>
      <c r="D163" s="77">
        <f>+MARZO!$AG163</f>
        <v>0</v>
      </c>
      <c r="E163" s="77">
        <f>+ABRIL!$AG163</f>
        <v>0</v>
      </c>
      <c r="F163" s="77">
        <f>+MAYO!$AG163</f>
        <v>0</v>
      </c>
      <c r="G163" s="77">
        <f>+JUNIO!$AG163</f>
        <v>0</v>
      </c>
      <c r="H163" s="77">
        <f>+JULIO!$AG163</f>
        <v>0</v>
      </c>
      <c r="I163" s="77">
        <f>+AGOSTO!$AG163</f>
        <v>0</v>
      </c>
      <c r="J163" s="77">
        <f>+SEPTIEMBRE!$AG163</f>
        <v>0</v>
      </c>
      <c r="K163" s="77">
        <f>+OCTUBRE!$AG163</f>
        <v>0</v>
      </c>
      <c r="L163" s="77">
        <f>+NOVIEMBRE!$AG163</f>
        <v>0</v>
      </c>
      <c r="M163" s="77">
        <f>+DICIEMBRE!$AG163</f>
        <v>1</v>
      </c>
      <c r="N163" s="5">
        <f t="shared" ref="N163:N180" si="5">SUM(B163:M163)</f>
        <v>1</v>
      </c>
    </row>
    <row r="164" spans="1:15" ht="15.75" customHeight="1" x14ac:dyDescent="0.25">
      <c r="A164" s="112" t="s">
        <v>110</v>
      </c>
      <c r="B164" s="77">
        <f>+ENERO!$AG164</f>
        <v>0</v>
      </c>
      <c r="C164" s="77">
        <f>+FEBRERO!$AG164</f>
        <v>0</v>
      </c>
      <c r="D164" s="77">
        <f>+MARZO!$AG164</f>
        <v>0</v>
      </c>
      <c r="E164" s="77">
        <f>+ABRIL!$AG164</f>
        <v>0</v>
      </c>
      <c r="F164" s="77">
        <f>+MAYO!$AG164</f>
        <v>0</v>
      </c>
      <c r="G164" s="77">
        <f>+JUNIO!$AG164</f>
        <v>0</v>
      </c>
      <c r="H164" s="77">
        <f>+JULIO!$AG164</f>
        <v>0</v>
      </c>
      <c r="I164" s="77">
        <f>+AGOSTO!$AG164</f>
        <v>0</v>
      </c>
      <c r="J164" s="77">
        <f>+SEPTIEMBRE!$AG164</f>
        <v>0</v>
      </c>
      <c r="K164" s="77">
        <f>+OCTUBRE!$AG164</f>
        <v>0</v>
      </c>
      <c r="L164" s="77">
        <f>+NOVIEMBRE!$AG164</f>
        <v>0</v>
      </c>
      <c r="M164" s="77">
        <f>+DICIEMBRE!$AG164</f>
        <v>0</v>
      </c>
      <c r="N164" s="5">
        <f t="shared" si="5"/>
        <v>0</v>
      </c>
    </row>
    <row r="165" spans="1:15" ht="15.75" customHeight="1" x14ac:dyDescent="0.25">
      <c r="A165" s="76" t="s">
        <v>111</v>
      </c>
      <c r="B165" s="77">
        <f>+ENERO!$AG165</f>
        <v>1</v>
      </c>
      <c r="C165" s="77">
        <f>+FEBRERO!$AG165</f>
        <v>0</v>
      </c>
      <c r="D165" s="77">
        <f>+MARZO!$AG165</f>
        <v>3</v>
      </c>
      <c r="E165" s="77">
        <f>+ABRIL!$AG165</f>
        <v>0</v>
      </c>
      <c r="F165" s="77">
        <f>+MAYO!$AG165</f>
        <v>1</v>
      </c>
      <c r="G165" s="77">
        <f>+JUNIO!$AG165</f>
        <v>0</v>
      </c>
      <c r="H165" s="77">
        <f>+JULIO!$AG165</f>
        <v>0</v>
      </c>
      <c r="I165" s="77">
        <f>+AGOSTO!$AG165</f>
        <v>0</v>
      </c>
      <c r="J165" s="77">
        <f>+SEPTIEMBRE!$AG165</f>
        <v>1</v>
      </c>
      <c r="K165" s="77">
        <f>+OCTUBRE!$AG165</f>
        <v>0</v>
      </c>
      <c r="L165" s="77">
        <f>+NOVIEMBRE!$AG165</f>
        <v>0</v>
      </c>
      <c r="M165" s="77">
        <f>+DICIEMBRE!$AG165</f>
        <v>1</v>
      </c>
      <c r="N165" s="5">
        <f t="shared" si="5"/>
        <v>7</v>
      </c>
    </row>
    <row r="166" spans="1:15" ht="15.75" customHeight="1" x14ac:dyDescent="0.25">
      <c r="A166" s="76" t="s">
        <v>112</v>
      </c>
      <c r="B166" s="77">
        <f>+ENERO!$AG166</f>
        <v>0</v>
      </c>
      <c r="C166" s="77">
        <f>+FEBRERO!$AG166</f>
        <v>0</v>
      </c>
      <c r="D166" s="77">
        <f>+MARZO!$AG166</f>
        <v>0</v>
      </c>
      <c r="E166" s="77">
        <f>+ABRIL!$AG166</f>
        <v>0</v>
      </c>
      <c r="F166" s="77">
        <f>+MAYO!$AG166</f>
        <v>0</v>
      </c>
      <c r="G166" s="77">
        <f>+JUNIO!$AG166</f>
        <v>0</v>
      </c>
      <c r="H166" s="77">
        <f>+JULIO!$AG166</f>
        <v>0</v>
      </c>
      <c r="I166" s="77">
        <f>+AGOSTO!$AG166</f>
        <v>0</v>
      </c>
      <c r="J166" s="77">
        <f>+SEPTIEMBRE!$AG166</f>
        <v>0</v>
      </c>
      <c r="K166" s="77">
        <f>+OCTUBRE!$AG166</f>
        <v>0</v>
      </c>
      <c r="L166" s="77">
        <f>+NOVIEMBRE!$AG166</f>
        <v>0</v>
      </c>
      <c r="M166" s="77">
        <f>+DICIEMBRE!$AG166</f>
        <v>0</v>
      </c>
      <c r="N166" s="5">
        <f t="shared" si="5"/>
        <v>0</v>
      </c>
    </row>
    <row r="167" spans="1:15" ht="15.75" customHeight="1" x14ac:dyDescent="0.25">
      <c r="A167" s="76" t="s">
        <v>113</v>
      </c>
      <c r="B167" s="77">
        <f>+ENERO!$AG167</f>
        <v>1</v>
      </c>
      <c r="C167" s="77">
        <f>+FEBRERO!$AG167</f>
        <v>6</v>
      </c>
      <c r="D167" s="77">
        <f>+MARZO!$AG167</f>
        <v>9</v>
      </c>
      <c r="E167" s="77">
        <f>+ABRIL!$AG167</f>
        <v>1</v>
      </c>
      <c r="F167" s="77">
        <f>+MAYO!$AG167</f>
        <v>3</v>
      </c>
      <c r="G167" s="77">
        <f>+JUNIO!$AG167</f>
        <v>3</v>
      </c>
      <c r="H167" s="77">
        <f>+JULIO!$AG167</f>
        <v>2</v>
      </c>
      <c r="I167" s="77">
        <f>+AGOSTO!$AG167</f>
        <v>1</v>
      </c>
      <c r="J167" s="77">
        <f>+SEPTIEMBRE!$AG167</f>
        <v>1</v>
      </c>
      <c r="K167" s="77">
        <f>+OCTUBRE!$AG167</f>
        <v>2</v>
      </c>
      <c r="L167" s="77">
        <f>+NOVIEMBRE!$AG167</f>
        <v>7</v>
      </c>
      <c r="M167" s="77">
        <f>+DICIEMBRE!$AG167</f>
        <v>3</v>
      </c>
      <c r="N167" s="5">
        <f t="shared" si="5"/>
        <v>39</v>
      </c>
    </row>
    <row r="168" spans="1:15" ht="15.75" customHeight="1" x14ac:dyDescent="0.25">
      <c r="A168" s="76" t="s">
        <v>114</v>
      </c>
      <c r="B168" s="113">
        <f>+ENERO!$AG168</f>
        <v>12</v>
      </c>
      <c r="C168" s="113">
        <f>+FEBRERO!$AG168</f>
        <v>16</v>
      </c>
      <c r="D168" s="113">
        <f>+MARZO!$AG168</f>
        <v>12</v>
      </c>
      <c r="E168" s="113">
        <f>+ABRIL!$AG168</f>
        <v>20</v>
      </c>
      <c r="F168" s="113">
        <f>+MAYO!$AG168</f>
        <v>16</v>
      </c>
      <c r="G168" s="113">
        <f>+JUNIO!$AG168</f>
        <v>16</v>
      </c>
      <c r="H168" s="113">
        <f>+JULIO!$AG168</f>
        <v>15</v>
      </c>
      <c r="I168" s="113">
        <f>+AGOSTO!$AG168</f>
        <v>12</v>
      </c>
      <c r="J168" s="113">
        <f>+SEPTIEMBRE!$AG168</f>
        <v>15</v>
      </c>
      <c r="K168" s="113">
        <f>+OCTUBRE!$AG168</f>
        <v>13</v>
      </c>
      <c r="L168" s="113">
        <f>+NOVIEMBRE!$AG168</f>
        <v>21</v>
      </c>
      <c r="M168" s="113">
        <f>+DICIEMBRE!$AG168</f>
        <v>19</v>
      </c>
      <c r="N168" s="5">
        <f t="shared" si="5"/>
        <v>187</v>
      </c>
    </row>
    <row r="169" spans="1:15" ht="15.75" customHeight="1" x14ac:dyDescent="0.25">
      <c r="A169" s="114" t="s">
        <v>115</v>
      </c>
      <c r="B169" s="113">
        <f>+ENERO!$AG169</f>
        <v>7</v>
      </c>
      <c r="C169" s="113">
        <f>+FEBRERO!$AG169</f>
        <v>6</v>
      </c>
      <c r="D169" s="113">
        <f>+MARZO!$AG169</f>
        <v>8</v>
      </c>
      <c r="E169" s="113">
        <f>+ABRIL!$AG169</f>
        <v>6</v>
      </c>
      <c r="F169" s="113">
        <f>+MAYO!$AG169</f>
        <v>5</v>
      </c>
      <c r="G169" s="113">
        <f>+JUNIO!$AG169</f>
        <v>2</v>
      </c>
      <c r="H169" s="113">
        <f>+JULIO!$AG169</f>
        <v>5</v>
      </c>
      <c r="I169" s="113">
        <f>+AGOSTO!$AG169</f>
        <v>12</v>
      </c>
      <c r="J169" s="113">
        <f>+SEPTIEMBRE!$AG169</f>
        <v>1</v>
      </c>
      <c r="K169" s="113">
        <f>+OCTUBRE!$AG169</f>
        <v>4</v>
      </c>
      <c r="L169" s="113">
        <f>+NOVIEMBRE!$AG169</f>
        <v>8</v>
      </c>
      <c r="M169" s="113">
        <f>+DICIEMBRE!$AG169</f>
        <v>5</v>
      </c>
      <c r="N169" s="5">
        <f t="shared" si="5"/>
        <v>69</v>
      </c>
    </row>
    <row r="170" spans="1:15" ht="15.75" customHeight="1" thickBot="1" x14ac:dyDescent="0.3">
      <c r="A170" s="115" t="s">
        <v>116</v>
      </c>
      <c r="B170" s="113">
        <f>+ENERO!$AG170</f>
        <v>0</v>
      </c>
      <c r="C170" s="113">
        <f>+FEBRERO!$AG170</f>
        <v>0</v>
      </c>
      <c r="D170" s="113">
        <f>+MARZO!$AG170</f>
        <v>0</v>
      </c>
      <c r="E170" s="113">
        <f>+ABRIL!$AG170</f>
        <v>0</v>
      </c>
      <c r="F170" s="113">
        <f>+MAYO!$AG170</f>
        <v>0</v>
      </c>
      <c r="G170" s="113">
        <f>+JUNIO!$AG170</f>
        <v>0</v>
      </c>
      <c r="H170" s="113">
        <f>+JULIO!$AG170</f>
        <v>0</v>
      </c>
      <c r="I170" s="113">
        <f>+AGOSTO!$AG170</f>
        <v>0</v>
      </c>
      <c r="J170" s="113">
        <f>+SEPTIEMBRE!$AG170</f>
        <v>0</v>
      </c>
      <c r="K170" s="113">
        <f>+OCTUBRE!$AG170</f>
        <v>0</v>
      </c>
      <c r="L170" s="113">
        <f>+NOVIEMBRE!$AG170</f>
        <v>0</v>
      </c>
      <c r="M170" s="113">
        <f>+DICIEMBRE!$AG170</f>
        <v>0</v>
      </c>
      <c r="N170" s="25">
        <f t="shared" si="5"/>
        <v>0</v>
      </c>
    </row>
    <row r="171" spans="1:15" ht="15.75" customHeight="1" thickBot="1" x14ac:dyDescent="0.3">
      <c r="A171" s="116" t="s">
        <v>117</v>
      </c>
      <c r="B171" s="41">
        <f>+ENERO!$AG171</f>
        <v>3973</v>
      </c>
      <c r="C171" s="41">
        <f>+FEBRERO!$AG171</f>
        <v>3314</v>
      </c>
      <c r="D171" s="41">
        <f>+MARZO!$AG171</f>
        <v>4019</v>
      </c>
      <c r="E171" s="41">
        <f>+ABRIL!$AG171</f>
        <v>3730</v>
      </c>
      <c r="F171" s="41">
        <f>+MAYO!$AG171</f>
        <v>4479</v>
      </c>
      <c r="G171" s="41">
        <f>+JUNIO!$AG171</f>
        <v>3821</v>
      </c>
      <c r="H171" s="41">
        <f>+JULIO!$AG171</f>
        <v>3853</v>
      </c>
      <c r="I171" s="41">
        <f>+AGOSTO!$AG171</f>
        <v>4002</v>
      </c>
      <c r="J171" s="41">
        <f>+SEPTIEMBRE!$AG171</f>
        <v>4058</v>
      </c>
      <c r="K171" s="41">
        <f>+OCTUBRE!$AG171</f>
        <v>4419</v>
      </c>
      <c r="L171" s="41">
        <f>+NOVIEMBRE!$AG171</f>
        <v>4506</v>
      </c>
      <c r="M171" s="41">
        <f>+DICIEMBRE!$AG171</f>
        <v>4382</v>
      </c>
      <c r="N171" s="42">
        <f t="shared" si="5"/>
        <v>48556</v>
      </c>
      <c r="O171" s="13" t="str">
        <f>IF(N171&lt;&gt;N93,"X","")</f>
        <v/>
      </c>
    </row>
    <row r="172" spans="1:15" ht="15.75" customHeight="1" x14ac:dyDescent="0.25">
      <c r="A172" s="117" t="s">
        <v>118</v>
      </c>
      <c r="B172" s="118">
        <f>+ENERO!$AG172</f>
        <v>1</v>
      </c>
      <c r="C172" s="118">
        <f>+FEBRERO!$AG172</f>
        <v>1</v>
      </c>
      <c r="D172" s="118">
        <f>+MARZO!$AG172</f>
        <v>3</v>
      </c>
      <c r="E172" s="118">
        <f>+ABRIL!$AG172</f>
        <v>2</v>
      </c>
      <c r="F172" s="118">
        <f>+MAYO!$AG172</f>
        <v>6</v>
      </c>
      <c r="G172" s="118">
        <f>+JUNIO!$AG172</f>
        <v>2</v>
      </c>
      <c r="H172" s="118">
        <f>+JULIO!$AG172</f>
        <v>5</v>
      </c>
      <c r="I172" s="118">
        <f>+AGOSTO!$AG172</f>
        <v>8</v>
      </c>
      <c r="J172" s="118">
        <f>+SEPTIEMBRE!$AG172</f>
        <v>0</v>
      </c>
      <c r="K172" s="118">
        <f>+OCTUBRE!$AG172</f>
        <v>1</v>
      </c>
      <c r="L172" s="118">
        <f>+NOVIEMBRE!$AG172</f>
        <v>2</v>
      </c>
      <c r="M172" s="118">
        <f>+DICIEMBRE!$AG172</f>
        <v>4</v>
      </c>
      <c r="N172" s="43">
        <f t="shared" si="5"/>
        <v>35</v>
      </c>
    </row>
    <row r="173" spans="1:15" ht="15.75" customHeight="1" x14ac:dyDescent="0.25">
      <c r="A173" s="119" t="s">
        <v>37</v>
      </c>
      <c r="B173" s="120">
        <f>+ENERO!$AG173</f>
        <v>52</v>
      </c>
      <c r="C173" s="120">
        <f>+FEBRERO!$AG173</f>
        <v>32</v>
      </c>
      <c r="D173" s="120">
        <f>+MARZO!$AG173</f>
        <v>55</v>
      </c>
      <c r="E173" s="120">
        <f>+ABRIL!$AG173</f>
        <v>53</v>
      </c>
      <c r="F173" s="120">
        <f>+MAYO!$AG173</f>
        <v>45</v>
      </c>
      <c r="G173" s="120">
        <f>+JUNIO!$AG173</f>
        <v>46</v>
      </c>
      <c r="H173" s="120">
        <f>+JULIO!$AG173</f>
        <v>38</v>
      </c>
      <c r="I173" s="120">
        <f>+AGOSTO!$AG173</f>
        <v>46</v>
      </c>
      <c r="J173" s="120">
        <f>+SEPTIEMBRE!$AG173</f>
        <v>44</v>
      </c>
      <c r="K173" s="120">
        <f>+OCTUBRE!$AG173</f>
        <v>49</v>
      </c>
      <c r="L173" s="120">
        <f>+NOVIEMBRE!$AG173</f>
        <v>56</v>
      </c>
      <c r="M173" s="120">
        <f>+DICIEMBRE!$AG173</f>
        <v>32</v>
      </c>
      <c r="N173" s="44">
        <f t="shared" si="5"/>
        <v>548</v>
      </c>
    </row>
    <row r="174" spans="1:15" ht="15.75" customHeight="1" x14ac:dyDescent="0.25">
      <c r="A174" s="119" t="s">
        <v>38</v>
      </c>
      <c r="B174" s="120">
        <f>+ENERO!$AG174</f>
        <v>549</v>
      </c>
      <c r="C174" s="120">
        <f>+FEBRERO!$AG174</f>
        <v>459</v>
      </c>
      <c r="D174" s="120">
        <f>+MARZO!$AG174</f>
        <v>624</v>
      </c>
      <c r="E174" s="120">
        <f>+ABRIL!$AG174</f>
        <v>575</v>
      </c>
      <c r="F174" s="120">
        <f>+MAYO!$AG174</f>
        <v>623</v>
      </c>
      <c r="G174" s="120">
        <f>+JUNIO!$AG174</f>
        <v>509</v>
      </c>
      <c r="H174" s="120">
        <f>+JULIO!$AG174</f>
        <v>476</v>
      </c>
      <c r="I174" s="120">
        <f>+AGOSTO!$AG174</f>
        <v>490</v>
      </c>
      <c r="J174" s="120">
        <f>+SEPTIEMBRE!$AG174</f>
        <v>525</v>
      </c>
      <c r="K174" s="120">
        <f>+OCTUBRE!$AG174</f>
        <v>630</v>
      </c>
      <c r="L174" s="120">
        <f>+NOVIEMBRE!$AG174</f>
        <v>608</v>
      </c>
      <c r="M174" s="120">
        <f>+DICIEMBRE!$AG174</f>
        <v>556</v>
      </c>
      <c r="N174" s="44">
        <f t="shared" si="5"/>
        <v>6624</v>
      </c>
    </row>
    <row r="175" spans="1:15" ht="15.75" customHeight="1" x14ac:dyDescent="0.25">
      <c r="A175" s="119" t="s">
        <v>39</v>
      </c>
      <c r="B175" s="120">
        <f>+ENERO!$AG175</f>
        <v>2839</v>
      </c>
      <c r="C175" s="120">
        <f>+FEBRERO!$AG175</f>
        <v>2295</v>
      </c>
      <c r="D175" s="120">
        <f>+MARZO!$AG175</f>
        <v>2870</v>
      </c>
      <c r="E175" s="120">
        <f>+ABRIL!$AG175</f>
        <v>2665</v>
      </c>
      <c r="F175" s="120">
        <f>+MAYO!$AG175</f>
        <v>3285</v>
      </c>
      <c r="G175" s="120">
        <f>+JUNIO!$AG175</f>
        <v>2817</v>
      </c>
      <c r="H175" s="120">
        <f>+JULIO!$AG175</f>
        <v>2905</v>
      </c>
      <c r="I175" s="120">
        <f>+AGOSTO!$AG175</f>
        <v>2874</v>
      </c>
      <c r="J175" s="120">
        <f>+SEPTIEMBRE!$AG175</f>
        <v>2925</v>
      </c>
      <c r="K175" s="120">
        <f>+OCTUBRE!$AG175</f>
        <v>3297</v>
      </c>
      <c r="L175" s="120">
        <f>+NOVIEMBRE!$AG175</f>
        <v>3278</v>
      </c>
      <c r="M175" s="120">
        <f>+DICIEMBRE!$AG175</f>
        <v>3126</v>
      </c>
      <c r="N175" s="44">
        <f t="shared" si="5"/>
        <v>35176</v>
      </c>
    </row>
    <row r="176" spans="1:15" ht="15.75" customHeight="1" thickBot="1" x14ac:dyDescent="0.3">
      <c r="A176" s="121" t="s">
        <v>40</v>
      </c>
      <c r="B176" s="122">
        <f>+ENERO!$AG176</f>
        <v>532</v>
      </c>
      <c r="C176" s="122">
        <f>+FEBRERO!$AG176</f>
        <v>527</v>
      </c>
      <c r="D176" s="122">
        <f>+MARZO!$AG176</f>
        <v>467</v>
      </c>
      <c r="E176" s="122">
        <f>+ABRIL!$AG176</f>
        <v>435</v>
      </c>
      <c r="F176" s="122">
        <f>+MAYO!$AG176</f>
        <v>520</v>
      </c>
      <c r="G176" s="122">
        <f>+JUNIO!$AG176</f>
        <v>447</v>
      </c>
      <c r="H176" s="122">
        <f>+JULIO!$AG176</f>
        <v>429</v>
      </c>
      <c r="I176" s="122">
        <f>+AGOSTO!$AG176</f>
        <v>584</v>
      </c>
      <c r="J176" s="122">
        <f>+SEPTIEMBRE!$AG176</f>
        <v>564</v>
      </c>
      <c r="K176" s="122">
        <f>+OCTUBRE!$AG176</f>
        <v>442</v>
      </c>
      <c r="L176" s="122">
        <f>+NOVIEMBRE!$AG176</f>
        <v>562</v>
      </c>
      <c r="M176" s="122">
        <f>+DICIEMBRE!$AG176</f>
        <v>664</v>
      </c>
      <c r="N176" s="45">
        <f t="shared" si="5"/>
        <v>6173</v>
      </c>
    </row>
    <row r="177" spans="1:15" ht="15.75" customHeight="1" x14ac:dyDescent="0.25">
      <c r="A177" s="123" t="s">
        <v>119</v>
      </c>
      <c r="B177" s="124">
        <f>+ENERO!$AG177</f>
        <v>0</v>
      </c>
      <c r="C177" s="124">
        <f>+FEBRERO!$AG177</f>
        <v>0</v>
      </c>
      <c r="D177" s="124">
        <f>+MARZO!$AG177</f>
        <v>0</v>
      </c>
      <c r="E177" s="124">
        <f>+ABRIL!$AG177</f>
        <v>0</v>
      </c>
      <c r="F177" s="124">
        <f>+MAYO!$AG177</f>
        <v>0</v>
      </c>
      <c r="G177" s="124">
        <f>+JUNIO!$AG177</f>
        <v>0</v>
      </c>
      <c r="H177" s="124">
        <f>+JULIO!$AG177</f>
        <v>0</v>
      </c>
      <c r="I177" s="124">
        <f>+AGOSTO!$AG177</f>
        <v>0</v>
      </c>
      <c r="J177" s="124">
        <f>+SEPTIEMBRE!$AG177</f>
        <v>0</v>
      </c>
      <c r="K177" s="124">
        <f>+OCTUBRE!$AG177</f>
        <v>0</v>
      </c>
      <c r="L177" s="124">
        <f>+NOVIEMBRE!$AG177</f>
        <v>0</v>
      </c>
      <c r="M177" s="124">
        <f>+DICIEMBRE!$AG177</f>
        <v>0</v>
      </c>
      <c r="N177" s="26">
        <f t="shared" si="5"/>
        <v>0</v>
      </c>
      <c r="O177" s="140" t="s">
        <v>120</v>
      </c>
    </row>
    <row r="178" spans="1:15" ht="15.75" customHeight="1" x14ac:dyDescent="0.25">
      <c r="A178" s="125" t="s">
        <v>121</v>
      </c>
      <c r="B178" s="126">
        <f>+ENERO!$AG178</f>
        <v>0</v>
      </c>
      <c r="C178" s="126">
        <f>+FEBRERO!$AG178</f>
        <v>0</v>
      </c>
      <c r="D178" s="126">
        <f>+MARZO!$AG178</f>
        <v>0</v>
      </c>
      <c r="E178" s="126">
        <f>+ABRIL!$AG178</f>
        <v>0</v>
      </c>
      <c r="F178" s="126">
        <f>+MAYO!$AG178</f>
        <v>0</v>
      </c>
      <c r="G178" s="126">
        <f>+JUNIO!$AG178</f>
        <v>0</v>
      </c>
      <c r="H178" s="126">
        <f>+JULIO!$AG178</f>
        <v>0</v>
      </c>
      <c r="I178" s="126">
        <f>+AGOSTO!$AG178</f>
        <v>0</v>
      </c>
      <c r="J178" s="126">
        <f>+SEPTIEMBRE!$AG178</f>
        <v>0</v>
      </c>
      <c r="K178" s="126">
        <f>+OCTUBRE!$AG178</f>
        <v>0</v>
      </c>
      <c r="L178" s="126">
        <f>+NOVIEMBRE!$AG178</f>
        <v>0</v>
      </c>
      <c r="M178" s="126">
        <f>+DICIEMBRE!$AG178</f>
        <v>0</v>
      </c>
      <c r="N178" s="46">
        <f t="shared" si="5"/>
        <v>0</v>
      </c>
      <c r="O178" s="141"/>
    </row>
    <row r="179" spans="1:15" ht="15.75" customHeight="1" x14ac:dyDescent="0.25">
      <c r="A179" s="125" t="s">
        <v>122</v>
      </c>
      <c r="B179" s="126">
        <f>+ENERO!$AG179</f>
        <v>0</v>
      </c>
      <c r="C179" s="126">
        <f>+FEBRERO!$AG179</f>
        <v>0</v>
      </c>
      <c r="D179" s="126">
        <f>+MARZO!$AG179</f>
        <v>0</v>
      </c>
      <c r="E179" s="126">
        <f>+ABRIL!$AG179</f>
        <v>0</v>
      </c>
      <c r="F179" s="126">
        <f>+MAYO!$AG179</f>
        <v>0</v>
      </c>
      <c r="G179" s="126">
        <f>+JUNIO!$AG179</f>
        <v>0</v>
      </c>
      <c r="H179" s="126">
        <f>+JULIO!$AG179</f>
        <v>0</v>
      </c>
      <c r="I179" s="126">
        <f>+AGOSTO!$AG179</f>
        <v>0</v>
      </c>
      <c r="J179" s="126">
        <f>+SEPTIEMBRE!$AG179</f>
        <v>0</v>
      </c>
      <c r="K179" s="126">
        <f>+OCTUBRE!$AG179</f>
        <v>0</v>
      </c>
      <c r="L179" s="126">
        <f>+NOVIEMBRE!$AG179</f>
        <v>0</v>
      </c>
      <c r="M179" s="126">
        <f>+DICIEMBRE!$AG179</f>
        <v>0</v>
      </c>
      <c r="N179" s="46">
        <f t="shared" si="5"/>
        <v>0</v>
      </c>
      <c r="O179" s="141"/>
    </row>
    <row r="180" spans="1:15" ht="15.75" customHeight="1" thickBot="1" x14ac:dyDescent="0.3">
      <c r="A180" s="128" t="s">
        <v>123</v>
      </c>
      <c r="B180" s="129">
        <f>+ENERO!$AG180</f>
        <v>0</v>
      </c>
      <c r="C180" s="129">
        <f>+FEBRERO!$AG180</f>
        <v>0</v>
      </c>
      <c r="D180" s="129">
        <f>+MARZO!$AG180</f>
        <v>0</v>
      </c>
      <c r="E180" s="129">
        <f>+ABRIL!$AG180</f>
        <v>0</v>
      </c>
      <c r="F180" s="129">
        <f>+MAYO!$AG180</f>
        <v>0</v>
      </c>
      <c r="G180" s="129">
        <f>+JUNIO!$AG180</f>
        <v>0</v>
      </c>
      <c r="H180" s="129">
        <f>+JULIO!$AG180</f>
        <v>0</v>
      </c>
      <c r="I180" s="129">
        <f>+AGOSTO!$AG180</f>
        <v>0</v>
      </c>
      <c r="J180" s="129">
        <f>+SEPTIEMBRE!$AG180</f>
        <v>0</v>
      </c>
      <c r="K180" s="129">
        <f>+OCTUBRE!$AG180</f>
        <v>0</v>
      </c>
      <c r="L180" s="129">
        <f>+NOVIEMBRE!$AG180</f>
        <v>0</v>
      </c>
      <c r="M180" s="129">
        <f>+DICIEMBRE!$AG180</f>
        <v>0</v>
      </c>
      <c r="N180" s="25">
        <f t="shared" si="5"/>
        <v>0</v>
      </c>
      <c r="O180" s="142"/>
    </row>
    <row r="181" spans="1:15" ht="15.75" customHeight="1" x14ac:dyDescent="0.25"/>
    <row r="182" spans="1:15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</row>
    <row r="183" spans="1:15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</row>
    <row r="184" spans="1:15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</row>
    <row r="185" spans="1:15" ht="15.75" customHeight="1" x14ac:dyDescent="0.25"/>
    <row r="186" spans="1:15" ht="15.75" customHeight="1" x14ac:dyDescent="0.25"/>
    <row r="187" spans="1:15" ht="15.75" customHeight="1" x14ac:dyDescent="0.25"/>
    <row r="188" spans="1:15" ht="15.75" customHeight="1" x14ac:dyDescent="0.25"/>
    <row r="189" spans="1:15" ht="15.75" customHeight="1" x14ac:dyDescent="0.25"/>
    <row r="190" spans="1:15" ht="15.75" customHeight="1" x14ac:dyDescent="0.25"/>
    <row r="191" spans="1:15" ht="15.75" customHeight="1" x14ac:dyDescent="0.25"/>
    <row r="192" spans="1:15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mergeCells count="1">
    <mergeCell ref="O177:O180"/>
  </mergeCells>
  <conditionalFormatting sqref="O171">
    <cfRule type="cellIs" dxfId="41" priority="2" operator="equal">
      <formula>"X"</formula>
    </cfRule>
  </conditionalFormatting>
  <conditionalFormatting sqref="O1:O1048576">
    <cfRule type="cellIs" dxfId="40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00000000-0002-0000-0000-000000000000}">
      <formula1>0</formula1>
      <formula2>1000000000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AB08-3E02-465F-BA2A-74AC100AC1F2}">
  <sheetPr codeName="Hoja22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177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0</v>
      </c>
      <c r="C3" s="1">
        <f t="shared" si="1"/>
        <v>0</v>
      </c>
      <c r="D3" s="1">
        <f t="shared" si="1"/>
        <v>0</v>
      </c>
      <c r="E3" s="1">
        <f t="shared" si="1"/>
        <v>0</v>
      </c>
      <c r="F3" s="1">
        <f t="shared" si="1"/>
        <v>0</v>
      </c>
      <c r="G3" s="1">
        <f t="shared" si="1"/>
        <v>0</v>
      </c>
      <c r="H3" s="1">
        <f t="shared" si="1"/>
        <v>0</v>
      </c>
      <c r="I3" s="1">
        <f t="shared" si="1"/>
        <v>0</v>
      </c>
      <c r="J3" s="1">
        <f t="shared" si="1"/>
        <v>0</v>
      </c>
      <c r="K3" s="1">
        <f t="shared" si="1"/>
        <v>0</v>
      </c>
      <c r="L3" s="1">
        <f t="shared" si="1"/>
        <v>0</v>
      </c>
      <c r="M3" s="1">
        <f t="shared" si="1"/>
        <v>0</v>
      </c>
      <c r="N3" s="1">
        <f t="shared" si="1"/>
        <v>0</v>
      </c>
      <c r="O3" s="1">
        <f t="shared" si="1"/>
        <v>0</v>
      </c>
      <c r="P3" s="1">
        <f t="shared" si="1"/>
        <v>0</v>
      </c>
      <c r="Q3" s="1">
        <f t="shared" si="1"/>
        <v>0</v>
      </c>
      <c r="R3" s="1">
        <f t="shared" si="1"/>
        <v>0</v>
      </c>
      <c r="S3" s="1">
        <f t="shared" si="1"/>
        <v>0</v>
      </c>
      <c r="T3" s="1">
        <f t="shared" si="1"/>
        <v>0</v>
      </c>
      <c r="U3" s="1">
        <f t="shared" si="1"/>
        <v>0</v>
      </c>
      <c r="V3" s="1">
        <f t="shared" si="1"/>
        <v>0</v>
      </c>
      <c r="W3" s="1">
        <f t="shared" si="1"/>
        <v>0</v>
      </c>
      <c r="X3" s="1">
        <f t="shared" si="1"/>
        <v>0</v>
      </c>
      <c r="Y3" s="1">
        <f t="shared" si="1"/>
        <v>0</v>
      </c>
      <c r="Z3" s="1">
        <f t="shared" si="1"/>
        <v>0</v>
      </c>
      <c r="AA3" s="1">
        <f t="shared" si="1"/>
        <v>0</v>
      </c>
      <c r="AB3" s="1">
        <f t="shared" si="1"/>
        <v>0</v>
      </c>
      <c r="AC3" s="1">
        <f t="shared" si="1"/>
        <v>0</v>
      </c>
      <c r="AD3" s="1">
        <f t="shared" si="1"/>
        <v>0</v>
      </c>
      <c r="AE3" s="1">
        <f t="shared" si="1"/>
        <v>0</v>
      </c>
      <c r="AF3" s="1">
        <f t="shared" si="1"/>
        <v>0</v>
      </c>
      <c r="AG3" s="2">
        <f t="shared" ref="AG3:AG66" si="2">SUM(B3:AF3)</f>
        <v>0</v>
      </c>
    </row>
    <row r="4" spans="1:33" ht="18.75" x14ac:dyDescent="0.25">
      <c r="A4" s="53" t="s">
        <v>2</v>
      </c>
      <c r="B4" s="54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4">
        <f t="shared" si="2"/>
        <v>0</v>
      </c>
    </row>
    <row r="5" spans="1:33" ht="18.75" x14ac:dyDescent="0.25">
      <c r="A5" s="56" t="s">
        <v>3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">
        <f t="shared" si="2"/>
        <v>0</v>
      </c>
    </row>
    <row r="6" spans="1:33" ht="18.75" x14ac:dyDescent="0.25">
      <c r="A6" s="56" t="s">
        <v>4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">
        <f t="shared" si="2"/>
        <v>0</v>
      </c>
    </row>
    <row r="7" spans="1:33" ht="18.75" x14ac:dyDescent="0.25">
      <c r="A7" s="56" t="s">
        <v>5</v>
      </c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">
        <f t="shared" si="2"/>
        <v>0</v>
      </c>
    </row>
    <row r="8" spans="1:33" ht="18.75" x14ac:dyDescent="0.25">
      <c r="A8" s="56" t="s">
        <v>6</v>
      </c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">
        <f t="shared" si="2"/>
        <v>0</v>
      </c>
    </row>
    <row r="9" spans="1:33" ht="18.75" x14ac:dyDescent="0.25">
      <c r="A9" s="56" t="s">
        <v>7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">
        <f t="shared" si="2"/>
        <v>0</v>
      </c>
    </row>
    <row r="10" spans="1:33" ht="18.75" x14ac:dyDescent="0.25">
      <c r="A10" s="56" t="s">
        <v>8</v>
      </c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">
        <f t="shared" si="2"/>
        <v>0</v>
      </c>
    </row>
    <row r="11" spans="1:33" ht="18.75" x14ac:dyDescent="0.25">
      <c r="A11" s="56" t="s">
        <v>9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">
        <f t="shared" si="2"/>
        <v>0</v>
      </c>
    </row>
    <row r="12" spans="1:33" ht="18.75" x14ac:dyDescent="0.25">
      <c r="A12" s="56" t="s">
        <v>10</v>
      </c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">
        <f t="shared" si="2"/>
        <v>0</v>
      </c>
    </row>
    <row r="13" spans="1:33" ht="18.75" x14ac:dyDescent="0.25">
      <c r="A13" s="56" t="s">
        <v>11</v>
      </c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">
        <f t="shared" si="2"/>
        <v>0</v>
      </c>
    </row>
    <row r="14" spans="1:33" ht="18.75" x14ac:dyDescent="0.25">
      <c r="A14" s="56" t="s">
        <v>12</v>
      </c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">
        <f t="shared" si="2"/>
        <v>0</v>
      </c>
    </row>
    <row r="15" spans="1:33" ht="18.75" x14ac:dyDescent="0.25">
      <c r="A15" s="56" t="s">
        <v>13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">
        <f t="shared" si="2"/>
        <v>0</v>
      </c>
    </row>
    <row r="16" spans="1:33" ht="18.75" x14ac:dyDescent="0.25">
      <c r="A16" s="56" t="s">
        <v>14</v>
      </c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">
        <f t="shared" si="2"/>
        <v>0</v>
      </c>
    </row>
    <row r="17" spans="1:33" ht="18.75" x14ac:dyDescent="0.25">
      <c r="A17" s="56" t="s">
        <v>15</v>
      </c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">
        <f t="shared" si="2"/>
        <v>0</v>
      </c>
    </row>
    <row r="18" spans="1:33" ht="18.75" x14ac:dyDescent="0.25">
      <c r="A18" s="56" t="s">
        <v>16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">
        <f t="shared" si="2"/>
        <v>0</v>
      </c>
    </row>
    <row r="19" spans="1:33" ht="18.75" x14ac:dyDescent="0.25">
      <c r="A19" s="56" t="s">
        <v>17</v>
      </c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">
        <f t="shared" si="2"/>
        <v>0</v>
      </c>
    </row>
    <row r="20" spans="1:33" ht="18.75" x14ac:dyDescent="0.25">
      <c r="A20" s="56" t="s">
        <v>18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">
        <f t="shared" si="2"/>
        <v>0</v>
      </c>
    </row>
    <row r="21" spans="1:33" ht="15.75" customHeight="1" x14ac:dyDescent="0.25">
      <c r="A21" s="56" t="s">
        <v>19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">
        <f t="shared" si="2"/>
        <v>0</v>
      </c>
    </row>
    <row r="22" spans="1:33" ht="15.75" customHeight="1" x14ac:dyDescent="0.25">
      <c r="A22" s="56" t="s">
        <v>20</v>
      </c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">
        <f t="shared" si="2"/>
        <v>0</v>
      </c>
    </row>
    <row r="23" spans="1:33" ht="15.75" customHeight="1" x14ac:dyDescent="0.25">
      <c r="A23" s="56" t="s">
        <v>21</v>
      </c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">
        <f t="shared" si="2"/>
        <v>0</v>
      </c>
    </row>
    <row r="24" spans="1:33" ht="15.75" customHeight="1" x14ac:dyDescent="0.25">
      <c r="A24" s="56" t="s">
        <v>22</v>
      </c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">
        <f t="shared" si="2"/>
        <v>0</v>
      </c>
    </row>
    <row r="25" spans="1:33" ht="15.75" customHeight="1" x14ac:dyDescent="0.25">
      <c r="A25" s="56" t="s">
        <v>23</v>
      </c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">
        <f t="shared" si="2"/>
        <v>0</v>
      </c>
    </row>
    <row r="26" spans="1:33" ht="15.75" customHeight="1" x14ac:dyDescent="0.25">
      <c r="A26" s="56" t="s">
        <v>24</v>
      </c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">
        <f t="shared" si="2"/>
        <v>0</v>
      </c>
    </row>
    <row r="27" spans="1:33" ht="15.75" customHeight="1" thickBot="1" x14ac:dyDescent="0.3">
      <c r="A27" s="57" t="s">
        <v>25</v>
      </c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">
        <f t="shared" si="2"/>
        <v>0</v>
      </c>
    </row>
    <row r="28" spans="1:33" ht="15.75" customHeight="1" x14ac:dyDescent="0.25">
      <c r="A28" s="59" t="s">
        <v>26</v>
      </c>
      <c r="B28" s="6">
        <f t="shared" ref="B28:AF28" si="3">SUM(B29:B52)</f>
        <v>0</v>
      </c>
      <c r="C28" s="6">
        <f t="shared" si="3"/>
        <v>0</v>
      </c>
      <c r="D28" s="6">
        <f t="shared" si="3"/>
        <v>0</v>
      </c>
      <c r="E28" s="6">
        <f t="shared" si="3"/>
        <v>0</v>
      </c>
      <c r="F28" s="6">
        <f t="shared" si="3"/>
        <v>0</v>
      </c>
      <c r="G28" s="6">
        <f t="shared" si="3"/>
        <v>0</v>
      </c>
      <c r="H28" s="6">
        <f t="shared" si="3"/>
        <v>0</v>
      </c>
      <c r="I28" s="6">
        <f t="shared" si="3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3"/>
        <v>0</v>
      </c>
      <c r="O28" s="6">
        <f t="shared" si="3"/>
        <v>0</v>
      </c>
      <c r="P28" s="6">
        <f t="shared" si="3"/>
        <v>0</v>
      </c>
      <c r="Q28" s="6">
        <f t="shared" si="3"/>
        <v>0</v>
      </c>
      <c r="R28" s="6">
        <f t="shared" si="3"/>
        <v>0</v>
      </c>
      <c r="S28" s="6">
        <f t="shared" si="3"/>
        <v>0</v>
      </c>
      <c r="T28" s="6">
        <f t="shared" si="3"/>
        <v>0</v>
      </c>
      <c r="U28" s="6">
        <f t="shared" si="3"/>
        <v>0</v>
      </c>
      <c r="V28" s="6">
        <f t="shared" si="3"/>
        <v>0</v>
      </c>
      <c r="W28" s="6">
        <f t="shared" si="3"/>
        <v>0</v>
      </c>
      <c r="X28" s="6">
        <f t="shared" si="3"/>
        <v>0</v>
      </c>
      <c r="Y28" s="6">
        <f t="shared" si="3"/>
        <v>0</v>
      </c>
      <c r="Z28" s="6">
        <f t="shared" si="3"/>
        <v>0</v>
      </c>
      <c r="AA28" s="6">
        <f t="shared" si="3"/>
        <v>0</v>
      </c>
      <c r="AB28" s="6">
        <f t="shared" si="3"/>
        <v>0</v>
      </c>
      <c r="AC28" s="6">
        <f t="shared" si="3"/>
        <v>0</v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7">
        <f t="shared" si="2"/>
        <v>0</v>
      </c>
    </row>
    <row r="29" spans="1:33" ht="15.75" customHeight="1" x14ac:dyDescent="0.25">
      <c r="A29" s="53" t="s">
        <v>2</v>
      </c>
      <c r="B29" s="54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4"/>
      <c r="AE29" s="54"/>
      <c r="AF29" s="54"/>
      <c r="AG29" s="5">
        <f t="shared" si="2"/>
        <v>0</v>
      </c>
    </row>
    <row r="30" spans="1:33" ht="15.75" customHeight="1" x14ac:dyDescent="0.25">
      <c r="A30" s="56" t="s">
        <v>3</v>
      </c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">
        <f t="shared" si="2"/>
        <v>0</v>
      </c>
    </row>
    <row r="31" spans="1:33" ht="15.75" customHeight="1" x14ac:dyDescent="0.25">
      <c r="A31" s="56" t="s">
        <v>4</v>
      </c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">
        <f t="shared" si="2"/>
        <v>0</v>
      </c>
    </row>
    <row r="32" spans="1:33" ht="15.75" customHeight="1" x14ac:dyDescent="0.25">
      <c r="A32" s="56" t="s">
        <v>5</v>
      </c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">
        <f t="shared" si="2"/>
        <v>0</v>
      </c>
    </row>
    <row r="33" spans="1:33" ht="15.75" customHeight="1" x14ac:dyDescent="0.25">
      <c r="A33" s="56" t="s">
        <v>6</v>
      </c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">
        <f t="shared" si="2"/>
        <v>0</v>
      </c>
    </row>
    <row r="34" spans="1:33" ht="15.75" customHeight="1" x14ac:dyDescent="0.25">
      <c r="A34" s="56" t="s">
        <v>7</v>
      </c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">
        <f t="shared" si="2"/>
        <v>0</v>
      </c>
    </row>
    <row r="35" spans="1:33" ht="15.75" customHeight="1" x14ac:dyDescent="0.25">
      <c r="A35" s="56" t="s">
        <v>8</v>
      </c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">
        <f t="shared" si="2"/>
        <v>0</v>
      </c>
    </row>
    <row r="36" spans="1:33" ht="15.75" customHeight="1" x14ac:dyDescent="0.25">
      <c r="A36" s="56" t="s">
        <v>9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">
        <f t="shared" si="2"/>
        <v>0</v>
      </c>
    </row>
    <row r="37" spans="1:33" ht="15.75" customHeight="1" x14ac:dyDescent="0.25">
      <c r="A37" s="56" t="s">
        <v>10</v>
      </c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">
        <f t="shared" si="2"/>
        <v>0</v>
      </c>
    </row>
    <row r="38" spans="1:33" ht="15.75" customHeight="1" x14ac:dyDescent="0.25">
      <c r="A38" s="56" t="s">
        <v>11</v>
      </c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">
        <f t="shared" si="2"/>
        <v>0</v>
      </c>
    </row>
    <row r="39" spans="1:33" ht="15.75" customHeight="1" x14ac:dyDescent="0.25">
      <c r="A39" s="56" t="s">
        <v>12</v>
      </c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">
        <f t="shared" si="2"/>
        <v>0</v>
      </c>
    </row>
    <row r="40" spans="1:33" ht="15.75" customHeight="1" x14ac:dyDescent="0.25">
      <c r="A40" s="56" t="s">
        <v>13</v>
      </c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">
        <f t="shared" si="2"/>
        <v>0</v>
      </c>
    </row>
    <row r="41" spans="1:33" ht="15.75" customHeight="1" x14ac:dyDescent="0.25">
      <c r="A41" s="56" t="s">
        <v>14</v>
      </c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">
        <f t="shared" si="2"/>
        <v>0</v>
      </c>
    </row>
    <row r="42" spans="1:33" ht="15.75" customHeight="1" x14ac:dyDescent="0.25">
      <c r="A42" s="56" t="s">
        <v>15</v>
      </c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">
        <f t="shared" si="2"/>
        <v>0</v>
      </c>
    </row>
    <row r="43" spans="1:33" ht="15.75" customHeight="1" x14ac:dyDescent="0.25">
      <c r="A43" s="56" t="s">
        <v>16</v>
      </c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">
        <f t="shared" si="2"/>
        <v>0</v>
      </c>
    </row>
    <row r="44" spans="1:33" ht="15.75" customHeight="1" x14ac:dyDescent="0.25">
      <c r="A44" s="56" t="s">
        <v>17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">
        <f t="shared" si="2"/>
        <v>0</v>
      </c>
    </row>
    <row r="45" spans="1:33" ht="15.75" customHeight="1" x14ac:dyDescent="0.25">
      <c r="A45" s="56" t="s">
        <v>18</v>
      </c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">
        <f t="shared" si="2"/>
        <v>0</v>
      </c>
    </row>
    <row r="46" spans="1:33" ht="15.75" customHeight="1" x14ac:dyDescent="0.25">
      <c r="A46" s="56" t="s">
        <v>19</v>
      </c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">
        <f t="shared" si="2"/>
        <v>0</v>
      </c>
    </row>
    <row r="47" spans="1:33" ht="15.75" customHeight="1" x14ac:dyDescent="0.25">
      <c r="A47" s="56" t="s">
        <v>20</v>
      </c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">
        <f t="shared" si="2"/>
        <v>0</v>
      </c>
    </row>
    <row r="48" spans="1:33" ht="15.75" customHeight="1" x14ac:dyDescent="0.25">
      <c r="A48" s="56" t="s">
        <v>21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">
        <f t="shared" si="2"/>
        <v>0</v>
      </c>
    </row>
    <row r="49" spans="1:33" ht="15.75" customHeight="1" x14ac:dyDescent="0.25">
      <c r="A49" s="56" t="s">
        <v>22</v>
      </c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">
        <f t="shared" si="2"/>
        <v>0</v>
      </c>
    </row>
    <row r="50" spans="1:33" ht="15.75" customHeight="1" x14ac:dyDescent="0.25">
      <c r="A50" s="56" t="s">
        <v>23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">
        <f t="shared" si="2"/>
        <v>0</v>
      </c>
    </row>
    <row r="51" spans="1:33" ht="15.75" customHeight="1" x14ac:dyDescent="0.25">
      <c r="A51" s="56" t="s">
        <v>24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">
        <f t="shared" si="2"/>
        <v>0</v>
      </c>
    </row>
    <row r="52" spans="1:33" ht="15.75" customHeight="1" thickBot="1" x14ac:dyDescent="0.3">
      <c r="A52" s="57" t="s">
        <v>25</v>
      </c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60"/>
      <c r="AE52" s="60"/>
      <c r="AF52" s="60"/>
      <c r="AG52" s="9">
        <f t="shared" si="2"/>
        <v>0</v>
      </c>
    </row>
    <row r="53" spans="1:33" ht="15.75" customHeight="1" thickBot="1" x14ac:dyDescent="0.3">
      <c r="A53" s="52" t="s">
        <v>27</v>
      </c>
      <c r="B53" s="1">
        <f t="shared" ref="B53:AF53" si="4">SUM(B54:B77)</f>
        <v>0</v>
      </c>
      <c r="C53" s="1">
        <f t="shared" si="4"/>
        <v>0</v>
      </c>
      <c r="D53" s="1">
        <f t="shared" si="4"/>
        <v>0</v>
      </c>
      <c r="E53" s="1">
        <f t="shared" si="4"/>
        <v>0</v>
      </c>
      <c r="F53" s="1">
        <f t="shared" si="4"/>
        <v>0</v>
      </c>
      <c r="G53" s="1">
        <f t="shared" si="4"/>
        <v>0</v>
      </c>
      <c r="H53" s="1">
        <f t="shared" si="4"/>
        <v>0</v>
      </c>
      <c r="I53" s="1">
        <f t="shared" si="4"/>
        <v>0</v>
      </c>
      <c r="J53" s="1">
        <f t="shared" si="4"/>
        <v>0</v>
      </c>
      <c r="K53" s="1">
        <f t="shared" si="4"/>
        <v>0</v>
      </c>
      <c r="L53" s="1">
        <f t="shared" si="4"/>
        <v>0</v>
      </c>
      <c r="M53" s="1">
        <f t="shared" si="4"/>
        <v>0</v>
      </c>
      <c r="N53" s="1">
        <f t="shared" si="4"/>
        <v>0</v>
      </c>
      <c r="O53" s="1">
        <f t="shared" si="4"/>
        <v>0</v>
      </c>
      <c r="P53" s="1">
        <f t="shared" si="4"/>
        <v>0</v>
      </c>
      <c r="Q53" s="1">
        <f t="shared" si="4"/>
        <v>0</v>
      </c>
      <c r="R53" s="1">
        <f t="shared" si="4"/>
        <v>0</v>
      </c>
      <c r="S53" s="1">
        <f t="shared" si="4"/>
        <v>0</v>
      </c>
      <c r="T53" s="1">
        <f t="shared" si="4"/>
        <v>0</v>
      </c>
      <c r="U53" s="1">
        <f t="shared" si="4"/>
        <v>0</v>
      </c>
      <c r="V53" s="1">
        <f t="shared" si="4"/>
        <v>0</v>
      </c>
      <c r="W53" s="1">
        <f t="shared" si="4"/>
        <v>0</v>
      </c>
      <c r="X53" s="1">
        <f t="shared" si="4"/>
        <v>0</v>
      </c>
      <c r="Y53" s="1">
        <f t="shared" si="4"/>
        <v>0</v>
      </c>
      <c r="Z53" s="1">
        <f t="shared" si="4"/>
        <v>0</v>
      </c>
      <c r="AA53" s="1">
        <f t="shared" si="4"/>
        <v>0</v>
      </c>
      <c r="AB53" s="1">
        <f t="shared" si="4"/>
        <v>0</v>
      </c>
      <c r="AC53" s="1">
        <f t="shared" si="4"/>
        <v>0</v>
      </c>
      <c r="AD53" s="1">
        <f t="shared" si="4"/>
        <v>0</v>
      </c>
      <c r="AE53" s="1">
        <f t="shared" si="4"/>
        <v>0</v>
      </c>
      <c r="AF53" s="1">
        <f t="shared" si="4"/>
        <v>0</v>
      </c>
      <c r="AG53" s="10">
        <f t="shared" si="2"/>
        <v>0</v>
      </c>
    </row>
    <row r="54" spans="1:33" ht="15.75" customHeight="1" x14ac:dyDescent="0.25">
      <c r="A54" s="56" t="s">
        <v>2</v>
      </c>
      <c r="B54" s="54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4">
        <f t="shared" si="2"/>
        <v>0</v>
      </c>
    </row>
    <row r="55" spans="1:33" ht="15.75" customHeight="1" x14ac:dyDescent="0.25">
      <c r="A55" s="56" t="s">
        <v>3</v>
      </c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">
        <f t="shared" si="2"/>
        <v>0</v>
      </c>
    </row>
    <row r="56" spans="1:33" ht="15.75" customHeight="1" x14ac:dyDescent="0.25">
      <c r="A56" s="56" t="s">
        <v>4</v>
      </c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">
        <f t="shared" si="2"/>
        <v>0</v>
      </c>
    </row>
    <row r="57" spans="1:33" ht="15.75" customHeight="1" x14ac:dyDescent="0.25">
      <c r="A57" s="56" t="s">
        <v>5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">
        <f t="shared" si="2"/>
        <v>0</v>
      </c>
    </row>
    <row r="58" spans="1:33" ht="15.75" customHeight="1" x14ac:dyDescent="0.25">
      <c r="A58" s="56" t="s">
        <v>6</v>
      </c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">
        <f t="shared" si="2"/>
        <v>0</v>
      </c>
    </row>
    <row r="59" spans="1:33" ht="15.75" customHeight="1" x14ac:dyDescent="0.25">
      <c r="A59" s="56" t="s">
        <v>7</v>
      </c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">
        <f t="shared" si="2"/>
        <v>0</v>
      </c>
    </row>
    <row r="60" spans="1:33" ht="15.75" customHeight="1" x14ac:dyDescent="0.25">
      <c r="A60" s="56" t="s">
        <v>8</v>
      </c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">
        <f t="shared" si="2"/>
        <v>0</v>
      </c>
    </row>
    <row r="61" spans="1:33" ht="15.75" customHeight="1" x14ac:dyDescent="0.25">
      <c r="A61" s="56" t="s">
        <v>9</v>
      </c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">
        <f t="shared" si="2"/>
        <v>0</v>
      </c>
    </row>
    <row r="62" spans="1:33" ht="15.75" customHeight="1" x14ac:dyDescent="0.25">
      <c r="A62" s="56" t="s">
        <v>10</v>
      </c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">
        <f t="shared" si="2"/>
        <v>0</v>
      </c>
    </row>
    <row r="63" spans="1:33" ht="15.75" customHeight="1" x14ac:dyDescent="0.25">
      <c r="A63" s="56" t="s">
        <v>11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">
        <f t="shared" si="2"/>
        <v>0</v>
      </c>
    </row>
    <row r="64" spans="1:33" ht="15.75" customHeight="1" x14ac:dyDescent="0.25">
      <c r="A64" s="56" t="s">
        <v>12</v>
      </c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">
        <f t="shared" si="2"/>
        <v>0</v>
      </c>
    </row>
    <row r="65" spans="1:33" ht="15.75" customHeight="1" x14ac:dyDescent="0.25">
      <c r="A65" s="56" t="s">
        <v>13</v>
      </c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">
        <f t="shared" si="2"/>
        <v>0</v>
      </c>
    </row>
    <row r="66" spans="1:33" ht="15.75" customHeight="1" x14ac:dyDescent="0.25">
      <c r="A66" s="56" t="s">
        <v>14</v>
      </c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">
        <f t="shared" si="2"/>
        <v>0</v>
      </c>
    </row>
    <row r="67" spans="1:33" ht="15.75" customHeight="1" x14ac:dyDescent="0.25">
      <c r="A67" s="56" t="s">
        <v>15</v>
      </c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">
        <f t="shared" ref="AG67:AG98" si="5">SUM(B67:AF67)</f>
        <v>0</v>
      </c>
    </row>
    <row r="68" spans="1:33" ht="15.75" customHeight="1" x14ac:dyDescent="0.25">
      <c r="A68" s="56" t="s">
        <v>16</v>
      </c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">
        <f t="shared" si="5"/>
        <v>0</v>
      </c>
    </row>
    <row r="69" spans="1:33" ht="15.75" customHeight="1" x14ac:dyDescent="0.25">
      <c r="A69" s="56" t="s">
        <v>17</v>
      </c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">
        <f t="shared" si="5"/>
        <v>0</v>
      </c>
    </row>
    <row r="70" spans="1:33" ht="15.75" customHeight="1" x14ac:dyDescent="0.25">
      <c r="A70" s="56" t="s">
        <v>18</v>
      </c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5"/>
      <c r="AE70" s="55"/>
      <c r="AF70" s="55"/>
      <c r="AG70" s="5">
        <f t="shared" si="5"/>
        <v>0</v>
      </c>
    </row>
    <row r="71" spans="1:33" ht="15.75" customHeight="1" x14ac:dyDescent="0.25">
      <c r="A71" s="56" t="s">
        <v>19</v>
      </c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5"/>
      <c r="AE71" s="55"/>
      <c r="AF71" s="55"/>
      <c r="AG71" s="5">
        <f t="shared" si="5"/>
        <v>0</v>
      </c>
    </row>
    <row r="72" spans="1:33" ht="15.75" customHeight="1" x14ac:dyDescent="0.25">
      <c r="A72" s="56" t="s">
        <v>20</v>
      </c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5"/>
      <c r="AE72" s="55"/>
      <c r="AF72" s="55"/>
      <c r="AG72" s="5">
        <f t="shared" si="5"/>
        <v>0</v>
      </c>
    </row>
    <row r="73" spans="1:33" ht="15.75" customHeight="1" x14ac:dyDescent="0.25">
      <c r="A73" s="56" t="s">
        <v>21</v>
      </c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5"/>
      <c r="AE73" s="55"/>
      <c r="AF73" s="55"/>
      <c r="AG73" s="5">
        <f t="shared" si="5"/>
        <v>0</v>
      </c>
    </row>
    <row r="74" spans="1:33" ht="15.75" customHeight="1" x14ac:dyDescent="0.25">
      <c r="A74" s="56" t="s">
        <v>22</v>
      </c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5"/>
      <c r="AE74" s="55"/>
      <c r="AF74" s="55"/>
      <c r="AG74" s="5">
        <f t="shared" si="5"/>
        <v>0</v>
      </c>
    </row>
    <row r="75" spans="1:33" ht="15.75" customHeight="1" x14ac:dyDescent="0.25">
      <c r="A75" s="56" t="s">
        <v>23</v>
      </c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5"/>
      <c r="AE75" s="55"/>
      <c r="AF75" s="55"/>
      <c r="AG75" s="5">
        <f t="shared" si="5"/>
        <v>0</v>
      </c>
    </row>
    <row r="76" spans="1:33" ht="15.75" customHeight="1" x14ac:dyDescent="0.25">
      <c r="A76" s="56" t="s">
        <v>24</v>
      </c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5"/>
      <c r="AE76" s="55"/>
      <c r="AF76" s="55"/>
      <c r="AG76" s="5">
        <f t="shared" si="5"/>
        <v>0</v>
      </c>
    </row>
    <row r="77" spans="1:33" ht="15.75" customHeight="1" thickBot="1" x14ac:dyDescent="0.3">
      <c r="A77" s="61" t="s">
        <v>25</v>
      </c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62"/>
      <c r="AE77" s="62"/>
      <c r="AF77" s="62"/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0</v>
      </c>
      <c r="C78" s="11">
        <f t="shared" si="6"/>
        <v>0</v>
      </c>
      <c r="D78" s="11">
        <f t="shared" si="6"/>
        <v>0</v>
      </c>
      <c r="E78" s="11">
        <f t="shared" si="6"/>
        <v>0</v>
      </c>
      <c r="F78" s="11">
        <f t="shared" si="6"/>
        <v>0</v>
      </c>
      <c r="G78" s="11">
        <f t="shared" si="6"/>
        <v>0</v>
      </c>
      <c r="H78" s="11">
        <f t="shared" si="6"/>
        <v>0</v>
      </c>
      <c r="I78" s="11">
        <f t="shared" si="6"/>
        <v>0</v>
      </c>
      <c r="J78" s="11">
        <f t="shared" si="6"/>
        <v>0</v>
      </c>
      <c r="K78" s="11">
        <f t="shared" si="6"/>
        <v>0</v>
      </c>
      <c r="L78" s="11">
        <f t="shared" si="6"/>
        <v>0</v>
      </c>
      <c r="M78" s="11">
        <f t="shared" si="6"/>
        <v>0</v>
      </c>
      <c r="N78" s="11">
        <f t="shared" si="6"/>
        <v>0</v>
      </c>
      <c r="O78" s="11">
        <f t="shared" si="6"/>
        <v>0</v>
      </c>
      <c r="P78" s="11">
        <f t="shared" si="6"/>
        <v>0</v>
      </c>
      <c r="Q78" s="11">
        <f t="shared" si="6"/>
        <v>0</v>
      </c>
      <c r="R78" s="11">
        <f t="shared" si="6"/>
        <v>0</v>
      </c>
      <c r="S78" s="11">
        <f t="shared" si="6"/>
        <v>0</v>
      </c>
      <c r="T78" s="11">
        <f t="shared" si="6"/>
        <v>0</v>
      </c>
      <c r="U78" s="11">
        <f t="shared" si="6"/>
        <v>0</v>
      </c>
      <c r="V78" s="11">
        <f t="shared" si="6"/>
        <v>0</v>
      </c>
      <c r="W78" s="11">
        <f t="shared" si="6"/>
        <v>0</v>
      </c>
      <c r="X78" s="11">
        <f t="shared" si="6"/>
        <v>0</v>
      </c>
      <c r="Y78" s="11">
        <f t="shared" si="6"/>
        <v>0</v>
      </c>
      <c r="Z78" s="11">
        <f t="shared" si="6"/>
        <v>0</v>
      </c>
      <c r="AA78" s="11">
        <f t="shared" si="6"/>
        <v>0</v>
      </c>
      <c r="AB78" s="11">
        <f t="shared" si="6"/>
        <v>0</v>
      </c>
      <c r="AC78" s="11">
        <f t="shared" si="6"/>
        <v>0</v>
      </c>
      <c r="AD78" s="11">
        <f t="shared" si="6"/>
        <v>0</v>
      </c>
      <c r="AE78" s="11">
        <f t="shared" si="6"/>
        <v>0</v>
      </c>
      <c r="AF78" s="11">
        <f t="shared" si="6"/>
        <v>0</v>
      </c>
      <c r="AG78" s="10">
        <f t="shared" si="5"/>
        <v>0</v>
      </c>
    </row>
    <row r="79" spans="1:33" ht="19.5" customHeight="1" x14ac:dyDescent="0.25">
      <c r="A79" s="64" t="s">
        <v>29</v>
      </c>
      <c r="B79" s="3">
        <f t="shared" ref="B79" si="7">SUM(B4:B27)-B80</f>
        <v>0</v>
      </c>
      <c r="C79" s="3">
        <f t="shared" ref="C79" si="8">SUM(C4:C27)-C80</f>
        <v>0</v>
      </c>
      <c r="D79" s="3">
        <f t="shared" ref="D79:AF79" si="9">SUM(D4:D27)-D80</f>
        <v>0</v>
      </c>
      <c r="E79" s="3">
        <f t="shared" si="9"/>
        <v>0</v>
      </c>
      <c r="F79" s="3">
        <f t="shared" si="9"/>
        <v>0</v>
      </c>
      <c r="G79" s="3">
        <f t="shared" si="9"/>
        <v>0</v>
      </c>
      <c r="H79" s="3">
        <f t="shared" si="9"/>
        <v>0</v>
      </c>
      <c r="I79" s="3">
        <f t="shared" si="9"/>
        <v>0</v>
      </c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N79" s="3">
        <f t="shared" si="9"/>
        <v>0</v>
      </c>
      <c r="O79" s="3">
        <f t="shared" si="9"/>
        <v>0</v>
      </c>
      <c r="P79" s="3">
        <f t="shared" si="9"/>
        <v>0</v>
      </c>
      <c r="Q79" s="3">
        <f t="shared" si="9"/>
        <v>0</v>
      </c>
      <c r="R79" s="3">
        <f t="shared" si="9"/>
        <v>0</v>
      </c>
      <c r="S79" s="3">
        <f t="shared" si="9"/>
        <v>0</v>
      </c>
      <c r="T79" s="3">
        <f t="shared" si="9"/>
        <v>0</v>
      </c>
      <c r="U79" s="3">
        <f t="shared" si="9"/>
        <v>0</v>
      </c>
      <c r="V79" s="3">
        <f t="shared" si="9"/>
        <v>0</v>
      </c>
      <c r="W79" s="3">
        <f t="shared" si="9"/>
        <v>0</v>
      </c>
      <c r="X79" s="3">
        <f t="shared" si="9"/>
        <v>0</v>
      </c>
      <c r="Y79" s="3">
        <f t="shared" si="9"/>
        <v>0</v>
      </c>
      <c r="Z79" s="3">
        <f t="shared" si="9"/>
        <v>0</v>
      </c>
      <c r="AA79" s="3">
        <f t="shared" si="9"/>
        <v>0</v>
      </c>
      <c r="AB79" s="3">
        <f t="shared" si="9"/>
        <v>0</v>
      </c>
      <c r="AC79" s="3">
        <f t="shared" si="9"/>
        <v>0</v>
      </c>
      <c r="AD79" s="3">
        <f t="shared" si="9"/>
        <v>0</v>
      </c>
      <c r="AE79" s="3">
        <f t="shared" si="9"/>
        <v>0</v>
      </c>
      <c r="AF79" s="3">
        <f t="shared" si="9"/>
        <v>0</v>
      </c>
      <c r="AG79" s="4">
        <f t="shared" si="5"/>
        <v>0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0</v>
      </c>
      <c r="C81" s="12">
        <f t="shared" si="10"/>
        <v>0</v>
      </c>
      <c r="D81" s="12">
        <f t="shared" si="10"/>
        <v>0</v>
      </c>
      <c r="E81" s="12">
        <f t="shared" si="10"/>
        <v>0</v>
      </c>
      <c r="F81" s="12">
        <f t="shared" si="10"/>
        <v>0</v>
      </c>
      <c r="G81" s="12">
        <f t="shared" si="10"/>
        <v>0</v>
      </c>
      <c r="H81" s="12">
        <f t="shared" si="10"/>
        <v>0</v>
      </c>
      <c r="I81" s="12">
        <f t="shared" si="10"/>
        <v>0</v>
      </c>
      <c r="J81" s="12">
        <f t="shared" si="10"/>
        <v>0</v>
      </c>
      <c r="K81" s="12">
        <f t="shared" si="10"/>
        <v>0</v>
      </c>
      <c r="L81" s="12">
        <f t="shared" si="10"/>
        <v>0</v>
      </c>
      <c r="M81" s="12">
        <f t="shared" si="10"/>
        <v>0</v>
      </c>
      <c r="N81" s="12">
        <f t="shared" si="10"/>
        <v>0</v>
      </c>
      <c r="O81" s="12">
        <f t="shared" si="10"/>
        <v>0</v>
      </c>
      <c r="P81" s="12">
        <f t="shared" si="10"/>
        <v>0</v>
      </c>
      <c r="Q81" s="12">
        <f t="shared" si="10"/>
        <v>0</v>
      </c>
      <c r="R81" s="12">
        <f t="shared" si="10"/>
        <v>0</v>
      </c>
      <c r="S81" s="12">
        <f t="shared" si="10"/>
        <v>0</v>
      </c>
      <c r="T81" s="12">
        <f t="shared" si="10"/>
        <v>0</v>
      </c>
      <c r="U81" s="12">
        <f t="shared" si="10"/>
        <v>0</v>
      </c>
      <c r="V81" s="12">
        <f t="shared" si="10"/>
        <v>0</v>
      </c>
      <c r="W81" s="12">
        <f t="shared" si="10"/>
        <v>0</v>
      </c>
      <c r="X81" s="12">
        <f t="shared" si="10"/>
        <v>0</v>
      </c>
      <c r="Y81" s="12">
        <f t="shared" si="10"/>
        <v>0</v>
      </c>
      <c r="Z81" s="12">
        <f t="shared" si="10"/>
        <v>0</v>
      </c>
      <c r="AA81" s="12">
        <f t="shared" si="10"/>
        <v>0</v>
      </c>
      <c r="AB81" s="12">
        <f t="shared" si="10"/>
        <v>0</v>
      </c>
      <c r="AC81" s="12">
        <f t="shared" si="10"/>
        <v>0</v>
      </c>
      <c r="AD81" s="12">
        <f t="shared" si="10"/>
        <v>0</v>
      </c>
      <c r="AE81" s="12">
        <f t="shared" si="10"/>
        <v>0</v>
      </c>
      <c r="AF81" s="12">
        <f t="shared" si="10"/>
        <v>0</v>
      </c>
      <c r="AG81" s="10">
        <f t="shared" si="5"/>
        <v>0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0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0</v>
      </c>
      <c r="C83" s="8">
        <f t="shared" si="12"/>
        <v>0</v>
      </c>
      <c r="D83" s="8">
        <f t="shared" si="12"/>
        <v>0</v>
      </c>
      <c r="E83" s="8">
        <f t="shared" si="12"/>
        <v>0</v>
      </c>
      <c r="F83" s="8">
        <f t="shared" si="12"/>
        <v>0</v>
      </c>
      <c r="G83" s="8">
        <f t="shared" si="12"/>
        <v>0</v>
      </c>
      <c r="H83" s="8">
        <f t="shared" si="12"/>
        <v>0</v>
      </c>
      <c r="I83" s="8">
        <f t="shared" si="12"/>
        <v>0</v>
      </c>
      <c r="J83" s="8">
        <f t="shared" si="12"/>
        <v>0</v>
      </c>
      <c r="K83" s="8">
        <f t="shared" si="12"/>
        <v>0</v>
      </c>
      <c r="L83" s="8">
        <f t="shared" si="12"/>
        <v>0</v>
      </c>
      <c r="M83" s="8">
        <f t="shared" si="12"/>
        <v>0</v>
      </c>
      <c r="N83" s="8">
        <f t="shared" si="12"/>
        <v>0</v>
      </c>
      <c r="O83" s="8">
        <f t="shared" si="12"/>
        <v>0</v>
      </c>
      <c r="P83" s="8">
        <f t="shared" si="12"/>
        <v>0</v>
      </c>
      <c r="Q83" s="8">
        <f t="shared" si="12"/>
        <v>0</v>
      </c>
      <c r="R83" s="8">
        <f t="shared" si="12"/>
        <v>0</v>
      </c>
      <c r="S83" s="8">
        <f t="shared" si="12"/>
        <v>0</v>
      </c>
      <c r="T83" s="8">
        <f t="shared" si="12"/>
        <v>0</v>
      </c>
      <c r="U83" s="8">
        <f t="shared" si="12"/>
        <v>0</v>
      </c>
      <c r="V83" s="8">
        <f t="shared" si="12"/>
        <v>0</v>
      </c>
      <c r="W83" s="8">
        <f t="shared" si="12"/>
        <v>0</v>
      </c>
      <c r="X83" s="8">
        <f t="shared" si="12"/>
        <v>0</v>
      </c>
      <c r="Y83" s="8">
        <f t="shared" si="12"/>
        <v>0</v>
      </c>
      <c r="Z83" s="8">
        <f t="shared" si="12"/>
        <v>0</v>
      </c>
      <c r="AA83" s="8">
        <f t="shared" si="12"/>
        <v>0</v>
      </c>
      <c r="AB83" s="8">
        <f t="shared" si="12"/>
        <v>0</v>
      </c>
      <c r="AC83" s="8">
        <f t="shared" si="12"/>
        <v>0</v>
      </c>
      <c r="AD83" s="8">
        <f t="shared" si="12"/>
        <v>0</v>
      </c>
      <c r="AE83" s="8">
        <f t="shared" si="12"/>
        <v>0</v>
      </c>
      <c r="AF83" s="8">
        <f t="shared" si="12"/>
        <v>0</v>
      </c>
      <c r="AG83" s="5">
        <f t="shared" si="5"/>
        <v>0</v>
      </c>
    </row>
    <row r="84" spans="1:34" ht="15.75" customHeight="1" thickBot="1" x14ac:dyDescent="0.3">
      <c r="A84" s="67" t="s">
        <v>32</v>
      </c>
      <c r="B84" s="14">
        <f t="shared" ref="B84:AF84" si="13">SUM(B85:B86)</f>
        <v>0</v>
      </c>
      <c r="C84" s="14">
        <f t="shared" si="13"/>
        <v>0</v>
      </c>
      <c r="D84" s="14">
        <f t="shared" si="13"/>
        <v>0</v>
      </c>
      <c r="E84" s="14">
        <f t="shared" si="13"/>
        <v>0</v>
      </c>
      <c r="F84" s="14">
        <f t="shared" si="13"/>
        <v>0</v>
      </c>
      <c r="G84" s="14">
        <f t="shared" si="13"/>
        <v>0</v>
      </c>
      <c r="H84" s="14">
        <f t="shared" si="13"/>
        <v>0</v>
      </c>
      <c r="I84" s="14">
        <f t="shared" si="13"/>
        <v>0</v>
      </c>
      <c r="J84" s="14">
        <f t="shared" si="13"/>
        <v>0</v>
      </c>
      <c r="K84" s="14">
        <f t="shared" si="13"/>
        <v>0</v>
      </c>
      <c r="L84" s="14">
        <f t="shared" si="13"/>
        <v>0</v>
      </c>
      <c r="M84" s="14">
        <f t="shared" si="13"/>
        <v>0</v>
      </c>
      <c r="N84" s="14">
        <f t="shared" si="13"/>
        <v>0</v>
      </c>
      <c r="O84" s="14">
        <f t="shared" si="13"/>
        <v>0</v>
      </c>
      <c r="P84" s="14">
        <f t="shared" si="13"/>
        <v>0</v>
      </c>
      <c r="Q84" s="14">
        <f t="shared" si="13"/>
        <v>0</v>
      </c>
      <c r="R84" s="14">
        <f t="shared" si="13"/>
        <v>0</v>
      </c>
      <c r="S84" s="14">
        <f t="shared" si="13"/>
        <v>0</v>
      </c>
      <c r="T84" s="14">
        <f t="shared" si="13"/>
        <v>0</v>
      </c>
      <c r="U84" s="14">
        <f t="shared" si="13"/>
        <v>0</v>
      </c>
      <c r="V84" s="14">
        <f t="shared" si="13"/>
        <v>0</v>
      </c>
      <c r="W84" s="14">
        <f t="shared" si="13"/>
        <v>0</v>
      </c>
      <c r="X84" s="14">
        <f t="shared" si="13"/>
        <v>0</v>
      </c>
      <c r="Y84" s="14">
        <f t="shared" si="13"/>
        <v>0</v>
      </c>
      <c r="Z84" s="14">
        <f t="shared" si="13"/>
        <v>0</v>
      </c>
      <c r="AA84" s="14">
        <f t="shared" si="13"/>
        <v>0</v>
      </c>
      <c r="AB84" s="14">
        <f t="shared" si="13"/>
        <v>0</v>
      </c>
      <c r="AC84" s="14">
        <f t="shared" si="13"/>
        <v>0</v>
      </c>
      <c r="AD84" s="14">
        <f t="shared" si="13"/>
        <v>0</v>
      </c>
      <c r="AE84" s="14">
        <f t="shared" si="13"/>
        <v>0</v>
      </c>
      <c r="AF84" s="14">
        <f t="shared" si="13"/>
        <v>0</v>
      </c>
      <c r="AG84" s="15">
        <f t="shared" si="5"/>
        <v>0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16">
        <f t="shared" si="5"/>
        <v>0</v>
      </c>
    </row>
    <row r="86" spans="1:34" ht="15.75" customHeight="1" thickBot="1" x14ac:dyDescent="0.3">
      <c r="A86" s="70" t="s">
        <v>34</v>
      </c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17">
        <f t="shared" si="5"/>
        <v>0</v>
      </c>
    </row>
    <row r="87" spans="1:34" ht="15.75" customHeight="1" thickBot="1" x14ac:dyDescent="0.3">
      <c r="A87" s="72" t="s">
        <v>35</v>
      </c>
      <c r="B87" s="18">
        <f t="shared" ref="B87:AF87" si="14">SUM(B88:B92)</f>
        <v>0</v>
      </c>
      <c r="C87" s="18">
        <f t="shared" si="14"/>
        <v>0</v>
      </c>
      <c r="D87" s="18">
        <f t="shared" si="14"/>
        <v>0</v>
      </c>
      <c r="E87" s="18">
        <f t="shared" si="14"/>
        <v>0</v>
      </c>
      <c r="F87" s="18">
        <f t="shared" si="14"/>
        <v>0</v>
      </c>
      <c r="G87" s="18">
        <f t="shared" si="14"/>
        <v>0</v>
      </c>
      <c r="H87" s="18">
        <f t="shared" si="14"/>
        <v>0</v>
      </c>
      <c r="I87" s="18">
        <f t="shared" si="14"/>
        <v>0</v>
      </c>
      <c r="J87" s="18">
        <f t="shared" si="14"/>
        <v>0</v>
      </c>
      <c r="K87" s="18">
        <f t="shared" si="14"/>
        <v>0</v>
      </c>
      <c r="L87" s="18">
        <f t="shared" si="14"/>
        <v>0</v>
      </c>
      <c r="M87" s="18">
        <f t="shared" si="14"/>
        <v>0</v>
      </c>
      <c r="N87" s="18">
        <f t="shared" si="14"/>
        <v>0</v>
      </c>
      <c r="O87" s="18">
        <f t="shared" si="14"/>
        <v>0</v>
      </c>
      <c r="P87" s="18">
        <f t="shared" si="14"/>
        <v>0</v>
      </c>
      <c r="Q87" s="18">
        <f t="shared" si="14"/>
        <v>0</v>
      </c>
      <c r="R87" s="18">
        <f t="shared" si="14"/>
        <v>0</v>
      </c>
      <c r="S87" s="18">
        <f t="shared" si="14"/>
        <v>0</v>
      </c>
      <c r="T87" s="18">
        <f t="shared" si="14"/>
        <v>0</v>
      </c>
      <c r="U87" s="18">
        <f t="shared" si="14"/>
        <v>0</v>
      </c>
      <c r="V87" s="18">
        <f t="shared" si="14"/>
        <v>0</v>
      </c>
      <c r="W87" s="18">
        <f t="shared" si="14"/>
        <v>0</v>
      </c>
      <c r="X87" s="18">
        <f t="shared" si="14"/>
        <v>0</v>
      </c>
      <c r="Y87" s="18">
        <f t="shared" si="14"/>
        <v>0</v>
      </c>
      <c r="Z87" s="18">
        <f t="shared" si="14"/>
        <v>0</v>
      </c>
      <c r="AA87" s="18">
        <f t="shared" si="14"/>
        <v>0</v>
      </c>
      <c r="AB87" s="18">
        <f t="shared" si="14"/>
        <v>0</v>
      </c>
      <c r="AC87" s="18">
        <f t="shared" si="14"/>
        <v>0</v>
      </c>
      <c r="AD87" s="18">
        <f t="shared" si="14"/>
        <v>0</v>
      </c>
      <c r="AE87" s="18">
        <f t="shared" si="14"/>
        <v>0</v>
      </c>
      <c r="AF87" s="18">
        <f t="shared" si="14"/>
        <v>0</v>
      </c>
      <c r="AG87" s="19">
        <f t="shared" si="5"/>
        <v>0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4">
        <f t="shared" si="5"/>
        <v>0</v>
      </c>
    </row>
    <row r="89" spans="1:34" ht="15.75" customHeight="1" x14ac:dyDescent="0.25">
      <c r="A89" s="74" t="s">
        <v>37</v>
      </c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5">
        <f t="shared" si="5"/>
        <v>0</v>
      </c>
    </row>
    <row r="90" spans="1:34" ht="15.75" customHeight="1" x14ac:dyDescent="0.25">
      <c r="A90" s="74" t="s">
        <v>38</v>
      </c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5">
        <f t="shared" si="5"/>
        <v>0</v>
      </c>
    </row>
    <row r="91" spans="1:34" ht="15.75" customHeight="1" x14ac:dyDescent="0.25">
      <c r="A91" s="74" t="s">
        <v>39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5">
        <f t="shared" si="5"/>
        <v>0</v>
      </c>
    </row>
    <row r="92" spans="1:34" ht="15.75" customHeight="1" thickBot="1" x14ac:dyDescent="0.3">
      <c r="A92" s="74" t="s">
        <v>40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5">
        <f t="shared" si="5"/>
        <v>0</v>
      </c>
    </row>
    <row r="93" spans="1:34" ht="15.75" customHeight="1" x14ac:dyDescent="0.25">
      <c r="A93" s="75" t="s">
        <v>41</v>
      </c>
      <c r="B93" s="20">
        <f t="shared" ref="B93:AF93" si="15">+B94+B100</f>
        <v>0</v>
      </c>
      <c r="C93" s="20">
        <f t="shared" si="15"/>
        <v>0</v>
      </c>
      <c r="D93" s="20">
        <f t="shared" si="15"/>
        <v>0</v>
      </c>
      <c r="E93" s="20">
        <f t="shared" si="15"/>
        <v>0</v>
      </c>
      <c r="F93" s="20">
        <f t="shared" si="15"/>
        <v>0</v>
      </c>
      <c r="G93" s="20">
        <f t="shared" si="15"/>
        <v>0</v>
      </c>
      <c r="H93" s="20">
        <f t="shared" si="15"/>
        <v>0</v>
      </c>
      <c r="I93" s="20">
        <f t="shared" si="15"/>
        <v>0</v>
      </c>
      <c r="J93" s="20">
        <f t="shared" si="15"/>
        <v>0</v>
      </c>
      <c r="K93" s="20">
        <f t="shared" si="15"/>
        <v>0</v>
      </c>
      <c r="L93" s="20">
        <f t="shared" si="15"/>
        <v>0</v>
      </c>
      <c r="M93" s="20">
        <f t="shared" si="15"/>
        <v>0</v>
      </c>
      <c r="N93" s="20">
        <f t="shared" si="15"/>
        <v>0</v>
      </c>
      <c r="O93" s="20">
        <f t="shared" si="15"/>
        <v>0</v>
      </c>
      <c r="P93" s="20">
        <f t="shared" si="15"/>
        <v>0</v>
      </c>
      <c r="Q93" s="20">
        <f t="shared" si="15"/>
        <v>0</v>
      </c>
      <c r="R93" s="20">
        <f t="shared" si="15"/>
        <v>0</v>
      </c>
      <c r="S93" s="20">
        <f t="shared" si="15"/>
        <v>0</v>
      </c>
      <c r="T93" s="20">
        <f t="shared" si="15"/>
        <v>0</v>
      </c>
      <c r="U93" s="20">
        <f t="shared" si="15"/>
        <v>0</v>
      </c>
      <c r="V93" s="20">
        <f t="shared" si="15"/>
        <v>0</v>
      </c>
      <c r="W93" s="20">
        <f t="shared" si="15"/>
        <v>0</v>
      </c>
      <c r="X93" s="20">
        <f t="shared" si="15"/>
        <v>0</v>
      </c>
      <c r="Y93" s="20">
        <f t="shared" si="15"/>
        <v>0</v>
      </c>
      <c r="Z93" s="20">
        <f t="shared" si="15"/>
        <v>0</v>
      </c>
      <c r="AA93" s="20">
        <f t="shared" si="15"/>
        <v>0</v>
      </c>
      <c r="AB93" s="20">
        <f t="shared" si="15"/>
        <v>0</v>
      </c>
      <c r="AC93" s="20">
        <f t="shared" si="15"/>
        <v>0</v>
      </c>
      <c r="AD93" s="20">
        <f t="shared" si="15"/>
        <v>0</v>
      </c>
      <c r="AE93" s="20">
        <f t="shared" si="15"/>
        <v>0</v>
      </c>
      <c r="AF93" s="20">
        <f t="shared" si="15"/>
        <v>0</v>
      </c>
      <c r="AG93" s="5">
        <f t="shared" si="5"/>
        <v>0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0</v>
      </c>
      <c r="C94" s="21">
        <f t="shared" si="16"/>
        <v>0</v>
      </c>
      <c r="D94" s="21">
        <f t="shared" si="16"/>
        <v>0</v>
      </c>
      <c r="E94" s="21">
        <f t="shared" si="16"/>
        <v>0</v>
      </c>
      <c r="F94" s="21">
        <f t="shared" si="16"/>
        <v>0</v>
      </c>
      <c r="G94" s="21">
        <f t="shared" si="16"/>
        <v>0</v>
      </c>
      <c r="H94" s="21">
        <f t="shared" si="16"/>
        <v>0</v>
      </c>
      <c r="I94" s="21">
        <f t="shared" si="16"/>
        <v>0</v>
      </c>
      <c r="J94" s="21">
        <f t="shared" si="16"/>
        <v>0</v>
      </c>
      <c r="K94" s="21">
        <f t="shared" si="16"/>
        <v>0</v>
      </c>
      <c r="L94" s="21">
        <f t="shared" si="16"/>
        <v>0</v>
      </c>
      <c r="M94" s="21">
        <f t="shared" si="16"/>
        <v>0</v>
      </c>
      <c r="N94" s="21">
        <f t="shared" si="16"/>
        <v>0</v>
      </c>
      <c r="O94" s="21">
        <f t="shared" si="16"/>
        <v>0</v>
      </c>
      <c r="P94" s="21">
        <f t="shared" si="16"/>
        <v>0</v>
      </c>
      <c r="Q94" s="21">
        <f t="shared" si="16"/>
        <v>0</v>
      </c>
      <c r="R94" s="21">
        <f t="shared" si="16"/>
        <v>0</v>
      </c>
      <c r="S94" s="21">
        <f t="shared" si="16"/>
        <v>0</v>
      </c>
      <c r="T94" s="21">
        <f t="shared" si="16"/>
        <v>0</v>
      </c>
      <c r="U94" s="21">
        <f t="shared" si="16"/>
        <v>0</v>
      </c>
      <c r="V94" s="21">
        <f t="shared" si="16"/>
        <v>0</v>
      </c>
      <c r="W94" s="21">
        <f t="shared" si="16"/>
        <v>0</v>
      </c>
      <c r="X94" s="21">
        <f t="shared" si="16"/>
        <v>0</v>
      </c>
      <c r="Y94" s="21">
        <f t="shared" si="16"/>
        <v>0</v>
      </c>
      <c r="Z94" s="21">
        <f t="shared" si="16"/>
        <v>0</v>
      </c>
      <c r="AA94" s="21">
        <f t="shared" si="16"/>
        <v>0</v>
      </c>
      <c r="AB94" s="21">
        <f t="shared" si="16"/>
        <v>0</v>
      </c>
      <c r="AC94" s="21">
        <f t="shared" si="16"/>
        <v>0</v>
      </c>
      <c r="AD94" s="21">
        <f t="shared" si="16"/>
        <v>0</v>
      </c>
      <c r="AE94" s="21">
        <f t="shared" si="16"/>
        <v>0</v>
      </c>
      <c r="AF94" s="21">
        <f t="shared" si="16"/>
        <v>0</v>
      </c>
      <c r="AG94" s="5">
        <f t="shared" si="5"/>
        <v>0</v>
      </c>
    </row>
    <row r="95" spans="1:34" ht="15.75" customHeight="1" x14ac:dyDescent="0.25">
      <c r="A95" s="78" t="s">
        <v>43</v>
      </c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">
        <f t="shared" si="5"/>
        <v>0</v>
      </c>
    </row>
    <row r="96" spans="1:34" ht="15.75" customHeight="1" x14ac:dyDescent="0.25">
      <c r="A96" s="79" t="s">
        <v>44</v>
      </c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">
        <f t="shared" si="5"/>
        <v>0</v>
      </c>
    </row>
    <row r="97" spans="1:33" ht="15.75" customHeight="1" x14ac:dyDescent="0.25">
      <c r="A97" s="80" t="s">
        <v>45</v>
      </c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">
        <f t="shared" si="5"/>
        <v>0</v>
      </c>
    </row>
    <row r="98" spans="1:33" ht="15.75" customHeight="1" x14ac:dyDescent="0.25">
      <c r="A98" s="81" t="s">
        <v>46</v>
      </c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">
        <f t="shared" si="5"/>
        <v>0</v>
      </c>
    </row>
    <row r="99" spans="1:33" ht="15.75" customHeight="1" x14ac:dyDescent="0.25">
      <c r="A99" s="82" t="s">
        <v>47</v>
      </c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">
        <f t="shared" ref="AG99:AG162" si="17">SUM(B99:AF99)</f>
        <v>0</v>
      </c>
    </row>
    <row r="100" spans="1:33" ht="15.75" customHeight="1" x14ac:dyDescent="0.25">
      <c r="A100" s="76" t="s">
        <v>48</v>
      </c>
      <c r="B100" s="21">
        <f t="shared" ref="B100:AF100" si="18">SUM(B101:B115)</f>
        <v>0</v>
      </c>
      <c r="C100" s="21">
        <f t="shared" si="18"/>
        <v>0</v>
      </c>
      <c r="D100" s="21">
        <f t="shared" si="18"/>
        <v>0</v>
      </c>
      <c r="E100" s="21">
        <f t="shared" si="18"/>
        <v>0</v>
      </c>
      <c r="F100" s="21">
        <f t="shared" si="18"/>
        <v>0</v>
      </c>
      <c r="G100" s="21">
        <f t="shared" si="18"/>
        <v>0</v>
      </c>
      <c r="H100" s="21">
        <f t="shared" si="18"/>
        <v>0</v>
      </c>
      <c r="I100" s="21">
        <f t="shared" si="18"/>
        <v>0</v>
      </c>
      <c r="J100" s="21">
        <f t="shared" si="18"/>
        <v>0</v>
      </c>
      <c r="K100" s="21">
        <f t="shared" si="18"/>
        <v>0</v>
      </c>
      <c r="L100" s="21">
        <f t="shared" si="18"/>
        <v>0</v>
      </c>
      <c r="M100" s="21">
        <f t="shared" si="18"/>
        <v>0</v>
      </c>
      <c r="N100" s="21">
        <f t="shared" si="18"/>
        <v>0</v>
      </c>
      <c r="O100" s="21">
        <f t="shared" si="18"/>
        <v>0</v>
      </c>
      <c r="P100" s="21">
        <f t="shared" si="18"/>
        <v>0</v>
      </c>
      <c r="Q100" s="21">
        <f t="shared" si="18"/>
        <v>0</v>
      </c>
      <c r="R100" s="21">
        <f t="shared" si="18"/>
        <v>0</v>
      </c>
      <c r="S100" s="21">
        <f t="shared" si="18"/>
        <v>0</v>
      </c>
      <c r="T100" s="21">
        <f t="shared" si="18"/>
        <v>0</v>
      </c>
      <c r="U100" s="21">
        <f t="shared" si="18"/>
        <v>0</v>
      </c>
      <c r="V100" s="21">
        <f t="shared" si="18"/>
        <v>0</v>
      </c>
      <c r="W100" s="21">
        <f t="shared" si="18"/>
        <v>0</v>
      </c>
      <c r="X100" s="21">
        <f t="shared" si="18"/>
        <v>0</v>
      </c>
      <c r="Y100" s="21">
        <f t="shared" si="18"/>
        <v>0</v>
      </c>
      <c r="Z100" s="21">
        <f t="shared" si="18"/>
        <v>0</v>
      </c>
      <c r="AA100" s="21">
        <f t="shared" si="18"/>
        <v>0</v>
      </c>
      <c r="AB100" s="21">
        <f t="shared" si="18"/>
        <v>0</v>
      </c>
      <c r="AC100" s="21">
        <f t="shared" si="18"/>
        <v>0</v>
      </c>
      <c r="AD100" s="21">
        <f t="shared" si="18"/>
        <v>0</v>
      </c>
      <c r="AE100" s="21">
        <f t="shared" si="18"/>
        <v>0</v>
      </c>
      <c r="AF100" s="21">
        <f t="shared" si="18"/>
        <v>0</v>
      </c>
      <c r="AG100" s="5">
        <f t="shared" si="17"/>
        <v>0</v>
      </c>
    </row>
    <row r="101" spans="1:33" ht="15.75" customHeight="1" x14ac:dyDescent="0.25">
      <c r="A101" s="82" t="s">
        <v>49</v>
      </c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">
        <f t="shared" si="17"/>
        <v>0</v>
      </c>
    </row>
    <row r="102" spans="1:33" ht="15.75" customHeight="1" x14ac:dyDescent="0.25">
      <c r="A102" s="82" t="s">
        <v>50</v>
      </c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">
        <f t="shared" si="17"/>
        <v>0</v>
      </c>
    </row>
    <row r="103" spans="1:33" ht="15.75" customHeight="1" x14ac:dyDescent="0.25">
      <c r="A103" s="78" t="s">
        <v>51</v>
      </c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">
        <f t="shared" si="17"/>
        <v>0</v>
      </c>
    </row>
    <row r="104" spans="1:33" ht="15.75" customHeight="1" x14ac:dyDescent="0.25">
      <c r="A104" s="78" t="s">
        <v>52</v>
      </c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">
        <f t="shared" si="17"/>
        <v>0</v>
      </c>
    </row>
    <row r="105" spans="1:33" ht="15.75" customHeight="1" x14ac:dyDescent="0.25">
      <c r="A105" s="78" t="s">
        <v>53</v>
      </c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">
        <f t="shared" si="17"/>
        <v>0</v>
      </c>
    </row>
    <row r="106" spans="1:33" ht="15.75" customHeight="1" x14ac:dyDescent="0.25">
      <c r="A106" s="78" t="s">
        <v>54</v>
      </c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">
        <f t="shared" si="17"/>
        <v>0</v>
      </c>
    </row>
    <row r="107" spans="1:33" ht="15.75" customHeight="1" x14ac:dyDescent="0.25">
      <c r="A107" s="78" t="s">
        <v>55</v>
      </c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">
        <f t="shared" si="17"/>
        <v>0</v>
      </c>
    </row>
    <row r="108" spans="1:33" ht="15.75" customHeight="1" x14ac:dyDescent="0.25">
      <c r="A108" s="78" t="s">
        <v>56</v>
      </c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">
        <f t="shared" si="17"/>
        <v>0</v>
      </c>
    </row>
    <row r="109" spans="1:33" ht="15.75" customHeight="1" x14ac:dyDescent="0.25">
      <c r="A109" s="78" t="s">
        <v>57</v>
      </c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">
        <f t="shared" si="17"/>
        <v>0</v>
      </c>
    </row>
    <row r="110" spans="1:33" ht="15.75" customHeight="1" x14ac:dyDescent="0.25">
      <c r="A110" s="78" t="s">
        <v>58</v>
      </c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">
        <f t="shared" si="17"/>
        <v>0</v>
      </c>
    </row>
    <row r="111" spans="1:33" ht="15.75" customHeight="1" x14ac:dyDescent="0.25">
      <c r="A111" s="78" t="s">
        <v>59</v>
      </c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">
        <f t="shared" si="17"/>
        <v>0</v>
      </c>
    </row>
    <row r="112" spans="1:33" ht="15.75" customHeight="1" x14ac:dyDescent="0.25">
      <c r="A112" s="78" t="s">
        <v>60</v>
      </c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">
        <f t="shared" si="17"/>
        <v>0</v>
      </c>
    </row>
    <row r="113" spans="1:37" ht="15.75" customHeight="1" x14ac:dyDescent="0.25">
      <c r="A113" s="78" t="s">
        <v>61</v>
      </c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">
        <f t="shared" si="17"/>
        <v>0</v>
      </c>
    </row>
    <row r="114" spans="1:37" ht="15.75" customHeight="1" x14ac:dyDescent="0.25">
      <c r="A114" s="78" t="s">
        <v>62</v>
      </c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">
        <f t="shared" si="17"/>
        <v>0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0</v>
      </c>
      <c r="C116" s="20">
        <f t="shared" si="19"/>
        <v>0</v>
      </c>
      <c r="D116" s="20">
        <f t="shared" si="19"/>
        <v>0</v>
      </c>
      <c r="E116" s="20">
        <f t="shared" si="19"/>
        <v>0</v>
      </c>
      <c r="F116" s="20">
        <f t="shared" si="19"/>
        <v>0</v>
      </c>
      <c r="G116" s="20">
        <f t="shared" si="19"/>
        <v>0</v>
      </c>
      <c r="H116" s="20">
        <f t="shared" si="19"/>
        <v>0</v>
      </c>
      <c r="I116" s="20">
        <f t="shared" si="19"/>
        <v>0</v>
      </c>
      <c r="J116" s="20">
        <f t="shared" si="19"/>
        <v>0</v>
      </c>
      <c r="K116" s="20">
        <f t="shared" si="19"/>
        <v>0</v>
      </c>
      <c r="L116" s="20">
        <f t="shared" si="19"/>
        <v>0</v>
      </c>
      <c r="M116" s="20">
        <f t="shared" si="19"/>
        <v>0</v>
      </c>
      <c r="N116" s="20">
        <f t="shared" si="19"/>
        <v>0</v>
      </c>
      <c r="O116" s="20">
        <f t="shared" si="19"/>
        <v>0</v>
      </c>
      <c r="P116" s="20">
        <f t="shared" si="19"/>
        <v>0</v>
      </c>
      <c r="Q116" s="20">
        <f t="shared" si="19"/>
        <v>0</v>
      </c>
      <c r="R116" s="20">
        <f t="shared" si="19"/>
        <v>0</v>
      </c>
      <c r="S116" s="20">
        <f t="shared" si="19"/>
        <v>0</v>
      </c>
      <c r="T116" s="20">
        <f t="shared" si="19"/>
        <v>0</v>
      </c>
      <c r="U116" s="20">
        <f t="shared" si="19"/>
        <v>0</v>
      </c>
      <c r="V116" s="20">
        <f t="shared" si="19"/>
        <v>0</v>
      </c>
      <c r="W116" s="20">
        <f t="shared" si="19"/>
        <v>0</v>
      </c>
      <c r="X116" s="20">
        <f t="shared" si="19"/>
        <v>0</v>
      </c>
      <c r="Y116" s="20">
        <f t="shared" si="19"/>
        <v>0</v>
      </c>
      <c r="Z116" s="20">
        <f t="shared" si="19"/>
        <v>0</v>
      </c>
      <c r="AA116" s="20">
        <f t="shared" si="19"/>
        <v>0</v>
      </c>
      <c r="AB116" s="20">
        <f t="shared" si="19"/>
        <v>0</v>
      </c>
      <c r="AC116" s="20">
        <f t="shared" si="19"/>
        <v>0</v>
      </c>
      <c r="AD116" s="20">
        <f t="shared" si="19"/>
        <v>0</v>
      </c>
      <c r="AE116" s="20">
        <f t="shared" si="19"/>
        <v>0</v>
      </c>
      <c r="AF116" s="20">
        <f t="shared" si="19"/>
        <v>0</v>
      </c>
      <c r="AG116" s="5">
        <f t="shared" si="17"/>
        <v>0</v>
      </c>
      <c r="AK116" s="84">
        <v>612</v>
      </c>
    </row>
    <row r="117" spans="1:37" ht="15.75" customHeight="1" x14ac:dyDescent="0.25">
      <c r="A117" s="85" t="s">
        <v>64</v>
      </c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">
        <f t="shared" si="17"/>
        <v>0</v>
      </c>
      <c r="AK117" s="84">
        <v>613</v>
      </c>
    </row>
    <row r="118" spans="1:37" ht="15.75" customHeight="1" thickBot="1" x14ac:dyDescent="0.3">
      <c r="A118" s="86" t="s">
        <v>76</v>
      </c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7"/>
      <c r="AF118" s="87"/>
      <c r="AG118" s="5">
        <f t="shared" si="17"/>
        <v>0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0</v>
      </c>
      <c r="C119" s="20">
        <f t="shared" si="20"/>
        <v>0</v>
      </c>
      <c r="D119" s="20">
        <f t="shared" si="20"/>
        <v>0</v>
      </c>
      <c r="E119" s="20">
        <f t="shared" si="20"/>
        <v>0</v>
      </c>
      <c r="F119" s="20">
        <f t="shared" si="20"/>
        <v>0</v>
      </c>
      <c r="G119" s="20">
        <f t="shared" si="20"/>
        <v>0</v>
      </c>
      <c r="H119" s="20">
        <f t="shared" si="20"/>
        <v>0</v>
      </c>
      <c r="I119" s="20">
        <f t="shared" si="20"/>
        <v>0</v>
      </c>
      <c r="J119" s="20">
        <f t="shared" si="20"/>
        <v>0</v>
      </c>
      <c r="K119" s="20">
        <f t="shared" si="20"/>
        <v>0</v>
      </c>
      <c r="L119" s="20">
        <f t="shared" si="20"/>
        <v>0</v>
      </c>
      <c r="M119" s="20">
        <f t="shared" si="20"/>
        <v>0</v>
      </c>
      <c r="N119" s="20">
        <f t="shared" si="20"/>
        <v>0</v>
      </c>
      <c r="O119" s="20">
        <f t="shared" si="20"/>
        <v>0</v>
      </c>
      <c r="P119" s="20">
        <f t="shared" si="20"/>
        <v>0</v>
      </c>
      <c r="Q119" s="20">
        <f t="shared" si="20"/>
        <v>0</v>
      </c>
      <c r="R119" s="20">
        <f t="shared" si="20"/>
        <v>0</v>
      </c>
      <c r="S119" s="20">
        <f t="shared" si="20"/>
        <v>0</v>
      </c>
      <c r="T119" s="20">
        <f t="shared" si="20"/>
        <v>0</v>
      </c>
      <c r="U119" s="20">
        <f t="shared" si="20"/>
        <v>0</v>
      </c>
      <c r="V119" s="20">
        <f t="shared" si="20"/>
        <v>0</v>
      </c>
      <c r="W119" s="20">
        <f t="shared" si="20"/>
        <v>0</v>
      </c>
      <c r="X119" s="20">
        <f t="shared" si="20"/>
        <v>0</v>
      </c>
      <c r="Y119" s="20">
        <f t="shared" si="20"/>
        <v>0</v>
      </c>
      <c r="Z119" s="20">
        <f t="shared" si="20"/>
        <v>0</v>
      </c>
      <c r="AA119" s="20">
        <f t="shared" si="20"/>
        <v>0</v>
      </c>
      <c r="AB119" s="20">
        <f t="shared" si="20"/>
        <v>0</v>
      </c>
      <c r="AC119" s="20">
        <f t="shared" si="20"/>
        <v>0</v>
      </c>
      <c r="AD119" s="20">
        <f t="shared" si="20"/>
        <v>0</v>
      </c>
      <c r="AE119" s="20">
        <f t="shared" si="20"/>
        <v>0</v>
      </c>
      <c r="AF119" s="20">
        <f t="shared" si="20"/>
        <v>0</v>
      </c>
      <c r="AG119" s="7">
        <f t="shared" si="17"/>
        <v>0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">
        <f t="shared" si="17"/>
        <v>0</v>
      </c>
      <c r="AK120" s="88" t="s">
        <v>130</v>
      </c>
    </row>
    <row r="121" spans="1:37" ht="15.75" customHeight="1" x14ac:dyDescent="0.25">
      <c r="A121" s="85" t="s">
        <v>65</v>
      </c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">
        <f t="shared" si="17"/>
        <v>0</v>
      </c>
      <c r="AK121" s="84" t="s">
        <v>131</v>
      </c>
    </row>
    <row r="122" spans="1:37" ht="15.75" customHeight="1" x14ac:dyDescent="0.25">
      <c r="A122" s="85" t="s">
        <v>66</v>
      </c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">
        <f t="shared" si="17"/>
        <v>0</v>
      </c>
      <c r="AK122" s="88" t="s">
        <v>132</v>
      </c>
    </row>
    <row r="123" spans="1:37" ht="15.75" customHeight="1" x14ac:dyDescent="0.25">
      <c r="A123" s="85" t="s">
        <v>67</v>
      </c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">
        <f t="shared" si="17"/>
        <v>0</v>
      </c>
      <c r="AK123" s="84" t="s">
        <v>133</v>
      </c>
    </row>
    <row r="124" spans="1:37" ht="15.75" customHeight="1" x14ac:dyDescent="0.25">
      <c r="A124" s="85" t="s">
        <v>68</v>
      </c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">
        <f t="shared" si="17"/>
        <v>0</v>
      </c>
      <c r="AK124" s="88" t="s">
        <v>134</v>
      </c>
    </row>
    <row r="125" spans="1:37" ht="15.75" customHeight="1" x14ac:dyDescent="0.25">
      <c r="A125" s="85" t="s">
        <v>69</v>
      </c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">
        <f t="shared" si="17"/>
        <v>0</v>
      </c>
      <c r="AK125" s="88" t="s">
        <v>135</v>
      </c>
    </row>
    <row r="126" spans="1:37" ht="15.75" customHeight="1" x14ac:dyDescent="0.25">
      <c r="A126" s="85" t="s">
        <v>70</v>
      </c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">
        <f t="shared" si="17"/>
        <v>0</v>
      </c>
      <c r="AK126" s="84" t="s">
        <v>136</v>
      </c>
    </row>
    <row r="127" spans="1:37" ht="15.75" customHeight="1" x14ac:dyDescent="0.25">
      <c r="A127" s="85" t="s">
        <v>71</v>
      </c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">
        <f t="shared" si="17"/>
        <v>0</v>
      </c>
      <c r="AK127" s="88" t="s">
        <v>137</v>
      </c>
    </row>
    <row r="128" spans="1:37" ht="15.75" customHeight="1" x14ac:dyDescent="0.25">
      <c r="A128" s="56" t="s">
        <v>72</v>
      </c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">
        <f t="shared" si="17"/>
        <v>0</v>
      </c>
      <c r="AK128" s="88" t="s">
        <v>138</v>
      </c>
    </row>
    <row r="129" spans="1:37" ht="15.75" customHeight="1" x14ac:dyDescent="0.25">
      <c r="A129" s="56" t="s">
        <v>73</v>
      </c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">
        <f t="shared" si="17"/>
        <v>0</v>
      </c>
      <c r="AK129" s="84" t="s">
        <v>139</v>
      </c>
    </row>
    <row r="130" spans="1:37" ht="15.75" customHeight="1" x14ac:dyDescent="0.25">
      <c r="A130" s="56" t="s">
        <v>74</v>
      </c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">
        <f t="shared" si="17"/>
        <v>0</v>
      </c>
      <c r="AK130" s="84" t="s">
        <v>140</v>
      </c>
    </row>
    <row r="131" spans="1:37" ht="15.75" customHeight="1" x14ac:dyDescent="0.25">
      <c r="A131" s="85" t="s">
        <v>75</v>
      </c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">
        <f t="shared" si="17"/>
        <v>0</v>
      </c>
      <c r="AK131" s="84" t="s">
        <v>141</v>
      </c>
    </row>
    <row r="132" spans="1:37" ht="15.75" customHeight="1" thickBot="1" x14ac:dyDescent="0.3">
      <c r="A132" s="86" t="s">
        <v>76</v>
      </c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7"/>
      <c r="AD132" s="87"/>
      <c r="AE132" s="87"/>
      <c r="AF132" s="87"/>
      <c r="AG132" s="9">
        <f t="shared" si="17"/>
        <v>0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0</v>
      </c>
      <c r="C133" s="14">
        <f t="shared" si="21"/>
        <v>0</v>
      </c>
      <c r="D133" s="14">
        <f t="shared" si="21"/>
        <v>0</v>
      </c>
      <c r="E133" s="14">
        <f t="shared" si="21"/>
        <v>0</v>
      </c>
      <c r="F133" s="14">
        <f t="shared" si="21"/>
        <v>0</v>
      </c>
      <c r="G133" s="14">
        <f t="shared" si="21"/>
        <v>0</v>
      </c>
      <c r="H133" s="14">
        <f t="shared" si="21"/>
        <v>0</v>
      </c>
      <c r="I133" s="14">
        <f t="shared" si="21"/>
        <v>0</v>
      </c>
      <c r="J133" s="14">
        <f t="shared" si="21"/>
        <v>0</v>
      </c>
      <c r="K133" s="14">
        <f t="shared" si="21"/>
        <v>0</v>
      </c>
      <c r="L133" s="14">
        <f t="shared" si="21"/>
        <v>0</v>
      </c>
      <c r="M133" s="14">
        <f t="shared" si="21"/>
        <v>0</v>
      </c>
      <c r="N133" s="14">
        <f t="shared" si="21"/>
        <v>0</v>
      </c>
      <c r="O133" s="14">
        <f t="shared" si="21"/>
        <v>0</v>
      </c>
      <c r="P133" s="14">
        <f t="shared" si="21"/>
        <v>0</v>
      </c>
      <c r="Q133" s="14">
        <f t="shared" si="21"/>
        <v>0</v>
      </c>
      <c r="R133" s="14">
        <f t="shared" si="21"/>
        <v>0</v>
      </c>
      <c r="S133" s="14">
        <f t="shared" si="21"/>
        <v>0</v>
      </c>
      <c r="T133" s="14">
        <f t="shared" si="21"/>
        <v>0</v>
      </c>
      <c r="U133" s="14">
        <f t="shared" si="21"/>
        <v>0</v>
      </c>
      <c r="V133" s="14">
        <f t="shared" si="21"/>
        <v>0</v>
      </c>
      <c r="W133" s="14">
        <f t="shared" si="21"/>
        <v>0</v>
      </c>
      <c r="X133" s="14">
        <f t="shared" si="21"/>
        <v>0</v>
      </c>
      <c r="Y133" s="14">
        <f t="shared" si="21"/>
        <v>0</v>
      </c>
      <c r="Z133" s="14">
        <f t="shared" si="21"/>
        <v>0</v>
      </c>
      <c r="AA133" s="14">
        <f t="shared" si="21"/>
        <v>0</v>
      </c>
      <c r="AB133" s="14">
        <f t="shared" si="21"/>
        <v>0</v>
      </c>
      <c r="AC133" s="14">
        <f t="shared" si="21"/>
        <v>0</v>
      </c>
      <c r="AD133" s="14">
        <f t="shared" si="21"/>
        <v>0</v>
      </c>
      <c r="AE133" s="14">
        <f t="shared" si="21"/>
        <v>0</v>
      </c>
      <c r="AF133" s="14">
        <f t="shared" si="21"/>
        <v>0</v>
      </c>
      <c r="AG133" s="10">
        <f t="shared" si="17"/>
        <v>0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0</v>
      </c>
      <c r="C134" s="22">
        <f t="shared" si="22"/>
        <v>0</v>
      </c>
      <c r="D134" s="22">
        <f t="shared" si="22"/>
        <v>0</v>
      </c>
      <c r="E134" s="22">
        <f t="shared" si="22"/>
        <v>0</v>
      </c>
      <c r="F134" s="22">
        <f t="shared" si="22"/>
        <v>0</v>
      </c>
      <c r="G134" s="22">
        <f t="shared" si="22"/>
        <v>0</v>
      </c>
      <c r="H134" s="22">
        <f t="shared" si="22"/>
        <v>0</v>
      </c>
      <c r="I134" s="22">
        <f t="shared" si="22"/>
        <v>0</v>
      </c>
      <c r="J134" s="22">
        <f t="shared" si="22"/>
        <v>0</v>
      </c>
      <c r="K134" s="22">
        <f t="shared" si="22"/>
        <v>0</v>
      </c>
      <c r="L134" s="22">
        <f t="shared" si="22"/>
        <v>0</v>
      </c>
      <c r="M134" s="22">
        <f t="shared" si="22"/>
        <v>0</v>
      </c>
      <c r="N134" s="22">
        <f t="shared" si="22"/>
        <v>0</v>
      </c>
      <c r="O134" s="22">
        <f t="shared" si="22"/>
        <v>0</v>
      </c>
      <c r="P134" s="22">
        <f t="shared" si="22"/>
        <v>0</v>
      </c>
      <c r="Q134" s="22">
        <f t="shared" si="22"/>
        <v>0</v>
      </c>
      <c r="R134" s="22">
        <f t="shared" si="22"/>
        <v>0</v>
      </c>
      <c r="S134" s="22">
        <f t="shared" si="22"/>
        <v>0</v>
      </c>
      <c r="T134" s="22">
        <f t="shared" si="22"/>
        <v>0</v>
      </c>
      <c r="U134" s="22">
        <f t="shared" si="22"/>
        <v>0</v>
      </c>
      <c r="V134" s="22">
        <f t="shared" si="22"/>
        <v>0</v>
      </c>
      <c r="W134" s="22">
        <f t="shared" si="22"/>
        <v>0</v>
      </c>
      <c r="X134" s="22">
        <f t="shared" si="22"/>
        <v>0</v>
      </c>
      <c r="Y134" s="22">
        <f t="shared" si="22"/>
        <v>0</v>
      </c>
      <c r="Z134" s="22">
        <f t="shared" si="22"/>
        <v>0</v>
      </c>
      <c r="AA134" s="22">
        <f t="shared" si="22"/>
        <v>0</v>
      </c>
      <c r="AB134" s="22">
        <f t="shared" si="22"/>
        <v>0</v>
      </c>
      <c r="AC134" s="22">
        <f t="shared" si="22"/>
        <v>0</v>
      </c>
      <c r="AD134" s="22">
        <f t="shared" si="22"/>
        <v>0</v>
      </c>
      <c r="AE134" s="22">
        <f t="shared" si="22"/>
        <v>0</v>
      </c>
      <c r="AF134" s="22">
        <f t="shared" si="22"/>
        <v>0</v>
      </c>
      <c r="AG134" s="23">
        <f t="shared" si="17"/>
        <v>0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0</v>
      </c>
      <c r="E135" s="1">
        <f t="shared" si="23"/>
        <v>0</v>
      </c>
      <c r="F135" s="1">
        <f t="shared" si="23"/>
        <v>0</v>
      </c>
      <c r="G135" s="1">
        <f t="shared" si="23"/>
        <v>0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0</v>
      </c>
      <c r="M135" s="1">
        <f t="shared" si="23"/>
        <v>0</v>
      </c>
      <c r="N135" s="1">
        <f t="shared" si="23"/>
        <v>0</v>
      </c>
      <c r="O135" s="1">
        <f t="shared" si="23"/>
        <v>0</v>
      </c>
      <c r="P135" s="1">
        <f t="shared" si="23"/>
        <v>0</v>
      </c>
      <c r="Q135" s="1">
        <f t="shared" si="23"/>
        <v>0</v>
      </c>
      <c r="R135" s="1">
        <f t="shared" si="23"/>
        <v>0</v>
      </c>
      <c r="S135" s="1">
        <f t="shared" si="23"/>
        <v>0</v>
      </c>
      <c r="T135" s="1">
        <f t="shared" si="23"/>
        <v>0</v>
      </c>
      <c r="U135" s="1">
        <f t="shared" si="23"/>
        <v>0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0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  <c r="AF136" s="91"/>
      <c r="AG136" s="28">
        <f t="shared" si="17"/>
        <v>0</v>
      </c>
      <c r="AK136" s="84" t="s">
        <v>146</v>
      </c>
    </row>
    <row r="137" spans="1:37" ht="15.75" customHeight="1" x14ac:dyDescent="0.25">
      <c r="A137" s="92" t="s">
        <v>82</v>
      </c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29">
        <f t="shared" si="17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0</v>
      </c>
      <c r="C139" s="31">
        <f t="shared" si="24"/>
        <v>0</v>
      </c>
      <c r="D139" s="31">
        <f t="shared" si="24"/>
        <v>0</v>
      </c>
      <c r="E139" s="31">
        <f t="shared" si="24"/>
        <v>0</v>
      </c>
      <c r="F139" s="31">
        <f t="shared" si="24"/>
        <v>0</v>
      </c>
      <c r="G139" s="31">
        <f t="shared" si="24"/>
        <v>0</v>
      </c>
      <c r="H139" s="31">
        <f t="shared" si="24"/>
        <v>0</v>
      </c>
      <c r="I139" s="31">
        <f t="shared" si="24"/>
        <v>0</v>
      </c>
      <c r="J139" s="31">
        <f t="shared" si="24"/>
        <v>0</v>
      </c>
      <c r="K139" s="31">
        <f t="shared" si="24"/>
        <v>0</v>
      </c>
      <c r="L139" s="31">
        <f t="shared" si="24"/>
        <v>0</v>
      </c>
      <c r="M139" s="31">
        <f t="shared" si="24"/>
        <v>0</v>
      </c>
      <c r="N139" s="31">
        <f t="shared" si="24"/>
        <v>0</v>
      </c>
      <c r="O139" s="31">
        <f t="shared" si="24"/>
        <v>0</v>
      </c>
      <c r="P139" s="31">
        <f t="shared" si="24"/>
        <v>0</v>
      </c>
      <c r="Q139" s="31">
        <f t="shared" si="24"/>
        <v>0</v>
      </c>
      <c r="R139" s="31">
        <f t="shared" si="24"/>
        <v>0</v>
      </c>
      <c r="S139" s="31">
        <f t="shared" si="24"/>
        <v>0</v>
      </c>
      <c r="T139" s="31">
        <f t="shared" si="24"/>
        <v>0</v>
      </c>
      <c r="U139" s="31">
        <f t="shared" si="24"/>
        <v>0</v>
      </c>
      <c r="V139" s="31">
        <f t="shared" si="24"/>
        <v>0</v>
      </c>
      <c r="W139" s="31">
        <f t="shared" si="24"/>
        <v>0</v>
      </c>
      <c r="X139" s="31">
        <f t="shared" si="24"/>
        <v>0</v>
      </c>
      <c r="Y139" s="31">
        <f t="shared" si="24"/>
        <v>0</v>
      </c>
      <c r="Z139" s="31">
        <f t="shared" si="24"/>
        <v>0</v>
      </c>
      <c r="AA139" s="31">
        <f t="shared" si="24"/>
        <v>0</v>
      </c>
      <c r="AB139" s="31">
        <f t="shared" si="24"/>
        <v>0</v>
      </c>
      <c r="AC139" s="31">
        <f t="shared" si="24"/>
        <v>0</v>
      </c>
      <c r="AD139" s="31">
        <f t="shared" si="24"/>
        <v>0</v>
      </c>
      <c r="AE139" s="31">
        <f t="shared" si="24"/>
        <v>0</v>
      </c>
      <c r="AF139" s="31">
        <f t="shared" si="24"/>
        <v>0</v>
      </c>
      <c r="AG139" s="32">
        <f t="shared" si="17"/>
        <v>0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33">
        <f t="shared" si="17"/>
        <v>0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/>
      <c r="C141" s="98"/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34">
        <f t="shared" si="17"/>
        <v>0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0</v>
      </c>
      <c r="C144" s="37">
        <f t="shared" si="25"/>
        <v>0</v>
      </c>
      <c r="D144" s="37">
        <f t="shared" si="25"/>
        <v>0</v>
      </c>
      <c r="E144" s="37">
        <f t="shared" si="25"/>
        <v>0</v>
      </c>
      <c r="F144" s="37">
        <f t="shared" si="25"/>
        <v>0</v>
      </c>
      <c r="G144" s="37">
        <f t="shared" si="25"/>
        <v>0</v>
      </c>
      <c r="H144" s="37">
        <f t="shared" si="25"/>
        <v>0</v>
      </c>
      <c r="I144" s="37">
        <f t="shared" si="25"/>
        <v>0</v>
      </c>
      <c r="J144" s="37">
        <f t="shared" si="25"/>
        <v>0</v>
      </c>
      <c r="K144" s="37">
        <f t="shared" si="25"/>
        <v>0</v>
      </c>
      <c r="L144" s="37">
        <f t="shared" si="25"/>
        <v>0</v>
      </c>
      <c r="M144" s="37">
        <f t="shared" si="25"/>
        <v>0</v>
      </c>
      <c r="N144" s="37">
        <f t="shared" si="25"/>
        <v>0</v>
      </c>
      <c r="O144" s="37">
        <f t="shared" si="25"/>
        <v>0</v>
      </c>
      <c r="P144" s="37">
        <f t="shared" si="25"/>
        <v>0</v>
      </c>
      <c r="Q144" s="37">
        <f t="shared" si="25"/>
        <v>0</v>
      </c>
      <c r="R144" s="37">
        <f t="shared" si="25"/>
        <v>0</v>
      </c>
      <c r="S144" s="37">
        <f t="shared" si="25"/>
        <v>0</v>
      </c>
      <c r="T144" s="37">
        <f t="shared" si="25"/>
        <v>0</v>
      </c>
      <c r="U144" s="37">
        <f t="shared" si="25"/>
        <v>0</v>
      </c>
      <c r="V144" s="37">
        <f t="shared" si="25"/>
        <v>0</v>
      </c>
      <c r="W144" s="37">
        <f t="shared" si="25"/>
        <v>0</v>
      </c>
      <c r="X144" s="37">
        <f t="shared" si="25"/>
        <v>0</v>
      </c>
      <c r="Y144" s="37">
        <f t="shared" si="25"/>
        <v>0</v>
      </c>
      <c r="Z144" s="37">
        <f t="shared" si="25"/>
        <v>0</v>
      </c>
      <c r="AA144" s="37">
        <f t="shared" si="25"/>
        <v>0</v>
      </c>
      <c r="AB144" s="37">
        <f t="shared" si="25"/>
        <v>0</v>
      </c>
      <c r="AC144" s="37">
        <f t="shared" si="25"/>
        <v>0</v>
      </c>
      <c r="AD144" s="37">
        <f t="shared" si="25"/>
        <v>0</v>
      </c>
      <c r="AE144" s="37">
        <f t="shared" si="25"/>
        <v>0</v>
      </c>
      <c r="AF144" s="37">
        <f t="shared" si="25"/>
        <v>0</v>
      </c>
      <c r="AG144" s="24">
        <f t="shared" si="17"/>
        <v>0</v>
      </c>
      <c r="AK144" s="84" t="s">
        <v>154</v>
      </c>
    </row>
    <row r="145" spans="1:37" ht="15.75" customHeight="1" x14ac:dyDescent="0.25">
      <c r="A145" s="104" t="s">
        <v>91</v>
      </c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38">
        <f t="shared" si="17"/>
        <v>0</v>
      </c>
      <c r="AK145" s="84" t="s">
        <v>155</v>
      </c>
    </row>
    <row r="146" spans="1:37" ht="15.75" customHeight="1" x14ac:dyDescent="0.25">
      <c r="A146" s="106" t="s">
        <v>92</v>
      </c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5">
        <f t="shared" si="17"/>
        <v>0</v>
      </c>
      <c r="AK147" s="84" t="s">
        <v>157</v>
      </c>
    </row>
    <row r="148" spans="1:37" ht="15.75" customHeight="1" x14ac:dyDescent="0.25">
      <c r="A148" s="106" t="s">
        <v>94</v>
      </c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39">
        <f t="shared" si="17"/>
        <v>0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5">
        <f t="shared" si="17"/>
        <v>0</v>
      </c>
      <c r="AK153" s="109" t="s">
        <v>126</v>
      </c>
    </row>
    <row r="154" spans="1:37" ht="15.75" customHeight="1" x14ac:dyDescent="0.25">
      <c r="A154" s="76" t="s">
        <v>100</v>
      </c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5">
        <f t="shared" si="17"/>
        <v>0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  <c r="AC158" s="111"/>
      <c r="AD158" s="111"/>
      <c r="AE158" s="111"/>
      <c r="AF158" s="111"/>
      <c r="AG158" s="40">
        <f t="shared" si="17"/>
        <v>0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5">
        <f t="shared" si="17"/>
        <v>0</v>
      </c>
    </row>
    <row r="163" spans="1:34" ht="15.75" customHeight="1" x14ac:dyDescent="0.25">
      <c r="A163" s="112" t="s">
        <v>109</v>
      </c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5">
        <f t="shared" si="26"/>
        <v>0</v>
      </c>
    </row>
    <row r="168" spans="1:34" ht="15.75" customHeight="1" x14ac:dyDescent="0.25">
      <c r="A168" s="76" t="s">
        <v>114</v>
      </c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5">
        <f t="shared" si="26"/>
        <v>0</v>
      </c>
    </row>
    <row r="169" spans="1:34" ht="15.75" customHeight="1" x14ac:dyDescent="0.25">
      <c r="A169" s="114" t="s">
        <v>115</v>
      </c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5">
        <f t="shared" si="26"/>
        <v>0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0</v>
      </c>
      <c r="C171" s="41">
        <f t="shared" si="27"/>
        <v>0</v>
      </c>
      <c r="D171" s="41">
        <f t="shared" si="27"/>
        <v>0</v>
      </c>
      <c r="E171" s="41">
        <f t="shared" si="27"/>
        <v>0</v>
      </c>
      <c r="F171" s="41">
        <f t="shared" si="27"/>
        <v>0</v>
      </c>
      <c r="G171" s="41">
        <f t="shared" si="27"/>
        <v>0</v>
      </c>
      <c r="H171" s="41">
        <f t="shared" si="27"/>
        <v>0</v>
      </c>
      <c r="I171" s="41">
        <f t="shared" si="27"/>
        <v>0</v>
      </c>
      <c r="J171" s="41">
        <f t="shared" si="27"/>
        <v>0</v>
      </c>
      <c r="K171" s="41">
        <f t="shared" si="27"/>
        <v>0</v>
      </c>
      <c r="L171" s="41">
        <f t="shared" si="27"/>
        <v>0</v>
      </c>
      <c r="M171" s="41">
        <f t="shared" si="27"/>
        <v>0</v>
      </c>
      <c r="N171" s="41">
        <f t="shared" si="27"/>
        <v>0</v>
      </c>
      <c r="O171" s="41">
        <f t="shared" si="27"/>
        <v>0</v>
      </c>
      <c r="P171" s="41">
        <f t="shared" si="27"/>
        <v>0</v>
      </c>
      <c r="Q171" s="41">
        <f t="shared" si="27"/>
        <v>0</v>
      </c>
      <c r="R171" s="41">
        <f t="shared" si="27"/>
        <v>0</v>
      </c>
      <c r="S171" s="41">
        <f t="shared" si="27"/>
        <v>0</v>
      </c>
      <c r="T171" s="41">
        <f t="shared" si="27"/>
        <v>0</v>
      </c>
      <c r="U171" s="41">
        <f t="shared" si="27"/>
        <v>0</v>
      </c>
      <c r="V171" s="41">
        <f t="shared" si="27"/>
        <v>0</v>
      </c>
      <c r="W171" s="41">
        <f t="shared" si="27"/>
        <v>0</v>
      </c>
      <c r="X171" s="41">
        <f t="shared" si="27"/>
        <v>0</v>
      </c>
      <c r="Y171" s="41">
        <f t="shared" si="27"/>
        <v>0</v>
      </c>
      <c r="Z171" s="41">
        <f t="shared" si="27"/>
        <v>0</v>
      </c>
      <c r="AA171" s="41">
        <f t="shared" si="27"/>
        <v>0</v>
      </c>
      <c r="AB171" s="41">
        <f t="shared" si="27"/>
        <v>0</v>
      </c>
      <c r="AC171" s="41">
        <f t="shared" si="27"/>
        <v>0</v>
      </c>
      <c r="AD171" s="41">
        <f t="shared" si="27"/>
        <v>0</v>
      </c>
      <c r="AE171" s="41">
        <f t="shared" si="27"/>
        <v>0</v>
      </c>
      <c r="AF171" s="41">
        <f t="shared" si="27"/>
        <v>0</v>
      </c>
      <c r="AG171" s="42">
        <f t="shared" si="26"/>
        <v>0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/>
      <c r="C172" s="118"/>
      <c r="D172" s="118"/>
      <c r="E172" s="118"/>
      <c r="F172" s="118"/>
      <c r="G172" s="118"/>
      <c r="H172" s="118"/>
      <c r="I172" s="118"/>
      <c r="J172" s="118"/>
      <c r="K172" s="118"/>
      <c r="L172" s="118"/>
      <c r="M172" s="118"/>
      <c r="N172" s="118"/>
      <c r="O172" s="118"/>
      <c r="P172" s="118"/>
      <c r="Q172" s="118"/>
      <c r="R172" s="118"/>
      <c r="S172" s="118"/>
      <c r="T172" s="118"/>
      <c r="U172" s="118"/>
      <c r="V172" s="118"/>
      <c r="W172" s="118"/>
      <c r="X172" s="118"/>
      <c r="Y172" s="118"/>
      <c r="Z172" s="118"/>
      <c r="AA172" s="118"/>
      <c r="AB172" s="118"/>
      <c r="AC172" s="118"/>
      <c r="AD172" s="118"/>
      <c r="AE172" s="118"/>
      <c r="AF172" s="118"/>
      <c r="AG172" s="43">
        <f t="shared" si="26"/>
        <v>0</v>
      </c>
    </row>
    <row r="173" spans="1:34" ht="15.75" customHeight="1" x14ac:dyDescent="0.25">
      <c r="A173" s="119" t="s">
        <v>37</v>
      </c>
      <c r="B173" s="120"/>
      <c r="C173" s="120"/>
      <c r="D173" s="120"/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44">
        <f t="shared" si="26"/>
        <v>0</v>
      </c>
    </row>
    <row r="174" spans="1:34" ht="15.75" customHeight="1" x14ac:dyDescent="0.25">
      <c r="A174" s="119" t="s">
        <v>38</v>
      </c>
      <c r="B174" s="120"/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44">
        <f t="shared" si="26"/>
        <v>0</v>
      </c>
    </row>
    <row r="175" spans="1:34" ht="15.75" customHeight="1" x14ac:dyDescent="0.25">
      <c r="A175" s="119" t="s">
        <v>39</v>
      </c>
      <c r="B175" s="120"/>
      <c r="C175" s="120"/>
      <c r="D175" s="120"/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44">
        <f t="shared" si="26"/>
        <v>0</v>
      </c>
    </row>
    <row r="176" spans="1:34" ht="15.75" customHeight="1" thickBot="1" x14ac:dyDescent="0.3">
      <c r="A176" s="121" t="s">
        <v>40</v>
      </c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45">
        <f t="shared" si="26"/>
        <v>0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39" priority="3" operator="lessThan">
      <formula>0</formula>
    </cfRule>
  </conditionalFormatting>
  <conditionalFormatting sqref="AH171">
    <cfRule type="cellIs" dxfId="38" priority="2" operator="equal">
      <formula>"X"</formula>
    </cfRule>
  </conditionalFormatting>
  <conditionalFormatting sqref="AH1:AH1048576">
    <cfRule type="cellIs" dxfId="37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E9A96083-1FE4-4E0B-B2D4-99E380177E58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100D7-97F1-4803-84F9-81EE16FD98BC}">
  <sheetPr codeName="Hoja23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B5" sqref="B5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176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152</v>
      </c>
      <c r="C3" s="1">
        <f t="shared" si="1"/>
        <v>145</v>
      </c>
      <c r="D3" s="1">
        <f t="shared" si="1"/>
        <v>141</v>
      </c>
      <c r="E3" s="1">
        <f t="shared" si="1"/>
        <v>204</v>
      </c>
      <c r="F3" s="1">
        <f t="shared" si="1"/>
        <v>174</v>
      </c>
      <c r="G3" s="1">
        <f t="shared" si="1"/>
        <v>123</v>
      </c>
      <c r="H3" s="1">
        <f t="shared" si="1"/>
        <v>98</v>
      </c>
      <c r="I3" s="1">
        <f t="shared" si="1"/>
        <v>112</v>
      </c>
      <c r="J3" s="1">
        <f t="shared" si="1"/>
        <v>121</v>
      </c>
      <c r="K3" s="1">
        <f t="shared" si="1"/>
        <v>127</v>
      </c>
      <c r="L3" s="1">
        <f t="shared" si="1"/>
        <v>153</v>
      </c>
      <c r="M3" s="1">
        <f t="shared" si="1"/>
        <v>166</v>
      </c>
      <c r="N3" s="1">
        <f t="shared" si="1"/>
        <v>144</v>
      </c>
      <c r="O3" s="1">
        <f t="shared" si="1"/>
        <v>120</v>
      </c>
      <c r="P3" s="1">
        <f t="shared" si="1"/>
        <v>125</v>
      </c>
      <c r="Q3" s="1">
        <f t="shared" si="1"/>
        <v>129</v>
      </c>
      <c r="R3" s="1">
        <f t="shared" si="1"/>
        <v>109</v>
      </c>
      <c r="S3" s="1">
        <f t="shared" si="1"/>
        <v>158</v>
      </c>
      <c r="T3" s="1">
        <f t="shared" si="1"/>
        <v>178</v>
      </c>
      <c r="U3" s="1">
        <f t="shared" si="1"/>
        <v>142</v>
      </c>
      <c r="V3" s="1">
        <f t="shared" si="1"/>
        <v>127</v>
      </c>
      <c r="W3" s="1">
        <f t="shared" si="1"/>
        <v>130</v>
      </c>
      <c r="X3" s="1">
        <f t="shared" si="1"/>
        <v>115</v>
      </c>
      <c r="Y3" s="1">
        <f t="shared" si="1"/>
        <v>107</v>
      </c>
      <c r="Z3" s="1">
        <f t="shared" si="1"/>
        <v>176</v>
      </c>
      <c r="AA3" s="1">
        <f t="shared" si="1"/>
        <v>155</v>
      </c>
      <c r="AB3" s="1">
        <f t="shared" si="1"/>
        <v>131</v>
      </c>
      <c r="AC3" s="1">
        <f t="shared" si="1"/>
        <v>128</v>
      </c>
      <c r="AD3" s="1">
        <f t="shared" si="1"/>
        <v>135</v>
      </c>
      <c r="AE3" s="1">
        <f t="shared" si="1"/>
        <v>123</v>
      </c>
      <c r="AF3" s="1">
        <f t="shared" si="1"/>
        <v>111</v>
      </c>
      <c r="AG3" s="2">
        <f t="shared" ref="AG3:AG66" si="2">SUM(B3:AF3)</f>
        <v>4259</v>
      </c>
    </row>
    <row r="4" spans="1:33" ht="18.75" x14ac:dyDescent="0.25">
      <c r="A4" s="53" t="s">
        <v>2</v>
      </c>
      <c r="B4" s="54">
        <v>2</v>
      </c>
      <c r="C4" s="55">
        <v>0</v>
      </c>
      <c r="D4" s="55">
        <v>0</v>
      </c>
      <c r="E4" s="55">
        <v>8</v>
      </c>
      <c r="F4" s="55">
        <v>3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2</v>
      </c>
      <c r="M4" s="55">
        <v>5</v>
      </c>
      <c r="N4" s="55">
        <v>0</v>
      </c>
      <c r="O4" s="55">
        <v>0</v>
      </c>
      <c r="P4" s="55">
        <v>0</v>
      </c>
      <c r="Q4" s="55">
        <v>0</v>
      </c>
      <c r="R4" s="55">
        <v>0</v>
      </c>
      <c r="S4" s="55">
        <v>5</v>
      </c>
      <c r="T4" s="55">
        <v>2</v>
      </c>
      <c r="U4" s="55">
        <v>0</v>
      </c>
      <c r="V4" s="55">
        <v>0</v>
      </c>
      <c r="W4" s="55">
        <v>0</v>
      </c>
      <c r="X4" s="55">
        <v>0</v>
      </c>
      <c r="Y4" s="55">
        <v>0</v>
      </c>
      <c r="Z4" s="55">
        <v>6</v>
      </c>
      <c r="AA4" s="55">
        <v>2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4">
        <f t="shared" si="2"/>
        <v>35</v>
      </c>
    </row>
    <row r="5" spans="1:33" ht="18.75" x14ac:dyDescent="0.25">
      <c r="A5" s="56" t="s">
        <v>3</v>
      </c>
      <c r="B5" s="54">
        <v>4</v>
      </c>
      <c r="C5" s="54">
        <v>0</v>
      </c>
      <c r="D5" s="54">
        <v>0</v>
      </c>
      <c r="E5" s="54">
        <v>12</v>
      </c>
      <c r="F5" s="54">
        <v>6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10</v>
      </c>
      <c r="M5" s="54">
        <v>10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54">
        <v>7</v>
      </c>
      <c r="T5" s="54">
        <v>7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12</v>
      </c>
      <c r="AA5" s="54">
        <v>9</v>
      </c>
      <c r="AB5" s="54">
        <v>0</v>
      </c>
      <c r="AC5" s="54">
        <v>0</v>
      </c>
      <c r="AD5" s="54">
        <v>0</v>
      </c>
      <c r="AE5" s="54">
        <v>0</v>
      </c>
      <c r="AF5" s="54">
        <v>0</v>
      </c>
      <c r="AG5" s="5">
        <f t="shared" si="2"/>
        <v>77</v>
      </c>
    </row>
    <row r="6" spans="1:33" ht="18.75" x14ac:dyDescent="0.25">
      <c r="A6" s="56" t="s">
        <v>4</v>
      </c>
      <c r="B6" s="54">
        <v>9</v>
      </c>
      <c r="C6" s="54">
        <v>0</v>
      </c>
      <c r="D6" s="54">
        <v>0</v>
      </c>
      <c r="E6" s="54">
        <v>12</v>
      </c>
      <c r="F6" s="54">
        <v>6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6</v>
      </c>
      <c r="M6" s="54">
        <v>11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54">
        <v>12</v>
      </c>
      <c r="T6" s="54">
        <v>16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12</v>
      </c>
      <c r="AA6" s="54">
        <v>4</v>
      </c>
      <c r="AB6" s="54">
        <v>0</v>
      </c>
      <c r="AC6" s="54">
        <v>0</v>
      </c>
      <c r="AD6" s="54">
        <v>0</v>
      </c>
      <c r="AE6" s="54">
        <v>0</v>
      </c>
      <c r="AF6" s="54">
        <v>0</v>
      </c>
      <c r="AG6" s="5">
        <f t="shared" si="2"/>
        <v>88</v>
      </c>
    </row>
    <row r="7" spans="1:33" ht="18.75" x14ac:dyDescent="0.25">
      <c r="A7" s="56" t="s">
        <v>5</v>
      </c>
      <c r="B7" s="54">
        <v>16</v>
      </c>
      <c r="C7" s="54">
        <v>0</v>
      </c>
      <c r="D7" s="54">
        <v>0</v>
      </c>
      <c r="E7" s="54">
        <v>10</v>
      </c>
      <c r="F7" s="54">
        <v>12</v>
      </c>
      <c r="G7" s="54">
        <v>0</v>
      </c>
      <c r="H7" s="54">
        <v>0</v>
      </c>
      <c r="I7" s="54">
        <v>0</v>
      </c>
      <c r="J7" s="54">
        <v>0</v>
      </c>
      <c r="K7" s="54">
        <v>0</v>
      </c>
      <c r="L7" s="54">
        <v>12</v>
      </c>
      <c r="M7" s="54">
        <v>13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54">
        <v>15</v>
      </c>
      <c r="T7" s="54">
        <v>11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8</v>
      </c>
      <c r="AA7" s="54">
        <v>13</v>
      </c>
      <c r="AB7" s="54">
        <v>0</v>
      </c>
      <c r="AC7" s="54">
        <v>0</v>
      </c>
      <c r="AD7" s="54">
        <v>0</v>
      </c>
      <c r="AE7" s="54">
        <v>0</v>
      </c>
      <c r="AF7" s="54">
        <v>0</v>
      </c>
      <c r="AG7" s="5">
        <f t="shared" si="2"/>
        <v>110</v>
      </c>
    </row>
    <row r="8" spans="1:33" ht="18.75" x14ac:dyDescent="0.25">
      <c r="A8" s="56" t="s">
        <v>6</v>
      </c>
      <c r="B8" s="54">
        <v>12</v>
      </c>
      <c r="C8" s="54">
        <v>0</v>
      </c>
      <c r="D8" s="54">
        <v>0</v>
      </c>
      <c r="E8" s="54">
        <v>20</v>
      </c>
      <c r="F8" s="54">
        <v>12</v>
      </c>
      <c r="G8" s="54">
        <v>1</v>
      </c>
      <c r="H8" s="54">
        <v>0</v>
      </c>
      <c r="I8" s="54">
        <v>0</v>
      </c>
      <c r="J8" s="54">
        <v>0</v>
      </c>
      <c r="K8" s="54">
        <v>0</v>
      </c>
      <c r="L8" s="54">
        <v>8</v>
      </c>
      <c r="M8" s="54">
        <v>10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54">
        <v>7</v>
      </c>
      <c r="T8" s="54">
        <v>14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10</v>
      </c>
      <c r="AA8" s="54">
        <v>9</v>
      </c>
      <c r="AB8" s="54">
        <v>0</v>
      </c>
      <c r="AC8" s="54">
        <v>0</v>
      </c>
      <c r="AD8" s="54">
        <v>0</v>
      </c>
      <c r="AE8" s="54">
        <v>0</v>
      </c>
      <c r="AF8" s="54">
        <v>0</v>
      </c>
      <c r="AG8" s="5">
        <f t="shared" si="2"/>
        <v>103</v>
      </c>
    </row>
    <row r="9" spans="1:33" ht="18.75" x14ac:dyDescent="0.25">
      <c r="A9" s="56" t="s">
        <v>7</v>
      </c>
      <c r="B9" s="54">
        <v>14</v>
      </c>
      <c r="C9" s="54">
        <v>0</v>
      </c>
      <c r="D9" s="54">
        <v>0</v>
      </c>
      <c r="E9" s="54">
        <v>8</v>
      </c>
      <c r="F9" s="54">
        <v>8</v>
      </c>
      <c r="G9" s="54">
        <v>0</v>
      </c>
      <c r="H9" s="54">
        <v>0</v>
      </c>
      <c r="I9" s="54">
        <v>0</v>
      </c>
      <c r="J9" s="54">
        <v>0</v>
      </c>
      <c r="K9" s="54">
        <v>0</v>
      </c>
      <c r="L9" s="54">
        <v>9</v>
      </c>
      <c r="M9" s="54">
        <v>8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4">
        <v>8</v>
      </c>
      <c r="T9" s="54">
        <v>14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10</v>
      </c>
      <c r="AA9" s="54">
        <v>7</v>
      </c>
      <c r="AB9" s="54">
        <v>0</v>
      </c>
      <c r="AC9" s="54">
        <v>0</v>
      </c>
      <c r="AD9" s="54">
        <v>0</v>
      </c>
      <c r="AE9" s="54">
        <v>0</v>
      </c>
      <c r="AF9" s="54">
        <v>0</v>
      </c>
      <c r="AG9" s="5">
        <f t="shared" si="2"/>
        <v>86</v>
      </c>
    </row>
    <row r="10" spans="1:33" ht="18.75" x14ac:dyDescent="0.25">
      <c r="A10" s="56" t="s">
        <v>8</v>
      </c>
      <c r="B10" s="54">
        <v>4</v>
      </c>
      <c r="C10" s="54">
        <v>0</v>
      </c>
      <c r="D10" s="54">
        <v>0</v>
      </c>
      <c r="E10" s="54">
        <v>12</v>
      </c>
      <c r="F10" s="54">
        <v>7</v>
      </c>
      <c r="G10" s="54">
        <v>0</v>
      </c>
      <c r="H10" s="54">
        <v>0</v>
      </c>
      <c r="I10" s="54">
        <v>0</v>
      </c>
      <c r="J10" s="54">
        <v>0</v>
      </c>
      <c r="K10" s="54">
        <v>0</v>
      </c>
      <c r="L10" s="54">
        <v>11</v>
      </c>
      <c r="M10" s="54">
        <v>8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4</v>
      </c>
      <c r="T10" s="54">
        <v>12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10</v>
      </c>
      <c r="AA10" s="54">
        <v>9</v>
      </c>
      <c r="AB10" s="54">
        <v>0</v>
      </c>
      <c r="AC10" s="54">
        <v>0</v>
      </c>
      <c r="AD10" s="54">
        <v>0</v>
      </c>
      <c r="AE10" s="54">
        <v>0</v>
      </c>
      <c r="AF10" s="54">
        <v>0</v>
      </c>
      <c r="AG10" s="5">
        <f t="shared" si="2"/>
        <v>77</v>
      </c>
    </row>
    <row r="11" spans="1:33" ht="18.75" x14ac:dyDescent="0.25">
      <c r="A11" s="56" t="s">
        <v>9</v>
      </c>
      <c r="B11" s="54">
        <v>8</v>
      </c>
      <c r="C11" s="54">
        <v>0</v>
      </c>
      <c r="D11" s="54">
        <v>11</v>
      </c>
      <c r="E11" s="54">
        <v>11</v>
      </c>
      <c r="F11" s="54">
        <v>14</v>
      </c>
      <c r="G11" s="54">
        <v>0</v>
      </c>
      <c r="H11" s="54">
        <v>0</v>
      </c>
      <c r="I11" s="54">
        <v>0</v>
      </c>
      <c r="J11" s="54">
        <v>0</v>
      </c>
      <c r="K11" s="54">
        <v>5</v>
      </c>
      <c r="L11" s="54">
        <v>10</v>
      </c>
      <c r="M11" s="54">
        <v>5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54">
        <v>9</v>
      </c>
      <c r="T11" s="54">
        <v>10</v>
      </c>
      <c r="U11" s="54">
        <v>0</v>
      </c>
      <c r="V11" s="54">
        <v>0</v>
      </c>
      <c r="W11" s="54">
        <v>0</v>
      </c>
      <c r="X11" s="54">
        <v>0</v>
      </c>
      <c r="Y11" s="54">
        <v>4</v>
      </c>
      <c r="Z11" s="54">
        <v>13</v>
      </c>
      <c r="AA11" s="54">
        <v>12</v>
      </c>
      <c r="AB11" s="54">
        <v>0</v>
      </c>
      <c r="AC11" s="54">
        <v>0</v>
      </c>
      <c r="AD11" s="54">
        <v>0</v>
      </c>
      <c r="AE11" s="54">
        <v>0</v>
      </c>
      <c r="AF11" s="54">
        <v>7</v>
      </c>
      <c r="AG11" s="5">
        <f t="shared" si="2"/>
        <v>119</v>
      </c>
    </row>
    <row r="12" spans="1:33" ht="18.75" x14ac:dyDescent="0.25">
      <c r="A12" s="56" t="s">
        <v>10</v>
      </c>
      <c r="B12" s="54">
        <v>12</v>
      </c>
      <c r="C12" s="54">
        <v>8</v>
      </c>
      <c r="D12" s="54">
        <v>43</v>
      </c>
      <c r="E12" s="54">
        <v>16</v>
      </c>
      <c r="F12" s="54">
        <v>14</v>
      </c>
      <c r="G12" s="54">
        <v>4</v>
      </c>
      <c r="H12" s="54">
        <v>9</v>
      </c>
      <c r="I12" s="54">
        <v>10</v>
      </c>
      <c r="J12" s="54">
        <v>0</v>
      </c>
      <c r="K12" s="54">
        <v>36</v>
      </c>
      <c r="L12" s="54">
        <v>10</v>
      </c>
      <c r="M12" s="54">
        <v>8</v>
      </c>
      <c r="N12" s="54">
        <v>4</v>
      </c>
      <c r="O12" s="54">
        <v>6</v>
      </c>
      <c r="P12" s="54">
        <v>2</v>
      </c>
      <c r="Q12" s="54">
        <v>4</v>
      </c>
      <c r="R12" s="54">
        <v>29</v>
      </c>
      <c r="S12" s="54">
        <v>11</v>
      </c>
      <c r="T12" s="54">
        <v>15</v>
      </c>
      <c r="U12" s="54">
        <v>3</v>
      </c>
      <c r="V12" s="54">
        <v>5</v>
      </c>
      <c r="W12" s="54">
        <v>2</v>
      </c>
      <c r="X12" s="54">
        <v>6</v>
      </c>
      <c r="Y12" s="54">
        <v>36</v>
      </c>
      <c r="Z12" s="54">
        <v>6</v>
      </c>
      <c r="AA12" s="54">
        <v>10</v>
      </c>
      <c r="AB12" s="54">
        <v>1</v>
      </c>
      <c r="AC12" s="54">
        <v>0</v>
      </c>
      <c r="AD12" s="54">
        <v>8</v>
      </c>
      <c r="AE12" s="54">
        <v>8</v>
      </c>
      <c r="AF12" s="54">
        <v>27</v>
      </c>
      <c r="AG12" s="5">
        <f t="shared" si="2"/>
        <v>353</v>
      </c>
    </row>
    <row r="13" spans="1:33" ht="18.75" x14ac:dyDescent="0.25">
      <c r="A13" s="56" t="s">
        <v>11</v>
      </c>
      <c r="B13" s="54">
        <v>6</v>
      </c>
      <c r="C13" s="54">
        <v>56</v>
      </c>
      <c r="D13" s="54">
        <v>21</v>
      </c>
      <c r="E13" s="54">
        <v>11</v>
      </c>
      <c r="F13" s="54">
        <v>11</v>
      </c>
      <c r="G13" s="54">
        <v>33</v>
      </c>
      <c r="H13" s="54">
        <v>33</v>
      </c>
      <c r="I13" s="54">
        <v>33</v>
      </c>
      <c r="J13" s="54">
        <v>47</v>
      </c>
      <c r="K13" s="54">
        <v>9</v>
      </c>
      <c r="L13" s="54">
        <v>6</v>
      </c>
      <c r="M13" s="54">
        <v>14</v>
      </c>
      <c r="N13" s="54">
        <v>42</v>
      </c>
      <c r="O13" s="54">
        <v>40</v>
      </c>
      <c r="P13" s="54">
        <v>39</v>
      </c>
      <c r="Q13" s="54">
        <v>48</v>
      </c>
      <c r="R13" s="54">
        <v>12</v>
      </c>
      <c r="S13" s="54">
        <v>14</v>
      </c>
      <c r="T13" s="54">
        <v>12</v>
      </c>
      <c r="U13" s="54">
        <v>44</v>
      </c>
      <c r="V13" s="54">
        <v>44</v>
      </c>
      <c r="W13" s="54">
        <v>48</v>
      </c>
      <c r="X13" s="54">
        <v>39</v>
      </c>
      <c r="Y13" s="54">
        <v>10</v>
      </c>
      <c r="Z13" s="54">
        <v>17</v>
      </c>
      <c r="AA13" s="54">
        <v>12</v>
      </c>
      <c r="AB13" s="54">
        <v>55</v>
      </c>
      <c r="AC13" s="54">
        <v>48</v>
      </c>
      <c r="AD13" s="54">
        <v>48</v>
      </c>
      <c r="AE13" s="54">
        <v>39</v>
      </c>
      <c r="AF13" s="54">
        <v>15</v>
      </c>
      <c r="AG13" s="5">
        <f t="shared" si="2"/>
        <v>906</v>
      </c>
    </row>
    <row r="14" spans="1:33" ht="18.75" x14ac:dyDescent="0.25">
      <c r="A14" s="56" t="s">
        <v>12</v>
      </c>
      <c r="B14" s="54">
        <v>12</v>
      </c>
      <c r="C14" s="54">
        <v>11</v>
      </c>
      <c r="D14" s="54">
        <v>11</v>
      </c>
      <c r="E14" s="54">
        <v>14</v>
      </c>
      <c r="F14" s="54">
        <v>7</v>
      </c>
      <c r="G14" s="54">
        <v>18</v>
      </c>
      <c r="H14" s="54">
        <v>10</v>
      </c>
      <c r="I14" s="54">
        <v>12</v>
      </c>
      <c r="J14" s="54">
        <v>6</v>
      </c>
      <c r="K14" s="54">
        <v>5</v>
      </c>
      <c r="L14" s="54">
        <v>9</v>
      </c>
      <c r="M14" s="54">
        <v>13</v>
      </c>
      <c r="N14" s="54">
        <v>14</v>
      </c>
      <c r="O14" s="54">
        <v>11</v>
      </c>
      <c r="P14" s="54">
        <v>10</v>
      </c>
      <c r="Q14" s="54">
        <v>9</v>
      </c>
      <c r="R14" s="54">
        <v>16</v>
      </c>
      <c r="S14" s="54">
        <v>7</v>
      </c>
      <c r="T14" s="54">
        <v>10</v>
      </c>
      <c r="U14" s="54">
        <v>19</v>
      </c>
      <c r="V14" s="54">
        <v>13</v>
      </c>
      <c r="W14" s="54">
        <v>19</v>
      </c>
      <c r="X14" s="54">
        <v>11</v>
      </c>
      <c r="Y14" s="54">
        <v>12</v>
      </c>
      <c r="Z14" s="54">
        <v>8</v>
      </c>
      <c r="AA14" s="54">
        <v>12</v>
      </c>
      <c r="AB14" s="54">
        <v>16</v>
      </c>
      <c r="AC14" s="54">
        <v>16</v>
      </c>
      <c r="AD14" s="54">
        <v>9</v>
      </c>
      <c r="AE14" s="54">
        <v>14</v>
      </c>
      <c r="AF14" s="54">
        <v>12</v>
      </c>
      <c r="AG14" s="5">
        <f t="shared" si="2"/>
        <v>366</v>
      </c>
    </row>
    <row r="15" spans="1:33" ht="18.75" x14ac:dyDescent="0.25">
      <c r="A15" s="56" t="s">
        <v>13</v>
      </c>
      <c r="B15" s="54">
        <v>8</v>
      </c>
      <c r="C15" s="54">
        <v>16</v>
      </c>
      <c r="D15" s="54">
        <v>10</v>
      </c>
      <c r="E15" s="54">
        <v>4</v>
      </c>
      <c r="F15" s="54">
        <v>12</v>
      </c>
      <c r="G15" s="54">
        <v>10</v>
      </c>
      <c r="H15" s="54">
        <v>14</v>
      </c>
      <c r="I15" s="54">
        <v>10</v>
      </c>
      <c r="J15" s="54">
        <v>6</v>
      </c>
      <c r="K15" s="54">
        <v>14</v>
      </c>
      <c r="L15" s="54">
        <v>7</v>
      </c>
      <c r="M15" s="54">
        <v>7</v>
      </c>
      <c r="N15" s="54">
        <v>21</v>
      </c>
      <c r="O15" s="54">
        <v>9</v>
      </c>
      <c r="P15" s="54">
        <v>10</v>
      </c>
      <c r="Q15" s="54">
        <v>7</v>
      </c>
      <c r="R15" s="54">
        <v>4</v>
      </c>
      <c r="S15" s="54">
        <v>9</v>
      </c>
      <c r="T15" s="54">
        <v>8</v>
      </c>
      <c r="U15" s="54">
        <v>20</v>
      </c>
      <c r="V15" s="54">
        <v>7</v>
      </c>
      <c r="W15" s="54">
        <v>10</v>
      </c>
      <c r="X15" s="54">
        <v>10</v>
      </c>
      <c r="Y15" s="54">
        <v>11</v>
      </c>
      <c r="Z15" s="54">
        <v>9</v>
      </c>
      <c r="AA15" s="54">
        <v>10</v>
      </c>
      <c r="AB15" s="54">
        <v>10</v>
      </c>
      <c r="AC15" s="54">
        <v>14</v>
      </c>
      <c r="AD15" s="54">
        <v>17</v>
      </c>
      <c r="AE15" s="54">
        <v>12</v>
      </c>
      <c r="AF15" s="54">
        <v>10</v>
      </c>
      <c r="AG15" s="5">
        <f t="shared" si="2"/>
        <v>326</v>
      </c>
    </row>
    <row r="16" spans="1:33" ht="18.75" x14ac:dyDescent="0.25">
      <c r="A16" s="56" t="s">
        <v>14</v>
      </c>
      <c r="B16" s="54">
        <v>5</v>
      </c>
      <c r="C16" s="54">
        <v>22</v>
      </c>
      <c r="D16" s="54">
        <v>13</v>
      </c>
      <c r="E16" s="54">
        <v>14</v>
      </c>
      <c r="F16" s="54">
        <v>12</v>
      </c>
      <c r="G16" s="54">
        <v>20</v>
      </c>
      <c r="H16" s="54">
        <v>6</v>
      </c>
      <c r="I16" s="54">
        <v>6</v>
      </c>
      <c r="J16" s="54">
        <v>6</v>
      </c>
      <c r="K16" s="54">
        <v>8</v>
      </c>
      <c r="L16" s="54">
        <v>16</v>
      </c>
      <c r="M16" s="54">
        <v>12</v>
      </c>
      <c r="N16" s="54">
        <v>13</v>
      </c>
      <c r="O16" s="54">
        <v>11</v>
      </c>
      <c r="P16" s="54">
        <v>12</v>
      </c>
      <c r="Q16" s="54">
        <v>19</v>
      </c>
      <c r="R16" s="54">
        <v>4</v>
      </c>
      <c r="S16" s="54">
        <v>12</v>
      </c>
      <c r="T16" s="54">
        <v>13</v>
      </c>
      <c r="U16" s="54">
        <v>16</v>
      </c>
      <c r="V16" s="54">
        <v>16</v>
      </c>
      <c r="W16" s="54">
        <v>14</v>
      </c>
      <c r="X16" s="54">
        <v>8</v>
      </c>
      <c r="Y16" s="54">
        <v>8</v>
      </c>
      <c r="Z16" s="54">
        <v>10</v>
      </c>
      <c r="AA16" s="54">
        <v>4</v>
      </c>
      <c r="AB16" s="54">
        <v>13</v>
      </c>
      <c r="AC16" s="54">
        <v>16</v>
      </c>
      <c r="AD16" s="54">
        <v>7</v>
      </c>
      <c r="AE16" s="54">
        <v>9</v>
      </c>
      <c r="AF16" s="54">
        <v>9</v>
      </c>
      <c r="AG16" s="5">
        <f t="shared" si="2"/>
        <v>354</v>
      </c>
    </row>
    <row r="17" spans="1:33" ht="18.75" x14ac:dyDescent="0.25">
      <c r="A17" s="56" t="s">
        <v>15</v>
      </c>
      <c r="B17" s="54">
        <v>10</v>
      </c>
      <c r="C17" s="54">
        <v>10</v>
      </c>
      <c r="D17" s="54">
        <v>6</v>
      </c>
      <c r="E17" s="54">
        <v>9</v>
      </c>
      <c r="F17" s="54">
        <v>9</v>
      </c>
      <c r="G17" s="54">
        <v>11</v>
      </c>
      <c r="H17" s="54">
        <v>7</v>
      </c>
      <c r="I17" s="54">
        <v>14</v>
      </c>
      <c r="J17" s="54">
        <v>18</v>
      </c>
      <c r="K17" s="54">
        <v>15</v>
      </c>
      <c r="L17" s="54">
        <v>6</v>
      </c>
      <c r="M17" s="54">
        <v>13</v>
      </c>
      <c r="N17" s="54">
        <v>8</v>
      </c>
      <c r="O17" s="54">
        <v>6</v>
      </c>
      <c r="P17" s="54">
        <v>16</v>
      </c>
      <c r="Q17" s="54">
        <v>5</v>
      </c>
      <c r="R17" s="54">
        <v>8</v>
      </c>
      <c r="S17" s="54">
        <v>10</v>
      </c>
      <c r="T17" s="54">
        <v>10</v>
      </c>
      <c r="U17" s="54">
        <v>8</v>
      </c>
      <c r="V17" s="54">
        <v>14</v>
      </c>
      <c r="W17" s="54">
        <v>8</v>
      </c>
      <c r="X17" s="54">
        <v>6</v>
      </c>
      <c r="Y17" s="54">
        <v>4</v>
      </c>
      <c r="Z17" s="54">
        <v>10</v>
      </c>
      <c r="AA17" s="54">
        <v>8</v>
      </c>
      <c r="AB17" s="54">
        <v>14</v>
      </c>
      <c r="AC17" s="54">
        <v>7</v>
      </c>
      <c r="AD17" s="54">
        <v>9</v>
      </c>
      <c r="AE17" s="54">
        <v>10</v>
      </c>
      <c r="AF17" s="54">
        <v>7</v>
      </c>
      <c r="AG17" s="5">
        <f t="shared" si="2"/>
        <v>296</v>
      </c>
    </row>
    <row r="18" spans="1:33" ht="18.75" x14ac:dyDescent="0.25">
      <c r="A18" s="56" t="s">
        <v>16</v>
      </c>
      <c r="B18" s="54">
        <v>11</v>
      </c>
      <c r="C18" s="54">
        <v>3</v>
      </c>
      <c r="D18" s="54">
        <v>8</v>
      </c>
      <c r="E18" s="54">
        <v>8</v>
      </c>
      <c r="F18" s="54">
        <v>17</v>
      </c>
      <c r="G18" s="54">
        <v>9</v>
      </c>
      <c r="H18" s="54">
        <v>7</v>
      </c>
      <c r="I18" s="54">
        <v>14</v>
      </c>
      <c r="J18" s="54">
        <v>14</v>
      </c>
      <c r="K18" s="54">
        <v>10</v>
      </c>
      <c r="L18" s="54">
        <v>10</v>
      </c>
      <c r="M18" s="54">
        <v>9</v>
      </c>
      <c r="N18" s="54">
        <v>17</v>
      </c>
      <c r="O18" s="54">
        <v>9</v>
      </c>
      <c r="P18" s="54">
        <v>9</v>
      </c>
      <c r="Q18" s="54">
        <v>17</v>
      </c>
      <c r="R18" s="54">
        <v>8</v>
      </c>
      <c r="S18" s="54">
        <v>6</v>
      </c>
      <c r="T18" s="54">
        <v>4</v>
      </c>
      <c r="U18" s="54">
        <v>9</v>
      </c>
      <c r="V18" s="54">
        <v>9</v>
      </c>
      <c r="W18" s="54">
        <v>6</v>
      </c>
      <c r="X18" s="54">
        <v>10</v>
      </c>
      <c r="Y18" s="54">
        <v>5</v>
      </c>
      <c r="Z18" s="54">
        <v>6</v>
      </c>
      <c r="AA18" s="54">
        <v>9</v>
      </c>
      <c r="AB18" s="54">
        <v>7</v>
      </c>
      <c r="AC18" s="54">
        <v>9</v>
      </c>
      <c r="AD18" s="54">
        <v>10</v>
      </c>
      <c r="AE18" s="54">
        <v>8</v>
      </c>
      <c r="AF18" s="54">
        <v>6</v>
      </c>
      <c r="AG18" s="5">
        <f t="shared" si="2"/>
        <v>284</v>
      </c>
    </row>
    <row r="19" spans="1:33" ht="18.75" x14ac:dyDescent="0.25">
      <c r="A19" s="56" t="s">
        <v>17</v>
      </c>
      <c r="B19" s="54">
        <v>6</v>
      </c>
      <c r="C19" s="54">
        <v>4</v>
      </c>
      <c r="D19" s="54">
        <v>2</v>
      </c>
      <c r="E19" s="54">
        <v>7</v>
      </c>
      <c r="F19" s="54">
        <v>7</v>
      </c>
      <c r="G19" s="54">
        <v>4</v>
      </c>
      <c r="H19" s="54">
        <v>4</v>
      </c>
      <c r="I19" s="54">
        <v>5</v>
      </c>
      <c r="J19" s="54">
        <v>5</v>
      </c>
      <c r="K19" s="54">
        <v>8</v>
      </c>
      <c r="L19" s="54">
        <v>7</v>
      </c>
      <c r="M19" s="54">
        <v>5</v>
      </c>
      <c r="N19" s="54">
        <v>7</v>
      </c>
      <c r="O19" s="54">
        <v>10</v>
      </c>
      <c r="P19" s="54">
        <v>9</v>
      </c>
      <c r="Q19" s="54">
        <v>3</v>
      </c>
      <c r="R19" s="54">
        <v>17</v>
      </c>
      <c r="S19" s="54">
        <v>9</v>
      </c>
      <c r="T19" s="54">
        <v>5</v>
      </c>
      <c r="U19" s="54">
        <v>9</v>
      </c>
      <c r="V19" s="54">
        <v>5</v>
      </c>
      <c r="W19" s="54">
        <v>5</v>
      </c>
      <c r="X19" s="54">
        <v>8</v>
      </c>
      <c r="Y19" s="54">
        <v>10</v>
      </c>
      <c r="Z19" s="54">
        <v>7</v>
      </c>
      <c r="AA19" s="54">
        <v>6</v>
      </c>
      <c r="AB19" s="54">
        <v>2</v>
      </c>
      <c r="AC19" s="54">
        <v>7</v>
      </c>
      <c r="AD19" s="54">
        <v>5</v>
      </c>
      <c r="AE19" s="54">
        <v>5</v>
      </c>
      <c r="AF19" s="54">
        <v>3</v>
      </c>
      <c r="AG19" s="5">
        <f t="shared" si="2"/>
        <v>196</v>
      </c>
    </row>
    <row r="20" spans="1:33" ht="18.75" x14ac:dyDescent="0.25">
      <c r="A20" s="56" t="s">
        <v>18</v>
      </c>
      <c r="B20" s="54">
        <v>3</v>
      </c>
      <c r="C20" s="54">
        <v>5</v>
      </c>
      <c r="D20" s="54">
        <v>6</v>
      </c>
      <c r="E20" s="54">
        <v>8</v>
      </c>
      <c r="F20" s="54">
        <v>9</v>
      </c>
      <c r="G20" s="54">
        <v>4</v>
      </c>
      <c r="H20" s="54">
        <v>1</v>
      </c>
      <c r="I20" s="54">
        <v>2</v>
      </c>
      <c r="J20" s="54">
        <v>0</v>
      </c>
      <c r="K20" s="54">
        <v>10</v>
      </c>
      <c r="L20" s="54">
        <v>4</v>
      </c>
      <c r="M20" s="54">
        <v>1</v>
      </c>
      <c r="N20" s="54">
        <v>5</v>
      </c>
      <c r="O20" s="54">
        <v>4</v>
      </c>
      <c r="P20" s="54">
        <v>3</v>
      </c>
      <c r="Q20" s="54">
        <v>6</v>
      </c>
      <c r="R20" s="54">
        <v>2</v>
      </c>
      <c r="S20" s="54">
        <v>2</v>
      </c>
      <c r="T20" s="54">
        <v>5</v>
      </c>
      <c r="U20" s="54">
        <v>3</v>
      </c>
      <c r="V20" s="54">
        <v>7</v>
      </c>
      <c r="W20" s="54">
        <v>6</v>
      </c>
      <c r="X20" s="54">
        <v>1</v>
      </c>
      <c r="Y20" s="54">
        <v>2</v>
      </c>
      <c r="Z20" s="54">
        <v>3</v>
      </c>
      <c r="AA20" s="54">
        <v>7</v>
      </c>
      <c r="AB20" s="54">
        <v>4</v>
      </c>
      <c r="AC20" s="54">
        <v>3</v>
      </c>
      <c r="AD20" s="54">
        <v>4</v>
      </c>
      <c r="AE20" s="54">
        <v>6</v>
      </c>
      <c r="AF20" s="54">
        <v>2</v>
      </c>
      <c r="AG20" s="5">
        <f t="shared" si="2"/>
        <v>128</v>
      </c>
    </row>
    <row r="21" spans="1:33" ht="15.75" customHeight="1" x14ac:dyDescent="0.25">
      <c r="A21" s="56" t="s">
        <v>19</v>
      </c>
      <c r="B21" s="54">
        <v>2</v>
      </c>
      <c r="C21" s="54">
        <v>3</v>
      </c>
      <c r="D21" s="54">
        <v>1</v>
      </c>
      <c r="E21" s="54">
        <v>4</v>
      </c>
      <c r="F21" s="54">
        <v>1</v>
      </c>
      <c r="G21" s="54">
        <v>2</v>
      </c>
      <c r="H21" s="54">
        <v>1</v>
      </c>
      <c r="I21" s="54">
        <v>2</v>
      </c>
      <c r="J21" s="54">
        <v>7</v>
      </c>
      <c r="K21" s="54">
        <v>2</v>
      </c>
      <c r="L21" s="54">
        <v>0</v>
      </c>
      <c r="M21" s="54">
        <v>1</v>
      </c>
      <c r="N21" s="54">
        <v>1</v>
      </c>
      <c r="O21" s="54">
        <v>3</v>
      </c>
      <c r="P21" s="54">
        <v>7</v>
      </c>
      <c r="Q21" s="54">
        <v>4</v>
      </c>
      <c r="R21" s="54">
        <v>3</v>
      </c>
      <c r="S21" s="54">
        <v>3</v>
      </c>
      <c r="T21" s="54">
        <v>5</v>
      </c>
      <c r="U21" s="54">
        <v>3</v>
      </c>
      <c r="V21" s="54">
        <v>1</v>
      </c>
      <c r="W21" s="54">
        <v>1</v>
      </c>
      <c r="X21" s="54">
        <v>4</v>
      </c>
      <c r="Y21" s="54">
        <v>1</v>
      </c>
      <c r="Z21" s="54">
        <v>3</v>
      </c>
      <c r="AA21" s="54">
        <v>4</v>
      </c>
      <c r="AB21" s="54">
        <v>4</v>
      </c>
      <c r="AC21" s="54">
        <v>2</v>
      </c>
      <c r="AD21" s="54">
        <v>9</v>
      </c>
      <c r="AE21" s="54">
        <v>1</v>
      </c>
      <c r="AF21" s="54">
        <v>3</v>
      </c>
      <c r="AG21" s="5">
        <f t="shared" si="2"/>
        <v>88</v>
      </c>
    </row>
    <row r="22" spans="1:33" ht="15.75" customHeight="1" x14ac:dyDescent="0.25">
      <c r="A22" s="56" t="s">
        <v>20</v>
      </c>
      <c r="B22" s="54">
        <v>3</v>
      </c>
      <c r="C22" s="54">
        <v>1</v>
      </c>
      <c r="D22" s="54">
        <v>1</v>
      </c>
      <c r="E22" s="54">
        <v>1</v>
      </c>
      <c r="F22" s="54">
        <v>0</v>
      </c>
      <c r="G22" s="54">
        <v>2</v>
      </c>
      <c r="H22" s="54">
        <v>2</v>
      </c>
      <c r="I22" s="54">
        <v>0</v>
      </c>
      <c r="J22" s="54">
        <v>0</v>
      </c>
      <c r="K22" s="54">
        <v>0</v>
      </c>
      <c r="L22" s="54">
        <v>2</v>
      </c>
      <c r="M22" s="54">
        <v>1</v>
      </c>
      <c r="N22" s="54">
        <v>3</v>
      </c>
      <c r="O22" s="54">
        <v>4</v>
      </c>
      <c r="P22" s="54">
        <v>1</v>
      </c>
      <c r="Q22" s="54">
        <v>0</v>
      </c>
      <c r="R22" s="54">
        <v>1</v>
      </c>
      <c r="S22" s="54">
        <v>4</v>
      </c>
      <c r="T22" s="54">
        <v>2</v>
      </c>
      <c r="U22" s="54">
        <v>2</v>
      </c>
      <c r="V22" s="54">
        <v>3</v>
      </c>
      <c r="W22" s="54">
        <v>2</v>
      </c>
      <c r="X22" s="54">
        <v>5</v>
      </c>
      <c r="Y22" s="54">
        <v>1</v>
      </c>
      <c r="Z22" s="54">
        <v>1</v>
      </c>
      <c r="AA22" s="54">
        <v>2</v>
      </c>
      <c r="AB22" s="54">
        <v>1</v>
      </c>
      <c r="AC22" s="54">
        <v>1</v>
      </c>
      <c r="AD22" s="54">
        <v>5</v>
      </c>
      <c r="AE22" s="54">
        <v>1</v>
      </c>
      <c r="AF22" s="54">
        <v>4</v>
      </c>
      <c r="AG22" s="5">
        <f t="shared" si="2"/>
        <v>56</v>
      </c>
    </row>
    <row r="23" spans="1:33" ht="15.75" customHeight="1" x14ac:dyDescent="0.25">
      <c r="A23" s="56" t="s">
        <v>21</v>
      </c>
      <c r="B23" s="54">
        <v>1</v>
      </c>
      <c r="C23" s="54">
        <v>3</v>
      </c>
      <c r="D23" s="54">
        <v>3</v>
      </c>
      <c r="E23" s="54">
        <v>3</v>
      </c>
      <c r="F23" s="54">
        <v>2</v>
      </c>
      <c r="G23" s="54">
        <v>2</v>
      </c>
      <c r="H23" s="54">
        <v>1</v>
      </c>
      <c r="I23" s="54">
        <v>1</v>
      </c>
      <c r="J23" s="54">
        <v>6</v>
      </c>
      <c r="K23" s="54">
        <v>2</v>
      </c>
      <c r="L23" s="54">
        <v>1</v>
      </c>
      <c r="M23" s="54">
        <v>2</v>
      </c>
      <c r="N23" s="54">
        <v>4</v>
      </c>
      <c r="O23" s="54">
        <v>0</v>
      </c>
      <c r="P23" s="54">
        <v>3</v>
      </c>
      <c r="Q23" s="54">
        <v>4</v>
      </c>
      <c r="R23" s="54">
        <v>2</v>
      </c>
      <c r="S23" s="54">
        <v>2</v>
      </c>
      <c r="T23" s="54">
        <v>1</v>
      </c>
      <c r="U23" s="54">
        <v>4</v>
      </c>
      <c r="V23" s="54">
        <v>2</v>
      </c>
      <c r="W23" s="54">
        <v>2</v>
      </c>
      <c r="X23" s="54">
        <v>2</v>
      </c>
      <c r="Y23" s="54">
        <v>0</v>
      </c>
      <c r="Z23" s="54">
        <v>4</v>
      </c>
      <c r="AA23" s="54">
        <v>1</v>
      </c>
      <c r="AB23" s="54">
        <v>1</v>
      </c>
      <c r="AC23" s="54">
        <v>2</v>
      </c>
      <c r="AD23" s="54">
        <v>1</v>
      </c>
      <c r="AE23" s="54">
        <v>1</v>
      </c>
      <c r="AF23" s="54">
        <v>0</v>
      </c>
      <c r="AG23" s="5">
        <f t="shared" si="2"/>
        <v>63</v>
      </c>
    </row>
    <row r="24" spans="1:33" ht="15.75" customHeight="1" x14ac:dyDescent="0.25">
      <c r="A24" s="56" t="s">
        <v>22</v>
      </c>
      <c r="B24" s="54">
        <v>4</v>
      </c>
      <c r="C24" s="54">
        <v>1</v>
      </c>
      <c r="D24" s="54">
        <v>0</v>
      </c>
      <c r="E24" s="54">
        <v>4</v>
      </c>
      <c r="F24" s="54">
        <v>2</v>
      </c>
      <c r="G24" s="54">
        <v>0</v>
      </c>
      <c r="H24" s="54">
        <v>0</v>
      </c>
      <c r="I24" s="54">
        <v>0</v>
      </c>
      <c r="J24" s="54">
        <v>2</v>
      </c>
      <c r="K24" s="54">
        <v>0</v>
      </c>
      <c r="L24" s="54">
        <v>2</v>
      </c>
      <c r="M24" s="54">
        <v>5</v>
      </c>
      <c r="N24" s="54">
        <v>1</v>
      </c>
      <c r="O24" s="54">
        <v>1</v>
      </c>
      <c r="P24" s="54">
        <v>1</v>
      </c>
      <c r="Q24" s="54">
        <v>1</v>
      </c>
      <c r="R24" s="54">
        <v>2</v>
      </c>
      <c r="S24" s="54">
        <v>0</v>
      </c>
      <c r="T24" s="54">
        <v>1</v>
      </c>
      <c r="U24" s="54">
        <v>2</v>
      </c>
      <c r="V24" s="54">
        <v>0</v>
      </c>
      <c r="W24" s="54">
        <v>1</v>
      </c>
      <c r="X24" s="54">
        <v>1</v>
      </c>
      <c r="Y24" s="54">
        <v>0</v>
      </c>
      <c r="Z24" s="54">
        <v>4</v>
      </c>
      <c r="AA24" s="54">
        <v>1</v>
      </c>
      <c r="AB24" s="54">
        <v>2</v>
      </c>
      <c r="AC24" s="54">
        <v>0</v>
      </c>
      <c r="AD24" s="54">
        <v>0</v>
      </c>
      <c r="AE24" s="54">
        <v>5</v>
      </c>
      <c r="AF24" s="54">
        <v>1</v>
      </c>
      <c r="AG24" s="5">
        <f t="shared" si="2"/>
        <v>44</v>
      </c>
    </row>
    <row r="25" spans="1:33" ht="15.75" customHeight="1" x14ac:dyDescent="0.25">
      <c r="A25" s="56" t="s">
        <v>23</v>
      </c>
      <c r="B25" s="54">
        <v>0</v>
      </c>
      <c r="C25" s="54">
        <v>0</v>
      </c>
      <c r="D25" s="54">
        <v>2</v>
      </c>
      <c r="E25" s="54">
        <v>4</v>
      </c>
      <c r="F25" s="54">
        <v>0</v>
      </c>
      <c r="G25" s="54">
        <v>2</v>
      </c>
      <c r="H25" s="54">
        <v>2</v>
      </c>
      <c r="I25" s="54">
        <v>0</v>
      </c>
      <c r="J25" s="54">
        <v>2</v>
      </c>
      <c r="K25" s="54">
        <v>2</v>
      </c>
      <c r="L25" s="54">
        <v>1</v>
      </c>
      <c r="M25" s="54">
        <v>1</v>
      </c>
      <c r="N25" s="54">
        <v>1</v>
      </c>
      <c r="O25" s="54">
        <v>1</v>
      </c>
      <c r="P25" s="54">
        <v>1</v>
      </c>
      <c r="Q25" s="54">
        <v>1</v>
      </c>
      <c r="R25" s="54">
        <v>1</v>
      </c>
      <c r="S25" s="54">
        <v>0</v>
      </c>
      <c r="T25" s="54">
        <v>0</v>
      </c>
      <c r="U25" s="54">
        <v>0</v>
      </c>
      <c r="V25" s="54">
        <v>1</v>
      </c>
      <c r="W25" s="54">
        <v>2</v>
      </c>
      <c r="X25" s="54">
        <v>2</v>
      </c>
      <c r="Y25" s="54">
        <v>1</v>
      </c>
      <c r="Z25" s="54">
        <v>3</v>
      </c>
      <c r="AA25" s="54">
        <v>2</v>
      </c>
      <c r="AB25" s="54">
        <v>0</v>
      </c>
      <c r="AC25" s="54">
        <v>2</v>
      </c>
      <c r="AD25" s="54">
        <v>0</v>
      </c>
      <c r="AE25" s="54">
        <v>2</v>
      </c>
      <c r="AF25" s="54">
        <v>4</v>
      </c>
      <c r="AG25" s="5">
        <f t="shared" si="2"/>
        <v>40</v>
      </c>
    </row>
    <row r="26" spans="1:33" ht="15.75" customHeight="1" x14ac:dyDescent="0.25">
      <c r="A26" s="56" t="s">
        <v>24</v>
      </c>
      <c r="B26" s="54">
        <v>0</v>
      </c>
      <c r="C26" s="54">
        <v>2</v>
      </c>
      <c r="D26" s="54">
        <v>3</v>
      </c>
      <c r="E26" s="54">
        <v>2</v>
      </c>
      <c r="F26" s="54">
        <v>3</v>
      </c>
      <c r="G26" s="54">
        <v>1</v>
      </c>
      <c r="H26" s="54">
        <v>1</v>
      </c>
      <c r="I26" s="54">
        <v>3</v>
      </c>
      <c r="J26" s="54">
        <v>1</v>
      </c>
      <c r="K26" s="54">
        <v>1</v>
      </c>
      <c r="L26" s="54">
        <v>2</v>
      </c>
      <c r="M26" s="54">
        <v>1</v>
      </c>
      <c r="N26" s="54">
        <v>3</v>
      </c>
      <c r="O26" s="54">
        <v>5</v>
      </c>
      <c r="P26" s="54">
        <v>2</v>
      </c>
      <c r="Q26" s="54">
        <v>1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4">
        <v>4</v>
      </c>
      <c r="X26" s="54">
        <v>1</v>
      </c>
      <c r="Y26" s="54">
        <v>1</v>
      </c>
      <c r="Z26" s="54">
        <v>0</v>
      </c>
      <c r="AA26" s="54">
        <v>1</v>
      </c>
      <c r="AB26" s="54">
        <v>1</v>
      </c>
      <c r="AC26" s="54">
        <v>1</v>
      </c>
      <c r="AD26" s="54">
        <v>3</v>
      </c>
      <c r="AE26" s="54">
        <v>1</v>
      </c>
      <c r="AF26" s="54">
        <v>1</v>
      </c>
      <c r="AG26" s="5">
        <f t="shared" si="2"/>
        <v>45</v>
      </c>
    </row>
    <row r="27" spans="1:33" ht="15.75" customHeight="1" thickBot="1" x14ac:dyDescent="0.3">
      <c r="A27" s="57" t="s">
        <v>25</v>
      </c>
      <c r="B27" s="58">
        <v>0</v>
      </c>
      <c r="C27" s="58">
        <v>0</v>
      </c>
      <c r="D27" s="58">
        <v>0</v>
      </c>
      <c r="E27" s="58">
        <v>2</v>
      </c>
      <c r="F27" s="58">
        <v>0</v>
      </c>
      <c r="G27" s="58">
        <v>0</v>
      </c>
      <c r="H27" s="58">
        <v>0</v>
      </c>
      <c r="I27" s="58">
        <v>0</v>
      </c>
      <c r="J27" s="58">
        <v>1</v>
      </c>
      <c r="K27" s="58">
        <v>0</v>
      </c>
      <c r="L27" s="58">
        <v>2</v>
      </c>
      <c r="M27" s="58">
        <v>3</v>
      </c>
      <c r="N27" s="58">
        <v>0</v>
      </c>
      <c r="O27" s="58">
        <v>0</v>
      </c>
      <c r="P27" s="58">
        <v>0</v>
      </c>
      <c r="Q27" s="58">
        <v>0</v>
      </c>
      <c r="R27" s="58">
        <v>0</v>
      </c>
      <c r="S27" s="58">
        <v>2</v>
      </c>
      <c r="T27" s="58">
        <v>1</v>
      </c>
      <c r="U27" s="58">
        <v>0</v>
      </c>
      <c r="V27" s="58">
        <v>0</v>
      </c>
      <c r="W27" s="58">
        <v>0</v>
      </c>
      <c r="X27" s="58">
        <v>1</v>
      </c>
      <c r="Y27" s="58">
        <v>1</v>
      </c>
      <c r="Z27" s="58">
        <v>4</v>
      </c>
      <c r="AA27" s="58">
        <v>1</v>
      </c>
      <c r="AB27" s="58">
        <v>0</v>
      </c>
      <c r="AC27" s="58">
        <v>0</v>
      </c>
      <c r="AD27" s="58">
        <v>0</v>
      </c>
      <c r="AE27" s="58">
        <v>1</v>
      </c>
      <c r="AF27" s="58">
        <v>0</v>
      </c>
      <c r="AG27" s="5">
        <f t="shared" si="2"/>
        <v>19</v>
      </c>
    </row>
    <row r="28" spans="1:33" ht="15.75" customHeight="1" x14ac:dyDescent="0.25">
      <c r="A28" s="59" t="s">
        <v>26</v>
      </c>
      <c r="B28" s="6">
        <f t="shared" ref="B28:AF28" si="3">SUM(B29:B52)</f>
        <v>147</v>
      </c>
      <c r="C28" s="6">
        <f t="shared" si="3"/>
        <v>106</v>
      </c>
      <c r="D28" s="6">
        <f t="shared" si="3"/>
        <v>110</v>
      </c>
      <c r="E28" s="6">
        <f t="shared" si="3"/>
        <v>193</v>
      </c>
      <c r="F28" s="6">
        <f t="shared" si="3"/>
        <v>169</v>
      </c>
      <c r="G28" s="6">
        <f t="shared" si="3"/>
        <v>115</v>
      </c>
      <c r="H28" s="6">
        <f t="shared" si="3"/>
        <v>94</v>
      </c>
      <c r="I28" s="6">
        <f t="shared" si="3"/>
        <v>103</v>
      </c>
      <c r="J28" s="6">
        <f t="shared" si="3"/>
        <v>118</v>
      </c>
      <c r="K28" s="6">
        <f t="shared" si="3"/>
        <v>117</v>
      </c>
      <c r="L28" s="6">
        <f t="shared" si="3"/>
        <v>149</v>
      </c>
      <c r="M28" s="6">
        <f t="shared" si="3"/>
        <v>155</v>
      </c>
      <c r="N28" s="6">
        <f t="shared" si="3"/>
        <v>137</v>
      </c>
      <c r="O28" s="6">
        <f t="shared" si="3"/>
        <v>114</v>
      </c>
      <c r="P28" s="6">
        <f t="shared" si="3"/>
        <v>118</v>
      </c>
      <c r="Q28" s="6">
        <f t="shared" si="3"/>
        <v>121</v>
      </c>
      <c r="R28" s="6">
        <f t="shared" si="3"/>
        <v>103</v>
      </c>
      <c r="S28" s="6">
        <f t="shared" si="3"/>
        <v>153</v>
      </c>
      <c r="T28" s="6">
        <f t="shared" si="3"/>
        <v>171</v>
      </c>
      <c r="U28" s="6">
        <f t="shared" si="3"/>
        <v>124</v>
      </c>
      <c r="V28" s="6">
        <f t="shared" si="3"/>
        <v>124</v>
      </c>
      <c r="W28" s="6">
        <f t="shared" si="3"/>
        <v>119</v>
      </c>
      <c r="X28" s="6">
        <f t="shared" si="3"/>
        <v>110</v>
      </c>
      <c r="Y28" s="6">
        <f t="shared" si="3"/>
        <v>101</v>
      </c>
      <c r="Z28" s="6">
        <f t="shared" si="3"/>
        <v>168</v>
      </c>
      <c r="AA28" s="6">
        <f t="shared" si="3"/>
        <v>152</v>
      </c>
      <c r="AB28" s="6">
        <f t="shared" si="3"/>
        <v>118</v>
      </c>
      <c r="AC28" s="6">
        <f t="shared" si="3"/>
        <v>124</v>
      </c>
      <c r="AD28" s="6">
        <f t="shared" si="3"/>
        <v>121</v>
      </c>
      <c r="AE28" s="6">
        <f t="shared" si="3"/>
        <v>112</v>
      </c>
      <c r="AF28" s="6">
        <f t="shared" si="3"/>
        <v>107</v>
      </c>
      <c r="AG28" s="7">
        <f t="shared" si="2"/>
        <v>3973</v>
      </c>
    </row>
    <row r="29" spans="1:33" ht="15.75" customHeight="1" x14ac:dyDescent="0.25">
      <c r="A29" s="53" t="s">
        <v>2</v>
      </c>
      <c r="B29" s="54">
        <v>2</v>
      </c>
      <c r="C29" s="55">
        <v>0</v>
      </c>
      <c r="D29" s="55">
        <v>0</v>
      </c>
      <c r="E29" s="55">
        <v>5</v>
      </c>
      <c r="F29" s="55">
        <v>2</v>
      </c>
      <c r="G29" s="55">
        <v>0</v>
      </c>
      <c r="H29" s="55">
        <v>0</v>
      </c>
      <c r="I29" s="55">
        <v>0</v>
      </c>
      <c r="J29" s="55">
        <v>0</v>
      </c>
      <c r="K29" s="55">
        <v>0</v>
      </c>
      <c r="L29" s="55">
        <v>3</v>
      </c>
      <c r="M29" s="55">
        <v>3</v>
      </c>
      <c r="N29" s="55">
        <v>0</v>
      </c>
      <c r="O29" s="55">
        <v>0</v>
      </c>
      <c r="P29" s="55">
        <v>0</v>
      </c>
      <c r="Q29" s="55">
        <v>0</v>
      </c>
      <c r="R29" s="55">
        <v>0</v>
      </c>
      <c r="S29" s="55">
        <v>2</v>
      </c>
      <c r="T29" s="55">
        <v>2</v>
      </c>
      <c r="U29" s="55">
        <v>0</v>
      </c>
      <c r="V29" s="55">
        <v>0</v>
      </c>
      <c r="W29" s="55">
        <v>0</v>
      </c>
      <c r="X29" s="55">
        <v>0</v>
      </c>
      <c r="Y29" s="55">
        <v>0</v>
      </c>
      <c r="Z29" s="55">
        <v>5</v>
      </c>
      <c r="AA29" s="55">
        <v>0</v>
      </c>
      <c r="AB29" s="55">
        <v>0</v>
      </c>
      <c r="AC29" s="55">
        <v>0</v>
      </c>
      <c r="AD29" s="54">
        <v>0</v>
      </c>
      <c r="AE29" s="54">
        <v>0</v>
      </c>
      <c r="AF29" s="54">
        <v>0</v>
      </c>
      <c r="AG29" s="5">
        <f t="shared" si="2"/>
        <v>24</v>
      </c>
    </row>
    <row r="30" spans="1:33" ht="15.75" customHeight="1" x14ac:dyDescent="0.25">
      <c r="A30" s="56" t="s">
        <v>3</v>
      </c>
      <c r="B30" s="54">
        <v>2</v>
      </c>
      <c r="C30" s="54">
        <v>0</v>
      </c>
      <c r="D30" s="54">
        <v>0</v>
      </c>
      <c r="E30" s="54">
        <v>9</v>
      </c>
      <c r="F30" s="54">
        <v>1</v>
      </c>
      <c r="G30" s="54">
        <v>0</v>
      </c>
      <c r="H30" s="54">
        <v>0</v>
      </c>
      <c r="I30" s="54">
        <v>0</v>
      </c>
      <c r="J30" s="54">
        <v>0</v>
      </c>
      <c r="K30" s="54">
        <v>0</v>
      </c>
      <c r="L30" s="54">
        <v>7</v>
      </c>
      <c r="M30" s="54">
        <v>8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5</v>
      </c>
      <c r="T30" s="54">
        <v>4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4</v>
      </c>
      <c r="AA30" s="54">
        <v>6</v>
      </c>
      <c r="AB30" s="54">
        <v>0</v>
      </c>
      <c r="AC30" s="54">
        <v>0</v>
      </c>
      <c r="AD30" s="54">
        <v>0</v>
      </c>
      <c r="AE30" s="54">
        <v>0</v>
      </c>
      <c r="AF30" s="54">
        <v>0</v>
      </c>
      <c r="AG30" s="5">
        <f t="shared" si="2"/>
        <v>46</v>
      </c>
    </row>
    <row r="31" spans="1:33" ht="15.75" customHeight="1" x14ac:dyDescent="0.25">
      <c r="A31" s="56" t="s">
        <v>4</v>
      </c>
      <c r="B31" s="54">
        <v>6</v>
      </c>
      <c r="C31" s="54">
        <v>0</v>
      </c>
      <c r="D31" s="54">
        <v>0</v>
      </c>
      <c r="E31" s="54">
        <v>10</v>
      </c>
      <c r="F31" s="54">
        <v>8</v>
      </c>
      <c r="G31" s="54">
        <v>0</v>
      </c>
      <c r="H31" s="54">
        <v>0</v>
      </c>
      <c r="I31" s="54">
        <v>0</v>
      </c>
      <c r="J31" s="54">
        <v>0</v>
      </c>
      <c r="K31" s="54">
        <v>0</v>
      </c>
      <c r="L31" s="54">
        <v>7</v>
      </c>
      <c r="M31" s="54">
        <v>6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54">
        <v>11</v>
      </c>
      <c r="T31" s="54">
        <v>11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10</v>
      </c>
      <c r="AA31" s="54">
        <v>6</v>
      </c>
      <c r="AB31" s="54">
        <v>0</v>
      </c>
      <c r="AC31" s="54">
        <v>0</v>
      </c>
      <c r="AD31" s="54">
        <v>0</v>
      </c>
      <c r="AE31" s="54">
        <v>0</v>
      </c>
      <c r="AF31" s="54">
        <v>0</v>
      </c>
      <c r="AG31" s="5">
        <f t="shared" si="2"/>
        <v>75</v>
      </c>
    </row>
    <row r="32" spans="1:33" ht="15.75" customHeight="1" x14ac:dyDescent="0.25">
      <c r="A32" s="56" t="s">
        <v>5</v>
      </c>
      <c r="B32" s="54">
        <v>14</v>
      </c>
      <c r="C32" s="54">
        <v>0</v>
      </c>
      <c r="D32" s="54">
        <v>0</v>
      </c>
      <c r="E32" s="54">
        <v>15</v>
      </c>
      <c r="F32" s="54">
        <v>8</v>
      </c>
      <c r="G32" s="54">
        <v>0</v>
      </c>
      <c r="H32" s="54">
        <v>0</v>
      </c>
      <c r="I32" s="54">
        <v>0</v>
      </c>
      <c r="J32" s="54">
        <v>0</v>
      </c>
      <c r="K32" s="54">
        <v>0</v>
      </c>
      <c r="L32" s="54">
        <v>10</v>
      </c>
      <c r="M32" s="54">
        <v>10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11</v>
      </c>
      <c r="T32" s="54">
        <v>6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10</v>
      </c>
      <c r="AA32" s="54">
        <v>11</v>
      </c>
      <c r="AB32" s="54">
        <v>0</v>
      </c>
      <c r="AC32" s="54">
        <v>0</v>
      </c>
      <c r="AD32" s="54">
        <v>0</v>
      </c>
      <c r="AE32" s="54">
        <v>0</v>
      </c>
      <c r="AF32" s="54">
        <v>0</v>
      </c>
      <c r="AG32" s="5">
        <f t="shared" si="2"/>
        <v>95</v>
      </c>
    </row>
    <row r="33" spans="1:33" ht="15.75" customHeight="1" x14ac:dyDescent="0.25">
      <c r="A33" s="56" t="s">
        <v>6</v>
      </c>
      <c r="B33" s="54">
        <v>11</v>
      </c>
      <c r="C33" s="54">
        <v>0</v>
      </c>
      <c r="D33" s="54">
        <v>0</v>
      </c>
      <c r="E33" s="54">
        <v>10</v>
      </c>
      <c r="F33" s="54">
        <v>8</v>
      </c>
      <c r="G33" s="54">
        <v>0</v>
      </c>
      <c r="H33" s="54">
        <v>0</v>
      </c>
      <c r="I33" s="54">
        <v>0</v>
      </c>
      <c r="J33" s="54">
        <v>0</v>
      </c>
      <c r="K33" s="54">
        <v>0</v>
      </c>
      <c r="L33" s="54">
        <v>11</v>
      </c>
      <c r="M33" s="54">
        <v>6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54">
        <v>11</v>
      </c>
      <c r="T33" s="54">
        <v>16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8</v>
      </c>
      <c r="AA33" s="54">
        <v>10</v>
      </c>
      <c r="AB33" s="54">
        <v>0</v>
      </c>
      <c r="AC33" s="54">
        <v>0</v>
      </c>
      <c r="AD33" s="54">
        <v>0</v>
      </c>
      <c r="AE33" s="54">
        <v>0</v>
      </c>
      <c r="AF33" s="54">
        <v>0</v>
      </c>
      <c r="AG33" s="5">
        <f t="shared" si="2"/>
        <v>91</v>
      </c>
    </row>
    <row r="34" spans="1:33" ht="15.75" customHeight="1" x14ac:dyDescent="0.25">
      <c r="A34" s="56" t="s">
        <v>7</v>
      </c>
      <c r="B34" s="54">
        <v>7</v>
      </c>
      <c r="C34" s="54">
        <v>0</v>
      </c>
      <c r="D34" s="54">
        <v>0</v>
      </c>
      <c r="E34" s="54">
        <v>12</v>
      </c>
      <c r="F34" s="54">
        <v>4</v>
      </c>
      <c r="G34" s="54">
        <v>0</v>
      </c>
      <c r="H34" s="54">
        <v>0</v>
      </c>
      <c r="I34" s="54">
        <v>0</v>
      </c>
      <c r="J34" s="54">
        <v>0</v>
      </c>
      <c r="K34" s="54">
        <v>0</v>
      </c>
      <c r="L34" s="54">
        <v>7</v>
      </c>
      <c r="M34" s="54">
        <v>6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54">
        <v>6</v>
      </c>
      <c r="T34" s="54">
        <v>13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4</v>
      </c>
      <c r="AA34" s="54">
        <v>9</v>
      </c>
      <c r="AB34" s="54">
        <v>0</v>
      </c>
      <c r="AC34" s="54">
        <v>0</v>
      </c>
      <c r="AD34" s="54">
        <v>0</v>
      </c>
      <c r="AE34" s="54">
        <v>0</v>
      </c>
      <c r="AF34" s="54">
        <v>0</v>
      </c>
      <c r="AG34" s="5">
        <f t="shared" si="2"/>
        <v>68</v>
      </c>
    </row>
    <row r="35" spans="1:33" ht="15.75" customHeight="1" x14ac:dyDescent="0.25">
      <c r="A35" s="56" t="s">
        <v>8</v>
      </c>
      <c r="B35" s="54">
        <v>10</v>
      </c>
      <c r="C35" s="54">
        <v>0</v>
      </c>
      <c r="D35" s="54">
        <v>0</v>
      </c>
      <c r="E35" s="54">
        <v>3</v>
      </c>
      <c r="F35" s="54">
        <v>7</v>
      </c>
      <c r="G35" s="54">
        <v>0</v>
      </c>
      <c r="H35" s="54">
        <v>0</v>
      </c>
      <c r="I35" s="54">
        <v>0</v>
      </c>
      <c r="J35" s="54">
        <v>0</v>
      </c>
      <c r="K35" s="54">
        <v>0</v>
      </c>
      <c r="L35" s="54">
        <v>5</v>
      </c>
      <c r="M35" s="54">
        <v>9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54">
        <v>7</v>
      </c>
      <c r="T35" s="54">
        <v>11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14</v>
      </c>
      <c r="AA35" s="54">
        <v>5</v>
      </c>
      <c r="AB35" s="54">
        <v>0</v>
      </c>
      <c r="AC35" s="54">
        <v>0</v>
      </c>
      <c r="AD35" s="54">
        <v>0</v>
      </c>
      <c r="AE35" s="54">
        <v>0</v>
      </c>
      <c r="AF35" s="54">
        <v>0</v>
      </c>
      <c r="AG35" s="5">
        <f t="shared" si="2"/>
        <v>71</v>
      </c>
    </row>
    <row r="36" spans="1:33" ht="15.75" customHeight="1" x14ac:dyDescent="0.25">
      <c r="A36" s="56" t="s">
        <v>9</v>
      </c>
      <c r="B36" s="54">
        <v>11</v>
      </c>
      <c r="C36" s="54">
        <v>0</v>
      </c>
      <c r="D36" s="54">
        <v>0</v>
      </c>
      <c r="E36" s="54">
        <v>11</v>
      </c>
      <c r="F36" s="54">
        <v>14</v>
      </c>
      <c r="G36" s="54">
        <v>0</v>
      </c>
      <c r="H36" s="54">
        <v>0</v>
      </c>
      <c r="I36" s="54">
        <v>0</v>
      </c>
      <c r="J36" s="54">
        <v>0</v>
      </c>
      <c r="K36" s="54">
        <v>0</v>
      </c>
      <c r="L36" s="54">
        <v>5</v>
      </c>
      <c r="M36" s="54">
        <v>4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9</v>
      </c>
      <c r="T36" s="54">
        <v>9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5</v>
      </c>
      <c r="AA36" s="54">
        <v>9</v>
      </c>
      <c r="AB36" s="54">
        <v>0</v>
      </c>
      <c r="AC36" s="54">
        <v>0</v>
      </c>
      <c r="AD36" s="54">
        <v>0</v>
      </c>
      <c r="AE36" s="54">
        <v>0</v>
      </c>
      <c r="AF36" s="54">
        <v>0</v>
      </c>
      <c r="AG36" s="5">
        <f t="shared" si="2"/>
        <v>77</v>
      </c>
    </row>
    <row r="37" spans="1:33" ht="15.75" customHeight="1" x14ac:dyDescent="0.25">
      <c r="A37" s="56" t="s">
        <v>10</v>
      </c>
      <c r="B37" s="54">
        <v>9</v>
      </c>
      <c r="C37" s="54">
        <v>0</v>
      </c>
      <c r="D37" s="54">
        <v>1</v>
      </c>
      <c r="E37" s="54">
        <v>16</v>
      </c>
      <c r="F37" s="54">
        <v>9</v>
      </c>
      <c r="G37" s="54">
        <v>0</v>
      </c>
      <c r="H37" s="54">
        <v>0</v>
      </c>
      <c r="I37" s="54">
        <v>0</v>
      </c>
      <c r="J37" s="54">
        <v>0</v>
      </c>
      <c r="K37" s="54">
        <v>9</v>
      </c>
      <c r="L37" s="54">
        <v>3</v>
      </c>
      <c r="M37" s="54">
        <v>4</v>
      </c>
      <c r="N37" s="54">
        <v>0</v>
      </c>
      <c r="O37" s="54">
        <v>0</v>
      </c>
      <c r="P37" s="54">
        <v>0</v>
      </c>
      <c r="Q37" s="54">
        <v>0</v>
      </c>
      <c r="R37" s="54">
        <v>4</v>
      </c>
      <c r="S37" s="54">
        <v>10</v>
      </c>
      <c r="T37" s="54">
        <v>6</v>
      </c>
      <c r="U37" s="54">
        <v>0</v>
      </c>
      <c r="V37" s="54">
        <v>0</v>
      </c>
      <c r="W37" s="54">
        <v>0</v>
      </c>
      <c r="X37" s="54">
        <v>0</v>
      </c>
      <c r="Y37" s="54">
        <v>10</v>
      </c>
      <c r="Z37" s="54">
        <v>14</v>
      </c>
      <c r="AA37" s="54">
        <v>14</v>
      </c>
      <c r="AB37" s="54">
        <v>0</v>
      </c>
      <c r="AC37" s="54">
        <v>0</v>
      </c>
      <c r="AD37" s="54">
        <v>0</v>
      </c>
      <c r="AE37" s="54">
        <v>0</v>
      </c>
      <c r="AF37" s="54">
        <v>7</v>
      </c>
      <c r="AG37" s="5">
        <f t="shared" si="2"/>
        <v>116</v>
      </c>
    </row>
    <row r="38" spans="1:33" ht="15.75" customHeight="1" x14ac:dyDescent="0.25">
      <c r="A38" s="56" t="s">
        <v>11</v>
      </c>
      <c r="B38" s="54">
        <v>12</v>
      </c>
      <c r="C38" s="54">
        <v>6</v>
      </c>
      <c r="D38" s="54">
        <v>8</v>
      </c>
      <c r="E38" s="54">
        <v>5</v>
      </c>
      <c r="F38" s="54">
        <v>13</v>
      </c>
      <c r="G38" s="54">
        <v>14</v>
      </c>
      <c r="H38" s="54">
        <v>13</v>
      </c>
      <c r="I38" s="54">
        <v>10</v>
      </c>
      <c r="J38" s="54">
        <v>4</v>
      </c>
      <c r="K38" s="54">
        <v>16</v>
      </c>
      <c r="L38" s="54">
        <v>11</v>
      </c>
      <c r="M38" s="54">
        <v>10</v>
      </c>
      <c r="N38" s="54">
        <v>11</v>
      </c>
      <c r="O38" s="54">
        <v>10</v>
      </c>
      <c r="P38" s="54">
        <v>6</v>
      </c>
      <c r="Q38" s="54">
        <v>10</v>
      </c>
      <c r="R38" s="54">
        <v>13</v>
      </c>
      <c r="S38" s="54">
        <v>7</v>
      </c>
      <c r="T38" s="54">
        <v>11</v>
      </c>
      <c r="U38" s="54">
        <v>10</v>
      </c>
      <c r="V38" s="54">
        <v>10</v>
      </c>
      <c r="W38" s="54">
        <v>11</v>
      </c>
      <c r="X38" s="54">
        <v>8</v>
      </c>
      <c r="Y38" s="54">
        <v>12</v>
      </c>
      <c r="Z38" s="54">
        <v>13</v>
      </c>
      <c r="AA38" s="54">
        <v>11</v>
      </c>
      <c r="AB38" s="54">
        <v>3</v>
      </c>
      <c r="AC38" s="54">
        <v>11</v>
      </c>
      <c r="AD38" s="54">
        <v>7</v>
      </c>
      <c r="AE38" s="54">
        <v>8</v>
      </c>
      <c r="AF38" s="54">
        <v>16</v>
      </c>
      <c r="AG38" s="5">
        <f t="shared" si="2"/>
        <v>310</v>
      </c>
    </row>
    <row r="39" spans="1:33" ht="15.75" customHeight="1" x14ac:dyDescent="0.25">
      <c r="A39" s="56" t="s">
        <v>12</v>
      </c>
      <c r="B39" s="54">
        <v>6</v>
      </c>
      <c r="C39" s="54">
        <v>8</v>
      </c>
      <c r="D39" s="54">
        <v>11</v>
      </c>
      <c r="E39" s="54">
        <v>7</v>
      </c>
      <c r="F39" s="54">
        <v>16</v>
      </c>
      <c r="G39" s="54">
        <v>13</v>
      </c>
      <c r="H39" s="54">
        <v>10</v>
      </c>
      <c r="I39" s="54">
        <v>13</v>
      </c>
      <c r="J39" s="54">
        <v>11</v>
      </c>
      <c r="K39" s="54">
        <v>11</v>
      </c>
      <c r="L39" s="54">
        <v>11</v>
      </c>
      <c r="M39" s="54">
        <v>9</v>
      </c>
      <c r="N39" s="54">
        <v>19</v>
      </c>
      <c r="O39" s="54">
        <v>16</v>
      </c>
      <c r="P39" s="54">
        <v>17</v>
      </c>
      <c r="Q39" s="54">
        <v>12</v>
      </c>
      <c r="R39" s="54">
        <v>20</v>
      </c>
      <c r="S39" s="54">
        <v>9</v>
      </c>
      <c r="T39" s="54">
        <v>10</v>
      </c>
      <c r="U39" s="54">
        <v>11</v>
      </c>
      <c r="V39" s="54">
        <v>27</v>
      </c>
      <c r="W39" s="54">
        <v>8</v>
      </c>
      <c r="X39" s="54">
        <v>12</v>
      </c>
      <c r="Y39" s="54">
        <v>18</v>
      </c>
      <c r="Z39" s="54">
        <v>16</v>
      </c>
      <c r="AA39" s="54">
        <v>11</v>
      </c>
      <c r="AB39" s="54">
        <v>15</v>
      </c>
      <c r="AC39" s="54">
        <v>23</v>
      </c>
      <c r="AD39" s="54">
        <v>15</v>
      </c>
      <c r="AE39" s="54">
        <v>20</v>
      </c>
      <c r="AF39" s="54">
        <v>13</v>
      </c>
      <c r="AG39" s="5">
        <f t="shared" si="2"/>
        <v>418</v>
      </c>
    </row>
    <row r="40" spans="1:33" ht="15.75" customHeight="1" x14ac:dyDescent="0.25">
      <c r="A40" s="56" t="s">
        <v>13</v>
      </c>
      <c r="B40" s="54">
        <v>10</v>
      </c>
      <c r="C40" s="54">
        <v>10</v>
      </c>
      <c r="D40" s="54">
        <v>14</v>
      </c>
      <c r="E40" s="54">
        <v>13</v>
      </c>
      <c r="F40" s="54">
        <v>13</v>
      </c>
      <c r="G40" s="54">
        <v>10</v>
      </c>
      <c r="H40" s="54">
        <v>16</v>
      </c>
      <c r="I40" s="54">
        <v>16</v>
      </c>
      <c r="J40" s="54">
        <v>13</v>
      </c>
      <c r="K40" s="54">
        <v>18</v>
      </c>
      <c r="L40" s="54">
        <v>9</v>
      </c>
      <c r="M40" s="54">
        <v>16</v>
      </c>
      <c r="N40" s="54">
        <v>20</v>
      </c>
      <c r="O40" s="54">
        <v>18</v>
      </c>
      <c r="P40" s="54">
        <v>18</v>
      </c>
      <c r="Q40" s="54">
        <v>14</v>
      </c>
      <c r="R40" s="54">
        <v>18</v>
      </c>
      <c r="S40" s="54">
        <v>13</v>
      </c>
      <c r="T40" s="54">
        <v>20</v>
      </c>
      <c r="U40" s="54">
        <v>14</v>
      </c>
      <c r="V40" s="54">
        <v>22</v>
      </c>
      <c r="W40" s="54">
        <v>17</v>
      </c>
      <c r="X40" s="54">
        <v>14</v>
      </c>
      <c r="Y40" s="54">
        <v>23</v>
      </c>
      <c r="Z40" s="54">
        <v>7</v>
      </c>
      <c r="AA40" s="54">
        <v>12</v>
      </c>
      <c r="AB40" s="54">
        <v>18</v>
      </c>
      <c r="AC40" s="54">
        <v>17</v>
      </c>
      <c r="AD40" s="54">
        <v>16</v>
      </c>
      <c r="AE40" s="54">
        <v>11</v>
      </c>
      <c r="AF40" s="54">
        <v>20</v>
      </c>
      <c r="AG40" s="5">
        <f t="shared" si="2"/>
        <v>470</v>
      </c>
    </row>
    <row r="41" spans="1:33" ht="15.75" customHeight="1" x14ac:dyDescent="0.25">
      <c r="A41" s="56" t="s">
        <v>14</v>
      </c>
      <c r="B41" s="54">
        <v>8</v>
      </c>
      <c r="C41" s="54">
        <v>15</v>
      </c>
      <c r="D41" s="54">
        <v>20</v>
      </c>
      <c r="E41" s="54">
        <v>7</v>
      </c>
      <c r="F41" s="54">
        <v>13</v>
      </c>
      <c r="G41" s="54">
        <v>11</v>
      </c>
      <c r="H41" s="54">
        <v>17</v>
      </c>
      <c r="I41" s="54">
        <v>17</v>
      </c>
      <c r="J41" s="54">
        <v>20</v>
      </c>
      <c r="K41" s="54">
        <v>15</v>
      </c>
      <c r="L41" s="54">
        <v>8</v>
      </c>
      <c r="M41" s="54">
        <v>10</v>
      </c>
      <c r="N41" s="54">
        <v>20</v>
      </c>
      <c r="O41" s="54">
        <v>16</v>
      </c>
      <c r="P41" s="54">
        <v>15</v>
      </c>
      <c r="Q41" s="54">
        <v>15</v>
      </c>
      <c r="R41" s="54">
        <v>7</v>
      </c>
      <c r="S41" s="54">
        <v>8</v>
      </c>
      <c r="T41" s="54">
        <v>17</v>
      </c>
      <c r="U41" s="54">
        <v>19</v>
      </c>
      <c r="V41" s="54">
        <v>15</v>
      </c>
      <c r="W41" s="54">
        <v>11</v>
      </c>
      <c r="X41" s="54">
        <v>17</v>
      </c>
      <c r="Y41" s="54">
        <v>7</v>
      </c>
      <c r="Z41" s="54">
        <v>9</v>
      </c>
      <c r="AA41" s="54">
        <v>5</v>
      </c>
      <c r="AB41" s="54">
        <v>21</v>
      </c>
      <c r="AC41" s="54">
        <v>18</v>
      </c>
      <c r="AD41" s="54">
        <v>14</v>
      </c>
      <c r="AE41" s="54">
        <v>17</v>
      </c>
      <c r="AF41" s="54">
        <v>17</v>
      </c>
      <c r="AG41" s="5">
        <f t="shared" si="2"/>
        <v>429</v>
      </c>
    </row>
    <row r="42" spans="1:33" ht="15.75" customHeight="1" x14ac:dyDescent="0.25">
      <c r="A42" s="56" t="s">
        <v>15</v>
      </c>
      <c r="B42" s="54">
        <v>4</v>
      </c>
      <c r="C42" s="54">
        <v>12</v>
      </c>
      <c r="D42" s="54">
        <v>17</v>
      </c>
      <c r="E42" s="54">
        <v>11</v>
      </c>
      <c r="F42" s="54">
        <v>9</v>
      </c>
      <c r="G42" s="54">
        <v>18</v>
      </c>
      <c r="H42" s="54">
        <v>13</v>
      </c>
      <c r="I42" s="54">
        <v>12</v>
      </c>
      <c r="J42" s="54">
        <v>14</v>
      </c>
      <c r="K42" s="54">
        <v>10</v>
      </c>
      <c r="L42" s="54">
        <v>9</v>
      </c>
      <c r="M42" s="54">
        <v>11</v>
      </c>
      <c r="N42" s="54">
        <v>10</v>
      </c>
      <c r="O42" s="54">
        <v>13</v>
      </c>
      <c r="P42" s="54">
        <v>14</v>
      </c>
      <c r="Q42" s="54">
        <v>10</v>
      </c>
      <c r="R42" s="54">
        <v>6</v>
      </c>
      <c r="S42" s="54">
        <v>10</v>
      </c>
      <c r="T42" s="54">
        <v>9</v>
      </c>
      <c r="U42" s="54">
        <v>11</v>
      </c>
      <c r="V42" s="54">
        <v>16</v>
      </c>
      <c r="W42" s="54">
        <v>12</v>
      </c>
      <c r="X42" s="54">
        <v>13</v>
      </c>
      <c r="Y42" s="54">
        <v>5</v>
      </c>
      <c r="Z42" s="54">
        <v>7</v>
      </c>
      <c r="AA42" s="54">
        <v>8</v>
      </c>
      <c r="AB42" s="54">
        <v>14</v>
      </c>
      <c r="AC42" s="54">
        <v>13</v>
      </c>
      <c r="AD42" s="54">
        <v>16</v>
      </c>
      <c r="AE42" s="54">
        <v>13</v>
      </c>
      <c r="AF42" s="54">
        <v>7</v>
      </c>
      <c r="AG42" s="5">
        <f t="shared" si="2"/>
        <v>347</v>
      </c>
    </row>
    <row r="43" spans="1:33" ht="15.75" customHeight="1" x14ac:dyDescent="0.25">
      <c r="A43" s="56" t="s">
        <v>16</v>
      </c>
      <c r="B43" s="54">
        <v>10</v>
      </c>
      <c r="C43" s="54">
        <v>3</v>
      </c>
      <c r="D43" s="54">
        <v>7</v>
      </c>
      <c r="E43" s="54">
        <v>9</v>
      </c>
      <c r="F43" s="54">
        <v>7</v>
      </c>
      <c r="G43" s="54">
        <v>6</v>
      </c>
      <c r="H43" s="54">
        <v>9</v>
      </c>
      <c r="I43" s="54">
        <v>8</v>
      </c>
      <c r="J43" s="54">
        <v>10</v>
      </c>
      <c r="K43" s="54">
        <v>9</v>
      </c>
      <c r="L43" s="54">
        <v>7</v>
      </c>
      <c r="M43" s="54">
        <v>5</v>
      </c>
      <c r="N43" s="54">
        <v>12</v>
      </c>
      <c r="O43" s="54">
        <v>9</v>
      </c>
      <c r="P43" s="54">
        <v>10</v>
      </c>
      <c r="Q43" s="54">
        <v>6</v>
      </c>
      <c r="R43" s="54">
        <v>5</v>
      </c>
      <c r="S43" s="54">
        <v>13</v>
      </c>
      <c r="T43" s="54">
        <v>6</v>
      </c>
      <c r="U43" s="54">
        <v>11</v>
      </c>
      <c r="V43" s="54">
        <v>7</v>
      </c>
      <c r="W43" s="54">
        <v>13</v>
      </c>
      <c r="X43" s="54">
        <v>8</v>
      </c>
      <c r="Y43" s="54">
        <v>6</v>
      </c>
      <c r="Z43" s="54">
        <v>6</v>
      </c>
      <c r="AA43" s="54">
        <v>7</v>
      </c>
      <c r="AB43" s="54">
        <v>17</v>
      </c>
      <c r="AC43" s="54">
        <v>12</v>
      </c>
      <c r="AD43" s="54">
        <v>9</v>
      </c>
      <c r="AE43" s="54">
        <v>7</v>
      </c>
      <c r="AF43" s="54">
        <v>4</v>
      </c>
      <c r="AG43" s="5">
        <f t="shared" si="2"/>
        <v>258</v>
      </c>
    </row>
    <row r="44" spans="1:33" ht="15.75" customHeight="1" x14ac:dyDescent="0.25">
      <c r="A44" s="56" t="s">
        <v>17</v>
      </c>
      <c r="B44" s="54">
        <v>9</v>
      </c>
      <c r="C44" s="54">
        <v>11</v>
      </c>
      <c r="D44" s="54">
        <v>8</v>
      </c>
      <c r="E44" s="54">
        <v>8</v>
      </c>
      <c r="F44" s="54">
        <v>11</v>
      </c>
      <c r="G44" s="54">
        <v>9</v>
      </c>
      <c r="H44" s="54">
        <v>5</v>
      </c>
      <c r="I44" s="54">
        <v>10</v>
      </c>
      <c r="J44" s="54">
        <v>6</v>
      </c>
      <c r="K44" s="54">
        <v>8</v>
      </c>
      <c r="L44" s="54">
        <v>9</v>
      </c>
      <c r="M44" s="54">
        <v>12</v>
      </c>
      <c r="N44" s="54">
        <v>6</v>
      </c>
      <c r="O44" s="54">
        <v>8</v>
      </c>
      <c r="P44" s="54">
        <v>7</v>
      </c>
      <c r="Q44" s="54">
        <v>9</v>
      </c>
      <c r="R44" s="54">
        <v>8</v>
      </c>
      <c r="S44" s="54">
        <v>6</v>
      </c>
      <c r="T44" s="54">
        <v>6</v>
      </c>
      <c r="U44" s="54">
        <v>7</v>
      </c>
      <c r="V44" s="54">
        <v>4</v>
      </c>
      <c r="W44" s="54">
        <v>10</v>
      </c>
      <c r="X44" s="54">
        <v>9</v>
      </c>
      <c r="Y44" s="54">
        <v>7</v>
      </c>
      <c r="Z44" s="54">
        <v>6</v>
      </c>
      <c r="AA44" s="54">
        <v>6</v>
      </c>
      <c r="AB44" s="54">
        <v>7</v>
      </c>
      <c r="AC44" s="54">
        <v>9</v>
      </c>
      <c r="AD44" s="54">
        <v>7</v>
      </c>
      <c r="AE44" s="54">
        <v>4</v>
      </c>
      <c r="AF44" s="54">
        <v>6</v>
      </c>
      <c r="AG44" s="5">
        <f t="shared" si="2"/>
        <v>238</v>
      </c>
    </row>
    <row r="45" spans="1:33" ht="15.75" customHeight="1" x14ac:dyDescent="0.25">
      <c r="A45" s="56" t="s">
        <v>18</v>
      </c>
      <c r="B45" s="54">
        <v>4</v>
      </c>
      <c r="C45" s="54">
        <v>2</v>
      </c>
      <c r="D45" s="54">
        <v>8</v>
      </c>
      <c r="E45" s="54">
        <v>8</v>
      </c>
      <c r="F45" s="54">
        <v>10</v>
      </c>
      <c r="G45" s="54">
        <v>10</v>
      </c>
      <c r="H45" s="54">
        <v>3</v>
      </c>
      <c r="I45" s="54">
        <v>7</v>
      </c>
      <c r="J45" s="54">
        <v>3</v>
      </c>
      <c r="K45" s="54">
        <v>7</v>
      </c>
      <c r="L45" s="54">
        <v>10</v>
      </c>
      <c r="M45" s="54">
        <v>4</v>
      </c>
      <c r="N45" s="54">
        <v>7</v>
      </c>
      <c r="O45" s="54">
        <v>6</v>
      </c>
      <c r="P45" s="54">
        <v>6</v>
      </c>
      <c r="Q45" s="54">
        <v>9</v>
      </c>
      <c r="R45" s="54">
        <v>7</v>
      </c>
      <c r="S45" s="54">
        <v>2</v>
      </c>
      <c r="T45" s="54">
        <v>4</v>
      </c>
      <c r="U45" s="54">
        <v>9</v>
      </c>
      <c r="V45" s="54">
        <v>4</v>
      </c>
      <c r="W45" s="54">
        <v>17</v>
      </c>
      <c r="X45" s="54">
        <v>4</v>
      </c>
      <c r="Y45" s="54">
        <v>5</v>
      </c>
      <c r="Z45" s="54">
        <v>6</v>
      </c>
      <c r="AA45" s="54">
        <v>4</v>
      </c>
      <c r="AB45" s="54">
        <v>11</v>
      </c>
      <c r="AC45" s="54">
        <v>12</v>
      </c>
      <c r="AD45" s="54">
        <v>7</v>
      </c>
      <c r="AE45" s="54">
        <v>8</v>
      </c>
      <c r="AF45" s="54">
        <v>2</v>
      </c>
      <c r="AG45" s="5">
        <f t="shared" si="2"/>
        <v>206</v>
      </c>
    </row>
    <row r="46" spans="1:33" ht="15.75" customHeight="1" x14ac:dyDescent="0.25">
      <c r="A46" s="56" t="s">
        <v>19</v>
      </c>
      <c r="B46" s="54">
        <v>4</v>
      </c>
      <c r="C46" s="54">
        <v>15</v>
      </c>
      <c r="D46" s="54">
        <v>5</v>
      </c>
      <c r="E46" s="54">
        <v>12</v>
      </c>
      <c r="F46" s="54">
        <v>3</v>
      </c>
      <c r="G46" s="54">
        <v>10</v>
      </c>
      <c r="H46" s="54">
        <v>1</v>
      </c>
      <c r="I46" s="54">
        <v>3</v>
      </c>
      <c r="J46" s="54">
        <v>9</v>
      </c>
      <c r="K46" s="54">
        <v>1</v>
      </c>
      <c r="L46" s="54">
        <v>9</v>
      </c>
      <c r="M46" s="54">
        <v>6</v>
      </c>
      <c r="N46" s="54">
        <v>9</v>
      </c>
      <c r="O46" s="54">
        <v>3</v>
      </c>
      <c r="P46" s="54">
        <v>15</v>
      </c>
      <c r="Q46" s="54">
        <v>9</v>
      </c>
      <c r="R46" s="54">
        <v>4</v>
      </c>
      <c r="S46" s="54">
        <v>3</v>
      </c>
      <c r="T46" s="54">
        <v>4</v>
      </c>
      <c r="U46" s="54">
        <v>6</v>
      </c>
      <c r="V46" s="54">
        <v>6</v>
      </c>
      <c r="W46" s="54">
        <v>9</v>
      </c>
      <c r="X46" s="54">
        <v>10</v>
      </c>
      <c r="Y46" s="54">
        <v>2</v>
      </c>
      <c r="Z46" s="54">
        <v>8</v>
      </c>
      <c r="AA46" s="54">
        <v>3</v>
      </c>
      <c r="AB46" s="54">
        <v>5</v>
      </c>
      <c r="AC46" s="54">
        <v>0</v>
      </c>
      <c r="AD46" s="54">
        <v>16</v>
      </c>
      <c r="AE46" s="54">
        <v>8</v>
      </c>
      <c r="AF46" s="54">
        <v>2</v>
      </c>
      <c r="AG46" s="5">
        <f t="shared" si="2"/>
        <v>200</v>
      </c>
    </row>
    <row r="47" spans="1:33" ht="15.75" customHeight="1" x14ac:dyDescent="0.25">
      <c r="A47" s="56" t="s">
        <v>20</v>
      </c>
      <c r="B47" s="54">
        <v>3</v>
      </c>
      <c r="C47" s="54">
        <v>8</v>
      </c>
      <c r="D47" s="54">
        <v>1</v>
      </c>
      <c r="E47" s="54">
        <v>7</v>
      </c>
      <c r="F47" s="54">
        <v>4</v>
      </c>
      <c r="G47" s="54">
        <v>6</v>
      </c>
      <c r="H47" s="54">
        <v>2</v>
      </c>
      <c r="I47" s="54">
        <v>4</v>
      </c>
      <c r="J47" s="54">
        <v>14</v>
      </c>
      <c r="K47" s="54">
        <v>1</v>
      </c>
      <c r="L47" s="54">
        <v>2</v>
      </c>
      <c r="M47" s="54">
        <v>3</v>
      </c>
      <c r="N47" s="54">
        <v>7</v>
      </c>
      <c r="O47" s="54">
        <v>2</v>
      </c>
      <c r="P47" s="54">
        <v>3</v>
      </c>
      <c r="Q47" s="54">
        <v>17</v>
      </c>
      <c r="R47" s="54">
        <v>3</v>
      </c>
      <c r="S47" s="54">
        <v>4</v>
      </c>
      <c r="T47" s="54">
        <v>2</v>
      </c>
      <c r="U47" s="54">
        <v>13</v>
      </c>
      <c r="V47" s="54">
        <v>3</v>
      </c>
      <c r="W47" s="54">
        <v>0</v>
      </c>
      <c r="X47" s="54">
        <v>7</v>
      </c>
      <c r="Y47" s="54">
        <v>1</v>
      </c>
      <c r="Z47" s="54">
        <v>3</v>
      </c>
      <c r="AA47" s="54">
        <v>6</v>
      </c>
      <c r="AB47" s="54">
        <v>2</v>
      </c>
      <c r="AC47" s="54">
        <v>4</v>
      </c>
      <c r="AD47" s="54">
        <v>2</v>
      </c>
      <c r="AE47" s="54">
        <v>6</v>
      </c>
      <c r="AF47" s="54">
        <v>3</v>
      </c>
      <c r="AG47" s="5">
        <f t="shared" si="2"/>
        <v>143</v>
      </c>
    </row>
    <row r="48" spans="1:33" ht="15.75" customHeight="1" x14ac:dyDescent="0.25">
      <c r="A48" s="56" t="s">
        <v>21</v>
      </c>
      <c r="B48" s="54">
        <v>1</v>
      </c>
      <c r="C48" s="54">
        <v>4</v>
      </c>
      <c r="D48" s="54">
        <v>0</v>
      </c>
      <c r="E48" s="54">
        <v>1</v>
      </c>
      <c r="F48" s="54">
        <v>3</v>
      </c>
      <c r="G48" s="54">
        <v>3</v>
      </c>
      <c r="H48" s="54">
        <v>2</v>
      </c>
      <c r="I48" s="54">
        <v>1</v>
      </c>
      <c r="J48" s="54">
        <v>4</v>
      </c>
      <c r="K48" s="54">
        <v>5</v>
      </c>
      <c r="L48" s="54">
        <v>1</v>
      </c>
      <c r="M48" s="54">
        <v>3</v>
      </c>
      <c r="N48" s="54">
        <v>2</v>
      </c>
      <c r="O48" s="54">
        <v>7</v>
      </c>
      <c r="P48" s="54">
        <v>3</v>
      </c>
      <c r="Q48" s="54">
        <v>4</v>
      </c>
      <c r="R48" s="54">
        <v>1</v>
      </c>
      <c r="S48" s="54">
        <v>2</v>
      </c>
      <c r="T48" s="54">
        <v>2</v>
      </c>
      <c r="U48" s="54">
        <v>5</v>
      </c>
      <c r="V48" s="54">
        <v>2</v>
      </c>
      <c r="W48" s="54">
        <v>2</v>
      </c>
      <c r="X48" s="54">
        <v>3</v>
      </c>
      <c r="Y48" s="54">
        <v>2</v>
      </c>
      <c r="Z48" s="54">
        <v>3</v>
      </c>
      <c r="AA48" s="54">
        <v>2</v>
      </c>
      <c r="AB48" s="54">
        <v>2</v>
      </c>
      <c r="AC48" s="54">
        <v>1</v>
      </c>
      <c r="AD48" s="54">
        <v>4</v>
      </c>
      <c r="AE48" s="54">
        <v>0</v>
      </c>
      <c r="AF48" s="54">
        <v>2</v>
      </c>
      <c r="AG48" s="5">
        <f t="shared" si="2"/>
        <v>77</v>
      </c>
    </row>
    <row r="49" spans="1:33" ht="15.75" customHeight="1" x14ac:dyDescent="0.25">
      <c r="A49" s="56" t="s">
        <v>22</v>
      </c>
      <c r="B49" s="54">
        <v>3</v>
      </c>
      <c r="C49" s="54">
        <v>10</v>
      </c>
      <c r="D49" s="54">
        <v>1</v>
      </c>
      <c r="E49" s="54">
        <v>4</v>
      </c>
      <c r="F49" s="54">
        <v>2</v>
      </c>
      <c r="G49" s="54">
        <v>1</v>
      </c>
      <c r="H49" s="54">
        <v>0</v>
      </c>
      <c r="I49" s="54">
        <v>0</v>
      </c>
      <c r="J49" s="54">
        <v>3</v>
      </c>
      <c r="K49" s="54">
        <v>4</v>
      </c>
      <c r="L49" s="54">
        <v>2</v>
      </c>
      <c r="M49" s="54">
        <v>4</v>
      </c>
      <c r="N49" s="54">
        <v>6</v>
      </c>
      <c r="O49" s="54">
        <v>0</v>
      </c>
      <c r="P49" s="54">
        <v>1</v>
      </c>
      <c r="Q49" s="54">
        <v>4</v>
      </c>
      <c r="R49" s="54">
        <v>3</v>
      </c>
      <c r="S49" s="54">
        <v>2</v>
      </c>
      <c r="T49" s="54">
        <v>1</v>
      </c>
      <c r="U49" s="54">
        <v>6</v>
      </c>
      <c r="V49" s="54">
        <v>5</v>
      </c>
      <c r="W49" s="54">
        <v>3</v>
      </c>
      <c r="X49" s="54">
        <v>0</v>
      </c>
      <c r="Y49" s="54">
        <v>0</v>
      </c>
      <c r="Z49" s="54">
        <v>3</v>
      </c>
      <c r="AA49" s="54">
        <v>3</v>
      </c>
      <c r="AB49" s="54">
        <v>2</v>
      </c>
      <c r="AC49" s="54">
        <v>1</v>
      </c>
      <c r="AD49" s="54">
        <v>5</v>
      </c>
      <c r="AE49" s="54">
        <v>5</v>
      </c>
      <c r="AF49" s="54">
        <v>2</v>
      </c>
      <c r="AG49" s="5">
        <f t="shared" si="2"/>
        <v>86</v>
      </c>
    </row>
    <row r="50" spans="1:33" ht="15.75" customHeight="1" x14ac:dyDescent="0.25">
      <c r="A50" s="56" t="s">
        <v>23</v>
      </c>
      <c r="B50" s="54">
        <v>1</v>
      </c>
      <c r="C50" s="54">
        <v>0</v>
      </c>
      <c r="D50" s="54">
        <v>4</v>
      </c>
      <c r="E50" s="54">
        <v>5</v>
      </c>
      <c r="F50" s="54">
        <v>1</v>
      </c>
      <c r="G50" s="54">
        <v>1</v>
      </c>
      <c r="H50" s="54">
        <v>0</v>
      </c>
      <c r="I50" s="54">
        <v>0</v>
      </c>
      <c r="J50" s="54">
        <v>3</v>
      </c>
      <c r="K50" s="54">
        <v>1</v>
      </c>
      <c r="L50" s="54">
        <v>0</v>
      </c>
      <c r="M50" s="54">
        <v>2</v>
      </c>
      <c r="N50" s="54">
        <v>5</v>
      </c>
      <c r="O50" s="54">
        <v>1</v>
      </c>
      <c r="P50" s="54">
        <v>1</v>
      </c>
      <c r="Q50" s="54">
        <v>1</v>
      </c>
      <c r="R50" s="54">
        <v>3</v>
      </c>
      <c r="S50" s="54">
        <v>0</v>
      </c>
      <c r="T50" s="54">
        <v>1</v>
      </c>
      <c r="U50" s="54">
        <v>2</v>
      </c>
      <c r="V50" s="54">
        <v>2</v>
      </c>
      <c r="W50" s="54">
        <v>0</v>
      </c>
      <c r="X50" s="54">
        <v>3</v>
      </c>
      <c r="Y50" s="54">
        <v>0</v>
      </c>
      <c r="Z50" s="54">
        <v>2</v>
      </c>
      <c r="AA50" s="54">
        <v>0</v>
      </c>
      <c r="AB50" s="54">
        <v>0</v>
      </c>
      <c r="AC50" s="54">
        <v>1</v>
      </c>
      <c r="AD50" s="54">
        <v>0</v>
      </c>
      <c r="AE50" s="54">
        <v>2</v>
      </c>
      <c r="AF50" s="54">
        <v>4</v>
      </c>
      <c r="AG50" s="5">
        <f t="shared" si="2"/>
        <v>46</v>
      </c>
    </row>
    <row r="51" spans="1:33" ht="15.75" customHeight="1" x14ac:dyDescent="0.25">
      <c r="A51" s="56" t="s">
        <v>24</v>
      </c>
      <c r="B51" s="54">
        <v>0</v>
      </c>
      <c r="C51" s="54">
        <v>2</v>
      </c>
      <c r="D51" s="54">
        <v>5</v>
      </c>
      <c r="E51" s="54">
        <v>1</v>
      </c>
      <c r="F51" s="54">
        <v>3</v>
      </c>
      <c r="G51" s="54">
        <v>1</v>
      </c>
      <c r="H51" s="54">
        <v>2</v>
      </c>
      <c r="I51" s="54">
        <v>1</v>
      </c>
      <c r="J51" s="54">
        <v>2</v>
      </c>
      <c r="K51" s="54">
        <v>2</v>
      </c>
      <c r="L51" s="54">
        <v>2</v>
      </c>
      <c r="M51" s="54">
        <v>1</v>
      </c>
      <c r="N51" s="54">
        <v>2</v>
      </c>
      <c r="O51" s="54">
        <v>4</v>
      </c>
      <c r="P51" s="54">
        <v>1</v>
      </c>
      <c r="Q51" s="54">
        <v>0</v>
      </c>
      <c r="R51" s="54">
        <v>1</v>
      </c>
      <c r="S51" s="54">
        <v>0</v>
      </c>
      <c r="T51" s="54">
        <v>0</v>
      </c>
      <c r="U51" s="54">
        <v>0</v>
      </c>
      <c r="V51" s="54">
        <v>1</v>
      </c>
      <c r="W51" s="54">
        <v>3</v>
      </c>
      <c r="X51" s="54">
        <v>1</v>
      </c>
      <c r="Y51" s="54">
        <v>2</v>
      </c>
      <c r="Z51" s="54">
        <v>2</v>
      </c>
      <c r="AA51" s="54">
        <v>2</v>
      </c>
      <c r="AB51" s="54">
        <v>1</v>
      </c>
      <c r="AC51" s="54">
        <v>1</v>
      </c>
      <c r="AD51" s="54">
        <v>1</v>
      </c>
      <c r="AE51" s="54">
        <v>2</v>
      </c>
      <c r="AF51" s="54">
        <v>2</v>
      </c>
      <c r="AG51" s="5">
        <f t="shared" si="2"/>
        <v>48</v>
      </c>
    </row>
    <row r="52" spans="1:33" ht="15.75" customHeight="1" thickBot="1" x14ac:dyDescent="0.3">
      <c r="A52" s="57" t="s">
        <v>25</v>
      </c>
      <c r="B52" s="58">
        <v>0</v>
      </c>
      <c r="C52" s="58">
        <v>0</v>
      </c>
      <c r="D52" s="58">
        <v>0</v>
      </c>
      <c r="E52" s="58">
        <v>4</v>
      </c>
      <c r="F52" s="58">
        <v>0</v>
      </c>
      <c r="G52" s="58">
        <v>2</v>
      </c>
      <c r="H52" s="58">
        <v>1</v>
      </c>
      <c r="I52" s="58">
        <v>1</v>
      </c>
      <c r="J52" s="58">
        <v>2</v>
      </c>
      <c r="K52" s="58">
        <v>0</v>
      </c>
      <c r="L52" s="58">
        <v>1</v>
      </c>
      <c r="M52" s="58">
        <v>3</v>
      </c>
      <c r="N52" s="58">
        <v>1</v>
      </c>
      <c r="O52" s="58">
        <v>1</v>
      </c>
      <c r="P52" s="58">
        <v>1</v>
      </c>
      <c r="Q52" s="58">
        <v>1</v>
      </c>
      <c r="R52" s="58">
        <v>0</v>
      </c>
      <c r="S52" s="58">
        <v>2</v>
      </c>
      <c r="T52" s="58">
        <v>0</v>
      </c>
      <c r="U52" s="58">
        <v>0</v>
      </c>
      <c r="V52" s="58">
        <v>0</v>
      </c>
      <c r="W52" s="58">
        <v>3</v>
      </c>
      <c r="X52" s="58">
        <v>1</v>
      </c>
      <c r="Y52" s="58">
        <v>1</v>
      </c>
      <c r="Z52" s="58">
        <v>3</v>
      </c>
      <c r="AA52" s="58">
        <v>2</v>
      </c>
      <c r="AB52" s="58">
        <v>0</v>
      </c>
      <c r="AC52" s="58">
        <v>1</v>
      </c>
      <c r="AD52" s="60">
        <v>2</v>
      </c>
      <c r="AE52" s="60">
        <v>1</v>
      </c>
      <c r="AF52" s="60">
        <v>0</v>
      </c>
      <c r="AG52" s="9">
        <f t="shared" si="2"/>
        <v>34</v>
      </c>
    </row>
    <row r="53" spans="1:33" ht="15.75" customHeight="1" thickBot="1" x14ac:dyDescent="0.3">
      <c r="A53" s="52" t="s">
        <v>27</v>
      </c>
      <c r="B53" s="1">
        <f t="shared" ref="B53:AF53" si="4">SUM(B54:B77)</f>
        <v>5</v>
      </c>
      <c r="C53" s="1">
        <f t="shared" si="4"/>
        <v>39</v>
      </c>
      <c r="D53" s="1">
        <f t="shared" si="4"/>
        <v>31</v>
      </c>
      <c r="E53" s="1">
        <f t="shared" si="4"/>
        <v>11</v>
      </c>
      <c r="F53" s="1">
        <f t="shared" si="4"/>
        <v>5</v>
      </c>
      <c r="G53" s="1">
        <f t="shared" si="4"/>
        <v>8</v>
      </c>
      <c r="H53" s="1">
        <f t="shared" si="4"/>
        <v>4</v>
      </c>
      <c r="I53" s="1">
        <f t="shared" si="4"/>
        <v>9</v>
      </c>
      <c r="J53" s="1">
        <f t="shared" si="4"/>
        <v>3</v>
      </c>
      <c r="K53" s="1">
        <f t="shared" si="4"/>
        <v>10</v>
      </c>
      <c r="L53" s="1">
        <f t="shared" si="4"/>
        <v>4</v>
      </c>
      <c r="M53" s="1">
        <f t="shared" si="4"/>
        <v>11</v>
      </c>
      <c r="N53" s="1">
        <f t="shared" si="4"/>
        <v>7</v>
      </c>
      <c r="O53" s="1">
        <f t="shared" si="4"/>
        <v>6</v>
      </c>
      <c r="P53" s="1">
        <f t="shared" si="4"/>
        <v>7</v>
      </c>
      <c r="Q53" s="1">
        <f t="shared" si="4"/>
        <v>8</v>
      </c>
      <c r="R53" s="1">
        <f t="shared" si="4"/>
        <v>6</v>
      </c>
      <c r="S53" s="1">
        <f t="shared" si="4"/>
        <v>5</v>
      </c>
      <c r="T53" s="1">
        <f t="shared" si="4"/>
        <v>7</v>
      </c>
      <c r="U53" s="1">
        <f t="shared" si="4"/>
        <v>18</v>
      </c>
      <c r="V53" s="1">
        <f t="shared" si="4"/>
        <v>3</v>
      </c>
      <c r="W53" s="1">
        <f t="shared" si="4"/>
        <v>11</v>
      </c>
      <c r="X53" s="1">
        <f t="shared" si="4"/>
        <v>5</v>
      </c>
      <c r="Y53" s="1">
        <f t="shared" si="4"/>
        <v>6</v>
      </c>
      <c r="Z53" s="1">
        <f t="shared" si="4"/>
        <v>8</v>
      </c>
      <c r="AA53" s="1">
        <f t="shared" si="4"/>
        <v>3</v>
      </c>
      <c r="AB53" s="1">
        <f t="shared" si="4"/>
        <v>13</v>
      </c>
      <c r="AC53" s="1">
        <f t="shared" si="4"/>
        <v>4</v>
      </c>
      <c r="AD53" s="1">
        <f t="shared" si="4"/>
        <v>14</v>
      </c>
      <c r="AE53" s="1">
        <f t="shared" si="4"/>
        <v>11</v>
      </c>
      <c r="AF53" s="1">
        <f t="shared" si="4"/>
        <v>4</v>
      </c>
      <c r="AG53" s="10">
        <f t="shared" si="2"/>
        <v>286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1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1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1</v>
      </c>
      <c r="T56" s="54">
        <v>1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2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0</v>
      </c>
    </row>
    <row r="58" spans="1:33" ht="15.75" customHeight="1" x14ac:dyDescent="0.25">
      <c r="A58" s="56" t="s">
        <v>6</v>
      </c>
      <c r="B58" s="54">
        <v>2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2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2</v>
      </c>
      <c r="AA59" s="54">
        <v>1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">
        <f t="shared" si="2"/>
        <v>3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2"/>
        <v>0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1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">
        <f t="shared" si="2"/>
        <v>1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1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1</v>
      </c>
      <c r="L62" s="54">
        <v>1</v>
      </c>
      <c r="M62" s="54">
        <v>2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  <c r="S62" s="54">
        <v>0</v>
      </c>
      <c r="T62" s="54">
        <v>1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5</v>
      </c>
      <c r="AA62" s="54">
        <v>0</v>
      </c>
      <c r="AB62" s="54">
        <v>0</v>
      </c>
      <c r="AC62" s="54">
        <v>0</v>
      </c>
      <c r="AD62" s="54">
        <v>0</v>
      </c>
      <c r="AE62" s="54">
        <v>0</v>
      </c>
      <c r="AF62" s="54">
        <v>1</v>
      </c>
      <c r="AG62" s="5">
        <f t="shared" si="2"/>
        <v>13</v>
      </c>
    </row>
    <row r="63" spans="1:33" ht="15.75" customHeight="1" x14ac:dyDescent="0.25">
      <c r="A63" s="56" t="s">
        <v>11</v>
      </c>
      <c r="B63" s="54">
        <v>0</v>
      </c>
      <c r="C63" s="54">
        <v>2</v>
      </c>
      <c r="D63" s="54">
        <v>3</v>
      </c>
      <c r="E63" s="54">
        <v>1</v>
      </c>
      <c r="F63" s="54">
        <v>1</v>
      </c>
      <c r="G63" s="54">
        <v>0</v>
      </c>
      <c r="H63" s="54">
        <v>0</v>
      </c>
      <c r="I63" s="54">
        <v>1</v>
      </c>
      <c r="J63" s="54">
        <v>1</v>
      </c>
      <c r="K63" s="54">
        <v>0</v>
      </c>
      <c r="L63" s="54">
        <v>0</v>
      </c>
      <c r="M63" s="54">
        <v>1</v>
      </c>
      <c r="N63" s="54">
        <v>0</v>
      </c>
      <c r="O63" s="54">
        <v>1</v>
      </c>
      <c r="P63" s="54">
        <v>1</v>
      </c>
      <c r="Q63" s="54">
        <v>0</v>
      </c>
      <c r="R63" s="54">
        <v>0</v>
      </c>
      <c r="S63" s="54">
        <v>0</v>
      </c>
      <c r="T63" s="54">
        <v>0</v>
      </c>
      <c r="U63" s="54">
        <v>0</v>
      </c>
      <c r="V63" s="54">
        <v>1</v>
      </c>
      <c r="W63" s="54">
        <v>0</v>
      </c>
      <c r="X63" s="54">
        <v>0</v>
      </c>
      <c r="Y63" s="54">
        <v>2</v>
      </c>
      <c r="Z63" s="54">
        <v>0</v>
      </c>
      <c r="AA63" s="54">
        <v>0</v>
      </c>
      <c r="AB63" s="54">
        <v>2</v>
      </c>
      <c r="AC63" s="54">
        <v>1</v>
      </c>
      <c r="AD63" s="54">
        <v>0</v>
      </c>
      <c r="AE63" s="54">
        <v>2</v>
      </c>
      <c r="AF63" s="54">
        <v>1</v>
      </c>
      <c r="AG63" s="5">
        <f t="shared" si="2"/>
        <v>21</v>
      </c>
    </row>
    <row r="64" spans="1:33" ht="15.75" customHeight="1" x14ac:dyDescent="0.25">
      <c r="A64" s="56" t="s">
        <v>12</v>
      </c>
      <c r="B64" s="54">
        <v>0</v>
      </c>
      <c r="C64" s="54">
        <v>4</v>
      </c>
      <c r="D64" s="54">
        <v>7</v>
      </c>
      <c r="E64" s="54">
        <v>0</v>
      </c>
      <c r="F64" s="54">
        <v>2</v>
      </c>
      <c r="G64" s="54">
        <v>0</v>
      </c>
      <c r="H64" s="54">
        <v>0</v>
      </c>
      <c r="I64" s="54">
        <v>1</v>
      </c>
      <c r="J64" s="54">
        <v>0</v>
      </c>
      <c r="K64" s="54">
        <v>0</v>
      </c>
      <c r="L64" s="54">
        <v>0</v>
      </c>
      <c r="M64" s="54">
        <v>1</v>
      </c>
      <c r="N64" s="54">
        <v>0</v>
      </c>
      <c r="O64" s="54">
        <v>0</v>
      </c>
      <c r="P64" s="54">
        <v>0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0</v>
      </c>
      <c r="W64" s="54">
        <v>1</v>
      </c>
      <c r="X64" s="54">
        <v>0</v>
      </c>
      <c r="Y64" s="54">
        <v>0</v>
      </c>
      <c r="Z64" s="54">
        <v>0</v>
      </c>
      <c r="AA64" s="54">
        <v>0</v>
      </c>
      <c r="AB64" s="54">
        <v>3</v>
      </c>
      <c r="AC64" s="54">
        <v>0</v>
      </c>
      <c r="AD64" s="54">
        <v>2</v>
      </c>
      <c r="AE64" s="54">
        <v>1</v>
      </c>
      <c r="AF64" s="54">
        <v>0</v>
      </c>
      <c r="AG64" s="5">
        <f t="shared" si="2"/>
        <v>22</v>
      </c>
    </row>
    <row r="65" spans="1:33" ht="15.75" customHeight="1" x14ac:dyDescent="0.25">
      <c r="A65" s="56" t="s">
        <v>13</v>
      </c>
      <c r="B65" s="54">
        <v>1</v>
      </c>
      <c r="C65" s="54">
        <v>2</v>
      </c>
      <c r="D65" s="54">
        <v>2</v>
      </c>
      <c r="E65" s="54">
        <v>0</v>
      </c>
      <c r="F65" s="54">
        <v>0</v>
      </c>
      <c r="G65" s="54">
        <v>0</v>
      </c>
      <c r="H65" s="54">
        <v>0</v>
      </c>
      <c r="I65" s="54">
        <v>2</v>
      </c>
      <c r="J65" s="54">
        <v>0</v>
      </c>
      <c r="K65" s="54">
        <v>2</v>
      </c>
      <c r="L65" s="54">
        <v>0</v>
      </c>
      <c r="M65" s="54">
        <v>0</v>
      </c>
      <c r="N65" s="54">
        <v>2</v>
      </c>
      <c r="O65" s="54">
        <v>0</v>
      </c>
      <c r="P65" s="54">
        <v>0</v>
      </c>
      <c r="Q65" s="54">
        <v>0</v>
      </c>
      <c r="R65" s="54">
        <v>1</v>
      </c>
      <c r="S65" s="54">
        <v>1</v>
      </c>
      <c r="T65" s="54">
        <v>3</v>
      </c>
      <c r="U65" s="54">
        <v>0</v>
      </c>
      <c r="V65" s="54">
        <v>0</v>
      </c>
      <c r="W65" s="54">
        <v>1</v>
      </c>
      <c r="X65" s="54">
        <v>0</v>
      </c>
      <c r="Y65" s="54">
        <v>4</v>
      </c>
      <c r="Z65" s="54">
        <v>0</v>
      </c>
      <c r="AA65" s="54">
        <v>0</v>
      </c>
      <c r="AB65" s="54">
        <v>1</v>
      </c>
      <c r="AC65" s="54">
        <v>1</v>
      </c>
      <c r="AD65" s="54">
        <v>2</v>
      </c>
      <c r="AE65" s="54">
        <v>0</v>
      </c>
      <c r="AF65" s="54">
        <v>1</v>
      </c>
      <c r="AG65" s="5">
        <f t="shared" si="2"/>
        <v>26</v>
      </c>
    </row>
    <row r="66" spans="1:33" ht="15.75" customHeight="1" x14ac:dyDescent="0.25">
      <c r="A66" s="56" t="s">
        <v>14</v>
      </c>
      <c r="B66" s="54">
        <v>0</v>
      </c>
      <c r="C66" s="54">
        <v>1</v>
      </c>
      <c r="D66" s="54">
        <v>4</v>
      </c>
      <c r="E66" s="54">
        <v>0</v>
      </c>
      <c r="F66" s="54">
        <v>0</v>
      </c>
      <c r="G66" s="54">
        <v>1</v>
      </c>
      <c r="H66" s="54">
        <v>2</v>
      </c>
      <c r="I66" s="54">
        <v>0</v>
      </c>
      <c r="J66" s="54">
        <v>2</v>
      </c>
      <c r="K66" s="54">
        <v>1</v>
      </c>
      <c r="L66" s="54">
        <v>0</v>
      </c>
      <c r="M66" s="54">
        <v>1</v>
      </c>
      <c r="N66" s="54">
        <v>2</v>
      </c>
      <c r="O66" s="54">
        <v>1</v>
      </c>
      <c r="P66" s="54">
        <v>1</v>
      </c>
      <c r="Q66" s="54">
        <v>1</v>
      </c>
      <c r="R66" s="54">
        <v>0</v>
      </c>
      <c r="S66" s="54">
        <v>0</v>
      </c>
      <c r="T66" s="54">
        <v>0</v>
      </c>
      <c r="U66" s="54">
        <v>1</v>
      </c>
      <c r="V66" s="54">
        <v>0</v>
      </c>
      <c r="W66" s="54">
        <v>0</v>
      </c>
      <c r="X66" s="54">
        <v>2</v>
      </c>
      <c r="Y66" s="54">
        <v>0</v>
      </c>
      <c r="Z66" s="54">
        <v>0</v>
      </c>
      <c r="AA66" s="54">
        <v>0</v>
      </c>
      <c r="AB66" s="54">
        <v>2</v>
      </c>
      <c r="AC66" s="54">
        <v>1</v>
      </c>
      <c r="AD66" s="54">
        <v>3</v>
      </c>
      <c r="AE66" s="54">
        <v>2</v>
      </c>
      <c r="AF66" s="54">
        <v>1</v>
      </c>
      <c r="AG66" s="5">
        <f t="shared" si="2"/>
        <v>29</v>
      </c>
    </row>
    <row r="67" spans="1:33" ht="15.75" customHeight="1" x14ac:dyDescent="0.25">
      <c r="A67" s="56" t="s">
        <v>15</v>
      </c>
      <c r="B67" s="54">
        <v>0</v>
      </c>
      <c r="C67" s="54">
        <v>3</v>
      </c>
      <c r="D67" s="54">
        <v>5</v>
      </c>
      <c r="E67" s="54">
        <v>3</v>
      </c>
      <c r="F67" s="54">
        <v>0</v>
      </c>
      <c r="G67" s="54">
        <v>3</v>
      </c>
      <c r="H67" s="54">
        <v>1</v>
      </c>
      <c r="I67" s="54">
        <v>3</v>
      </c>
      <c r="J67" s="54">
        <v>0</v>
      </c>
      <c r="K67" s="54">
        <v>0</v>
      </c>
      <c r="L67" s="54">
        <v>0</v>
      </c>
      <c r="M67" s="54">
        <v>0</v>
      </c>
      <c r="N67" s="54">
        <v>0</v>
      </c>
      <c r="O67" s="54">
        <v>2</v>
      </c>
      <c r="P67" s="54">
        <v>1</v>
      </c>
      <c r="Q67" s="54">
        <v>2</v>
      </c>
      <c r="R67" s="54">
        <v>0</v>
      </c>
      <c r="S67" s="54">
        <v>0</v>
      </c>
      <c r="T67" s="54">
        <v>0</v>
      </c>
      <c r="U67" s="54">
        <v>3</v>
      </c>
      <c r="V67" s="54">
        <v>1</v>
      </c>
      <c r="W67" s="54">
        <v>0</v>
      </c>
      <c r="X67" s="54">
        <v>2</v>
      </c>
      <c r="Y67" s="54">
        <v>0</v>
      </c>
      <c r="Z67" s="54">
        <v>0</v>
      </c>
      <c r="AA67" s="54">
        <v>0</v>
      </c>
      <c r="AB67" s="54">
        <v>3</v>
      </c>
      <c r="AC67" s="54">
        <v>0</v>
      </c>
      <c r="AD67" s="54">
        <v>3</v>
      </c>
      <c r="AE67" s="54">
        <v>5</v>
      </c>
      <c r="AF67" s="54">
        <v>0</v>
      </c>
      <c r="AG67" s="5">
        <f t="shared" ref="AG67:AG98" si="5">SUM(B67:AF67)</f>
        <v>40</v>
      </c>
    </row>
    <row r="68" spans="1:33" ht="15.75" customHeight="1" x14ac:dyDescent="0.25">
      <c r="A68" s="56" t="s">
        <v>16</v>
      </c>
      <c r="B68" s="54">
        <v>2</v>
      </c>
      <c r="C68" s="54">
        <v>0</v>
      </c>
      <c r="D68" s="54">
        <v>3</v>
      </c>
      <c r="E68" s="54">
        <v>0</v>
      </c>
      <c r="F68" s="54">
        <v>1</v>
      </c>
      <c r="G68" s="54">
        <v>0</v>
      </c>
      <c r="H68" s="54">
        <v>1</v>
      </c>
      <c r="I68" s="54">
        <v>0</v>
      </c>
      <c r="J68" s="54">
        <v>0</v>
      </c>
      <c r="K68" s="54">
        <v>0</v>
      </c>
      <c r="L68" s="54">
        <v>0</v>
      </c>
      <c r="M68" s="54">
        <v>2</v>
      </c>
      <c r="N68" s="54">
        <v>0</v>
      </c>
      <c r="O68" s="54">
        <v>0</v>
      </c>
      <c r="P68" s="54">
        <v>0</v>
      </c>
      <c r="Q68" s="54">
        <v>1</v>
      </c>
      <c r="R68" s="54">
        <v>0</v>
      </c>
      <c r="S68" s="54">
        <v>1</v>
      </c>
      <c r="T68" s="54">
        <v>0</v>
      </c>
      <c r="U68" s="54">
        <v>6</v>
      </c>
      <c r="V68" s="54">
        <v>0</v>
      </c>
      <c r="W68" s="54">
        <v>5</v>
      </c>
      <c r="X68" s="54">
        <v>0</v>
      </c>
      <c r="Y68" s="54">
        <v>0</v>
      </c>
      <c r="Z68" s="54">
        <v>0</v>
      </c>
      <c r="AA68" s="54">
        <v>0</v>
      </c>
      <c r="AB68" s="54">
        <v>2</v>
      </c>
      <c r="AC68" s="54">
        <v>1</v>
      </c>
      <c r="AD68" s="54">
        <v>1</v>
      </c>
      <c r="AE68" s="54">
        <v>1</v>
      </c>
      <c r="AF68" s="54">
        <v>0</v>
      </c>
      <c r="AG68" s="5">
        <f t="shared" si="5"/>
        <v>27</v>
      </c>
    </row>
    <row r="69" spans="1:33" ht="15.75" customHeight="1" x14ac:dyDescent="0.25">
      <c r="A69" s="56" t="s">
        <v>17</v>
      </c>
      <c r="B69" s="54">
        <v>0</v>
      </c>
      <c r="C69" s="54">
        <v>2</v>
      </c>
      <c r="D69" s="54">
        <v>1</v>
      </c>
      <c r="E69" s="54">
        <v>1</v>
      </c>
      <c r="F69" s="54">
        <v>1</v>
      </c>
      <c r="G69" s="54">
        <v>0</v>
      </c>
      <c r="H69" s="54">
        <v>0</v>
      </c>
      <c r="I69" s="54">
        <v>0</v>
      </c>
      <c r="J69" s="54">
        <v>0</v>
      </c>
      <c r="K69" s="54">
        <v>1</v>
      </c>
      <c r="L69" s="54">
        <v>1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  <c r="S69" s="54">
        <v>2</v>
      </c>
      <c r="T69" s="54">
        <v>1</v>
      </c>
      <c r="U69" s="54">
        <v>0</v>
      </c>
      <c r="V69" s="54">
        <v>0</v>
      </c>
      <c r="W69" s="54">
        <v>3</v>
      </c>
      <c r="X69" s="54">
        <v>1</v>
      </c>
      <c r="Y69" s="54">
        <v>0</v>
      </c>
      <c r="Z69" s="54">
        <v>0</v>
      </c>
      <c r="AA69" s="54">
        <v>0</v>
      </c>
      <c r="AB69" s="54">
        <v>0</v>
      </c>
      <c r="AC69" s="54">
        <v>0</v>
      </c>
      <c r="AD69" s="54">
        <v>2</v>
      </c>
      <c r="AE69" s="54">
        <v>0</v>
      </c>
      <c r="AF69" s="54">
        <v>0</v>
      </c>
      <c r="AG69" s="5">
        <f t="shared" si="5"/>
        <v>17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3</v>
      </c>
      <c r="E70" s="54">
        <v>3</v>
      </c>
      <c r="F70" s="54">
        <v>0</v>
      </c>
      <c r="G70" s="54">
        <v>4</v>
      </c>
      <c r="H70" s="54">
        <v>0</v>
      </c>
      <c r="I70" s="54">
        <v>1</v>
      </c>
      <c r="J70" s="54">
        <v>0</v>
      </c>
      <c r="K70" s="54">
        <v>1</v>
      </c>
      <c r="L70" s="54">
        <v>0</v>
      </c>
      <c r="M70" s="54">
        <v>1</v>
      </c>
      <c r="N70" s="54">
        <v>0</v>
      </c>
      <c r="O70" s="54">
        <v>0</v>
      </c>
      <c r="P70" s="54">
        <v>2</v>
      </c>
      <c r="Q70" s="54">
        <v>1</v>
      </c>
      <c r="R70" s="54">
        <v>0</v>
      </c>
      <c r="S70" s="54">
        <v>0</v>
      </c>
      <c r="T70" s="54">
        <v>0</v>
      </c>
      <c r="U70" s="54">
        <v>4</v>
      </c>
      <c r="V70" s="54">
        <v>0</v>
      </c>
      <c r="W70" s="54">
        <v>1</v>
      </c>
      <c r="X70" s="54">
        <v>0</v>
      </c>
      <c r="Y70" s="54">
        <v>0</v>
      </c>
      <c r="Z70" s="54">
        <v>0</v>
      </c>
      <c r="AA70" s="54">
        <v>1</v>
      </c>
      <c r="AB70" s="54">
        <v>0</v>
      </c>
      <c r="AC70" s="54">
        <v>0</v>
      </c>
      <c r="AD70" s="55">
        <v>0</v>
      </c>
      <c r="AE70" s="55">
        <v>0</v>
      </c>
      <c r="AF70" s="55">
        <v>0</v>
      </c>
      <c r="AG70" s="5">
        <f t="shared" si="5"/>
        <v>22</v>
      </c>
    </row>
    <row r="71" spans="1:33" ht="15.75" customHeight="1" x14ac:dyDescent="0.25">
      <c r="A71" s="56" t="s">
        <v>19</v>
      </c>
      <c r="B71" s="54">
        <v>0</v>
      </c>
      <c r="C71" s="54">
        <v>7</v>
      </c>
      <c r="D71" s="54">
        <v>0</v>
      </c>
      <c r="E71" s="54">
        <v>2</v>
      </c>
      <c r="F71" s="54">
        <v>0</v>
      </c>
      <c r="G71" s="54">
        <v>0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1</v>
      </c>
      <c r="N71" s="54">
        <v>0</v>
      </c>
      <c r="O71" s="54">
        <v>0</v>
      </c>
      <c r="P71" s="54">
        <v>2</v>
      </c>
      <c r="Q71" s="54">
        <v>2</v>
      </c>
      <c r="R71" s="54">
        <v>0</v>
      </c>
      <c r="S71" s="54">
        <v>0</v>
      </c>
      <c r="T71" s="54">
        <v>0</v>
      </c>
      <c r="U71" s="54">
        <v>2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>
        <v>0</v>
      </c>
      <c r="AE71" s="55">
        <v>0</v>
      </c>
      <c r="AF71" s="55">
        <v>0</v>
      </c>
      <c r="AG71" s="5">
        <f t="shared" si="5"/>
        <v>16</v>
      </c>
    </row>
    <row r="72" spans="1:33" ht="15.75" customHeight="1" x14ac:dyDescent="0.25">
      <c r="A72" s="56" t="s">
        <v>20</v>
      </c>
      <c r="B72" s="54">
        <v>0</v>
      </c>
      <c r="C72" s="54">
        <v>4</v>
      </c>
      <c r="D72" s="54">
        <v>0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3</v>
      </c>
      <c r="O72" s="54">
        <v>0</v>
      </c>
      <c r="P72" s="54">
        <v>0</v>
      </c>
      <c r="Q72" s="54">
        <v>0</v>
      </c>
      <c r="R72" s="54">
        <v>1</v>
      </c>
      <c r="S72" s="54">
        <v>0</v>
      </c>
      <c r="T72" s="54">
        <v>1</v>
      </c>
      <c r="U72" s="54">
        <v>0</v>
      </c>
      <c r="V72" s="54">
        <v>1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5">
        <v>1</v>
      </c>
      <c r="AE72" s="55">
        <v>0</v>
      </c>
      <c r="AF72" s="55">
        <v>0</v>
      </c>
      <c r="AG72" s="5">
        <f t="shared" si="5"/>
        <v>11</v>
      </c>
    </row>
    <row r="73" spans="1:33" ht="15.75" customHeight="1" x14ac:dyDescent="0.25">
      <c r="A73" s="56" t="s">
        <v>21</v>
      </c>
      <c r="B73" s="54">
        <v>0</v>
      </c>
      <c r="C73" s="54">
        <v>13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4</v>
      </c>
      <c r="L73" s="54">
        <v>0</v>
      </c>
      <c r="M73" s="54">
        <v>1</v>
      </c>
      <c r="N73" s="54">
        <v>0</v>
      </c>
      <c r="O73" s="54">
        <v>1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2</v>
      </c>
      <c r="V73" s="54">
        <v>0</v>
      </c>
      <c r="W73" s="54">
        <v>0</v>
      </c>
      <c r="X73" s="54">
        <v>0</v>
      </c>
      <c r="Y73" s="54">
        <v>0</v>
      </c>
      <c r="Z73" s="54">
        <v>1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22</v>
      </c>
    </row>
    <row r="74" spans="1:33" ht="15.75" customHeight="1" x14ac:dyDescent="0.25">
      <c r="A74" s="56" t="s">
        <v>22</v>
      </c>
      <c r="B74" s="54">
        <v>0</v>
      </c>
      <c r="C74" s="54">
        <v>1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1</v>
      </c>
      <c r="R74" s="54">
        <v>1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3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3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1</v>
      </c>
      <c r="M75" s="54">
        <v>1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6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1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1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1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1</v>
      </c>
    </row>
    <row r="78" spans="1:33" ht="19.5" customHeight="1" thickBot="1" x14ac:dyDescent="0.3">
      <c r="A78" s="63" t="s">
        <v>28</v>
      </c>
      <c r="B78" s="11">
        <f t="shared" ref="B78:AF78" si="6">SUM(B79:B80)</f>
        <v>152</v>
      </c>
      <c r="C78" s="11">
        <f t="shared" si="6"/>
        <v>145</v>
      </c>
      <c r="D78" s="11">
        <f t="shared" si="6"/>
        <v>141</v>
      </c>
      <c r="E78" s="11">
        <f t="shared" si="6"/>
        <v>204</v>
      </c>
      <c r="F78" s="11">
        <f t="shared" si="6"/>
        <v>174</v>
      </c>
      <c r="G78" s="11">
        <f t="shared" si="6"/>
        <v>123</v>
      </c>
      <c r="H78" s="11">
        <f t="shared" si="6"/>
        <v>98</v>
      </c>
      <c r="I78" s="11">
        <f t="shared" si="6"/>
        <v>112</v>
      </c>
      <c r="J78" s="11">
        <f t="shared" si="6"/>
        <v>121</v>
      </c>
      <c r="K78" s="11">
        <f t="shared" si="6"/>
        <v>127</v>
      </c>
      <c r="L78" s="11">
        <f t="shared" si="6"/>
        <v>153</v>
      </c>
      <c r="M78" s="11">
        <f t="shared" si="6"/>
        <v>166</v>
      </c>
      <c r="N78" s="11">
        <f t="shared" si="6"/>
        <v>144</v>
      </c>
      <c r="O78" s="11">
        <f t="shared" si="6"/>
        <v>120</v>
      </c>
      <c r="P78" s="11">
        <f t="shared" si="6"/>
        <v>125</v>
      </c>
      <c r="Q78" s="11">
        <f t="shared" si="6"/>
        <v>129</v>
      </c>
      <c r="R78" s="11">
        <f t="shared" si="6"/>
        <v>109</v>
      </c>
      <c r="S78" s="11">
        <f t="shared" si="6"/>
        <v>158</v>
      </c>
      <c r="T78" s="11">
        <f t="shared" si="6"/>
        <v>178</v>
      </c>
      <c r="U78" s="11">
        <f t="shared" si="6"/>
        <v>142</v>
      </c>
      <c r="V78" s="11">
        <f t="shared" si="6"/>
        <v>127</v>
      </c>
      <c r="W78" s="11">
        <f t="shared" si="6"/>
        <v>130</v>
      </c>
      <c r="X78" s="11">
        <f t="shared" si="6"/>
        <v>115</v>
      </c>
      <c r="Y78" s="11">
        <f t="shared" si="6"/>
        <v>107</v>
      </c>
      <c r="Z78" s="11">
        <f t="shared" si="6"/>
        <v>176</v>
      </c>
      <c r="AA78" s="11">
        <f t="shared" si="6"/>
        <v>155</v>
      </c>
      <c r="AB78" s="11">
        <f t="shared" si="6"/>
        <v>131</v>
      </c>
      <c r="AC78" s="11">
        <f t="shared" si="6"/>
        <v>128</v>
      </c>
      <c r="AD78" s="11">
        <f t="shared" si="6"/>
        <v>135</v>
      </c>
      <c r="AE78" s="11">
        <f t="shared" si="6"/>
        <v>123</v>
      </c>
      <c r="AF78" s="11">
        <f t="shared" si="6"/>
        <v>111</v>
      </c>
      <c r="AG78" s="10">
        <f t="shared" si="5"/>
        <v>4259</v>
      </c>
    </row>
    <row r="79" spans="1:33" ht="19.5" customHeight="1" x14ac:dyDescent="0.25">
      <c r="A79" s="64" t="s">
        <v>29</v>
      </c>
      <c r="B79" s="3">
        <f t="shared" ref="B79" si="7">SUM(B4:B27)-B80</f>
        <v>152</v>
      </c>
      <c r="C79" s="3">
        <f t="shared" ref="C79" si="8">SUM(C4:C27)-C80</f>
        <v>145</v>
      </c>
      <c r="D79" s="3">
        <f t="shared" ref="D79:AF79" si="9">SUM(D4:D27)-D80</f>
        <v>141</v>
      </c>
      <c r="E79" s="3">
        <f t="shared" si="9"/>
        <v>204</v>
      </c>
      <c r="F79" s="3">
        <f t="shared" si="9"/>
        <v>174</v>
      </c>
      <c r="G79" s="3">
        <f t="shared" si="9"/>
        <v>123</v>
      </c>
      <c r="H79" s="3">
        <f t="shared" si="9"/>
        <v>98</v>
      </c>
      <c r="I79" s="3">
        <f t="shared" si="9"/>
        <v>112</v>
      </c>
      <c r="J79" s="3">
        <f t="shared" si="9"/>
        <v>121</v>
      </c>
      <c r="K79" s="3">
        <f t="shared" si="9"/>
        <v>127</v>
      </c>
      <c r="L79" s="3">
        <f t="shared" si="9"/>
        <v>153</v>
      </c>
      <c r="M79" s="3">
        <f t="shared" si="9"/>
        <v>166</v>
      </c>
      <c r="N79" s="3">
        <f t="shared" si="9"/>
        <v>144</v>
      </c>
      <c r="O79" s="3">
        <f t="shared" si="9"/>
        <v>120</v>
      </c>
      <c r="P79" s="3">
        <f t="shared" si="9"/>
        <v>125</v>
      </c>
      <c r="Q79" s="3">
        <f t="shared" si="9"/>
        <v>129</v>
      </c>
      <c r="R79" s="3">
        <f t="shared" si="9"/>
        <v>109</v>
      </c>
      <c r="S79" s="3">
        <f t="shared" si="9"/>
        <v>158</v>
      </c>
      <c r="T79" s="3">
        <f t="shared" si="9"/>
        <v>178</v>
      </c>
      <c r="U79" s="3">
        <f t="shared" si="9"/>
        <v>142</v>
      </c>
      <c r="V79" s="3">
        <f t="shared" si="9"/>
        <v>127</v>
      </c>
      <c r="W79" s="3">
        <f t="shared" si="9"/>
        <v>130</v>
      </c>
      <c r="X79" s="3">
        <f t="shared" si="9"/>
        <v>115</v>
      </c>
      <c r="Y79" s="3">
        <f t="shared" si="9"/>
        <v>107</v>
      </c>
      <c r="Z79" s="3">
        <f t="shared" si="9"/>
        <v>176</v>
      </c>
      <c r="AA79" s="3">
        <f t="shared" si="9"/>
        <v>155</v>
      </c>
      <c r="AB79" s="3">
        <f t="shared" si="9"/>
        <v>131</v>
      </c>
      <c r="AC79" s="3">
        <f t="shared" si="9"/>
        <v>128</v>
      </c>
      <c r="AD79" s="3">
        <f t="shared" si="9"/>
        <v>135</v>
      </c>
      <c r="AE79" s="3">
        <f t="shared" si="9"/>
        <v>123</v>
      </c>
      <c r="AF79" s="3">
        <f t="shared" si="9"/>
        <v>111</v>
      </c>
      <c r="AG79" s="4">
        <f t="shared" si="5"/>
        <v>4259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5</v>
      </c>
      <c r="C81" s="12">
        <f t="shared" si="10"/>
        <v>39</v>
      </c>
      <c r="D81" s="12">
        <f t="shared" si="10"/>
        <v>31</v>
      </c>
      <c r="E81" s="12">
        <f t="shared" si="10"/>
        <v>11</v>
      </c>
      <c r="F81" s="12">
        <f t="shared" si="10"/>
        <v>5</v>
      </c>
      <c r="G81" s="12">
        <f t="shared" si="10"/>
        <v>8</v>
      </c>
      <c r="H81" s="12">
        <f t="shared" si="10"/>
        <v>4</v>
      </c>
      <c r="I81" s="12">
        <f t="shared" si="10"/>
        <v>9</v>
      </c>
      <c r="J81" s="12">
        <f t="shared" si="10"/>
        <v>3</v>
      </c>
      <c r="K81" s="12">
        <f t="shared" si="10"/>
        <v>10</v>
      </c>
      <c r="L81" s="12">
        <f t="shared" si="10"/>
        <v>4</v>
      </c>
      <c r="M81" s="12">
        <f t="shared" si="10"/>
        <v>11</v>
      </c>
      <c r="N81" s="12">
        <f t="shared" si="10"/>
        <v>7</v>
      </c>
      <c r="O81" s="12">
        <f t="shared" si="10"/>
        <v>6</v>
      </c>
      <c r="P81" s="12">
        <f t="shared" si="10"/>
        <v>7</v>
      </c>
      <c r="Q81" s="12">
        <f t="shared" si="10"/>
        <v>8</v>
      </c>
      <c r="R81" s="12">
        <f t="shared" si="10"/>
        <v>6</v>
      </c>
      <c r="S81" s="12">
        <f t="shared" si="10"/>
        <v>5</v>
      </c>
      <c r="T81" s="12">
        <f t="shared" si="10"/>
        <v>7</v>
      </c>
      <c r="U81" s="12">
        <f t="shared" si="10"/>
        <v>18</v>
      </c>
      <c r="V81" s="12">
        <f t="shared" si="10"/>
        <v>3</v>
      </c>
      <c r="W81" s="12">
        <f t="shared" si="10"/>
        <v>11</v>
      </c>
      <c r="X81" s="12">
        <f t="shared" si="10"/>
        <v>5</v>
      </c>
      <c r="Y81" s="12">
        <f t="shared" si="10"/>
        <v>6</v>
      </c>
      <c r="Z81" s="12">
        <f t="shared" si="10"/>
        <v>8</v>
      </c>
      <c r="AA81" s="12">
        <f t="shared" si="10"/>
        <v>3</v>
      </c>
      <c r="AB81" s="12">
        <f t="shared" si="10"/>
        <v>13</v>
      </c>
      <c r="AC81" s="12">
        <f t="shared" si="10"/>
        <v>4</v>
      </c>
      <c r="AD81" s="12">
        <f t="shared" si="10"/>
        <v>14</v>
      </c>
      <c r="AE81" s="12">
        <f t="shared" si="10"/>
        <v>11</v>
      </c>
      <c r="AF81" s="12">
        <f t="shared" si="10"/>
        <v>4</v>
      </c>
      <c r="AG81" s="10">
        <f t="shared" si="5"/>
        <v>286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2</v>
      </c>
      <c r="C82" s="3">
        <f t="shared" si="11"/>
        <v>0</v>
      </c>
      <c r="D82" s="3">
        <f t="shared" si="11"/>
        <v>0</v>
      </c>
      <c r="E82" s="3">
        <f t="shared" si="11"/>
        <v>1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1</v>
      </c>
      <c r="L82" s="3">
        <f t="shared" si="11"/>
        <v>2</v>
      </c>
      <c r="M82" s="3">
        <f t="shared" si="11"/>
        <v>2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1</v>
      </c>
      <c r="S82" s="3">
        <f t="shared" si="11"/>
        <v>1</v>
      </c>
      <c r="T82" s="3">
        <f t="shared" si="11"/>
        <v>2</v>
      </c>
      <c r="U82" s="3">
        <f t="shared" si="11"/>
        <v>0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7</v>
      </c>
      <c r="AA82" s="3">
        <f t="shared" si="11"/>
        <v>2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1</v>
      </c>
      <c r="AG82" s="4">
        <f t="shared" si="5"/>
        <v>22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3</v>
      </c>
      <c r="C83" s="8">
        <f t="shared" si="12"/>
        <v>39</v>
      </c>
      <c r="D83" s="8">
        <f t="shared" si="12"/>
        <v>31</v>
      </c>
      <c r="E83" s="8">
        <f t="shared" si="12"/>
        <v>10</v>
      </c>
      <c r="F83" s="8">
        <f t="shared" si="12"/>
        <v>5</v>
      </c>
      <c r="G83" s="8">
        <f t="shared" si="12"/>
        <v>8</v>
      </c>
      <c r="H83" s="8">
        <f t="shared" si="12"/>
        <v>4</v>
      </c>
      <c r="I83" s="8">
        <f t="shared" si="12"/>
        <v>9</v>
      </c>
      <c r="J83" s="8">
        <f t="shared" si="12"/>
        <v>3</v>
      </c>
      <c r="K83" s="8">
        <f t="shared" si="12"/>
        <v>9</v>
      </c>
      <c r="L83" s="8">
        <f t="shared" si="12"/>
        <v>2</v>
      </c>
      <c r="M83" s="8">
        <f t="shared" si="12"/>
        <v>9</v>
      </c>
      <c r="N83" s="8">
        <f t="shared" si="12"/>
        <v>7</v>
      </c>
      <c r="O83" s="8">
        <f t="shared" si="12"/>
        <v>6</v>
      </c>
      <c r="P83" s="8">
        <f t="shared" si="12"/>
        <v>7</v>
      </c>
      <c r="Q83" s="8">
        <f t="shared" si="12"/>
        <v>8</v>
      </c>
      <c r="R83" s="8">
        <f t="shared" si="12"/>
        <v>5</v>
      </c>
      <c r="S83" s="8">
        <f t="shared" si="12"/>
        <v>4</v>
      </c>
      <c r="T83" s="8">
        <f t="shared" si="12"/>
        <v>5</v>
      </c>
      <c r="U83" s="8">
        <f t="shared" si="12"/>
        <v>18</v>
      </c>
      <c r="V83" s="8">
        <f t="shared" si="12"/>
        <v>3</v>
      </c>
      <c r="W83" s="8">
        <f t="shared" si="12"/>
        <v>11</v>
      </c>
      <c r="X83" s="8">
        <f t="shared" si="12"/>
        <v>5</v>
      </c>
      <c r="Y83" s="8">
        <f t="shared" si="12"/>
        <v>6</v>
      </c>
      <c r="Z83" s="8">
        <f t="shared" si="12"/>
        <v>1</v>
      </c>
      <c r="AA83" s="8">
        <f t="shared" si="12"/>
        <v>1</v>
      </c>
      <c r="AB83" s="8">
        <f t="shared" si="12"/>
        <v>13</v>
      </c>
      <c r="AC83" s="8">
        <f t="shared" si="12"/>
        <v>4</v>
      </c>
      <c r="AD83" s="8">
        <f t="shared" si="12"/>
        <v>14</v>
      </c>
      <c r="AE83" s="8">
        <f t="shared" si="12"/>
        <v>11</v>
      </c>
      <c r="AF83" s="8">
        <f t="shared" si="12"/>
        <v>3</v>
      </c>
      <c r="AG83" s="5">
        <f t="shared" si="5"/>
        <v>264</v>
      </c>
    </row>
    <row r="84" spans="1:34" ht="15.75" customHeight="1" thickBot="1" x14ac:dyDescent="0.3">
      <c r="A84" s="67" t="s">
        <v>32</v>
      </c>
      <c r="B84" s="14">
        <f t="shared" ref="B84:AF84" si="13">SUM(B85:B86)</f>
        <v>5</v>
      </c>
      <c r="C84" s="14">
        <f t="shared" si="13"/>
        <v>39</v>
      </c>
      <c r="D84" s="14">
        <f t="shared" si="13"/>
        <v>31</v>
      </c>
      <c r="E84" s="14">
        <f t="shared" si="13"/>
        <v>11</v>
      </c>
      <c r="F84" s="14">
        <f t="shared" si="13"/>
        <v>5</v>
      </c>
      <c r="G84" s="14">
        <f t="shared" si="13"/>
        <v>8</v>
      </c>
      <c r="H84" s="14">
        <f t="shared" si="13"/>
        <v>4</v>
      </c>
      <c r="I84" s="14">
        <f t="shared" si="13"/>
        <v>9</v>
      </c>
      <c r="J84" s="14">
        <f t="shared" si="13"/>
        <v>3</v>
      </c>
      <c r="K84" s="14">
        <f t="shared" si="13"/>
        <v>10</v>
      </c>
      <c r="L84" s="14">
        <f t="shared" si="13"/>
        <v>4</v>
      </c>
      <c r="M84" s="14">
        <f t="shared" si="13"/>
        <v>11</v>
      </c>
      <c r="N84" s="14">
        <f t="shared" si="13"/>
        <v>7</v>
      </c>
      <c r="O84" s="14">
        <f t="shared" si="13"/>
        <v>6</v>
      </c>
      <c r="P84" s="14">
        <f t="shared" si="13"/>
        <v>7</v>
      </c>
      <c r="Q84" s="14">
        <f t="shared" si="13"/>
        <v>8</v>
      </c>
      <c r="R84" s="14">
        <f t="shared" si="13"/>
        <v>6</v>
      </c>
      <c r="S84" s="14">
        <f t="shared" si="13"/>
        <v>5</v>
      </c>
      <c r="T84" s="14">
        <f t="shared" si="13"/>
        <v>7</v>
      </c>
      <c r="U84" s="14">
        <f t="shared" si="13"/>
        <v>18</v>
      </c>
      <c r="V84" s="14">
        <f t="shared" si="13"/>
        <v>3</v>
      </c>
      <c r="W84" s="14">
        <f t="shared" si="13"/>
        <v>11</v>
      </c>
      <c r="X84" s="14">
        <f t="shared" si="13"/>
        <v>5</v>
      </c>
      <c r="Y84" s="14">
        <f t="shared" si="13"/>
        <v>6</v>
      </c>
      <c r="Z84" s="14">
        <f t="shared" si="13"/>
        <v>8</v>
      </c>
      <c r="AA84" s="14">
        <f t="shared" si="13"/>
        <v>3</v>
      </c>
      <c r="AB84" s="14">
        <f t="shared" si="13"/>
        <v>13</v>
      </c>
      <c r="AC84" s="14">
        <f t="shared" si="13"/>
        <v>4</v>
      </c>
      <c r="AD84" s="14">
        <f t="shared" si="13"/>
        <v>14</v>
      </c>
      <c r="AE84" s="14">
        <f t="shared" si="13"/>
        <v>11</v>
      </c>
      <c r="AF84" s="14">
        <f t="shared" si="13"/>
        <v>4</v>
      </c>
      <c r="AG84" s="15">
        <f t="shared" si="5"/>
        <v>286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3</v>
      </c>
      <c r="C85" s="69">
        <v>7</v>
      </c>
      <c r="D85" s="69">
        <v>6</v>
      </c>
      <c r="E85" s="69">
        <v>3</v>
      </c>
      <c r="F85" s="69">
        <v>2</v>
      </c>
      <c r="G85" s="69">
        <v>1</v>
      </c>
      <c r="H85" s="69">
        <v>0</v>
      </c>
      <c r="I85" s="69">
        <v>1</v>
      </c>
      <c r="J85" s="69">
        <v>0</v>
      </c>
      <c r="K85" s="69">
        <v>3</v>
      </c>
      <c r="L85" s="69">
        <v>2</v>
      </c>
      <c r="M85" s="69">
        <v>0</v>
      </c>
      <c r="N85" s="69">
        <v>2</v>
      </c>
      <c r="O85" s="69">
        <v>2</v>
      </c>
      <c r="P85" s="69">
        <v>2</v>
      </c>
      <c r="Q85" s="69">
        <v>1</v>
      </c>
      <c r="R85" s="69">
        <v>1</v>
      </c>
      <c r="S85" s="69">
        <v>1</v>
      </c>
      <c r="T85" s="69">
        <v>1</v>
      </c>
      <c r="U85" s="69">
        <v>3</v>
      </c>
      <c r="V85" s="69">
        <v>0</v>
      </c>
      <c r="W85" s="69">
        <v>0</v>
      </c>
      <c r="X85" s="69">
        <v>0</v>
      </c>
      <c r="Y85" s="69">
        <v>1</v>
      </c>
      <c r="Z85" s="69">
        <v>1</v>
      </c>
      <c r="AA85" s="69">
        <v>0</v>
      </c>
      <c r="AB85" s="69">
        <v>0</v>
      </c>
      <c r="AC85" s="69">
        <v>1</v>
      </c>
      <c r="AD85" s="69">
        <v>0</v>
      </c>
      <c r="AE85" s="69">
        <v>1</v>
      </c>
      <c r="AF85" s="69">
        <v>0</v>
      </c>
      <c r="AG85" s="16">
        <f t="shared" si="5"/>
        <v>45</v>
      </c>
    </row>
    <row r="86" spans="1:34" ht="15.75" customHeight="1" thickBot="1" x14ac:dyDescent="0.3">
      <c r="A86" s="70" t="s">
        <v>34</v>
      </c>
      <c r="B86" s="71">
        <v>2</v>
      </c>
      <c r="C86" s="71">
        <v>32</v>
      </c>
      <c r="D86" s="71">
        <v>25</v>
      </c>
      <c r="E86" s="71">
        <v>8</v>
      </c>
      <c r="F86" s="71">
        <v>3</v>
      </c>
      <c r="G86" s="71">
        <v>7</v>
      </c>
      <c r="H86" s="71">
        <v>4</v>
      </c>
      <c r="I86" s="71">
        <v>8</v>
      </c>
      <c r="J86" s="71">
        <v>3</v>
      </c>
      <c r="K86" s="71">
        <v>7</v>
      </c>
      <c r="L86" s="71">
        <v>2</v>
      </c>
      <c r="M86" s="71">
        <v>11</v>
      </c>
      <c r="N86" s="71">
        <v>5</v>
      </c>
      <c r="O86" s="71">
        <v>4</v>
      </c>
      <c r="P86" s="71">
        <v>5</v>
      </c>
      <c r="Q86" s="71">
        <v>7</v>
      </c>
      <c r="R86" s="71">
        <v>5</v>
      </c>
      <c r="S86" s="71">
        <v>4</v>
      </c>
      <c r="T86" s="71">
        <v>6</v>
      </c>
      <c r="U86" s="71">
        <v>15</v>
      </c>
      <c r="V86" s="71">
        <v>3</v>
      </c>
      <c r="W86" s="71">
        <v>11</v>
      </c>
      <c r="X86" s="71">
        <v>5</v>
      </c>
      <c r="Y86" s="71">
        <v>5</v>
      </c>
      <c r="Z86" s="71">
        <v>7</v>
      </c>
      <c r="AA86" s="71">
        <v>3</v>
      </c>
      <c r="AB86" s="71">
        <v>13</v>
      </c>
      <c r="AC86" s="71">
        <v>3</v>
      </c>
      <c r="AD86" s="71">
        <v>14</v>
      </c>
      <c r="AE86" s="71">
        <v>10</v>
      </c>
      <c r="AF86" s="71">
        <v>4</v>
      </c>
      <c r="AG86" s="17">
        <f t="shared" si="5"/>
        <v>241</v>
      </c>
    </row>
    <row r="87" spans="1:34" ht="15.75" customHeight="1" thickBot="1" x14ac:dyDescent="0.3">
      <c r="A87" s="72" t="s">
        <v>35</v>
      </c>
      <c r="B87" s="18">
        <f t="shared" ref="B87:AF87" si="14">SUM(B88:B92)</f>
        <v>5</v>
      </c>
      <c r="C87" s="18">
        <f t="shared" si="14"/>
        <v>39</v>
      </c>
      <c r="D87" s="18">
        <f t="shared" si="14"/>
        <v>31</v>
      </c>
      <c r="E87" s="18">
        <f t="shared" si="14"/>
        <v>11</v>
      </c>
      <c r="F87" s="18">
        <f t="shared" si="14"/>
        <v>5</v>
      </c>
      <c r="G87" s="18">
        <f t="shared" si="14"/>
        <v>8</v>
      </c>
      <c r="H87" s="18">
        <f t="shared" si="14"/>
        <v>4</v>
      </c>
      <c r="I87" s="18">
        <f t="shared" si="14"/>
        <v>9</v>
      </c>
      <c r="J87" s="18">
        <f t="shared" si="14"/>
        <v>3</v>
      </c>
      <c r="K87" s="18">
        <f t="shared" si="14"/>
        <v>10</v>
      </c>
      <c r="L87" s="18">
        <f t="shared" si="14"/>
        <v>4</v>
      </c>
      <c r="M87" s="18">
        <f t="shared" si="14"/>
        <v>11</v>
      </c>
      <c r="N87" s="18">
        <f t="shared" si="14"/>
        <v>7</v>
      </c>
      <c r="O87" s="18">
        <f t="shared" si="14"/>
        <v>6</v>
      </c>
      <c r="P87" s="18">
        <f t="shared" si="14"/>
        <v>7</v>
      </c>
      <c r="Q87" s="18">
        <f t="shared" si="14"/>
        <v>8</v>
      </c>
      <c r="R87" s="18">
        <f t="shared" si="14"/>
        <v>6</v>
      </c>
      <c r="S87" s="18">
        <f t="shared" si="14"/>
        <v>5</v>
      </c>
      <c r="T87" s="18">
        <f t="shared" si="14"/>
        <v>7</v>
      </c>
      <c r="U87" s="18">
        <f t="shared" si="14"/>
        <v>18</v>
      </c>
      <c r="V87" s="18">
        <f t="shared" si="14"/>
        <v>3</v>
      </c>
      <c r="W87" s="18">
        <f t="shared" si="14"/>
        <v>11</v>
      </c>
      <c r="X87" s="18">
        <f t="shared" si="14"/>
        <v>5</v>
      </c>
      <c r="Y87" s="18">
        <f t="shared" si="14"/>
        <v>6</v>
      </c>
      <c r="Z87" s="18">
        <f t="shared" si="14"/>
        <v>8</v>
      </c>
      <c r="AA87" s="18">
        <f t="shared" si="14"/>
        <v>3</v>
      </c>
      <c r="AB87" s="18">
        <f t="shared" si="14"/>
        <v>13</v>
      </c>
      <c r="AC87" s="18">
        <f t="shared" si="14"/>
        <v>4</v>
      </c>
      <c r="AD87" s="18">
        <f t="shared" si="14"/>
        <v>14</v>
      </c>
      <c r="AE87" s="18">
        <f t="shared" si="14"/>
        <v>11</v>
      </c>
      <c r="AF87" s="18">
        <f t="shared" si="14"/>
        <v>4</v>
      </c>
      <c r="AG87" s="19">
        <f t="shared" si="5"/>
        <v>286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4</v>
      </c>
      <c r="C88" s="60">
        <v>8</v>
      </c>
      <c r="D88" s="60">
        <v>14</v>
      </c>
      <c r="E88" s="60">
        <v>2</v>
      </c>
      <c r="F88" s="60">
        <v>3</v>
      </c>
      <c r="G88" s="60">
        <v>1</v>
      </c>
      <c r="H88" s="60">
        <v>0</v>
      </c>
      <c r="I88" s="60">
        <v>4</v>
      </c>
      <c r="J88" s="60">
        <v>1</v>
      </c>
      <c r="K88" s="60">
        <v>2</v>
      </c>
      <c r="L88" s="60">
        <v>2</v>
      </c>
      <c r="M88" s="60">
        <v>1</v>
      </c>
      <c r="N88" s="60">
        <v>5</v>
      </c>
      <c r="O88" s="60">
        <v>5</v>
      </c>
      <c r="P88" s="60">
        <v>6</v>
      </c>
      <c r="Q88" s="60">
        <v>0</v>
      </c>
      <c r="R88" s="60">
        <v>2</v>
      </c>
      <c r="S88" s="60">
        <v>4</v>
      </c>
      <c r="T88" s="60">
        <v>3</v>
      </c>
      <c r="U88" s="60">
        <v>2</v>
      </c>
      <c r="V88" s="60">
        <v>3</v>
      </c>
      <c r="W88" s="60">
        <v>3</v>
      </c>
      <c r="X88" s="60">
        <v>1</v>
      </c>
      <c r="Y88" s="60">
        <v>4</v>
      </c>
      <c r="Z88" s="60">
        <v>8</v>
      </c>
      <c r="AA88" s="60">
        <v>2</v>
      </c>
      <c r="AB88" s="60">
        <v>5</v>
      </c>
      <c r="AC88" s="60">
        <v>4</v>
      </c>
      <c r="AD88" s="60">
        <v>8</v>
      </c>
      <c r="AE88" s="60">
        <v>3</v>
      </c>
      <c r="AF88" s="60">
        <v>1</v>
      </c>
      <c r="AG88" s="4">
        <f t="shared" si="5"/>
        <v>111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1</v>
      </c>
      <c r="D90" s="60">
        <v>0</v>
      </c>
      <c r="E90" s="60">
        <v>0</v>
      </c>
      <c r="F90" s="60">
        <v>0</v>
      </c>
      <c r="G90" s="60">
        <v>0</v>
      </c>
      <c r="H90" s="60">
        <v>1</v>
      </c>
      <c r="I90" s="60">
        <v>0</v>
      </c>
      <c r="J90" s="60">
        <v>0</v>
      </c>
      <c r="K90" s="60">
        <v>0</v>
      </c>
      <c r="L90" s="60">
        <v>0</v>
      </c>
      <c r="M90" s="60">
        <v>1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1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1</v>
      </c>
      <c r="AB90" s="60">
        <v>0</v>
      </c>
      <c r="AC90" s="60">
        <v>0</v>
      </c>
      <c r="AD90" s="60">
        <v>1</v>
      </c>
      <c r="AE90" s="60">
        <v>0</v>
      </c>
      <c r="AF90" s="60">
        <v>0</v>
      </c>
      <c r="AG90" s="5">
        <f t="shared" si="5"/>
        <v>6</v>
      </c>
    </row>
    <row r="91" spans="1:34" ht="15.75" customHeight="1" x14ac:dyDescent="0.25">
      <c r="A91" s="74" t="s">
        <v>39</v>
      </c>
      <c r="B91" s="60">
        <v>1</v>
      </c>
      <c r="C91" s="60">
        <v>29</v>
      </c>
      <c r="D91" s="60">
        <v>12</v>
      </c>
      <c r="E91" s="60">
        <v>7</v>
      </c>
      <c r="F91" s="60">
        <v>2</v>
      </c>
      <c r="G91" s="60">
        <v>3</v>
      </c>
      <c r="H91" s="60">
        <v>1</v>
      </c>
      <c r="I91" s="60">
        <v>4</v>
      </c>
      <c r="J91" s="60">
        <v>0</v>
      </c>
      <c r="K91" s="60">
        <v>4</v>
      </c>
      <c r="L91" s="60">
        <v>2</v>
      </c>
      <c r="M91" s="60">
        <v>8</v>
      </c>
      <c r="N91" s="60">
        <v>2</v>
      </c>
      <c r="O91" s="60">
        <v>0</v>
      </c>
      <c r="P91" s="60">
        <v>1</v>
      </c>
      <c r="Q91" s="60">
        <v>6</v>
      </c>
      <c r="R91" s="60">
        <v>3</v>
      </c>
      <c r="S91" s="60">
        <v>0</v>
      </c>
      <c r="T91" s="60">
        <v>1</v>
      </c>
      <c r="U91" s="60">
        <v>12</v>
      </c>
      <c r="V91" s="60">
        <v>0</v>
      </c>
      <c r="W91" s="60">
        <v>4</v>
      </c>
      <c r="X91" s="60">
        <v>2</v>
      </c>
      <c r="Y91" s="60">
        <v>1</v>
      </c>
      <c r="Z91" s="60">
        <v>0</v>
      </c>
      <c r="AA91" s="60">
        <v>0</v>
      </c>
      <c r="AB91" s="60">
        <v>3</v>
      </c>
      <c r="AC91" s="60">
        <v>0</v>
      </c>
      <c r="AD91" s="60">
        <v>5</v>
      </c>
      <c r="AE91" s="60">
        <v>4</v>
      </c>
      <c r="AF91" s="60">
        <v>2</v>
      </c>
      <c r="AG91" s="5">
        <f t="shared" si="5"/>
        <v>119</v>
      </c>
    </row>
    <row r="92" spans="1:34" ht="15.75" customHeight="1" thickBot="1" x14ac:dyDescent="0.3">
      <c r="A92" s="74" t="s">
        <v>40</v>
      </c>
      <c r="B92" s="60">
        <v>0</v>
      </c>
      <c r="C92" s="60">
        <v>1</v>
      </c>
      <c r="D92" s="60">
        <v>5</v>
      </c>
      <c r="E92" s="60">
        <v>2</v>
      </c>
      <c r="F92" s="60">
        <v>0</v>
      </c>
      <c r="G92" s="60">
        <v>4</v>
      </c>
      <c r="H92" s="60">
        <v>2</v>
      </c>
      <c r="I92" s="60">
        <v>1</v>
      </c>
      <c r="J92" s="60">
        <v>2</v>
      </c>
      <c r="K92" s="60">
        <v>4</v>
      </c>
      <c r="L92" s="60">
        <v>0</v>
      </c>
      <c r="M92" s="60">
        <v>1</v>
      </c>
      <c r="N92" s="60">
        <v>0</v>
      </c>
      <c r="O92" s="60">
        <v>1</v>
      </c>
      <c r="P92" s="60">
        <v>0</v>
      </c>
      <c r="Q92" s="60">
        <v>2</v>
      </c>
      <c r="R92" s="60">
        <v>1</v>
      </c>
      <c r="S92" s="60">
        <v>1</v>
      </c>
      <c r="T92" s="60">
        <v>3</v>
      </c>
      <c r="U92" s="60">
        <v>3</v>
      </c>
      <c r="V92" s="60">
        <v>0</v>
      </c>
      <c r="W92" s="60">
        <v>4</v>
      </c>
      <c r="X92" s="60">
        <v>2</v>
      </c>
      <c r="Y92" s="60">
        <v>1</v>
      </c>
      <c r="Z92" s="60">
        <v>0</v>
      </c>
      <c r="AA92" s="60">
        <v>0</v>
      </c>
      <c r="AB92" s="60">
        <v>5</v>
      </c>
      <c r="AC92" s="60">
        <v>0</v>
      </c>
      <c r="AD92" s="60">
        <v>0</v>
      </c>
      <c r="AE92" s="60">
        <v>4</v>
      </c>
      <c r="AF92" s="60">
        <v>1</v>
      </c>
      <c r="AG92" s="5">
        <f t="shared" si="5"/>
        <v>50</v>
      </c>
    </row>
    <row r="93" spans="1:34" ht="15.75" customHeight="1" x14ac:dyDescent="0.25">
      <c r="A93" s="75" t="s">
        <v>41</v>
      </c>
      <c r="B93" s="20">
        <f t="shared" ref="B93:AF93" si="15">+B94+B100</f>
        <v>147</v>
      </c>
      <c r="C93" s="20">
        <f t="shared" si="15"/>
        <v>106</v>
      </c>
      <c r="D93" s="20">
        <f t="shared" si="15"/>
        <v>110</v>
      </c>
      <c r="E93" s="20">
        <f t="shared" si="15"/>
        <v>193</v>
      </c>
      <c r="F93" s="20">
        <f t="shared" si="15"/>
        <v>169</v>
      </c>
      <c r="G93" s="20">
        <f t="shared" si="15"/>
        <v>115</v>
      </c>
      <c r="H93" s="20">
        <f t="shared" si="15"/>
        <v>94</v>
      </c>
      <c r="I93" s="20">
        <f t="shared" si="15"/>
        <v>103</v>
      </c>
      <c r="J93" s="20">
        <f t="shared" si="15"/>
        <v>118</v>
      </c>
      <c r="K93" s="20">
        <f t="shared" si="15"/>
        <v>117</v>
      </c>
      <c r="L93" s="20">
        <f t="shared" si="15"/>
        <v>149</v>
      </c>
      <c r="M93" s="20">
        <f t="shared" si="15"/>
        <v>155</v>
      </c>
      <c r="N93" s="20">
        <f t="shared" si="15"/>
        <v>137</v>
      </c>
      <c r="O93" s="20">
        <f t="shared" si="15"/>
        <v>114</v>
      </c>
      <c r="P93" s="20">
        <f t="shared" si="15"/>
        <v>118</v>
      </c>
      <c r="Q93" s="20">
        <f t="shared" si="15"/>
        <v>121</v>
      </c>
      <c r="R93" s="20">
        <f t="shared" si="15"/>
        <v>103</v>
      </c>
      <c r="S93" s="20">
        <f t="shared" si="15"/>
        <v>153</v>
      </c>
      <c r="T93" s="20">
        <f t="shared" si="15"/>
        <v>171</v>
      </c>
      <c r="U93" s="20">
        <f t="shared" si="15"/>
        <v>124</v>
      </c>
      <c r="V93" s="20">
        <f t="shared" si="15"/>
        <v>124</v>
      </c>
      <c r="W93" s="20">
        <f t="shared" si="15"/>
        <v>119</v>
      </c>
      <c r="X93" s="20">
        <f t="shared" si="15"/>
        <v>110</v>
      </c>
      <c r="Y93" s="20">
        <f t="shared" si="15"/>
        <v>101</v>
      </c>
      <c r="Z93" s="20">
        <f t="shared" si="15"/>
        <v>168</v>
      </c>
      <c r="AA93" s="20">
        <f t="shared" si="15"/>
        <v>152</v>
      </c>
      <c r="AB93" s="20">
        <f t="shared" si="15"/>
        <v>118</v>
      </c>
      <c r="AC93" s="20">
        <f t="shared" si="15"/>
        <v>124</v>
      </c>
      <c r="AD93" s="20">
        <f t="shared" si="15"/>
        <v>121</v>
      </c>
      <c r="AE93" s="20">
        <f t="shared" si="15"/>
        <v>112</v>
      </c>
      <c r="AF93" s="20">
        <f t="shared" si="15"/>
        <v>107</v>
      </c>
      <c r="AG93" s="5">
        <f t="shared" si="5"/>
        <v>3973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16</v>
      </c>
      <c r="C94" s="21">
        <f t="shared" si="16"/>
        <v>9</v>
      </c>
      <c r="D94" s="21">
        <f t="shared" si="16"/>
        <v>13</v>
      </c>
      <c r="E94" s="21">
        <f t="shared" si="16"/>
        <v>22</v>
      </c>
      <c r="F94" s="21">
        <f t="shared" si="16"/>
        <v>18</v>
      </c>
      <c r="G94" s="21">
        <f t="shared" si="16"/>
        <v>10</v>
      </c>
      <c r="H94" s="21">
        <f t="shared" si="16"/>
        <v>14</v>
      </c>
      <c r="I94" s="21">
        <f t="shared" si="16"/>
        <v>12</v>
      </c>
      <c r="J94" s="21">
        <f t="shared" si="16"/>
        <v>11</v>
      </c>
      <c r="K94" s="21">
        <f t="shared" si="16"/>
        <v>16</v>
      </c>
      <c r="L94" s="21">
        <f t="shared" si="16"/>
        <v>19</v>
      </c>
      <c r="M94" s="21">
        <f t="shared" si="16"/>
        <v>20</v>
      </c>
      <c r="N94" s="21">
        <f t="shared" si="16"/>
        <v>17</v>
      </c>
      <c r="O94" s="21">
        <f t="shared" si="16"/>
        <v>7</v>
      </c>
      <c r="P94" s="21">
        <f t="shared" si="16"/>
        <v>18</v>
      </c>
      <c r="Q94" s="21">
        <f t="shared" si="16"/>
        <v>14</v>
      </c>
      <c r="R94" s="21">
        <f t="shared" si="16"/>
        <v>7</v>
      </c>
      <c r="S94" s="21">
        <f t="shared" si="16"/>
        <v>16</v>
      </c>
      <c r="T94" s="21">
        <f t="shared" si="16"/>
        <v>21</v>
      </c>
      <c r="U94" s="21">
        <f t="shared" si="16"/>
        <v>14</v>
      </c>
      <c r="V94" s="21">
        <f t="shared" si="16"/>
        <v>8</v>
      </c>
      <c r="W94" s="21">
        <f t="shared" si="16"/>
        <v>12</v>
      </c>
      <c r="X94" s="21">
        <f t="shared" si="16"/>
        <v>7</v>
      </c>
      <c r="Y94" s="21">
        <f t="shared" si="16"/>
        <v>11</v>
      </c>
      <c r="Z94" s="21">
        <f t="shared" si="16"/>
        <v>13</v>
      </c>
      <c r="AA94" s="21">
        <f t="shared" si="16"/>
        <v>17</v>
      </c>
      <c r="AB94" s="21">
        <f t="shared" si="16"/>
        <v>12</v>
      </c>
      <c r="AC94" s="21">
        <f t="shared" si="16"/>
        <v>4</v>
      </c>
      <c r="AD94" s="21">
        <f t="shared" si="16"/>
        <v>13</v>
      </c>
      <c r="AE94" s="21">
        <f t="shared" si="16"/>
        <v>14</v>
      </c>
      <c r="AF94" s="21">
        <f t="shared" si="16"/>
        <v>12</v>
      </c>
      <c r="AG94" s="5">
        <f t="shared" si="5"/>
        <v>417</v>
      </c>
    </row>
    <row r="95" spans="1:34" ht="15.75" customHeight="1" x14ac:dyDescent="0.25">
      <c r="A95" s="78" t="s">
        <v>43</v>
      </c>
      <c r="B95" s="54">
        <v>0</v>
      </c>
      <c r="C95" s="54">
        <v>0</v>
      </c>
      <c r="D95" s="54">
        <v>0</v>
      </c>
      <c r="E95" s="54">
        <v>0</v>
      </c>
      <c r="F95" s="54">
        <v>0</v>
      </c>
      <c r="G95" s="54">
        <v>1</v>
      </c>
      <c r="H95" s="54">
        <v>1</v>
      </c>
      <c r="I95" s="54">
        <v>1</v>
      </c>
      <c r="J95" s="54">
        <v>0</v>
      </c>
      <c r="K95" s="54">
        <v>0</v>
      </c>
      <c r="L95" s="54">
        <v>0</v>
      </c>
      <c r="M95" s="54">
        <v>1</v>
      </c>
      <c r="N95" s="54">
        <v>2</v>
      </c>
      <c r="O95" s="54">
        <v>0</v>
      </c>
      <c r="P95" s="54">
        <v>0</v>
      </c>
      <c r="Q95" s="54">
        <v>0</v>
      </c>
      <c r="R95" s="54">
        <v>0</v>
      </c>
      <c r="S95" s="54">
        <v>0</v>
      </c>
      <c r="T95" s="54">
        <v>0</v>
      </c>
      <c r="U95" s="54">
        <v>0</v>
      </c>
      <c r="V95" s="54">
        <v>1</v>
      </c>
      <c r="W95" s="54">
        <v>0</v>
      </c>
      <c r="X95" s="54">
        <v>0</v>
      </c>
      <c r="Y95" s="54">
        <v>0</v>
      </c>
      <c r="Z95" s="54">
        <v>0</v>
      </c>
      <c r="AA95" s="54">
        <v>0</v>
      </c>
      <c r="AB95" s="54">
        <v>0</v>
      </c>
      <c r="AC95" s="54">
        <v>0</v>
      </c>
      <c r="AD95" s="54">
        <v>0</v>
      </c>
      <c r="AE95" s="54">
        <v>0</v>
      </c>
      <c r="AF95" s="54">
        <v>0</v>
      </c>
      <c r="AG95" s="5">
        <f t="shared" si="5"/>
        <v>7</v>
      </c>
    </row>
    <row r="96" spans="1:34" ht="15.75" customHeight="1" x14ac:dyDescent="0.25">
      <c r="A96" s="79" t="s">
        <v>44</v>
      </c>
      <c r="B96" s="54">
        <v>3</v>
      </c>
      <c r="C96" s="54">
        <v>1</v>
      </c>
      <c r="D96" s="54">
        <v>2</v>
      </c>
      <c r="E96" s="54">
        <v>0</v>
      </c>
      <c r="F96" s="54">
        <v>0</v>
      </c>
      <c r="G96" s="54">
        <v>0</v>
      </c>
      <c r="H96" s="54">
        <v>1</v>
      </c>
      <c r="I96" s="54">
        <v>1</v>
      </c>
      <c r="J96" s="54">
        <v>0</v>
      </c>
      <c r="K96" s="54">
        <v>0</v>
      </c>
      <c r="L96" s="54">
        <v>0</v>
      </c>
      <c r="M96" s="54">
        <v>0</v>
      </c>
      <c r="N96" s="54">
        <v>0</v>
      </c>
      <c r="O96" s="54">
        <v>0</v>
      </c>
      <c r="P96" s="54">
        <v>1</v>
      </c>
      <c r="Q96" s="54">
        <v>1</v>
      </c>
      <c r="R96" s="54">
        <v>1</v>
      </c>
      <c r="S96" s="54">
        <v>1</v>
      </c>
      <c r="T96" s="54">
        <v>2</v>
      </c>
      <c r="U96" s="54">
        <v>2</v>
      </c>
      <c r="V96" s="54">
        <v>1</v>
      </c>
      <c r="W96" s="54">
        <v>0</v>
      </c>
      <c r="X96" s="54">
        <v>0</v>
      </c>
      <c r="Y96" s="54">
        <v>3</v>
      </c>
      <c r="Z96" s="54">
        <v>0</v>
      </c>
      <c r="AA96" s="54">
        <v>0</v>
      </c>
      <c r="AB96" s="54">
        <v>1</v>
      </c>
      <c r="AC96" s="54">
        <v>0</v>
      </c>
      <c r="AD96" s="54">
        <v>0</v>
      </c>
      <c r="AE96" s="54">
        <v>1</v>
      </c>
      <c r="AF96" s="54">
        <v>0</v>
      </c>
      <c r="AG96" s="5">
        <f t="shared" si="5"/>
        <v>22</v>
      </c>
    </row>
    <row r="97" spans="1:33" ht="15.75" customHeight="1" x14ac:dyDescent="0.25">
      <c r="A97" s="80" t="s">
        <v>45</v>
      </c>
      <c r="B97" s="54">
        <v>3</v>
      </c>
      <c r="C97" s="54">
        <v>2</v>
      </c>
      <c r="D97" s="54">
        <v>1</v>
      </c>
      <c r="E97" s="54">
        <v>6</v>
      </c>
      <c r="F97" s="54">
        <v>4</v>
      </c>
      <c r="G97" s="54">
        <v>0</v>
      </c>
      <c r="H97" s="54">
        <v>1</v>
      </c>
      <c r="I97" s="54">
        <v>1</v>
      </c>
      <c r="J97" s="54">
        <v>5</v>
      </c>
      <c r="K97" s="54">
        <v>4</v>
      </c>
      <c r="L97" s="54">
        <v>3</v>
      </c>
      <c r="M97" s="54">
        <v>1</v>
      </c>
      <c r="N97" s="54">
        <v>4</v>
      </c>
      <c r="O97" s="54">
        <v>1</v>
      </c>
      <c r="P97" s="54">
        <v>3</v>
      </c>
      <c r="Q97" s="54">
        <v>3</v>
      </c>
      <c r="R97" s="54">
        <v>3</v>
      </c>
      <c r="S97" s="54">
        <v>3</v>
      </c>
      <c r="T97" s="54">
        <v>7</v>
      </c>
      <c r="U97" s="54">
        <v>1</v>
      </c>
      <c r="V97" s="54">
        <v>0</v>
      </c>
      <c r="W97" s="54">
        <v>2</v>
      </c>
      <c r="X97" s="54">
        <v>2</v>
      </c>
      <c r="Y97" s="54">
        <v>1</v>
      </c>
      <c r="Z97" s="54">
        <v>4</v>
      </c>
      <c r="AA97" s="54">
        <v>3</v>
      </c>
      <c r="AB97" s="54">
        <v>2</v>
      </c>
      <c r="AC97" s="54">
        <v>0</v>
      </c>
      <c r="AD97" s="54">
        <v>2</v>
      </c>
      <c r="AE97" s="54">
        <v>2</v>
      </c>
      <c r="AF97" s="54">
        <v>2</v>
      </c>
      <c r="AG97" s="5">
        <f t="shared" si="5"/>
        <v>76</v>
      </c>
    </row>
    <row r="98" spans="1:33" ht="15.75" customHeight="1" x14ac:dyDescent="0.25">
      <c r="A98" s="81" t="s">
        <v>46</v>
      </c>
      <c r="B98" s="54">
        <v>7</v>
      </c>
      <c r="C98" s="54">
        <v>3</v>
      </c>
      <c r="D98" s="54">
        <v>7</v>
      </c>
      <c r="E98" s="54">
        <v>10</v>
      </c>
      <c r="F98" s="54">
        <v>11</v>
      </c>
      <c r="G98" s="54">
        <v>7</v>
      </c>
      <c r="H98" s="54">
        <v>2</v>
      </c>
      <c r="I98" s="54">
        <v>5</v>
      </c>
      <c r="J98" s="54">
        <v>3</v>
      </c>
      <c r="K98" s="54">
        <v>6</v>
      </c>
      <c r="L98" s="54">
        <v>9</v>
      </c>
      <c r="M98" s="54">
        <v>14</v>
      </c>
      <c r="N98" s="54">
        <v>5</v>
      </c>
      <c r="O98" s="54">
        <v>3</v>
      </c>
      <c r="P98" s="54">
        <v>8</v>
      </c>
      <c r="Q98" s="54">
        <v>4</v>
      </c>
      <c r="R98" s="54">
        <v>2</v>
      </c>
      <c r="S98" s="54">
        <v>5</v>
      </c>
      <c r="T98" s="54">
        <v>7</v>
      </c>
      <c r="U98" s="54">
        <v>6</v>
      </c>
      <c r="V98" s="54">
        <v>2</v>
      </c>
      <c r="W98" s="54">
        <v>4</v>
      </c>
      <c r="X98" s="54">
        <v>2</v>
      </c>
      <c r="Y98" s="54">
        <v>4</v>
      </c>
      <c r="Z98" s="54">
        <v>6</v>
      </c>
      <c r="AA98" s="54">
        <v>8</v>
      </c>
      <c r="AB98" s="54">
        <v>5</v>
      </c>
      <c r="AC98" s="54">
        <v>1</v>
      </c>
      <c r="AD98" s="54">
        <v>5</v>
      </c>
      <c r="AE98" s="54">
        <v>6</v>
      </c>
      <c r="AF98" s="54">
        <v>6</v>
      </c>
      <c r="AG98" s="5">
        <f t="shared" si="5"/>
        <v>173</v>
      </c>
    </row>
    <row r="99" spans="1:33" ht="15.75" customHeight="1" x14ac:dyDescent="0.25">
      <c r="A99" s="82" t="s">
        <v>47</v>
      </c>
      <c r="B99" s="54">
        <v>3</v>
      </c>
      <c r="C99" s="54">
        <v>3</v>
      </c>
      <c r="D99" s="54">
        <v>3</v>
      </c>
      <c r="E99" s="54">
        <v>6</v>
      </c>
      <c r="F99" s="54">
        <v>3</v>
      </c>
      <c r="G99" s="54">
        <v>2</v>
      </c>
      <c r="H99" s="54">
        <v>9</v>
      </c>
      <c r="I99" s="54">
        <v>4</v>
      </c>
      <c r="J99" s="54">
        <v>3</v>
      </c>
      <c r="K99" s="54">
        <v>6</v>
      </c>
      <c r="L99" s="54">
        <v>7</v>
      </c>
      <c r="M99" s="54">
        <v>4</v>
      </c>
      <c r="N99" s="54">
        <v>6</v>
      </c>
      <c r="O99" s="54">
        <v>3</v>
      </c>
      <c r="P99" s="54">
        <v>6</v>
      </c>
      <c r="Q99" s="54">
        <v>6</v>
      </c>
      <c r="R99" s="54">
        <v>1</v>
      </c>
      <c r="S99" s="54">
        <v>7</v>
      </c>
      <c r="T99" s="54">
        <v>5</v>
      </c>
      <c r="U99" s="54">
        <v>5</v>
      </c>
      <c r="V99" s="54">
        <v>4</v>
      </c>
      <c r="W99" s="54">
        <v>6</v>
      </c>
      <c r="X99" s="54">
        <v>3</v>
      </c>
      <c r="Y99" s="54">
        <v>3</v>
      </c>
      <c r="Z99" s="54">
        <v>3</v>
      </c>
      <c r="AA99" s="54">
        <v>6</v>
      </c>
      <c r="AB99" s="54">
        <v>4</v>
      </c>
      <c r="AC99" s="54">
        <v>3</v>
      </c>
      <c r="AD99" s="54">
        <v>6</v>
      </c>
      <c r="AE99" s="54">
        <v>5</v>
      </c>
      <c r="AF99" s="54">
        <v>4</v>
      </c>
      <c r="AG99" s="5">
        <f t="shared" ref="AG99:AG162" si="17">SUM(B99:AF99)</f>
        <v>139</v>
      </c>
    </row>
    <row r="100" spans="1:33" ht="15.75" customHeight="1" x14ac:dyDescent="0.25">
      <c r="A100" s="76" t="s">
        <v>48</v>
      </c>
      <c r="B100" s="21">
        <f t="shared" ref="B100:AF100" si="18">SUM(B101:B115)</f>
        <v>131</v>
      </c>
      <c r="C100" s="21">
        <f t="shared" si="18"/>
        <v>97</v>
      </c>
      <c r="D100" s="21">
        <f t="shared" si="18"/>
        <v>97</v>
      </c>
      <c r="E100" s="21">
        <f t="shared" si="18"/>
        <v>171</v>
      </c>
      <c r="F100" s="21">
        <f t="shared" si="18"/>
        <v>151</v>
      </c>
      <c r="G100" s="21">
        <f t="shared" si="18"/>
        <v>105</v>
      </c>
      <c r="H100" s="21">
        <f t="shared" si="18"/>
        <v>80</v>
      </c>
      <c r="I100" s="21">
        <f t="shared" si="18"/>
        <v>91</v>
      </c>
      <c r="J100" s="21">
        <f t="shared" si="18"/>
        <v>107</v>
      </c>
      <c r="K100" s="21">
        <f t="shared" si="18"/>
        <v>101</v>
      </c>
      <c r="L100" s="21">
        <f t="shared" si="18"/>
        <v>130</v>
      </c>
      <c r="M100" s="21">
        <f t="shared" si="18"/>
        <v>135</v>
      </c>
      <c r="N100" s="21">
        <f t="shared" si="18"/>
        <v>120</v>
      </c>
      <c r="O100" s="21">
        <f t="shared" si="18"/>
        <v>107</v>
      </c>
      <c r="P100" s="21">
        <f t="shared" si="18"/>
        <v>100</v>
      </c>
      <c r="Q100" s="21">
        <f t="shared" si="18"/>
        <v>107</v>
      </c>
      <c r="R100" s="21">
        <f t="shared" si="18"/>
        <v>96</v>
      </c>
      <c r="S100" s="21">
        <f t="shared" si="18"/>
        <v>137</v>
      </c>
      <c r="T100" s="21">
        <f t="shared" si="18"/>
        <v>150</v>
      </c>
      <c r="U100" s="21">
        <f t="shared" si="18"/>
        <v>110</v>
      </c>
      <c r="V100" s="21">
        <f t="shared" si="18"/>
        <v>116</v>
      </c>
      <c r="W100" s="21">
        <f t="shared" si="18"/>
        <v>107</v>
      </c>
      <c r="X100" s="21">
        <f t="shared" si="18"/>
        <v>103</v>
      </c>
      <c r="Y100" s="21">
        <f t="shared" si="18"/>
        <v>90</v>
      </c>
      <c r="Z100" s="21">
        <f t="shared" si="18"/>
        <v>155</v>
      </c>
      <c r="AA100" s="21">
        <f t="shared" si="18"/>
        <v>135</v>
      </c>
      <c r="AB100" s="21">
        <f t="shared" si="18"/>
        <v>106</v>
      </c>
      <c r="AC100" s="21">
        <f t="shared" si="18"/>
        <v>120</v>
      </c>
      <c r="AD100" s="21">
        <f t="shared" si="18"/>
        <v>108</v>
      </c>
      <c r="AE100" s="21">
        <f t="shared" si="18"/>
        <v>98</v>
      </c>
      <c r="AF100" s="21">
        <f t="shared" si="18"/>
        <v>95</v>
      </c>
      <c r="AG100" s="5">
        <f t="shared" si="17"/>
        <v>3556</v>
      </c>
    </row>
    <row r="101" spans="1:33" ht="15.75" customHeight="1" x14ac:dyDescent="0.25">
      <c r="A101" s="82" t="s">
        <v>49</v>
      </c>
      <c r="B101" s="54">
        <v>7</v>
      </c>
      <c r="C101" s="54">
        <v>9</v>
      </c>
      <c r="D101" s="54">
        <v>7</v>
      </c>
      <c r="E101" s="54">
        <v>12</v>
      </c>
      <c r="F101" s="54">
        <v>12</v>
      </c>
      <c r="G101" s="54">
        <v>6</v>
      </c>
      <c r="H101" s="54">
        <v>8</v>
      </c>
      <c r="I101" s="54">
        <v>4</v>
      </c>
      <c r="J101" s="54">
        <v>12</v>
      </c>
      <c r="K101" s="54">
        <v>5</v>
      </c>
      <c r="L101" s="54">
        <v>7</v>
      </c>
      <c r="M101" s="54">
        <v>8</v>
      </c>
      <c r="N101" s="54">
        <v>14</v>
      </c>
      <c r="O101" s="54">
        <v>11</v>
      </c>
      <c r="P101" s="54">
        <v>11</v>
      </c>
      <c r="Q101" s="54">
        <v>14</v>
      </c>
      <c r="R101" s="54">
        <v>8</v>
      </c>
      <c r="S101" s="54">
        <v>14</v>
      </c>
      <c r="T101" s="54">
        <v>10</v>
      </c>
      <c r="U101" s="54">
        <v>14</v>
      </c>
      <c r="V101" s="54">
        <v>8</v>
      </c>
      <c r="W101" s="54">
        <v>6</v>
      </c>
      <c r="X101" s="54">
        <v>6</v>
      </c>
      <c r="Y101" s="54">
        <v>5</v>
      </c>
      <c r="Z101" s="54">
        <v>10</v>
      </c>
      <c r="AA101" s="54">
        <v>13</v>
      </c>
      <c r="AB101" s="54">
        <v>8</v>
      </c>
      <c r="AC101" s="54">
        <v>9</v>
      </c>
      <c r="AD101" s="54">
        <v>9</v>
      </c>
      <c r="AE101" s="54">
        <v>6</v>
      </c>
      <c r="AF101" s="54">
        <v>8</v>
      </c>
      <c r="AG101" s="5">
        <f t="shared" si="17"/>
        <v>281</v>
      </c>
    </row>
    <row r="102" spans="1:33" ht="15.75" customHeight="1" x14ac:dyDescent="0.25">
      <c r="A102" s="82" t="s">
        <v>50</v>
      </c>
      <c r="B102" s="54">
        <v>15</v>
      </c>
      <c r="C102" s="54">
        <v>13</v>
      </c>
      <c r="D102" s="54">
        <v>12</v>
      </c>
      <c r="E102" s="54">
        <v>18</v>
      </c>
      <c r="F102" s="54">
        <v>18</v>
      </c>
      <c r="G102" s="54">
        <v>8</v>
      </c>
      <c r="H102" s="54">
        <v>8</v>
      </c>
      <c r="I102" s="54">
        <v>11</v>
      </c>
      <c r="J102" s="54">
        <v>12</v>
      </c>
      <c r="K102" s="54">
        <v>9</v>
      </c>
      <c r="L102" s="54">
        <v>10</v>
      </c>
      <c r="M102" s="54">
        <v>8</v>
      </c>
      <c r="N102" s="54">
        <v>12</v>
      </c>
      <c r="O102" s="54">
        <v>7</v>
      </c>
      <c r="P102" s="54">
        <v>7</v>
      </c>
      <c r="Q102" s="54">
        <v>6</v>
      </c>
      <c r="R102" s="54">
        <v>8</v>
      </c>
      <c r="S102" s="54">
        <v>16</v>
      </c>
      <c r="T102" s="54">
        <v>6</v>
      </c>
      <c r="U102" s="54">
        <v>10</v>
      </c>
      <c r="V102" s="54">
        <v>10</v>
      </c>
      <c r="W102" s="54">
        <v>10</v>
      </c>
      <c r="X102" s="54">
        <v>9</v>
      </c>
      <c r="Y102" s="54">
        <v>5</v>
      </c>
      <c r="Z102" s="54">
        <v>10</v>
      </c>
      <c r="AA102" s="54">
        <v>10</v>
      </c>
      <c r="AB102" s="54">
        <v>8</v>
      </c>
      <c r="AC102" s="54">
        <v>15</v>
      </c>
      <c r="AD102" s="54">
        <v>12</v>
      </c>
      <c r="AE102" s="54">
        <v>7</v>
      </c>
      <c r="AF102" s="54">
        <v>4</v>
      </c>
      <c r="AG102" s="5">
        <f t="shared" si="17"/>
        <v>314</v>
      </c>
    </row>
    <row r="103" spans="1:33" ht="15.75" customHeight="1" x14ac:dyDescent="0.25">
      <c r="A103" s="78" t="s">
        <v>51</v>
      </c>
      <c r="B103" s="54">
        <v>13</v>
      </c>
      <c r="C103" s="54">
        <v>8</v>
      </c>
      <c r="D103" s="54">
        <v>9</v>
      </c>
      <c r="E103" s="54">
        <v>25</v>
      </c>
      <c r="F103" s="54">
        <v>15</v>
      </c>
      <c r="G103" s="54">
        <v>9</v>
      </c>
      <c r="H103" s="54">
        <v>6</v>
      </c>
      <c r="I103" s="54">
        <v>11</v>
      </c>
      <c r="J103" s="54">
        <v>8</v>
      </c>
      <c r="K103" s="54">
        <v>9</v>
      </c>
      <c r="L103" s="54">
        <v>10</v>
      </c>
      <c r="M103" s="54">
        <v>11</v>
      </c>
      <c r="N103" s="54">
        <v>8</v>
      </c>
      <c r="O103" s="54">
        <v>8</v>
      </c>
      <c r="P103" s="54">
        <v>12</v>
      </c>
      <c r="Q103" s="54">
        <v>1</v>
      </c>
      <c r="R103" s="54">
        <v>6</v>
      </c>
      <c r="S103" s="54">
        <v>11</v>
      </c>
      <c r="T103" s="54">
        <v>14</v>
      </c>
      <c r="U103" s="54">
        <v>5</v>
      </c>
      <c r="V103" s="54">
        <v>21</v>
      </c>
      <c r="W103" s="54">
        <v>10</v>
      </c>
      <c r="X103" s="54">
        <v>11</v>
      </c>
      <c r="Y103" s="54">
        <v>13</v>
      </c>
      <c r="Z103" s="54">
        <v>9</v>
      </c>
      <c r="AA103" s="54">
        <v>6</v>
      </c>
      <c r="AB103" s="54">
        <v>9</v>
      </c>
      <c r="AC103" s="54">
        <v>9</v>
      </c>
      <c r="AD103" s="54">
        <v>7</v>
      </c>
      <c r="AE103" s="54">
        <v>8</v>
      </c>
      <c r="AF103" s="54">
        <v>6</v>
      </c>
      <c r="AG103" s="5">
        <f t="shared" si="17"/>
        <v>308</v>
      </c>
    </row>
    <row r="104" spans="1:33" ht="15.75" customHeight="1" x14ac:dyDescent="0.25">
      <c r="A104" s="78" t="s">
        <v>52</v>
      </c>
      <c r="B104" s="54">
        <v>13</v>
      </c>
      <c r="C104" s="54">
        <v>6</v>
      </c>
      <c r="D104" s="54">
        <v>7</v>
      </c>
      <c r="E104" s="54">
        <v>17</v>
      </c>
      <c r="F104" s="54">
        <v>7</v>
      </c>
      <c r="G104" s="54">
        <v>7</v>
      </c>
      <c r="H104" s="54">
        <v>6</v>
      </c>
      <c r="I104" s="54">
        <v>6</v>
      </c>
      <c r="J104" s="54">
        <v>12</v>
      </c>
      <c r="K104" s="54">
        <v>8</v>
      </c>
      <c r="L104" s="54">
        <v>11</v>
      </c>
      <c r="M104" s="54">
        <v>13</v>
      </c>
      <c r="N104" s="54">
        <v>8</v>
      </c>
      <c r="O104" s="54">
        <v>13</v>
      </c>
      <c r="P104" s="54">
        <v>6</v>
      </c>
      <c r="Q104" s="54">
        <v>7</v>
      </c>
      <c r="R104" s="54">
        <v>6</v>
      </c>
      <c r="S104" s="54">
        <v>9</v>
      </c>
      <c r="T104" s="54">
        <v>14</v>
      </c>
      <c r="U104" s="54">
        <v>9</v>
      </c>
      <c r="V104" s="54">
        <v>9</v>
      </c>
      <c r="W104" s="54">
        <v>8</v>
      </c>
      <c r="X104" s="54">
        <v>9</v>
      </c>
      <c r="Y104" s="54">
        <v>8</v>
      </c>
      <c r="Z104" s="54">
        <v>14</v>
      </c>
      <c r="AA104" s="54">
        <v>9</v>
      </c>
      <c r="AB104" s="54">
        <v>12</v>
      </c>
      <c r="AC104" s="54">
        <v>6</v>
      </c>
      <c r="AD104" s="54">
        <v>11</v>
      </c>
      <c r="AE104" s="54">
        <v>9</v>
      </c>
      <c r="AF104" s="54">
        <v>7</v>
      </c>
      <c r="AG104" s="5">
        <f t="shared" si="17"/>
        <v>287</v>
      </c>
    </row>
    <row r="105" spans="1:33" ht="15.75" customHeight="1" x14ac:dyDescent="0.25">
      <c r="A105" s="78" t="s">
        <v>53</v>
      </c>
      <c r="B105" s="54">
        <v>11</v>
      </c>
      <c r="C105" s="54">
        <v>5</v>
      </c>
      <c r="D105" s="54">
        <v>7</v>
      </c>
      <c r="E105" s="54">
        <v>11</v>
      </c>
      <c r="F105" s="54">
        <v>12</v>
      </c>
      <c r="G105" s="54">
        <v>6</v>
      </c>
      <c r="H105" s="54">
        <v>6</v>
      </c>
      <c r="I105" s="54">
        <v>7</v>
      </c>
      <c r="J105" s="54">
        <v>9</v>
      </c>
      <c r="K105" s="54">
        <v>8</v>
      </c>
      <c r="L105" s="54">
        <v>8</v>
      </c>
      <c r="M105" s="54">
        <v>7</v>
      </c>
      <c r="N105" s="54">
        <v>11</v>
      </c>
      <c r="O105" s="54">
        <v>11</v>
      </c>
      <c r="P105" s="54">
        <v>9</v>
      </c>
      <c r="Q105" s="54">
        <v>9</v>
      </c>
      <c r="R105" s="54">
        <v>9</v>
      </c>
      <c r="S105" s="54">
        <v>9</v>
      </c>
      <c r="T105" s="54">
        <v>9</v>
      </c>
      <c r="U105" s="54">
        <v>10</v>
      </c>
      <c r="V105" s="54">
        <v>5</v>
      </c>
      <c r="W105" s="54">
        <v>10</v>
      </c>
      <c r="X105" s="54">
        <v>8</v>
      </c>
      <c r="Y105" s="54">
        <v>5</v>
      </c>
      <c r="Z105" s="54">
        <v>15</v>
      </c>
      <c r="AA105" s="54">
        <v>9</v>
      </c>
      <c r="AB105" s="54">
        <v>7</v>
      </c>
      <c r="AC105" s="54">
        <v>5</v>
      </c>
      <c r="AD105" s="54">
        <v>9</v>
      </c>
      <c r="AE105" s="54">
        <v>9</v>
      </c>
      <c r="AF105" s="54">
        <v>3</v>
      </c>
      <c r="AG105" s="5">
        <f t="shared" si="17"/>
        <v>259</v>
      </c>
    </row>
    <row r="106" spans="1:33" ht="15.75" customHeight="1" x14ac:dyDescent="0.25">
      <c r="A106" s="78" t="s">
        <v>54</v>
      </c>
      <c r="B106" s="54">
        <v>10</v>
      </c>
      <c r="C106" s="54">
        <v>3</v>
      </c>
      <c r="D106" s="54">
        <v>5</v>
      </c>
      <c r="E106" s="54">
        <v>6</v>
      </c>
      <c r="F106" s="54">
        <v>12</v>
      </c>
      <c r="G106" s="54">
        <v>7</v>
      </c>
      <c r="H106" s="54">
        <v>4</v>
      </c>
      <c r="I106" s="54">
        <v>6</v>
      </c>
      <c r="J106" s="54">
        <v>8</v>
      </c>
      <c r="K106" s="54">
        <v>7</v>
      </c>
      <c r="L106" s="54">
        <v>6</v>
      </c>
      <c r="M106" s="54">
        <v>8</v>
      </c>
      <c r="N106" s="54">
        <v>4</v>
      </c>
      <c r="O106" s="54">
        <v>9</v>
      </c>
      <c r="P106" s="54">
        <v>4</v>
      </c>
      <c r="Q106" s="54">
        <v>6</v>
      </c>
      <c r="R106" s="54">
        <v>6</v>
      </c>
      <c r="S106" s="54">
        <v>13</v>
      </c>
      <c r="T106" s="54">
        <v>12</v>
      </c>
      <c r="U106" s="54">
        <v>6</v>
      </c>
      <c r="V106" s="54">
        <v>15</v>
      </c>
      <c r="W106" s="54">
        <v>5</v>
      </c>
      <c r="X106" s="54">
        <v>6</v>
      </c>
      <c r="Y106" s="54">
        <v>5</v>
      </c>
      <c r="Z106" s="54">
        <v>9</v>
      </c>
      <c r="AA106" s="54">
        <v>11</v>
      </c>
      <c r="AB106" s="54">
        <v>11</v>
      </c>
      <c r="AC106" s="54">
        <v>15</v>
      </c>
      <c r="AD106" s="54">
        <v>8</v>
      </c>
      <c r="AE106" s="54">
        <v>7</v>
      </c>
      <c r="AF106" s="54">
        <v>7</v>
      </c>
      <c r="AG106" s="5">
        <f t="shared" si="17"/>
        <v>241</v>
      </c>
    </row>
    <row r="107" spans="1:33" ht="15.75" customHeight="1" x14ac:dyDescent="0.25">
      <c r="A107" s="78" t="s">
        <v>55</v>
      </c>
      <c r="B107" s="54">
        <v>6</v>
      </c>
      <c r="C107" s="54">
        <v>4</v>
      </c>
      <c r="D107" s="54">
        <v>13</v>
      </c>
      <c r="E107" s="54">
        <v>11</v>
      </c>
      <c r="F107" s="54">
        <v>11</v>
      </c>
      <c r="G107" s="54">
        <v>4</v>
      </c>
      <c r="H107" s="54">
        <v>3</v>
      </c>
      <c r="I107" s="54">
        <v>7</v>
      </c>
      <c r="J107" s="54">
        <v>5</v>
      </c>
      <c r="K107" s="54">
        <v>9</v>
      </c>
      <c r="L107" s="54">
        <v>8</v>
      </c>
      <c r="M107" s="54">
        <v>11</v>
      </c>
      <c r="N107" s="54">
        <v>8</v>
      </c>
      <c r="O107" s="54">
        <v>5</v>
      </c>
      <c r="P107" s="54">
        <v>6</v>
      </c>
      <c r="Q107" s="54">
        <v>6</v>
      </c>
      <c r="R107" s="54">
        <v>4</v>
      </c>
      <c r="S107" s="54">
        <v>12</v>
      </c>
      <c r="T107" s="54">
        <v>8</v>
      </c>
      <c r="U107" s="54">
        <v>6</v>
      </c>
      <c r="V107" s="54">
        <v>2</v>
      </c>
      <c r="W107" s="54">
        <v>4</v>
      </c>
      <c r="X107" s="54">
        <v>5</v>
      </c>
      <c r="Y107" s="54">
        <v>3</v>
      </c>
      <c r="Z107" s="54">
        <v>6</v>
      </c>
      <c r="AA107" s="54">
        <v>3</v>
      </c>
      <c r="AB107" s="54">
        <v>3</v>
      </c>
      <c r="AC107" s="54">
        <v>4</v>
      </c>
      <c r="AD107" s="54">
        <v>7</v>
      </c>
      <c r="AE107" s="54">
        <v>6</v>
      </c>
      <c r="AF107" s="54">
        <v>7</v>
      </c>
      <c r="AG107" s="5">
        <f t="shared" si="17"/>
        <v>197</v>
      </c>
    </row>
    <row r="108" spans="1:33" ht="15.75" customHeight="1" x14ac:dyDescent="0.25">
      <c r="A108" s="78" t="s">
        <v>56</v>
      </c>
      <c r="B108" s="54">
        <v>8</v>
      </c>
      <c r="C108" s="54">
        <v>4</v>
      </c>
      <c r="D108" s="54">
        <v>8</v>
      </c>
      <c r="E108" s="54">
        <v>7</v>
      </c>
      <c r="F108" s="54">
        <v>12</v>
      </c>
      <c r="G108" s="54">
        <v>11</v>
      </c>
      <c r="H108" s="54">
        <v>2</v>
      </c>
      <c r="I108" s="54">
        <v>3</v>
      </c>
      <c r="J108" s="54">
        <v>9</v>
      </c>
      <c r="K108" s="54">
        <v>14</v>
      </c>
      <c r="L108" s="54">
        <v>6</v>
      </c>
      <c r="M108" s="54">
        <v>10</v>
      </c>
      <c r="N108" s="54">
        <v>8</v>
      </c>
      <c r="O108" s="54">
        <v>3</v>
      </c>
      <c r="P108" s="54">
        <v>8</v>
      </c>
      <c r="Q108" s="54">
        <v>9</v>
      </c>
      <c r="R108" s="54">
        <v>9</v>
      </c>
      <c r="S108" s="54">
        <v>12</v>
      </c>
      <c r="T108" s="54">
        <v>14</v>
      </c>
      <c r="U108" s="54">
        <v>8</v>
      </c>
      <c r="V108" s="54">
        <v>7</v>
      </c>
      <c r="W108" s="54">
        <v>10</v>
      </c>
      <c r="X108" s="54">
        <v>3</v>
      </c>
      <c r="Y108" s="54">
        <v>8</v>
      </c>
      <c r="Z108" s="54">
        <v>18</v>
      </c>
      <c r="AA108" s="54">
        <v>10</v>
      </c>
      <c r="AB108" s="54">
        <v>9</v>
      </c>
      <c r="AC108" s="54">
        <v>6</v>
      </c>
      <c r="AD108" s="54">
        <v>5</v>
      </c>
      <c r="AE108" s="54">
        <v>8</v>
      </c>
      <c r="AF108" s="54">
        <v>10</v>
      </c>
      <c r="AG108" s="5">
        <f t="shared" si="17"/>
        <v>259</v>
      </c>
    </row>
    <row r="109" spans="1:33" ht="15.75" customHeight="1" x14ac:dyDescent="0.25">
      <c r="A109" s="78" t="s">
        <v>57</v>
      </c>
      <c r="B109" s="54">
        <v>12</v>
      </c>
      <c r="C109" s="54">
        <v>6</v>
      </c>
      <c r="D109" s="54">
        <v>3</v>
      </c>
      <c r="E109" s="54">
        <v>12</v>
      </c>
      <c r="F109" s="54">
        <v>15</v>
      </c>
      <c r="G109" s="54">
        <v>19</v>
      </c>
      <c r="H109" s="54">
        <v>7</v>
      </c>
      <c r="I109" s="54">
        <v>13</v>
      </c>
      <c r="J109" s="54">
        <v>10</v>
      </c>
      <c r="K109" s="54">
        <v>3</v>
      </c>
      <c r="L109" s="54">
        <v>15</v>
      </c>
      <c r="M109" s="54">
        <v>10</v>
      </c>
      <c r="N109" s="54">
        <v>8</v>
      </c>
      <c r="O109" s="54">
        <v>8</v>
      </c>
      <c r="P109" s="54">
        <v>8</v>
      </c>
      <c r="Q109" s="54">
        <v>10</v>
      </c>
      <c r="R109" s="54">
        <v>6</v>
      </c>
      <c r="S109" s="54">
        <v>11</v>
      </c>
      <c r="T109" s="54">
        <v>14</v>
      </c>
      <c r="U109" s="54">
        <v>10</v>
      </c>
      <c r="V109" s="54">
        <v>8</v>
      </c>
      <c r="W109" s="54">
        <v>12</v>
      </c>
      <c r="X109" s="54">
        <v>8</v>
      </c>
      <c r="Y109" s="54">
        <v>10</v>
      </c>
      <c r="Z109" s="54">
        <v>13</v>
      </c>
      <c r="AA109" s="54">
        <v>12</v>
      </c>
      <c r="AB109" s="54">
        <v>5</v>
      </c>
      <c r="AC109" s="54">
        <v>8</v>
      </c>
      <c r="AD109" s="54">
        <v>5</v>
      </c>
      <c r="AE109" s="54">
        <v>4</v>
      </c>
      <c r="AF109" s="54">
        <v>11</v>
      </c>
      <c r="AG109" s="5">
        <f t="shared" si="17"/>
        <v>296</v>
      </c>
    </row>
    <row r="110" spans="1:33" ht="15.75" customHeight="1" x14ac:dyDescent="0.25">
      <c r="A110" s="78" t="s">
        <v>58</v>
      </c>
      <c r="B110" s="54">
        <v>7</v>
      </c>
      <c r="C110" s="54">
        <v>9</v>
      </c>
      <c r="D110" s="54">
        <v>6</v>
      </c>
      <c r="E110" s="54">
        <v>11</v>
      </c>
      <c r="F110" s="54">
        <v>14</v>
      </c>
      <c r="G110" s="54">
        <v>5</v>
      </c>
      <c r="H110" s="54">
        <v>8</v>
      </c>
      <c r="I110" s="54">
        <v>4</v>
      </c>
      <c r="J110" s="54">
        <v>5</v>
      </c>
      <c r="K110" s="54">
        <v>8</v>
      </c>
      <c r="L110" s="54">
        <v>14</v>
      </c>
      <c r="M110" s="54">
        <v>7</v>
      </c>
      <c r="N110" s="54">
        <v>9</v>
      </c>
      <c r="O110" s="54">
        <v>4</v>
      </c>
      <c r="P110" s="54">
        <v>9</v>
      </c>
      <c r="Q110" s="54">
        <v>12</v>
      </c>
      <c r="R110" s="54">
        <v>9</v>
      </c>
      <c r="S110" s="54">
        <v>5</v>
      </c>
      <c r="T110" s="54">
        <v>15</v>
      </c>
      <c r="U110" s="54">
        <v>8</v>
      </c>
      <c r="V110" s="54">
        <v>8</v>
      </c>
      <c r="W110" s="54">
        <v>7</v>
      </c>
      <c r="X110" s="54">
        <v>7</v>
      </c>
      <c r="Y110" s="54">
        <v>8</v>
      </c>
      <c r="Z110" s="54">
        <v>10</v>
      </c>
      <c r="AA110" s="54">
        <v>14</v>
      </c>
      <c r="AB110" s="54">
        <v>14</v>
      </c>
      <c r="AC110" s="54">
        <v>9</v>
      </c>
      <c r="AD110" s="54">
        <v>7</v>
      </c>
      <c r="AE110" s="54">
        <v>7</v>
      </c>
      <c r="AF110" s="54">
        <v>7</v>
      </c>
      <c r="AG110" s="5">
        <f t="shared" si="17"/>
        <v>267</v>
      </c>
    </row>
    <row r="111" spans="1:33" ht="15.75" customHeight="1" x14ac:dyDescent="0.25">
      <c r="A111" s="78" t="s">
        <v>59</v>
      </c>
      <c r="B111" s="54">
        <v>10</v>
      </c>
      <c r="C111" s="54">
        <v>6</v>
      </c>
      <c r="D111" s="54">
        <v>7</v>
      </c>
      <c r="E111" s="54">
        <v>10</v>
      </c>
      <c r="F111" s="54">
        <v>7</v>
      </c>
      <c r="G111" s="54">
        <v>6</v>
      </c>
      <c r="H111" s="54">
        <v>5</v>
      </c>
      <c r="I111" s="54">
        <v>3</v>
      </c>
      <c r="J111" s="54">
        <v>4</v>
      </c>
      <c r="K111" s="54">
        <v>8</v>
      </c>
      <c r="L111" s="54">
        <v>14</v>
      </c>
      <c r="M111" s="54">
        <v>10</v>
      </c>
      <c r="N111" s="54">
        <v>10</v>
      </c>
      <c r="O111" s="54">
        <v>6</v>
      </c>
      <c r="P111" s="54">
        <v>7</v>
      </c>
      <c r="Q111" s="54">
        <v>7</v>
      </c>
      <c r="R111" s="54">
        <v>7</v>
      </c>
      <c r="S111" s="54">
        <v>8</v>
      </c>
      <c r="T111" s="54">
        <v>12</v>
      </c>
      <c r="U111" s="54">
        <v>12</v>
      </c>
      <c r="V111" s="54">
        <v>11</v>
      </c>
      <c r="W111" s="54">
        <v>11</v>
      </c>
      <c r="X111" s="54">
        <v>10</v>
      </c>
      <c r="Y111" s="54">
        <v>6</v>
      </c>
      <c r="Z111" s="54">
        <v>13</v>
      </c>
      <c r="AA111" s="54">
        <v>13</v>
      </c>
      <c r="AB111" s="54">
        <v>4</v>
      </c>
      <c r="AC111" s="54">
        <v>8</v>
      </c>
      <c r="AD111" s="54">
        <v>8</v>
      </c>
      <c r="AE111" s="54">
        <v>6</v>
      </c>
      <c r="AF111" s="54">
        <v>8</v>
      </c>
      <c r="AG111" s="5">
        <f t="shared" si="17"/>
        <v>257</v>
      </c>
    </row>
    <row r="112" spans="1:33" ht="15.75" customHeight="1" x14ac:dyDescent="0.25">
      <c r="A112" s="78" t="s">
        <v>60</v>
      </c>
      <c r="B112" s="54">
        <v>7</v>
      </c>
      <c r="C112" s="54">
        <v>10</v>
      </c>
      <c r="D112" s="54">
        <v>3</v>
      </c>
      <c r="E112" s="54">
        <v>9</v>
      </c>
      <c r="F112" s="54">
        <v>4</v>
      </c>
      <c r="G112" s="54">
        <v>4</v>
      </c>
      <c r="H112" s="54">
        <v>5</v>
      </c>
      <c r="I112" s="54">
        <v>2</v>
      </c>
      <c r="J112" s="54">
        <v>3</v>
      </c>
      <c r="K112" s="54">
        <v>7</v>
      </c>
      <c r="L112" s="54">
        <v>4</v>
      </c>
      <c r="M112" s="54">
        <v>7</v>
      </c>
      <c r="N112" s="54">
        <v>6</v>
      </c>
      <c r="O112" s="54">
        <v>7</v>
      </c>
      <c r="P112" s="54">
        <v>3</v>
      </c>
      <c r="Q112" s="54">
        <v>10</v>
      </c>
      <c r="R112" s="54">
        <v>5</v>
      </c>
      <c r="S112" s="54">
        <v>3</v>
      </c>
      <c r="T112" s="54">
        <v>8</v>
      </c>
      <c r="U112" s="54">
        <v>3</v>
      </c>
      <c r="V112" s="54">
        <v>3</v>
      </c>
      <c r="W112" s="54">
        <v>4</v>
      </c>
      <c r="X112" s="54">
        <v>7</v>
      </c>
      <c r="Y112" s="54">
        <v>4</v>
      </c>
      <c r="Z112" s="54">
        <v>4</v>
      </c>
      <c r="AA112" s="54">
        <v>7</v>
      </c>
      <c r="AB112" s="54">
        <v>4</v>
      </c>
      <c r="AC112" s="54">
        <v>6</v>
      </c>
      <c r="AD112" s="54">
        <v>2</v>
      </c>
      <c r="AE112" s="54">
        <v>8</v>
      </c>
      <c r="AF112" s="54">
        <v>6</v>
      </c>
      <c r="AG112" s="5">
        <f t="shared" si="17"/>
        <v>165</v>
      </c>
    </row>
    <row r="113" spans="1:37" ht="15.75" customHeight="1" x14ac:dyDescent="0.25">
      <c r="A113" s="78" t="s">
        <v>61</v>
      </c>
      <c r="B113" s="54">
        <v>4</v>
      </c>
      <c r="C113" s="54">
        <v>5</v>
      </c>
      <c r="D113" s="54">
        <v>4</v>
      </c>
      <c r="E113" s="54">
        <v>4</v>
      </c>
      <c r="F113" s="54">
        <v>4</v>
      </c>
      <c r="G113" s="54">
        <v>5</v>
      </c>
      <c r="H113" s="54">
        <v>5</v>
      </c>
      <c r="I113" s="54">
        <v>6</v>
      </c>
      <c r="J113" s="54">
        <v>3</v>
      </c>
      <c r="K113" s="54">
        <v>2</v>
      </c>
      <c r="L113" s="54">
        <v>4</v>
      </c>
      <c r="M113" s="54">
        <v>7</v>
      </c>
      <c r="N113" s="54">
        <v>5</v>
      </c>
      <c r="O113" s="54">
        <v>9</v>
      </c>
      <c r="P113" s="54">
        <v>8</v>
      </c>
      <c r="Q113" s="54">
        <v>4</v>
      </c>
      <c r="R113" s="54">
        <v>4</v>
      </c>
      <c r="S113" s="54">
        <v>8</v>
      </c>
      <c r="T113" s="54">
        <v>7</v>
      </c>
      <c r="U113" s="54">
        <v>3</v>
      </c>
      <c r="V113" s="54">
        <v>2</v>
      </c>
      <c r="W113" s="54">
        <v>2</v>
      </c>
      <c r="X113" s="54">
        <v>6</v>
      </c>
      <c r="Y113" s="54">
        <v>5</v>
      </c>
      <c r="Z113" s="54">
        <v>13</v>
      </c>
      <c r="AA113" s="54">
        <v>8</v>
      </c>
      <c r="AB113" s="54">
        <v>5</v>
      </c>
      <c r="AC113" s="54">
        <v>9</v>
      </c>
      <c r="AD113" s="54">
        <v>9</v>
      </c>
      <c r="AE113" s="54">
        <v>4</v>
      </c>
      <c r="AF113" s="54">
        <v>5</v>
      </c>
      <c r="AG113" s="5">
        <f t="shared" si="17"/>
        <v>169</v>
      </c>
    </row>
    <row r="114" spans="1:37" ht="15.75" customHeight="1" x14ac:dyDescent="0.25">
      <c r="A114" s="78" t="s">
        <v>62</v>
      </c>
      <c r="B114" s="54">
        <v>8</v>
      </c>
      <c r="C114" s="54">
        <v>9</v>
      </c>
      <c r="D114" s="54">
        <v>6</v>
      </c>
      <c r="E114" s="54">
        <v>18</v>
      </c>
      <c r="F114" s="54">
        <v>8</v>
      </c>
      <c r="G114" s="54">
        <v>8</v>
      </c>
      <c r="H114" s="54">
        <v>7</v>
      </c>
      <c r="I114" s="54">
        <v>8</v>
      </c>
      <c r="J114" s="54">
        <v>7</v>
      </c>
      <c r="K114" s="54">
        <v>4</v>
      </c>
      <c r="L114" s="54">
        <v>13</v>
      </c>
      <c r="M114" s="54">
        <v>18</v>
      </c>
      <c r="N114" s="54">
        <v>9</v>
      </c>
      <c r="O114" s="54">
        <v>6</v>
      </c>
      <c r="P114" s="54">
        <v>2</v>
      </c>
      <c r="Q114" s="54">
        <v>6</v>
      </c>
      <c r="R114" s="54">
        <v>9</v>
      </c>
      <c r="S114" s="54">
        <v>6</v>
      </c>
      <c r="T114" s="54">
        <v>7</v>
      </c>
      <c r="U114" s="54">
        <v>6</v>
      </c>
      <c r="V114" s="54">
        <v>7</v>
      </c>
      <c r="W114" s="54">
        <v>8</v>
      </c>
      <c r="X114" s="54">
        <v>8</v>
      </c>
      <c r="Y114" s="54">
        <v>5</v>
      </c>
      <c r="Z114" s="54">
        <v>11</v>
      </c>
      <c r="AA114" s="54">
        <v>10</v>
      </c>
      <c r="AB114" s="54">
        <v>7</v>
      </c>
      <c r="AC114" s="54">
        <v>11</v>
      </c>
      <c r="AD114" s="54">
        <v>9</v>
      </c>
      <c r="AE114" s="54">
        <v>9</v>
      </c>
      <c r="AF114" s="54">
        <v>6</v>
      </c>
      <c r="AG114" s="5">
        <f t="shared" si="17"/>
        <v>256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42</v>
      </c>
      <c r="C116" s="20">
        <f t="shared" si="19"/>
        <v>38</v>
      </c>
      <c r="D116" s="20">
        <f t="shared" si="19"/>
        <v>33</v>
      </c>
      <c r="E116" s="20">
        <f t="shared" si="19"/>
        <v>48</v>
      </c>
      <c r="F116" s="20">
        <f t="shared" si="19"/>
        <v>38</v>
      </c>
      <c r="G116" s="20">
        <f t="shared" si="19"/>
        <v>27</v>
      </c>
      <c r="H116" s="20">
        <f t="shared" si="19"/>
        <v>18</v>
      </c>
      <c r="I116" s="20">
        <f t="shared" si="19"/>
        <v>34</v>
      </c>
      <c r="J116" s="20">
        <f t="shared" si="19"/>
        <v>32</v>
      </c>
      <c r="K116" s="20">
        <f t="shared" si="19"/>
        <v>25</v>
      </c>
      <c r="L116" s="20">
        <f t="shared" si="19"/>
        <v>47</v>
      </c>
      <c r="M116" s="20">
        <f t="shared" si="19"/>
        <v>46</v>
      </c>
      <c r="N116" s="20">
        <f t="shared" si="19"/>
        <v>56</v>
      </c>
      <c r="O116" s="20">
        <f t="shared" si="19"/>
        <v>25</v>
      </c>
      <c r="P116" s="20">
        <f t="shared" si="19"/>
        <v>39</v>
      </c>
      <c r="Q116" s="20">
        <f t="shared" si="19"/>
        <v>33</v>
      </c>
      <c r="R116" s="20">
        <f t="shared" si="19"/>
        <v>34</v>
      </c>
      <c r="S116" s="20">
        <f t="shared" si="19"/>
        <v>55</v>
      </c>
      <c r="T116" s="20">
        <f t="shared" si="19"/>
        <v>56</v>
      </c>
      <c r="U116" s="20">
        <f t="shared" si="19"/>
        <v>40</v>
      </c>
      <c r="V116" s="20">
        <f t="shared" si="19"/>
        <v>32</v>
      </c>
      <c r="W116" s="20">
        <f t="shared" si="19"/>
        <v>40</v>
      </c>
      <c r="X116" s="20">
        <f t="shared" si="19"/>
        <v>24</v>
      </c>
      <c r="Y116" s="20">
        <f t="shared" si="19"/>
        <v>31</v>
      </c>
      <c r="Z116" s="20">
        <f t="shared" si="19"/>
        <v>54</v>
      </c>
      <c r="AA116" s="20">
        <f t="shared" si="19"/>
        <v>54</v>
      </c>
      <c r="AB116" s="20">
        <f t="shared" si="19"/>
        <v>34</v>
      </c>
      <c r="AC116" s="20">
        <f t="shared" si="19"/>
        <v>37</v>
      </c>
      <c r="AD116" s="20">
        <f t="shared" si="19"/>
        <v>44</v>
      </c>
      <c r="AE116" s="20">
        <f t="shared" si="19"/>
        <v>39</v>
      </c>
      <c r="AF116" s="20">
        <f t="shared" si="19"/>
        <v>36</v>
      </c>
      <c r="AG116" s="5">
        <f t="shared" si="17"/>
        <v>1191</v>
      </c>
      <c r="AK116" s="84">
        <v>612</v>
      </c>
    </row>
    <row r="117" spans="1:37" ht="15.75" customHeight="1" x14ac:dyDescent="0.25">
      <c r="A117" s="85" t="s">
        <v>64</v>
      </c>
      <c r="B117" s="54">
        <v>33</v>
      </c>
      <c r="C117" s="54">
        <v>33</v>
      </c>
      <c r="D117" s="54">
        <v>27</v>
      </c>
      <c r="E117" s="54">
        <v>40</v>
      </c>
      <c r="F117" s="54">
        <v>29</v>
      </c>
      <c r="G117" s="54">
        <v>26</v>
      </c>
      <c r="H117" s="54">
        <v>14</v>
      </c>
      <c r="I117" s="54">
        <v>27</v>
      </c>
      <c r="J117" s="54">
        <v>22</v>
      </c>
      <c r="K117" s="54">
        <v>19</v>
      </c>
      <c r="L117" s="54">
        <v>34</v>
      </c>
      <c r="M117" s="54">
        <v>38</v>
      </c>
      <c r="N117" s="54">
        <v>43</v>
      </c>
      <c r="O117" s="54">
        <v>19</v>
      </c>
      <c r="P117" s="54">
        <v>29</v>
      </c>
      <c r="Q117" s="54">
        <v>26</v>
      </c>
      <c r="R117" s="54">
        <v>28</v>
      </c>
      <c r="S117" s="54">
        <v>43</v>
      </c>
      <c r="T117" s="54">
        <v>41</v>
      </c>
      <c r="U117" s="54">
        <v>30</v>
      </c>
      <c r="V117" s="54">
        <v>22</v>
      </c>
      <c r="W117" s="54">
        <v>30</v>
      </c>
      <c r="X117" s="54">
        <v>17</v>
      </c>
      <c r="Y117" s="54">
        <v>27</v>
      </c>
      <c r="Z117" s="54">
        <v>41</v>
      </c>
      <c r="AA117" s="54">
        <v>41</v>
      </c>
      <c r="AB117" s="54">
        <v>23</v>
      </c>
      <c r="AC117" s="54">
        <v>31</v>
      </c>
      <c r="AD117" s="54">
        <v>35</v>
      </c>
      <c r="AE117" s="54">
        <v>30</v>
      </c>
      <c r="AF117" s="54">
        <v>29</v>
      </c>
      <c r="AG117" s="5">
        <f t="shared" si="17"/>
        <v>927</v>
      </c>
      <c r="AK117" s="84">
        <v>613</v>
      </c>
    </row>
    <row r="118" spans="1:37" ht="15.75" customHeight="1" thickBot="1" x14ac:dyDescent="0.3">
      <c r="A118" s="86" t="s">
        <v>76</v>
      </c>
      <c r="B118" s="87">
        <v>9</v>
      </c>
      <c r="C118" s="87">
        <v>5</v>
      </c>
      <c r="D118" s="87">
        <v>6</v>
      </c>
      <c r="E118" s="87">
        <v>8</v>
      </c>
      <c r="F118" s="87">
        <v>9</v>
      </c>
      <c r="G118" s="87">
        <v>1</v>
      </c>
      <c r="H118" s="87">
        <v>4</v>
      </c>
      <c r="I118" s="87">
        <v>7</v>
      </c>
      <c r="J118" s="87">
        <v>10</v>
      </c>
      <c r="K118" s="87">
        <v>6</v>
      </c>
      <c r="L118" s="87">
        <v>13</v>
      </c>
      <c r="M118" s="87">
        <v>8</v>
      </c>
      <c r="N118" s="87">
        <v>13</v>
      </c>
      <c r="O118" s="87">
        <v>6</v>
      </c>
      <c r="P118" s="87">
        <v>10</v>
      </c>
      <c r="Q118" s="87">
        <v>7</v>
      </c>
      <c r="R118" s="87">
        <v>6</v>
      </c>
      <c r="S118" s="87">
        <v>12</v>
      </c>
      <c r="T118" s="87">
        <v>15</v>
      </c>
      <c r="U118" s="87">
        <v>10</v>
      </c>
      <c r="V118" s="87">
        <v>10</v>
      </c>
      <c r="W118" s="87">
        <v>10</v>
      </c>
      <c r="X118" s="87">
        <v>7</v>
      </c>
      <c r="Y118" s="87">
        <v>4</v>
      </c>
      <c r="Z118" s="87">
        <v>13</v>
      </c>
      <c r="AA118" s="87">
        <v>13</v>
      </c>
      <c r="AB118" s="87">
        <v>11</v>
      </c>
      <c r="AC118" s="87">
        <v>6</v>
      </c>
      <c r="AD118" s="87">
        <v>9</v>
      </c>
      <c r="AE118" s="87">
        <v>9</v>
      </c>
      <c r="AF118" s="87">
        <v>7</v>
      </c>
      <c r="AG118" s="5">
        <f t="shared" si="17"/>
        <v>264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147</v>
      </c>
      <c r="C119" s="20">
        <f t="shared" si="20"/>
        <v>106</v>
      </c>
      <c r="D119" s="20">
        <f t="shared" si="20"/>
        <v>110</v>
      </c>
      <c r="E119" s="20">
        <f t="shared" si="20"/>
        <v>193</v>
      </c>
      <c r="F119" s="20">
        <f t="shared" si="20"/>
        <v>169</v>
      </c>
      <c r="G119" s="20">
        <f t="shared" si="20"/>
        <v>115</v>
      </c>
      <c r="H119" s="20">
        <f t="shared" si="20"/>
        <v>94</v>
      </c>
      <c r="I119" s="20">
        <f t="shared" si="20"/>
        <v>103</v>
      </c>
      <c r="J119" s="20">
        <f t="shared" si="20"/>
        <v>118</v>
      </c>
      <c r="K119" s="20">
        <f t="shared" si="20"/>
        <v>117</v>
      </c>
      <c r="L119" s="20">
        <f t="shared" si="20"/>
        <v>149</v>
      </c>
      <c r="M119" s="20">
        <f t="shared" si="20"/>
        <v>155</v>
      </c>
      <c r="N119" s="20">
        <f t="shared" si="20"/>
        <v>137</v>
      </c>
      <c r="O119" s="20">
        <f t="shared" si="20"/>
        <v>114</v>
      </c>
      <c r="P119" s="20">
        <f t="shared" si="20"/>
        <v>118</v>
      </c>
      <c r="Q119" s="20">
        <f t="shared" si="20"/>
        <v>121</v>
      </c>
      <c r="R119" s="20">
        <f t="shared" si="20"/>
        <v>103</v>
      </c>
      <c r="S119" s="20">
        <f t="shared" si="20"/>
        <v>153</v>
      </c>
      <c r="T119" s="20">
        <f t="shared" si="20"/>
        <v>171</v>
      </c>
      <c r="U119" s="20">
        <f t="shared" si="20"/>
        <v>124</v>
      </c>
      <c r="V119" s="20">
        <f t="shared" si="20"/>
        <v>124</v>
      </c>
      <c r="W119" s="20">
        <f t="shared" si="20"/>
        <v>119</v>
      </c>
      <c r="X119" s="20">
        <f t="shared" si="20"/>
        <v>110</v>
      </c>
      <c r="Y119" s="20">
        <f t="shared" si="20"/>
        <v>101</v>
      </c>
      <c r="Z119" s="20">
        <f t="shared" si="20"/>
        <v>168</v>
      </c>
      <c r="AA119" s="20">
        <f t="shared" si="20"/>
        <v>152</v>
      </c>
      <c r="AB119" s="20">
        <f t="shared" si="20"/>
        <v>118</v>
      </c>
      <c r="AC119" s="20">
        <f t="shared" si="20"/>
        <v>124</v>
      </c>
      <c r="AD119" s="20">
        <f t="shared" si="20"/>
        <v>121</v>
      </c>
      <c r="AE119" s="20">
        <f t="shared" si="20"/>
        <v>112</v>
      </c>
      <c r="AF119" s="20">
        <f t="shared" si="20"/>
        <v>107</v>
      </c>
      <c r="AG119" s="7">
        <f t="shared" si="17"/>
        <v>3973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32</v>
      </c>
      <c r="C120" s="54">
        <v>25</v>
      </c>
      <c r="D120" s="54">
        <v>23</v>
      </c>
      <c r="E120" s="54">
        <v>38</v>
      </c>
      <c r="F120" s="54">
        <v>27</v>
      </c>
      <c r="G120" s="54">
        <v>23</v>
      </c>
      <c r="H120" s="54">
        <v>14</v>
      </c>
      <c r="I120" s="54">
        <v>25</v>
      </c>
      <c r="J120" s="54">
        <v>21</v>
      </c>
      <c r="K120" s="54">
        <v>18</v>
      </c>
      <c r="L120" s="54">
        <v>32</v>
      </c>
      <c r="M120" s="54">
        <v>35</v>
      </c>
      <c r="N120" s="54">
        <v>42</v>
      </c>
      <c r="O120" s="54">
        <v>18</v>
      </c>
      <c r="P120" s="54">
        <v>27</v>
      </c>
      <c r="Q120" s="54">
        <v>26</v>
      </c>
      <c r="R120" s="54">
        <v>27</v>
      </c>
      <c r="S120" s="54">
        <v>42</v>
      </c>
      <c r="T120" s="54">
        <v>41</v>
      </c>
      <c r="U120" s="54">
        <v>27</v>
      </c>
      <c r="V120" s="54">
        <v>21</v>
      </c>
      <c r="W120" s="54">
        <v>26</v>
      </c>
      <c r="X120" s="54">
        <v>17</v>
      </c>
      <c r="Y120" s="54">
        <v>26</v>
      </c>
      <c r="Z120" s="54">
        <v>40</v>
      </c>
      <c r="AA120" s="54">
        <v>41</v>
      </c>
      <c r="AB120" s="54">
        <v>17</v>
      </c>
      <c r="AC120" s="54">
        <v>28</v>
      </c>
      <c r="AD120" s="54">
        <v>30</v>
      </c>
      <c r="AE120" s="54">
        <v>26</v>
      </c>
      <c r="AF120" s="54">
        <v>29</v>
      </c>
      <c r="AG120" s="5">
        <f t="shared" si="17"/>
        <v>864</v>
      </c>
      <c r="AK120" s="88" t="s">
        <v>130</v>
      </c>
    </row>
    <row r="121" spans="1:37" ht="15.75" customHeight="1" x14ac:dyDescent="0.25">
      <c r="A121" s="85" t="s">
        <v>65</v>
      </c>
      <c r="B121" s="54">
        <v>3</v>
      </c>
      <c r="C121" s="54">
        <v>3</v>
      </c>
      <c r="D121" s="54">
        <v>3</v>
      </c>
      <c r="E121" s="54">
        <v>3</v>
      </c>
      <c r="F121" s="54">
        <v>3</v>
      </c>
      <c r="G121" s="54">
        <v>1</v>
      </c>
      <c r="H121" s="54">
        <v>1</v>
      </c>
      <c r="I121" s="54">
        <v>4</v>
      </c>
      <c r="J121" s="54">
        <v>3</v>
      </c>
      <c r="K121" s="54">
        <v>5</v>
      </c>
      <c r="L121" s="54">
        <v>2</v>
      </c>
      <c r="M121" s="54">
        <v>5</v>
      </c>
      <c r="N121" s="54">
        <v>1</v>
      </c>
      <c r="O121" s="54">
        <v>0</v>
      </c>
      <c r="P121" s="54">
        <v>2</v>
      </c>
      <c r="Q121" s="54">
        <v>2</v>
      </c>
      <c r="R121" s="54">
        <v>4</v>
      </c>
      <c r="S121" s="54">
        <v>3</v>
      </c>
      <c r="T121" s="54">
        <v>3</v>
      </c>
      <c r="U121" s="54">
        <v>4</v>
      </c>
      <c r="V121" s="54">
        <v>1</v>
      </c>
      <c r="W121" s="54">
        <v>3</v>
      </c>
      <c r="X121" s="54">
        <v>4</v>
      </c>
      <c r="Y121" s="54">
        <v>2</v>
      </c>
      <c r="Z121" s="54">
        <v>2</v>
      </c>
      <c r="AA121" s="54">
        <v>3</v>
      </c>
      <c r="AB121" s="54">
        <v>5</v>
      </c>
      <c r="AC121" s="54">
        <v>2</v>
      </c>
      <c r="AD121" s="54">
        <v>1</v>
      </c>
      <c r="AE121" s="54">
        <v>6</v>
      </c>
      <c r="AF121" s="54">
        <v>6</v>
      </c>
      <c r="AG121" s="5">
        <f t="shared" si="17"/>
        <v>90</v>
      </c>
      <c r="AK121" s="84" t="s">
        <v>131</v>
      </c>
    </row>
    <row r="122" spans="1:37" ht="15.75" customHeight="1" x14ac:dyDescent="0.25">
      <c r="A122" s="85" t="s">
        <v>66</v>
      </c>
      <c r="B122" s="54">
        <v>14</v>
      </c>
      <c r="C122" s="54">
        <v>5</v>
      </c>
      <c r="D122" s="54">
        <v>8</v>
      </c>
      <c r="E122" s="54">
        <v>17</v>
      </c>
      <c r="F122" s="54">
        <v>11</v>
      </c>
      <c r="G122" s="54">
        <v>7</v>
      </c>
      <c r="H122" s="54">
        <v>4</v>
      </c>
      <c r="I122" s="54">
        <v>7</v>
      </c>
      <c r="J122" s="54">
        <v>8</v>
      </c>
      <c r="K122" s="54">
        <v>9</v>
      </c>
      <c r="L122" s="54">
        <v>6</v>
      </c>
      <c r="M122" s="54">
        <v>11</v>
      </c>
      <c r="N122" s="54">
        <v>9</v>
      </c>
      <c r="O122" s="54">
        <v>7</v>
      </c>
      <c r="P122" s="54">
        <v>7</v>
      </c>
      <c r="Q122" s="54">
        <v>7</v>
      </c>
      <c r="R122" s="54">
        <v>13</v>
      </c>
      <c r="S122" s="54">
        <v>7</v>
      </c>
      <c r="T122" s="54">
        <v>14</v>
      </c>
      <c r="U122" s="54">
        <v>6</v>
      </c>
      <c r="V122" s="54">
        <v>7</v>
      </c>
      <c r="W122" s="54">
        <v>7</v>
      </c>
      <c r="X122" s="54">
        <v>4</v>
      </c>
      <c r="Y122" s="54">
        <v>6</v>
      </c>
      <c r="Z122" s="54">
        <v>6</v>
      </c>
      <c r="AA122" s="54">
        <v>13</v>
      </c>
      <c r="AB122" s="54">
        <v>6</v>
      </c>
      <c r="AC122" s="54">
        <v>5</v>
      </c>
      <c r="AD122" s="54">
        <v>6</v>
      </c>
      <c r="AE122" s="54">
        <v>8</v>
      </c>
      <c r="AF122" s="54">
        <v>5</v>
      </c>
      <c r="AG122" s="5">
        <f t="shared" si="17"/>
        <v>250</v>
      </c>
      <c r="AK122" s="88" t="s">
        <v>132</v>
      </c>
    </row>
    <row r="123" spans="1:37" ht="15.75" customHeight="1" x14ac:dyDescent="0.25">
      <c r="A123" s="85" t="s">
        <v>67</v>
      </c>
      <c r="B123" s="54">
        <v>5</v>
      </c>
      <c r="C123" s="54">
        <v>4</v>
      </c>
      <c r="D123" s="54">
        <v>3</v>
      </c>
      <c r="E123" s="54">
        <v>10</v>
      </c>
      <c r="F123" s="54">
        <v>11</v>
      </c>
      <c r="G123" s="54">
        <v>8</v>
      </c>
      <c r="H123" s="54">
        <v>5</v>
      </c>
      <c r="I123" s="54">
        <v>5</v>
      </c>
      <c r="J123" s="54">
        <v>5</v>
      </c>
      <c r="K123" s="54">
        <v>4</v>
      </c>
      <c r="L123" s="54">
        <v>5</v>
      </c>
      <c r="M123" s="54">
        <v>7</v>
      </c>
      <c r="N123" s="54">
        <v>4</v>
      </c>
      <c r="O123" s="54">
        <v>5</v>
      </c>
      <c r="P123" s="54">
        <v>5</v>
      </c>
      <c r="Q123" s="54">
        <v>5</v>
      </c>
      <c r="R123" s="54">
        <v>1</v>
      </c>
      <c r="S123" s="54">
        <v>9</v>
      </c>
      <c r="T123" s="54">
        <v>5</v>
      </c>
      <c r="U123" s="54">
        <v>7</v>
      </c>
      <c r="V123" s="54">
        <v>5</v>
      </c>
      <c r="W123" s="54">
        <v>11</v>
      </c>
      <c r="X123" s="54">
        <v>4</v>
      </c>
      <c r="Y123" s="54">
        <v>1</v>
      </c>
      <c r="Z123" s="54">
        <v>8</v>
      </c>
      <c r="AA123" s="54">
        <v>12</v>
      </c>
      <c r="AB123" s="54">
        <v>10</v>
      </c>
      <c r="AC123" s="54">
        <v>4</v>
      </c>
      <c r="AD123" s="54">
        <v>4</v>
      </c>
      <c r="AE123" s="54">
        <v>7</v>
      </c>
      <c r="AF123" s="54">
        <v>3</v>
      </c>
      <c r="AG123" s="5">
        <f t="shared" si="17"/>
        <v>182</v>
      </c>
      <c r="AK123" s="84" t="s">
        <v>133</v>
      </c>
    </row>
    <row r="124" spans="1:37" ht="15.75" customHeight="1" x14ac:dyDescent="0.25">
      <c r="A124" s="85" t="s">
        <v>68</v>
      </c>
      <c r="B124" s="54">
        <v>8</v>
      </c>
      <c r="C124" s="54">
        <v>11</v>
      </c>
      <c r="D124" s="54">
        <v>5</v>
      </c>
      <c r="E124" s="54">
        <v>16</v>
      </c>
      <c r="F124" s="54">
        <v>8</v>
      </c>
      <c r="G124" s="54">
        <v>10</v>
      </c>
      <c r="H124" s="54">
        <v>5</v>
      </c>
      <c r="I124" s="54">
        <v>6</v>
      </c>
      <c r="J124" s="54">
        <v>10</v>
      </c>
      <c r="K124" s="54">
        <v>5</v>
      </c>
      <c r="L124" s="54">
        <v>3</v>
      </c>
      <c r="M124" s="54">
        <v>16</v>
      </c>
      <c r="N124" s="54">
        <v>6</v>
      </c>
      <c r="O124" s="54">
        <v>6</v>
      </c>
      <c r="P124" s="54">
        <v>10</v>
      </c>
      <c r="Q124" s="54">
        <v>4</v>
      </c>
      <c r="R124" s="54">
        <v>7</v>
      </c>
      <c r="S124" s="54">
        <v>10</v>
      </c>
      <c r="T124" s="54">
        <v>10</v>
      </c>
      <c r="U124" s="54">
        <v>11</v>
      </c>
      <c r="V124" s="54">
        <v>7</v>
      </c>
      <c r="W124" s="54">
        <v>11</v>
      </c>
      <c r="X124" s="54">
        <v>6</v>
      </c>
      <c r="Y124" s="54">
        <v>5</v>
      </c>
      <c r="Z124" s="54">
        <v>9</v>
      </c>
      <c r="AA124" s="54">
        <v>9</v>
      </c>
      <c r="AB124" s="54">
        <v>8</v>
      </c>
      <c r="AC124" s="54">
        <v>12</v>
      </c>
      <c r="AD124" s="54">
        <v>12</v>
      </c>
      <c r="AE124" s="54">
        <v>8</v>
      </c>
      <c r="AF124" s="54">
        <v>6</v>
      </c>
      <c r="AG124" s="5">
        <f t="shared" si="17"/>
        <v>260</v>
      </c>
      <c r="AK124" s="88" t="s">
        <v>134</v>
      </c>
    </row>
    <row r="125" spans="1:37" ht="15.75" customHeight="1" x14ac:dyDescent="0.25">
      <c r="A125" s="85" t="s">
        <v>69</v>
      </c>
      <c r="B125" s="54">
        <v>63</v>
      </c>
      <c r="C125" s="54">
        <v>40</v>
      </c>
      <c r="D125" s="54">
        <v>53</v>
      </c>
      <c r="E125" s="54">
        <v>85</v>
      </c>
      <c r="F125" s="54">
        <v>86</v>
      </c>
      <c r="G125" s="54">
        <v>55</v>
      </c>
      <c r="H125" s="54">
        <v>52</v>
      </c>
      <c r="I125" s="54">
        <v>42</v>
      </c>
      <c r="J125" s="54">
        <v>52</v>
      </c>
      <c r="K125" s="54">
        <v>60</v>
      </c>
      <c r="L125" s="54">
        <v>74</v>
      </c>
      <c r="M125" s="54">
        <v>61</v>
      </c>
      <c r="N125" s="54">
        <v>55</v>
      </c>
      <c r="O125" s="54">
        <v>62</v>
      </c>
      <c r="P125" s="54">
        <v>55</v>
      </c>
      <c r="Q125" s="54">
        <v>60</v>
      </c>
      <c r="R125" s="54">
        <v>39</v>
      </c>
      <c r="S125" s="54">
        <v>53</v>
      </c>
      <c r="T125" s="54">
        <v>70</v>
      </c>
      <c r="U125" s="54">
        <v>46</v>
      </c>
      <c r="V125" s="54">
        <v>65</v>
      </c>
      <c r="W125" s="54">
        <v>40</v>
      </c>
      <c r="X125" s="54">
        <v>56</v>
      </c>
      <c r="Y125" s="54">
        <v>42</v>
      </c>
      <c r="Z125" s="54">
        <v>75</v>
      </c>
      <c r="AA125" s="54">
        <v>46</v>
      </c>
      <c r="AB125" s="54">
        <v>54</v>
      </c>
      <c r="AC125" s="54">
        <v>55</v>
      </c>
      <c r="AD125" s="54">
        <v>43</v>
      </c>
      <c r="AE125" s="54">
        <v>41</v>
      </c>
      <c r="AF125" s="54">
        <v>41</v>
      </c>
      <c r="AG125" s="5">
        <f t="shared" si="17"/>
        <v>1721</v>
      </c>
      <c r="AK125" s="88" t="s">
        <v>135</v>
      </c>
    </row>
    <row r="126" spans="1:37" ht="15.75" customHeight="1" x14ac:dyDescent="0.25">
      <c r="A126" s="85" t="s">
        <v>70</v>
      </c>
      <c r="B126" s="54">
        <v>3</v>
      </c>
      <c r="C126" s="54">
        <v>3</v>
      </c>
      <c r="D126" s="54">
        <v>1</v>
      </c>
      <c r="E126" s="54">
        <v>4</v>
      </c>
      <c r="F126" s="54">
        <v>2</v>
      </c>
      <c r="G126" s="54">
        <v>0</v>
      </c>
      <c r="H126" s="54">
        <v>0</v>
      </c>
      <c r="I126" s="54">
        <v>5</v>
      </c>
      <c r="J126" s="54">
        <v>3</v>
      </c>
      <c r="K126" s="54">
        <v>4</v>
      </c>
      <c r="L126" s="54">
        <v>6</v>
      </c>
      <c r="M126" s="54">
        <v>3</v>
      </c>
      <c r="N126" s="54">
        <v>5</v>
      </c>
      <c r="O126" s="54">
        <v>3</v>
      </c>
      <c r="P126" s="54">
        <v>1</v>
      </c>
      <c r="Q126" s="54">
        <v>6</v>
      </c>
      <c r="R126" s="54">
        <v>1</v>
      </c>
      <c r="S126" s="54">
        <v>4</v>
      </c>
      <c r="T126" s="54">
        <v>2</v>
      </c>
      <c r="U126" s="54">
        <v>2</v>
      </c>
      <c r="V126" s="54">
        <v>2</v>
      </c>
      <c r="W126" s="54">
        <v>6</v>
      </c>
      <c r="X126" s="54">
        <v>4</v>
      </c>
      <c r="Y126" s="54">
        <v>3</v>
      </c>
      <c r="Z126" s="54">
        <v>3</v>
      </c>
      <c r="AA126" s="54">
        <v>3</v>
      </c>
      <c r="AB126" s="54">
        <v>2</v>
      </c>
      <c r="AC126" s="54">
        <v>3</v>
      </c>
      <c r="AD126" s="54">
        <v>1</v>
      </c>
      <c r="AE126" s="54">
        <v>2</v>
      </c>
      <c r="AF126" s="54">
        <v>3</v>
      </c>
      <c r="AG126" s="5">
        <f t="shared" si="17"/>
        <v>90</v>
      </c>
      <c r="AK126" s="84" t="s">
        <v>136</v>
      </c>
    </row>
    <row r="127" spans="1:37" ht="15.75" customHeight="1" x14ac:dyDescent="0.25">
      <c r="A127" s="85" t="s">
        <v>71</v>
      </c>
      <c r="B127" s="54">
        <v>1</v>
      </c>
      <c r="C127" s="54">
        <v>2</v>
      </c>
      <c r="D127" s="54">
        <v>0</v>
      </c>
      <c r="E127" s="54">
        <v>2</v>
      </c>
      <c r="F127" s="54">
        <v>1</v>
      </c>
      <c r="G127" s="54">
        <v>1</v>
      </c>
      <c r="H127" s="54">
        <v>0</v>
      </c>
      <c r="I127" s="54">
        <v>1</v>
      </c>
      <c r="J127" s="54">
        <v>1</v>
      </c>
      <c r="K127" s="54">
        <v>1</v>
      </c>
      <c r="L127" s="54">
        <v>1</v>
      </c>
      <c r="M127" s="54">
        <v>2</v>
      </c>
      <c r="N127" s="54">
        <v>1</v>
      </c>
      <c r="O127" s="54">
        <v>0</v>
      </c>
      <c r="P127" s="54">
        <v>0</v>
      </c>
      <c r="Q127" s="54">
        <v>0</v>
      </c>
      <c r="R127" s="54">
        <v>1</v>
      </c>
      <c r="S127" s="54">
        <v>1</v>
      </c>
      <c r="T127" s="54">
        <v>1</v>
      </c>
      <c r="U127" s="54">
        <v>2</v>
      </c>
      <c r="V127" s="54">
        <v>2</v>
      </c>
      <c r="W127" s="54">
        <v>2</v>
      </c>
      <c r="X127" s="54">
        <v>0</v>
      </c>
      <c r="Y127" s="54">
        <v>4</v>
      </c>
      <c r="Z127" s="54">
        <v>1</v>
      </c>
      <c r="AA127" s="54">
        <v>3</v>
      </c>
      <c r="AB127" s="54">
        <v>1</v>
      </c>
      <c r="AC127" s="54">
        <v>1</v>
      </c>
      <c r="AD127" s="54">
        <v>1</v>
      </c>
      <c r="AE127" s="54">
        <v>1</v>
      </c>
      <c r="AF127" s="54">
        <v>3</v>
      </c>
      <c r="AG127" s="5">
        <f t="shared" si="17"/>
        <v>38</v>
      </c>
      <c r="AK127" s="88" t="s">
        <v>137</v>
      </c>
    </row>
    <row r="128" spans="1:37" ht="15.75" customHeight="1" x14ac:dyDescent="0.25">
      <c r="A128" s="56" t="s">
        <v>72</v>
      </c>
      <c r="B128" s="54">
        <v>1</v>
      </c>
      <c r="C128" s="54">
        <v>0</v>
      </c>
      <c r="D128" s="54">
        <v>1</v>
      </c>
      <c r="E128" s="54">
        <v>3</v>
      </c>
      <c r="F128" s="54">
        <v>4</v>
      </c>
      <c r="G128" s="54">
        <v>2</v>
      </c>
      <c r="H128" s="54">
        <v>2</v>
      </c>
      <c r="I128" s="54">
        <v>1</v>
      </c>
      <c r="J128" s="54">
        <v>3</v>
      </c>
      <c r="K128" s="54">
        <v>0</v>
      </c>
      <c r="L128" s="54">
        <v>1</v>
      </c>
      <c r="M128" s="54">
        <v>1</v>
      </c>
      <c r="N128" s="54">
        <v>1</v>
      </c>
      <c r="O128" s="54">
        <v>1</v>
      </c>
      <c r="P128" s="54">
        <v>0</v>
      </c>
      <c r="Q128" s="54">
        <v>1</v>
      </c>
      <c r="R128" s="54">
        <v>0</v>
      </c>
      <c r="S128" s="54">
        <v>2</v>
      </c>
      <c r="T128" s="54">
        <v>2</v>
      </c>
      <c r="U128" s="54">
        <v>1</v>
      </c>
      <c r="V128" s="54">
        <v>0</v>
      </c>
      <c r="W128" s="54">
        <v>0</v>
      </c>
      <c r="X128" s="54">
        <v>2</v>
      </c>
      <c r="Y128" s="54">
        <v>2</v>
      </c>
      <c r="Z128" s="54">
        <v>0</v>
      </c>
      <c r="AA128" s="54">
        <v>1</v>
      </c>
      <c r="AB128" s="54">
        <v>1</v>
      </c>
      <c r="AC128" s="54">
        <v>0</v>
      </c>
      <c r="AD128" s="54">
        <v>3</v>
      </c>
      <c r="AE128" s="54">
        <v>0</v>
      </c>
      <c r="AF128" s="54">
        <v>0</v>
      </c>
      <c r="AG128" s="5">
        <f t="shared" si="17"/>
        <v>36</v>
      </c>
      <c r="AK128" s="88" t="s">
        <v>138</v>
      </c>
    </row>
    <row r="129" spans="1:37" ht="15.75" customHeight="1" x14ac:dyDescent="0.25">
      <c r="A129" s="56" t="s">
        <v>73</v>
      </c>
      <c r="B129" s="54">
        <v>0</v>
      </c>
      <c r="C129" s="54">
        <v>0</v>
      </c>
      <c r="D129" s="54">
        <v>2</v>
      </c>
      <c r="E129" s="54">
        <v>1</v>
      </c>
      <c r="F129" s="54">
        <v>0</v>
      </c>
      <c r="G129" s="54">
        <v>1</v>
      </c>
      <c r="H129" s="54">
        <v>3</v>
      </c>
      <c r="I129" s="54">
        <v>2</v>
      </c>
      <c r="J129" s="54">
        <v>1</v>
      </c>
      <c r="K129" s="54">
        <v>0</v>
      </c>
      <c r="L129" s="54">
        <v>0</v>
      </c>
      <c r="M129" s="54">
        <v>0</v>
      </c>
      <c r="N129" s="54">
        <v>0</v>
      </c>
      <c r="O129" s="54">
        <v>1</v>
      </c>
      <c r="P129" s="54">
        <v>0</v>
      </c>
      <c r="Q129" s="54">
        <v>1</v>
      </c>
      <c r="R129" s="54">
        <v>1</v>
      </c>
      <c r="S129" s="54">
        <v>3</v>
      </c>
      <c r="T129" s="54">
        <v>0</v>
      </c>
      <c r="U129" s="54">
        <v>4</v>
      </c>
      <c r="V129" s="54">
        <v>1</v>
      </c>
      <c r="W129" s="54">
        <v>2</v>
      </c>
      <c r="X129" s="54">
        <v>1</v>
      </c>
      <c r="Y129" s="54">
        <v>0</v>
      </c>
      <c r="Z129" s="54">
        <v>2</v>
      </c>
      <c r="AA129" s="54">
        <v>1</v>
      </c>
      <c r="AB129" s="54">
        <v>0</v>
      </c>
      <c r="AC129" s="54">
        <v>0</v>
      </c>
      <c r="AD129" s="54">
        <v>1</v>
      </c>
      <c r="AE129" s="54">
        <v>3</v>
      </c>
      <c r="AF129" s="54">
        <v>0</v>
      </c>
      <c r="AG129" s="5">
        <f t="shared" si="17"/>
        <v>31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0</v>
      </c>
      <c r="D130" s="54">
        <v>0</v>
      </c>
      <c r="E130" s="54">
        <v>0</v>
      </c>
      <c r="F130" s="54">
        <v>0</v>
      </c>
      <c r="G130" s="54">
        <v>0</v>
      </c>
      <c r="H130" s="54">
        <v>1</v>
      </c>
      <c r="I130" s="54">
        <v>1</v>
      </c>
      <c r="J130" s="54">
        <v>0</v>
      </c>
      <c r="K130" s="54">
        <v>2</v>
      </c>
      <c r="L130" s="54">
        <v>0</v>
      </c>
      <c r="M130" s="54">
        <v>1</v>
      </c>
      <c r="N130" s="54">
        <v>0</v>
      </c>
      <c r="O130" s="54">
        <v>0</v>
      </c>
      <c r="P130" s="54">
        <v>0</v>
      </c>
      <c r="Q130" s="54">
        <v>1</v>
      </c>
      <c r="R130" s="54">
        <v>0</v>
      </c>
      <c r="S130" s="54">
        <v>0</v>
      </c>
      <c r="T130" s="54">
        <v>0</v>
      </c>
      <c r="U130" s="54">
        <v>1</v>
      </c>
      <c r="V130" s="54">
        <v>0</v>
      </c>
      <c r="W130" s="54">
        <v>0</v>
      </c>
      <c r="X130" s="54">
        <v>0</v>
      </c>
      <c r="Y130" s="54">
        <v>1</v>
      </c>
      <c r="Z130" s="54">
        <v>0</v>
      </c>
      <c r="AA130" s="54">
        <v>0</v>
      </c>
      <c r="AB130" s="54">
        <v>0</v>
      </c>
      <c r="AC130" s="54">
        <v>1</v>
      </c>
      <c r="AD130" s="54">
        <v>2</v>
      </c>
      <c r="AE130" s="54">
        <v>0</v>
      </c>
      <c r="AF130" s="54">
        <v>0</v>
      </c>
      <c r="AG130" s="5">
        <f t="shared" si="17"/>
        <v>11</v>
      </c>
      <c r="AK130" s="84" t="s">
        <v>140</v>
      </c>
    </row>
    <row r="131" spans="1:37" ht="15.75" customHeight="1" x14ac:dyDescent="0.25">
      <c r="A131" s="85" t="s">
        <v>75</v>
      </c>
      <c r="B131" s="54">
        <v>9</v>
      </c>
      <c r="C131" s="54">
        <v>9</v>
      </c>
      <c r="D131" s="54">
        <v>7</v>
      </c>
      <c r="E131" s="54">
        <v>9</v>
      </c>
      <c r="F131" s="54">
        <v>9</v>
      </c>
      <c r="G131" s="54">
        <v>6</v>
      </c>
      <c r="H131" s="54">
        <v>2</v>
      </c>
      <c r="I131" s="54">
        <v>1</v>
      </c>
      <c r="J131" s="54">
        <v>4</v>
      </c>
      <c r="K131" s="54">
        <v>3</v>
      </c>
      <c r="L131" s="54">
        <v>9</v>
      </c>
      <c r="M131" s="54">
        <v>6</v>
      </c>
      <c r="N131" s="54">
        <v>3</v>
      </c>
      <c r="O131" s="54">
        <v>7</v>
      </c>
      <c r="P131" s="54">
        <v>2</v>
      </c>
      <c r="Q131" s="54">
        <v>2</v>
      </c>
      <c r="R131" s="54">
        <v>6</v>
      </c>
      <c r="S131" s="54">
        <v>11</v>
      </c>
      <c r="T131" s="54">
        <v>10</v>
      </c>
      <c r="U131" s="54">
        <v>6</v>
      </c>
      <c r="V131" s="54">
        <v>3</v>
      </c>
      <c r="W131" s="54">
        <v>4</v>
      </c>
      <c r="X131" s="54">
        <v>4</v>
      </c>
      <c r="Y131" s="54">
        <v>6</v>
      </c>
      <c r="Z131" s="54">
        <v>13</v>
      </c>
      <c r="AA131" s="54">
        <v>7</v>
      </c>
      <c r="AB131" s="54">
        <v>4</v>
      </c>
      <c r="AC131" s="54">
        <v>7</v>
      </c>
      <c r="AD131" s="54">
        <v>11</v>
      </c>
      <c r="AE131" s="54">
        <v>3</v>
      </c>
      <c r="AF131" s="54">
        <v>5</v>
      </c>
      <c r="AG131" s="5">
        <f t="shared" si="17"/>
        <v>188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8</v>
      </c>
      <c r="C132" s="87">
        <v>4</v>
      </c>
      <c r="D132" s="87">
        <v>4</v>
      </c>
      <c r="E132" s="87">
        <v>5</v>
      </c>
      <c r="F132" s="87">
        <v>7</v>
      </c>
      <c r="G132" s="87">
        <v>1</v>
      </c>
      <c r="H132" s="87">
        <v>5</v>
      </c>
      <c r="I132" s="87">
        <v>3</v>
      </c>
      <c r="J132" s="87">
        <v>7</v>
      </c>
      <c r="K132" s="87">
        <v>6</v>
      </c>
      <c r="L132" s="87">
        <v>10</v>
      </c>
      <c r="M132" s="87">
        <v>7</v>
      </c>
      <c r="N132" s="87">
        <v>10</v>
      </c>
      <c r="O132" s="87">
        <v>4</v>
      </c>
      <c r="P132" s="87">
        <v>9</v>
      </c>
      <c r="Q132" s="87">
        <v>6</v>
      </c>
      <c r="R132" s="87">
        <v>3</v>
      </c>
      <c r="S132" s="87">
        <v>8</v>
      </c>
      <c r="T132" s="87">
        <v>13</v>
      </c>
      <c r="U132" s="87">
        <v>7</v>
      </c>
      <c r="V132" s="87">
        <v>10</v>
      </c>
      <c r="W132" s="87">
        <v>7</v>
      </c>
      <c r="X132" s="87">
        <v>8</v>
      </c>
      <c r="Y132" s="87">
        <v>3</v>
      </c>
      <c r="Z132" s="87">
        <v>9</v>
      </c>
      <c r="AA132" s="87">
        <v>13</v>
      </c>
      <c r="AB132" s="87">
        <v>10</v>
      </c>
      <c r="AC132" s="87">
        <v>6</v>
      </c>
      <c r="AD132" s="87">
        <v>6</v>
      </c>
      <c r="AE132" s="87">
        <v>7</v>
      </c>
      <c r="AF132" s="87">
        <v>6</v>
      </c>
      <c r="AG132" s="9">
        <f t="shared" si="17"/>
        <v>212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147</v>
      </c>
      <c r="C133" s="14">
        <f t="shared" si="21"/>
        <v>106</v>
      </c>
      <c r="D133" s="14">
        <f t="shared" si="21"/>
        <v>110</v>
      </c>
      <c r="E133" s="14">
        <f t="shared" si="21"/>
        <v>193</v>
      </c>
      <c r="F133" s="14">
        <f t="shared" si="21"/>
        <v>169</v>
      </c>
      <c r="G133" s="14">
        <f t="shared" si="21"/>
        <v>115</v>
      </c>
      <c r="H133" s="14">
        <f t="shared" si="21"/>
        <v>94</v>
      </c>
      <c r="I133" s="14">
        <f t="shared" si="21"/>
        <v>103</v>
      </c>
      <c r="J133" s="14">
        <f t="shared" si="21"/>
        <v>118</v>
      </c>
      <c r="K133" s="14">
        <f t="shared" si="21"/>
        <v>117</v>
      </c>
      <c r="L133" s="14">
        <f t="shared" si="21"/>
        <v>149</v>
      </c>
      <c r="M133" s="14">
        <f t="shared" si="21"/>
        <v>155</v>
      </c>
      <c r="N133" s="14">
        <f t="shared" si="21"/>
        <v>137</v>
      </c>
      <c r="O133" s="14">
        <f t="shared" si="21"/>
        <v>114</v>
      </c>
      <c r="P133" s="14">
        <f t="shared" si="21"/>
        <v>118</v>
      </c>
      <c r="Q133" s="14">
        <f t="shared" si="21"/>
        <v>121</v>
      </c>
      <c r="R133" s="14">
        <f t="shared" si="21"/>
        <v>103</v>
      </c>
      <c r="S133" s="14">
        <f t="shared" si="21"/>
        <v>153</v>
      </c>
      <c r="T133" s="14">
        <f t="shared" si="21"/>
        <v>171</v>
      </c>
      <c r="U133" s="14">
        <f t="shared" si="21"/>
        <v>124</v>
      </c>
      <c r="V133" s="14">
        <f t="shared" si="21"/>
        <v>124</v>
      </c>
      <c r="W133" s="14">
        <f t="shared" si="21"/>
        <v>119</v>
      </c>
      <c r="X133" s="14">
        <f t="shared" si="21"/>
        <v>110</v>
      </c>
      <c r="Y133" s="14">
        <f t="shared" si="21"/>
        <v>101</v>
      </c>
      <c r="Z133" s="14">
        <f t="shared" si="21"/>
        <v>168</v>
      </c>
      <c r="AA133" s="14">
        <f t="shared" si="21"/>
        <v>152</v>
      </c>
      <c r="AB133" s="14">
        <f t="shared" si="21"/>
        <v>118</v>
      </c>
      <c r="AC133" s="14">
        <f t="shared" si="21"/>
        <v>124</v>
      </c>
      <c r="AD133" s="14">
        <f t="shared" si="21"/>
        <v>121</v>
      </c>
      <c r="AE133" s="14">
        <f t="shared" si="21"/>
        <v>112</v>
      </c>
      <c r="AF133" s="14">
        <f t="shared" si="21"/>
        <v>107</v>
      </c>
      <c r="AG133" s="10">
        <f t="shared" si="17"/>
        <v>3973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5</v>
      </c>
      <c r="C134" s="22">
        <f t="shared" si="22"/>
        <v>39</v>
      </c>
      <c r="D134" s="22">
        <f t="shared" si="22"/>
        <v>31</v>
      </c>
      <c r="E134" s="22">
        <f t="shared" si="22"/>
        <v>11</v>
      </c>
      <c r="F134" s="22">
        <f t="shared" si="22"/>
        <v>5</v>
      </c>
      <c r="G134" s="22">
        <f t="shared" si="22"/>
        <v>8</v>
      </c>
      <c r="H134" s="22">
        <f t="shared" si="22"/>
        <v>4</v>
      </c>
      <c r="I134" s="22">
        <f t="shared" si="22"/>
        <v>9</v>
      </c>
      <c r="J134" s="22">
        <f t="shared" si="22"/>
        <v>3</v>
      </c>
      <c r="K134" s="22">
        <f t="shared" si="22"/>
        <v>10</v>
      </c>
      <c r="L134" s="22">
        <f t="shared" si="22"/>
        <v>4</v>
      </c>
      <c r="M134" s="22">
        <f t="shared" si="22"/>
        <v>11</v>
      </c>
      <c r="N134" s="22">
        <f t="shared" si="22"/>
        <v>7</v>
      </c>
      <c r="O134" s="22">
        <f t="shared" si="22"/>
        <v>6</v>
      </c>
      <c r="P134" s="22">
        <f t="shared" si="22"/>
        <v>7</v>
      </c>
      <c r="Q134" s="22">
        <f t="shared" si="22"/>
        <v>8</v>
      </c>
      <c r="R134" s="22">
        <f t="shared" si="22"/>
        <v>6</v>
      </c>
      <c r="S134" s="22">
        <f t="shared" si="22"/>
        <v>5</v>
      </c>
      <c r="T134" s="22">
        <f t="shared" si="22"/>
        <v>7</v>
      </c>
      <c r="U134" s="22">
        <f t="shared" si="22"/>
        <v>18</v>
      </c>
      <c r="V134" s="22">
        <f t="shared" si="22"/>
        <v>3</v>
      </c>
      <c r="W134" s="22">
        <f t="shared" si="22"/>
        <v>11</v>
      </c>
      <c r="X134" s="22">
        <f t="shared" si="22"/>
        <v>5</v>
      </c>
      <c r="Y134" s="22">
        <f t="shared" si="22"/>
        <v>6</v>
      </c>
      <c r="Z134" s="22">
        <f t="shared" si="22"/>
        <v>8</v>
      </c>
      <c r="AA134" s="22">
        <f t="shared" si="22"/>
        <v>3</v>
      </c>
      <c r="AB134" s="22">
        <f t="shared" si="22"/>
        <v>13</v>
      </c>
      <c r="AC134" s="22">
        <f t="shared" si="22"/>
        <v>4</v>
      </c>
      <c r="AD134" s="22">
        <f t="shared" si="22"/>
        <v>14</v>
      </c>
      <c r="AE134" s="22">
        <f t="shared" si="22"/>
        <v>11</v>
      </c>
      <c r="AF134" s="22">
        <f t="shared" si="22"/>
        <v>4</v>
      </c>
      <c r="AG134" s="23">
        <f t="shared" si="17"/>
        <v>286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1</v>
      </c>
      <c r="C135" s="1">
        <f t="shared" si="23"/>
        <v>0</v>
      </c>
      <c r="D135" s="1">
        <f t="shared" si="23"/>
        <v>0</v>
      </c>
      <c r="E135" s="1">
        <f t="shared" si="23"/>
        <v>2</v>
      </c>
      <c r="F135" s="1">
        <f t="shared" si="23"/>
        <v>0</v>
      </c>
      <c r="G135" s="1">
        <f t="shared" si="23"/>
        <v>1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1</v>
      </c>
      <c r="M135" s="1">
        <f t="shared" si="23"/>
        <v>1</v>
      </c>
      <c r="N135" s="1">
        <f t="shared" si="23"/>
        <v>0</v>
      </c>
      <c r="O135" s="1">
        <f t="shared" si="23"/>
        <v>1</v>
      </c>
      <c r="P135" s="1">
        <f t="shared" si="23"/>
        <v>0</v>
      </c>
      <c r="Q135" s="1">
        <f t="shared" si="23"/>
        <v>0</v>
      </c>
      <c r="R135" s="1">
        <f t="shared" si="23"/>
        <v>0</v>
      </c>
      <c r="S135" s="1">
        <f t="shared" si="23"/>
        <v>1</v>
      </c>
      <c r="T135" s="1">
        <f t="shared" si="23"/>
        <v>0</v>
      </c>
      <c r="U135" s="1">
        <f t="shared" si="23"/>
        <v>0</v>
      </c>
      <c r="V135" s="1">
        <f t="shared" si="23"/>
        <v>2</v>
      </c>
      <c r="W135" s="1">
        <f t="shared" si="23"/>
        <v>0</v>
      </c>
      <c r="X135" s="1">
        <f t="shared" si="23"/>
        <v>1</v>
      </c>
      <c r="Y135" s="1">
        <f t="shared" si="23"/>
        <v>1</v>
      </c>
      <c r="Z135" s="1">
        <f t="shared" si="23"/>
        <v>0</v>
      </c>
      <c r="AA135" s="1">
        <f t="shared" si="23"/>
        <v>1</v>
      </c>
      <c r="AB135" s="1">
        <f t="shared" si="23"/>
        <v>1</v>
      </c>
      <c r="AC135" s="1">
        <f t="shared" si="23"/>
        <v>1</v>
      </c>
      <c r="AD135" s="1">
        <f t="shared" si="23"/>
        <v>2</v>
      </c>
      <c r="AE135" s="1">
        <f t="shared" si="23"/>
        <v>2</v>
      </c>
      <c r="AF135" s="1">
        <f t="shared" si="23"/>
        <v>0</v>
      </c>
      <c r="AG135" s="2">
        <f t="shared" si="17"/>
        <v>19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1</v>
      </c>
      <c r="C136" s="91">
        <v>0</v>
      </c>
      <c r="D136" s="91">
        <v>0</v>
      </c>
      <c r="E136" s="91">
        <v>2</v>
      </c>
      <c r="F136" s="91">
        <v>0</v>
      </c>
      <c r="G136" s="91">
        <v>1</v>
      </c>
      <c r="H136" s="91">
        <v>0</v>
      </c>
      <c r="I136" s="91">
        <v>0</v>
      </c>
      <c r="J136" s="91">
        <v>0</v>
      </c>
      <c r="K136" s="91">
        <v>0</v>
      </c>
      <c r="L136" s="91">
        <v>1</v>
      </c>
      <c r="M136" s="91">
        <v>1</v>
      </c>
      <c r="N136" s="91">
        <v>0</v>
      </c>
      <c r="O136" s="91">
        <v>1</v>
      </c>
      <c r="P136" s="91">
        <v>0</v>
      </c>
      <c r="Q136" s="91">
        <v>0</v>
      </c>
      <c r="R136" s="91">
        <v>0</v>
      </c>
      <c r="S136" s="91">
        <v>1</v>
      </c>
      <c r="T136" s="91">
        <v>0</v>
      </c>
      <c r="U136" s="91">
        <v>0</v>
      </c>
      <c r="V136" s="91">
        <v>2</v>
      </c>
      <c r="W136" s="91">
        <v>0</v>
      </c>
      <c r="X136" s="91">
        <v>1</v>
      </c>
      <c r="Y136" s="91">
        <v>1</v>
      </c>
      <c r="Z136" s="91">
        <v>0</v>
      </c>
      <c r="AA136" s="91">
        <v>1</v>
      </c>
      <c r="AB136" s="91">
        <v>0</v>
      </c>
      <c r="AC136" s="91">
        <v>1</v>
      </c>
      <c r="AD136" s="91">
        <v>0</v>
      </c>
      <c r="AE136" s="91">
        <v>2</v>
      </c>
      <c r="AF136" s="91">
        <v>0</v>
      </c>
      <c r="AG136" s="28">
        <f t="shared" si="17"/>
        <v>16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2</v>
      </c>
      <c r="AE137" s="93">
        <v>0</v>
      </c>
      <c r="AF137" s="93">
        <v>0</v>
      </c>
      <c r="AG137" s="29">
        <f t="shared" si="17"/>
        <v>2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1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1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2</v>
      </c>
      <c r="C139" s="31">
        <f t="shared" si="24"/>
        <v>10</v>
      </c>
      <c r="D139" s="31">
        <f t="shared" si="24"/>
        <v>3</v>
      </c>
      <c r="E139" s="31">
        <f t="shared" si="24"/>
        <v>0</v>
      </c>
      <c r="F139" s="31">
        <f t="shared" si="24"/>
        <v>7</v>
      </c>
      <c r="G139" s="31">
        <f t="shared" si="24"/>
        <v>2</v>
      </c>
      <c r="H139" s="31">
        <f t="shared" si="24"/>
        <v>3</v>
      </c>
      <c r="I139" s="31">
        <f t="shared" si="24"/>
        <v>4</v>
      </c>
      <c r="J139" s="31">
        <f t="shared" si="24"/>
        <v>3</v>
      </c>
      <c r="K139" s="31">
        <f t="shared" si="24"/>
        <v>2</v>
      </c>
      <c r="L139" s="31">
        <f t="shared" si="24"/>
        <v>1</v>
      </c>
      <c r="M139" s="31">
        <f t="shared" si="24"/>
        <v>6</v>
      </c>
      <c r="N139" s="31">
        <f t="shared" si="24"/>
        <v>1</v>
      </c>
      <c r="O139" s="31">
        <f t="shared" si="24"/>
        <v>6</v>
      </c>
      <c r="P139" s="31">
        <f t="shared" si="24"/>
        <v>4</v>
      </c>
      <c r="Q139" s="31">
        <f t="shared" si="24"/>
        <v>1</v>
      </c>
      <c r="R139" s="31">
        <f t="shared" si="24"/>
        <v>2</v>
      </c>
      <c r="S139" s="31">
        <f t="shared" si="24"/>
        <v>4</v>
      </c>
      <c r="T139" s="31">
        <f t="shared" si="24"/>
        <v>5</v>
      </c>
      <c r="U139" s="31">
        <f t="shared" si="24"/>
        <v>3</v>
      </c>
      <c r="V139" s="31">
        <f t="shared" si="24"/>
        <v>5</v>
      </c>
      <c r="W139" s="31">
        <f t="shared" si="24"/>
        <v>5</v>
      </c>
      <c r="X139" s="31">
        <f t="shared" si="24"/>
        <v>5</v>
      </c>
      <c r="Y139" s="31">
        <f t="shared" si="24"/>
        <v>1</v>
      </c>
      <c r="Z139" s="31">
        <f t="shared" si="24"/>
        <v>6</v>
      </c>
      <c r="AA139" s="31">
        <f t="shared" si="24"/>
        <v>5</v>
      </c>
      <c r="AB139" s="31">
        <f t="shared" si="24"/>
        <v>6</v>
      </c>
      <c r="AC139" s="31">
        <f t="shared" si="24"/>
        <v>9</v>
      </c>
      <c r="AD139" s="31">
        <f t="shared" si="24"/>
        <v>4</v>
      </c>
      <c r="AE139" s="31">
        <f t="shared" si="24"/>
        <v>3</v>
      </c>
      <c r="AF139" s="31">
        <f t="shared" si="24"/>
        <v>7</v>
      </c>
      <c r="AG139" s="32">
        <f t="shared" si="17"/>
        <v>125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0</v>
      </c>
      <c r="E140" s="97">
        <v>0</v>
      </c>
      <c r="F140" s="97">
        <v>1</v>
      </c>
      <c r="G140" s="97">
        <v>1</v>
      </c>
      <c r="H140" s="97">
        <v>1</v>
      </c>
      <c r="I140" s="97">
        <v>1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97">
        <v>0</v>
      </c>
      <c r="P140" s="97">
        <v>1</v>
      </c>
      <c r="Q140" s="97">
        <v>0</v>
      </c>
      <c r="R140" s="97">
        <v>0</v>
      </c>
      <c r="S140" s="97">
        <v>0</v>
      </c>
      <c r="T140" s="97">
        <v>2</v>
      </c>
      <c r="U140" s="97">
        <v>0</v>
      </c>
      <c r="V140" s="97">
        <v>1</v>
      </c>
      <c r="W140" s="97">
        <v>0</v>
      </c>
      <c r="X140" s="97">
        <v>0</v>
      </c>
      <c r="Y140" s="97">
        <v>0</v>
      </c>
      <c r="Z140" s="97">
        <v>0</v>
      </c>
      <c r="AA140" s="97">
        <v>0</v>
      </c>
      <c r="AB140" s="97">
        <v>1</v>
      </c>
      <c r="AC140" s="97">
        <v>1</v>
      </c>
      <c r="AD140" s="97">
        <v>0</v>
      </c>
      <c r="AE140" s="97">
        <v>0</v>
      </c>
      <c r="AF140" s="97">
        <v>0</v>
      </c>
      <c r="AG140" s="33">
        <f t="shared" si="17"/>
        <v>10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2</v>
      </c>
      <c r="C141" s="98">
        <v>10</v>
      </c>
      <c r="D141" s="98">
        <v>3</v>
      </c>
      <c r="E141" s="98">
        <v>0</v>
      </c>
      <c r="F141" s="98">
        <v>6</v>
      </c>
      <c r="G141" s="98">
        <v>1</v>
      </c>
      <c r="H141" s="98">
        <v>2</v>
      </c>
      <c r="I141" s="98">
        <v>3</v>
      </c>
      <c r="J141" s="98">
        <v>3</v>
      </c>
      <c r="K141" s="98">
        <v>2</v>
      </c>
      <c r="L141" s="98">
        <v>1</v>
      </c>
      <c r="M141" s="98">
        <v>6</v>
      </c>
      <c r="N141" s="98">
        <v>1</v>
      </c>
      <c r="O141" s="98">
        <v>6</v>
      </c>
      <c r="P141" s="98">
        <v>3</v>
      </c>
      <c r="Q141" s="98">
        <v>1</v>
      </c>
      <c r="R141" s="98">
        <v>2</v>
      </c>
      <c r="S141" s="98">
        <v>4</v>
      </c>
      <c r="T141" s="98">
        <v>3</v>
      </c>
      <c r="U141" s="98">
        <v>3</v>
      </c>
      <c r="V141" s="98">
        <v>4</v>
      </c>
      <c r="W141" s="98">
        <v>5</v>
      </c>
      <c r="X141" s="98">
        <v>5</v>
      </c>
      <c r="Y141" s="98">
        <v>1</v>
      </c>
      <c r="Z141" s="98">
        <v>6</v>
      </c>
      <c r="AA141" s="98">
        <v>5</v>
      </c>
      <c r="AB141" s="98">
        <v>5</v>
      </c>
      <c r="AC141" s="98">
        <v>8</v>
      </c>
      <c r="AD141" s="98">
        <v>4</v>
      </c>
      <c r="AE141" s="98">
        <v>3</v>
      </c>
      <c r="AF141" s="98">
        <v>7</v>
      </c>
      <c r="AG141" s="34">
        <f t="shared" si="17"/>
        <v>115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36</v>
      </c>
      <c r="C144" s="37">
        <f t="shared" si="25"/>
        <v>23</v>
      </c>
      <c r="D144" s="37">
        <f t="shared" si="25"/>
        <v>17</v>
      </c>
      <c r="E144" s="37">
        <f t="shared" si="25"/>
        <v>32</v>
      </c>
      <c r="F144" s="37">
        <f t="shared" si="25"/>
        <v>28</v>
      </c>
      <c r="G144" s="37">
        <f t="shared" si="25"/>
        <v>10</v>
      </c>
      <c r="H144" s="37">
        <f t="shared" si="25"/>
        <v>14</v>
      </c>
      <c r="I144" s="37">
        <f t="shared" si="25"/>
        <v>9</v>
      </c>
      <c r="J144" s="37">
        <f t="shared" si="25"/>
        <v>14</v>
      </c>
      <c r="K144" s="37">
        <f t="shared" si="25"/>
        <v>25</v>
      </c>
      <c r="L144" s="37">
        <f t="shared" si="25"/>
        <v>21</v>
      </c>
      <c r="M144" s="37">
        <f t="shared" si="25"/>
        <v>10</v>
      </c>
      <c r="N144" s="37">
        <f t="shared" si="25"/>
        <v>22</v>
      </c>
      <c r="O144" s="37">
        <f t="shared" si="25"/>
        <v>16</v>
      </c>
      <c r="P144" s="37">
        <f t="shared" si="25"/>
        <v>17</v>
      </c>
      <c r="Q144" s="37">
        <f t="shared" si="25"/>
        <v>16</v>
      </c>
      <c r="R144" s="37">
        <f t="shared" si="25"/>
        <v>8</v>
      </c>
      <c r="S144" s="37">
        <f t="shared" si="25"/>
        <v>12</v>
      </c>
      <c r="T144" s="37">
        <f t="shared" si="25"/>
        <v>17</v>
      </c>
      <c r="U144" s="37">
        <f t="shared" si="25"/>
        <v>14</v>
      </c>
      <c r="V144" s="37">
        <f t="shared" si="25"/>
        <v>10</v>
      </c>
      <c r="W144" s="37">
        <f t="shared" si="25"/>
        <v>8</v>
      </c>
      <c r="X144" s="37">
        <f t="shared" si="25"/>
        <v>15</v>
      </c>
      <c r="Y144" s="37">
        <f t="shared" si="25"/>
        <v>12</v>
      </c>
      <c r="Z144" s="37">
        <f t="shared" si="25"/>
        <v>12</v>
      </c>
      <c r="AA144" s="37">
        <f t="shared" si="25"/>
        <v>16</v>
      </c>
      <c r="AB144" s="37">
        <f t="shared" si="25"/>
        <v>10</v>
      </c>
      <c r="AC144" s="37">
        <f t="shared" si="25"/>
        <v>8</v>
      </c>
      <c r="AD144" s="37">
        <f t="shared" si="25"/>
        <v>9</v>
      </c>
      <c r="AE144" s="37">
        <f t="shared" si="25"/>
        <v>4</v>
      </c>
      <c r="AF144" s="37">
        <f t="shared" si="25"/>
        <v>5</v>
      </c>
      <c r="AG144" s="24">
        <f t="shared" si="17"/>
        <v>470</v>
      </c>
      <c r="AK144" s="84" t="s">
        <v>154</v>
      </c>
    </row>
    <row r="145" spans="1:37" ht="15.75" customHeight="1" x14ac:dyDescent="0.25">
      <c r="A145" s="104" t="s">
        <v>91</v>
      </c>
      <c r="B145" s="105">
        <v>7</v>
      </c>
      <c r="C145" s="105">
        <v>1</v>
      </c>
      <c r="D145" s="105">
        <v>1</v>
      </c>
      <c r="E145" s="105">
        <v>7</v>
      </c>
      <c r="F145" s="105">
        <v>6</v>
      </c>
      <c r="G145" s="105">
        <v>1</v>
      </c>
      <c r="H145" s="105">
        <v>1</v>
      </c>
      <c r="I145" s="105">
        <v>1</v>
      </c>
      <c r="J145" s="105">
        <v>2</v>
      </c>
      <c r="K145" s="105">
        <v>8</v>
      </c>
      <c r="L145" s="105">
        <v>3</v>
      </c>
      <c r="M145" s="105">
        <v>3</v>
      </c>
      <c r="N145" s="105">
        <v>3</v>
      </c>
      <c r="O145" s="105">
        <v>2</v>
      </c>
      <c r="P145" s="105">
        <v>3</v>
      </c>
      <c r="Q145" s="105">
        <v>1</v>
      </c>
      <c r="R145" s="105">
        <v>1</v>
      </c>
      <c r="S145" s="105">
        <v>1</v>
      </c>
      <c r="T145" s="105">
        <v>0</v>
      </c>
      <c r="U145" s="105">
        <v>5</v>
      </c>
      <c r="V145" s="105">
        <v>1</v>
      </c>
      <c r="W145" s="105">
        <v>2</v>
      </c>
      <c r="X145" s="105">
        <v>5</v>
      </c>
      <c r="Y145" s="105">
        <v>1</v>
      </c>
      <c r="Z145" s="105">
        <v>1</v>
      </c>
      <c r="AA145" s="105">
        <v>2</v>
      </c>
      <c r="AB145" s="105">
        <v>3</v>
      </c>
      <c r="AC145" s="105">
        <v>1</v>
      </c>
      <c r="AD145" s="105">
        <v>0</v>
      </c>
      <c r="AE145" s="105">
        <v>1</v>
      </c>
      <c r="AF145" s="105">
        <v>2</v>
      </c>
      <c r="AG145" s="38">
        <f t="shared" si="17"/>
        <v>76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0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27</v>
      </c>
      <c r="C149" s="108">
        <v>19</v>
      </c>
      <c r="D149" s="108">
        <v>14</v>
      </c>
      <c r="E149" s="108">
        <v>21</v>
      </c>
      <c r="F149" s="108">
        <v>17</v>
      </c>
      <c r="G149" s="108">
        <v>8</v>
      </c>
      <c r="H149" s="108">
        <v>11</v>
      </c>
      <c r="I149" s="108">
        <v>8</v>
      </c>
      <c r="J149" s="108">
        <v>12</v>
      </c>
      <c r="K149" s="108">
        <v>16</v>
      </c>
      <c r="L149" s="108">
        <v>18</v>
      </c>
      <c r="M149" s="108">
        <v>0</v>
      </c>
      <c r="N149" s="108">
        <v>16</v>
      </c>
      <c r="O149" s="108">
        <v>14</v>
      </c>
      <c r="P149" s="108">
        <v>14</v>
      </c>
      <c r="Q149" s="108">
        <v>14</v>
      </c>
      <c r="R149" s="108">
        <v>7</v>
      </c>
      <c r="S149" s="108">
        <v>9</v>
      </c>
      <c r="T149" s="108">
        <v>17</v>
      </c>
      <c r="U149" s="108">
        <v>8</v>
      </c>
      <c r="V149" s="108">
        <v>9</v>
      </c>
      <c r="W149" s="108">
        <v>4</v>
      </c>
      <c r="X149" s="108">
        <v>10</v>
      </c>
      <c r="Y149" s="108">
        <v>11</v>
      </c>
      <c r="Z149" s="108">
        <v>11</v>
      </c>
      <c r="AA149" s="108">
        <v>12</v>
      </c>
      <c r="AB149" s="108">
        <v>7</v>
      </c>
      <c r="AC149" s="108">
        <v>6</v>
      </c>
      <c r="AD149" s="108">
        <v>6</v>
      </c>
      <c r="AE149" s="108">
        <v>1</v>
      </c>
      <c r="AF149" s="108">
        <v>3</v>
      </c>
      <c r="AG149" s="39">
        <f t="shared" si="17"/>
        <v>350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2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2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0</v>
      </c>
      <c r="H154" s="77">
        <v>1</v>
      </c>
      <c r="I154" s="77">
        <v>0</v>
      </c>
      <c r="J154" s="77">
        <v>0</v>
      </c>
      <c r="K154" s="77">
        <v>1</v>
      </c>
      <c r="L154" s="77">
        <v>0</v>
      </c>
      <c r="M154" s="77">
        <v>0</v>
      </c>
      <c r="N154" s="77">
        <v>2</v>
      </c>
      <c r="O154" s="77">
        <v>0</v>
      </c>
      <c r="P154" s="77">
        <v>0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0</v>
      </c>
      <c r="W154" s="77">
        <v>0</v>
      </c>
      <c r="X154" s="77">
        <v>0</v>
      </c>
      <c r="Y154" s="77">
        <v>0</v>
      </c>
      <c r="Z154" s="77">
        <v>0</v>
      </c>
      <c r="AA154" s="77">
        <v>0</v>
      </c>
      <c r="AB154" s="77">
        <v>0</v>
      </c>
      <c r="AC154" s="77">
        <v>0</v>
      </c>
      <c r="AD154" s="77">
        <v>0</v>
      </c>
      <c r="AE154" s="77">
        <v>0</v>
      </c>
      <c r="AF154" s="77">
        <v>0</v>
      </c>
      <c r="AG154" s="5">
        <f t="shared" si="17"/>
        <v>4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0</v>
      </c>
      <c r="C158" s="111">
        <v>2</v>
      </c>
      <c r="D158" s="111">
        <v>1</v>
      </c>
      <c r="E158" s="111">
        <v>2</v>
      </c>
      <c r="F158" s="111">
        <v>5</v>
      </c>
      <c r="G158" s="111">
        <v>1</v>
      </c>
      <c r="H158" s="111">
        <v>1</v>
      </c>
      <c r="I158" s="111">
        <v>0</v>
      </c>
      <c r="J158" s="111">
        <v>0</v>
      </c>
      <c r="K158" s="111">
        <v>0</v>
      </c>
      <c r="L158" s="111">
        <v>0</v>
      </c>
      <c r="M158" s="111">
        <v>1</v>
      </c>
      <c r="N158" s="111">
        <v>1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1</v>
      </c>
      <c r="AB158" s="111">
        <v>0</v>
      </c>
      <c r="AC158" s="111">
        <v>0</v>
      </c>
      <c r="AD158" s="111">
        <v>1</v>
      </c>
      <c r="AE158" s="111">
        <v>1</v>
      </c>
      <c r="AF158" s="111">
        <v>0</v>
      </c>
      <c r="AG158" s="40">
        <f t="shared" si="17"/>
        <v>17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1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1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1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26"/>
        <v>1</v>
      </c>
    </row>
    <row r="168" spans="1:34" ht="15.75" customHeight="1" x14ac:dyDescent="0.25">
      <c r="A168" s="76" t="s">
        <v>114</v>
      </c>
      <c r="B168" s="113">
        <v>2</v>
      </c>
      <c r="C168" s="113">
        <v>1</v>
      </c>
      <c r="D168" s="113">
        <v>1</v>
      </c>
      <c r="E168" s="113">
        <v>1</v>
      </c>
      <c r="F168" s="113">
        <v>0</v>
      </c>
      <c r="G168" s="113">
        <v>0</v>
      </c>
      <c r="H168" s="113">
        <v>0</v>
      </c>
      <c r="I168" s="113">
        <v>0</v>
      </c>
      <c r="J168" s="113">
        <v>0</v>
      </c>
      <c r="K168" s="113">
        <v>0</v>
      </c>
      <c r="L168" s="113">
        <v>0</v>
      </c>
      <c r="M168" s="113">
        <v>2</v>
      </c>
      <c r="N168" s="113">
        <v>0</v>
      </c>
      <c r="O168" s="113">
        <v>0</v>
      </c>
      <c r="P168" s="113">
        <v>0</v>
      </c>
      <c r="Q168" s="113">
        <v>0</v>
      </c>
      <c r="R168" s="113">
        <v>0</v>
      </c>
      <c r="S168" s="113">
        <v>2</v>
      </c>
      <c r="T168" s="113">
        <v>0</v>
      </c>
      <c r="U168" s="113">
        <v>0</v>
      </c>
      <c r="V168" s="113">
        <v>0</v>
      </c>
      <c r="W168" s="113">
        <v>0</v>
      </c>
      <c r="X168" s="113">
        <v>0</v>
      </c>
      <c r="Y168" s="113">
        <v>0</v>
      </c>
      <c r="Z168" s="113">
        <v>0</v>
      </c>
      <c r="AA168" s="113">
        <v>1</v>
      </c>
      <c r="AB168" s="113">
        <v>0</v>
      </c>
      <c r="AC168" s="113">
        <v>1</v>
      </c>
      <c r="AD168" s="113">
        <v>1</v>
      </c>
      <c r="AE168" s="113">
        <v>0</v>
      </c>
      <c r="AF168" s="113">
        <v>0</v>
      </c>
      <c r="AG168" s="5">
        <f t="shared" si="26"/>
        <v>12</v>
      </c>
    </row>
    <row r="169" spans="1:34" ht="15.75" customHeight="1" x14ac:dyDescent="0.25">
      <c r="A169" s="114" t="s">
        <v>115</v>
      </c>
      <c r="B169" s="113">
        <v>0</v>
      </c>
      <c r="C169" s="113">
        <v>0</v>
      </c>
      <c r="D169" s="113">
        <v>0</v>
      </c>
      <c r="E169" s="113">
        <v>1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1</v>
      </c>
      <c r="N169" s="113">
        <v>0</v>
      </c>
      <c r="O169" s="113">
        <v>0</v>
      </c>
      <c r="P169" s="113">
        <v>0</v>
      </c>
      <c r="Q169" s="113">
        <v>1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2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1</v>
      </c>
      <c r="AE169" s="113">
        <v>1</v>
      </c>
      <c r="AF169" s="113">
        <v>0</v>
      </c>
      <c r="AG169" s="5">
        <f t="shared" si="26"/>
        <v>7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147</v>
      </c>
      <c r="C171" s="41">
        <f t="shared" si="27"/>
        <v>106</v>
      </c>
      <c r="D171" s="41">
        <f t="shared" si="27"/>
        <v>110</v>
      </c>
      <c r="E171" s="41">
        <f t="shared" si="27"/>
        <v>193</v>
      </c>
      <c r="F171" s="41">
        <f t="shared" si="27"/>
        <v>169</v>
      </c>
      <c r="G171" s="41">
        <f t="shared" si="27"/>
        <v>115</v>
      </c>
      <c r="H171" s="41">
        <f t="shared" si="27"/>
        <v>94</v>
      </c>
      <c r="I171" s="41">
        <f t="shared" si="27"/>
        <v>103</v>
      </c>
      <c r="J171" s="41">
        <f t="shared" si="27"/>
        <v>118</v>
      </c>
      <c r="K171" s="41">
        <f t="shared" si="27"/>
        <v>117</v>
      </c>
      <c r="L171" s="41">
        <f t="shared" si="27"/>
        <v>149</v>
      </c>
      <c r="M171" s="41">
        <f t="shared" si="27"/>
        <v>155</v>
      </c>
      <c r="N171" s="41">
        <f t="shared" si="27"/>
        <v>137</v>
      </c>
      <c r="O171" s="41">
        <f t="shared" si="27"/>
        <v>114</v>
      </c>
      <c r="P171" s="41">
        <f t="shared" si="27"/>
        <v>118</v>
      </c>
      <c r="Q171" s="41">
        <f t="shared" si="27"/>
        <v>121</v>
      </c>
      <c r="R171" s="41">
        <f t="shared" si="27"/>
        <v>103</v>
      </c>
      <c r="S171" s="41">
        <f t="shared" si="27"/>
        <v>153</v>
      </c>
      <c r="T171" s="41">
        <f t="shared" si="27"/>
        <v>171</v>
      </c>
      <c r="U171" s="41">
        <f t="shared" si="27"/>
        <v>124</v>
      </c>
      <c r="V171" s="41">
        <f t="shared" si="27"/>
        <v>124</v>
      </c>
      <c r="W171" s="41">
        <f t="shared" si="27"/>
        <v>119</v>
      </c>
      <c r="X171" s="41">
        <f t="shared" si="27"/>
        <v>110</v>
      </c>
      <c r="Y171" s="41">
        <f t="shared" si="27"/>
        <v>101</v>
      </c>
      <c r="Z171" s="41">
        <f t="shared" si="27"/>
        <v>168</v>
      </c>
      <c r="AA171" s="41">
        <f t="shared" si="27"/>
        <v>152</v>
      </c>
      <c r="AB171" s="41">
        <f t="shared" si="27"/>
        <v>118</v>
      </c>
      <c r="AC171" s="41">
        <f t="shared" si="27"/>
        <v>124</v>
      </c>
      <c r="AD171" s="41">
        <f t="shared" si="27"/>
        <v>121</v>
      </c>
      <c r="AE171" s="41">
        <f t="shared" si="27"/>
        <v>112</v>
      </c>
      <c r="AF171" s="41">
        <f t="shared" si="27"/>
        <v>107</v>
      </c>
      <c r="AG171" s="42">
        <f t="shared" si="26"/>
        <v>3973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1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1</v>
      </c>
    </row>
    <row r="173" spans="1:34" ht="15.75" customHeight="1" x14ac:dyDescent="0.25">
      <c r="A173" s="119" t="s">
        <v>37</v>
      </c>
      <c r="B173" s="120">
        <v>1</v>
      </c>
      <c r="C173" s="120">
        <v>0</v>
      </c>
      <c r="D173" s="120">
        <v>2</v>
      </c>
      <c r="E173" s="120">
        <v>3</v>
      </c>
      <c r="F173" s="120">
        <v>1</v>
      </c>
      <c r="G173" s="120">
        <v>1</v>
      </c>
      <c r="H173" s="120">
        <v>2</v>
      </c>
      <c r="I173" s="120">
        <v>5</v>
      </c>
      <c r="J173" s="120">
        <v>1</v>
      </c>
      <c r="K173" s="120">
        <v>2</v>
      </c>
      <c r="L173" s="120">
        <v>0</v>
      </c>
      <c r="M173" s="120">
        <v>3</v>
      </c>
      <c r="N173" s="120">
        <v>1</v>
      </c>
      <c r="O173" s="120">
        <v>1</v>
      </c>
      <c r="P173" s="120">
        <v>0</v>
      </c>
      <c r="Q173" s="120">
        <v>2</v>
      </c>
      <c r="R173" s="120">
        <v>1</v>
      </c>
      <c r="S173" s="120">
        <v>1</v>
      </c>
      <c r="T173" s="120">
        <v>3</v>
      </c>
      <c r="U173" s="120">
        <v>2</v>
      </c>
      <c r="V173" s="120">
        <v>1</v>
      </c>
      <c r="W173" s="120">
        <v>1</v>
      </c>
      <c r="X173" s="120">
        <v>1</v>
      </c>
      <c r="Y173" s="120">
        <v>1</v>
      </c>
      <c r="Z173" s="120">
        <v>2</v>
      </c>
      <c r="AA173" s="120">
        <v>3</v>
      </c>
      <c r="AB173" s="120">
        <v>1</v>
      </c>
      <c r="AC173" s="120">
        <v>2</v>
      </c>
      <c r="AD173" s="120">
        <v>2</v>
      </c>
      <c r="AE173" s="120">
        <v>4</v>
      </c>
      <c r="AF173" s="120">
        <v>2</v>
      </c>
      <c r="AG173" s="44">
        <f t="shared" si="26"/>
        <v>52</v>
      </c>
    </row>
    <row r="174" spans="1:34" ht="15.75" customHeight="1" x14ac:dyDescent="0.25">
      <c r="A174" s="119" t="s">
        <v>38</v>
      </c>
      <c r="B174" s="120">
        <v>14</v>
      </c>
      <c r="C174" s="120">
        <v>22</v>
      </c>
      <c r="D174" s="120">
        <v>21</v>
      </c>
      <c r="E174" s="120">
        <v>35</v>
      </c>
      <c r="F174" s="120">
        <v>34</v>
      </c>
      <c r="G174" s="120">
        <v>16</v>
      </c>
      <c r="H174" s="120">
        <v>13</v>
      </c>
      <c r="I174" s="120">
        <v>18</v>
      </c>
      <c r="J174" s="120">
        <v>17</v>
      </c>
      <c r="K174" s="120">
        <v>16</v>
      </c>
      <c r="L174" s="120">
        <v>19</v>
      </c>
      <c r="M174" s="120">
        <v>28</v>
      </c>
      <c r="N174" s="120">
        <v>19</v>
      </c>
      <c r="O174" s="120">
        <v>14</v>
      </c>
      <c r="P174" s="120">
        <v>13</v>
      </c>
      <c r="Q174" s="120">
        <v>10</v>
      </c>
      <c r="R174" s="120">
        <v>19</v>
      </c>
      <c r="S174" s="120">
        <v>14</v>
      </c>
      <c r="T174" s="120">
        <v>17</v>
      </c>
      <c r="U174" s="120">
        <v>20</v>
      </c>
      <c r="V174" s="120">
        <v>12</v>
      </c>
      <c r="W174" s="120">
        <v>9</v>
      </c>
      <c r="X174" s="120">
        <v>13</v>
      </c>
      <c r="Y174" s="120">
        <v>10</v>
      </c>
      <c r="Z174" s="120">
        <v>23</v>
      </c>
      <c r="AA174" s="120">
        <v>18</v>
      </c>
      <c r="AB174" s="120">
        <v>11</v>
      </c>
      <c r="AC174" s="120">
        <v>12</v>
      </c>
      <c r="AD174" s="120">
        <v>21</v>
      </c>
      <c r="AE174" s="120">
        <v>25</v>
      </c>
      <c r="AF174" s="120">
        <v>16</v>
      </c>
      <c r="AG174" s="44">
        <f t="shared" si="26"/>
        <v>549</v>
      </c>
    </row>
    <row r="175" spans="1:34" ht="15.75" customHeight="1" x14ac:dyDescent="0.25">
      <c r="A175" s="119" t="s">
        <v>39</v>
      </c>
      <c r="B175" s="120">
        <v>101</v>
      </c>
      <c r="C175" s="120">
        <v>75</v>
      </c>
      <c r="D175" s="120">
        <v>78</v>
      </c>
      <c r="E175" s="120">
        <v>139</v>
      </c>
      <c r="F175" s="120">
        <v>116</v>
      </c>
      <c r="G175" s="120">
        <v>84</v>
      </c>
      <c r="H175" s="120">
        <v>73</v>
      </c>
      <c r="I175" s="120">
        <v>77</v>
      </c>
      <c r="J175" s="120">
        <v>89</v>
      </c>
      <c r="K175" s="120">
        <v>78</v>
      </c>
      <c r="L175" s="120">
        <v>104</v>
      </c>
      <c r="M175" s="120">
        <v>109</v>
      </c>
      <c r="N175" s="120">
        <v>112</v>
      </c>
      <c r="O175" s="120">
        <v>74</v>
      </c>
      <c r="P175" s="120">
        <v>76</v>
      </c>
      <c r="Q175" s="120">
        <v>96</v>
      </c>
      <c r="R175" s="120">
        <v>65</v>
      </c>
      <c r="S175" s="120">
        <v>112</v>
      </c>
      <c r="T175" s="120">
        <v>132</v>
      </c>
      <c r="U175" s="120">
        <v>83</v>
      </c>
      <c r="V175" s="120">
        <v>86</v>
      </c>
      <c r="W175" s="120">
        <v>91</v>
      </c>
      <c r="X175" s="120">
        <v>81</v>
      </c>
      <c r="Y175" s="120">
        <v>77</v>
      </c>
      <c r="Z175" s="120">
        <v>108</v>
      </c>
      <c r="AA175" s="120">
        <v>105</v>
      </c>
      <c r="AB175" s="120">
        <v>87</v>
      </c>
      <c r="AC175" s="120">
        <v>93</v>
      </c>
      <c r="AD175" s="120">
        <v>91</v>
      </c>
      <c r="AE175" s="120">
        <v>72</v>
      </c>
      <c r="AF175" s="120">
        <v>75</v>
      </c>
      <c r="AG175" s="44">
        <f t="shared" si="26"/>
        <v>2839</v>
      </c>
    </row>
    <row r="176" spans="1:34" ht="15.75" customHeight="1" thickBot="1" x14ac:dyDescent="0.3">
      <c r="A176" s="121" t="s">
        <v>40</v>
      </c>
      <c r="B176" s="122">
        <v>31</v>
      </c>
      <c r="C176" s="122">
        <v>9</v>
      </c>
      <c r="D176" s="122">
        <v>9</v>
      </c>
      <c r="E176" s="122">
        <v>16</v>
      </c>
      <c r="F176" s="122">
        <v>18</v>
      </c>
      <c r="G176" s="122">
        <v>14</v>
      </c>
      <c r="H176" s="122">
        <v>6</v>
      </c>
      <c r="I176" s="122">
        <v>3</v>
      </c>
      <c r="J176" s="122">
        <v>11</v>
      </c>
      <c r="K176" s="122">
        <v>21</v>
      </c>
      <c r="L176" s="122">
        <v>25</v>
      </c>
      <c r="M176" s="122">
        <v>15</v>
      </c>
      <c r="N176" s="122">
        <v>5</v>
      </c>
      <c r="O176" s="122">
        <v>25</v>
      </c>
      <c r="P176" s="122">
        <v>29</v>
      </c>
      <c r="Q176" s="122">
        <v>13</v>
      </c>
      <c r="R176" s="122">
        <v>18</v>
      </c>
      <c r="S176" s="122">
        <v>26</v>
      </c>
      <c r="T176" s="122">
        <v>19</v>
      </c>
      <c r="U176" s="122">
        <v>19</v>
      </c>
      <c r="V176" s="122">
        <v>25</v>
      </c>
      <c r="W176" s="122">
        <v>18</v>
      </c>
      <c r="X176" s="122">
        <v>15</v>
      </c>
      <c r="Y176" s="122">
        <v>13</v>
      </c>
      <c r="Z176" s="122">
        <v>35</v>
      </c>
      <c r="AA176" s="122">
        <v>26</v>
      </c>
      <c r="AB176" s="122">
        <v>19</v>
      </c>
      <c r="AC176" s="122">
        <v>17</v>
      </c>
      <c r="AD176" s="122">
        <v>7</v>
      </c>
      <c r="AE176" s="122">
        <v>11</v>
      </c>
      <c r="AF176" s="122">
        <v>14</v>
      </c>
      <c r="AG176" s="45">
        <f t="shared" si="26"/>
        <v>532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BbMc4kuwyi5JHBoAHahCg4BExevQIhuZqWAjKzDqEqlf4ya6JUjn5xo5AGFKtojlf9d9e3br/4PD20MEM9ljQg==" saltValue="MFt2U6on4g+0PE2Bw2OrdQ==" spinCount="100000" sheet="1" objects="1" scenarios="1"/>
  <dataConsolidate/>
  <mergeCells count="2">
    <mergeCell ref="A1:AG1"/>
    <mergeCell ref="AH177:AH180"/>
  </mergeCells>
  <conditionalFormatting sqref="AD29:AF52">
    <cfRule type="cellIs" dxfId="36" priority="4" operator="lessThan">
      <formula>0</formula>
    </cfRule>
  </conditionalFormatting>
  <conditionalFormatting sqref="AH171">
    <cfRule type="cellIs" dxfId="35" priority="3" operator="equal">
      <formula>"X"</formula>
    </cfRule>
  </conditionalFormatting>
  <conditionalFormatting sqref="AH1:AH176 AH181:AH1048576">
    <cfRule type="cellIs" dxfId="34" priority="2" operator="equal">
      <formula>"*"</formula>
    </cfRule>
  </conditionalFormatting>
  <conditionalFormatting sqref="AH177:AH180">
    <cfRule type="cellIs" dxfId="33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9999A6B3-2691-4A54-BEF6-A11717EF0542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2771D-6D6F-40D7-85EA-A75E8E3361B1}">
  <sheetPr codeName="Hoja24"/>
  <dimension ref="A1:AK954"/>
  <sheetViews>
    <sheetView zoomScale="80" zoomScaleNormal="80" workbookViewId="0">
      <pane xSplit="1" ySplit="3" topLeftCell="B80" activePane="bottomRight" state="frozen"/>
      <selection activeCell="Q5" sqref="Q5"/>
      <selection pane="topRight" activeCell="Q5" sqref="Q5"/>
      <selection pane="bottomLeft" activeCell="Q5" sqref="Q5"/>
      <selection pane="bottomRight" activeCell="AG87" sqref="AG87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179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152</v>
      </c>
      <c r="C3" s="1">
        <f t="shared" si="1"/>
        <v>166</v>
      </c>
      <c r="D3" s="1">
        <f t="shared" si="1"/>
        <v>144</v>
      </c>
      <c r="E3" s="1">
        <f t="shared" si="1"/>
        <v>114</v>
      </c>
      <c r="F3" s="1">
        <f t="shared" si="1"/>
        <v>128</v>
      </c>
      <c r="G3" s="1">
        <f t="shared" si="1"/>
        <v>99</v>
      </c>
      <c r="H3" s="1">
        <f t="shared" si="1"/>
        <v>118</v>
      </c>
      <c r="I3" s="1">
        <f t="shared" si="1"/>
        <v>146</v>
      </c>
      <c r="J3" s="1">
        <f t="shared" si="1"/>
        <v>130</v>
      </c>
      <c r="K3" s="1">
        <f t="shared" si="1"/>
        <v>117</v>
      </c>
      <c r="L3" s="1">
        <f t="shared" si="1"/>
        <v>135</v>
      </c>
      <c r="M3" s="1">
        <f t="shared" si="1"/>
        <v>131</v>
      </c>
      <c r="N3" s="1">
        <f t="shared" si="1"/>
        <v>112</v>
      </c>
      <c r="O3" s="1">
        <f t="shared" si="1"/>
        <v>102</v>
      </c>
      <c r="P3" s="1">
        <f t="shared" si="1"/>
        <v>143</v>
      </c>
      <c r="Q3" s="1">
        <f t="shared" si="1"/>
        <v>150</v>
      </c>
      <c r="R3" s="1">
        <f t="shared" si="1"/>
        <v>145</v>
      </c>
      <c r="S3" s="1">
        <f t="shared" si="1"/>
        <v>104</v>
      </c>
      <c r="T3" s="1">
        <f t="shared" si="1"/>
        <v>127</v>
      </c>
      <c r="U3" s="1">
        <f t="shared" si="1"/>
        <v>119</v>
      </c>
      <c r="V3" s="1">
        <f t="shared" si="1"/>
        <v>120</v>
      </c>
      <c r="W3" s="1">
        <f t="shared" si="1"/>
        <v>150</v>
      </c>
      <c r="X3" s="1">
        <f t="shared" si="1"/>
        <v>151</v>
      </c>
      <c r="Y3" s="1">
        <f t="shared" si="1"/>
        <v>149</v>
      </c>
      <c r="Z3" s="1">
        <f t="shared" si="1"/>
        <v>39</v>
      </c>
      <c r="AA3" s="1">
        <f t="shared" si="1"/>
        <v>125</v>
      </c>
      <c r="AB3" s="1">
        <f t="shared" si="1"/>
        <v>141</v>
      </c>
      <c r="AC3" s="1">
        <f t="shared" si="1"/>
        <v>99</v>
      </c>
      <c r="AD3" s="1">
        <f t="shared" si="1"/>
        <v>0</v>
      </c>
      <c r="AE3" s="1">
        <f t="shared" si="1"/>
        <v>0</v>
      </c>
      <c r="AF3" s="1">
        <f t="shared" si="1"/>
        <v>0</v>
      </c>
      <c r="AG3" s="2">
        <f t="shared" ref="AG3:AG66" si="2">SUM(B3:AF3)</f>
        <v>3556</v>
      </c>
    </row>
    <row r="4" spans="1:33" ht="18.75" x14ac:dyDescent="0.25">
      <c r="A4" s="53" t="s">
        <v>2</v>
      </c>
      <c r="B4" s="54">
        <v>6</v>
      </c>
      <c r="C4" s="55">
        <v>7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7</v>
      </c>
      <c r="J4" s="55">
        <v>3</v>
      </c>
      <c r="K4" s="55">
        <v>0</v>
      </c>
      <c r="L4" s="55">
        <v>0</v>
      </c>
      <c r="M4" s="55">
        <v>0</v>
      </c>
      <c r="N4" s="55">
        <v>0</v>
      </c>
      <c r="O4" s="55">
        <v>0</v>
      </c>
      <c r="P4" s="55">
        <v>4</v>
      </c>
      <c r="Q4" s="55">
        <v>2</v>
      </c>
      <c r="R4" s="55">
        <v>0</v>
      </c>
      <c r="S4" s="55">
        <v>0</v>
      </c>
      <c r="T4" s="55">
        <v>0</v>
      </c>
      <c r="U4" s="55">
        <v>0</v>
      </c>
      <c r="V4" s="55">
        <v>0</v>
      </c>
      <c r="W4" s="55">
        <v>6</v>
      </c>
      <c r="X4" s="55">
        <v>2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/>
      <c r="AE4" s="55"/>
      <c r="AF4" s="55"/>
      <c r="AG4" s="4">
        <f t="shared" si="2"/>
        <v>37</v>
      </c>
    </row>
    <row r="5" spans="1:33" ht="18.75" x14ac:dyDescent="0.25">
      <c r="A5" s="56" t="s">
        <v>3</v>
      </c>
      <c r="B5" s="54">
        <v>5</v>
      </c>
      <c r="C5" s="54">
        <v>6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5</v>
      </c>
      <c r="J5" s="54">
        <v>2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9</v>
      </c>
      <c r="Q5" s="54">
        <v>9</v>
      </c>
      <c r="R5" s="54">
        <v>0</v>
      </c>
      <c r="S5" s="54">
        <v>0</v>
      </c>
      <c r="T5" s="54">
        <v>0</v>
      </c>
      <c r="U5" s="54">
        <v>0</v>
      </c>
      <c r="V5" s="54">
        <v>0</v>
      </c>
      <c r="W5" s="54">
        <v>6</v>
      </c>
      <c r="X5" s="54">
        <v>3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/>
      <c r="AE5" s="54"/>
      <c r="AF5" s="54"/>
      <c r="AG5" s="5">
        <f t="shared" si="2"/>
        <v>45</v>
      </c>
    </row>
    <row r="6" spans="1:33" ht="18.75" x14ac:dyDescent="0.25">
      <c r="A6" s="56" t="s">
        <v>4</v>
      </c>
      <c r="B6" s="54">
        <v>8</v>
      </c>
      <c r="C6" s="54">
        <v>14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8</v>
      </c>
      <c r="J6" s="54">
        <v>6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7</v>
      </c>
      <c r="Q6" s="54">
        <v>8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16</v>
      </c>
      <c r="X6" s="54">
        <v>6</v>
      </c>
      <c r="Y6" s="54">
        <v>1</v>
      </c>
      <c r="Z6" s="54">
        <v>0</v>
      </c>
      <c r="AA6" s="54">
        <v>0</v>
      </c>
      <c r="AB6" s="54">
        <v>0</v>
      </c>
      <c r="AC6" s="54">
        <v>0</v>
      </c>
      <c r="AD6" s="54"/>
      <c r="AE6" s="54"/>
      <c r="AF6" s="54"/>
      <c r="AG6" s="5">
        <f t="shared" si="2"/>
        <v>74</v>
      </c>
    </row>
    <row r="7" spans="1:33" ht="18.75" x14ac:dyDescent="0.25">
      <c r="A7" s="56" t="s">
        <v>5</v>
      </c>
      <c r="B7" s="54">
        <v>13</v>
      </c>
      <c r="C7" s="54">
        <v>12</v>
      </c>
      <c r="D7" s="54">
        <v>0</v>
      </c>
      <c r="E7" s="54">
        <v>0</v>
      </c>
      <c r="F7" s="54">
        <v>0</v>
      </c>
      <c r="G7" s="54">
        <v>0</v>
      </c>
      <c r="H7" s="54">
        <v>0</v>
      </c>
      <c r="I7" s="54">
        <v>14</v>
      </c>
      <c r="J7" s="54">
        <v>9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17</v>
      </c>
      <c r="Q7" s="54">
        <v>8</v>
      </c>
      <c r="R7" s="54">
        <v>0</v>
      </c>
      <c r="S7" s="54">
        <v>0</v>
      </c>
      <c r="T7" s="54">
        <v>0</v>
      </c>
      <c r="U7" s="54">
        <v>0</v>
      </c>
      <c r="V7" s="54">
        <v>0</v>
      </c>
      <c r="W7" s="54">
        <v>6</v>
      </c>
      <c r="X7" s="54">
        <v>13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/>
      <c r="AE7" s="54"/>
      <c r="AF7" s="54"/>
      <c r="AG7" s="5">
        <f t="shared" si="2"/>
        <v>92</v>
      </c>
    </row>
    <row r="8" spans="1:33" ht="18.75" x14ac:dyDescent="0.25">
      <c r="A8" s="56" t="s">
        <v>6</v>
      </c>
      <c r="B8" s="54">
        <v>10</v>
      </c>
      <c r="C8" s="54">
        <v>13</v>
      </c>
      <c r="D8" s="54">
        <v>0</v>
      </c>
      <c r="E8" s="54">
        <v>0</v>
      </c>
      <c r="F8" s="54">
        <v>0</v>
      </c>
      <c r="G8" s="54">
        <v>0</v>
      </c>
      <c r="H8" s="54">
        <v>0</v>
      </c>
      <c r="I8" s="54">
        <v>13</v>
      </c>
      <c r="J8" s="54">
        <v>9</v>
      </c>
      <c r="K8" s="54">
        <v>0</v>
      </c>
      <c r="L8" s="54">
        <v>0</v>
      </c>
      <c r="M8" s="54">
        <v>1</v>
      </c>
      <c r="N8" s="54">
        <v>0</v>
      </c>
      <c r="O8" s="54">
        <v>0</v>
      </c>
      <c r="P8" s="54">
        <v>14</v>
      </c>
      <c r="Q8" s="54">
        <v>10</v>
      </c>
      <c r="R8" s="54">
        <v>0</v>
      </c>
      <c r="S8" s="54">
        <v>0</v>
      </c>
      <c r="T8" s="54">
        <v>0</v>
      </c>
      <c r="U8" s="54">
        <v>0</v>
      </c>
      <c r="V8" s="54">
        <v>0</v>
      </c>
      <c r="W8" s="54">
        <v>6</v>
      </c>
      <c r="X8" s="54">
        <v>13</v>
      </c>
      <c r="Y8" s="54">
        <v>0</v>
      </c>
      <c r="Z8" s="54">
        <v>0</v>
      </c>
      <c r="AA8" s="54">
        <v>0</v>
      </c>
      <c r="AB8" s="54">
        <v>1</v>
      </c>
      <c r="AC8" s="54">
        <v>0</v>
      </c>
      <c r="AD8" s="54"/>
      <c r="AE8" s="54"/>
      <c r="AF8" s="54"/>
      <c r="AG8" s="5">
        <f t="shared" si="2"/>
        <v>90</v>
      </c>
    </row>
    <row r="9" spans="1:33" ht="18.75" x14ac:dyDescent="0.25">
      <c r="A9" s="56" t="s">
        <v>7</v>
      </c>
      <c r="B9" s="54">
        <v>7</v>
      </c>
      <c r="C9" s="54">
        <v>18</v>
      </c>
      <c r="D9" s="54">
        <v>0</v>
      </c>
      <c r="E9" s="54">
        <v>0</v>
      </c>
      <c r="F9" s="54">
        <v>0</v>
      </c>
      <c r="G9" s="54">
        <v>0</v>
      </c>
      <c r="H9" s="54">
        <v>0</v>
      </c>
      <c r="I9" s="54">
        <v>6</v>
      </c>
      <c r="J9" s="54">
        <v>7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9</v>
      </c>
      <c r="Q9" s="54">
        <v>7</v>
      </c>
      <c r="R9" s="54">
        <v>0</v>
      </c>
      <c r="S9" s="54">
        <v>0</v>
      </c>
      <c r="T9" s="54">
        <v>0</v>
      </c>
      <c r="U9" s="54">
        <v>0</v>
      </c>
      <c r="V9" s="54">
        <v>0</v>
      </c>
      <c r="W9" s="54">
        <v>7</v>
      </c>
      <c r="X9" s="54">
        <v>9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/>
      <c r="AE9" s="54"/>
      <c r="AF9" s="54"/>
      <c r="AG9" s="5">
        <f t="shared" si="2"/>
        <v>70</v>
      </c>
    </row>
    <row r="10" spans="1:33" ht="18.75" x14ac:dyDescent="0.25">
      <c r="A10" s="56" t="s">
        <v>8</v>
      </c>
      <c r="B10" s="54">
        <v>3</v>
      </c>
      <c r="C10" s="54">
        <v>12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I10" s="54">
        <v>5</v>
      </c>
      <c r="J10" s="54">
        <v>6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7</v>
      </c>
      <c r="Q10" s="54">
        <v>6</v>
      </c>
      <c r="R10" s="54">
        <v>0</v>
      </c>
      <c r="S10" s="54">
        <v>0</v>
      </c>
      <c r="T10" s="54">
        <v>0</v>
      </c>
      <c r="U10" s="54">
        <v>0</v>
      </c>
      <c r="V10" s="54">
        <v>0</v>
      </c>
      <c r="W10" s="54">
        <v>7</v>
      </c>
      <c r="X10" s="54">
        <v>19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/>
      <c r="AE10" s="54"/>
      <c r="AF10" s="54"/>
      <c r="AG10" s="5">
        <f t="shared" si="2"/>
        <v>65</v>
      </c>
    </row>
    <row r="11" spans="1:33" ht="18.75" x14ac:dyDescent="0.25">
      <c r="A11" s="56" t="s">
        <v>9</v>
      </c>
      <c r="B11" s="54">
        <v>14</v>
      </c>
      <c r="C11" s="54">
        <v>9</v>
      </c>
      <c r="D11" s="54">
        <v>0</v>
      </c>
      <c r="E11" s="54">
        <v>0</v>
      </c>
      <c r="F11" s="54">
        <v>0</v>
      </c>
      <c r="G11" s="54">
        <v>0</v>
      </c>
      <c r="H11" s="54">
        <v>5</v>
      </c>
      <c r="I11" s="54">
        <v>6</v>
      </c>
      <c r="J11" s="54">
        <v>7</v>
      </c>
      <c r="K11" s="54">
        <v>0</v>
      </c>
      <c r="L11" s="54">
        <v>0</v>
      </c>
      <c r="M11" s="54">
        <v>0</v>
      </c>
      <c r="N11" s="54">
        <v>0</v>
      </c>
      <c r="O11" s="54">
        <v>4</v>
      </c>
      <c r="P11" s="54">
        <v>6</v>
      </c>
      <c r="Q11" s="54">
        <v>6</v>
      </c>
      <c r="R11" s="54">
        <v>0</v>
      </c>
      <c r="S11" s="54">
        <v>0</v>
      </c>
      <c r="T11" s="54">
        <v>0</v>
      </c>
      <c r="U11" s="54">
        <v>0</v>
      </c>
      <c r="V11" s="54">
        <v>7</v>
      </c>
      <c r="W11" s="54">
        <v>12</v>
      </c>
      <c r="X11" s="54">
        <v>10</v>
      </c>
      <c r="Y11" s="54">
        <v>0</v>
      </c>
      <c r="Z11" s="54">
        <v>0</v>
      </c>
      <c r="AA11" s="54">
        <v>0</v>
      </c>
      <c r="AB11" s="54">
        <v>0</v>
      </c>
      <c r="AC11" s="54">
        <v>5</v>
      </c>
      <c r="AD11" s="54"/>
      <c r="AE11" s="54"/>
      <c r="AF11" s="54"/>
      <c r="AG11" s="5">
        <f t="shared" si="2"/>
        <v>91</v>
      </c>
    </row>
    <row r="12" spans="1:33" ht="18.75" x14ac:dyDescent="0.25">
      <c r="A12" s="56" t="s">
        <v>10</v>
      </c>
      <c r="B12" s="54">
        <v>8</v>
      </c>
      <c r="C12" s="54">
        <v>6</v>
      </c>
      <c r="D12" s="54">
        <v>2</v>
      </c>
      <c r="E12" s="54">
        <v>6</v>
      </c>
      <c r="F12" s="54">
        <v>8</v>
      </c>
      <c r="G12" s="54">
        <v>2</v>
      </c>
      <c r="H12" s="54">
        <v>28</v>
      </c>
      <c r="I12" s="54">
        <v>13</v>
      </c>
      <c r="J12" s="54">
        <v>9</v>
      </c>
      <c r="K12" s="54">
        <v>0</v>
      </c>
      <c r="L12" s="54">
        <v>4</v>
      </c>
      <c r="M12" s="54">
        <v>8</v>
      </c>
      <c r="N12" s="54">
        <v>1</v>
      </c>
      <c r="O12" s="54">
        <v>20</v>
      </c>
      <c r="P12" s="54">
        <v>6</v>
      </c>
      <c r="Q12" s="54">
        <v>9</v>
      </c>
      <c r="R12" s="54">
        <v>0</v>
      </c>
      <c r="S12" s="54">
        <v>1</v>
      </c>
      <c r="T12" s="54">
        <v>6</v>
      </c>
      <c r="U12" s="54">
        <v>6</v>
      </c>
      <c r="V12" s="54">
        <v>29</v>
      </c>
      <c r="W12" s="54">
        <v>14</v>
      </c>
      <c r="X12" s="54">
        <v>13</v>
      </c>
      <c r="Y12" s="54">
        <v>1</v>
      </c>
      <c r="Z12" s="54">
        <v>0</v>
      </c>
      <c r="AA12" s="54">
        <v>5</v>
      </c>
      <c r="AB12" s="54">
        <v>7</v>
      </c>
      <c r="AC12" s="54">
        <v>24</v>
      </c>
      <c r="AD12" s="54"/>
      <c r="AE12" s="54"/>
      <c r="AF12" s="54"/>
      <c r="AG12" s="5">
        <f t="shared" si="2"/>
        <v>236</v>
      </c>
    </row>
    <row r="13" spans="1:33" ht="18.75" x14ac:dyDescent="0.25">
      <c r="A13" s="56" t="s">
        <v>11</v>
      </c>
      <c r="B13" s="54">
        <v>3</v>
      </c>
      <c r="C13" s="54">
        <v>10</v>
      </c>
      <c r="D13" s="54">
        <v>54</v>
      </c>
      <c r="E13" s="54">
        <v>32</v>
      </c>
      <c r="F13" s="54">
        <v>42</v>
      </c>
      <c r="G13" s="54">
        <v>35</v>
      </c>
      <c r="H13" s="54">
        <v>17</v>
      </c>
      <c r="I13" s="54">
        <v>9</v>
      </c>
      <c r="J13" s="54">
        <v>11</v>
      </c>
      <c r="K13" s="54">
        <v>46</v>
      </c>
      <c r="L13" s="54">
        <v>57</v>
      </c>
      <c r="M13" s="54">
        <v>37</v>
      </c>
      <c r="N13" s="54">
        <v>33</v>
      </c>
      <c r="O13" s="54">
        <v>18</v>
      </c>
      <c r="P13" s="54">
        <v>7</v>
      </c>
      <c r="Q13" s="54">
        <v>10</v>
      </c>
      <c r="R13" s="54">
        <v>59</v>
      </c>
      <c r="S13" s="54">
        <v>42</v>
      </c>
      <c r="T13" s="54">
        <v>41</v>
      </c>
      <c r="U13" s="54">
        <v>40</v>
      </c>
      <c r="V13" s="54">
        <v>23</v>
      </c>
      <c r="W13" s="54">
        <v>9</v>
      </c>
      <c r="X13" s="54">
        <v>12</v>
      </c>
      <c r="Y13" s="54">
        <v>56</v>
      </c>
      <c r="Z13" s="54">
        <v>20</v>
      </c>
      <c r="AA13" s="54">
        <v>50</v>
      </c>
      <c r="AB13" s="54">
        <v>51</v>
      </c>
      <c r="AC13" s="54">
        <v>16</v>
      </c>
      <c r="AD13" s="54"/>
      <c r="AE13" s="54"/>
      <c r="AF13" s="54"/>
      <c r="AG13" s="5">
        <f t="shared" si="2"/>
        <v>840</v>
      </c>
    </row>
    <row r="14" spans="1:33" ht="18.75" x14ac:dyDescent="0.25">
      <c r="A14" s="56" t="s">
        <v>12</v>
      </c>
      <c r="B14" s="54">
        <v>13</v>
      </c>
      <c r="C14" s="54">
        <v>5</v>
      </c>
      <c r="D14" s="54">
        <v>20</v>
      </c>
      <c r="E14" s="54">
        <v>19</v>
      </c>
      <c r="F14" s="54">
        <v>15</v>
      </c>
      <c r="G14" s="54">
        <v>11</v>
      </c>
      <c r="H14" s="54">
        <v>13</v>
      </c>
      <c r="I14" s="54">
        <v>9</v>
      </c>
      <c r="J14" s="54">
        <v>4</v>
      </c>
      <c r="K14" s="54">
        <v>13</v>
      </c>
      <c r="L14" s="54">
        <v>12</v>
      </c>
      <c r="M14" s="54">
        <v>19</v>
      </c>
      <c r="N14" s="54">
        <v>17</v>
      </c>
      <c r="O14" s="54">
        <v>7</v>
      </c>
      <c r="P14" s="54">
        <v>10</v>
      </c>
      <c r="Q14" s="54">
        <v>12</v>
      </c>
      <c r="R14" s="54">
        <v>19</v>
      </c>
      <c r="S14" s="54">
        <v>12</v>
      </c>
      <c r="T14" s="54">
        <v>15</v>
      </c>
      <c r="U14" s="54">
        <v>8</v>
      </c>
      <c r="V14" s="54">
        <v>11</v>
      </c>
      <c r="W14" s="54">
        <v>7</v>
      </c>
      <c r="X14" s="54">
        <v>8</v>
      </c>
      <c r="Y14" s="54">
        <v>26</v>
      </c>
      <c r="Z14" s="54">
        <v>0</v>
      </c>
      <c r="AA14" s="54">
        <v>18</v>
      </c>
      <c r="AB14" s="54">
        <v>14</v>
      </c>
      <c r="AC14" s="54">
        <v>13</v>
      </c>
      <c r="AD14" s="54"/>
      <c r="AE14" s="54"/>
      <c r="AF14" s="54"/>
      <c r="AG14" s="5">
        <f t="shared" si="2"/>
        <v>350</v>
      </c>
    </row>
    <row r="15" spans="1:33" ht="18.75" x14ac:dyDescent="0.25">
      <c r="A15" s="56" t="s">
        <v>13</v>
      </c>
      <c r="B15" s="54">
        <v>9</v>
      </c>
      <c r="C15" s="54">
        <v>7</v>
      </c>
      <c r="D15" s="54">
        <v>14</v>
      </c>
      <c r="E15" s="54">
        <v>12</v>
      </c>
      <c r="F15" s="54">
        <v>11</v>
      </c>
      <c r="G15" s="54">
        <v>10</v>
      </c>
      <c r="H15" s="54">
        <v>8</v>
      </c>
      <c r="I15" s="54">
        <v>6</v>
      </c>
      <c r="J15" s="54">
        <v>11</v>
      </c>
      <c r="K15" s="54">
        <v>15</v>
      </c>
      <c r="L15" s="54">
        <v>10</v>
      </c>
      <c r="M15" s="54">
        <v>10</v>
      </c>
      <c r="N15" s="54">
        <v>11</v>
      </c>
      <c r="O15" s="54">
        <v>12</v>
      </c>
      <c r="P15" s="54">
        <v>7</v>
      </c>
      <c r="Q15" s="54">
        <v>9</v>
      </c>
      <c r="R15" s="54">
        <v>17</v>
      </c>
      <c r="S15" s="54">
        <v>12</v>
      </c>
      <c r="T15" s="54">
        <v>12</v>
      </c>
      <c r="U15" s="54">
        <v>8</v>
      </c>
      <c r="V15" s="54">
        <v>7</v>
      </c>
      <c r="W15" s="54">
        <v>12</v>
      </c>
      <c r="X15" s="54">
        <v>7</v>
      </c>
      <c r="Y15" s="54">
        <v>12</v>
      </c>
      <c r="Z15" s="54">
        <v>0</v>
      </c>
      <c r="AA15" s="54">
        <v>13</v>
      </c>
      <c r="AB15" s="54">
        <v>11</v>
      </c>
      <c r="AC15" s="54">
        <v>8</v>
      </c>
      <c r="AD15" s="54"/>
      <c r="AE15" s="54"/>
      <c r="AF15" s="54"/>
      <c r="AG15" s="5">
        <f t="shared" si="2"/>
        <v>281</v>
      </c>
    </row>
    <row r="16" spans="1:33" ht="18.75" x14ac:dyDescent="0.25">
      <c r="A16" s="56" t="s">
        <v>14</v>
      </c>
      <c r="B16" s="54">
        <v>3</v>
      </c>
      <c r="C16" s="54">
        <v>9</v>
      </c>
      <c r="D16" s="54">
        <v>10</v>
      </c>
      <c r="E16" s="54">
        <v>9</v>
      </c>
      <c r="F16" s="54">
        <v>11</v>
      </c>
      <c r="G16" s="54">
        <v>8</v>
      </c>
      <c r="H16" s="54">
        <v>11</v>
      </c>
      <c r="I16" s="54">
        <v>4</v>
      </c>
      <c r="J16" s="54">
        <v>8</v>
      </c>
      <c r="K16" s="54">
        <v>10</v>
      </c>
      <c r="L16" s="54">
        <v>15</v>
      </c>
      <c r="M16" s="54">
        <v>12</v>
      </c>
      <c r="N16" s="54">
        <v>14</v>
      </c>
      <c r="O16" s="54">
        <v>13</v>
      </c>
      <c r="P16" s="54">
        <v>4</v>
      </c>
      <c r="Q16" s="54">
        <v>15</v>
      </c>
      <c r="R16" s="54">
        <v>8</v>
      </c>
      <c r="S16" s="54">
        <v>8</v>
      </c>
      <c r="T16" s="54">
        <v>8</v>
      </c>
      <c r="U16" s="54">
        <v>9</v>
      </c>
      <c r="V16" s="54">
        <v>7</v>
      </c>
      <c r="W16" s="54">
        <v>11</v>
      </c>
      <c r="X16" s="54">
        <v>4</v>
      </c>
      <c r="Y16" s="54">
        <v>8</v>
      </c>
      <c r="Z16" s="54">
        <v>0</v>
      </c>
      <c r="AA16" s="54">
        <v>8</v>
      </c>
      <c r="AB16" s="54">
        <v>14</v>
      </c>
      <c r="AC16" s="54">
        <v>7</v>
      </c>
      <c r="AD16" s="54"/>
      <c r="AE16" s="54"/>
      <c r="AF16" s="54"/>
      <c r="AG16" s="5">
        <f t="shared" si="2"/>
        <v>248</v>
      </c>
    </row>
    <row r="17" spans="1:33" ht="18.75" x14ac:dyDescent="0.25">
      <c r="A17" s="56" t="s">
        <v>15</v>
      </c>
      <c r="B17" s="54">
        <v>12</v>
      </c>
      <c r="C17" s="54">
        <v>8</v>
      </c>
      <c r="D17" s="54">
        <v>12</v>
      </c>
      <c r="E17" s="54">
        <v>10</v>
      </c>
      <c r="F17" s="54">
        <v>12</v>
      </c>
      <c r="G17" s="54">
        <v>9</v>
      </c>
      <c r="H17" s="54">
        <v>8</v>
      </c>
      <c r="I17" s="54">
        <v>6</v>
      </c>
      <c r="J17" s="54">
        <v>6</v>
      </c>
      <c r="K17" s="54">
        <v>5</v>
      </c>
      <c r="L17" s="54">
        <v>8</v>
      </c>
      <c r="M17" s="54">
        <v>12</v>
      </c>
      <c r="N17" s="54">
        <v>7</v>
      </c>
      <c r="O17" s="54">
        <v>8</v>
      </c>
      <c r="P17" s="54">
        <v>12</v>
      </c>
      <c r="Q17" s="54">
        <v>9</v>
      </c>
      <c r="R17" s="54">
        <v>9</v>
      </c>
      <c r="S17" s="54">
        <v>10</v>
      </c>
      <c r="T17" s="54">
        <v>12</v>
      </c>
      <c r="U17" s="54">
        <v>15</v>
      </c>
      <c r="V17" s="54">
        <v>14</v>
      </c>
      <c r="W17" s="54">
        <v>7</v>
      </c>
      <c r="X17" s="54">
        <v>12</v>
      </c>
      <c r="Y17" s="54">
        <v>11</v>
      </c>
      <c r="Z17" s="54">
        <v>0</v>
      </c>
      <c r="AA17" s="54">
        <v>17</v>
      </c>
      <c r="AB17" s="54">
        <v>10</v>
      </c>
      <c r="AC17" s="54">
        <v>5</v>
      </c>
      <c r="AD17" s="54"/>
      <c r="AE17" s="54"/>
      <c r="AF17" s="54"/>
      <c r="AG17" s="5">
        <f t="shared" si="2"/>
        <v>266</v>
      </c>
    </row>
    <row r="18" spans="1:33" ht="18.75" x14ac:dyDescent="0.25">
      <c r="A18" s="56" t="s">
        <v>16</v>
      </c>
      <c r="B18" s="54">
        <v>12</v>
      </c>
      <c r="C18" s="54">
        <v>10</v>
      </c>
      <c r="D18" s="54">
        <v>6</v>
      </c>
      <c r="E18" s="54">
        <v>5</v>
      </c>
      <c r="F18" s="54">
        <v>13</v>
      </c>
      <c r="G18" s="54">
        <v>7</v>
      </c>
      <c r="H18" s="54">
        <v>7</v>
      </c>
      <c r="I18" s="54">
        <v>8</v>
      </c>
      <c r="J18" s="54">
        <v>4</v>
      </c>
      <c r="K18" s="54">
        <v>10</v>
      </c>
      <c r="L18" s="54">
        <v>8</v>
      </c>
      <c r="M18" s="54">
        <v>9</v>
      </c>
      <c r="N18" s="54">
        <v>10</v>
      </c>
      <c r="O18" s="54">
        <v>11</v>
      </c>
      <c r="P18" s="54">
        <v>12</v>
      </c>
      <c r="Q18" s="54">
        <v>9</v>
      </c>
      <c r="R18" s="54">
        <v>15</v>
      </c>
      <c r="S18" s="54">
        <v>3</v>
      </c>
      <c r="T18" s="54">
        <v>6</v>
      </c>
      <c r="U18" s="54">
        <v>13</v>
      </c>
      <c r="V18" s="54">
        <v>7</v>
      </c>
      <c r="W18" s="54">
        <v>8</v>
      </c>
      <c r="X18" s="54">
        <v>5</v>
      </c>
      <c r="Y18" s="54">
        <v>9</v>
      </c>
      <c r="Z18" s="54">
        <v>0</v>
      </c>
      <c r="AA18" s="54">
        <v>5</v>
      </c>
      <c r="AB18" s="54">
        <v>11</v>
      </c>
      <c r="AC18" s="54">
        <v>5</v>
      </c>
      <c r="AD18" s="54"/>
      <c r="AE18" s="54"/>
      <c r="AF18" s="54"/>
      <c r="AG18" s="5">
        <f t="shared" si="2"/>
        <v>228</v>
      </c>
    </row>
    <row r="19" spans="1:33" ht="18.75" x14ac:dyDescent="0.25">
      <c r="A19" s="56" t="s">
        <v>17</v>
      </c>
      <c r="B19" s="54">
        <v>6</v>
      </c>
      <c r="C19" s="54">
        <v>6</v>
      </c>
      <c r="D19" s="54">
        <v>7</v>
      </c>
      <c r="E19" s="54">
        <v>3</v>
      </c>
      <c r="F19" s="54">
        <v>8</v>
      </c>
      <c r="G19" s="54">
        <v>5</v>
      </c>
      <c r="H19" s="54">
        <v>5</v>
      </c>
      <c r="I19" s="54">
        <v>9</v>
      </c>
      <c r="J19" s="54">
        <v>9</v>
      </c>
      <c r="K19" s="54">
        <v>6</v>
      </c>
      <c r="L19" s="54">
        <v>2</v>
      </c>
      <c r="M19" s="54">
        <v>7</v>
      </c>
      <c r="N19" s="54">
        <v>6</v>
      </c>
      <c r="O19" s="54">
        <v>4</v>
      </c>
      <c r="P19" s="54">
        <v>0</v>
      </c>
      <c r="Q19" s="54">
        <v>10</v>
      </c>
      <c r="R19" s="54">
        <v>4</v>
      </c>
      <c r="S19" s="54">
        <v>7</v>
      </c>
      <c r="T19" s="54">
        <v>9</v>
      </c>
      <c r="U19" s="54">
        <v>5</v>
      </c>
      <c r="V19" s="54">
        <v>5</v>
      </c>
      <c r="W19" s="54">
        <v>5</v>
      </c>
      <c r="X19" s="54">
        <v>5</v>
      </c>
      <c r="Y19" s="54">
        <v>5</v>
      </c>
      <c r="Z19" s="54">
        <v>0</v>
      </c>
      <c r="AA19" s="54">
        <v>8</v>
      </c>
      <c r="AB19" s="54">
        <v>3</v>
      </c>
      <c r="AC19" s="54">
        <v>8</v>
      </c>
      <c r="AD19" s="54"/>
      <c r="AE19" s="54"/>
      <c r="AF19" s="54"/>
      <c r="AG19" s="5">
        <f t="shared" si="2"/>
        <v>157</v>
      </c>
    </row>
    <row r="20" spans="1:33" ht="18.75" x14ac:dyDescent="0.25">
      <c r="A20" s="56" t="s">
        <v>18</v>
      </c>
      <c r="B20" s="54">
        <v>4</v>
      </c>
      <c r="C20" s="54">
        <v>4</v>
      </c>
      <c r="D20" s="54">
        <v>7</v>
      </c>
      <c r="E20" s="54">
        <v>4</v>
      </c>
      <c r="F20" s="54">
        <v>1</v>
      </c>
      <c r="G20" s="54">
        <v>4</v>
      </c>
      <c r="H20" s="54">
        <v>2</v>
      </c>
      <c r="I20" s="54">
        <v>5</v>
      </c>
      <c r="J20" s="54">
        <v>6</v>
      </c>
      <c r="K20" s="54">
        <v>4</v>
      </c>
      <c r="L20" s="54">
        <v>10</v>
      </c>
      <c r="M20" s="54">
        <v>4</v>
      </c>
      <c r="N20" s="54">
        <v>1</v>
      </c>
      <c r="O20" s="54">
        <v>0</v>
      </c>
      <c r="P20" s="54">
        <v>1</v>
      </c>
      <c r="Q20" s="54">
        <v>5</v>
      </c>
      <c r="R20" s="54">
        <v>7</v>
      </c>
      <c r="S20" s="54">
        <v>1</v>
      </c>
      <c r="T20" s="54">
        <v>4</v>
      </c>
      <c r="U20" s="54">
        <v>4</v>
      </c>
      <c r="V20" s="54">
        <v>4</v>
      </c>
      <c r="W20" s="54">
        <v>3</v>
      </c>
      <c r="X20" s="54">
        <v>2</v>
      </c>
      <c r="Y20" s="54">
        <v>8</v>
      </c>
      <c r="Z20" s="54">
        <v>3</v>
      </c>
      <c r="AA20" s="54">
        <v>0</v>
      </c>
      <c r="AB20" s="54">
        <v>3</v>
      </c>
      <c r="AC20" s="54">
        <v>0</v>
      </c>
      <c r="AD20" s="54"/>
      <c r="AE20" s="54"/>
      <c r="AF20" s="54"/>
      <c r="AG20" s="5">
        <f t="shared" si="2"/>
        <v>101</v>
      </c>
    </row>
    <row r="21" spans="1:33" ht="15.75" customHeight="1" x14ac:dyDescent="0.25">
      <c r="A21" s="56" t="s">
        <v>19</v>
      </c>
      <c r="B21" s="54">
        <v>4</v>
      </c>
      <c r="C21" s="54">
        <v>3</v>
      </c>
      <c r="D21" s="54">
        <v>8</v>
      </c>
      <c r="E21" s="54">
        <v>7</v>
      </c>
      <c r="F21" s="54">
        <v>2</v>
      </c>
      <c r="G21" s="54">
        <v>1</v>
      </c>
      <c r="H21" s="54">
        <v>6</v>
      </c>
      <c r="I21" s="54">
        <v>3</v>
      </c>
      <c r="J21" s="54">
        <v>7</v>
      </c>
      <c r="K21" s="54">
        <v>1</v>
      </c>
      <c r="L21" s="54">
        <v>3</v>
      </c>
      <c r="M21" s="54">
        <v>4</v>
      </c>
      <c r="N21" s="54">
        <v>1</v>
      </c>
      <c r="O21" s="54">
        <v>0</v>
      </c>
      <c r="P21" s="54">
        <v>1</v>
      </c>
      <c r="Q21" s="54">
        <v>1</v>
      </c>
      <c r="R21" s="54">
        <v>1</v>
      </c>
      <c r="S21" s="54">
        <v>0</v>
      </c>
      <c r="T21" s="54">
        <v>6</v>
      </c>
      <c r="U21" s="54">
        <v>4</v>
      </c>
      <c r="V21" s="54">
        <v>0</v>
      </c>
      <c r="W21" s="54">
        <v>3</v>
      </c>
      <c r="X21" s="54">
        <v>1</v>
      </c>
      <c r="Y21" s="54">
        <v>5</v>
      </c>
      <c r="Z21" s="54">
        <v>6</v>
      </c>
      <c r="AA21" s="54">
        <v>0</v>
      </c>
      <c r="AB21" s="54">
        <v>6</v>
      </c>
      <c r="AC21" s="54">
        <v>2</v>
      </c>
      <c r="AD21" s="54"/>
      <c r="AE21" s="54"/>
      <c r="AF21" s="54"/>
      <c r="AG21" s="5">
        <f t="shared" si="2"/>
        <v>86</v>
      </c>
    </row>
    <row r="22" spans="1:33" ht="15.75" customHeight="1" x14ac:dyDescent="0.25">
      <c r="A22" s="56" t="s">
        <v>20</v>
      </c>
      <c r="B22" s="54">
        <v>3</v>
      </c>
      <c r="C22" s="54">
        <v>2</v>
      </c>
      <c r="D22" s="54">
        <v>2</v>
      </c>
      <c r="E22" s="54">
        <v>1</v>
      </c>
      <c r="F22" s="54">
        <v>1</v>
      </c>
      <c r="G22" s="54">
        <v>1</v>
      </c>
      <c r="H22" s="54">
        <v>1</v>
      </c>
      <c r="I22" s="54">
        <v>2</v>
      </c>
      <c r="J22" s="54">
        <v>1</v>
      </c>
      <c r="K22" s="54">
        <v>1</v>
      </c>
      <c r="L22" s="54">
        <v>2</v>
      </c>
      <c r="M22" s="54">
        <v>1</v>
      </c>
      <c r="N22" s="54">
        <v>5</v>
      </c>
      <c r="O22" s="54">
        <v>0</v>
      </c>
      <c r="P22" s="54">
        <v>1</v>
      </c>
      <c r="Q22" s="54">
        <v>2</v>
      </c>
      <c r="R22" s="54">
        <v>3</v>
      </c>
      <c r="S22" s="54">
        <v>2</v>
      </c>
      <c r="T22" s="54">
        <v>6</v>
      </c>
      <c r="U22" s="54">
        <v>2</v>
      </c>
      <c r="V22" s="54">
        <v>3</v>
      </c>
      <c r="W22" s="54">
        <v>3</v>
      </c>
      <c r="X22" s="54">
        <v>2</v>
      </c>
      <c r="Y22" s="54">
        <v>0</v>
      </c>
      <c r="Z22" s="54">
        <v>2</v>
      </c>
      <c r="AA22" s="54">
        <v>1</v>
      </c>
      <c r="AB22" s="54">
        <v>2</v>
      </c>
      <c r="AC22" s="54">
        <v>2</v>
      </c>
      <c r="AD22" s="54"/>
      <c r="AE22" s="54"/>
      <c r="AF22" s="54"/>
      <c r="AG22" s="5">
        <f t="shared" si="2"/>
        <v>54</v>
      </c>
    </row>
    <row r="23" spans="1:33" ht="15.75" customHeight="1" x14ac:dyDescent="0.25">
      <c r="A23" s="56" t="s">
        <v>21</v>
      </c>
      <c r="B23" s="54">
        <v>2</v>
      </c>
      <c r="C23" s="54">
        <v>1</v>
      </c>
      <c r="D23" s="54">
        <v>0</v>
      </c>
      <c r="E23" s="54">
        <v>1</v>
      </c>
      <c r="F23" s="54">
        <v>1</v>
      </c>
      <c r="G23" s="54">
        <v>2</v>
      </c>
      <c r="H23" s="54">
        <v>1</v>
      </c>
      <c r="I23" s="54">
        <v>1</v>
      </c>
      <c r="J23" s="54">
        <v>1</v>
      </c>
      <c r="K23" s="54">
        <v>2</v>
      </c>
      <c r="L23" s="54">
        <v>2</v>
      </c>
      <c r="M23" s="54">
        <v>3</v>
      </c>
      <c r="N23" s="54">
        <v>0</v>
      </c>
      <c r="O23" s="54">
        <v>1</v>
      </c>
      <c r="P23" s="54">
        <v>2</v>
      </c>
      <c r="Q23" s="54">
        <v>1</v>
      </c>
      <c r="R23" s="54">
        <v>0</v>
      </c>
      <c r="S23" s="54">
        <v>2</v>
      </c>
      <c r="T23" s="54">
        <v>2</v>
      </c>
      <c r="U23" s="54">
        <v>1</v>
      </c>
      <c r="V23" s="54">
        <v>0</v>
      </c>
      <c r="W23" s="54">
        <v>0</v>
      </c>
      <c r="X23" s="54">
        <v>1</v>
      </c>
      <c r="Y23" s="54">
        <v>2</v>
      </c>
      <c r="Z23" s="54">
        <v>5</v>
      </c>
      <c r="AA23" s="54">
        <v>0</v>
      </c>
      <c r="AB23" s="54">
        <v>2</v>
      </c>
      <c r="AC23" s="54">
        <v>3</v>
      </c>
      <c r="AD23" s="54"/>
      <c r="AE23" s="54"/>
      <c r="AF23" s="54"/>
      <c r="AG23" s="5">
        <f t="shared" si="2"/>
        <v>39</v>
      </c>
    </row>
    <row r="24" spans="1:33" ht="15.75" customHeight="1" x14ac:dyDescent="0.25">
      <c r="A24" s="56" t="s">
        <v>22</v>
      </c>
      <c r="B24" s="54">
        <v>2</v>
      </c>
      <c r="C24" s="54">
        <v>1</v>
      </c>
      <c r="D24" s="54">
        <v>1</v>
      </c>
      <c r="E24" s="54">
        <v>2</v>
      </c>
      <c r="F24" s="54">
        <v>1</v>
      </c>
      <c r="G24" s="54">
        <v>0</v>
      </c>
      <c r="H24" s="54">
        <v>4</v>
      </c>
      <c r="I24" s="54">
        <v>1</v>
      </c>
      <c r="J24" s="54">
        <v>2</v>
      </c>
      <c r="K24" s="54">
        <v>0</v>
      </c>
      <c r="L24" s="54">
        <v>1</v>
      </c>
      <c r="M24" s="54">
        <v>1</v>
      </c>
      <c r="N24" s="54">
        <v>0</v>
      </c>
      <c r="O24" s="54">
        <v>1</v>
      </c>
      <c r="P24" s="54">
        <v>0</v>
      </c>
      <c r="Q24" s="54">
        <v>2</v>
      </c>
      <c r="R24" s="54">
        <v>1</v>
      </c>
      <c r="S24" s="54">
        <v>0</v>
      </c>
      <c r="T24" s="54">
        <v>0</v>
      </c>
      <c r="U24" s="54">
        <v>1</v>
      </c>
      <c r="V24" s="54">
        <v>2</v>
      </c>
      <c r="W24" s="54">
        <v>1</v>
      </c>
      <c r="X24" s="54">
        <v>1</v>
      </c>
      <c r="Y24" s="54">
        <v>2</v>
      </c>
      <c r="Z24" s="54">
        <v>0</v>
      </c>
      <c r="AA24" s="54">
        <v>0</v>
      </c>
      <c r="AB24" s="54">
        <v>2</v>
      </c>
      <c r="AC24" s="54">
        <v>1</v>
      </c>
      <c r="AD24" s="54"/>
      <c r="AE24" s="54"/>
      <c r="AF24" s="54"/>
      <c r="AG24" s="5">
        <f t="shared" si="2"/>
        <v>30</v>
      </c>
    </row>
    <row r="25" spans="1:33" ht="15.75" customHeight="1" x14ac:dyDescent="0.25">
      <c r="A25" s="56" t="s">
        <v>23</v>
      </c>
      <c r="B25" s="54">
        <v>0</v>
      </c>
      <c r="C25" s="54">
        <v>2</v>
      </c>
      <c r="D25" s="54">
        <v>0</v>
      </c>
      <c r="E25" s="54">
        <v>1</v>
      </c>
      <c r="F25" s="54">
        <v>1</v>
      </c>
      <c r="G25" s="54">
        <v>0</v>
      </c>
      <c r="H25" s="54">
        <v>1</v>
      </c>
      <c r="I25" s="54">
        <v>2</v>
      </c>
      <c r="J25" s="54">
        <v>1</v>
      </c>
      <c r="K25" s="54">
        <v>2</v>
      </c>
      <c r="L25" s="54">
        <v>0</v>
      </c>
      <c r="M25" s="54">
        <v>2</v>
      </c>
      <c r="N25" s="54">
        <v>4</v>
      </c>
      <c r="O25" s="54">
        <v>0</v>
      </c>
      <c r="P25" s="54">
        <v>2</v>
      </c>
      <c r="Q25" s="54">
        <v>0</v>
      </c>
      <c r="R25" s="54">
        <v>1</v>
      </c>
      <c r="S25" s="54">
        <v>2</v>
      </c>
      <c r="T25" s="54">
        <v>0</v>
      </c>
      <c r="U25" s="54">
        <v>1</v>
      </c>
      <c r="V25" s="54">
        <v>1</v>
      </c>
      <c r="W25" s="54">
        <v>0</v>
      </c>
      <c r="X25" s="54">
        <v>2</v>
      </c>
      <c r="Y25" s="54">
        <v>1</v>
      </c>
      <c r="Z25" s="54">
        <v>0</v>
      </c>
      <c r="AA25" s="54">
        <v>0</v>
      </c>
      <c r="AB25" s="54">
        <v>1</v>
      </c>
      <c r="AC25" s="54">
        <v>0</v>
      </c>
      <c r="AD25" s="54"/>
      <c r="AE25" s="54"/>
      <c r="AF25" s="54"/>
      <c r="AG25" s="5">
        <f t="shared" si="2"/>
        <v>27</v>
      </c>
    </row>
    <row r="26" spans="1:33" ht="15.75" customHeight="1" x14ac:dyDescent="0.25">
      <c r="A26" s="56" t="s">
        <v>24</v>
      </c>
      <c r="B26" s="54">
        <v>0</v>
      </c>
      <c r="C26" s="54">
        <v>0</v>
      </c>
      <c r="D26" s="54">
        <v>1</v>
      </c>
      <c r="E26" s="54">
        <v>2</v>
      </c>
      <c r="F26" s="54">
        <v>1</v>
      </c>
      <c r="G26" s="54">
        <v>4</v>
      </c>
      <c r="H26" s="54">
        <v>0</v>
      </c>
      <c r="I26" s="54">
        <v>2</v>
      </c>
      <c r="J26" s="54">
        <v>0</v>
      </c>
      <c r="K26" s="54">
        <v>2</v>
      </c>
      <c r="L26" s="54">
        <v>0</v>
      </c>
      <c r="M26" s="54">
        <v>1</v>
      </c>
      <c r="N26" s="54">
        <v>2</v>
      </c>
      <c r="O26" s="54">
        <v>2</v>
      </c>
      <c r="P26" s="54">
        <v>2</v>
      </c>
      <c r="Q26" s="54">
        <v>0</v>
      </c>
      <c r="R26" s="54">
        <v>1</v>
      </c>
      <c r="S26" s="54">
        <v>2</v>
      </c>
      <c r="T26" s="54">
        <v>0</v>
      </c>
      <c r="U26" s="54">
        <v>2</v>
      </c>
      <c r="V26" s="54">
        <v>0</v>
      </c>
      <c r="W26" s="54">
        <v>0</v>
      </c>
      <c r="X26" s="54">
        <v>0</v>
      </c>
      <c r="Y26" s="54">
        <v>2</v>
      </c>
      <c r="Z26" s="54">
        <v>3</v>
      </c>
      <c r="AA26" s="54">
        <v>0</v>
      </c>
      <c r="AB26" s="54">
        <v>3</v>
      </c>
      <c r="AC26" s="54">
        <v>0</v>
      </c>
      <c r="AD26" s="54"/>
      <c r="AE26" s="54"/>
      <c r="AF26" s="54"/>
      <c r="AG26" s="5">
        <f t="shared" si="2"/>
        <v>32</v>
      </c>
    </row>
    <row r="27" spans="1:33" ht="15.75" customHeight="1" thickBot="1" x14ac:dyDescent="0.3">
      <c r="A27" s="57" t="s">
        <v>25</v>
      </c>
      <c r="B27" s="58">
        <v>5</v>
      </c>
      <c r="C27" s="58">
        <v>1</v>
      </c>
      <c r="D27" s="58">
        <v>0</v>
      </c>
      <c r="E27" s="58">
        <v>0</v>
      </c>
      <c r="F27" s="58">
        <v>0</v>
      </c>
      <c r="G27" s="58">
        <v>0</v>
      </c>
      <c r="H27" s="58">
        <v>1</v>
      </c>
      <c r="I27" s="58">
        <v>2</v>
      </c>
      <c r="J27" s="58">
        <v>1</v>
      </c>
      <c r="K27" s="58">
        <v>0</v>
      </c>
      <c r="L27" s="58">
        <v>1</v>
      </c>
      <c r="M27" s="58">
        <v>0</v>
      </c>
      <c r="N27" s="58">
        <v>0</v>
      </c>
      <c r="O27" s="58">
        <v>1</v>
      </c>
      <c r="P27" s="58">
        <v>3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1</v>
      </c>
      <c r="X27" s="58">
        <v>1</v>
      </c>
      <c r="Y27" s="58">
        <v>0</v>
      </c>
      <c r="Z27" s="58">
        <v>0</v>
      </c>
      <c r="AA27" s="58">
        <v>0</v>
      </c>
      <c r="AB27" s="58">
        <v>0</v>
      </c>
      <c r="AC27" s="58">
        <v>0</v>
      </c>
      <c r="AD27" s="58"/>
      <c r="AE27" s="58"/>
      <c r="AF27" s="58"/>
      <c r="AG27" s="5">
        <f t="shared" si="2"/>
        <v>17</v>
      </c>
    </row>
    <row r="28" spans="1:33" ht="15.75" customHeight="1" x14ac:dyDescent="0.25">
      <c r="A28" s="59" t="s">
        <v>26</v>
      </c>
      <c r="B28" s="6">
        <f t="shared" ref="B28:AF28" si="3">SUM(B29:B52)</f>
        <v>146</v>
      </c>
      <c r="C28" s="6">
        <f t="shared" si="3"/>
        <v>162</v>
      </c>
      <c r="D28" s="6">
        <f t="shared" si="3"/>
        <v>122</v>
      </c>
      <c r="E28" s="6">
        <f t="shared" si="3"/>
        <v>108</v>
      </c>
      <c r="F28" s="6">
        <f t="shared" si="3"/>
        <v>112</v>
      </c>
      <c r="G28" s="6">
        <f t="shared" si="3"/>
        <v>93</v>
      </c>
      <c r="H28" s="6">
        <f t="shared" si="3"/>
        <v>111</v>
      </c>
      <c r="I28" s="6">
        <f t="shared" si="3"/>
        <v>145</v>
      </c>
      <c r="J28" s="6">
        <f t="shared" si="3"/>
        <v>127</v>
      </c>
      <c r="K28" s="6">
        <f t="shared" si="3"/>
        <v>115</v>
      </c>
      <c r="L28" s="6">
        <f t="shared" si="3"/>
        <v>114</v>
      </c>
      <c r="M28" s="6">
        <f t="shared" si="3"/>
        <v>122</v>
      </c>
      <c r="N28" s="6">
        <f t="shared" si="3"/>
        <v>106</v>
      </c>
      <c r="O28" s="6">
        <f t="shared" si="3"/>
        <v>97</v>
      </c>
      <c r="P28" s="6">
        <f t="shared" si="3"/>
        <v>143</v>
      </c>
      <c r="Q28" s="6">
        <f t="shared" si="3"/>
        <v>150</v>
      </c>
      <c r="R28" s="6">
        <f t="shared" si="3"/>
        <v>126</v>
      </c>
      <c r="S28" s="6">
        <f t="shared" si="3"/>
        <v>94</v>
      </c>
      <c r="T28" s="6">
        <f t="shared" si="3"/>
        <v>106</v>
      </c>
      <c r="U28" s="6">
        <f t="shared" si="3"/>
        <v>105</v>
      </c>
      <c r="V28" s="6">
        <f t="shared" si="3"/>
        <v>115</v>
      </c>
      <c r="W28" s="6">
        <f t="shared" si="3"/>
        <v>147</v>
      </c>
      <c r="X28" s="6">
        <f t="shared" si="3"/>
        <v>144</v>
      </c>
      <c r="Y28" s="6">
        <f t="shared" si="3"/>
        <v>139</v>
      </c>
      <c r="Z28" s="6">
        <f t="shared" si="3"/>
        <v>23</v>
      </c>
      <c r="AA28" s="6">
        <f t="shared" si="3"/>
        <v>119</v>
      </c>
      <c r="AB28" s="6">
        <f t="shared" si="3"/>
        <v>129</v>
      </c>
      <c r="AC28" s="6">
        <f t="shared" si="3"/>
        <v>94</v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7">
        <f t="shared" si="2"/>
        <v>3314</v>
      </c>
    </row>
    <row r="29" spans="1:33" ht="15.75" customHeight="1" x14ac:dyDescent="0.25">
      <c r="A29" s="53" t="s">
        <v>2</v>
      </c>
      <c r="B29" s="54">
        <v>6</v>
      </c>
      <c r="C29" s="55">
        <v>7</v>
      </c>
      <c r="D29" s="55">
        <v>0</v>
      </c>
      <c r="E29" s="55">
        <v>0</v>
      </c>
      <c r="F29" s="55">
        <v>0</v>
      </c>
      <c r="G29" s="55">
        <v>0</v>
      </c>
      <c r="H29" s="55">
        <v>0</v>
      </c>
      <c r="I29" s="55">
        <v>7</v>
      </c>
      <c r="J29" s="55">
        <v>3</v>
      </c>
      <c r="K29" s="55">
        <v>0</v>
      </c>
      <c r="L29" s="55">
        <v>0</v>
      </c>
      <c r="M29" s="55">
        <v>0</v>
      </c>
      <c r="N29" s="55">
        <v>0</v>
      </c>
      <c r="O29" s="55">
        <v>0</v>
      </c>
      <c r="P29" s="55">
        <v>4</v>
      </c>
      <c r="Q29" s="55">
        <v>0</v>
      </c>
      <c r="R29" s="55">
        <v>0</v>
      </c>
      <c r="S29" s="55">
        <v>0</v>
      </c>
      <c r="T29" s="55">
        <v>0</v>
      </c>
      <c r="U29" s="55">
        <v>0</v>
      </c>
      <c r="V29" s="55">
        <v>0</v>
      </c>
      <c r="W29" s="55">
        <v>4</v>
      </c>
      <c r="X29" s="55">
        <v>2</v>
      </c>
      <c r="Y29" s="55">
        <v>0</v>
      </c>
      <c r="Z29" s="55">
        <v>0</v>
      </c>
      <c r="AA29" s="55">
        <v>0</v>
      </c>
      <c r="AB29" s="55">
        <v>0</v>
      </c>
      <c r="AC29" s="55">
        <v>0</v>
      </c>
      <c r="AD29" s="54"/>
      <c r="AE29" s="54"/>
      <c r="AF29" s="54"/>
      <c r="AG29" s="5">
        <f t="shared" si="2"/>
        <v>33</v>
      </c>
    </row>
    <row r="30" spans="1:33" ht="15.75" customHeight="1" x14ac:dyDescent="0.25">
      <c r="A30" s="56" t="s">
        <v>3</v>
      </c>
      <c r="B30" s="54">
        <v>4</v>
      </c>
      <c r="C30" s="54">
        <v>2</v>
      </c>
      <c r="D30" s="54">
        <v>0</v>
      </c>
      <c r="E30" s="54">
        <v>0</v>
      </c>
      <c r="F30" s="54">
        <v>0</v>
      </c>
      <c r="G30" s="54">
        <v>0</v>
      </c>
      <c r="H30" s="54">
        <v>0</v>
      </c>
      <c r="I30" s="54">
        <v>3</v>
      </c>
      <c r="J30" s="54">
        <v>1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6</v>
      </c>
      <c r="Q30" s="54">
        <v>9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4">
        <v>3</v>
      </c>
      <c r="X30" s="54">
        <v>2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/>
      <c r="AE30" s="54"/>
      <c r="AF30" s="54"/>
      <c r="AG30" s="5">
        <f t="shared" si="2"/>
        <v>30</v>
      </c>
    </row>
    <row r="31" spans="1:33" ht="15.75" customHeight="1" x14ac:dyDescent="0.25">
      <c r="A31" s="56" t="s">
        <v>4</v>
      </c>
      <c r="B31" s="54">
        <v>11</v>
      </c>
      <c r="C31" s="54">
        <v>13</v>
      </c>
      <c r="D31" s="54">
        <v>0</v>
      </c>
      <c r="E31" s="54">
        <v>0</v>
      </c>
      <c r="F31" s="54">
        <v>0</v>
      </c>
      <c r="G31" s="54">
        <v>0</v>
      </c>
      <c r="H31" s="54">
        <v>0</v>
      </c>
      <c r="I31" s="54">
        <v>8</v>
      </c>
      <c r="J31" s="54">
        <v>5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9</v>
      </c>
      <c r="Q31" s="54">
        <v>5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4">
        <v>10</v>
      </c>
      <c r="X31" s="54">
        <v>6</v>
      </c>
      <c r="Y31" s="54">
        <v>1</v>
      </c>
      <c r="Z31" s="54">
        <v>0</v>
      </c>
      <c r="AA31" s="54">
        <v>0</v>
      </c>
      <c r="AB31" s="54">
        <v>0</v>
      </c>
      <c r="AC31" s="54">
        <v>0</v>
      </c>
      <c r="AD31" s="54"/>
      <c r="AE31" s="54"/>
      <c r="AF31" s="54"/>
      <c r="AG31" s="5">
        <f t="shared" si="2"/>
        <v>68</v>
      </c>
    </row>
    <row r="32" spans="1:33" ht="15.75" customHeight="1" x14ac:dyDescent="0.25">
      <c r="A32" s="56" t="s">
        <v>5</v>
      </c>
      <c r="B32" s="54">
        <v>10</v>
      </c>
      <c r="C32" s="54">
        <v>10</v>
      </c>
      <c r="D32" s="54">
        <v>0</v>
      </c>
      <c r="E32" s="54">
        <v>0</v>
      </c>
      <c r="F32" s="54">
        <v>0</v>
      </c>
      <c r="G32" s="54">
        <v>0</v>
      </c>
      <c r="H32" s="54">
        <v>0</v>
      </c>
      <c r="I32" s="54">
        <v>12</v>
      </c>
      <c r="J32" s="54">
        <v>8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10</v>
      </c>
      <c r="Q32" s="54">
        <v>5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4">
        <v>10</v>
      </c>
      <c r="X32" s="54">
        <v>8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/>
      <c r="AE32" s="54"/>
      <c r="AF32" s="54"/>
      <c r="AG32" s="5">
        <f t="shared" si="2"/>
        <v>73</v>
      </c>
    </row>
    <row r="33" spans="1:33" ht="15.75" customHeight="1" x14ac:dyDescent="0.25">
      <c r="A33" s="56" t="s">
        <v>6</v>
      </c>
      <c r="B33" s="54">
        <v>9</v>
      </c>
      <c r="C33" s="54">
        <v>12</v>
      </c>
      <c r="D33" s="54">
        <v>0</v>
      </c>
      <c r="E33" s="54">
        <v>0</v>
      </c>
      <c r="F33" s="54">
        <v>0</v>
      </c>
      <c r="G33" s="54">
        <v>0</v>
      </c>
      <c r="H33" s="54">
        <v>0</v>
      </c>
      <c r="I33" s="54">
        <v>7</v>
      </c>
      <c r="J33" s="54">
        <v>9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13</v>
      </c>
      <c r="Q33" s="54">
        <v>10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4">
        <v>7</v>
      </c>
      <c r="X33" s="54">
        <v>11</v>
      </c>
      <c r="Y33" s="54">
        <v>0</v>
      </c>
      <c r="Z33" s="54">
        <v>0</v>
      </c>
      <c r="AA33" s="54">
        <v>0</v>
      </c>
      <c r="AB33" s="54">
        <v>1</v>
      </c>
      <c r="AC33" s="54">
        <v>0</v>
      </c>
      <c r="AD33" s="54"/>
      <c r="AE33" s="54"/>
      <c r="AF33" s="54"/>
      <c r="AG33" s="5">
        <f t="shared" si="2"/>
        <v>79</v>
      </c>
    </row>
    <row r="34" spans="1:33" ht="15.75" customHeight="1" x14ac:dyDescent="0.25">
      <c r="A34" s="56" t="s">
        <v>7</v>
      </c>
      <c r="B34" s="54">
        <v>9</v>
      </c>
      <c r="C34" s="54">
        <v>14</v>
      </c>
      <c r="D34" s="54">
        <v>0</v>
      </c>
      <c r="E34" s="54">
        <v>0</v>
      </c>
      <c r="F34" s="54">
        <v>0</v>
      </c>
      <c r="G34" s="54">
        <v>0</v>
      </c>
      <c r="H34" s="54">
        <v>0</v>
      </c>
      <c r="I34" s="54">
        <v>7</v>
      </c>
      <c r="J34" s="54">
        <v>5</v>
      </c>
      <c r="K34" s="54">
        <v>0</v>
      </c>
      <c r="L34" s="54">
        <v>0</v>
      </c>
      <c r="M34" s="54">
        <v>1</v>
      </c>
      <c r="N34" s="54">
        <v>0</v>
      </c>
      <c r="O34" s="54">
        <v>0</v>
      </c>
      <c r="P34" s="54">
        <v>13</v>
      </c>
      <c r="Q34" s="54">
        <v>2</v>
      </c>
      <c r="R34" s="54">
        <v>0</v>
      </c>
      <c r="S34" s="54">
        <v>0</v>
      </c>
      <c r="T34" s="54">
        <v>0</v>
      </c>
      <c r="U34" s="54">
        <v>0</v>
      </c>
      <c r="V34" s="54">
        <v>0</v>
      </c>
      <c r="W34" s="54">
        <v>5</v>
      </c>
      <c r="X34" s="54">
        <v>7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/>
      <c r="AE34" s="54"/>
      <c r="AF34" s="54"/>
      <c r="AG34" s="5">
        <f t="shared" si="2"/>
        <v>63</v>
      </c>
    </row>
    <row r="35" spans="1:33" ht="15.75" customHeight="1" x14ac:dyDescent="0.25">
      <c r="A35" s="56" t="s">
        <v>8</v>
      </c>
      <c r="B35" s="54">
        <v>5</v>
      </c>
      <c r="C35" s="54">
        <v>9</v>
      </c>
      <c r="D35" s="54">
        <v>0</v>
      </c>
      <c r="E35" s="54">
        <v>0</v>
      </c>
      <c r="F35" s="54">
        <v>0</v>
      </c>
      <c r="G35" s="54">
        <v>0</v>
      </c>
      <c r="H35" s="54">
        <v>0</v>
      </c>
      <c r="I35" s="54">
        <v>11</v>
      </c>
      <c r="J35" s="54">
        <v>3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10</v>
      </c>
      <c r="Q35" s="54">
        <v>11</v>
      </c>
      <c r="R35" s="54">
        <v>0</v>
      </c>
      <c r="S35" s="54">
        <v>0</v>
      </c>
      <c r="T35" s="54">
        <v>0</v>
      </c>
      <c r="U35" s="54">
        <v>0</v>
      </c>
      <c r="V35" s="54">
        <v>0</v>
      </c>
      <c r="W35" s="54">
        <v>6</v>
      </c>
      <c r="X35" s="54">
        <v>9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/>
      <c r="AE35" s="54"/>
      <c r="AF35" s="54"/>
      <c r="AG35" s="5">
        <f t="shared" si="2"/>
        <v>64</v>
      </c>
    </row>
    <row r="36" spans="1:33" ht="15.75" customHeight="1" x14ac:dyDescent="0.25">
      <c r="A36" s="56" t="s">
        <v>9</v>
      </c>
      <c r="B36" s="54">
        <v>7</v>
      </c>
      <c r="C36" s="54">
        <v>11</v>
      </c>
      <c r="D36" s="54">
        <v>0</v>
      </c>
      <c r="E36" s="54">
        <v>0</v>
      </c>
      <c r="F36" s="54">
        <v>0</v>
      </c>
      <c r="G36" s="54">
        <v>0</v>
      </c>
      <c r="H36" s="54">
        <v>0</v>
      </c>
      <c r="I36" s="54">
        <v>5</v>
      </c>
      <c r="J36" s="54">
        <v>10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7</v>
      </c>
      <c r="Q36" s="54">
        <v>14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4">
        <v>13</v>
      </c>
      <c r="X36" s="54">
        <v>5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/>
      <c r="AE36" s="54"/>
      <c r="AF36" s="54"/>
      <c r="AG36" s="5">
        <f t="shared" si="2"/>
        <v>72</v>
      </c>
    </row>
    <row r="37" spans="1:33" ht="15.75" customHeight="1" x14ac:dyDescent="0.25">
      <c r="A37" s="56" t="s">
        <v>10</v>
      </c>
      <c r="B37" s="54">
        <v>9</v>
      </c>
      <c r="C37" s="54">
        <v>13</v>
      </c>
      <c r="D37" s="54">
        <v>0</v>
      </c>
      <c r="E37" s="54">
        <v>0</v>
      </c>
      <c r="F37" s="54">
        <v>0</v>
      </c>
      <c r="G37" s="54">
        <v>0</v>
      </c>
      <c r="H37" s="54">
        <v>4</v>
      </c>
      <c r="I37" s="54">
        <v>11</v>
      </c>
      <c r="J37" s="54">
        <v>9</v>
      </c>
      <c r="K37" s="54">
        <v>0</v>
      </c>
      <c r="L37" s="54">
        <v>0</v>
      </c>
      <c r="M37" s="54">
        <v>0</v>
      </c>
      <c r="N37" s="54">
        <v>0</v>
      </c>
      <c r="O37" s="54">
        <v>6</v>
      </c>
      <c r="P37" s="54">
        <v>6</v>
      </c>
      <c r="Q37" s="54">
        <v>1</v>
      </c>
      <c r="R37" s="54">
        <v>0</v>
      </c>
      <c r="S37" s="54">
        <v>0</v>
      </c>
      <c r="T37" s="54">
        <v>0</v>
      </c>
      <c r="U37" s="54">
        <v>0</v>
      </c>
      <c r="V37" s="54">
        <v>2</v>
      </c>
      <c r="W37" s="54">
        <v>10</v>
      </c>
      <c r="X37" s="54">
        <v>10</v>
      </c>
      <c r="Y37" s="54">
        <v>0</v>
      </c>
      <c r="Z37" s="54">
        <v>0</v>
      </c>
      <c r="AA37" s="54">
        <v>0</v>
      </c>
      <c r="AB37" s="54">
        <v>0</v>
      </c>
      <c r="AC37" s="54">
        <v>6</v>
      </c>
      <c r="AD37" s="54"/>
      <c r="AE37" s="54"/>
      <c r="AF37" s="54"/>
      <c r="AG37" s="5">
        <f t="shared" si="2"/>
        <v>87</v>
      </c>
    </row>
    <row r="38" spans="1:33" ht="15.75" customHeight="1" x14ac:dyDescent="0.25">
      <c r="A38" s="56" t="s">
        <v>11</v>
      </c>
      <c r="B38" s="54">
        <v>6</v>
      </c>
      <c r="C38" s="54">
        <v>8</v>
      </c>
      <c r="D38" s="54">
        <v>10</v>
      </c>
      <c r="E38" s="54">
        <v>15</v>
      </c>
      <c r="F38" s="54">
        <v>5</v>
      </c>
      <c r="G38" s="54">
        <v>5</v>
      </c>
      <c r="H38" s="54">
        <v>10</v>
      </c>
      <c r="I38" s="54">
        <v>10</v>
      </c>
      <c r="J38" s="54">
        <v>12</v>
      </c>
      <c r="K38" s="54">
        <v>14</v>
      </c>
      <c r="L38" s="54">
        <v>8</v>
      </c>
      <c r="M38" s="54">
        <v>11</v>
      </c>
      <c r="N38" s="54">
        <v>7</v>
      </c>
      <c r="O38" s="54">
        <v>12</v>
      </c>
      <c r="P38" s="54">
        <v>7</v>
      </c>
      <c r="Q38" s="54">
        <v>18</v>
      </c>
      <c r="R38" s="54">
        <v>11</v>
      </c>
      <c r="S38" s="54">
        <v>4</v>
      </c>
      <c r="T38" s="54">
        <v>6</v>
      </c>
      <c r="U38" s="54">
        <v>8</v>
      </c>
      <c r="V38" s="54">
        <v>19</v>
      </c>
      <c r="W38" s="54">
        <v>12</v>
      </c>
      <c r="X38" s="54">
        <v>11</v>
      </c>
      <c r="Y38" s="54">
        <v>12</v>
      </c>
      <c r="Z38" s="54">
        <v>1</v>
      </c>
      <c r="AA38" s="54">
        <v>13</v>
      </c>
      <c r="AB38" s="54">
        <v>4</v>
      </c>
      <c r="AC38" s="54">
        <v>15</v>
      </c>
      <c r="AD38" s="54"/>
      <c r="AE38" s="54"/>
      <c r="AF38" s="54"/>
      <c r="AG38" s="5">
        <f t="shared" si="2"/>
        <v>274</v>
      </c>
    </row>
    <row r="39" spans="1:33" ht="15.75" customHeight="1" x14ac:dyDescent="0.25">
      <c r="A39" s="56" t="s">
        <v>12</v>
      </c>
      <c r="B39" s="54">
        <v>6</v>
      </c>
      <c r="C39" s="54">
        <v>8</v>
      </c>
      <c r="D39" s="54">
        <v>14</v>
      </c>
      <c r="E39" s="54">
        <v>16</v>
      </c>
      <c r="F39" s="54">
        <v>9</v>
      </c>
      <c r="G39" s="54">
        <v>14</v>
      </c>
      <c r="H39" s="54">
        <v>16</v>
      </c>
      <c r="I39" s="54">
        <v>9</v>
      </c>
      <c r="J39" s="54">
        <v>5</v>
      </c>
      <c r="K39" s="54">
        <v>19</v>
      </c>
      <c r="L39" s="54">
        <v>13</v>
      </c>
      <c r="M39" s="54">
        <v>16</v>
      </c>
      <c r="N39" s="54">
        <v>19</v>
      </c>
      <c r="O39" s="54">
        <v>15</v>
      </c>
      <c r="P39" s="54">
        <v>10</v>
      </c>
      <c r="Q39" s="54">
        <v>7</v>
      </c>
      <c r="R39" s="54">
        <v>19</v>
      </c>
      <c r="S39" s="54">
        <v>14</v>
      </c>
      <c r="T39" s="54">
        <v>13</v>
      </c>
      <c r="U39" s="54">
        <v>13</v>
      </c>
      <c r="V39" s="54">
        <v>19</v>
      </c>
      <c r="W39" s="54">
        <v>10</v>
      </c>
      <c r="X39" s="54">
        <v>10</v>
      </c>
      <c r="Y39" s="54">
        <v>20</v>
      </c>
      <c r="Z39" s="54">
        <v>1</v>
      </c>
      <c r="AA39" s="54">
        <v>15</v>
      </c>
      <c r="AB39" s="54">
        <v>10</v>
      </c>
      <c r="AC39" s="54">
        <v>12</v>
      </c>
      <c r="AD39" s="54"/>
      <c r="AE39" s="54"/>
      <c r="AF39" s="54"/>
      <c r="AG39" s="5">
        <f t="shared" si="2"/>
        <v>352</v>
      </c>
    </row>
    <row r="40" spans="1:33" ht="15.75" customHeight="1" x14ac:dyDescent="0.25">
      <c r="A40" s="56" t="s">
        <v>13</v>
      </c>
      <c r="B40" s="54">
        <v>12</v>
      </c>
      <c r="C40" s="54">
        <v>6</v>
      </c>
      <c r="D40" s="54">
        <v>13</v>
      </c>
      <c r="E40" s="54">
        <v>9</v>
      </c>
      <c r="F40" s="54">
        <v>15</v>
      </c>
      <c r="G40" s="54">
        <v>15</v>
      </c>
      <c r="H40" s="54">
        <v>18</v>
      </c>
      <c r="I40" s="54">
        <v>6</v>
      </c>
      <c r="J40" s="54">
        <v>7</v>
      </c>
      <c r="K40" s="54">
        <v>15</v>
      </c>
      <c r="L40" s="54">
        <v>19</v>
      </c>
      <c r="M40" s="54">
        <v>19</v>
      </c>
      <c r="N40" s="54">
        <v>13</v>
      </c>
      <c r="O40" s="54">
        <v>17</v>
      </c>
      <c r="P40" s="54">
        <v>7</v>
      </c>
      <c r="Q40" s="54">
        <v>12</v>
      </c>
      <c r="R40" s="54">
        <v>13</v>
      </c>
      <c r="S40" s="54">
        <v>12</v>
      </c>
      <c r="T40" s="54">
        <v>16</v>
      </c>
      <c r="U40" s="54">
        <v>21</v>
      </c>
      <c r="V40" s="54">
        <v>20</v>
      </c>
      <c r="W40" s="54">
        <v>10</v>
      </c>
      <c r="X40" s="54">
        <v>12</v>
      </c>
      <c r="Y40" s="54">
        <v>22</v>
      </c>
      <c r="Z40" s="54">
        <v>0</v>
      </c>
      <c r="AA40" s="54">
        <v>25</v>
      </c>
      <c r="AB40" s="54">
        <v>20</v>
      </c>
      <c r="AC40" s="54">
        <v>27</v>
      </c>
      <c r="AD40" s="54"/>
      <c r="AE40" s="54"/>
      <c r="AF40" s="54"/>
      <c r="AG40" s="5">
        <f t="shared" si="2"/>
        <v>401</v>
      </c>
    </row>
    <row r="41" spans="1:33" ht="15.75" customHeight="1" x14ac:dyDescent="0.25">
      <c r="A41" s="56" t="s">
        <v>14</v>
      </c>
      <c r="B41" s="54">
        <v>5</v>
      </c>
      <c r="C41" s="54">
        <v>9</v>
      </c>
      <c r="D41" s="54">
        <v>14</v>
      </c>
      <c r="E41" s="54">
        <v>13</v>
      </c>
      <c r="F41" s="54">
        <v>16</v>
      </c>
      <c r="G41" s="54">
        <v>16</v>
      </c>
      <c r="H41" s="54">
        <v>17</v>
      </c>
      <c r="I41" s="54">
        <v>7</v>
      </c>
      <c r="J41" s="54">
        <v>11</v>
      </c>
      <c r="K41" s="54">
        <v>15</v>
      </c>
      <c r="L41" s="54">
        <v>13</v>
      </c>
      <c r="M41" s="54">
        <v>16</v>
      </c>
      <c r="N41" s="54">
        <v>17</v>
      </c>
      <c r="O41" s="54">
        <v>13</v>
      </c>
      <c r="P41" s="54">
        <v>4</v>
      </c>
      <c r="Q41" s="54">
        <v>11</v>
      </c>
      <c r="R41" s="54">
        <v>13</v>
      </c>
      <c r="S41" s="54">
        <v>14</v>
      </c>
      <c r="T41" s="54">
        <v>14</v>
      </c>
      <c r="U41" s="54">
        <v>14</v>
      </c>
      <c r="V41" s="54">
        <v>17</v>
      </c>
      <c r="W41" s="54">
        <v>10</v>
      </c>
      <c r="X41" s="54">
        <v>13</v>
      </c>
      <c r="Y41" s="54">
        <v>17</v>
      </c>
      <c r="Z41" s="54">
        <v>0</v>
      </c>
      <c r="AA41" s="54">
        <v>15</v>
      </c>
      <c r="AB41" s="54">
        <v>14</v>
      </c>
      <c r="AC41" s="54">
        <v>10</v>
      </c>
      <c r="AD41" s="54"/>
      <c r="AE41" s="54"/>
      <c r="AF41" s="54"/>
      <c r="AG41" s="5">
        <f t="shared" si="2"/>
        <v>348</v>
      </c>
    </row>
    <row r="42" spans="1:33" ht="15.75" customHeight="1" x14ac:dyDescent="0.25">
      <c r="A42" s="56" t="s">
        <v>15</v>
      </c>
      <c r="B42" s="54">
        <v>6</v>
      </c>
      <c r="C42" s="54">
        <v>10</v>
      </c>
      <c r="D42" s="54">
        <v>11</v>
      </c>
      <c r="E42" s="54">
        <v>15</v>
      </c>
      <c r="F42" s="54">
        <v>17</v>
      </c>
      <c r="G42" s="54">
        <v>13</v>
      </c>
      <c r="H42" s="54">
        <v>12</v>
      </c>
      <c r="I42" s="54">
        <v>6</v>
      </c>
      <c r="J42" s="54">
        <v>5</v>
      </c>
      <c r="K42" s="54">
        <v>16</v>
      </c>
      <c r="L42" s="54">
        <v>9</v>
      </c>
      <c r="M42" s="54">
        <v>18</v>
      </c>
      <c r="N42" s="54">
        <v>11</v>
      </c>
      <c r="O42" s="54">
        <v>12</v>
      </c>
      <c r="P42" s="54">
        <v>11</v>
      </c>
      <c r="Q42" s="54">
        <v>9</v>
      </c>
      <c r="R42" s="54">
        <v>12</v>
      </c>
      <c r="S42" s="54">
        <v>14</v>
      </c>
      <c r="T42" s="54">
        <v>8</v>
      </c>
      <c r="U42" s="54">
        <v>16</v>
      </c>
      <c r="V42" s="54">
        <v>10</v>
      </c>
      <c r="W42" s="54">
        <v>8</v>
      </c>
      <c r="X42" s="54">
        <v>7</v>
      </c>
      <c r="Y42" s="54">
        <v>12</v>
      </c>
      <c r="Z42" s="54">
        <v>0</v>
      </c>
      <c r="AA42" s="54">
        <v>15</v>
      </c>
      <c r="AB42" s="54">
        <v>12</v>
      </c>
      <c r="AC42" s="54">
        <v>6</v>
      </c>
      <c r="AD42" s="54"/>
      <c r="AE42" s="54"/>
      <c r="AF42" s="54"/>
      <c r="AG42" s="5">
        <f t="shared" si="2"/>
        <v>301</v>
      </c>
    </row>
    <row r="43" spans="1:33" ht="15.75" customHeight="1" x14ac:dyDescent="0.25">
      <c r="A43" s="56" t="s">
        <v>16</v>
      </c>
      <c r="B43" s="54">
        <v>9</v>
      </c>
      <c r="C43" s="54">
        <v>8</v>
      </c>
      <c r="D43" s="54">
        <v>12</v>
      </c>
      <c r="E43" s="54">
        <v>10</v>
      </c>
      <c r="F43" s="54">
        <v>15</v>
      </c>
      <c r="G43" s="54">
        <v>7</v>
      </c>
      <c r="H43" s="54">
        <v>6</v>
      </c>
      <c r="I43" s="54">
        <v>7</v>
      </c>
      <c r="J43" s="54">
        <v>4</v>
      </c>
      <c r="K43" s="54">
        <v>13</v>
      </c>
      <c r="L43" s="54">
        <v>8</v>
      </c>
      <c r="M43" s="54">
        <v>17</v>
      </c>
      <c r="N43" s="54">
        <v>14</v>
      </c>
      <c r="O43" s="54">
        <v>8</v>
      </c>
      <c r="P43" s="54">
        <v>11</v>
      </c>
      <c r="Q43" s="54">
        <v>10</v>
      </c>
      <c r="R43" s="54">
        <v>8</v>
      </c>
      <c r="S43" s="54">
        <v>16</v>
      </c>
      <c r="T43" s="54">
        <v>10</v>
      </c>
      <c r="U43" s="54">
        <v>5</v>
      </c>
      <c r="V43" s="54">
        <v>6</v>
      </c>
      <c r="W43" s="54">
        <v>10</v>
      </c>
      <c r="X43" s="54">
        <v>9</v>
      </c>
      <c r="Y43" s="54">
        <v>11</v>
      </c>
      <c r="Z43" s="54">
        <v>0</v>
      </c>
      <c r="AA43" s="54">
        <v>15</v>
      </c>
      <c r="AB43" s="54">
        <v>8</v>
      </c>
      <c r="AC43" s="54">
        <v>4</v>
      </c>
      <c r="AD43" s="54"/>
      <c r="AE43" s="54"/>
      <c r="AF43" s="54"/>
      <c r="AG43" s="5">
        <f t="shared" si="2"/>
        <v>261</v>
      </c>
    </row>
    <row r="44" spans="1:33" ht="15.75" customHeight="1" x14ac:dyDescent="0.25">
      <c r="A44" s="56" t="s">
        <v>17</v>
      </c>
      <c r="B44" s="54">
        <v>10</v>
      </c>
      <c r="C44" s="54">
        <v>9</v>
      </c>
      <c r="D44" s="54">
        <v>7</v>
      </c>
      <c r="E44" s="54">
        <v>2</v>
      </c>
      <c r="F44" s="54">
        <v>9</v>
      </c>
      <c r="G44" s="54">
        <v>4</v>
      </c>
      <c r="H44" s="54">
        <v>5</v>
      </c>
      <c r="I44" s="54">
        <v>5</v>
      </c>
      <c r="J44" s="54">
        <v>9</v>
      </c>
      <c r="K44" s="54">
        <v>5</v>
      </c>
      <c r="L44" s="54">
        <v>9</v>
      </c>
      <c r="M44" s="54">
        <v>6</v>
      </c>
      <c r="N44" s="54">
        <v>4</v>
      </c>
      <c r="O44" s="54">
        <v>6</v>
      </c>
      <c r="P44" s="54">
        <v>5</v>
      </c>
      <c r="Q44" s="54">
        <v>12</v>
      </c>
      <c r="R44" s="54">
        <v>10</v>
      </c>
      <c r="S44" s="54">
        <v>6</v>
      </c>
      <c r="T44" s="54">
        <v>7</v>
      </c>
      <c r="U44" s="54">
        <v>1</v>
      </c>
      <c r="V44" s="54">
        <v>5</v>
      </c>
      <c r="W44" s="54">
        <v>6</v>
      </c>
      <c r="X44" s="54">
        <v>9</v>
      </c>
      <c r="Y44" s="54">
        <v>6</v>
      </c>
      <c r="Z44" s="54">
        <v>0</v>
      </c>
      <c r="AA44" s="54">
        <v>9</v>
      </c>
      <c r="AB44" s="54">
        <v>5</v>
      </c>
      <c r="AC44" s="54">
        <v>5</v>
      </c>
      <c r="AD44" s="54"/>
      <c r="AE44" s="54"/>
      <c r="AF44" s="54"/>
      <c r="AG44" s="5">
        <f t="shared" si="2"/>
        <v>176</v>
      </c>
    </row>
    <row r="45" spans="1:33" ht="15.75" customHeight="1" x14ac:dyDescent="0.25">
      <c r="A45" s="56" t="s">
        <v>18</v>
      </c>
      <c r="B45" s="54">
        <v>7</v>
      </c>
      <c r="C45" s="54">
        <v>1</v>
      </c>
      <c r="D45" s="54">
        <v>15</v>
      </c>
      <c r="E45" s="54">
        <v>4</v>
      </c>
      <c r="F45" s="54">
        <v>10</v>
      </c>
      <c r="G45" s="54">
        <v>6</v>
      </c>
      <c r="H45" s="54">
        <v>6</v>
      </c>
      <c r="I45" s="54">
        <v>7</v>
      </c>
      <c r="J45" s="54">
        <v>3</v>
      </c>
      <c r="K45" s="54">
        <v>6</v>
      </c>
      <c r="L45" s="54">
        <v>8</v>
      </c>
      <c r="M45" s="54">
        <v>3</v>
      </c>
      <c r="N45" s="54">
        <v>3</v>
      </c>
      <c r="O45" s="54">
        <v>4</v>
      </c>
      <c r="P45" s="54">
        <v>0</v>
      </c>
      <c r="Q45" s="54">
        <v>7</v>
      </c>
      <c r="R45" s="54">
        <v>11</v>
      </c>
      <c r="S45" s="54">
        <v>5</v>
      </c>
      <c r="T45" s="54">
        <v>13</v>
      </c>
      <c r="U45" s="54">
        <v>9</v>
      </c>
      <c r="V45" s="54">
        <v>7</v>
      </c>
      <c r="W45" s="54">
        <v>2</v>
      </c>
      <c r="X45" s="54">
        <v>4</v>
      </c>
      <c r="Y45" s="54">
        <v>11</v>
      </c>
      <c r="Z45" s="54">
        <v>0</v>
      </c>
      <c r="AA45" s="54">
        <v>10</v>
      </c>
      <c r="AB45" s="54">
        <v>7</v>
      </c>
      <c r="AC45" s="54">
        <v>3</v>
      </c>
      <c r="AD45" s="54"/>
      <c r="AE45" s="54"/>
      <c r="AF45" s="54"/>
      <c r="AG45" s="5">
        <f t="shared" si="2"/>
        <v>172</v>
      </c>
    </row>
    <row r="46" spans="1:33" ht="15.75" customHeight="1" x14ac:dyDescent="0.25">
      <c r="A46" s="56" t="s">
        <v>19</v>
      </c>
      <c r="B46" s="54">
        <v>6</v>
      </c>
      <c r="C46" s="54">
        <v>3</v>
      </c>
      <c r="D46" s="54">
        <v>14</v>
      </c>
      <c r="E46" s="54">
        <v>7</v>
      </c>
      <c r="F46" s="54">
        <v>10</v>
      </c>
      <c r="G46" s="54">
        <v>6</v>
      </c>
      <c r="H46" s="54">
        <v>4</v>
      </c>
      <c r="I46" s="54">
        <v>5</v>
      </c>
      <c r="J46" s="54">
        <v>5</v>
      </c>
      <c r="K46" s="54">
        <v>3</v>
      </c>
      <c r="L46" s="54">
        <v>12</v>
      </c>
      <c r="M46" s="54">
        <v>1</v>
      </c>
      <c r="N46" s="54">
        <v>5</v>
      </c>
      <c r="O46" s="54">
        <v>0</v>
      </c>
      <c r="P46" s="54">
        <v>2</v>
      </c>
      <c r="Q46" s="54">
        <v>1</v>
      </c>
      <c r="R46" s="54">
        <v>14</v>
      </c>
      <c r="S46" s="54">
        <v>0</v>
      </c>
      <c r="T46" s="54">
        <v>10</v>
      </c>
      <c r="U46" s="54">
        <v>11</v>
      </c>
      <c r="V46" s="54">
        <v>2</v>
      </c>
      <c r="W46" s="54">
        <v>5</v>
      </c>
      <c r="X46" s="54">
        <v>1</v>
      </c>
      <c r="Y46" s="54">
        <v>13</v>
      </c>
      <c r="Z46" s="54">
        <v>2</v>
      </c>
      <c r="AA46" s="54">
        <v>1</v>
      </c>
      <c r="AB46" s="54">
        <v>11</v>
      </c>
      <c r="AC46" s="54">
        <v>0</v>
      </c>
      <c r="AD46" s="54"/>
      <c r="AE46" s="54"/>
      <c r="AF46" s="54"/>
      <c r="AG46" s="5">
        <f t="shared" si="2"/>
        <v>154</v>
      </c>
    </row>
    <row r="47" spans="1:33" ht="15.75" customHeight="1" x14ac:dyDescent="0.25">
      <c r="A47" s="56" t="s">
        <v>20</v>
      </c>
      <c r="B47" s="54">
        <v>3</v>
      </c>
      <c r="C47" s="54">
        <v>3</v>
      </c>
      <c r="D47" s="54">
        <v>6</v>
      </c>
      <c r="E47" s="54">
        <v>6</v>
      </c>
      <c r="F47" s="54">
        <v>2</v>
      </c>
      <c r="G47" s="54">
        <v>1</v>
      </c>
      <c r="H47" s="54">
        <v>3</v>
      </c>
      <c r="I47" s="54">
        <v>4</v>
      </c>
      <c r="J47" s="54">
        <v>8</v>
      </c>
      <c r="K47" s="54">
        <v>3</v>
      </c>
      <c r="L47" s="54">
        <v>11</v>
      </c>
      <c r="M47" s="54">
        <v>4</v>
      </c>
      <c r="N47" s="54">
        <v>5</v>
      </c>
      <c r="O47" s="54">
        <v>0</v>
      </c>
      <c r="P47" s="54">
        <v>1</v>
      </c>
      <c r="Q47" s="54">
        <v>2</v>
      </c>
      <c r="R47" s="54">
        <v>9</v>
      </c>
      <c r="S47" s="54">
        <v>0</v>
      </c>
      <c r="T47" s="54">
        <v>2</v>
      </c>
      <c r="U47" s="54">
        <v>3</v>
      </c>
      <c r="V47" s="54">
        <v>5</v>
      </c>
      <c r="W47" s="54">
        <v>2</v>
      </c>
      <c r="X47" s="54">
        <v>2</v>
      </c>
      <c r="Y47" s="54">
        <v>7</v>
      </c>
      <c r="Z47" s="54">
        <v>10</v>
      </c>
      <c r="AA47" s="54">
        <v>0</v>
      </c>
      <c r="AB47" s="54">
        <v>9</v>
      </c>
      <c r="AC47" s="54">
        <v>0</v>
      </c>
      <c r="AD47" s="54"/>
      <c r="AE47" s="54"/>
      <c r="AF47" s="54"/>
      <c r="AG47" s="5">
        <f t="shared" si="2"/>
        <v>111</v>
      </c>
    </row>
    <row r="48" spans="1:33" ht="15.75" customHeight="1" x14ac:dyDescent="0.25">
      <c r="A48" s="56" t="s">
        <v>21</v>
      </c>
      <c r="B48" s="54">
        <v>3</v>
      </c>
      <c r="C48" s="54">
        <v>3</v>
      </c>
      <c r="D48" s="54">
        <v>4</v>
      </c>
      <c r="E48" s="54">
        <v>4</v>
      </c>
      <c r="F48" s="54">
        <v>1</v>
      </c>
      <c r="G48" s="54">
        <v>1</v>
      </c>
      <c r="H48" s="54">
        <v>4</v>
      </c>
      <c r="I48" s="54">
        <v>2</v>
      </c>
      <c r="J48" s="54">
        <v>1</v>
      </c>
      <c r="K48" s="54">
        <v>0</v>
      </c>
      <c r="L48" s="54">
        <v>1</v>
      </c>
      <c r="M48" s="54">
        <v>4</v>
      </c>
      <c r="N48" s="54">
        <v>2</v>
      </c>
      <c r="O48" s="54">
        <v>0</v>
      </c>
      <c r="P48" s="54">
        <v>2</v>
      </c>
      <c r="Q48" s="54">
        <v>1</v>
      </c>
      <c r="R48" s="54">
        <v>3</v>
      </c>
      <c r="S48" s="54">
        <v>5</v>
      </c>
      <c r="T48" s="54">
        <v>2</v>
      </c>
      <c r="U48" s="54">
        <v>1</v>
      </c>
      <c r="V48" s="54">
        <v>0</v>
      </c>
      <c r="W48" s="54">
        <v>2</v>
      </c>
      <c r="X48" s="54">
        <v>2</v>
      </c>
      <c r="Y48" s="54">
        <v>1</v>
      </c>
      <c r="Z48" s="54">
        <v>3</v>
      </c>
      <c r="AA48" s="54">
        <v>0</v>
      </c>
      <c r="AB48" s="54">
        <v>10</v>
      </c>
      <c r="AC48" s="54">
        <v>0</v>
      </c>
      <c r="AD48" s="54"/>
      <c r="AE48" s="54"/>
      <c r="AF48" s="54"/>
      <c r="AG48" s="5">
        <f t="shared" si="2"/>
        <v>62</v>
      </c>
    </row>
    <row r="49" spans="1:33" ht="15.75" customHeight="1" x14ac:dyDescent="0.25">
      <c r="A49" s="56" t="s">
        <v>22</v>
      </c>
      <c r="B49" s="54">
        <v>3</v>
      </c>
      <c r="C49" s="54">
        <v>1</v>
      </c>
      <c r="D49" s="54">
        <v>1</v>
      </c>
      <c r="E49" s="54">
        <v>2</v>
      </c>
      <c r="F49" s="54">
        <v>1</v>
      </c>
      <c r="G49" s="54">
        <v>1</v>
      </c>
      <c r="H49" s="54">
        <v>2</v>
      </c>
      <c r="I49" s="54">
        <v>0</v>
      </c>
      <c r="J49" s="54">
        <v>1</v>
      </c>
      <c r="K49" s="54">
        <v>2</v>
      </c>
      <c r="L49" s="54">
        <v>1</v>
      </c>
      <c r="M49" s="54">
        <v>2</v>
      </c>
      <c r="N49" s="54">
        <v>0</v>
      </c>
      <c r="O49" s="54">
        <v>2</v>
      </c>
      <c r="P49" s="54">
        <v>0</v>
      </c>
      <c r="Q49" s="54">
        <v>2</v>
      </c>
      <c r="R49" s="54">
        <v>0</v>
      </c>
      <c r="S49" s="54">
        <v>0</v>
      </c>
      <c r="T49" s="54">
        <v>5</v>
      </c>
      <c r="U49" s="54">
        <v>1</v>
      </c>
      <c r="V49" s="54">
        <v>0</v>
      </c>
      <c r="W49" s="54">
        <v>1</v>
      </c>
      <c r="X49" s="54">
        <v>1</v>
      </c>
      <c r="Y49" s="54">
        <v>2</v>
      </c>
      <c r="Z49" s="54">
        <v>3</v>
      </c>
      <c r="AA49" s="54">
        <v>1</v>
      </c>
      <c r="AB49" s="54">
        <v>9</v>
      </c>
      <c r="AC49" s="54">
        <v>1</v>
      </c>
      <c r="AD49" s="54"/>
      <c r="AE49" s="54"/>
      <c r="AF49" s="54"/>
      <c r="AG49" s="5">
        <f t="shared" si="2"/>
        <v>45</v>
      </c>
    </row>
    <row r="50" spans="1:33" ht="15.75" customHeight="1" x14ac:dyDescent="0.25">
      <c r="A50" s="56" t="s">
        <v>23</v>
      </c>
      <c r="B50" s="54">
        <v>0</v>
      </c>
      <c r="C50" s="54">
        <v>2</v>
      </c>
      <c r="D50" s="54">
        <v>0</v>
      </c>
      <c r="E50" s="54">
        <v>2</v>
      </c>
      <c r="F50" s="54">
        <v>1</v>
      </c>
      <c r="G50" s="54">
        <v>0</v>
      </c>
      <c r="H50" s="54">
        <v>2</v>
      </c>
      <c r="I50" s="54">
        <v>2</v>
      </c>
      <c r="J50" s="54">
        <v>1</v>
      </c>
      <c r="K50" s="54">
        <v>1</v>
      </c>
      <c r="L50" s="54">
        <v>1</v>
      </c>
      <c r="M50" s="54">
        <v>3</v>
      </c>
      <c r="N50" s="54">
        <v>4</v>
      </c>
      <c r="O50" s="54">
        <v>0</v>
      </c>
      <c r="P50" s="54">
        <v>1</v>
      </c>
      <c r="Q50" s="54">
        <v>1</v>
      </c>
      <c r="R50" s="54">
        <v>2</v>
      </c>
      <c r="S50" s="54">
        <v>0</v>
      </c>
      <c r="T50" s="54">
        <v>0</v>
      </c>
      <c r="U50" s="54">
        <v>1</v>
      </c>
      <c r="V50" s="54">
        <v>2</v>
      </c>
      <c r="W50" s="54">
        <v>0</v>
      </c>
      <c r="X50" s="54">
        <v>2</v>
      </c>
      <c r="Y50" s="54">
        <v>2</v>
      </c>
      <c r="Z50" s="54">
        <v>0</v>
      </c>
      <c r="AA50" s="54">
        <v>0</v>
      </c>
      <c r="AB50" s="54">
        <v>7</v>
      </c>
      <c r="AC50" s="54">
        <v>1</v>
      </c>
      <c r="AD50" s="54"/>
      <c r="AE50" s="54"/>
      <c r="AF50" s="54"/>
      <c r="AG50" s="5">
        <f t="shared" si="2"/>
        <v>38</v>
      </c>
    </row>
    <row r="51" spans="1:33" ht="15.75" customHeight="1" x14ac:dyDescent="0.25">
      <c r="A51" s="56" t="s">
        <v>24</v>
      </c>
      <c r="B51" s="54">
        <v>0</v>
      </c>
      <c r="C51" s="54">
        <v>0</v>
      </c>
      <c r="D51" s="54">
        <v>0</v>
      </c>
      <c r="E51" s="54">
        <v>3</v>
      </c>
      <c r="F51" s="54">
        <v>1</v>
      </c>
      <c r="G51" s="54">
        <v>3</v>
      </c>
      <c r="H51" s="54">
        <v>1</v>
      </c>
      <c r="I51" s="54">
        <v>2</v>
      </c>
      <c r="J51" s="54">
        <v>0</v>
      </c>
      <c r="K51" s="54">
        <v>3</v>
      </c>
      <c r="L51" s="54">
        <v>0</v>
      </c>
      <c r="M51" s="54">
        <v>0</v>
      </c>
      <c r="N51" s="54">
        <v>2</v>
      </c>
      <c r="O51" s="54">
        <v>0</v>
      </c>
      <c r="P51" s="54">
        <v>3</v>
      </c>
      <c r="Q51" s="54">
        <v>0</v>
      </c>
      <c r="R51" s="54">
        <v>1</v>
      </c>
      <c r="S51" s="54">
        <v>3</v>
      </c>
      <c r="T51" s="54">
        <v>0</v>
      </c>
      <c r="U51" s="54">
        <v>1</v>
      </c>
      <c r="V51" s="54">
        <v>1</v>
      </c>
      <c r="W51" s="54">
        <v>0</v>
      </c>
      <c r="X51" s="54">
        <v>0</v>
      </c>
      <c r="Y51" s="54">
        <v>2</v>
      </c>
      <c r="Z51" s="54">
        <v>3</v>
      </c>
      <c r="AA51" s="54">
        <v>0</v>
      </c>
      <c r="AB51" s="54">
        <v>2</v>
      </c>
      <c r="AC51" s="54">
        <v>4</v>
      </c>
      <c r="AD51" s="54"/>
      <c r="AE51" s="54"/>
      <c r="AF51" s="54"/>
      <c r="AG51" s="5">
        <f t="shared" si="2"/>
        <v>35</v>
      </c>
    </row>
    <row r="52" spans="1:33" ht="15.75" customHeight="1" thickBot="1" x14ac:dyDescent="0.3">
      <c r="A52" s="57" t="s">
        <v>25</v>
      </c>
      <c r="B52" s="58">
        <v>0</v>
      </c>
      <c r="C52" s="58">
        <v>0</v>
      </c>
      <c r="D52" s="58">
        <v>1</v>
      </c>
      <c r="E52" s="58">
        <v>0</v>
      </c>
      <c r="F52" s="58">
        <v>0</v>
      </c>
      <c r="G52" s="58">
        <v>1</v>
      </c>
      <c r="H52" s="58">
        <v>1</v>
      </c>
      <c r="I52" s="58">
        <v>2</v>
      </c>
      <c r="J52" s="58">
        <v>2</v>
      </c>
      <c r="K52" s="58">
        <v>0</v>
      </c>
      <c r="L52" s="58">
        <v>1</v>
      </c>
      <c r="M52" s="58">
        <v>1</v>
      </c>
      <c r="N52" s="58">
        <v>0</v>
      </c>
      <c r="O52" s="58">
        <v>2</v>
      </c>
      <c r="P52" s="58">
        <v>1</v>
      </c>
      <c r="Q52" s="58">
        <v>0</v>
      </c>
      <c r="R52" s="58">
        <v>0</v>
      </c>
      <c r="S52" s="58">
        <v>1</v>
      </c>
      <c r="T52" s="58">
        <v>0</v>
      </c>
      <c r="U52" s="58">
        <v>0</v>
      </c>
      <c r="V52" s="58">
        <v>0</v>
      </c>
      <c r="W52" s="58">
        <v>1</v>
      </c>
      <c r="X52" s="58">
        <v>1</v>
      </c>
      <c r="Y52" s="58">
        <v>0</v>
      </c>
      <c r="Z52" s="58">
        <v>0</v>
      </c>
      <c r="AA52" s="58">
        <v>0</v>
      </c>
      <c r="AB52" s="58">
        <v>0</v>
      </c>
      <c r="AC52" s="58">
        <v>0</v>
      </c>
      <c r="AD52" s="60"/>
      <c r="AE52" s="60"/>
      <c r="AF52" s="60"/>
      <c r="AG52" s="9">
        <f t="shared" si="2"/>
        <v>15</v>
      </c>
    </row>
    <row r="53" spans="1:33" ht="15.75" customHeight="1" thickBot="1" x14ac:dyDescent="0.3">
      <c r="A53" s="52" t="s">
        <v>27</v>
      </c>
      <c r="B53" s="1">
        <f t="shared" ref="B53:AF53" si="4">SUM(B54:B77)</f>
        <v>6</v>
      </c>
      <c r="C53" s="1">
        <f t="shared" si="4"/>
        <v>4</v>
      </c>
      <c r="D53" s="1">
        <f t="shared" si="4"/>
        <v>22</v>
      </c>
      <c r="E53" s="1">
        <f t="shared" si="4"/>
        <v>6</v>
      </c>
      <c r="F53" s="1">
        <f t="shared" si="4"/>
        <v>16</v>
      </c>
      <c r="G53" s="1">
        <f t="shared" si="4"/>
        <v>6</v>
      </c>
      <c r="H53" s="1">
        <f t="shared" si="4"/>
        <v>7</v>
      </c>
      <c r="I53" s="1">
        <f t="shared" si="4"/>
        <v>1</v>
      </c>
      <c r="J53" s="1">
        <f t="shared" si="4"/>
        <v>3</v>
      </c>
      <c r="K53" s="1">
        <f t="shared" si="4"/>
        <v>2</v>
      </c>
      <c r="L53" s="1">
        <f t="shared" si="4"/>
        <v>21</v>
      </c>
      <c r="M53" s="1">
        <f t="shared" si="4"/>
        <v>9</v>
      </c>
      <c r="N53" s="1">
        <f t="shared" si="4"/>
        <v>6</v>
      </c>
      <c r="O53" s="1">
        <f t="shared" si="4"/>
        <v>5</v>
      </c>
      <c r="P53" s="1">
        <f t="shared" si="4"/>
        <v>0</v>
      </c>
      <c r="Q53" s="1">
        <f t="shared" si="4"/>
        <v>0</v>
      </c>
      <c r="R53" s="1">
        <f t="shared" si="4"/>
        <v>19</v>
      </c>
      <c r="S53" s="1">
        <f t="shared" si="4"/>
        <v>10</v>
      </c>
      <c r="T53" s="1">
        <f t="shared" si="4"/>
        <v>21</v>
      </c>
      <c r="U53" s="1">
        <f t="shared" si="4"/>
        <v>14</v>
      </c>
      <c r="V53" s="1">
        <f t="shared" si="4"/>
        <v>5</v>
      </c>
      <c r="W53" s="1">
        <f t="shared" si="4"/>
        <v>3</v>
      </c>
      <c r="X53" s="1">
        <f t="shared" si="4"/>
        <v>7</v>
      </c>
      <c r="Y53" s="1">
        <f t="shared" si="4"/>
        <v>10</v>
      </c>
      <c r="Z53" s="1">
        <f t="shared" si="4"/>
        <v>16</v>
      </c>
      <c r="AA53" s="1">
        <f t="shared" si="4"/>
        <v>6</v>
      </c>
      <c r="AB53" s="1">
        <f t="shared" si="4"/>
        <v>12</v>
      </c>
      <c r="AC53" s="1">
        <f t="shared" si="4"/>
        <v>5</v>
      </c>
      <c r="AD53" s="1">
        <f t="shared" si="4"/>
        <v>0</v>
      </c>
      <c r="AE53" s="1">
        <f t="shared" si="4"/>
        <v>0</v>
      </c>
      <c r="AF53" s="1">
        <f t="shared" si="4"/>
        <v>0</v>
      </c>
      <c r="AG53" s="10">
        <f t="shared" si="2"/>
        <v>242</v>
      </c>
    </row>
    <row r="54" spans="1:33" ht="15.75" customHeight="1" x14ac:dyDescent="0.25">
      <c r="A54" s="56" t="s">
        <v>2</v>
      </c>
      <c r="B54" s="54">
        <v>1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/>
      <c r="AE54" s="55"/>
      <c r="AF54" s="55"/>
      <c r="AG54" s="4">
        <f t="shared" si="2"/>
        <v>1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/>
      <c r="AE55" s="54"/>
      <c r="AF55" s="54"/>
      <c r="AG55" s="5">
        <f t="shared" si="2"/>
        <v>0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1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1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/>
      <c r="AE56" s="54"/>
      <c r="AF56" s="54"/>
      <c r="AG56" s="5">
        <f t="shared" si="2"/>
        <v>2</v>
      </c>
    </row>
    <row r="57" spans="1:33" ht="15.75" customHeight="1" x14ac:dyDescent="0.25">
      <c r="A57" s="56" t="s">
        <v>5</v>
      </c>
      <c r="B57" s="54">
        <v>0</v>
      </c>
      <c r="C57" s="54">
        <v>1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/>
      <c r="AE57" s="54"/>
      <c r="AF57" s="54"/>
      <c r="AG57" s="5">
        <f t="shared" si="2"/>
        <v>1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1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/>
      <c r="AE58" s="54"/>
      <c r="AF58" s="54"/>
      <c r="AG58" s="5">
        <f t="shared" si="2"/>
        <v>1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1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/>
      <c r="AE59" s="54"/>
      <c r="AF59" s="54"/>
      <c r="AG59" s="5">
        <f t="shared" si="2"/>
        <v>1</v>
      </c>
    </row>
    <row r="60" spans="1:33" ht="15.75" customHeight="1" x14ac:dyDescent="0.25">
      <c r="A60" s="56" t="s">
        <v>8</v>
      </c>
      <c r="B60" s="54">
        <v>0</v>
      </c>
      <c r="C60" s="54">
        <v>1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1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/>
      <c r="AE60" s="54"/>
      <c r="AF60" s="54"/>
      <c r="AG60" s="5">
        <f t="shared" si="2"/>
        <v>2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/>
      <c r="AE61" s="54"/>
      <c r="AF61" s="54"/>
      <c r="AG61" s="5">
        <f t="shared" si="2"/>
        <v>0</v>
      </c>
    </row>
    <row r="62" spans="1:33" ht="15.75" customHeight="1" x14ac:dyDescent="0.25">
      <c r="A62" s="56" t="s">
        <v>10</v>
      </c>
      <c r="B62" s="54">
        <v>1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1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4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/>
      <c r="AE62" s="54"/>
      <c r="AF62" s="54"/>
      <c r="AG62" s="5">
        <f t="shared" si="2"/>
        <v>6</v>
      </c>
    </row>
    <row r="63" spans="1:33" ht="15.75" customHeight="1" x14ac:dyDescent="0.25">
      <c r="A63" s="56" t="s">
        <v>11</v>
      </c>
      <c r="B63" s="54">
        <v>1</v>
      </c>
      <c r="C63" s="54">
        <v>0</v>
      </c>
      <c r="D63" s="54">
        <v>0</v>
      </c>
      <c r="E63" s="54">
        <v>1</v>
      </c>
      <c r="F63" s="54">
        <v>2</v>
      </c>
      <c r="G63" s="54">
        <v>0</v>
      </c>
      <c r="H63" s="54">
        <v>1</v>
      </c>
      <c r="I63" s="54">
        <v>0</v>
      </c>
      <c r="J63" s="54">
        <v>0</v>
      </c>
      <c r="K63" s="54">
        <v>0</v>
      </c>
      <c r="L63" s="54">
        <v>0</v>
      </c>
      <c r="M63" s="54">
        <v>2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54">
        <v>2</v>
      </c>
      <c r="T63" s="54">
        <v>1</v>
      </c>
      <c r="U63" s="54">
        <v>0</v>
      </c>
      <c r="V63" s="54">
        <v>0</v>
      </c>
      <c r="W63" s="54">
        <v>0</v>
      </c>
      <c r="X63" s="54">
        <v>1</v>
      </c>
      <c r="Y63" s="54">
        <v>0</v>
      </c>
      <c r="Z63" s="54">
        <v>4</v>
      </c>
      <c r="AA63" s="54">
        <v>1</v>
      </c>
      <c r="AB63" s="54">
        <v>0</v>
      </c>
      <c r="AC63" s="54">
        <v>0</v>
      </c>
      <c r="AD63" s="54"/>
      <c r="AE63" s="54"/>
      <c r="AF63" s="54"/>
      <c r="AG63" s="5">
        <f t="shared" si="2"/>
        <v>16</v>
      </c>
    </row>
    <row r="64" spans="1:33" ht="15.75" customHeight="1" x14ac:dyDescent="0.25">
      <c r="A64" s="56" t="s">
        <v>12</v>
      </c>
      <c r="B64" s="54">
        <v>0</v>
      </c>
      <c r="C64" s="54">
        <v>0</v>
      </c>
      <c r="D64" s="54">
        <v>0</v>
      </c>
      <c r="E64" s="54">
        <v>0</v>
      </c>
      <c r="F64" s="54">
        <v>1</v>
      </c>
      <c r="G64" s="54">
        <v>1</v>
      </c>
      <c r="H64" s="54">
        <v>0</v>
      </c>
      <c r="I64" s="54">
        <v>0</v>
      </c>
      <c r="J64" s="54">
        <v>0</v>
      </c>
      <c r="K64" s="54">
        <v>0</v>
      </c>
      <c r="L64" s="54">
        <v>2</v>
      </c>
      <c r="M64" s="54">
        <v>2</v>
      </c>
      <c r="N64" s="54">
        <v>1</v>
      </c>
      <c r="O64" s="54">
        <v>2</v>
      </c>
      <c r="P64" s="54">
        <v>0</v>
      </c>
      <c r="Q64" s="54">
        <v>0</v>
      </c>
      <c r="R64" s="54">
        <v>1</v>
      </c>
      <c r="S64" s="54">
        <v>0</v>
      </c>
      <c r="T64" s="54">
        <v>0</v>
      </c>
      <c r="U64" s="54">
        <v>0</v>
      </c>
      <c r="V64" s="54">
        <v>0</v>
      </c>
      <c r="W64" s="54">
        <v>1</v>
      </c>
      <c r="X64" s="54">
        <v>0</v>
      </c>
      <c r="Y64" s="54">
        <v>0</v>
      </c>
      <c r="Z64" s="54">
        <v>0</v>
      </c>
      <c r="AA64" s="54">
        <v>0</v>
      </c>
      <c r="AB64" s="54">
        <v>0</v>
      </c>
      <c r="AC64" s="54">
        <v>0</v>
      </c>
      <c r="AD64" s="54"/>
      <c r="AE64" s="54"/>
      <c r="AF64" s="54"/>
      <c r="AG64" s="5">
        <f t="shared" si="2"/>
        <v>11</v>
      </c>
    </row>
    <row r="65" spans="1:33" ht="15.75" customHeight="1" x14ac:dyDescent="0.25">
      <c r="A65" s="56" t="s">
        <v>13</v>
      </c>
      <c r="B65" s="54">
        <v>1</v>
      </c>
      <c r="C65" s="54">
        <v>1</v>
      </c>
      <c r="D65" s="54">
        <v>1</v>
      </c>
      <c r="E65" s="54">
        <v>0</v>
      </c>
      <c r="F65" s="54">
        <v>0</v>
      </c>
      <c r="G65" s="54">
        <v>3</v>
      </c>
      <c r="H65" s="54">
        <v>0</v>
      </c>
      <c r="I65" s="54">
        <v>0</v>
      </c>
      <c r="J65" s="54">
        <v>0</v>
      </c>
      <c r="K65" s="54">
        <v>0</v>
      </c>
      <c r="L65" s="54">
        <v>3</v>
      </c>
      <c r="M65" s="54">
        <v>0</v>
      </c>
      <c r="N65" s="54">
        <v>2</v>
      </c>
      <c r="O65" s="54">
        <v>1</v>
      </c>
      <c r="P65" s="54">
        <v>0</v>
      </c>
      <c r="Q65" s="54">
        <v>0</v>
      </c>
      <c r="R65" s="54">
        <v>0</v>
      </c>
      <c r="S65" s="54">
        <v>0</v>
      </c>
      <c r="T65" s="54">
        <v>1</v>
      </c>
      <c r="U65" s="54">
        <v>3</v>
      </c>
      <c r="V65" s="54">
        <v>3</v>
      </c>
      <c r="W65" s="54">
        <v>0</v>
      </c>
      <c r="X65" s="54">
        <v>0</v>
      </c>
      <c r="Y65" s="54">
        <v>3</v>
      </c>
      <c r="Z65" s="54">
        <v>1</v>
      </c>
      <c r="AA65" s="54">
        <v>2</v>
      </c>
      <c r="AB65" s="54">
        <v>2</v>
      </c>
      <c r="AC65" s="54">
        <v>2</v>
      </c>
      <c r="AD65" s="54"/>
      <c r="AE65" s="54"/>
      <c r="AF65" s="54"/>
      <c r="AG65" s="5">
        <f t="shared" si="2"/>
        <v>29</v>
      </c>
    </row>
    <row r="66" spans="1:33" ht="15.75" customHeight="1" x14ac:dyDescent="0.25">
      <c r="A66" s="56" t="s">
        <v>14</v>
      </c>
      <c r="B66" s="54">
        <v>0</v>
      </c>
      <c r="C66" s="54">
        <v>0</v>
      </c>
      <c r="D66" s="54">
        <v>1</v>
      </c>
      <c r="E66" s="54">
        <v>1</v>
      </c>
      <c r="F66" s="54">
        <v>1</v>
      </c>
      <c r="G66" s="54">
        <v>1</v>
      </c>
      <c r="H66" s="54">
        <v>2</v>
      </c>
      <c r="I66" s="54">
        <v>0</v>
      </c>
      <c r="J66" s="54">
        <v>1</v>
      </c>
      <c r="K66" s="54">
        <v>1</v>
      </c>
      <c r="L66" s="54">
        <v>1</v>
      </c>
      <c r="M66" s="54">
        <v>0</v>
      </c>
      <c r="N66" s="54">
        <v>0</v>
      </c>
      <c r="O66" s="54">
        <v>0</v>
      </c>
      <c r="P66" s="54">
        <v>0</v>
      </c>
      <c r="Q66" s="54">
        <v>0</v>
      </c>
      <c r="R66" s="54">
        <v>3</v>
      </c>
      <c r="S66" s="54">
        <v>0</v>
      </c>
      <c r="T66" s="54">
        <v>0</v>
      </c>
      <c r="U66" s="54">
        <v>1</v>
      </c>
      <c r="V66" s="54">
        <v>1</v>
      </c>
      <c r="W66" s="54">
        <v>0</v>
      </c>
      <c r="X66" s="54">
        <v>0</v>
      </c>
      <c r="Y66" s="54">
        <v>2</v>
      </c>
      <c r="Z66" s="54">
        <v>0</v>
      </c>
      <c r="AA66" s="54">
        <v>0</v>
      </c>
      <c r="AB66" s="54">
        <v>1</v>
      </c>
      <c r="AC66" s="54">
        <v>0</v>
      </c>
      <c r="AD66" s="54"/>
      <c r="AE66" s="54"/>
      <c r="AF66" s="54"/>
      <c r="AG66" s="5">
        <f t="shared" si="2"/>
        <v>17</v>
      </c>
    </row>
    <row r="67" spans="1:33" ht="15.75" customHeight="1" x14ac:dyDescent="0.25">
      <c r="A67" s="56" t="s">
        <v>15</v>
      </c>
      <c r="B67" s="54">
        <v>0</v>
      </c>
      <c r="C67" s="54">
        <v>0</v>
      </c>
      <c r="D67" s="54">
        <v>0</v>
      </c>
      <c r="E67" s="54">
        <v>1</v>
      </c>
      <c r="F67" s="54">
        <v>3</v>
      </c>
      <c r="G67" s="54">
        <v>0</v>
      </c>
      <c r="H67" s="54">
        <v>0</v>
      </c>
      <c r="I67" s="54">
        <v>0</v>
      </c>
      <c r="J67" s="54">
        <v>0</v>
      </c>
      <c r="K67" s="54">
        <v>0</v>
      </c>
      <c r="L67" s="54">
        <v>4</v>
      </c>
      <c r="M67" s="54">
        <v>2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54">
        <v>5</v>
      </c>
      <c r="T67" s="54">
        <v>5</v>
      </c>
      <c r="U67" s="54">
        <v>0</v>
      </c>
      <c r="V67" s="54">
        <v>0</v>
      </c>
      <c r="W67" s="54">
        <v>0</v>
      </c>
      <c r="X67" s="54">
        <v>1</v>
      </c>
      <c r="Y67" s="54">
        <v>0</v>
      </c>
      <c r="Z67" s="54">
        <v>8</v>
      </c>
      <c r="AA67" s="54">
        <v>1</v>
      </c>
      <c r="AB67" s="54">
        <v>3</v>
      </c>
      <c r="AC67" s="54">
        <v>0</v>
      </c>
      <c r="AD67" s="54"/>
      <c r="AE67" s="54"/>
      <c r="AF67" s="54"/>
      <c r="AG67" s="5">
        <f t="shared" ref="AG67:AG98" si="5">SUM(B67:AF67)</f>
        <v>33</v>
      </c>
    </row>
    <row r="68" spans="1:33" ht="15.75" customHeight="1" x14ac:dyDescent="0.25">
      <c r="A68" s="56" t="s">
        <v>16</v>
      </c>
      <c r="B68" s="54">
        <v>0</v>
      </c>
      <c r="C68" s="54">
        <v>1</v>
      </c>
      <c r="D68" s="54">
        <v>7</v>
      </c>
      <c r="E68" s="54">
        <v>1</v>
      </c>
      <c r="F68" s="54">
        <v>3</v>
      </c>
      <c r="G68" s="54">
        <v>0</v>
      </c>
      <c r="H68" s="54">
        <v>1</v>
      </c>
      <c r="I68" s="54">
        <v>0</v>
      </c>
      <c r="J68" s="54">
        <v>0</v>
      </c>
      <c r="K68" s="54">
        <v>0</v>
      </c>
      <c r="L68" s="54">
        <v>2</v>
      </c>
      <c r="M68" s="54">
        <v>1</v>
      </c>
      <c r="N68" s="54">
        <v>1</v>
      </c>
      <c r="O68" s="54">
        <v>0</v>
      </c>
      <c r="P68" s="54">
        <v>0</v>
      </c>
      <c r="Q68" s="54">
        <v>0</v>
      </c>
      <c r="R68" s="54">
        <v>5</v>
      </c>
      <c r="S68" s="54">
        <v>3</v>
      </c>
      <c r="T68" s="54">
        <v>0</v>
      </c>
      <c r="U68" s="54">
        <v>0</v>
      </c>
      <c r="V68" s="54">
        <v>0</v>
      </c>
      <c r="W68" s="54">
        <v>0</v>
      </c>
      <c r="X68" s="54">
        <v>0</v>
      </c>
      <c r="Y68" s="54">
        <v>2</v>
      </c>
      <c r="Z68" s="54">
        <v>1</v>
      </c>
      <c r="AA68" s="54">
        <v>2</v>
      </c>
      <c r="AB68" s="54">
        <v>0</v>
      </c>
      <c r="AC68" s="54">
        <v>1</v>
      </c>
      <c r="AD68" s="54"/>
      <c r="AE68" s="54"/>
      <c r="AF68" s="54"/>
      <c r="AG68" s="5">
        <f t="shared" si="5"/>
        <v>31</v>
      </c>
    </row>
    <row r="69" spans="1:33" ht="15.75" customHeight="1" x14ac:dyDescent="0.25">
      <c r="A69" s="56" t="s">
        <v>17</v>
      </c>
      <c r="B69" s="54">
        <v>0</v>
      </c>
      <c r="C69" s="54">
        <v>0</v>
      </c>
      <c r="D69" s="54">
        <v>5</v>
      </c>
      <c r="E69" s="54">
        <v>0</v>
      </c>
      <c r="F69" s="54">
        <v>4</v>
      </c>
      <c r="G69" s="54">
        <v>0</v>
      </c>
      <c r="H69" s="54">
        <v>1</v>
      </c>
      <c r="I69" s="54">
        <v>0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  <c r="S69" s="54">
        <v>0</v>
      </c>
      <c r="T69" s="54">
        <v>0</v>
      </c>
      <c r="U69" s="54">
        <v>0</v>
      </c>
      <c r="V69" s="54">
        <v>0</v>
      </c>
      <c r="W69" s="54">
        <v>0</v>
      </c>
      <c r="X69" s="54">
        <v>0</v>
      </c>
      <c r="Y69" s="54">
        <v>0</v>
      </c>
      <c r="Z69" s="54">
        <v>0</v>
      </c>
      <c r="AA69" s="54">
        <v>0</v>
      </c>
      <c r="AB69" s="54">
        <v>2</v>
      </c>
      <c r="AC69" s="54">
        <v>0</v>
      </c>
      <c r="AD69" s="54"/>
      <c r="AE69" s="54"/>
      <c r="AF69" s="54"/>
      <c r="AG69" s="5">
        <f t="shared" si="5"/>
        <v>13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4</v>
      </c>
      <c r="E70" s="54">
        <v>1</v>
      </c>
      <c r="F70" s="54">
        <v>1</v>
      </c>
      <c r="G70" s="54">
        <v>1</v>
      </c>
      <c r="H70" s="54">
        <v>1</v>
      </c>
      <c r="I70" s="54">
        <v>0</v>
      </c>
      <c r="J70" s="54">
        <v>0</v>
      </c>
      <c r="K70" s="54">
        <v>0</v>
      </c>
      <c r="L70" s="54">
        <v>5</v>
      </c>
      <c r="M70" s="54">
        <v>1</v>
      </c>
      <c r="N70" s="54">
        <v>0</v>
      </c>
      <c r="O70" s="54">
        <v>0</v>
      </c>
      <c r="P70" s="54">
        <v>0</v>
      </c>
      <c r="Q70" s="54">
        <v>0</v>
      </c>
      <c r="R70" s="54">
        <v>0</v>
      </c>
      <c r="S70" s="54">
        <v>0</v>
      </c>
      <c r="T70" s="54">
        <v>11</v>
      </c>
      <c r="U70" s="54">
        <v>0</v>
      </c>
      <c r="V70" s="54">
        <v>0</v>
      </c>
      <c r="W70" s="54">
        <v>0</v>
      </c>
      <c r="X70" s="54">
        <v>0</v>
      </c>
      <c r="Y70" s="54">
        <v>0</v>
      </c>
      <c r="Z70" s="54">
        <v>0</v>
      </c>
      <c r="AA70" s="54">
        <v>0</v>
      </c>
      <c r="AB70" s="54">
        <v>0</v>
      </c>
      <c r="AC70" s="54">
        <v>0</v>
      </c>
      <c r="AD70" s="55"/>
      <c r="AE70" s="55"/>
      <c r="AF70" s="55"/>
      <c r="AG70" s="5">
        <f t="shared" si="5"/>
        <v>25</v>
      </c>
    </row>
    <row r="71" spans="1:33" ht="15.75" customHeight="1" x14ac:dyDescent="0.25">
      <c r="A71" s="56" t="s">
        <v>19</v>
      </c>
      <c r="B71" s="54">
        <v>0</v>
      </c>
      <c r="C71" s="54">
        <v>0</v>
      </c>
      <c r="D71" s="54">
        <v>3</v>
      </c>
      <c r="E71" s="54">
        <v>1</v>
      </c>
      <c r="F71" s="54">
        <v>1</v>
      </c>
      <c r="G71" s="54">
        <v>0</v>
      </c>
      <c r="H71" s="54">
        <v>0</v>
      </c>
      <c r="I71" s="54">
        <v>0</v>
      </c>
      <c r="J71" s="54">
        <v>1</v>
      </c>
      <c r="K71" s="54">
        <v>0</v>
      </c>
      <c r="L71" s="54">
        <v>1</v>
      </c>
      <c r="M71" s="54">
        <v>0</v>
      </c>
      <c r="N71" s="54">
        <v>2</v>
      </c>
      <c r="O71" s="54">
        <v>0</v>
      </c>
      <c r="P71" s="54">
        <v>0</v>
      </c>
      <c r="Q71" s="54">
        <v>0</v>
      </c>
      <c r="R71" s="54">
        <v>4</v>
      </c>
      <c r="S71" s="54">
        <v>0</v>
      </c>
      <c r="T71" s="54">
        <v>2</v>
      </c>
      <c r="U71" s="54">
        <v>5</v>
      </c>
      <c r="V71" s="54">
        <v>1</v>
      </c>
      <c r="W71" s="54">
        <v>0</v>
      </c>
      <c r="X71" s="54">
        <v>0</v>
      </c>
      <c r="Y71" s="54">
        <v>3</v>
      </c>
      <c r="Z71" s="54">
        <v>0</v>
      </c>
      <c r="AA71" s="54">
        <v>0</v>
      </c>
      <c r="AB71" s="54">
        <v>0</v>
      </c>
      <c r="AC71" s="54">
        <v>0</v>
      </c>
      <c r="AD71" s="55"/>
      <c r="AE71" s="55"/>
      <c r="AF71" s="55"/>
      <c r="AG71" s="5">
        <f t="shared" si="5"/>
        <v>24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1</v>
      </c>
      <c r="E72" s="54">
        <v>0</v>
      </c>
      <c r="F72" s="54">
        <v>0</v>
      </c>
      <c r="G72" s="54">
        <v>0</v>
      </c>
      <c r="H72" s="54">
        <v>1</v>
      </c>
      <c r="I72" s="54">
        <v>0</v>
      </c>
      <c r="J72" s="54">
        <v>0</v>
      </c>
      <c r="K72" s="54">
        <v>0</v>
      </c>
      <c r="L72" s="54">
        <v>3</v>
      </c>
      <c r="M72" s="54">
        <v>1</v>
      </c>
      <c r="N72" s="54">
        <v>0</v>
      </c>
      <c r="O72" s="54">
        <v>0</v>
      </c>
      <c r="P72" s="54">
        <v>0</v>
      </c>
      <c r="Q72" s="54">
        <v>0</v>
      </c>
      <c r="R72" s="54">
        <v>5</v>
      </c>
      <c r="S72" s="54">
        <v>0</v>
      </c>
      <c r="T72" s="54">
        <v>0</v>
      </c>
      <c r="U72" s="54">
        <v>4</v>
      </c>
      <c r="V72" s="54">
        <v>0</v>
      </c>
      <c r="W72" s="54">
        <v>0</v>
      </c>
      <c r="X72" s="54">
        <v>0</v>
      </c>
      <c r="Y72" s="54">
        <v>0</v>
      </c>
      <c r="Z72" s="54">
        <v>1</v>
      </c>
      <c r="AA72" s="54">
        <v>0</v>
      </c>
      <c r="AB72" s="54">
        <v>0</v>
      </c>
      <c r="AC72" s="54">
        <v>1</v>
      </c>
      <c r="AD72" s="55"/>
      <c r="AE72" s="55"/>
      <c r="AF72" s="55"/>
      <c r="AG72" s="5">
        <f t="shared" si="5"/>
        <v>17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1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1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1</v>
      </c>
      <c r="AA73" s="54">
        <v>0</v>
      </c>
      <c r="AB73" s="54">
        <v>0</v>
      </c>
      <c r="AC73" s="54">
        <v>1</v>
      </c>
      <c r="AD73" s="55"/>
      <c r="AE73" s="55"/>
      <c r="AF73" s="55"/>
      <c r="AG73" s="5">
        <f t="shared" si="5"/>
        <v>4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2</v>
      </c>
      <c r="AC74" s="54">
        <v>0</v>
      </c>
      <c r="AD74" s="55"/>
      <c r="AE74" s="55"/>
      <c r="AF74" s="55"/>
      <c r="AG74" s="5">
        <f t="shared" si="5"/>
        <v>2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/>
      <c r="AE75" s="55"/>
      <c r="AF75" s="55"/>
      <c r="AG75" s="5">
        <f t="shared" si="5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1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1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2</v>
      </c>
      <c r="AC76" s="54">
        <v>0</v>
      </c>
      <c r="AD76" s="55"/>
      <c r="AE76" s="55"/>
      <c r="AF76" s="55"/>
      <c r="AG76" s="5">
        <f t="shared" si="5"/>
        <v>4</v>
      </c>
    </row>
    <row r="77" spans="1:33" ht="15.75" customHeight="1" thickBot="1" x14ac:dyDescent="0.3">
      <c r="A77" s="61" t="s">
        <v>25</v>
      </c>
      <c r="B77" s="58">
        <v>2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/>
      <c r="AE77" s="62"/>
      <c r="AF77" s="62"/>
      <c r="AG77" s="9">
        <f t="shared" si="5"/>
        <v>2</v>
      </c>
    </row>
    <row r="78" spans="1:33" ht="19.5" customHeight="1" thickBot="1" x14ac:dyDescent="0.3">
      <c r="A78" s="63" t="s">
        <v>28</v>
      </c>
      <c r="B78" s="11">
        <f t="shared" ref="B78:AF78" si="6">SUM(B79:B80)</f>
        <v>152</v>
      </c>
      <c r="C78" s="11">
        <f t="shared" si="6"/>
        <v>166</v>
      </c>
      <c r="D78" s="11">
        <f t="shared" si="6"/>
        <v>144</v>
      </c>
      <c r="E78" s="11">
        <f t="shared" si="6"/>
        <v>114</v>
      </c>
      <c r="F78" s="11">
        <f t="shared" si="6"/>
        <v>128</v>
      </c>
      <c r="G78" s="11">
        <f t="shared" si="6"/>
        <v>99</v>
      </c>
      <c r="H78" s="11">
        <f t="shared" si="6"/>
        <v>118</v>
      </c>
      <c r="I78" s="11">
        <f t="shared" si="6"/>
        <v>146</v>
      </c>
      <c r="J78" s="11">
        <f t="shared" si="6"/>
        <v>130</v>
      </c>
      <c r="K78" s="11">
        <f t="shared" si="6"/>
        <v>117</v>
      </c>
      <c r="L78" s="11">
        <f t="shared" si="6"/>
        <v>135</v>
      </c>
      <c r="M78" s="11">
        <f t="shared" si="6"/>
        <v>131</v>
      </c>
      <c r="N78" s="11">
        <f t="shared" si="6"/>
        <v>112</v>
      </c>
      <c r="O78" s="11">
        <f t="shared" si="6"/>
        <v>102</v>
      </c>
      <c r="P78" s="11">
        <f t="shared" si="6"/>
        <v>143</v>
      </c>
      <c r="Q78" s="11">
        <f t="shared" si="6"/>
        <v>150</v>
      </c>
      <c r="R78" s="11">
        <f t="shared" si="6"/>
        <v>145</v>
      </c>
      <c r="S78" s="11">
        <f t="shared" si="6"/>
        <v>104</v>
      </c>
      <c r="T78" s="11">
        <f t="shared" si="6"/>
        <v>127</v>
      </c>
      <c r="U78" s="11">
        <f t="shared" si="6"/>
        <v>119</v>
      </c>
      <c r="V78" s="11">
        <f t="shared" si="6"/>
        <v>120</v>
      </c>
      <c r="W78" s="11">
        <f t="shared" si="6"/>
        <v>150</v>
      </c>
      <c r="X78" s="11">
        <f t="shared" si="6"/>
        <v>151</v>
      </c>
      <c r="Y78" s="11">
        <f t="shared" si="6"/>
        <v>149</v>
      </c>
      <c r="Z78" s="11">
        <f t="shared" si="6"/>
        <v>39</v>
      </c>
      <c r="AA78" s="11">
        <f t="shared" si="6"/>
        <v>125</v>
      </c>
      <c r="AB78" s="11">
        <f t="shared" si="6"/>
        <v>141</v>
      </c>
      <c r="AC78" s="11">
        <f t="shared" si="6"/>
        <v>99</v>
      </c>
      <c r="AD78" s="11">
        <f t="shared" si="6"/>
        <v>0</v>
      </c>
      <c r="AE78" s="11">
        <f t="shared" si="6"/>
        <v>0</v>
      </c>
      <c r="AF78" s="11">
        <f t="shared" si="6"/>
        <v>0</v>
      </c>
      <c r="AG78" s="10">
        <f t="shared" si="5"/>
        <v>3556</v>
      </c>
    </row>
    <row r="79" spans="1:33" ht="19.5" customHeight="1" x14ac:dyDescent="0.25">
      <c r="A79" s="64" t="s">
        <v>29</v>
      </c>
      <c r="B79" s="3">
        <f t="shared" ref="B79" si="7">SUM(B4:B27)-B80</f>
        <v>152</v>
      </c>
      <c r="C79" s="3">
        <f t="shared" ref="C79" si="8">SUM(C4:C27)-C80</f>
        <v>166</v>
      </c>
      <c r="D79" s="3">
        <f t="shared" ref="D79:AF79" si="9">SUM(D4:D27)-D80</f>
        <v>144</v>
      </c>
      <c r="E79" s="3">
        <f t="shared" si="9"/>
        <v>114</v>
      </c>
      <c r="F79" s="3">
        <f t="shared" si="9"/>
        <v>128</v>
      </c>
      <c r="G79" s="3">
        <f t="shared" si="9"/>
        <v>99</v>
      </c>
      <c r="H79" s="3">
        <f t="shared" si="9"/>
        <v>118</v>
      </c>
      <c r="I79" s="3">
        <f t="shared" si="9"/>
        <v>146</v>
      </c>
      <c r="J79" s="3">
        <f t="shared" si="9"/>
        <v>130</v>
      </c>
      <c r="K79" s="3">
        <f t="shared" si="9"/>
        <v>117</v>
      </c>
      <c r="L79" s="3">
        <f t="shared" si="9"/>
        <v>135</v>
      </c>
      <c r="M79" s="3">
        <f t="shared" si="9"/>
        <v>131</v>
      </c>
      <c r="N79" s="3">
        <f t="shared" si="9"/>
        <v>112</v>
      </c>
      <c r="O79" s="3">
        <f t="shared" si="9"/>
        <v>102</v>
      </c>
      <c r="P79" s="3">
        <f t="shared" si="9"/>
        <v>143</v>
      </c>
      <c r="Q79" s="3">
        <f t="shared" si="9"/>
        <v>150</v>
      </c>
      <c r="R79" s="3">
        <f t="shared" si="9"/>
        <v>145</v>
      </c>
      <c r="S79" s="3">
        <f t="shared" si="9"/>
        <v>104</v>
      </c>
      <c r="T79" s="3">
        <f t="shared" si="9"/>
        <v>127</v>
      </c>
      <c r="U79" s="3">
        <f t="shared" si="9"/>
        <v>119</v>
      </c>
      <c r="V79" s="3">
        <f t="shared" si="9"/>
        <v>120</v>
      </c>
      <c r="W79" s="3">
        <f t="shared" si="9"/>
        <v>150</v>
      </c>
      <c r="X79" s="3">
        <f t="shared" si="9"/>
        <v>151</v>
      </c>
      <c r="Y79" s="3">
        <f t="shared" si="9"/>
        <v>149</v>
      </c>
      <c r="Z79" s="3">
        <f t="shared" si="9"/>
        <v>39</v>
      </c>
      <c r="AA79" s="3">
        <f t="shared" si="9"/>
        <v>125</v>
      </c>
      <c r="AB79" s="3">
        <f t="shared" si="9"/>
        <v>141</v>
      </c>
      <c r="AC79" s="3">
        <f t="shared" si="9"/>
        <v>99</v>
      </c>
      <c r="AD79" s="3">
        <f t="shared" si="9"/>
        <v>0</v>
      </c>
      <c r="AE79" s="3">
        <f t="shared" si="9"/>
        <v>0</v>
      </c>
      <c r="AF79" s="3">
        <f t="shared" si="9"/>
        <v>0</v>
      </c>
      <c r="AG79" s="4">
        <f t="shared" si="5"/>
        <v>3556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6</v>
      </c>
      <c r="C81" s="12">
        <f t="shared" si="10"/>
        <v>4</v>
      </c>
      <c r="D81" s="12">
        <f t="shared" si="10"/>
        <v>22</v>
      </c>
      <c r="E81" s="12">
        <f t="shared" si="10"/>
        <v>6</v>
      </c>
      <c r="F81" s="12">
        <f t="shared" si="10"/>
        <v>16</v>
      </c>
      <c r="G81" s="12">
        <f t="shared" si="10"/>
        <v>6</v>
      </c>
      <c r="H81" s="12">
        <f t="shared" si="10"/>
        <v>7</v>
      </c>
      <c r="I81" s="12">
        <f t="shared" si="10"/>
        <v>1</v>
      </c>
      <c r="J81" s="12">
        <f t="shared" si="10"/>
        <v>3</v>
      </c>
      <c r="K81" s="12">
        <f t="shared" si="10"/>
        <v>2</v>
      </c>
      <c r="L81" s="12">
        <f t="shared" si="10"/>
        <v>21</v>
      </c>
      <c r="M81" s="12">
        <f t="shared" si="10"/>
        <v>9</v>
      </c>
      <c r="N81" s="12">
        <f t="shared" si="10"/>
        <v>6</v>
      </c>
      <c r="O81" s="12">
        <f t="shared" si="10"/>
        <v>5</v>
      </c>
      <c r="P81" s="12">
        <f t="shared" si="10"/>
        <v>0</v>
      </c>
      <c r="Q81" s="12">
        <f t="shared" si="10"/>
        <v>0</v>
      </c>
      <c r="R81" s="12">
        <f t="shared" si="10"/>
        <v>19</v>
      </c>
      <c r="S81" s="12">
        <f t="shared" si="10"/>
        <v>10</v>
      </c>
      <c r="T81" s="12">
        <f t="shared" si="10"/>
        <v>21</v>
      </c>
      <c r="U81" s="12">
        <f t="shared" si="10"/>
        <v>14</v>
      </c>
      <c r="V81" s="12">
        <f t="shared" si="10"/>
        <v>5</v>
      </c>
      <c r="W81" s="12">
        <f t="shared" si="10"/>
        <v>3</v>
      </c>
      <c r="X81" s="12">
        <f t="shared" si="10"/>
        <v>7</v>
      </c>
      <c r="Y81" s="12">
        <f t="shared" si="10"/>
        <v>10</v>
      </c>
      <c r="Z81" s="12">
        <f t="shared" si="10"/>
        <v>16</v>
      </c>
      <c r="AA81" s="12">
        <f t="shared" si="10"/>
        <v>6</v>
      </c>
      <c r="AB81" s="12">
        <f t="shared" si="10"/>
        <v>12</v>
      </c>
      <c r="AC81" s="12">
        <f t="shared" si="10"/>
        <v>5</v>
      </c>
      <c r="AD81" s="12">
        <f t="shared" si="10"/>
        <v>0</v>
      </c>
      <c r="AE81" s="12">
        <f t="shared" si="10"/>
        <v>0</v>
      </c>
      <c r="AF81" s="12">
        <f t="shared" si="10"/>
        <v>0</v>
      </c>
      <c r="AG81" s="10">
        <f t="shared" si="5"/>
        <v>242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2</v>
      </c>
      <c r="C82" s="3">
        <f t="shared" si="11"/>
        <v>2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1</v>
      </c>
      <c r="J82" s="3">
        <f t="shared" si="11"/>
        <v>1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1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2</v>
      </c>
      <c r="X82" s="3">
        <f t="shared" si="11"/>
        <v>5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14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4</v>
      </c>
      <c r="C83" s="8">
        <f t="shared" si="12"/>
        <v>2</v>
      </c>
      <c r="D83" s="8">
        <f t="shared" si="12"/>
        <v>22</v>
      </c>
      <c r="E83" s="8">
        <f t="shared" si="12"/>
        <v>6</v>
      </c>
      <c r="F83" s="8">
        <f t="shared" si="12"/>
        <v>16</v>
      </c>
      <c r="G83" s="8">
        <f t="shared" si="12"/>
        <v>6</v>
      </c>
      <c r="H83" s="8">
        <f t="shared" si="12"/>
        <v>7</v>
      </c>
      <c r="I83" s="8">
        <f t="shared" si="12"/>
        <v>0</v>
      </c>
      <c r="J83" s="8">
        <f t="shared" si="12"/>
        <v>2</v>
      </c>
      <c r="K83" s="8">
        <f t="shared" si="12"/>
        <v>2</v>
      </c>
      <c r="L83" s="8">
        <f t="shared" si="12"/>
        <v>21</v>
      </c>
      <c r="M83" s="8">
        <f t="shared" si="12"/>
        <v>9</v>
      </c>
      <c r="N83" s="8">
        <f t="shared" si="12"/>
        <v>6</v>
      </c>
      <c r="O83" s="8">
        <f t="shared" si="12"/>
        <v>4</v>
      </c>
      <c r="P83" s="8">
        <f t="shared" si="12"/>
        <v>0</v>
      </c>
      <c r="Q83" s="8">
        <f t="shared" si="12"/>
        <v>0</v>
      </c>
      <c r="R83" s="8">
        <f t="shared" si="12"/>
        <v>19</v>
      </c>
      <c r="S83" s="8">
        <f t="shared" si="12"/>
        <v>10</v>
      </c>
      <c r="T83" s="8">
        <f t="shared" si="12"/>
        <v>21</v>
      </c>
      <c r="U83" s="8">
        <f t="shared" si="12"/>
        <v>14</v>
      </c>
      <c r="V83" s="8">
        <f t="shared" si="12"/>
        <v>5</v>
      </c>
      <c r="W83" s="8">
        <f t="shared" si="12"/>
        <v>1</v>
      </c>
      <c r="X83" s="8">
        <f t="shared" si="12"/>
        <v>2</v>
      </c>
      <c r="Y83" s="8">
        <f t="shared" si="12"/>
        <v>10</v>
      </c>
      <c r="Z83" s="8">
        <f t="shared" si="12"/>
        <v>16</v>
      </c>
      <c r="AA83" s="8">
        <f t="shared" si="12"/>
        <v>6</v>
      </c>
      <c r="AB83" s="8">
        <f t="shared" si="12"/>
        <v>12</v>
      </c>
      <c r="AC83" s="8">
        <f t="shared" si="12"/>
        <v>5</v>
      </c>
      <c r="AD83" s="8">
        <f t="shared" si="12"/>
        <v>0</v>
      </c>
      <c r="AE83" s="8">
        <f t="shared" si="12"/>
        <v>0</v>
      </c>
      <c r="AF83" s="8">
        <f t="shared" si="12"/>
        <v>0</v>
      </c>
      <c r="AG83" s="5">
        <f t="shared" si="5"/>
        <v>228</v>
      </c>
    </row>
    <row r="84" spans="1:34" ht="15.75" customHeight="1" thickBot="1" x14ac:dyDescent="0.3">
      <c r="A84" s="67" t="s">
        <v>32</v>
      </c>
      <c r="B84" s="14">
        <f t="shared" ref="B84:AF84" si="13">SUM(B85:B86)</f>
        <v>6</v>
      </c>
      <c r="C84" s="14">
        <f t="shared" si="13"/>
        <v>4</v>
      </c>
      <c r="D84" s="14">
        <f t="shared" si="13"/>
        <v>22</v>
      </c>
      <c r="E84" s="14">
        <f t="shared" si="13"/>
        <v>6</v>
      </c>
      <c r="F84" s="14">
        <f t="shared" si="13"/>
        <v>16</v>
      </c>
      <c r="G84" s="14">
        <f t="shared" si="13"/>
        <v>6</v>
      </c>
      <c r="H84" s="14">
        <f t="shared" si="13"/>
        <v>7</v>
      </c>
      <c r="I84" s="14">
        <f t="shared" si="13"/>
        <v>1</v>
      </c>
      <c r="J84" s="14">
        <f t="shared" si="13"/>
        <v>3</v>
      </c>
      <c r="K84" s="14">
        <f t="shared" si="13"/>
        <v>2</v>
      </c>
      <c r="L84" s="14">
        <f t="shared" si="13"/>
        <v>21</v>
      </c>
      <c r="M84" s="14">
        <f t="shared" si="13"/>
        <v>9</v>
      </c>
      <c r="N84" s="14">
        <f t="shared" si="13"/>
        <v>6</v>
      </c>
      <c r="O84" s="14">
        <f t="shared" si="13"/>
        <v>5</v>
      </c>
      <c r="P84" s="14">
        <f t="shared" si="13"/>
        <v>0</v>
      </c>
      <c r="Q84" s="14">
        <f t="shared" si="13"/>
        <v>0</v>
      </c>
      <c r="R84" s="14">
        <f t="shared" si="13"/>
        <v>19</v>
      </c>
      <c r="S84" s="14">
        <f t="shared" si="13"/>
        <v>10</v>
      </c>
      <c r="T84" s="14">
        <f t="shared" si="13"/>
        <v>21</v>
      </c>
      <c r="U84" s="14">
        <f t="shared" si="13"/>
        <v>14</v>
      </c>
      <c r="V84" s="14">
        <f t="shared" si="13"/>
        <v>5</v>
      </c>
      <c r="W84" s="14">
        <f t="shared" si="13"/>
        <v>3</v>
      </c>
      <c r="X84" s="14">
        <f t="shared" si="13"/>
        <v>7</v>
      </c>
      <c r="Y84" s="14">
        <f t="shared" si="13"/>
        <v>10</v>
      </c>
      <c r="Z84" s="14">
        <f t="shared" si="13"/>
        <v>16</v>
      </c>
      <c r="AA84" s="14">
        <f t="shared" si="13"/>
        <v>6</v>
      </c>
      <c r="AB84" s="14">
        <f t="shared" si="13"/>
        <v>12</v>
      </c>
      <c r="AC84" s="14">
        <f t="shared" si="13"/>
        <v>5</v>
      </c>
      <c r="AD84" s="14">
        <f t="shared" si="13"/>
        <v>0</v>
      </c>
      <c r="AE84" s="14">
        <f t="shared" si="13"/>
        <v>0</v>
      </c>
      <c r="AF84" s="14">
        <f t="shared" si="13"/>
        <v>0</v>
      </c>
      <c r="AG84" s="15">
        <f t="shared" si="5"/>
        <v>242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2</v>
      </c>
      <c r="C85" s="69">
        <v>1</v>
      </c>
      <c r="D85" s="69">
        <v>2</v>
      </c>
      <c r="E85" s="69">
        <v>0</v>
      </c>
      <c r="F85" s="69">
        <v>1</v>
      </c>
      <c r="G85" s="69">
        <v>1</v>
      </c>
      <c r="H85" s="69">
        <v>2</v>
      </c>
      <c r="I85" s="69">
        <v>0</v>
      </c>
      <c r="J85" s="69">
        <v>0</v>
      </c>
      <c r="K85" s="69">
        <v>0</v>
      </c>
      <c r="L85" s="69">
        <v>3</v>
      </c>
      <c r="M85" s="69">
        <v>1</v>
      </c>
      <c r="N85" s="69">
        <v>0</v>
      </c>
      <c r="O85" s="69">
        <v>0</v>
      </c>
      <c r="P85" s="69">
        <v>0</v>
      </c>
      <c r="Q85" s="69">
        <v>0</v>
      </c>
      <c r="R85" s="69">
        <v>2</v>
      </c>
      <c r="S85" s="69">
        <v>1</v>
      </c>
      <c r="T85" s="69">
        <v>2</v>
      </c>
      <c r="U85" s="69">
        <v>4</v>
      </c>
      <c r="V85" s="69">
        <v>1</v>
      </c>
      <c r="W85" s="69">
        <v>0</v>
      </c>
      <c r="X85" s="69">
        <v>0</v>
      </c>
      <c r="Y85" s="69">
        <v>1</v>
      </c>
      <c r="Z85" s="69">
        <v>0</v>
      </c>
      <c r="AA85" s="69">
        <v>0</v>
      </c>
      <c r="AB85" s="69">
        <v>1</v>
      </c>
      <c r="AC85" s="69">
        <v>1</v>
      </c>
      <c r="AD85" s="69"/>
      <c r="AE85" s="69"/>
      <c r="AF85" s="69"/>
      <c r="AG85" s="16">
        <f t="shared" si="5"/>
        <v>26</v>
      </c>
    </row>
    <row r="86" spans="1:34" ht="15.75" customHeight="1" thickBot="1" x14ac:dyDescent="0.3">
      <c r="A86" s="70" t="s">
        <v>34</v>
      </c>
      <c r="B86" s="71">
        <v>4</v>
      </c>
      <c r="C86" s="71">
        <v>3</v>
      </c>
      <c r="D86" s="71">
        <v>20</v>
      </c>
      <c r="E86" s="71">
        <v>6</v>
      </c>
      <c r="F86" s="71">
        <v>15</v>
      </c>
      <c r="G86" s="71">
        <v>5</v>
      </c>
      <c r="H86" s="71">
        <v>5</v>
      </c>
      <c r="I86" s="71">
        <v>1</v>
      </c>
      <c r="J86" s="71">
        <v>3</v>
      </c>
      <c r="K86" s="71">
        <v>2</v>
      </c>
      <c r="L86" s="71">
        <v>18</v>
      </c>
      <c r="M86" s="71">
        <v>8</v>
      </c>
      <c r="N86" s="71">
        <v>6</v>
      </c>
      <c r="O86" s="71">
        <v>5</v>
      </c>
      <c r="P86" s="71">
        <v>0</v>
      </c>
      <c r="Q86" s="71">
        <v>0</v>
      </c>
      <c r="R86" s="71">
        <v>17</v>
      </c>
      <c r="S86" s="71">
        <v>9</v>
      </c>
      <c r="T86" s="71">
        <v>19</v>
      </c>
      <c r="U86" s="71">
        <v>10</v>
      </c>
      <c r="V86" s="71">
        <v>4</v>
      </c>
      <c r="W86" s="71">
        <v>3</v>
      </c>
      <c r="X86" s="71">
        <v>7</v>
      </c>
      <c r="Y86" s="71">
        <v>9</v>
      </c>
      <c r="Z86" s="71">
        <v>16</v>
      </c>
      <c r="AA86" s="71">
        <v>6</v>
      </c>
      <c r="AB86" s="71">
        <v>11</v>
      </c>
      <c r="AC86" s="71">
        <v>4</v>
      </c>
      <c r="AD86" s="71"/>
      <c r="AE86" s="71"/>
      <c r="AF86" s="71"/>
      <c r="AG86" s="17">
        <f t="shared" si="5"/>
        <v>216</v>
      </c>
    </row>
    <row r="87" spans="1:34" ht="15.75" customHeight="1" thickBot="1" x14ac:dyDescent="0.3">
      <c r="A87" s="72" t="s">
        <v>35</v>
      </c>
      <c r="B87" s="18">
        <f t="shared" ref="B87:AF87" si="14">SUM(B88:B92)</f>
        <v>6</v>
      </c>
      <c r="C87" s="18">
        <f t="shared" si="14"/>
        <v>4</v>
      </c>
      <c r="D87" s="18">
        <f t="shared" si="14"/>
        <v>22</v>
      </c>
      <c r="E87" s="18">
        <f t="shared" si="14"/>
        <v>6</v>
      </c>
      <c r="F87" s="18">
        <f t="shared" si="14"/>
        <v>16</v>
      </c>
      <c r="G87" s="18">
        <f t="shared" si="14"/>
        <v>6</v>
      </c>
      <c r="H87" s="18">
        <f t="shared" si="14"/>
        <v>7</v>
      </c>
      <c r="I87" s="18">
        <f t="shared" si="14"/>
        <v>1</v>
      </c>
      <c r="J87" s="18">
        <f t="shared" si="14"/>
        <v>3</v>
      </c>
      <c r="K87" s="18">
        <f t="shared" si="14"/>
        <v>2</v>
      </c>
      <c r="L87" s="18">
        <f t="shared" si="14"/>
        <v>21</v>
      </c>
      <c r="M87" s="18">
        <f t="shared" si="14"/>
        <v>9</v>
      </c>
      <c r="N87" s="18">
        <f t="shared" si="14"/>
        <v>6</v>
      </c>
      <c r="O87" s="18">
        <f t="shared" si="14"/>
        <v>5</v>
      </c>
      <c r="P87" s="18">
        <f t="shared" si="14"/>
        <v>0</v>
      </c>
      <c r="Q87" s="18">
        <f t="shared" si="14"/>
        <v>0</v>
      </c>
      <c r="R87" s="18">
        <f t="shared" si="14"/>
        <v>19</v>
      </c>
      <c r="S87" s="18">
        <f t="shared" si="14"/>
        <v>10</v>
      </c>
      <c r="T87" s="18">
        <f t="shared" si="14"/>
        <v>21</v>
      </c>
      <c r="U87" s="18">
        <f t="shared" si="14"/>
        <v>14</v>
      </c>
      <c r="V87" s="18">
        <f t="shared" si="14"/>
        <v>5</v>
      </c>
      <c r="W87" s="18">
        <f t="shared" si="14"/>
        <v>3</v>
      </c>
      <c r="X87" s="18">
        <f t="shared" si="14"/>
        <v>7</v>
      </c>
      <c r="Y87" s="18">
        <f t="shared" si="14"/>
        <v>10</v>
      </c>
      <c r="Z87" s="18">
        <f t="shared" si="14"/>
        <v>16</v>
      </c>
      <c r="AA87" s="18">
        <f t="shared" si="14"/>
        <v>6</v>
      </c>
      <c r="AB87" s="18">
        <f t="shared" si="14"/>
        <v>12</v>
      </c>
      <c r="AC87" s="18">
        <f t="shared" si="14"/>
        <v>5</v>
      </c>
      <c r="AD87" s="18">
        <f t="shared" si="14"/>
        <v>0</v>
      </c>
      <c r="AE87" s="18">
        <f t="shared" si="14"/>
        <v>0</v>
      </c>
      <c r="AF87" s="18">
        <f t="shared" si="14"/>
        <v>0</v>
      </c>
      <c r="AG87" s="19">
        <f t="shared" si="5"/>
        <v>242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6</v>
      </c>
      <c r="C88" s="60">
        <v>4</v>
      </c>
      <c r="D88" s="60">
        <v>5</v>
      </c>
      <c r="E88" s="60">
        <v>1</v>
      </c>
      <c r="F88" s="60">
        <v>4</v>
      </c>
      <c r="G88" s="60">
        <v>1</v>
      </c>
      <c r="H88" s="60">
        <v>0</v>
      </c>
      <c r="I88" s="60">
        <v>0</v>
      </c>
      <c r="J88" s="60">
        <v>3</v>
      </c>
      <c r="K88" s="60">
        <v>0</v>
      </c>
      <c r="L88" s="60">
        <v>8</v>
      </c>
      <c r="M88" s="60">
        <v>4</v>
      </c>
      <c r="N88" s="60">
        <v>1</v>
      </c>
      <c r="O88" s="60">
        <v>4</v>
      </c>
      <c r="P88" s="60">
        <v>0</v>
      </c>
      <c r="Q88" s="60">
        <v>0</v>
      </c>
      <c r="R88" s="60">
        <v>3</v>
      </c>
      <c r="S88" s="60">
        <v>2</v>
      </c>
      <c r="T88" s="60">
        <v>2</v>
      </c>
      <c r="U88" s="60">
        <v>1</v>
      </c>
      <c r="V88" s="60">
        <v>3</v>
      </c>
      <c r="W88" s="60">
        <v>2</v>
      </c>
      <c r="X88" s="60">
        <v>1</v>
      </c>
      <c r="Y88" s="60">
        <v>2</v>
      </c>
      <c r="Z88" s="60">
        <v>9</v>
      </c>
      <c r="AA88" s="60">
        <v>1</v>
      </c>
      <c r="AB88" s="60">
        <v>3</v>
      </c>
      <c r="AC88" s="60">
        <v>2</v>
      </c>
      <c r="AD88" s="60"/>
      <c r="AE88" s="60"/>
      <c r="AF88" s="60"/>
      <c r="AG88" s="4">
        <f t="shared" si="5"/>
        <v>72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/>
      <c r="AE89" s="60"/>
      <c r="AF89" s="60"/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1</v>
      </c>
      <c r="E90" s="60">
        <v>0</v>
      </c>
      <c r="F90" s="60">
        <v>2</v>
      </c>
      <c r="G90" s="60">
        <v>0</v>
      </c>
      <c r="H90" s="60">
        <v>1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3</v>
      </c>
      <c r="AA90" s="60">
        <v>0</v>
      </c>
      <c r="AB90" s="60">
        <v>1</v>
      </c>
      <c r="AC90" s="60">
        <v>0</v>
      </c>
      <c r="AD90" s="60"/>
      <c r="AE90" s="60"/>
      <c r="AF90" s="60"/>
      <c r="AG90" s="5">
        <f t="shared" si="5"/>
        <v>8</v>
      </c>
    </row>
    <row r="91" spans="1:34" ht="15.75" customHeight="1" x14ac:dyDescent="0.25">
      <c r="A91" s="74" t="s">
        <v>39</v>
      </c>
      <c r="B91" s="60">
        <v>0</v>
      </c>
      <c r="C91" s="60">
        <v>0</v>
      </c>
      <c r="D91" s="60">
        <v>12</v>
      </c>
      <c r="E91" s="60">
        <v>4</v>
      </c>
      <c r="F91" s="60">
        <v>5</v>
      </c>
      <c r="G91" s="60">
        <v>3</v>
      </c>
      <c r="H91" s="60">
        <v>6</v>
      </c>
      <c r="I91" s="60">
        <v>1</v>
      </c>
      <c r="J91" s="60">
        <v>0</v>
      </c>
      <c r="K91" s="60">
        <v>2</v>
      </c>
      <c r="L91" s="60">
        <v>8</v>
      </c>
      <c r="M91" s="60">
        <v>4</v>
      </c>
      <c r="N91" s="60">
        <v>4</v>
      </c>
      <c r="O91" s="60">
        <v>1</v>
      </c>
      <c r="P91" s="60">
        <v>0</v>
      </c>
      <c r="Q91" s="60">
        <v>0</v>
      </c>
      <c r="R91" s="60">
        <v>10</v>
      </c>
      <c r="S91" s="60">
        <v>4</v>
      </c>
      <c r="T91" s="60">
        <v>10</v>
      </c>
      <c r="U91" s="60">
        <v>10</v>
      </c>
      <c r="V91" s="60">
        <v>2</v>
      </c>
      <c r="W91" s="60">
        <v>0</v>
      </c>
      <c r="X91" s="60">
        <v>6</v>
      </c>
      <c r="Y91" s="60">
        <v>4</v>
      </c>
      <c r="Z91" s="60">
        <v>0</v>
      </c>
      <c r="AA91" s="60">
        <v>4</v>
      </c>
      <c r="AB91" s="60">
        <v>7</v>
      </c>
      <c r="AC91" s="60">
        <v>2</v>
      </c>
      <c r="AD91" s="60"/>
      <c r="AE91" s="60"/>
      <c r="AF91" s="60"/>
      <c r="AG91" s="5">
        <f t="shared" si="5"/>
        <v>109</v>
      </c>
    </row>
    <row r="92" spans="1:34" ht="15.75" customHeight="1" thickBot="1" x14ac:dyDescent="0.3">
      <c r="A92" s="74" t="s">
        <v>40</v>
      </c>
      <c r="B92" s="60">
        <v>0</v>
      </c>
      <c r="C92" s="60">
        <v>0</v>
      </c>
      <c r="D92" s="60">
        <v>4</v>
      </c>
      <c r="E92" s="60">
        <v>1</v>
      </c>
      <c r="F92" s="60">
        <v>5</v>
      </c>
      <c r="G92" s="60">
        <v>2</v>
      </c>
      <c r="H92" s="60">
        <v>0</v>
      </c>
      <c r="I92" s="60">
        <v>0</v>
      </c>
      <c r="J92" s="60">
        <v>0</v>
      </c>
      <c r="K92" s="60">
        <v>0</v>
      </c>
      <c r="L92" s="60">
        <v>5</v>
      </c>
      <c r="M92" s="60">
        <v>1</v>
      </c>
      <c r="N92" s="60">
        <v>1</v>
      </c>
      <c r="O92" s="60">
        <v>0</v>
      </c>
      <c r="P92" s="60">
        <v>0</v>
      </c>
      <c r="Q92" s="60">
        <v>0</v>
      </c>
      <c r="R92" s="60">
        <v>6</v>
      </c>
      <c r="S92" s="60">
        <v>4</v>
      </c>
      <c r="T92" s="60">
        <v>9</v>
      </c>
      <c r="U92" s="60">
        <v>3</v>
      </c>
      <c r="V92" s="60">
        <v>0</v>
      </c>
      <c r="W92" s="60">
        <v>1</v>
      </c>
      <c r="X92" s="60">
        <v>0</v>
      </c>
      <c r="Y92" s="60">
        <v>4</v>
      </c>
      <c r="Z92" s="60">
        <v>4</v>
      </c>
      <c r="AA92" s="60">
        <v>1</v>
      </c>
      <c r="AB92" s="60">
        <v>1</v>
      </c>
      <c r="AC92" s="60">
        <v>1</v>
      </c>
      <c r="AD92" s="60"/>
      <c r="AE92" s="60"/>
      <c r="AF92" s="60"/>
      <c r="AG92" s="5">
        <f t="shared" si="5"/>
        <v>53</v>
      </c>
    </row>
    <row r="93" spans="1:34" ht="15.75" customHeight="1" x14ac:dyDescent="0.25">
      <c r="A93" s="75" t="s">
        <v>41</v>
      </c>
      <c r="B93" s="20">
        <f t="shared" ref="B93:AF93" si="15">+B94+B100</f>
        <v>146</v>
      </c>
      <c r="C93" s="20">
        <f t="shared" si="15"/>
        <v>162</v>
      </c>
      <c r="D93" s="20">
        <f t="shared" si="15"/>
        <v>122</v>
      </c>
      <c r="E93" s="20">
        <f t="shared" si="15"/>
        <v>108</v>
      </c>
      <c r="F93" s="20">
        <f t="shared" si="15"/>
        <v>112</v>
      </c>
      <c r="G93" s="20">
        <f t="shared" si="15"/>
        <v>93</v>
      </c>
      <c r="H93" s="20">
        <f t="shared" si="15"/>
        <v>111</v>
      </c>
      <c r="I93" s="20">
        <f t="shared" si="15"/>
        <v>145</v>
      </c>
      <c r="J93" s="20">
        <f t="shared" si="15"/>
        <v>127</v>
      </c>
      <c r="K93" s="20">
        <f t="shared" si="15"/>
        <v>115</v>
      </c>
      <c r="L93" s="20">
        <f t="shared" si="15"/>
        <v>114</v>
      </c>
      <c r="M93" s="20">
        <f t="shared" si="15"/>
        <v>122</v>
      </c>
      <c r="N93" s="20">
        <f t="shared" si="15"/>
        <v>106</v>
      </c>
      <c r="O93" s="20">
        <f t="shared" si="15"/>
        <v>97</v>
      </c>
      <c r="P93" s="20">
        <f t="shared" si="15"/>
        <v>143</v>
      </c>
      <c r="Q93" s="20">
        <f t="shared" si="15"/>
        <v>150</v>
      </c>
      <c r="R93" s="20">
        <f t="shared" si="15"/>
        <v>126</v>
      </c>
      <c r="S93" s="20">
        <f t="shared" si="15"/>
        <v>94</v>
      </c>
      <c r="T93" s="20">
        <f t="shared" si="15"/>
        <v>106</v>
      </c>
      <c r="U93" s="20">
        <f t="shared" si="15"/>
        <v>105</v>
      </c>
      <c r="V93" s="20">
        <f t="shared" si="15"/>
        <v>115</v>
      </c>
      <c r="W93" s="20">
        <f t="shared" si="15"/>
        <v>147</v>
      </c>
      <c r="X93" s="20">
        <f t="shared" si="15"/>
        <v>144</v>
      </c>
      <c r="Y93" s="20">
        <f t="shared" si="15"/>
        <v>139</v>
      </c>
      <c r="Z93" s="20">
        <f t="shared" si="15"/>
        <v>23</v>
      </c>
      <c r="AA93" s="20">
        <f t="shared" si="15"/>
        <v>119</v>
      </c>
      <c r="AB93" s="20">
        <f t="shared" si="15"/>
        <v>129</v>
      </c>
      <c r="AC93" s="20">
        <f t="shared" si="15"/>
        <v>94</v>
      </c>
      <c r="AD93" s="20">
        <f t="shared" si="15"/>
        <v>0</v>
      </c>
      <c r="AE93" s="20">
        <f t="shared" si="15"/>
        <v>0</v>
      </c>
      <c r="AF93" s="20">
        <f t="shared" si="15"/>
        <v>0</v>
      </c>
      <c r="AG93" s="5">
        <f t="shared" si="5"/>
        <v>3314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13</v>
      </c>
      <c r="C94" s="21">
        <f t="shared" si="16"/>
        <v>17</v>
      </c>
      <c r="D94" s="21">
        <f t="shared" si="16"/>
        <v>9</v>
      </c>
      <c r="E94" s="21">
        <f t="shared" si="16"/>
        <v>14</v>
      </c>
      <c r="F94" s="21">
        <f t="shared" si="16"/>
        <v>6</v>
      </c>
      <c r="G94" s="21">
        <f t="shared" si="16"/>
        <v>9</v>
      </c>
      <c r="H94" s="21">
        <f t="shared" si="16"/>
        <v>12</v>
      </c>
      <c r="I94" s="21">
        <f t="shared" si="16"/>
        <v>12</v>
      </c>
      <c r="J94" s="21">
        <f t="shared" si="16"/>
        <v>18</v>
      </c>
      <c r="K94" s="21">
        <f t="shared" si="16"/>
        <v>8</v>
      </c>
      <c r="L94" s="21">
        <f t="shared" si="16"/>
        <v>6</v>
      </c>
      <c r="M94" s="21">
        <f t="shared" si="16"/>
        <v>14</v>
      </c>
      <c r="N94" s="21">
        <f t="shared" si="16"/>
        <v>11</v>
      </c>
      <c r="O94" s="21">
        <f t="shared" si="16"/>
        <v>11</v>
      </c>
      <c r="P94" s="21">
        <f t="shared" si="16"/>
        <v>14</v>
      </c>
      <c r="Q94" s="21">
        <f t="shared" si="16"/>
        <v>12</v>
      </c>
      <c r="R94" s="21">
        <f t="shared" si="16"/>
        <v>12</v>
      </c>
      <c r="S94" s="21">
        <f t="shared" si="16"/>
        <v>8</v>
      </c>
      <c r="T94" s="21">
        <f t="shared" si="16"/>
        <v>5</v>
      </c>
      <c r="U94" s="21">
        <f t="shared" si="16"/>
        <v>11</v>
      </c>
      <c r="V94" s="21">
        <f t="shared" si="16"/>
        <v>13</v>
      </c>
      <c r="W94" s="21">
        <f t="shared" si="16"/>
        <v>15</v>
      </c>
      <c r="X94" s="21">
        <f t="shared" si="16"/>
        <v>9</v>
      </c>
      <c r="Y94" s="21">
        <f t="shared" si="16"/>
        <v>14</v>
      </c>
      <c r="Z94" s="21">
        <f t="shared" si="16"/>
        <v>2</v>
      </c>
      <c r="AA94" s="21">
        <f t="shared" si="16"/>
        <v>15</v>
      </c>
      <c r="AB94" s="21">
        <f t="shared" si="16"/>
        <v>6</v>
      </c>
      <c r="AC94" s="21">
        <f t="shared" si="16"/>
        <v>7</v>
      </c>
      <c r="AD94" s="21">
        <f t="shared" si="16"/>
        <v>0</v>
      </c>
      <c r="AE94" s="21">
        <f t="shared" si="16"/>
        <v>0</v>
      </c>
      <c r="AF94" s="21">
        <f t="shared" si="16"/>
        <v>0</v>
      </c>
      <c r="AG94" s="5">
        <f t="shared" si="5"/>
        <v>303</v>
      </c>
    </row>
    <row r="95" spans="1:34" ht="15.75" customHeight="1" x14ac:dyDescent="0.25">
      <c r="A95" s="78" t="s">
        <v>43</v>
      </c>
      <c r="B95" s="54">
        <v>0</v>
      </c>
      <c r="C95" s="54">
        <v>0</v>
      </c>
      <c r="D95" s="54">
        <v>2</v>
      </c>
      <c r="E95" s="54">
        <v>0</v>
      </c>
      <c r="F95" s="54">
        <v>0</v>
      </c>
      <c r="G95" s="54">
        <v>0</v>
      </c>
      <c r="H95" s="54">
        <v>0</v>
      </c>
      <c r="I95" s="54">
        <v>1</v>
      </c>
      <c r="J95" s="54">
        <v>2</v>
      </c>
      <c r="K95" s="54">
        <v>0</v>
      </c>
      <c r="L95" s="54">
        <v>0</v>
      </c>
      <c r="M95" s="54">
        <v>0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  <c r="S95" s="54">
        <v>0</v>
      </c>
      <c r="T95" s="54">
        <v>0</v>
      </c>
      <c r="U95" s="54">
        <v>2</v>
      </c>
      <c r="V95" s="54">
        <v>1</v>
      </c>
      <c r="W95" s="54">
        <v>0</v>
      </c>
      <c r="X95" s="54">
        <v>0</v>
      </c>
      <c r="Y95" s="54">
        <v>0</v>
      </c>
      <c r="Z95" s="54">
        <v>0</v>
      </c>
      <c r="AA95" s="54">
        <v>0</v>
      </c>
      <c r="AB95" s="54">
        <v>0</v>
      </c>
      <c r="AC95" s="54">
        <v>0</v>
      </c>
      <c r="AD95" s="54"/>
      <c r="AE95" s="54"/>
      <c r="AF95" s="54"/>
      <c r="AG95" s="5">
        <f t="shared" si="5"/>
        <v>9</v>
      </c>
    </row>
    <row r="96" spans="1:34" ht="15.75" customHeight="1" x14ac:dyDescent="0.25">
      <c r="A96" s="79" t="s">
        <v>44</v>
      </c>
      <c r="B96" s="54">
        <v>1</v>
      </c>
      <c r="C96" s="54">
        <v>1</v>
      </c>
      <c r="D96" s="54">
        <v>1</v>
      </c>
      <c r="E96" s="54">
        <v>0</v>
      </c>
      <c r="F96" s="54">
        <v>2</v>
      </c>
      <c r="G96" s="54">
        <v>0</v>
      </c>
      <c r="H96" s="54">
        <v>2</v>
      </c>
      <c r="I96" s="54">
        <v>1</v>
      </c>
      <c r="J96" s="54">
        <v>4</v>
      </c>
      <c r="K96" s="54">
        <v>0</v>
      </c>
      <c r="L96" s="54">
        <v>0</v>
      </c>
      <c r="M96" s="54">
        <v>1</v>
      </c>
      <c r="N96" s="54">
        <v>1</v>
      </c>
      <c r="O96" s="54">
        <v>1</v>
      </c>
      <c r="P96" s="54">
        <v>0</v>
      </c>
      <c r="Q96" s="54">
        <v>0</v>
      </c>
      <c r="R96" s="54">
        <v>1</v>
      </c>
      <c r="S96" s="54">
        <v>1</v>
      </c>
      <c r="T96" s="54">
        <v>0</v>
      </c>
      <c r="U96" s="54">
        <v>0</v>
      </c>
      <c r="V96" s="54">
        <v>1</v>
      </c>
      <c r="W96" s="54">
        <v>0</v>
      </c>
      <c r="X96" s="54">
        <v>1</v>
      </c>
      <c r="Y96" s="54">
        <v>1</v>
      </c>
      <c r="Z96" s="54">
        <v>0</v>
      </c>
      <c r="AA96" s="54">
        <v>0</v>
      </c>
      <c r="AB96" s="54">
        <v>0</v>
      </c>
      <c r="AC96" s="54">
        <v>0</v>
      </c>
      <c r="AD96" s="54"/>
      <c r="AE96" s="54"/>
      <c r="AF96" s="54"/>
      <c r="AG96" s="5">
        <f t="shared" si="5"/>
        <v>20</v>
      </c>
    </row>
    <row r="97" spans="1:33" ht="15.75" customHeight="1" x14ac:dyDescent="0.25">
      <c r="A97" s="80" t="s">
        <v>45</v>
      </c>
      <c r="B97" s="54">
        <v>3</v>
      </c>
      <c r="C97" s="54">
        <v>4</v>
      </c>
      <c r="D97" s="54">
        <v>2</v>
      </c>
      <c r="E97" s="54">
        <v>1</v>
      </c>
      <c r="F97" s="54">
        <v>2</v>
      </c>
      <c r="G97" s="54">
        <v>3</v>
      </c>
      <c r="H97" s="54">
        <v>3</v>
      </c>
      <c r="I97" s="54">
        <v>0</v>
      </c>
      <c r="J97" s="54">
        <v>4</v>
      </c>
      <c r="K97" s="54">
        <v>1</v>
      </c>
      <c r="L97" s="54">
        <v>2</v>
      </c>
      <c r="M97" s="54">
        <v>3</v>
      </c>
      <c r="N97" s="54">
        <v>0</v>
      </c>
      <c r="O97" s="54">
        <v>1</v>
      </c>
      <c r="P97" s="54">
        <v>5</v>
      </c>
      <c r="Q97" s="54">
        <v>3</v>
      </c>
      <c r="R97" s="54">
        <v>1</v>
      </c>
      <c r="S97" s="54">
        <v>1</v>
      </c>
      <c r="T97" s="54">
        <v>1</v>
      </c>
      <c r="U97" s="54">
        <v>2</v>
      </c>
      <c r="V97" s="54">
        <v>1</v>
      </c>
      <c r="W97" s="54">
        <v>3</v>
      </c>
      <c r="X97" s="54">
        <v>1</v>
      </c>
      <c r="Y97" s="54">
        <v>3</v>
      </c>
      <c r="Z97" s="54">
        <v>0</v>
      </c>
      <c r="AA97" s="54">
        <v>2</v>
      </c>
      <c r="AB97" s="54">
        <v>2</v>
      </c>
      <c r="AC97" s="54">
        <v>2</v>
      </c>
      <c r="AD97" s="54"/>
      <c r="AE97" s="54"/>
      <c r="AF97" s="54"/>
      <c r="AG97" s="5">
        <f t="shared" si="5"/>
        <v>56</v>
      </c>
    </row>
    <row r="98" spans="1:33" ht="15.75" customHeight="1" x14ac:dyDescent="0.25">
      <c r="A98" s="81" t="s">
        <v>46</v>
      </c>
      <c r="B98" s="54">
        <v>5</v>
      </c>
      <c r="C98" s="54">
        <v>8</v>
      </c>
      <c r="D98" s="54">
        <v>1</v>
      </c>
      <c r="E98" s="54">
        <v>4</v>
      </c>
      <c r="F98" s="54">
        <v>1</v>
      </c>
      <c r="G98" s="54">
        <v>3</v>
      </c>
      <c r="H98" s="54">
        <v>4</v>
      </c>
      <c r="I98" s="54">
        <v>2</v>
      </c>
      <c r="J98" s="54">
        <v>5</v>
      </c>
      <c r="K98" s="54">
        <v>1</v>
      </c>
      <c r="L98" s="54">
        <v>3</v>
      </c>
      <c r="M98" s="54">
        <v>5</v>
      </c>
      <c r="N98" s="54">
        <v>5</v>
      </c>
      <c r="O98" s="54">
        <v>6</v>
      </c>
      <c r="P98" s="54">
        <v>4</v>
      </c>
      <c r="Q98" s="54">
        <v>4</v>
      </c>
      <c r="R98" s="54">
        <v>3</v>
      </c>
      <c r="S98" s="54">
        <v>3</v>
      </c>
      <c r="T98" s="54">
        <v>1</v>
      </c>
      <c r="U98" s="54">
        <v>4</v>
      </c>
      <c r="V98" s="54">
        <v>6</v>
      </c>
      <c r="W98" s="54">
        <v>6</v>
      </c>
      <c r="X98" s="54">
        <v>5</v>
      </c>
      <c r="Y98" s="54">
        <v>3</v>
      </c>
      <c r="Z98" s="54">
        <v>0</v>
      </c>
      <c r="AA98" s="54">
        <v>9</v>
      </c>
      <c r="AB98" s="54">
        <v>3</v>
      </c>
      <c r="AC98" s="54">
        <v>1</v>
      </c>
      <c r="AD98" s="54"/>
      <c r="AE98" s="54"/>
      <c r="AF98" s="54"/>
      <c r="AG98" s="5">
        <f t="shared" si="5"/>
        <v>105</v>
      </c>
    </row>
    <row r="99" spans="1:33" ht="15.75" customHeight="1" x14ac:dyDescent="0.25">
      <c r="A99" s="82" t="s">
        <v>47</v>
      </c>
      <c r="B99" s="54">
        <v>4</v>
      </c>
      <c r="C99" s="54">
        <v>4</v>
      </c>
      <c r="D99" s="54">
        <v>3</v>
      </c>
      <c r="E99" s="54">
        <v>9</v>
      </c>
      <c r="F99" s="54">
        <v>1</v>
      </c>
      <c r="G99" s="54">
        <v>3</v>
      </c>
      <c r="H99" s="54">
        <v>3</v>
      </c>
      <c r="I99" s="54">
        <v>8</v>
      </c>
      <c r="J99" s="54">
        <v>3</v>
      </c>
      <c r="K99" s="54">
        <v>6</v>
      </c>
      <c r="L99" s="54">
        <v>1</v>
      </c>
      <c r="M99" s="54">
        <v>5</v>
      </c>
      <c r="N99" s="54">
        <v>5</v>
      </c>
      <c r="O99" s="54">
        <v>3</v>
      </c>
      <c r="P99" s="54">
        <v>5</v>
      </c>
      <c r="Q99" s="54">
        <v>5</v>
      </c>
      <c r="R99" s="54">
        <v>6</v>
      </c>
      <c r="S99" s="54">
        <v>3</v>
      </c>
      <c r="T99" s="54">
        <v>3</v>
      </c>
      <c r="U99" s="54">
        <v>3</v>
      </c>
      <c r="V99" s="54">
        <v>4</v>
      </c>
      <c r="W99" s="54">
        <v>6</v>
      </c>
      <c r="X99" s="54">
        <v>2</v>
      </c>
      <c r="Y99" s="54">
        <v>7</v>
      </c>
      <c r="Z99" s="54">
        <v>2</v>
      </c>
      <c r="AA99" s="54">
        <v>4</v>
      </c>
      <c r="AB99" s="54">
        <v>1</v>
      </c>
      <c r="AC99" s="54">
        <v>4</v>
      </c>
      <c r="AD99" s="54"/>
      <c r="AE99" s="54"/>
      <c r="AF99" s="54"/>
      <c r="AG99" s="5">
        <f t="shared" ref="AG99:AG162" si="17">SUM(B99:AF99)</f>
        <v>113</v>
      </c>
    </row>
    <row r="100" spans="1:33" ht="15.75" customHeight="1" x14ac:dyDescent="0.25">
      <c r="A100" s="76" t="s">
        <v>48</v>
      </c>
      <c r="B100" s="21">
        <f t="shared" ref="B100:AF100" si="18">SUM(B101:B115)</f>
        <v>133</v>
      </c>
      <c r="C100" s="21">
        <f t="shared" si="18"/>
        <v>145</v>
      </c>
      <c r="D100" s="21">
        <f t="shared" si="18"/>
        <v>113</v>
      </c>
      <c r="E100" s="21">
        <f t="shared" si="18"/>
        <v>94</v>
      </c>
      <c r="F100" s="21">
        <f t="shared" si="18"/>
        <v>106</v>
      </c>
      <c r="G100" s="21">
        <f t="shared" si="18"/>
        <v>84</v>
      </c>
      <c r="H100" s="21">
        <f t="shared" si="18"/>
        <v>99</v>
      </c>
      <c r="I100" s="21">
        <f t="shared" si="18"/>
        <v>133</v>
      </c>
      <c r="J100" s="21">
        <f t="shared" si="18"/>
        <v>109</v>
      </c>
      <c r="K100" s="21">
        <f t="shared" si="18"/>
        <v>107</v>
      </c>
      <c r="L100" s="21">
        <f t="shared" si="18"/>
        <v>108</v>
      </c>
      <c r="M100" s="21">
        <f t="shared" si="18"/>
        <v>108</v>
      </c>
      <c r="N100" s="21">
        <f t="shared" si="18"/>
        <v>95</v>
      </c>
      <c r="O100" s="21">
        <f t="shared" si="18"/>
        <v>86</v>
      </c>
      <c r="P100" s="21">
        <f t="shared" si="18"/>
        <v>129</v>
      </c>
      <c r="Q100" s="21">
        <f t="shared" si="18"/>
        <v>138</v>
      </c>
      <c r="R100" s="21">
        <f t="shared" si="18"/>
        <v>114</v>
      </c>
      <c r="S100" s="21">
        <f t="shared" si="18"/>
        <v>86</v>
      </c>
      <c r="T100" s="21">
        <f t="shared" si="18"/>
        <v>101</v>
      </c>
      <c r="U100" s="21">
        <f t="shared" si="18"/>
        <v>94</v>
      </c>
      <c r="V100" s="21">
        <f t="shared" si="18"/>
        <v>102</v>
      </c>
      <c r="W100" s="21">
        <f t="shared" si="18"/>
        <v>132</v>
      </c>
      <c r="X100" s="21">
        <f t="shared" si="18"/>
        <v>135</v>
      </c>
      <c r="Y100" s="21">
        <f t="shared" si="18"/>
        <v>125</v>
      </c>
      <c r="Z100" s="21">
        <f t="shared" si="18"/>
        <v>21</v>
      </c>
      <c r="AA100" s="21">
        <f t="shared" si="18"/>
        <v>104</v>
      </c>
      <c r="AB100" s="21">
        <f t="shared" si="18"/>
        <v>123</v>
      </c>
      <c r="AC100" s="21">
        <f t="shared" si="18"/>
        <v>87</v>
      </c>
      <c r="AD100" s="21">
        <f t="shared" si="18"/>
        <v>0</v>
      </c>
      <c r="AE100" s="21">
        <f t="shared" si="18"/>
        <v>0</v>
      </c>
      <c r="AF100" s="21">
        <f t="shared" si="18"/>
        <v>0</v>
      </c>
      <c r="AG100" s="5">
        <f t="shared" si="17"/>
        <v>3011</v>
      </c>
    </row>
    <row r="101" spans="1:33" ht="15.75" customHeight="1" x14ac:dyDescent="0.25">
      <c r="A101" s="82" t="s">
        <v>49</v>
      </c>
      <c r="B101" s="54">
        <v>7</v>
      </c>
      <c r="C101" s="54">
        <v>7</v>
      </c>
      <c r="D101" s="54">
        <v>12</v>
      </c>
      <c r="E101" s="54">
        <v>8</v>
      </c>
      <c r="F101" s="54">
        <v>11</v>
      </c>
      <c r="G101" s="54">
        <v>6</v>
      </c>
      <c r="H101" s="54">
        <v>8</v>
      </c>
      <c r="I101" s="54">
        <v>9</v>
      </c>
      <c r="J101" s="54">
        <v>11</v>
      </c>
      <c r="K101" s="54">
        <v>7</v>
      </c>
      <c r="L101" s="54">
        <v>8</v>
      </c>
      <c r="M101" s="54">
        <v>3</v>
      </c>
      <c r="N101" s="54">
        <v>6</v>
      </c>
      <c r="O101" s="54">
        <v>11</v>
      </c>
      <c r="P101" s="54">
        <v>9</v>
      </c>
      <c r="Q101" s="54">
        <v>14</v>
      </c>
      <c r="R101" s="54">
        <v>6</v>
      </c>
      <c r="S101" s="54">
        <v>3</v>
      </c>
      <c r="T101" s="54">
        <v>6</v>
      </c>
      <c r="U101" s="54">
        <v>5</v>
      </c>
      <c r="V101" s="54">
        <v>4</v>
      </c>
      <c r="W101" s="54">
        <v>6</v>
      </c>
      <c r="X101" s="54">
        <v>8</v>
      </c>
      <c r="Y101" s="54">
        <v>8</v>
      </c>
      <c r="Z101" s="54">
        <v>2</v>
      </c>
      <c r="AA101" s="54">
        <v>5</v>
      </c>
      <c r="AB101" s="54">
        <v>10</v>
      </c>
      <c r="AC101" s="54">
        <v>5</v>
      </c>
      <c r="AD101" s="54"/>
      <c r="AE101" s="54"/>
      <c r="AF101" s="54"/>
      <c r="AG101" s="5">
        <f t="shared" si="17"/>
        <v>205</v>
      </c>
    </row>
    <row r="102" spans="1:33" ht="15.75" customHeight="1" x14ac:dyDescent="0.25">
      <c r="A102" s="82" t="s">
        <v>50</v>
      </c>
      <c r="B102" s="54">
        <v>11</v>
      </c>
      <c r="C102" s="54">
        <v>15</v>
      </c>
      <c r="D102" s="54">
        <v>10</v>
      </c>
      <c r="E102" s="54">
        <v>8</v>
      </c>
      <c r="F102" s="54">
        <v>5</v>
      </c>
      <c r="G102" s="54">
        <v>3</v>
      </c>
      <c r="H102" s="54">
        <v>12</v>
      </c>
      <c r="I102" s="54">
        <v>11</v>
      </c>
      <c r="J102" s="54">
        <v>7</v>
      </c>
      <c r="K102" s="54">
        <v>10</v>
      </c>
      <c r="L102" s="54">
        <v>9</v>
      </c>
      <c r="M102" s="54">
        <v>12</v>
      </c>
      <c r="N102" s="54">
        <v>5</v>
      </c>
      <c r="O102" s="54">
        <v>5</v>
      </c>
      <c r="P102" s="54">
        <v>12</v>
      </c>
      <c r="Q102" s="54">
        <v>13</v>
      </c>
      <c r="R102" s="54">
        <v>14</v>
      </c>
      <c r="S102" s="54">
        <v>7</v>
      </c>
      <c r="T102" s="54">
        <v>16</v>
      </c>
      <c r="U102" s="54">
        <v>7</v>
      </c>
      <c r="V102" s="54">
        <v>9</v>
      </c>
      <c r="W102" s="54">
        <v>7</v>
      </c>
      <c r="X102" s="54">
        <v>15</v>
      </c>
      <c r="Y102" s="54">
        <v>5</v>
      </c>
      <c r="Z102" s="54">
        <v>2</v>
      </c>
      <c r="AA102" s="54">
        <v>6</v>
      </c>
      <c r="AB102" s="54">
        <v>8</v>
      </c>
      <c r="AC102" s="54">
        <v>13</v>
      </c>
      <c r="AD102" s="54"/>
      <c r="AE102" s="54"/>
      <c r="AF102" s="54"/>
      <c r="AG102" s="5">
        <f t="shared" si="17"/>
        <v>257</v>
      </c>
    </row>
    <row r="103" spans="1:33" ht="15.75" customHeight="1" x14ac:dyDescent="0.25">
      <c r="A103" s="78" t="s">
        <v>51</v>
      </c>
      <c r="B103" s="54">
        <v>11</v>
      </c>
      <c r="C103" s="54">
        <v>13</v>
      </c>
      <c r="D103" s="54">
        <v>11</v>
      </c>
      <c r="E103" s="54">
        <v>7</v>
      </c>
      <c r="F103" s="54">
        <v>8</v>
      </c>
      <c r="G103" s="54">
        <v>5</v>
      </c>
      <c r="H103" s="54">
        <v>12</v>
      </c>
      <c r="I103" s="54">
        <v>9</v>
      </c>
      <c r="J103" s="54">
        <v>6</v>
      </c>
      <c r="K103" s="54">
        <v>8</v>
      </c>
      <c r="L103" s="54">
        <v>6</v>
      </c>
      <c r="M103" s="54">
        <v>6</v>
      </c>
      <c r="N103" s="54">
        <v>7</v>
      </c>
      <c r="O103" s="54">
        <v>8</v>
      </c>
      <c r="P103" s="54">
        <v>8</v>
      </c>
      <c r="Q103" s="54">
        <v>13</v>
      </c>
      <c r="R103" s="54">
        <v>6</v>
      </c>
      <c r="S103" s="54">
        <v>9</v>
      </c>
      <c r="T103" s="54">
        <v>7</v>
      </c>
      <c r="U103" s="54">
        <v>10</v>
      </c>
      <c r="V103" s="54">
        <v>4</v>
      </c>
      <c r="W103" s="54">
        <v>11</v>
      </c>
      <c r="X103" s="54">
        <v>6</v>
      </c>
      <c r="Y103" s="54">
        <v>9</v>
      </c>
      <c r="Z103" s="54">
        <v>3</v>
      </c>
      <c r="AA103" s="54">
        <v>9</v>
      </c>
      <c r="AB103" s="54">
        <v>10</v>
      </c>
      <c r="AC103" s="54">
        <v>6</v>
      </c>
      <c r="AD103" s="54"/>
      <c r="AE103" s="54"/>
      <c r="AF103" s="54"/>
      <c r="AG103" s="5">
        <f t="shared" si="17"/>
        <v>228</v>
      </c>
    </row>
    <row r="104" spans="1:33" ht="15.75" customHeight="1" x14ac:dyDescent="0.25">
      <c r="A104" s="78" t="s">
        <v>52</v>
      </c>
      <c r="B104" s="54">
        <v>14</v>
      </c>
      <c r="C104" s="54">
        <v>11</v>
      </c>
      <c r="D104" s="54">
        <v>7</v>
      </c>
      <c r="E104" s="54">
        <v>5</v>
      </c>
      <c r="F104" s="54">
        <v>6</v>
      </c>
      <c r="G104" s="54">
        <v>8</v>
      </c>
      <c r="H104" s="54">
        <v>3</v>
      </c>
      <c r="I104" s="54">
        <v>10</v>
      </c>
      <c r="J104" s="54">
        <v>12</v>
      </c>
      <c r="K104" s="54">
        <v>5</v>
      </c>
      <c r="L104" s="54">
        <v>7</v>
      </c>
      <c r="M104" s="54">
        <v>12</v>
      </c>
      <c r="N104" s="54">
        <v>9</v>
      </c>
      <c r="O104" s="54">
        <v>10</v>
      </c>
      <c r="P104" s="54">
        <v>15</v>
      </c>
      <c r="Q104" s="54">
        <v>13</v>
      </c>
      <c r="R104" s="54">
        <v>6</v>
      </c>
      <c r="S104" s="54">
        <v>7</v>
      </c>
      <c r="T104" s="54">
        <v>7</v>
      </c>
      <c r="U104" s="54">
        <v>5</v>
      </c>
      <c r="V104" s="54">
        <v>9</v>
      </c>
      <c r="W104" s="54">
        <v>12</v>
      </c>
      <c r="X104" s="54">
        <v>6</v>
      </c>
      <c r="Y104" s="54">
        <v>16</v>
      </c>
      <c r="Z104" s="54">
        <v>3</v>
      </c>
      <c r="AA104" s="54">
        <v>4</v>
      </c>
      <c r="AB104" s="54">
        <v>5</v>
      </c>
      <c r="AC104" s="54">
        <v>4</v>
      </c>
      <c r="AD104" s="54"/>
      <c r="AE104" s="54"/>
      <c r="AF104" s="54"/>
      <c r="AG104" s="5">
        <f t="shared" si="17"/>
        <v>231</v>
      </c>
    </row>
    <row r="105" spans="1:33" ht="15.75" customHeight="1" x14ac:dyDescent="0.25">
      <c r="A105" s="78" t="s">
        <v>53</v>
      </c>
      <c r="B105" s="54">
        <v>11</v>
      </c>
      <c r="C105" s="54">
        <v>13</v>
      </c>
      <c r="D105" s="54">
        <v>6</v>
      </c>
      <c r="E105" s="54">
        <v>8</v>
      </c>
      <c r="F105" s="54">
        <v>10</v>
      </c>
      <c r="G105" s="54">
        <v>8</v>
      </c>
      <c r="H105" s="54">
        <v>5</v>
      </c>
      <c r="I105" s="54">
        <v>8</v>
      </c>
      <c r="J105" s="54">
        <v>8</v>
      </c>
      <c r="K105" s="54">
        <v>10</v>
      </c>
      <c r="L105" s="54">
        <v>8</v>
      </c>
      <c r="M105" s="54">
        <v>8</v>
      </c>
      <c r="N105" s="54">
        <v>8</v>
      </c>
      <c r="O105" s="54">
        <v>3</v>
      </c>
      <c r="P105" s="54">
        <v>9</v>
      </c>
      <c r="Q105" s="54">
        <v>6</v>
      </c>
      <c r="R105" s="54">
        <v>8</v>
      </c>
      <c r="S105" s="54">
        <v>4</v>
      </c>
      <c r="T105" s="54">
        <v>5</v>
      </c>
      <c r="U105" s="54">
        <v>6</v>
      </c>
      <c r="V105" s="54">
        <v>8</v>
      </c>
      <c r="W105" s="54">
        <v>8</v>
      </c>
      <c r="X105" s="54">
        <v>7</v>
      </c>
      <c r="Y105" s="54">
        <v>5</v>
      </c>
      <c r="Z105" s="54">
        <v>0</v>
      </c>
      <c r="AA105" s="54">
        <v>7</v>
      </c>
      <c r="AB105" s="54">
        <v>16</v>
      </c>
      <c r="AC105" s="54">
        <v>5</v>
      </c>
      <c r="AD105" s="54"/>
      <c r="AE105" s="54"/>
      <c r="AF105" s="54"/>
      <c r="AG105" s="5">
        <f t="shared" si="17"/>
        <v>208</v>
      </c>
    </row>
    <row r="106" spans="1:33" ht="15.75" customHeight="1" x14ac:dyDescent="0.25">
      <c r="A106" s="78" t="s">
        <v>54</v>
      </c>
      <c r="B106" s="54">
        <v>10</v>
      </c>
      <c r="C106" s="54">
        <v>9</v>
      </c>
      <c r="D106" s="54">
        <v>12</v>
      </c>
      <c r="E106" s="54">
        <v>6</v>
      </c>
      <c r="F106" s="54">
        <v>9</v>
      </c>
      <c r="G106" s="54">
        <v>10</v>
      </c>
      <c r="H106" s="54">
        <v>8</v>
      </c>
      <c r="I106" s="54">
        <v>10</v>
      </c>
      <c r="J106" s="54">
        <v>9</v>
      </c>
      <c r="K106" s="54">
        <v>7</v>
      </c>
      <c r="L106" s="54">
        <v>3</v>
      </c>
      <c r="M106" s="54">
        <v>11</v>
      </c>
      <c r="N106" s="54">
        <v>6</v>
      </c>
      <c r="O106" s="54">
        <v>4</v>
      </c>
      <c r="P106" s="54">
        <v>9</v>
      </c>
      <c r="Q106" s="54">
        <v>7</v>
      </c>
      <c r="R106" s="54">
        <v>7</v>
      </c>
      <c r="S106" s="54">
        <v>3</v>
      </c>
      <c r="T106" s="54">
        <v>4</v>
      </c>
      <c r="U106" s="54">
        <v>8</v>
      </c>
      <c r="V106" s="54">
        <v>10</v>
      </c>
      <c r="W106" s="54">
        <v>13</v>
      </c>
      <c r="X106" s="54">
        <v>10</v>
      </c>
      <c r="Y106" s="54">
        <v>12</v>
      </c>
      <c r="Z106" s="54">
        <v>2</v>
      </c>
      <c r="AA106" s="54">
        <v>9</v>
      </c>
      <c r="AB106" s="54">
        <v>10</v>
      </c>
      <c r="AC106" s="54">
        <v>9</v>
      </c>
      <c r="AD106" s="54"/>
      <c r="AE106" s="54"/>
      <c r="AF106" s="54"/>
      <c r="AG106" s="5">
        <f t="shared" si="17"/>
        <v>227</v>
      </c>
    </row>
    <row r="107" spans="1:33" ht="15.75" customHeight="1" x14ac:dyDescent="0.25">
      <c r="A107" s="78" t="s">
        <v>55</v>
      </c>
      <c r="B107" s="54">
        <v>7</v>
      </c>
      <c r="C107" s="54">
        <v>10</v>
      </c>
      <c r="D107" s="54">
        <v>8</v>
      </c>
      <c r="E107" s="54">
        <v>7</v>
      </c>
      <c r="F107" s="54">
        <v>7</v>
      </c>
      <c r="G107" s="54">
        <v>5</v>
      </c>
      <c r="H107" s="54">
        <v>8</v>
      </c>
      <c r="I107" s="54">
        <v>11</v>
      </c>
      <c r="J107" s="54">
        <v>8</v>
      </c>
      <c r="K107" s="54">
        <v>6</v>
      </c>
      <c r="L107" s="54">
        <v>6</v>
      </c>
      <c r="M107" s="54">
        <v>3</v>
      </c>
      <c r="N107" s="54">
        <v>5</v>
      </c>
      <c r="O107" s="54">
        <v>4</v>
      </c>
      <c r="P107" s="54">
        <v>7</v>
      </c>
      <c r="Q107" s="54">
        <v>11</v>
      </c>
      <c r="R107" s="54">
        <v>7</v>
      </c>
      <c r="S107" s="54">
        <v>7</v>
      </c>
      <c r="T107" s="54">
        <v>2</v>
      </c>
      <c r="U107" s="54">
        <v>3</v>
      </c>
      <c r="V107" s="54">
        <v>7</v>
      </c>
      <c r="W107" s="54">
        <v>9</v>
      </c>
      <c r="X107" s="54">
        <v>12</v>
      </c>
      <c r="Y107" s="54">
        <v>9</v>
      </c>
      <c r="Z107" s="54">
        <v>0</v>
      </c>
      <c r="AA107" s="54">
        <v>7</v>
      </c>
      <c r="AB107" s="54">
        <v>9</v>
      </c>
      <c r="AC107" s="54">
        <v>4</v>
      </c>
      <c r="AD107" s="54"/>
      <c r="AE107" s="54"/>
      <c r="AF107" s="54"/>
      <c r="AG107" s="5">
        <f t="shared" si="17"/>
        <v>189</v>
      </c>
    </row>
    <row r="108" spans="1:33" ht="15.75" customHeight="1" x14ac:dyDescent="0.25">
      <c r="A108" s="78" t="s">
        <v>56</v>
      </c>
      <c r="B108" s="54">
        <v>10</v>
      </c>
      <c r="C108" s="54">
        <v>11</v>
      </c>
      <c r="D108" s="54">
        <v>7</v>
      </c>
      <c r="E108" s="54">
        <v>5</v>
      </c>
      <c r="F108" s="54">
        <v>10</v>
      </c>
      <c r="G108" s="54">
        <v>6</v>
      </c>
      <c r="H108" s="54">
        <v>8</v>
      </c>
      <c r="I108" s="54">
        <v>15</v>
      </c>
      <c r="J108" s="54">
        <v>11</v>
      </c>
      <c r="K108" s="54">
        <v>14</v>
      </c>
      <c r="L108" s="54">
        <v>11</v>
      </c>
      <c r="M108" s="54">
        <v>10</v>
      </c>
      <c r="N108" s="54">
        <v>7</v>
      </c>
      <c r="O108" s="54">
        <v>4</v>
      </c>
      <c r="P108" s="54">
        <v>11</v>
      </c>
      <c r="Q108" s="54">
        <v>11</v>
      </c>
      <c r="R108" s="54">
        <v>9</v>
      </c>
      <c r="S108" s="54">
        <v>8</v>
      </c>
      <c r="T108" s="54">
        <v>17</v>
      </c>
      <c r="U108" s="54">
        <v>9</v>
      </c>
      <c r="V108" s="54">
        <v>8</v>
      </c>
      <c r="W108" s="54">
        <v>12</v>
      </c>
      <c r="X108" s="54">
        <v>12</v>
      </c>
      <c r="Y108" s="54">
        <v>10</v>
      </c>
      <c r="Z108" s="54">
        <v>1</v>
      </c>
      <c r="AA108" s="54">
        <v>10</v>
      </c>
      <c r="AB108" s="54">
        <v>5</v>
      </c>
      <c r="AC108" s="54">
        <v>3</v>
      </c>
      <c r="AD108" s="54"/>
      <c r="AE108" s="54"/>
      <c r="AF108" s="54"/>
      <c r="AG108" s="5">
        <f t="shared" si="17"/>
        <v>255</v>
      </c>
    </row>
    <row r="109" spans="1:33" ht="15.75" customHeight="1" x14ac:dyDescent="0.25">
      <c r="A109" s="78" t="s">
        <v>57</v>
      </c>
      <c r="B109" s="54">
        <v>9</v>
      </c>
      <c r="C109" s="54">
        <v>8</v>
      </c>
      <c r="D109" s="54">
        <v>6</v>
      </c>
      <c r="E109" s="54">
        <v>7</v>
      </c>
      <c r="F109" s="54">
        <v>4</v>
      </c>
      <c r="G109" s="54">
        <v>10</v>
      </c>
      <c r="H109" s="54">
        <v>9</v>
      </c>
      <c r="I109" s="54">
        <v>13</v>
      </c>
      <c r="J109" s="54">
        <v>6</v>
      </c>
      <c r="K109" s="54">
        <v>7</v>
      </c>
      <c r="L109" s="54">
        <v>6</v>
      </c>
      <c r="M109" s="54">
        <v>5</v>
      </c>
      <c r="N109" s="54">
        <v>10</v>
      </c>
      <c r="O109" s="54">
        <v>8</v>
      </c>
      <c r="P109" s="54">
        <v>8</v>
      </c>
      <c r="Q109" s="54">
        <v>12</v>
      </c>
      <c r="R109" s="54">
        <v>15</v>
      </c>
      <c r="S109" s="54">
        <v>14</v>
      </c>
      <c r="T109" s="54">
        <v>14</v>
      </c>
      <c r="U109" s="54">
        <v>6</v>
      </c>
      <c r="V109" s="54">
        <v>9</v>
      </c>
      <c r="W109" s="54">
        <v>13</v>
      </c>
      <c r="X109" s="54">
        <v>13</v>
      </c>
      <c r="Y109" s="54">
        <v>9</v>
      </c>
      <c r="Z109" s="54">
        <v>3</v>
      </c>
      <c r="AA109" s="54">
        <v>4</v>
      </c>
      <c r="AB109" s="54">
        <v>10</v>
      </c>
      <c r="AC109" s="54">
        <v>10</v>
      </c>
      <c r="AD109" s="54"/>
      <c r="AE109" s="54"/>
      <c r="AF109" s="54"/>
      <c r="AG109" s="5">
        <f t="shared" si="17"/>
        <v>248</v>
      </c>
    </row>
    <row r="110" spans="1:33" ht="15.75" customHeight="1" x14ac:dyDescent="0.25">
      <c r="A110" s="78" t="s">
        <v>58</v>
      </c>
      <c r="B110" s="54">
        <v>11</v>
      </c>
      <c r="C110" s="54">
        <v>8</v>
      </c>
      <c r="D110" s="54">
        <v>11</v>
      </c>
      <c r="E110" s="54">
        <v>8</v>
      </c>
      <c r="F110" s="54">
        <v>13</v>
      </c>
      <c r="G110" s="54">
        <v>9</v>
      </c>
      <c r="H110" s="54">
        <v>5</v>
      </c>
      <c r="I110" s="54">
        <v>12</v>
      </c>
      <c r="J110" s="54">
        <v>9</v>
      </c>
      <c r="K110" s="54">
        <v>9</v>
      </c>
      <c r="L110" s="54">
        <v>5</v>
      </c>
      <c r="M110" s="54">
        <v>12</v>
      </c>
      <c r="N110" s="54">
        <v>6</v>
      </c>
      <c r="O110" s="54">
        <v>4</v>
      </c>
      <c r="P110" s="54">
        <v>8</v>
      </c>
      <c r="Q110" s="54">
        <v>8</v>
      </c>
      <c r="R110" s="54">
        <v>14</v>
      </c>
      <c r="S110" s="54">
        <v>5</v>
      </c>
      <c r="T110" s="54">
        <v>7</v>
      </c>
      <c r="U110" s="54">
        <v>8</v>
      </c>
      <c r="V110" s="54">
        <v>9</v>
      </c>
      <c r="W110" s="54">
        <v>12</v>
      </c>
      <c r="X110" s="54">
        <v>5</v>
      </c>
      <c r="Y110" s="54">
        <v>12</v>
      </c>
      <c r="Z110" s="54">
        <v>2</v>
      </c>
      <c r="AA110" s="54">
        <v>9</v>
      </c>
      <c r="AB110" s="54">
        <v>16</v>
      </c>
      <c r="AC110" s="54">
        <v>5</v>
      </c>
      <c r="AD110" s="54"/>
      <c r="AE110" s="54"/>
      <c r="AF110" s="54"/>
      <c r="AG110" s="5">
        <f t="shared" si="17"/>
        <v>242</v>
      </c>
    </row>
    <row r="111" spans="1:33" ht="15.75" customHeight="1" x14ac:dyDescent="0.25">
      <c r="A111" s="78" t="s">
        <v>59</v>
      </c>
      <c r="B111" s="54">
        <v>6</v>
      </c>
      <c r="C111" s="54">
        <v>13</v>
      </c>
      <c r="D111" s="54">
        <v>9</v>
      </c>
      <c r="E111" s="54">
        <v>5</v>
      </c>
      <c r="F111" s="54">
        <v>8</v>
      </c>
      <c r="G111" s="54">
        <v>5</v>
      </c>
      <c r="H111" s="54">
        <v>5</v>
      </c>
      <c r="I111" s="54">
        <v>5</v>
      </c>
      <c r="J111" s="54">
        <v>7</v>
      </c>
      <c r="K111" s="54">
        <v>5</v>
      </c>
      <c r="L111" s="54">
        <v>6</v>
      </c>
      <c r="M111" s="54">
        <v>6</v>
      </c>
      <c r="N111" s="54">
        <v>7</v>
      </c>
      <c r="O111" s="54">
        <v>6</v>
      </c>
      <c r="P111" s="54">
        <v>7</v>
      </c>
      <c r="Q111" s="54">
        <v>9</v>
      </c>
      <c r="R111" s="54">
        <v>6</v>
      </c>
      <c r="S111" s="54">
        <v>3</v>
      </c>
      <c r="T111" s="54">
        <v>7</v>
      </c>
      <c r="U111" s="54">
        <v>6</v>
      </c>
      <c r="V111" s="54">
        <v>6</v>
      </c>
      <c r="W111" s="54">
        <v>8</v>
      </c>
      <c r="X111" s="54">
        <v>13</v>
      </c>
      <c r="Y111" s="54">
        <v>9</v>
      </c>
      <c r="Z111" s="54">
        <v>1</v>
      </c>
      <c r="AA111" s="54">
        <v>14</v>
      </c>
      <c r="AB111" s="54">
        <v>6</v>
      </c>
      <c r="AC111" s="54">
        <v>6</v>
      </c>
      <c r="AD111" s="54"/>
      <c r="AE111" s="54"/>
      <c r="AF111" s="54"/>
      <c r="AG111" s="5">
        <f t="shared" si="17"/>
        <v>194</v>
      </c>
    </row>
    <row r="112" spans="1:33" ht="15.75" customHeight="1" x14ac:dyDescent="0.25">
      <c r="A112" s="78" t="s">
        <v>60</v>
      </c>
      <c r="B112" s="54">
        <v>5</v>
      </c>
      <c r="C112" s="54">
        <v>8</v>
      </c>
      <c r="D112" s="54">
        <v>5</v>
      </c>
      <c r="E112" s="54">
        <v>10</v>
      </c>
      <c r="F112" s="54">
        <v>6</v>
      </c>
      <c r="G112" s="54">
        <v>2</v>
      </c>
      <c r="H112" s="54">
        <v>6</v>
      </c>
      <c r="I112" s="54">
        <v>10</v>
      </c>
      <c r="J112" s="54">
        <v>5</v>
      </c>
      <c r="K112" s="54">
        <v>9</v>
      </c>
      <c r="L112" s="54">
        <v>13</v>
      </c>
      <c r="M112" s="54">
        <v>7</v>
      </c>
      <c r="N112" s="54">
        <v>5</v>
      </c>
      <c r="O112" s="54">
        <v>5</v>
      </c>
      <c r="P112" s="54">
        <v>4</v>
      </c>
      <c r="Q112" s="54">
        <v>8</v>
      </c>
      <c r="R112" s="54">
        <v>3</v>
      </c>
      <c r="S112" s="54">
        <v>5</v>
      </c>
      <c r="T112" s="54">
        <v>1</v>
      </c>
      <c r="U112" s="54">
        <v>6</v>
      </c>
      <c r="V112" s="54">
        <v>3</v>
      </c>
      <c r="W112" s="54">
        <v>6</v>
      </c>
      <c r="X112" s="54">
        <v>8</v>
      </c>
      <c r="Y112" s="54">
        <v>5</v>
      </c>
      <c r="Z112" s="54">
        <v>0</v>
      </c>
      <c r="AA112" s="54">
        <v>5</v>
      </c>
      <c r="AB112" s="54">
        <v>5</v>
      </c>
      <c r="AC112" s="54">
        <v>3</v>
      </c>
      <c r="AD112" s="54"/>
      <c r="AE112" s="54"/>
      <c r="AF112" s="54"/>
      <c r="AG112" s="5">
        <f t="shared" si="17"/>
        <v>158</v>
      </c>
    </row>
    <row r="113" spans="1:37" ht="15.75" customHeight="1" x14ac:dyDescent="0.25">
      <c r="A113" s="78" t="s">
        <v>61</v>
      </c>
      <c r="B113" s="54">
        <v>11</v>
      </c>
      <c r="C113" s="54">
        <v>12</v>
      </c>
      <c r="D113" s="54">
        <v>2</v>
      </c>
      <c r="E113" s="54">
        <v>2</v>
      </c>
      <c r="F113" s="54">
        <v>5</v>
      </c>
      <c r="G113" s="54">
        <v>3</v>
      </c>
      <c r="H113" s="54">
        <v>6</v>
      </c>
      <c r="I113" s="54">
        <v>6</v>
      </c>
      <c r="J113" s="54">
        <v>1</v>
      </c>
      <c r="K113" s="54">
        <v>7</v>
      </c>
      <c r="L113" s="54">
        <v>8</v>
      </c>
      <c r="M113" s="54">
        <v>4</v>
      </c>
      <c r="N113" s="54">
        <v>4</v>
      </c>
      <c r="O113" s="54">
        <v>6</v>
      </c>
      <c r="P113" s="54">
        <v>10</v>
      </c>
      <c r="Q113" s="54">
        <v>3</v>
      </c>
      <c r="R113" s="54">
        <v>5</v>
      </c>
      <c r="S113" s="54">
        <v>4</v>
      </c>
      <c r="T113" s="54">
        <v>3</v>
      </c>
      <c r="U113" s="54">
        <v>4</v>
      </c>
      <c r="V113" s="54">
        <v>6</v>
      </c>
      <c r="W113" s="54">
        <v>6</v>
      </c>
      <c r="X113" s="54">
        <v>10</v>
      </c>
      <c r="Y113" s="54">
        <v>8</v>
      </c>
      <c r="Z113" s="54">
        <v>0</v>
      </c>
      <c r="AA113" s="54">
        <v>9</v>
      </c>
      <c r="AB113" s="54">
        <v>8</v>
      </c>
      <c r="AC113" s="54">
        <v>6</v>
      </c>
      <c r="AD113" s="54"/>
      <c r="AE113" s="54"/>
      <c r="AF113" s="54"/>
      <c r="AG113" s="5">
        <f t="shared" si="17"/>
        <v>159</v>
      </c>
    </row>
    <row r="114" spans="1:37" ht="15.75" customHeight="1" x14ac:dyDescent="0.25">
      <c r="A114" s="78" t="s">
        <v>62</v>
      </c>
      <c r="B114" s="54">
        <v>10</v>
      </c>
      <c r="C114" s="54">
        <v>7</v>
      </c>
      <c r="D114" s="54">
        <v>7</v>
      </c>
      <c r="E114" s="54">
        <v>8</v>
      </c>
      <c r="F114" s="54">
        <v>4</v>
      </c>
      <c r="G114" s="54">
        <v>4</v>
      </c>
      <c r="H114" s="54">
        <v>4</v>
      </c>
      <c r="I114" s="54">
        <v>4</v>
      </c>
      <c r="J114" s="54">
        <v>9</v>
      </c>
      <c r="K114" s="54">
        <v>3</v>
      </c>
      <c r="L114" s="54">
        <v>12</v>
      </c>
      <c r="M114" s="54">
        <v>9</v>
      </c>
      <c r="N114" s="54">
        <v>10</v>
      </c>
      <c r="O114" s="54">
        <v>8</v>
      </c>
      <c r="P114" s="54">
        <v>12</v>
      </c>
      <c r="Q114" s="54">
        <v>10</v>
      </c>
      <c r="R114" s="54">
        <v>8</v>
      </c>
      <c r="S114" s="54">
        <v>7</v>
      </c>
      <c r="T114" s="54">
        <v>5</v>
      </c>
      <c r="U114" s="54">
        <v>11</v>
      </c>
      <c r="V114" s="54">
        <v>10</v>
      </c>
      <c r="W114" s="54">
        <v>9</v>
      </c>
      <c r="X114" s="54">
        <v>10</v>
      </c>
      <c r="Y114" s="54">
        <v>8</v>
      </c>
      <c r="Z114" s="54">
        <v>2</v>
      </c>
      <c r="AA114" s="54">
        <v>6</v>
      </c>
      <c r="AB114" s="54">
        <v>5</v>
      </c>
      <c r="AC114" s="54">
        <v>8</v>
      </c>
      <c r="AD114" s="54"/>
      <c r="AE114" s="54"/>
      <c r="AF114" s="54"/>
      <c r="AG114" s="5">
        <f t="shared" si="17"/>
        <v>210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52</v>
      </c>
      <c r="C116" s="20">
        <f t="shared" si="19"/>
        <v>31</v>
      </c>
      <c r="D116" s="20">
        <f t="shared" si="19"/>
        <v>47</v>
      </c>
      <c r="E116" s="20">
        <f t="shared" si="19"/>
        <v>39</v>
      </c>
      <c r="F116" s="20">
        <f t="shared" si="19"/>
        <v>38</v>
      </c>
      <c r="G116" s="20">
        <f t="shared" si="19"/>
        <v>29</v>
      </c>
      <c r="H116" s="20">
        <f t="shared" si="19"/>
        <v>33</v>
      </c>
      <c r="I116" s="20">
        <f t="shared" si="19"/>
        <v>39</v>
      </c>
      <c r="J116" s="20">
        <f t="shared" si="19"/>
        <v>39</v>
      </c>
      <c r="K116" s="20">
        <f t="shared" si="19"/>
        <v>36</v>
      </c>
      <c r="L116" s="20">
        <f t="shared" si="19"/>
        <v>44</v>
      </c>
      <c r="M116" s="20">
        <f t="shared" si="19"/>
        <v>49</v>
      </c>
      <c r="N116" s="20">
        <f t="shared" si="19"/>
        <v>35</v>
      </c>
      <c r="O116" s="20">
        <f t="shared" si="19"/>
        <v>33</v>
      </c>
      <c r="P116" s="20">
        <f t="shared" si="19"/>
        <v>47</v>
      </c>
      <c r="Q116" s="20">
        <f t="shared" si="19"/>
        <v>42</v>
      </c>
      <c r="R116" s="20">
        <f t="shared" si="19"/>
        <v>48</v>
      </c>
      <c r="S116" s="20">
        <f t="shared" si="19"/>
        <v>35</v>
      </c>
      <c r="T116" s="20">
        <f t="shared" si="19"/>
        <v>27</v>
      </c>
      <c r="U116" s="20">
        <f t="shared" si="19"/>
        <v>43</v>
      </c>
      <c r="V116" s="20">
        <f t="shared" si="19"/>
        <v>29</v>
      </c>
      <c r="W116" s="20">
        <f t="shared" si="19"/>
        <v>38</v>
      </c>
      <c r="X116" s="20">
        <f t="shared" si="19"/>
        <v>36</v>
      </c>
      <c r="Y116" s="20">
        <f t="shared" si="19"/>
        <v>57</v>
      </c>
      <c r="Z116" s="20">
        <f t="shared" si="19"/>
        <v>16</v>
      </c>
      <c r="AA116" s="20">
        <f t="shared" si="19"/>
        <v>35</v>
      </c>
      <c r="AB116" s="20">
        <f t="shared" si="19"/>
        <v>40</v>
      </c>
      <c r="AC116" s="20">
        <f t="shared" si="19"/>
        <v>25</v>
      </c>
      <c r="AD116" s="20">
        <f t="shared" si="19"/>
        <v>0</v>
      </c>
      <c r="AE116" s="20">
        <f t="shared" si="19"/>
        <v>0</v>
      </c>
      <c r="AF116" s="20">
        <f t="shared" si="19"/>
        <v>0</v>
      </c>
      <c r="AG116" s="5">
        <f t="shared" si="17"/>
        <v>1062</v>
      </c>
      <c r="AK116" s="84">
        <v>612</v>
      </c>
    </row>
    <row r="117" spans="1:37" ht="15.75" customHeight="1" x14ac:dyDescent="0.25">
      <c r="A117" s="85" t="s">
        <v>64</v>
      </c>
      <c r="B117" s="54">
        <v>41</v>
      </c>
      <c r="C117" s="54">
        <v>21</v>
      </c>
      <c r="D117" s="54">
        <v>36</v>
      </c>
      <c r="E117" s="54">
        <v>29</v>
      </c>
      <c r="F117" s="54">
        <v>30</v>
      </c>
      <c r="G117" s="54">
        <v>24</v>
      </c>
      <c r="H117" s="54">
        <v>24</v>
      </c>
      <c r="I117" s="54">
        <v>29</v>
      </c>
      <c r="J117" s="54">
        <v>31</v>
      </c>
      <c r="K117" s="54">
        <v>27</v>
      </c>
      <c r="L117" s="54">
        <v>34</v>
      </c>
      <c r="M117" s="54">
        <v>36</v>
      </c>
      <c r="N117" s="54">
        <v>26</v>
      </c>
      <c r="O117" s="54">
        <v>24</v>
      </c>
      <c r="P117" s="54">
        <v>34</v>
      </c>
      <c r="Q117" s="54">
        <v>32</v>
      </c>
      <c r="R117" s="54">
        <v>36</v>
      </c>
      <c r="S117" s="54">
        <v>28</v>
      </c>
      <c r="T117" s="54">
        <v>20</v>
      </c>
      <c r="U117" s="54">
        <v>35</v>
      </c>
      <c r="V117" s="54">
        <v>25</v>
      </c>
      <c r="W117" s="54">
        <v>29</v>
      </c>
      <c r="X117" s="54">
        <v>29</v>
      </c>
      <c r="Y117" s="54">
        <v>45</v>
      </c>
      <c r="Z117" s="54">
        <v>13</v>
      </c>
      <c r="AA117" s="54">
        <v>27</v>
      </c>
      <c r="AB117" s="54">
        <v>33</v>
      </c>
      <c r="AC117" s="54">
        <v>19</v>
      </c>
      <c r="AD117" s="54"/>
      <c r="AE117" s="54"/>
      <c r="AF117" s="54"/>
      <c r="AG117" s="5">
        <f t="shared" si="17"/>
        <v>817</v>
      </c>
      <c r="AK117" s="84">
        <v>613</v>
      </c>
    </row>
    <row r="118" spans="1:37" ht="15.75" customHeight="1" thickBot="1" x14ac:dyDescent="0.3">
      <c r="A118" s="86" t="s">
        <v>76</v>
      </c>
      <c r="B118" s="87">
        <v>11</v>
      </c>
      <c r="C118" s="87">
        <v>10</v>
      </c>
      <c r="D118" s="87">
        <v>11</v>
      </c>
      <c r="E118" s="87">
        <v>10</v>
      </c>
      <c r="F118" s="87">
        <v>8</v>
      </c>
      <c r="G118" s="87">
        <v>5</v>
      </c>
      <c r="H118" s="87">
        <v>9</v>
      </c>
      <c r="I118" s="87">
        <v>10</v>
      </c>
      <c r="J118" s="87">
        <v>8</v>
      </c>
      <c r="K118" s="87">
        <v>9</v>
      </c>
      <c r="L118" s="87">
        <v>10</v>
      </c>
      <c r="M118" s="87">
        <v>13</v>
      </c>
      <c r="N118" s="87">
        <v>9</v>
      </c>
      <c r="O118" s="87">
        <v>9</v>
      </c>
      <c r="P118" s="87">
        <v>13</v>
      </c>
      <c r="Q118" s="87">
        <v>10</v>
      </c>
      <c r="R118" s="87">
        <v>12</v>
      </c>
      <c r="S118" s="87">
        <v>7</v>
      </c>
      <c r="T118" s="87">
        <v>7</v>
      </c>
      <c r="U118" s="87">
        <v>8</v>
      </c>
      <c r="V118" s="87">
        <v>4</v>
      </c>
      <c r="W118" s="87">
        <v>9</v>
      </c>
      <c r="X118" s="87">
        <v>7</v>
      </c>
      <c r="Y118" s="87">
        <v>12</v>
      </c>
      <c r="Z118" s="87">
        <v>3</v>
      </c>
      <c r="AA118" s="87">
        <v>8</v>
      </c>
      <c r="AB118" s="87">
        <v>7</v>
      </c>
      <c r="AC118" s="87">
        <v>6</v>
      </c>
      <c r="AD118" s="87"/>
      <c r="AE118" s="87"/>
      <c r="AF118" s="87"/>
      <c r="AG118" s="5">
        <f t="shared" si="17"/>
        <v>245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146</v>
      </c>
      <c r="C119" s="20">
        <f t="shared" si="20"/>
        <v>162</v>
      </c>
      <c r="D119" s="20">
        <f t="shared" si="20"/>
        <v>122</v>
      </c>
      <c r="E119" s="20">
        <f t="shared" si="20"/>
        <v>108</v>
      </c>
      <c r="F119" s="20">
        <f t="shared" si="20"/>
        <v>112</v>
      </c>
      <c r="G119" s="20">
        <f t="shared" si="20"/>
        <v>93</v>
      </c>
      <c r="H119" s="20">
        <f t="shared" si="20"/>
        <v>111</v>
      </c>
      <c r="I119" s="20">
        <f t="shared" si="20"/>
        <v>145</v>
      </c>
      <c r="J119" s="20">
        <f t="shared" si="20"/>
        <v>127</v>
      </c>
      <c r="K119" s="20">
        <f t="shared" si="20"/>
        <v>115</v>
      </c>
      <c r="L119" s="20">
        <f t="shared" si="20"/>
        <v>114</v>
      </c>
      <c r="M119" s="20">
        <f t="shared" si="20"/>
        <v>122</v>
      </c>
      <c r="N119" s="20">
        <f t="shared" si="20"/>
        <v>106</v>
      </c>
      <c r="O119" s="20">
        <f t="shared" si="20"/>
        <v>97</v>
      </c>
      <c r="P119" s="20">
        <f t="shared" si="20"/>
        <v>143</v>
      </c>
      <c r="Q119" s="20">
        <f t="shared" si="20"/>
        <v>150</v>
      </c>
      <c r="R119" s="20">
        <f t="shared" si="20"/>
        <v>126</v>
      </c>
      <c r="S119" s="20">
        <f t="shared" si="20"/>
        <v>94</v>
      </c>
      <c r="T119" s="20">
        <f t="shared" si="20"/>
        <v>106</v>
      </c>
      <c r="U119" s="20">
        <f t="shared" si="20"/>
        <v>105</v>
      </c>
      <c r="V119" s="20">
        <f t="shared" si="20"/>
        <v>115</v>
      </c>
      <c r="W119" s="20">
        <f t="shared" si="20"/>
        <v>147</v>
      </c>
      <c r="X119" s="20">
        <f t="shared" si="20"/>
        <v>144</v>
      </c>
      <c r="Y119" s="20">
        <f t="shared" si="20"/>
        <v>139</v>
      </c>
      <c r="Z119" s="20">
        <f t="shared" si="20"/>
        <v>23</v>
      </c>
      <c r="AA119" s="20">
        <f t="shared" si="20"/>
        <v>119</v>
      </c>
      <c r="AB119" s="20">
        <f t="shared" si="20"/>
        <v>129</v>
      </c>
      <c r="AC119" s="20">
        <f t="shared" si="20"/>
        <v>94</v>
      </c>
      <c r="AD119" s="20">
        <f t="shared" si="20"/>
        <v>0</v>
      </c>
      <c r="AE119" s="20">
        <f t="shared" si="20"/>
        <v>0</v>
      </c>
      <c r="AF119" s="20">
        <f t="shared" si="20"/>
        <v>0</v>
      </c>
      <c r="AG119" s="7">
        <f t="shared" si="17"/>
        <v>3314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40</v>
      </c>
      <c r="C120" s="54">
        <v>20</v>
      </c>
      <c r="D120" s="54">
        <v>31</v>
      </c>
      <c r="E120" s="54">
        <v>28</v>
      </c>
      <c r="F120" s="54">
        <v>24</v>
      </c>
      <c r="G120" s="54">
        <v>23</v>
      </c>
      <c r="H120" s="54">
        <v>23</v>
      </c>
      <c r="I120" s="54">
        <v>29</v>
      </c>
      <c r="J120" s="54">
        <v>30</v>
      </c>
      <c r="K120" s="54">
        <v>26</v>
      </c>
      <c r="L120" s="54">
        <v>31</v>
      </c>
      <c r="M120" s="54">
        <v>34</v>
      </c>
      <c r="N120" s="54">
        <v>25</v>
      </c>
      <c r="O120" s="54">
        <v>22</v>
      </c>
      <c r="P120" s="54">
        <v>34</v>
      </c>
      <c r="Q120" s="54">
        <v>32</v>
      </c>
      <c r="R120" s="54">
        <v>31</v>
      </c>
      <c r="S120" s="54">
        <v>24</v>
      </c>
      <c r="T120" s="54">
        <v>19</v>
      </c>
      <c r="U120" s="54">
        <v>31</v>
      </c>
      <c r="V120" s="54">
        <v>23</v>
      </c>
      <c r="W120" s="54">
        <v>27</v>
      </c>
      <c r="X120" s="54">
        <v>29</v>
      </c>
      <c r="Y120" s="54">
        <v>41</v>
      </c>
      <c r="Z120" s="54">
        <v>9</v>
      </c>
      <c r="AA120" s="54">
        <v>25</v>
      </c>
      <c r="AB120" s="54">
        <v>30</v>
      </c>
      <c r="AC120" s="54">
        <v>18</v>
      </c>
      <c r="AD120" s="54"/>
      <c r="AE120" s="54"/>
      <c r="AF120" s="54"/>
      <c r="AG120" s="5">
        <f t="shared" si="17"/>
        <v>759</v>
      </c>
      <c r="AK120" s="88" t="s">
        <v>130</v>
      </c>
    </row>
    <row r="121" spans="1:37" ht="15.75" customHeight="1" x14ac:dyDescent="0.25">
      <c r="A121" s="85" t="s">
        <v>65</v>
      </c>
      <c r="B121" s="54">
        <v>4</v>
      </c>
      <c r="C121" s="54">
        <v>3</v>
      </c>
      <c r="D121" s="54">
        <v>3</v>
      </c>
      <c r="E121" s="54">
        <v>4</v>
      </c>
      <c r="F121" s="54">
        <v>2</v>
      </c>
      <c r="G121" s="54">
        <v>3</v>
      </c>
      <c r="H121" s="54">
        <v>3</v>
      </c>
      <c r="I121" s="54">
        <v>3</v>
      </c>
      <c r="J121" s="54">
        <v>4</v>
      </c>
      <c r="K121" s="54">
        <v>3</v>
      </c>
      <c r="L121" s="54">
        <v>2</v>
      </c>
      <c r="M121" s="54">
        <v>4</v>
      </c>
      <c r="N121" s="54">
        <v>1</v>
      </c>
      <c r="O121" s="54">
        <v>3</v>
      </c>
      <c r="P121" s="54">
        <v>5</v>
      </c>
      <c r="Q121" s="54">
        <v>2</v>
      </c>
      <c r="R121" s="54">
        <v>5</v>
      </c>
      <c r="S121" s="54">
        <v>2</v>
      </c>
      <c r="T121" s="54">
        <v>4</v>
      </c>
      <c r="U121" s="54">
        <v>6</v>
      </c>
      <c r="V121" s="54">
        <v>5</v>
      </c>
      <c r="W121" s="54">
        <v>6</v>
      </c>
      <c r="X121" s="54">
        <v>5</v>
      </c>
      <c r="Y121" s="54">
        <v>4</v>
      </c>
      <c r="Z121" s="54">
        <v>0</v>
      </c>
      <c r="AA121" s="54">
        <v>6</v>
      </c>
      <c r="AB121" s="54">
        <v>1</v>
      </c>
      <c r="AC121" s="54">
        <v>4</v>
      </c>
      <c r="AD121" s="54"/>
      <c r="AE121" s="54"/>
      <c r="AF121" s="54"/>
      <c r="AG121" s="5">
        <f t="shared" si="17"/>
        <v>97</v>
      </c>
      <c r="AK121" s="84" t="s">
        <v>131</v>
      </c>
    </row>
    <row r="122" spans="1:37" ht="15.75" customHeight="1" x14ac:dyDescent="0.25">
      <c r="A122" s="85" t="s">
        <v>66</v>
      </c>
      <c r="B122" s="54">
        <v>9</v>
      </c>
      <c r="C122" s="54">
        <v>8</v>
      </c>
      <c r="D122" s="54">
        <v>8</v>
      </c>
      <c r="E122" s="54">
        <v>7</v>
      </c>
      <c r="F122" s="54">
        <v>18</v>
      </c>
      <c r="G122" s="54">
        <v>4</v>
      </c>
      <c r="H122" s="54">
        <v>8</v>
      </c>
      <c r="I122" s="54">
        <v>10</v>
      </c>
      <c r="J122" s="54">
        <v>6</v>
      </c>
      <c r="K122" s="54">
        <v>9</v>
      </c>
      <c r="L122" s="54">
        <v>6</v>
      </c>
      <c r="M122" s="54">
        <v>9</v>
      </c>
      <c r="N122" s="54">
        <v>8</v>
      </c>
      <c r="O122" s="54">
        <v>8</v>
      </c>
      <c r="P122" s="54">
        <v>11</v>
      </c>
      <c r="Q122" s="54">
        <v>9</v>
      </c>
      <c r="R122" s="54">
        <v>12</v>
      </c>
      <c r="S122" s="54">
        <v>7</v>
      </c>
      <c r="T122" s="54">
        <v>9</v>
      </c>
      <c r="U122" s="54">
        <v>5</v>
      </c>
      <c r="V122" s="54">
        <v>8</v>
      </c>
      <c r="W122" s="54">
        <v>13</v>
      </c>
      <c r="X122" s="54">
        <v>7</v>
      </c>
      <c r="Y122" s="54">
        <v>7</v>
      </c>
      <c r="Z122" s="54">
        <v>0</v>
      </c>
      <c r="AA122" s="54">
        <v>6</v>
      </c>
      <c r="AB122" s="54">
        <v>8</v>
      </c>
      <c r="AC122" s="54">
        <v>9</v>
      </c>
      <c r="AD122" s="54"/>
      <c r="AE122" s="54"/>
      <c r="AF122" s="54"/>
      <c r="AG122" s="5">
        <f t="shared" si="17"/>
        <v>229</v>
      </c>
      <c r="AK122" s="88" t="s">
        <v>132</v>
      </c>
    </row>
    <row r="123" spans="1:37" ht="15.75" customHeight="1" x14ac:dyDescent="0.25">
      <c r="A123" s="85" t="s">
        <v>67</v>
      </c>
      <c r="B123" s="54">
        <v>5</v>
      </c>
      <c r="C123" s="54">
        <v>3</v>
      </c>
      <c r="D123" s="54">
        <v>4</v>
      </c>
      <c r="E123" s="54">
        <v>2</v>
      </c>
      <c r="F123" s="54">
        <v>7</v>
      </c>
      <c r="G123" s="54">
        <v>5</v>
      </c>
      <c r="H123" s="54">
        <v>5</v>
      </c>
      <c r="I123" s="54">
        <v>8</v>
      </c>
      <c r="J123" s="54">
        <v>6</v>
      </c>
      <c r="K123" s="54">
        <v>7</v>
      </c>
      <c r="L123" s="54">
        <v>6</v>
      </c>
      <c r="M123" s="54">
        <v>2</v>
      </c>
      <c r="N123" s="54">
        <v>4</v>
      </c>
      <c r="O123" s="54">
        <v>3</v>
      </c>
      <c r="P123" s="54">
        <v>4</v>
      </c>
      <c r="Q123" s="54">
        <v>6</v>
      </c>
      <c r="R123" s="54">
        <v>4</v>
      </c>
      <c r="S123" s="54">
        <v>0</v>
      </c>
      <c r="T123" s="54">
        <v>6</v>
      </c>
      <c r="U123" s="54">
        <v>4</v>
      </c>
      <c r="V123" s="54">
        <v>2</v>
      </c>
      <c r="W123" s="54">
        <v>3</v>
      </c>
      <c r="X123" s="54">
        <v>4</v>
      </c>
      <c r="Y123" s="54">
        <v>9</v>
      </c>
      <c r="Z123" s="54">
        <v>0</v>
      </c>
      <c r="AA123" s="54">
        <v>4</v>
      </c>
      <c r="AB123" s="54">
        <v>3</v>
      </c>
      <c r="AC123" s="54">
        <v>1</v>
      </c>
      <c r="AD123" s="54"/>
      <c r="AE123" s="54"/>
      <c r="AF123" s="54"/>
      <c r="AG123" s="5">
        <f t="shared" si="17"/>
        <v>117</v>
      </c>
      <c r="AK123" s="84" t="s">
        <v>133</v>
      </c>
    </row>
    <row r="124" spans="1:37" ht="15.75" customHeight="1" x14ac:dyDescent="0.25">
      <c r="A124" s="85" t="s">
        <v>68</v>
      </c>
      <c r="B124" s="54">
        <v>15</v>
      </c>
      <c r="C124" s="54">
        <v>9</v>
      </c>
      <c r="D124" s="54">
        <v>6</v>
      </c>
      <c r="E124" s="54">
        <v>5</v>
      </c>
      <c r="F124" s="54">
        <v>6</v>
      </c>
      <c r="G124" s="54">
        <v>7</v>
      </c>
      <c r="H124" s="54">
        <v>9</v>
      </c>
      <c r="I124" s="54">
        <v>11</v>
      </c>
      <c r="J124" s="54">
        <v>9</v>
      </c>
      <c r="K124" s="54">
        <v>4</v>
      </c>
      <c r="L124" s="54">
        <v>5</v>
      </c>
      <c r="M124" s="54">
        <v>12</v>
      </c>
      <c r="N124" s="54">
        <v>8</v>
      </c>
      <c r="O124" s="54">
        <v>6</v>
      </c>
      <c r="P124" s="54">
        <v>5</v>
      </c>
      <c r="Q124" s="54">
        <v>9</v>
      </c>
      <c r="R124" s="54">
        <v>8</v>
      </c>
      <c r="S124" s="54">
        <v>9</v>
      </c>
      <c r="T124" s="54">
        <v>3</v>
      </c>
      <c r="U124" s="54">
        <v>5</v>
      </c>
      <c r="V124" s="54">
        <v>7</v>
      </c>
      <c r="W124" s="54">
        <v>7</v>
      </c>
      <c r="X124" s="54">
        <v>8</v>
      </c>
      <c r="Y124" s="54">
        <v>7</v>
      </c>
      <c r="Z124" s="54">
        <v>1</v>
      </c>
      <c r="AA124" s="54">
        <v>8</v>
      </c>
      <c r="AB124" s="54">
        <v>16</v>
      </c>
      <c r="AC124" s="54">
        <v>7</v>
      </c>
      <c r="AD124" s="54"/>
      <c r="AE124" s="54"/>
      <c r="AF124" s="54"/>
      <c r="AG124" s="5">
        <f t="shared" si="17"/>
        <v>212</v>
      </c>
      <c r="AK124" s="88" t="s">
        <v>134</v>
      </c>
    </row>
    <row r="125" spans="1:37" ht="15.75" customHeight="1" x14ac:dyDescent="0.25">
      <c r="A125" s="85" t="s">
        <v>69</v>
      </c>
      <c r="B125" s="54">
        <v>51</v>
      </c>
      <c r="C125" s="54">
        <v>100</v>
      </c>
      <c r="D125" s="54">
        <v>45</v>
      </c>
      <c r="E125" s="54">
        <v>46</v>
      </c>
      <c r="F125" s="54">
        <v>38</v>
      </c>
      <c r="G125" s="54">
        <v>42</v>
      </c>
      <c r="H125" s="54">
        <v>47</v>
      </c>
      <c r="I125" s="54">
        <v>58</v>
      </c>
      <c r="J125" s="54">
        <v>56</v>
      </c>
      <c r="K125" s="54">
        <v>53</v>
      </c>
      <c r="L125" s="54">
        <v>50</v>
      </c>
      <c r="M125" s="54">
        <v>36</v>
      </c>
      <c r="N125" s="54">
        <v>43</v>
      </c>
      <c r="O125" s="54">
        <v>39</v>
      </c>
      <c r="P125" s="54">
        <v>61</v>
      </c>
      <c r="Q125" s="54">
        <v>71</v>
      </c>
      <c r="R125" s="54">
        <v>45</v>
      </c>
      <c r="S125" s="54">
        <v>35</v>
      </c>
      <c r="T125" s="54">
        <v>47</v>
      </c>
      <c r="U125" s="54">
        <v>39</v>
      </c>
      <c r="V125" s="54">
        <v>54</v>
      </c>
      <c r="W125" s="54">
        <v>68</v>
      </c>
      <c r="X125" s="54">
        <v>73</v>
      </c>
      <c r="Y125" s="54">
        <v>48</v>
      </c>
      <c r="Z125" s="54">
        <v>12</v>
      </c>
      <c r="AA125" s="54">
        <v>52</v>
      </c>
      <c r="AB125" s="54">
        <v>54</v>
      </c>
      <c r="AC125" s="54">
        <v>45</v>
      </c>
      <c r="AD125" s="54"/>
      <c r="AE125" s="54"/>
      <c r="AF125" s="54"/>
      <c r="AG125" s="5">
        <f t="shared" si="17"/>
        <v>1408</v>
      </c>
      <c r="AK125" s="88" t="s">
        <v>135</v>
      </c>
    </row>
    <row r="126" spans="1:37" ht="15.75" customHeight="1" x14ac:dyDescent="0.25">
      <c r="A126" s="85" t="s">
        <v>70</v>
      </c>
      <c r="B126" s="54">
        <v>2</v>
      </c>
      <c r="C126" s="54">
        <v>1</v>
      </c>
      <c r="D126" s="54">
        <v>2</v>
      </c>
      <c r="E126" s="54">
        <v>0</v>
      </c>
      <c r="F126" s="54">
        <v>3</v>
      </c>
      <c r="G126" s="54">
        <v>2</v>
      </c>
      <c r="H126" s="54">
        <v>2</v>
      </c>
      <c r="I126" s="54">
        <v>6</v>
      </c>
      <c r="J126" s="54">
        <v>0</v>
      </c>
      <c r="K126" s="54">
        <v>1</v>
      </c>
      <c r="L126" s="54">
        <v>2</v>
      </c>
      <c r="M126" s="54">
        <v>6</v>
      </c>
      <c r="N126" s="54">
        <v>3</v>
      </c>
      <c r="O126" s="54">
        <v>1</v>
      </c>
      <c r="P126" s="54">
        <v>2</v>
      </c>
      <c r="Q126" s="54">
        <v>4</v>
      </c>
      <c r="R126" s="54">
        <v>2</v>
      </c>
      <c r="S126" s="54">
        <v>4</v>
      </c>
      <c r="T126" s="54">
        <v>4</v>
      </c>
      <c r="U126" s="54">
        <v>6</v>
      </c>
      <c r="V126" s="54">
        <v>3</v>
      </c>
      <c r="W126" s="54">
        <v>2</v>
      </c>
      <c r="X126" s="54">
        <v>3</v>
      </c>
      <c r="Y126" s="54">
        <v>3</v>
      </c>
      <c r="Z126" s="54">
        <v>0</v>
      </c>
      <c r="AA126" s="54">
        <v>4</v>
      </c>
      <c r="AB126" s="54">
        <v>0</v>
      </c>
      <c r="AC126" s="54">
        <v>0</v>
      </c>
      <c r="AD126" s="54"/>
      <c r="AE126" s="54"/>
      <c r="AF126" s="54"/>
      <c r="AG126" s="5">
        <f t="shared" si="17"/>
        <v>68</v>
      </c>
      <c r="AK126" s="84" t="s">
        <v>136</v>
      </c>
    </row>
    <row r="127" spans="1:37" ht="15.75" customHeight="1" x14ac:dyDescent="0.25">
      <c r="A127" s="85" t="s">
        <v>71</v>
      </c>
      <c r="B127" s="54">
        <v>0</v>
      </c>
      <c r="C127" s="54">
        <v>1</v>
      </c>
      <c r="D127" s="54">
        <v>2</v>
      </c>
      <c r="E127" s="54">
        <v>0</v>
      </c>
      <c r="F127" s="54">
        <v>1</v>
      </c>
      <c r="G127" s="54">
        <v>0</v>
      </c>
      <c r="H127" s="54">
        <v>2</v>
      </c>
      <c r="I127" s="54">
        <v>1</v>
      </c>
      <c r="J127" s="54">
        <v>1</v>
      </c>
      <c r="K127" s="54">
        <v>0</v>
      </c>
      <c r="L127" s="54">
        <v>1</v>
      </c>
      <c r="M127" s="54">
        <v>1</v>
      </c>
      <c r="N127" s="54">
        <v>1</v>
      </c>
      <c r="O127" s="54">
        <v>0</v>
      </c>
      <c r="P127" s="54">
        <v>0</v>
      </c>
      <c r="Q127" s="54">
        <v>1</v>
      </c>
      <c r="R127" s="54">
        <v>1</v>
      </c>
      <c r="S127" s="54">
        <v>1</v>
      </c>
      <c r="T127" s="54">
        <v>1</v>
      </c>
      <c r="U127" s="54">
        <v>2</v>
      </c>
      <c r="V127" s="54">
        <v>4</v>
      </c>
      <c r="W127" s="54">
        <v>1</v>
      </c>
      <c r="X127" s="54">
        <v>0</v>
      </c>
      <c r="Y127" s="54">
        <v>0</v>
      </c>
      <c r="Z127" s="54">
        <v>0</v>
      </c>
      <c r="AA127" s="54">
        <v>0</v>
      </c>
      <c r="AB127" s="54">
        <v>2</v>
      </c>
      <c r="AC127" s="54">
        <v>0</v>
      </c>
      <c r="AD127" s="54"/>
      <c r="AE127" s="54"/>
      <c r="AF127" s="54"/>
      <c r="AG127" s="5">
        <f t="shared" si="17"/>
        <v>24</v>
      </c>
      <c r="AK127" s="88" t="s">
        <v>137</v>
      </c>
    </row>
    <row r="128" spans="1:37" ht="15.75" customHeight="1" x14ac:dyDescent="0.25">
      <c r="A128" s="56" t="s">
        <v>72</v>
      </c>
      <c r="B128" s="54">
        <v>0</v>
      </c>
      <c r="C128" s="54">
        <v>2</v>
      </c>
      <c r="D128" s="54">
        <v>0</v>
      </c>
      <c r="E128" s="54">
        <v>1</v>
      </c>
      <c r="F128" s="54">
        <v>0</v>
      </c>
      <c r="G128" s="54">
        <v>0</v>
      </c>
      <c r="H128" s="54">
        <v>1</v>
      </c>
      <c r="I128" s="54">
        <v>3</v>
      </c>
      <c r="J128" s="54">
        <v>2</v>
      </c>
      <c r="K128" s="54">
        <v>0</v>
      </c>
      <c r="L128" s="54">
        <v>1</v>
      </c>
      <c r="M128" s="54">
        <v>1</v>
      </c>
      <c r="N128" s="54">
        <v>0</v>
      </c>
      <c r="O128" s="54">
        <v>1</v>
      </c>
      <c r="P128" s="54">
        <v>3</v>
      </c>
      <c r="Q128" s="54">
        <v>2</v>
      </c>
      <c r="R128" s="54">
        <v>1</v>
      </c>
      <c r="S128" s="54">
        <v>0</v>
      </c>
      <c r="T128" s="54">
        <v>1</v>
      </c>
      <c r="U128" s="54">
        <v>0</v>
      </c>
      <c r="V128" s="54">
        <v>1</v>
      </c>
      <c r="W128" s="54">
        <v>1</v>
      </c>
      <c r="X128" s="54">
        <v>1</v>
      </c>
      <c r="Y128" s="54">
        <v>2</v>
      </c>
      <c r="Z128" s="54">
        <v>0</v>
      </c>
      <c r="AA128" s="54">
        <v>1</v>
      </c>
      <c r="AB128" s="54">
        <v>0</v>
      </c>
      <c r="AC128" s="54">
        <v>1</v>
      </c>
      <c r="AD128" s="54"/>
      <c r="AE128" s="54"/>
      <c r="AF128" s="54"/>
      <c r="AG128" s="5">
        <f t="shared" si="17"/>
        <v>26</v>
      </c>
      <c r="AK128" s="88" t="s">
        <v>138</v>
      </c>
    </row>
    <row r="129" spans="1:37" ht="15.75" customHeight="1" x14ac:dyDescent="0.25">
      <c r="A129" s="56" t="s">
        <v>73</v>
      </c>
      <c r="B129" s="54">
        <v>2</v>
      </c>
      <c r="C129" s="54">
        <v>1</v>
      </c>
      <c r="D129" s="54">
        <v>1</v>
      </c>
      <c r="E129" s="54">
        <v>0</v>
      </c>
      <c r="F129" s="54">
        <v>1</v>
      </c>
      <c r="G129" s="54">
        <v>1</v>
      </c>
      <c r="H129" s="54">
        <v>0</v>
      </c>
      <c r="I129" s="54">
        <v>1</v>
      </c>
      <c r="J129" s="54">
        <v>0</v>
      </c>
      <c r="K129" s="54">
        <v>0</v>
      </c>
      <c r="L129" s="54">
        <v>0</v>
      </c>
      <c r="M129" s="54">
        <v>0</v>
      </c>
      <c r="N129" s="54">
        <v>1</v>
      </c>
      <c r="O129" s="54">
        <v>1</v>
      </c>
      <c r="P129" s="54">
        <v>1</v>
      </c>
      <c r="Q129" s="54">
        <v>1</v>
      </c>
      <c r="R129" s="54">
        <v>2</v>
      </c>
      <c r="S129" s="54">
        <v>5</v>
      </c>
      <c r="T129" s="54">
        <v>0</v>
      </c>
      <c r="U129" s="54">
        <v>0</v>
      </c>
      <c r="V129" s="54">
        <v>1</v>
      </c>
      <c r="W129" s="54">
        <v>2</v>
      </c>
      <c r="X129" s="54">
        <v>3</v>
      </c>
      <c r="Y129" s="54">
        <v>2</v>
      </c>
      <c r="Z129" s="54">
        <v>0</v>
      </c>
      <c r="AA129" s="54">
        <v>0</v>
      </c>
      <c r="AB129" s="54">
        <v>0</v>
      </c>
      <c r="AC129" s="54">
        <v>1</v>
      </c>
      <c r="AD129" s="54"/>
      <c r="AE129" s="54"/>
      <c r="AF129" s="54"/>
      <c r="AG129" s="5">
        <f t="shared" si="17"/>
        <v>27</v>
      </c>
      <c r="AK129" s="84" t="s">
        <v>139</v>
      </c>
    </row>
    <row r="130" spans="1:37" ht="15.75" customHeight="1" x14ac:dyDescent="0.25">
      <c r="A130" s="56" t="s">
        <v>74</v>
      </c>
      <c r="B130" s="54">
        <v>1</v>
      </c>
      <c r="C130" s="54">
        <v>1</v>
      </c>
      <c r="D130" s="54">
        <v>1</v>
      </c>
      <c r="E130" s="54">
        <v>1</v>
      </c>
      <c r="F130" s="54">
        <v>2</v>
      </c>
      <c r="G130" s="54">
        <v>0</v>
      </c>
      <c r="H130" s="54">
        <v>0</v>
      </c>
      <c r="I130" s="54">
        <v>0</v>
      </c>
      <c r="J130" s="54">
        <v>1</v>
      </c>
      <c r="K130" s="54">
        <v>0</v>
      </c>
      <c r="L130" s="54">
        <v>0</v>
      </c>
      <c r="M130" s="54">
        <v>1</v>
      </c>
      <c r="N130" s="54">
        <v>0</v>
      </c>
      <c r="O130" s="54">
        <v>0</v>
      </c>
      <c r="P130" s="54">
        <v>0</v>
      </c>
      <c r="Q130" s="54">
        <v>0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4">
        <v>0</v>
      </c>
      <c r="X130" s="54">
        <v>0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/>
      <c r="AE130" s="54"/>
      <c r="AF130" s="54"/>
      <c r="AG130" s="5">
        <f t="shared" si="17"/>
        <v>8</v>
      </c>
      <c r="AK130" s="84" t="s">
        <v>140</v>
      </c>
    </row>
    <row r="131" spans="1:37" ht="15.75" customHeight="1" x14ac:dyDescent="0.25">
      <c r="A131" s="85" t="s">
        <v>75</v>
      </c>
      <c r="B131" s="54">
        <v>8</v>
      </c>
      <c r="C131" s="54">
        <v>4</v>
      </c>
      <c r="D131" s="54">
        <v>9</v>
      </c>
      <c r="E131" s="54">
        <v>4</v>
      </c>
      <c r="F131" s="54">
        <v>4</v>
      </c>
      <c r="G131" s="54">
        <v>2</v>
      </c>
      <c r="H131" s="54">
        <v>7</v>
      </c>
      <c r="I131" s="54">
        <v>4</v>
      </c>
      <c r="J131" s="54">
        <v>5</v>
      </c>
      <c r="K131" s="54">
        <v>3</v>
      </c>
      <c r="L131" s="54">
        <v>2</v>
      </c>
      <c r="M131" s="54">
        <v>5</v>
      </c>
      <c r="N131" s="54">
        <v>4</v>
      </c>
      <c r="O131" s="54">
        <v>4</v>
      </c>
      <c r="P131" s="54">
        <v>6</v>
      </c>
      <c r="Q131" s="54">
        <v>4</v>
      </c>
      <c r="R131" s="54">
        <v>5</v>
      </c>
      <c r="S131" s="54">
        <v>0</v>
      </c>
      <c r="T131" s="54">
        <v>6</v>
      </c>
      <c r="U131" s="54">
        <v>0</v>
      </c>
      <c r="V131" s="54">
        <v>3</v>
      </c>
      <c r="W131" s="54">
        <v>8</v>
      </c>
      <c r="X131" s="54">
        <v>6</v>
      </c>
      <c r="Y131" s="54">
        <v>6</v>
      </c>
      <c r="Z131" s="54">
        <v>0</v>
      </c>
      <c r="AA131" s="54">
        <v>6</v>
      </c>
      <c r="AB131" s="54">
        <v>7</v>
      </c>
      <c r="AC131" s="54">
        <v>2</v>
      </c>
      <c r="AD131" s="54"/>
      <c r="AE131" s="54"/>
      <c r="AF131" s="54"/>
      <c r="AG131" s="5">
        <f t="shared" si="17"/>
        <v>124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9</v>
      </c>
      <c r="C132" s="87">
        <v>9</v>
      </c>
      <c r="D132" s="87">
        <v>10</v>
      </c>
      <c r="E132" s="87">
        <v>10</v>
      </c>
      <c r="F132" s="87">
        <v>6</v>
      </c>
      <c r="G132" s="87">
        <v>4</v>
      </c>
      <c r="H132" s="87">
        <v>4</v>
      </c>
      <c r="I132" s="87">
        <v>11</v>
      </c>
      <c r="J132" s="87">
        <v>7</v>
      </c>
      <c r="K132" s="87">
        <v>9</v>
      </c>
      <c r="L132" s="87">
        <v>8</v>
      </c>
      <c r="M132" s="87">
        <v>11</v>
      </c>
      <c r="N132" s="87">
        <v>8</v>
      </c>
      <c r="O132" s="87">
        <v>9</v>
      </c>
      <c r="P132" s="87">
        <v>11</v>
      </c>
      <c r="Q132" s="87">
        <v>9</v>
      </c>
      <c r="R132" s="87">
        <v>10</v>
      </c>
      <c r="S132" s="87">
        <v>7</v>
      </c>
      <c r="T132" s="87">
        <v>6</v>
      </c>
      <c r="U132" s="87">
        <v>7</v>
      </c>
      <c r="V132" s="87">
        <v>4</v>
      </c>
      <c r="W132" s="87">
        <v>9</v>
      </c>
      <c r="X132" s="87">
        <v>5</v>
      </c>
      <c r="Y132" s="87">
        <v>10</v>
      </c>
      <c r="Z132" s="87">
        <v>1</v>
      </c>
      <c r="AA132" s="87">
        <v>7</v>
      </c>
      <c r="AB132" s="87">
        <v>8</v>
      </c>
      <c r="AC132" s="87">
        <v>6</v>
      </c>
      <c r="AD132" s="87"/>
      <c r="AE132" s="87"/>
      <c r="AF132" s="87"/>
      <c r="AG132" s="9">
        <f t="shared" si="17"/>
        <v>215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146</v>
      </c>
      <c r="C133" s="14">
        <f t="shared" si="21"/>
        <v>162</v>
      </c>
      <c r="D133" s="14">
        <f t="shared" si="21"/>
        <v>122</v>
      </c>
      <c r="E133" s="14">
        <f t="shared" si="21"/>
        <v>108</v>
      </c>
      <c r="F133" s="14">
        <f t="shared" si="21"/>
        <v>112</v>
      </c>
      <c r="G133" s="14">
        <f t="shared" si="21"/>
        <v>93</v>
      </c>
      <c r="H133" s="14">
        <f t="shared" si="21"/>
        <v>111</v>
      </c>
      <c r="I133" s="14">
        <f t="shared" si="21"/>
        <v>145</v>
      </c>
      <c r="J133" s="14">
        <f t="shared" si="21"/>
        <v>127</v>
      </c>
      <c r="K133" s="14">
        <f t="shared" si="21"/>
        <v>115</v>
      </c>
      <c r="L133" s="14">
        <f t="shared" si="21"/>
        <v>114</v>
      </c>
      <c r="M133" s="14">
        <f t="shared" si="21"/>
        <v>122</v>
      </c>
      <c r="N133" s="14">
        <f t="shared" si="21"/>
        <v>106</v>
      </c>
      <c r="O133" s="14">
        <f t="shared" si="21"/>
        <v>97</v>
      </c>
      <c r="P133" s="14">
        <f t="shared" si="21"/>
        <v>143</v>
      </c>
      <c r="Q133" s="14">
        <f t="shared" si="21"/>
        <v>150</v>
      </c>
      <c r="R133" s="14">
        <f t="shared" si="21"/>
        <v>126</v>
      </c>
      <c r="S133" s="14">
        <f t="shared" si="21"/>
        <v>94</v>
      </c>
      <c r="T133" s="14">
        <f t="shared" si="21"/>
        <v>106</v>
      </c>
      <c r="U133" s="14">
        <f t="shared" si="21"/>
        <v>105</v>
      </c>
      <c r="V133" s="14">
        <f t="shared" si="21"/>
        <v>115</v>
      </c>
      <c r="W133" s="14">
        <f t="shared" si="21"/>
        <v>147</v>
      </c>
      <c r="X133" s="14">
        <f t="shared" si="21"/>
        <v>144</v>
      </c>
      <c r="Y133" s="14">
        <f t="shared" si="21"/>
        <v>139</v>
      </c>
      <c r="Z133" s="14">
        <f t="shared" si="21"/>
        <v>23</v>
      </c>
      <c r="AA133" s="14">
        <f t="shared" si="21"/>
        <v>119</v>
      </c>
      <c r="AB133" s="14">
        <f t="shared" si="21"/>
        <v>129</v>
      </c>
      <c r="AC133" s="14">
        <f t="shared" si="21"/>
        <v>94</v>
      </c>
      <c r="AD133" s="14">
        <f t="shared" si="21"/>
        <v>0</v>
      </c>
      <c r="AE133" s="14">
        <f t="shared" si="21"/>
        <v>0</v>
      </c>
      <c r="AF133" s="14">
        <f t="shared" si="21"/>
        <v>0</v>
      </c>
      <c r="AG133" s="10">
        <f t="shared" si="17"/>
        <v>3314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6</v>
      </c>
      <c r="C134" s="22">
        <f t="shared" si="22"/>
        <v>4</v>
      </c>
      <c r="D134" s="22">
        <f t="shared" si="22"/>
        <v>22</v>
      </c>
      <c r="E134" s="22">
        <f t="shared" si="22"/>
        <v>6</v>
      </c>
      <c r="F134" s="22">
        <f t="shared" si="22"/>
        <v>16</v>
      </c>
      <c r="G134" s="22">
        <f t="shared" si="22"/>
        <v>6</v>
      </c>
      <c r="H134" s="22">
        <f t="shared" si="22"/>
        <v>7</v>
      </c>
      <c r="I134" s="22">
        <f t="shared" si="22"/>
        <v>1</v>
      </c>
      <c r="J134" s="22">
        <f t="shared" si="22"/>
        <v>3</v>
      </c>
      <c r="K134" s="22">
        <f t="shared" si="22"/>
        <v>2</v>
      </c>
      <c r="L134" s="22">
        <f t="shared" si="22"/>
        <v>21</v>
      </c>
      <c r="M134" s="22">
        <f t="shared" si="22"/>
        <v>9</v>
      </c>
      <c r="N134" s="22">
        <f t="shared" si="22"/>
        <v>6</v>
      </c>
      <c r="O134" s="22">
        <f t="shared" si="22"/>
        <v>5</v>
      </c>
      <c r="P134" s="22">
        <f t="shared" si="22"/>
        <v>0</v>
      </c>
      <c r="Q134" s="22">
        <f t="shared" si="22"/>
        <v>0</v>
      </c>
      <c r="R134" s="22">
        <f t="shared" si="22"/>
        <v>19</v>
      </c>
      <c r="S134" s="22">
        <f t="shared" si="22"/>
        <v>10</v>
      </c>
      <c r="T134" s="22">
        <f t="shared" si="22"/>
        <v>21</v>
      </c>
      <c r="U134" s="22">
        <f t="shared" si="22"/>
        <v>14</v>
      </c>
      <c r="V134" s="22">
        <f t="shared" si="22"/>
        <v>5</v>
      </c>
      <c r="W134" s="22">
        <f t="shared" si="22"/>
        <v>3</v>
      </c>
      <c r="X134" s="22">
        <f t="shared" si="22"/>
        <v>7</v>
      </c>
      <c r="Y134" s="22">
        <f t="shared" si="22"/>
        <v>10</v>
      </c>
      <c r="Z134" s="22">
        <f t="shared" si="22"/>
        <v>16</v>
      </c>
      <c r="AA134" s="22">
        <f t="shared" si="22"/>
        <v>6</v>
      </c>
      <c r="AB134" s="22">
        <f t="shared" si="22"/>
        <v>12</v>
      </c>
      <c r="AC134" s="22">
        <f t="shared" si="22"/>
        <v>5</v>
      </c>
      <c r="AD134" s="22">
        <f t="shared" si="22"/>
        <v>0</v>
      </c>
      <c r="AE134" s="22">
        <f t="shared" si="22"/>
        <v>0</v>
      </c>
      <c r="AF134" s="22">
        <f t="shared" si="22"/>
        <v>0</v>
      </c>
      <c r="AG134" s="23">
        <f t="shared" si="17"/>
        <v>242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1</v>
      </c>
      <c r="E135" s="1">
        <f t="shared" si="23"/>
        <v>0</v>
      </c>
      <c r="F135" s="1">
        <f t="shared" si="23"/>
        <v>2</v>
      </c>
      <c r="G135" s="1">
        <f t="shared" si="23"/>
        <v>2</v>
      </c>
      <c r="H135" s="1">
        <f t="shared" si="23"/>
        <v>1</v>
      </c>
      <c r="I135" s="1">
        <f t="shared" si="23"/>
        <v>1</v>
      </c>
      <c r="J135" s="1">
        <f t="shared" si="23"/>
        <v>2</v>
      </c>
      <c r="K135" s="1">
        <f t="shared" si="23"/>
        <v>0</v>
      </c>
      <c r="L135" s="1">
        <f t="shared" si="23"/>
        <v>1</v>
      </c>
      <c r="M135" s="1">
        <f t="shared" si="23"/>
        <v>0</v>
      </c>
      <c r="N135" s="1">
        <f t="shared" si="23"/>
        <v>0</v>
      </c>
      <c r="O135" s="1">
        <f t="shared" si="23"/>
        <v>0</v>
      </c>
      <c r="P135" s="1">
        <f t="shared" si="23"/>
        <v>0</v>
      </c>
      <c r="Q135" s="1">
        <f t="shared" si="23"/>
        <v>1</v>
      </c>
      <c r="R135" s="1">
        <f t="shared" si="23"/>
        <v>1</v>
      </c>
      <c r="S135" s="1">
        <f t="shared" si="23"/>
        <v>2</v>
      </c>
      <c r="T135" s="1">
        <f t="shared" si="23"/>
        <v>0</v>
      </c>
      <c r="U135" s="1">
        <f t="shared" si="23"/>
        <v>0</v>
      </c>
      <c r="V135" s="1">
        <f t="shared" si="23"/>
        <v>1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1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16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0</v>
      </c>
      <c r="D136" s="91">
        <v>1</v>
      </c>
      <c r="E136" s="91">
        <v>0</v>
      </c>
      <c r="F136" s="91">
        <v>2</v>
      </c>
      <c r="G136" s="91">
        <v>1</v>
      </c>
      <c r="H136" s="91">
        <v>1</v>
      </c>
      <c r="I136" s="91">
        <v>1</v>
      </c>
      <c r="J136" s="91">
        <v>1</v>
      </c>
      <c r="K136" s="91">
        <v>0</v>
      </c>
      <c r="L136" s="91">
        <v>1</v>
      </c>
      <c r="M136" s="91">
        <v>0</v>
      </c>
      <c r="N136" s="91">
        <v>0</v>
      </c>
      <c r="O136" s="91">
        <v>0</v>
      </c>
      <c r="P136" s="91">
        <v>0</v>
      </c>
      <c r="Q136" s="91">
        <v>1</v>
      </c>
      <c r="R136" s="91">
        <v>1</v>
      </c>
      <c r="S136" s="91">
        <v>2</v>
      </c>
      <c r="T136" s="91">
        <v>0</v>
      </c>
      <c r="U136" s="91">
        <v>0</v>
      </c>
      <c r="V136" s="91">
        <v>1</v>
      </c>
      <c r="W136" s="91">
        <v>0</v>
      </c>
      <c r="X136" s="91">
        <v>0</v>
      </c>
      <c r="Y136" s="91">
        <v>0</v>
      </c>
      <c r="Z136" s="91">
        <v>0</v>
      </c>
      <c r="AA136" s="91">
        <v>0</v>
      </c>
      <c r="AB136" s="91">
        <v>0</v>
      </c>
      <c r="AC136" s="91">
        <v>1</v>
      </c>
      <c r="AD136" s="91"/>
      <c r="AE136" s="91"/>
      <c r="AF136" s="91"/>
      <c r="AG136" s="28">
        <f t="shared" si="17"/>
        <v>14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1</v>
      </c>
      <c r="H137" s="93">
        <v>0</v>
      </c>
      <c r="I137" s="93">
        <v>0</v>
      </c>
      <c r="J137" s="93">
        <v>1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/>
      <c r="AE137" s="93"/>
      <c r="AF137" s="93"/>
      <c r="AG137" s="29">
        <f t="shared" si="17"/>
        <v>2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/>
      <c r="AE138" s="95"/>
      <c r="AF138" s="95"/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4</v>
      </c>
      <c r="C139" s="31">
        <f t="shared" si="24"/>
        <v>1</v>
      </c>
      <c r="D139" s="31">
        <f t="shared" si="24"/>
        <v>2</v>
      </c>
      <c r="E139" s="31">
        <f t="shared" si="24"/>
        <v>2</v>
      </c>
      <c r="F139" s="31">
        <f t="shared" si="24"/>
        <v>3</v>
      </c>
      <c r="G139" s="31">
        <f t="shared" si="24"/>
        <v>3</v>
      </c>
      <c r="H139" s="31">
        <f t="shared" si="24"/>
        <v>5</v>
      </c>
      <c r="I139" s="31">
        <f t="shared" si="24"/>
        <v>8</v>
      </c>
      <c r="J139" s="31">
        <f t="shared" si="24"/>
        <v>2</v>
      </c>
      <c r="K139" s="31">
        <f t="shared" si="24"/>
        <v>0</v>
      </c>
      <c r="L139" s="31">
        <f t="shared" si="24"/>
        <v>5</v>
      </c>
      <c r="M139" s="31">
        <f t="shared" si="24"/>
        <v>3</v>
      </c>
      <c r="N139" s="31">
        <f t="shared" si="24"/>
        <v>2</v>
      </c>
      <c r="O139" s="31">
        <f t="shared" si="24"/>
        <v>2</v>
      </c>
      <c r="P139" s="31">
        <f t="shared" si="24"/>
        <v>5</v>
      </c>
      <c r="Q139" s="31">
        <f t="shared" si="24"/>
        <v>4</v>
      </c>
      <c r="R139" s="31">
        <f t="shared" si="24"/>
        <v>3</v>
      </c>
      <c r="S139" s="31">
        <f t="shared" si="24"/>
        <v>6</v>
      </c>
      <c r="T139" s="31">
        <f t="shared" si="24"/>
        <v>8</v>
      </c>
      <c r="U139" s="31">
        <f t="shared" si="24"/>
        <v>3</v>
      </c>
      <c r="V139" s="31">
        <f t="shared" si="24"/>
        <v>4</v>
      </c>
      <c r="W139" s="31">
        <f t="shared" si="24"/>
        <v>4</v>
      </c>
      <c r="X139" s="31">
        <f t="shared" si="24"/>
        <v>2</v>
      </c>
      <c r="Y139" s="31">
        <f t="shared" si="24"/>
        <v>4</v>
      </c>
      <c r="Z139" s="31">
        <f t="shared" si="24"/>
        <v>0</v>
      </c>
      <c r="AA139" s="31">
        <f t="shared" si="24"/>
        <v>2</v>
      </c>
      <c r="AB139" s="31">
        <f t="shared" si="24"/>
        <v>4</v>
      </c>
      <c r="AC139" s="31">
        <f t="shared" si="24"/>
        <v>0</v>
      </c>
      <c r="AD139" s="31">
        <f t="shared" si="24"/>
        <v>0</v>
      </c>
      <c r="AE139" s="31">
        <f t="shared" si="24"/>
        <v>0</v>
      </c>
      <c r="AF139" s="31">
        <f t="shared" si="24"/>
        <v>0</v>
      </c>
      <c r="AG139" s="32">
        <f t="shared" si="17"/>
        <v>91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1</v>
      </c>
      <c r="E140" s="97">
        <v>1</v>
      </c>
      <c r="F140" s="97">
        <v>0</v>
      </c>
      <c r="G140" s="97">
        <v>0</v>
      </c>
      <c r="H140" s="97">
        <v>1</v>
      </c>
      <c r="I140" s="97">
        <v>0</v>
      </c>
      <c r="J140" s="97">
        <v>0</v>
      </c>
      <c r="K140" s="97">
        <v>0</v>
      </c>
      <c r="L140" s="97">
        <v>0</v>
      </c>
      <c r="M140" s="97">
        <v>0</v>
      </c>
      <c r="N140" s="97">
        <v>1</v>
      </c>
      <c r="O140" s="97">
        <v>0</v>
      </c>
      <c r="P140" s="97">
        <v>2</v>
      </c>
      <c r="Q140" s="97">
        <v>2</v>
      </c>
      <c r="R140" s="97">
        <v>1</v>
      </c>
      <c r="S140" s="97">
        <v>1</v>
      </c>
      <c r="T140" s="97">
        <v>0</v>
      </c>
      <c r="U140" s="97">
        <v>0</v>
      </c>
      <c r="V140" s="97">
        <v>0</v>
      </c>
      <c r="W140" s="97">
        <v>0</v>
      </c>
      <c r="X140" s="97">
        <v>0</v>
      </c>
      <c r="Y140" s="97">
        <v>0</v>
      </c>
      <c r="Z140" s="97">
        <v>0</v>
      </c>
      <c r="AA140" s="97">
        <v>0</v>
      </c>
      <c r="AB140" s="97">
        <v>0</v>
      </c>
      <c r="AC140" s="97">
        <v>0</v>
      </c>
      <c r="AD140" s="97"/>
      <c r="AE140" s="97"/>
      <c r="AF140" s="97"/>
      <c r="AG140" s="33">
        <f t="shared" si="17"/>
        <v>10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4</v>
      </c>
      <c r="C141" s="98">
        <v>1</v>
      </c>
      <c r="D141" s="98">
        <v>1</v>
      </c>
      <c r="E141" s="98">
        <v>1</v>
      </c>
      <c r="F141" s="98">
        <v>3</v>
      </c>
      <c r="G141" s="98">
        <v>3</v>
      </c>
      <c r="H141" s="98">
        <v>4</v>
      </c>
      <c r="I141" s="98">
        <v>8</v>
      </c>
      <c r="J141" s="98">
        <v>2</v>
      </c>
      <c r="K141" s="98">
        <v>0</v>
      </c>
      <c r="L141" s="98">
        <v>5</v>
      </c>
      <c r="M141" s="98">
        <v>3</v>
      </c>
      <c r="N141" s="98">
        <v>1</v>
      </c>
      <c r="O141" s="98">
        <v>2</v>
      </c>
      <c r="P141" s="98">
        <v>3</v>
      </c>
      <c r="Q141" s="98">
        <v>2</v>
      </c>
      <c r="R141" s="98">
        <v>2</v>
      </c>
      <c r="S141" s="98">
        <v>5</v>
      </c>
      <c r="T141" s="98">
        <v>8</v>
      </c>
      <c r="U141" s="98">
        <v>3</v>
      </c>
      <c r="V141" s="98">
        <v>4</v>
      </c>
      <c r="W141" s="98">
        <v>4</v>
      </c>
      <c r="X141" s="98">
        <v>2</v>
      </c>
      <c r="Y141" s="98">
        <v>4</v>
      </c>
      <c r="Z141" s="98">
        <v>0</v>
      </c>
      <c r="AA141" s="98">
        <v>2</v>
      </c>
      <c r="AB141" s="98">
        <v>4</v>
      </c>
      <c r="AC141" s="98">
        <v>0</v>
      </c>
      <c r="AD141" s="98"/>
      <c r="AE141" s="98"/>
      <c r="AF141" s="98"/>
      <c r="AG141" s="34">
        <f t="shared" si="17"/>
        <v>81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17</v>
      </c>
      <c r="C144" s="37">
        <f t="shared" si="25"/>
        <v>16</v>
      </c>
      <c r="D144" s="37">
        <f t="shared" si="25"/>
        <v>15</v>
      </c>
      <c r="E144" s="37">
        <f t="shared" si="25"/>
        <v>12</v>
      </c>
      <c r="F144" s="37">
        <f t="shared" si="25"/>
        <v>12</v>
      </c>
      <c r="G144" s="37">
        <f t="shared" si="25"/>
        <v>6</v>
      </c>
      <c r="H144" s="37">
        <f t="shared" si="25"/>
        <v>12</v>
      </c>
      <c r="I144" s="37">
        <f t="shared" si="25"/>
        <v>12</v>
      </c>
      <c r="J144" s="37">
        <f t="shared" si="25"/>
        <v>6</v>
      </c>
      <c r="K144" s="37">
        <f t="shared" si="25"/>
        <v>8</v>
      </c>
      <c r="L144" s="37">
        <f t="shared" si="25"/>
        <v>12</v>
      </c>
      <c r="M144" s="37">
        <f t="shared" si="25"/>
        <v>6</v>
      </c>
      <c r="N144" s="37">
        <f t="shared" si="25"/>
        <v>7</v>
      </c>
      <c r="O144" s="37">
        <f t="shared" si="25"/>
        <v>13</v>
      </c>
      <c r="P144" s="37">
        <f t="shared" si="25"/>
        <v>12</v>
      </c>
      <c r="Q144" s="37">
        <f t="shared" si="25"/>
        <v>13</v>
      </c>
      <c r="R144" s="37">
        <f t="shared" si="25"/>
        <v>14</v>
      </c>
      <c r="S144" s="37">
        <f t="shared" si="25"/>
        <v>6</v>
      </c>
      <c r="T144" s="37">
        <f t="shared" si="25"/>
        <v>7</v>
      </c>
      <c r="U144" s="37">
        <f t="shared" si="25"/>
        <v>9</v>
      </c>
      <c r="V144" s="37">
        <f t="shared" si="25"/>
        <v>10</v>
      </c>
      <c r="W144" s="37">
        <f t="shared" si="25"/>
        <v>13</v>
      </c>
      <c r="X144" s="37">
        <f t="shared" si="25"/>
        <v>14</v>
      </c>
      <c r="Y144" s="37">
        <f t="shared" si="25"/>
        <v>8</v>
      </c>
      <c r="Z144" s="37">
        <f t="shared" si="25"/>
        <v>2</v>
      </c>
      <c r="AA144" s="37">
        <f t="shared" si="25"/>
        <v>16</v>
      </c>
      <c r="AB144" s="37">
        <f t="shared" si="25"/>
        <v>13</v>
      </c>
      <c r="AC144" s="37">
        <f t="shared" si="25"/>
        <v>11</v>
      </c>
      <c r="AD144" s="37">
        <f t="shared" si="25"/>
        <v>0</v>
      </c>
      <c r="AE144" s="37">
        <f t="shared" si="25"/>
        <v>0</v>
      </c>
      <c r="AF144" s="37">
        <f t="shared" si="25"/>
        <v>0</v>
      </c>
      <c r="AG144" s="24">
        <f t="shared" si="17"/>
        <v>302</v>
      </c>
      <c r="AK144" s="84" t="s">
        <v>154</v>
      </c>
    </row>
    <row r="145" spans="1:37" ht="15.75" customHeight="1" x14ac:dyDescent="0.25">
      <c r="A145" s="104" t="s">
        <v>91</v>
      </c>
      <c r="B145" s="105">
        <v>2</v>
      </c>
      <c r="C145" s="105">
        <v>1</v>
      </c>
      <c r="D145" s="105">
        <v>0</v>
      </c>
      <c r="E145" s="105">
        <v>0</v>
      </c>
      <c r="F145" s="105">
        <v>2</v>
      </c>
      <c r="G145" s="105">
        <v>2</v>
      </c>
      <c r="H145" s="105">
        <v>5</v>
      </c>
      <c r="I145" s="105">
        <v>2</v>
      </c>
      <c r="J145" s="105">
        <v>3</v>
      </c>
      <c r="K145" s="105">
        <v>0</v>
      </c>
      <c r="L145" s="105">
        <v>2</v>
      </c>
      <c r="M145" s="105">
        <v>4</v>
      </c>
      <c r="N145" s="105">
        <v>2</v>
      </c>
      <c r="O145" s="105">
        <v>2</v>
      </c>
      <c r="P145" s="105">
        <v>2</v>
      </c>
      <c r="Q145" s="105">
        <v>1</v>
      </c>
      <c r="R145" s="105">
        <v>3</v>
      </c>
      <c r="S145" s="105">
        <v>1</v>
      </c>
      <c r="T145" s="105">
        <v>3</v>
      </c>
      <c r="U145" s="105">
        <v>3</v>
      </c>
      <c r="V145" s="105">
        <v>1</v>
      </c>
      <c r="W145" s="105">
        <v>2</v>
      </c>
      <c r="X145" s="105">
        <v>2</v>
      </c>
      <c r="Y145" s="105">
        <v>2</v>
      </c>
      <c r="Z145" s="105">
        <v>0</v>
      </c>
      <c r="AA145" s="105">
        <v>1</v>
      </c>
      <c r="AB145" s="105">
        <v>2</v>
      </c>
      <c r="AC145" s="105">
        <v>1</v>
      </c>
      <c r="AD145" s="105"/>
      <c r="AE145" s="105"/>
      <c r="AF145" s="105"/>
      <c r="AG145" s="38">
        <f t="shared" si="17"/>
        <v>51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/>
      <c r="AE146" s="77"/>
      <c r="AF146" s="77"/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1</v>
      </c>
      <c r="D147" s="77">
        <v>0</v>
      </c>
      <c r="E147" s="77">
        <v>1</v>
      </c>
      <c r="F147" s="77">
        <v>0</v>
      </c>
      <c r="G147" s="77">
        <v>0</v>
      </c>
      <c r="H147" s="77">
        <v>0</v>
      </c>
      <c r="I147" s="77">
        <v>1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1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/>
      <c r="AE147" s="77"/>
      <c r="AF147" s="77"/>
      <c r="AG147" s="5">
        <f t="shared" si="17"/>
        <v>4</v>
      </c>
      <c r="AK147" s="84" t="s">
        <v>157</v>
      </c>
    </row>
    <row r="148" spans="1:37" ht="15.75" customHeight="1" x14ac:dyDescent="0.25">
      <c r="A148" s="106" t="s">
        <v>94</v>
      </c>
      <c r="B148" s="77">
        <v>1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/>
      <c r="AE148" s="77"/>
      <c r="AF148" s="77"/>
      <c r="AG148" s="5">
        <f t="shared" si="17"/>
        <v>1</v>
      </c>
      <c r="AK148" s="84" t="s">
        <v>158</v>
      </c>
    </row>
    <row r="149" spans="1:37" ht="15.75" customHeight="1" x14ac:dyDescent="0.25">
      <c r="A149" s="107" t="s">
        <v>95</v>
      </c>
      <c r="B149" s="108">
        <v>8</v>
      </c>
      <c r="C149" s="108">
        <v>11</v>
      </c>
      <c r="D149" s="108">
        <v>10</v>
      </c>
      <c r="E149" s="108">
        <v>10</v>
      </c>
      <c r="F149" s="108">
        <v>7</v>
      </c>
      <c r="G149" s="108">
        <v>2</v>
      </c>
      <c r="H149" s="108">
        <v>5</v>
      </c>
      <c r="I149" s="108">
        <v>7</v>
      </c>
      <c r="J149" s="108">
        <v>2</v>
      </c>
      <c r="K149" s="108">
        <v>8</v>
      </c>
      <c r="L149" s="108">
        <v>8</v>
      </c>
      <c r="M149" s="108">
        <v>2</v>
      </c>
      <c r="N149" s="108">
        <v>4</v>
      </c>
      <c r="O149" s="108">
        <v>10</v>
      </c>
      <c r="P149" s="108">
        <v>9</v>
      </c>
      <c r="Q149" s="108">
        <v>11</v>
      </c>
      <c r="R149" s="108">
        <v>9</v>
      </c>
      <c r="S149" s="108">
        <v>4</v>
      </c>
      <c r="T149" s="108">
        <v>3</v>
      </c>
      <c r="U149" s="108">
        <v>4</v>
      </c>
      <c r="V149" s="108">
        <v>8</v>
      </c>
      <c r="W149" s="108">
        <v>9</v>
      </c>
      <c r="X149" s="108">
        <v>11</v>
      </c>
      <c r="Y149" s="108">
        <v>6</v>
      </c>
      <c r="Z149" s="108">
        <v>2</v>
      </c>
      <c r="AA149" s="108">
        <v>15</v>
      </c>
      <c r="AB149" s="108">
        <v>9</v>
      </c>
      <c r="AC149" s="108">
        <v>7</v>
      </c>
      <c r="AD149" s="108"/>
      <c r="AE149" s="108"/>
      <c r="AF149" s="108"/>
      <c r="AG149" s="39">
        <f t="shared" si="17"/>
        <v>201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1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/>
      <c r="AE153" s="77"/>
      <c r="AF153" s="77"/>
      <c r="AG153" s="5">
        <f t="shared" si="17"/>
        <v>1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0</v>
      </c>
      <c r="H154" s="77">
        <v>0</v>
      </c>
      <c r="I154" s="77">
        <v>0</v>
      </c>
      <c r="J154" s="77">
        <v>0</v>
      </c>
      <c r="K154" s="77">
        <v>0</v>
      </c>
      <c r="L154" s="77">
        <v>0</v>
      </c>
      <c r="M154" s="77">
        <v>0</v>
      </c>
      <c r="N154" s="77">
        <v>0</v>
      </c>
      <c r="O154" s="77">
        <v>0</v>
      </c>
      <c r="P154" s="77">
        <v>0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0</v>
      </c>
      <c r="W154" s="77">
        <v>0</v>
      </c>
      <c r="X154" s="77">
        <v>0</v>
      </c>
      <c r="Y154" s="77">
        <v>0</v>
      </c>
      <c r="Z154" s="77">
        <v>0</v>
      </c>
      <c r="AA154" s="77">
        <v>0</v>
      </c>
      <c r="AB154" s="77">
        <v>0</v>
      </c>
      <c r="AC154" s="77">
        <v>0</v>
      </c>
      <c r="AD154" s="77"/>
      <c r="AE154" s="77"/>
      <c r="AF154" s="77"/>
      <c r="AG154" s="5">
        <f t="shared" si="17"/>
        <v>0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2</v>
      </c>
      <c r="C158" s="111">
        <v>1</v>
      </c>
      <c r="D158" s="111">
        <v>5</v>
      </c>
      <c r="E158" s="111">
        <v>0</v>
      </c>
      <c r="F158" s="111">
        <v>0</v>
      </c>
      <c r="G158" s="111">
        <v>0</v>
      </c>
      <c r="H158" s="111">
        <v>0</v>
      </c>
      <c r="I158" s="111">
        <v>1</v>
      </c>
      <c r="J158" s="111">
        <v>0</v>
      </c>
      <c r="K158" s="111">
        <v>0</v>
      </c>
      <c r="L158" s="111">
        <v>1</v>
      </c>
      <c r="M158" s="111">
        <v>0</v>
      </c>
      <c r="N158" s="111">
        <v>0</v>
      </c>
      <c r="O158" s="111">
        <v>0</v>
      </c>
      <c r="P158" s="111">
        <v>0</v>
      </c>
      <c r="Q158" s="111">
        <v>1</v>
      </c>
      <c r="R158" s="111">
        <v>2</v>
      </c>
      <c r="S158" s="111">
        <v>0</v>
      </c>
      <c r="T158" s="111">
        <v>0</v>
      </c>
      <c r="U158" s="111">
        <v>0</v>
      </c>
      <c r="V158" s="111">
        <v>0</v>
      </c>
      <c r="W158" s="111">
        <v>2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/>
      <c r="AE158" s="111"/>
      <c r="AF158" s="111"/>
      <c r="AG158" s="40">
        <f t="shared" si="17"/>
        <v>15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1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/>
      <c r="AE162" s="77"/>
      <c r="AF162" s="77"/>
      <c r="AG162" s="5">
        <f t="shared" si="17"/>
        <v>1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/>
      <c r="AE163" s="77"/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/>
      <c r="AE165" s="77"/>
      <c r="AF165" s="77"/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1</v>
      </c>
      <c r="G167" s="77">
        <v>2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1</v>
      </c>
      <c r="P167" s="77">
        <v>0</v>
      </c>
      <c r="Q167" s="77">
        <v>0</v>
      </c>
      <c r="R167" s="77">
        <v>0</v>
      </c>
      <c r="S167" s="77">
        <v>1</v>
      </c>
      <c r="T167" s="77">
        <v>0</v>
      </c>
      <c r="U167" s="77">
        <v>0</v>
      </c>
      <c r="V167" s="77">
        <v>1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/>
      <c r="AE167" s="77"/>
      <c r="AF167" s="77"/>
      <c r="AG167" s="5">
        <f t="shared" si="26"/>
        <v>6</v>
      </c>
    </row>
    <row r="168" spans="1:34" ht="15.75" customHeight="1" x14ac:dyDescent="0.25">
      <c r="A168" s="76" t="s">
        <v>114</v>
      </c>
      <c r="B168" s="113">
        <v>1</v>
      </c>
      <c r="C168" s="113">
        <v>1</v>
      </c>
      <c r="D168" s="113">
        <v>0</v>
      </c>
      <c r="E168" s="113">
        <v>0</v>
      </c>
      <c r="F168" s="113">
        <v>2</v>
      </c>
      <c r="G168" s="113">
        <v>0</v>
      </c>
      <c r="H168" s="113">
        <v>2</v>
      </c>
      <c r="I168" s="113">
        <v>1</v>
      </c>
      <c r="J168" s="113">
        <v>1</v>
      </c>
      <c r="K168" s="113">
        <v>0</v>
      </c>
      <c r="L168" s="113">
        <v>1</v>
      </c>
      <c r="M168" s="113">
        <v>0</v>
      </c>
      <c r="N168" s="113">
        <v>0</v>
      </c>
      <c r="O168" s="113">
        <v>0</v>
      </c>
      <c r="P168" s="113">
        <v>1</v>
      </c>
      <c r="Q168" s="113">
        <v>0</v>
      </c>
      <c r="R168" s="113">
        <v>0</v>
      </c>
      <c r="S168" s="113">
        <v>0</v>
      </c>
      <c r="T168" s="113">
        <v>0</v>
      </c>
      <c r="U168" s="113">
        <v>2</v>
      </c>
      <c r="V168" s="113">
        <v>0</v>
      </c>
      <c r="W168" s="113">
        <v>0</v>
      </c>
      <c r="X168" s="113">
        <v>0</v>
      </c>
      <c r="Y168" s="113">
        <v>0</v>
      </c>
      <c r="Z168" s="113">
        <v>0</v>
      </c>
      <c r="AA168" s="113">
        <v>0</v>
      </c>
      <c r="AB168" s="113">
        <v>1</v>
      </c>
      <c r="AC168" s="113">
        <v>3</v>
      </c>
      <c r="AD168" s="113"/>
      <c r="AE168" s="113"/>
      <c r="AF168" s="113"/>
      <c r="AG168" s="5">
        <f t="shared" si="26"/>
        <v>16</v>
      </c>
    </row>
    <row r="169" spans="1:34" ht="15.75" customHeight="1" x14ac:dyDescent="0.25">
      <c r="A169" s="114" t="s">
        <v>115</v>
      </c>
      <c r="B169" s="113">
        <v>2</v>
      </c>
      <c r="C169" s="113">
        <v>0</v>
      </c>
      <c r="D169" s="113">
        <v>0</v>
      </c>
      <c r="E169" s="113">
        <v>1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1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1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1</v>
      </c>
      <c r="AC169" s="113">
        <v>0</v>
      </c>
      <c r="AD169" s="113"/>
      <c r="AE169" s="113"/>
      <c r="AF169" s="113"/>
      <c r="AG169" s="5">
        <f t="shared" si="26"/>
        <v>6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146</v>
      </c>
      <c r="C171" s="41">
        <f t="shared" si="27"/>
        <v>162</v>
      </c>
      <c r="D171" s="41">
        <f t="shared" si="27"/>
        <v>122</v>
      </c>
      <c r="E171" s="41">
        <f t="shared" si="27"/>
        <v>108</v>
      </c>
      <c r="F171" s="41">
        <f t="shared" si="27"/>
        <v>112</v>
      </c>
      <c r="G171" s="41">
        <f t="shared" si="27"/>
        <v>93</v>
      </c>
      <c r="H171" s="41">
        <f t="shared" si="27"/>
        <v>111</v>
      </c>
      <c r="I171" s="41">
        <f t="shared" si="27"/>
        <v>145</v>
      </c>
      <c r="J171" s="41">
        <f t="shared" si="27"/>
        <v>127</v>
      </c>
      <c r="K171" s="41">
        <f t="shared" si="27"/>
        <v>115</v>
      </c>
      <c r="L171" s="41">
        <f t="shared" si="27"/>
        <v>114</v>
      </c>
      <c r="M171" s="41">
        <f t="shared" si="27"/>
        <v>122</v>
      </c>
      <c r="N171" s="41">
        <f t="shared" si="27"/>
        <v>106</v>
      </c>
      <c r="O171" s="41">
        <f t="shared" si="27"/>
        <v>97</v>
      </c>
      <c r="P171" s="41">
        <f t="shared" si="27"/>
        <v>143</v>
      </c>
      <c r="Q171" s="41">
        <f t="shared" si="27"/>
        <v>150</v>
      </c>
      <c r="R171" s="41">
        <f t="shared" si="27"/>
        <v>126</v>
      </c>
      <c r="S171" s="41">
        <f t="shared" si="27"/>
        <v>94</v>
      </c>
      <c r="T171" s="41">
        <f t="shared" si="27"/>
        <v>106</v>
      </c>
      <c r="U171" s="41">
        <f t="shared" si="27"/>
        <v>105</v>
      </c>
      <c r="V171" s="41">
        <f t="shared" si="27"/>
        <v>115</v>
      </c>
      <c r="W171" s="41">
        <f t="shared" si="27"/>
        <v>147</v>
      </c>
      <c r="X171" s="41">
        <f t="shared" si="27"/>
        <v>144</v>
      </c>
      <c r="Y171" s="41">
        <f t="shared" si="27"/>
        <v>139</v>
      </c>
      <c r="Z171" s="41">
        <f t="shared" si="27"/>
        <v>23</v>
      </c>
      <c r="AA171" s="41">
        <f t="shared" si="27"/>
        <v>119</v>
      </c>
      <c r="AB171" s="41">
        <f t="shared" si="27"/>
        <v>129</v>
      </c>
      <c r="AC171" s="41">
        <f t="shared" si="27"/>
        <v>94</v>
      </c>
      <c r="AD171" s="41">
        <f t="shared" si="27"/>
        <v>0</v>
      </c>
      <c r="AE171" s="41">
        <f t="shared" si="27"/>
        <v>0</v>
      </c>
      <c r="AF171" s="41">
        <f t="shared" si="27"/>
        <v>0</v>
      </c>
      <c r="AG171" s="42">
        <f t="shared" si="26"/>
        <v>3314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1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/>
      <c r="AE172" s="118"/>
      <c r="AF172" s="118"/>
      <c r="AG172" s="43">
        <f t="shared" si="26"/>
        <v>1</v>
      </c>
    </row>
    <row r="173" spans="1:34" ht="15.75" customHeight="1" x14ac:dyDescent="0.25">
      <c r="A173" s="119" t="s">
        <v>37</v>
      </c>
      <c r="B173" s="120">
        <v>1</v>
      </c>
      <c r="C173" s="120">
        <v>0</v>
      </c>
      <c r="D173" s="120">
        <v>1</v>
      </c>
      <c r="E173" s="120">
        <v>2</v>
      </c>
      <c r="F173" s="120">
        <v>0</v>
      </c>
      <c r="G173" s="120">
        <v>0</v>
      </c>
      <c r="H173" s="120">
        <v>0</v>
      </c>
      <c r="I173" s="120">
        <v>1</v>
      </c>
      <c r="J173" s="120">
        <v>2</v>
      </c>
      <c r="K173" s="120">
        <v>1</v>
      </c>
      <c r="L173" s="120">
        <v>1</v>
      </c>
      <c r="M173" s="120">
        <v>2</v>
      </c>
      <c r="N173" s="120">
        <v>0</v>
      </c>
      <c r="O173" s="120">
        <v>0</v>
      </c>
      <c r="P173" s="120">
        <v>2</v>
      </c>
      <c r="Q173" s="120">
        <v>0</v>
      </c>
      <c r="R173" s="120">
        <v>3</v>
      </c>
      <c r="S173" s="120">
        <v>3</v>
      </c>
      <c r="T173" s="120">
        <v>1</v>
      </c>
      <c r="U173" s="120">
        <v>2</v>
      </c>
      <c r="V173" s="120">
        <v>4</v>
      </c>
      <c r="W173" s="120">
        <v>2</v>
      </c>
      <c r="X173" s="120">
        <v>1</v>
      </c>
      <c r="Y173" s="120">
        <v>2</v>
      </c>
      <c r="Z173" s="120">
        <v>0</v>
      </c>
      <c r="AA173" s="120">
        <v>0</v>
      </c>
      <c r="AB173" s="120">
        <v>1</v>
      </c>
      <c r="AC173" s="120">
        <v>0</v>
      </c>
      <c r="AD173" s="120"/>
      <c r="AE173" s="120"/>
      <c r="AF173" s="120"/>
      <c r="AG173" s="44">
        <f t="shared" si="26"/>
        <v>32</v>
      </c>
    </row>
    <row r="174" spans="1:34" ht="15.75" customHeight="1" x14ac:dyDescent="0.25">
      <c r="A174" s="119" t="s">
        <v>38</v>
      </c>
      <c r="B174" s="120">
        <v>15</v>
      </c>
      <c r="C174" s="120">
        <v>17</v>
      </c>
      <c r="D174" s="120">
        <v>27</v>
      </c>
      <c r="E174" s="120">
        <v>12</v>
      </c>
      <c r="F174" s="120">
        <v>29</v>
      </c>
      <c r="G174" s="120">
        <v>17</v>
      </c>
      <c r="H174" s="120">
        <v>18</v>
      </c>
      <c r="I174" s="120">
        <v>18</v>
      </c>
      <c r="J174" s="120">
        <v>21</v>
      </c>
      <c r="K174" s="120">
        <v>10</v>
      </c>
      <c r="L174" s="120">
        <v>19</v>
      </c>
      <c r="M174" s="120">
        <v>22</v>
      </c>
      <c r="N174" s="120">
        <v>12</v>
      </c>
      <c r="O174" s="120">
        <v>12</v>
      </c>
      <c r="P174" s="120">
        <v>16</v>
      </c>
      <c r="Q174" s="120">
        <v>12</v>
      </c>
      <c r="R174" s="120">
        <v>24</v>
      </c>
      <c r="S174" s="120">
        <v>10</v>
      </c>
      <c r="T174" s="120">
        <v>25</v>
      </c>
      <c r="U174" s="120">
        <v>14</v>
      </c>
      <c r="V174" s="120">
        <v>14</v>
      </c>
      <c r="W174" s="120">
        <v>16</v>
      </c>
      <c r="X174" s="120">
        <v>16</v>
      </c>
      <c r="Y174" s="120">
        <v>16</v>
      </c>
      <c r="Z174" s="120">
        <v>6</v>
      </c>
      <c r="AA174" s="120">
        <v>10</v>
      </c>
      <c r="AB174" s="120">
        <v>21</v>
      </c>
      <c r="AC174" s="120">
        <v>10</v>
      </c>
      <c r="AD174" s="120"/>
      <c r="AE174" s="120"/>
      <c r="AF174" s="120"/>
      <c r="AG174" s="44">
        <f t="shared" si="26"/>
        <v>459</v>
      </c>
    </row>
    <row r="175" spans="1:34" ht="15.75" customHeight="1" x14ac:dyDescent="0.25">
      <c r="A175" s="119" t="s">
        <v>39</v>
      </c>
      <c r="B175" s="120">
        <v>107</v>
      </c>
      <c r="C175" s="120">
        <v>115</v>
      </c>
      <c r="D175" s="120">
        <v>84</v>
      </c>
      <c r="E175" s="120">
        <v>85</v>
      </c>
      <c r="F175" s="120">
        <v>64</v>
      </c>
      <c r="G175" s="120">
        <v>54</v>
      </c>
      <c r="H175" s="120">
        <v>75</v>
      </c>
      <c r="I175" s="120">
        <v>82</v>
      </c>
      <c r="J175" s="120">
        <v>79</v>
      </c>
      <c r="K175" s="120">
        <v>88</v>
      </c>
      <c r="L175" s="120">
        <v>86</v>
      </c>
      <c r="M175" s="120">
        <v>77</v>
      </c>
      <c r="N175" s="120">
        <v>88</v>
      </c>
      <c r="O175" s="120">
        <v>74</v>
      </c>
      <c r="P175" s="120">
        <v>79</v>
      </c>
      <c r="Q175" s="120">
        <v>110</v>
      </c>
      <c r="R175" s="120">
        <v>75</v>
      </c>
      <c r="S175" s="120">
        <v>62</v>
      </c>
      <c r="T175" s="120">
        <v>67</v>
      </c>
      <c r="U175" s="120">
        <v>81</v>
      </c>
      <c r="V175" s="120">
        <v>88</v>
      </c>
      <c r="W175" s="120">
        <v>100</v>
      </c>
      <c r="X175" s="120">
        <v>115</v>
      </c>
      <c r="Y175" s="120">
        <v>95</v>
      </c>
      <c r="Z175" s="120">
        <v>10</v>
      </c>
      <c r="AA175" s="120">
        <v>86</v>
      </c>
      <c r="AB175" s="120">
        <v>99</v>
      </c>
      <c r="AC175" s="120">
        <v>70</v>
      </c>
      <c r="AD175" s="120"/>
      <c r="AE175" s="120"/>
      <c r="AF175" s="120"/>
      <c r="AG175" s="44">
        <f t="shared" si="26"/>
        <v>2295</v>
      </c>
    </row>
    <row r="176" spans="1:34" ht="15.75" customHeight="1" thickBot="1" x14ac:dyDescent="0.3">
      <c r="A176" s="121" t="s">
        <v>40</v>
      </c>
      <c r="B176" s="122">
        <v>23</v>
      </c>
      <c r="C176" s="122">
        <v>30</v>
      </c>
      <c r="D176" s="122">
        <v>10</v>
      </c>
      <c r="E176" s="122">
        <v>9</v>
      </c>
      <c r="F176" s="122">
        <v>19</v>
      </c>
      <c r="G176" s="122">
        <v>22</v>
      </c>
      <c r="H176" s="122">
        <v>18</v>
      </c>
      <c r="I176" s="122">
        <v>44</v>
      </c>
      <c r="J176" s="122">
        <v>25</v>
      </c>
      <c r="K176" s="122">
        <v>16</v>
      </c>
      <c r="L176" s="122">
        <v>8</v>
      </c>
      <c r="M176" s="122">
        <v>21</v>
      </c>
      <c r="N176" s="122">
        <v>6</v>
      </c>
      <c r="O176" s="122">
        <v>11</v>
      </c>
      <c r="P176" s="122">
        <v>46</v>
      </c>
      <c r="Q176" s="122">
        <v>28</v>
      </c>
      <c r="R176" s="122">
        <v>23</v>
      </c>
      <c r="S176" s="122">
        <v>19</v>
      </c>
      <c r="T176" s="122">
        <v>13</v>
      </c>
      <c r="U176" s="122">
        <v>8</v>
      </c>
      <c r="V176" s="122">
        <v>9</v>
      </c>
      <c r="W176" s="122">
        <v>29</v>
      </c>
      <c r="X176" s="122">
        <v>12</v>
      </c>
      <c r="Y176" s="122">
        <v>26</v>
      </c>
      <c r="Z176" s="122">
        <v>7</v>
      </c>
      <c r="AA176" s="122">
        <v>23</v>
      </c>
      <c r="AB176" s="122">
        <v>8</v>
      </c>
      <c r="AC176" s="122">
        <v>14</v>
      </c>
      <c r="AD176" s="122"/>
      <c r="AE176" s="122"/>
      <c r="AF176" s="122"/>
      <c r="AG176" s="45">
        <f t="shared" si="26"/>
        <v>527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32" priority="3" operator="lessThan">
      <formula>0</formula>
    </cfRule>
  </conditionalFormatting>
  <conditionalFormatting sqref="AH171">
    <cfRule type="cellIs" dxfId="31" priority="2" operator="equal">
      <formula>"X"</formula>
    </cfRule>
  </conditionalFormatting>
  <conditionalFormatting sqref="AH1:AH1048576">
    <cfRule type="cellIs" dxfId="30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A8224C93-6D18-409E-B335-4AC76C249527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B080-3558-4CA4-8B32-7D9587A79F60}">
  <sheetPr codeName="Hoja25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177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155</v>
      </c>
      <c r="C3" s="1">
        <f t="shared" si="1"/>
        <v>155</v>
      </c>
      <c r="D3" s="1">
        <f t="shared" si="1"/>
        <v>149</v>
      </c>
      <c r="E3" s="1">
        <f t="shared" si="1"/>
        <v>101</v>
      </c>
      <c r="F3" s="1">
        <f t="shared" si="1"/>
        <v>116</v>
      </c>
      <c r="G3" s="1">
        <f t="shared" si="1"/>
        <v>116</v>
      </c>
      <c r="H3" s="1">
        <f t="shared" si="1"/>
        <v>103</v>
      </c>
      <c r="I3" s="1">
        <f t="shared" si="1"/>
        <v>152</v>
      </c>
      <c r="J3" s="1">
        <f t="shared" si="1"/>
        <v>162</v>
      </c>
      <c r="K3" s="1">
        <f t="shared" si="1"/>
        <v>119</v>
      </c>
      <c r="L3" s="1">
        <f t="shared" si="1"/>
        <v>133</v>
      </c>
      <c r="M3" s="1">
        <f t="shared" si="1"/>
        <v>128</v>
      </c>
      <c r="N3" s="1">
        <f t="shared" si="1"/>
        <v>100</v>
      </c>
      <c r="O3" s="1">
        <f t="shared" si="1"/>
        <v>110</v>
      </c>
      <c r="P3" s="1">
        <f t="shared" si="1"/>
        <v>165</v>
      </c>
      <c r="Q3" s="1">
        <f t="shared" si="1"/>
        <v>162</v>
      </c>
      <c r="R3" s="1">
        <f t="shared" si="1"/>
        <v>163</v>
      </c>
      <c r="S3" s="1">
        <f t="shared" si="1"/>
        <v>156</v>
      </c>
      <c r="T3" s="1">
        <f t="shared" si="1"/>
        <v>141</v>
      </c>
      <c r="U3" s="1">
        <f t="shared" si="1"/>
        <v>120</v>
      </c>
      <c r="V3" s="1">
        <f t="shared" si="1"/>
        <v>129</v>
      </c>
      <c r="W3" s="1">
        <f t="shared" si="1"/>
        <v>174</v>
      </c>
      <c r="X3" s="1">
        <f t="shared" si="1"/>
        <v>191</v>
      </c>
      <c r="Y3" s="1">
        <f t="shared" si="1"/>
        <v>130</v>
      </c>
      <c r="Z3" s="1">
        <f t="shared" si="1"/>
        <v>132</v>
      </c>
      <c r="AA3" s="1">
        <f t="shared" si="1"/>
        <v>134</v>
      </c>
      <c r="AB3" s="1">
        <f t="shared" si="1"/>
        <v>136</v>
      </c>
      <c r="AC3" s="1">
        <f t="shared" si="1"/>
        <v>128</v>
      </c>
      <c r="AD3" s="1">
        <f t="shared" si="1"/>
        <v>167</v>
      </c>
      <c r="AE3" s="1">
        <f t="shared" si="1"/>
        <v>166</v>
      </c>
      <c r="AF3" s="1">
        <f t="shared" si="1"/>
        <v>131</v>
      </c>
      <c r="AG3" s="2">
        <f t="shared" ref="AG3:AG66" si="2">SUM(B3:AF3)</f>
        <v>4324</v>
      </c>
    </row>
    <row r="4" spans="1:33" ht="18.75" x14ac:dyDescent="0.25">
      <c r="A4" s="53" t="s">
        <v>2</v>
      </c>
      <c r="B4" s="54">
        <v>9</v>
      </c>
      <c r="C4" s="55">
        <v>10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6</v>
      </c>
      <c r="J4" s="55">
        <v>3</v>
      </c>
      <c r="K4" s="55">
        <v>0</v>
      </c>
      <c r="L4" s="55">
        <v>0</v>
      </c>
      <c r="M4" s="55">
        <v>0</v>
      </c>
      <c r="N4" s="55">
        <v>0</v>
      </c>
      <c r="O4" s="55">
        <v>0</v>
      </c>
      <c r="P4" s="55">
        <v>4</v>
      </c>
      <c r="Q4" s="55">
        <v>4</v>
      </c>
      <c r="R4" s="55">
        <v>0</v>
      </c>
      <c r="S4" s="55">
        <v>0</v>
      </c>
      <c r="T4" s="55">
        <v>0</v>
      </c>
      <c r="U4" s="55">
        <v>0</v>
      </c>
      <c r="V4" s="55">
        <v>0</v>
      </c>
      <c r="W4" s="55">
        <v>1</v>
      </c>
      <c r="X4" s="55">
        <v>4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5</v>
      </c>
      <c r="AE4" s="55">
        <v>2</v>
      </c>
      <c r="AF4" s="55">
        <v>0</v>
      </c>
      <c r="AG4" s="4">
        <f t="shared" si="2"/>
        <v>48</v>
      </c>
    </row>
    <row r="5" spans="1:33" ht="18.75" x14ac:dyDescent="0.25">
      <c r="A5" s="56" t="s">
        <v>3</v>
      </c>
      <c r="B5" s="54">
        <v>6</v>
      </c>
      <c r="C5" s="54">
        <v>5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4</v>
      </c>
      <c r="J5" s="54">
        <v>12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11</v>
      </c>
      <c r="Q5" s="54">
        <v>8</v>
      </c>
      <c r="R5" s="54">
        <v>0</v>
      </c>
      <c r="S5" s="54">
        <v>0</v>
      </c>
      <c r="T5" s="54">
        <v>0</v>
      </c>
      <c r="U5" s="54">
        <v>0</v>
      </c>
      <c r="V5" s="54">
        <v>0</v>
      </c>
      <c r="W5" s="54">
        <v>11</v>
      </c>
      <c r="X5" s="54">
        <v>10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13</v>
      </c>
      <c r="AE5" s="54">
        <v>11</v>
      </c>
      <c r="AF5" s="54">
        <v>0</v>
      </c>
      <c r="AG5" s="5">
        <f t="shared" si="2"/>
        <v>91</v>
      </c>
    </row>
    <row r="6" spans="1:33" ht="18.75" x14ac:dyDescent="0.25">
      <c r="A6" s="56" t="s">
        <v>4</v>
      </c>
      <c r="B6" s="54">
        <v>6</v>
      </c>
      <c r="C6" s="54">
        <v>13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11</v>
      </c>
      <c r="J6" s="54">
        <v>10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11</v>
      </c>
      <c r="Q6" s="54">
        <v>10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15</v>
      </c>
      <c r="X6" s="54">
        <v>12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9</v>
      </c>
      <c r="AE6" s="54">
        <v>11</v>
      </c>
      <c r="AF6" s="54">
        <v>0</v>
      </c>
      <c r="AG6" s="5">
        <f t="shared" si="2"/>
        <v>108</v>
      </c>
    </row>
    <row r="7" spans="1:33" ht="18.75" x14ac:dyDescent="0.25">
      <c r="A7" s="56" t="s">
        <v>5</v>
      </c>
      <c r="B7" s="54">
        <v>6</v>
      </c>
      <c r="C7" s="54">
        <v>12</v>
      </c>
      <c r="D7" s="54">
        <v>0</v>
      </c>
      <c r="E7" s="54">
        <v>0</v>
      </c>
      <c r="F7" s="54">
        <v>0</v>
      </c>
      <c r="G7" s="54">
        <v>0</v>
      </c>
      <c r="H7" s="54">
        <v>0</v>
      </c>
      <c r="I7" s="54">
        <v>12</v>
      </c>
      <c r="J7" s="54">
        <v>9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10</v>
      </c>
      <c r="Q7" s="54">
        <v>11</v>
      </c>
      <c r="R7" s="54">
        <v>0</v>
      </c>
      <c r="S7" s="54">
        <v>0</v>
      </c>
      <c r="T7" s="54">
        <v>0</v>
      </c>
      <c r="U7" s="54">
        <v>0</v>
      </c>
      <c r="V7" s="54">
        <v>0</v>
      </c>
      <c r="W7" s="54">
        <v>13</v>
      </c>
      <c r="X7" s="54">
        <v>15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9</v>
      </c>
      <c r="AE7" s="54">
        <v>14</v>
      </c>
      <c r="AF7" s="54">
        <v>0</v>
      </c>
      <c r="AG7" s="5">
        <f t="shared" si="2"/>
        <v>111</v>
      </c>
    </row>
    <row r="8" spans="1:33" ht="18.75" x14ac:dyDescent="0.25">
      <c r="A8" s="56" t="s">
        <v>6</v>
      </c>
      <c r="B8" s="54">
        <v>11</v>
      </c>
      <c r="C8" s="54">
        <v>6</v>
      </c>
      <c r="D8" s="54">
        <v>0</v>
      </c>
      <c r="E8" s="54">
        <v>0</v>
      </c>
      <c r="F8" s="54">
        <v>0</v>
      </c>
      <c r="G8" s="54">
        <v>0</v>
      </c>
      <c r="H8" s="54">
        <v>0</v>
      </c>
      <c r="I8" s="54">
        <v>6</v>
      </c>
      <c r="J8" s="54">
        <v>17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10</v>
      </c>
      <c r="Q8" s="54">
        <v>16</v>
      </c>
      <c r="R8" s="54">
        <v>0</v>
      </c>
      <c r="S8" s="54">
        <v>0</v>
      </c>
      <c r="T8" s="54">
        <v>0</v>
      </c>
      <c r="U8" s="54">
        <v>0</v>
      </c>
      <c r="V8" s="54">
        <v>0</v>
      </c>
      <c r="W8" s="54">
        <v>10</v>
      </c>
      <c r="X8" s="54">
        <v>19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17</v>
      </c>
      <c r="AE8" s="54">
        <v>11</v>
      </c>
      <c r="AF8" s="54">
        <v>0</v>
      </c>
      <c r="AG8" s="5">
        <f t="shared" si="2"/>
        <v>123</v>
      </c>
    </row>
    <row r="9" spans="1:33" ht="18.75" x14ac:dyDescent="0.25">
      <c r="A9" s="56" t="s">
        <v>7</v>
      </c>
      <c r="B9" s="54">
        <v>9</v>
      </c>
      <c r="C9" s="54">
        <v>8</v>
      </c>
      <c r="D9" s="54">
        <v>0</v>
      </c>
      <c r="E9" s="54">
        <v>0</v>
      </c>
      <c r="F9" s="54">
        <v>0</v>
      </c>
      <c r="G9" s="54">
        <v>0</v>
      </c>
      <c r="H9" s="54">
        <v>0</v>
      </c>
      <c r="I9" s="54">
        <v>14</v>
      </c>
      <c r="J9" s="54">
        <v>9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9</v>
      </c>
      <c r="Q9" s="54">
        <v>13</v>
      </c>
      <c r="R9" s="54">
        <v>0</v>
      </c>
      <c r="S9" s="54">
        <v>0</v>
      </c>
      <c r="T9" s="54">
        <v>0</v>
      </c>
      <c r="U9" s="54">
        <v>0</v>
      </c>
      <c r="V9" s="54">
        <v>0</v>
      </c>
      <c r="W9" s="54">
        <v>10</v>
      </c>
      <c r="X9" s="54">
        <v>15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9</v>
      </c>
      <c r="AE9" s="54">
        <v>11</v>
      </c>
      <c r="AF9" s="54">
        <v>0</v>
      </c>
      <c r="AG9" s="5">
        <f t="shared" si="2"/>
        <v>107</v>
      </c>
    </row>
    <row r="10" spans="1:33" ht="18.75" x14ac:dyDescent="0.25">
      <c r="A10" s="56" t="s">
        <v>8</v>
      </c>
      <c r="B10" s="54">
        <v>6</v>
      </c>
      <c r="C10" s="54">
        <v>8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I10" s="54">
        <v>10</v>
      </c>
      <c r="J10" s="54">
        <v>7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7</v>
      </c>
      <c r="Q10" s="54">
        <v>5</v>
      </c>
      <c r="R10" s="54">
        <v>0</v>
      </c>
      <c r="S10" s="54">
        <v>0</v>
      </c>
      <c r="T10" s="54">
        <v>0</v>
      </c>
      <c r="U10" s="54">
        <v>0</v>
      </c>
      <c r="V10" s="54">
        <v>2</v>
      </c>
      <c r="W10" s="54">
        <v>15</v>
      </c>
      <c r="X10" s="54">
        <v>11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8</v>
      </c>
      <c r="AE10" s="54">
        <v>11</v>
      </c>
      <c r="AF10" s="54">
        <v>0</v>
      </c>
      <c r="AG10" s="5">
        <f t="shared" si="2"/>
        <v>90</v>
      </c>
    </row>
    <row r="11" spans="1:33" ht="18.75" x14ac:dyDescent="0.25">
      <c r="A11" s="56" t="s">
        <v>9</v>
      </c>
      <c r="B11" s="54">
        <v>11</v>
      </c>
      <c r="C11" s="54">
        <v>8</v>
      </c>
      <c r="D11" s="54">
        <v>0</v>
      </c>
      <c r="E11" s="54">
        <v>0</v>
      </c>
      <c r="F11" s="54">
        <v>0</v>
      </c>
      <c r="G11" s="54">
        <v>0</v>
      </c>
      <c r="H11" s="54">
        <v>8</v>
      </c>
      <c r="I11" s="54">
        <v>6</v>
      </c>
      <c r="J11" s="54">
        <v>13</v>
      </c>
      <c r="K11" s="54">
        <v>0</v>
      </c>
      <c r="L11" s="54">
        <v>0</v>
      </c>
      <c r="M11" s="54">
        <v>0</v>
      </c>
      <c r="N11" s="54">
        <v>0</v>
      </c>
      <c r="O11" s="54">
        <v>4</v>
      </c>
      <c r="P11" s="54">
        <v>12</v>
      </c>
      <c r="Q11" s="54">
        <v>8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4">
        <v>8</v>
      </c>
      <c r="X11" s="54">
        <v>15</v>
      </c>
      <c r="Y11" s="54">
        <v>0</v>
      </c>
      <c r="Z11" s="54">
        <v>0</v>
      </c>
      <c r="AA11" s="54">
        <v>0</v>
      </c>
      <c r="AB11" s="54">
        <v>0</v>
      </c>
      <c r="AC11" s="54">
        <v>4</v>
      </c>
      <c r="AD11" s="54">
        <v>8</v>
      </c>
      <c r="AE11" s="54">
        <v>11</v>
      </c>
      <c r="AF11" s="54">
        <v>0</v>
      </c>
      <c r="AG11" s="5">
        <f t="shared" si="2"/>
        <v>116</v>
      </c>
    </row>
    <row r="12" spans="1:33" ht="18.75" x14ac:dyDescent="0.25">
      <c r="A12" s="56" t="s">
        <v>10</v>
      </c>
      <c r="B12" s="54">
        <v>9</v>
      </c>
      <c r="C12" s="54">
        <v>13</v>
      </c>
      <c r="D12" s="54">
        <v>1</v>
      </c>
      <c r="E12" s="54">
        <v>8</v>
      </c>
      <c r="F12" s="54">
        <v>7</v>
      </c>
      <c r="G12" s="54">
        <v>6</v>
      </c>
      <c r="H12" s="54">
        <v>26</v>
      </c>
      <c r="I12" s="54">
        <v>7</v>
      </c>
      <c r="J12" s="54">
        <v>20</v>
      </c>
      <c r="K12" s="54">
        <v>1</v>
      </c>
      <c r="L12" s="54">
        <v>6</v>
      </c>
      <c r="M12" s="54">
        <v>7</v>
      </c>
      <c r="N12" s="54">
        <v>7</v>
      </c>
      <c r="O12" s="54">
        <v>23</v>
      </c>
      <c r="P12" s="54">
        <v>12</v>
      </c>
      <c r="Q12" s="54">
        <v>6</v>
      </c>
      <c r="R12" s="54">
        <v>1</v>
      </c>
      <c r="S12" s="54">
        <v>7</v>
      </c>
      <c r="T12" s="54">
        <v>7</v>
      </c>
      <c r="U12" s="54">
        <v>7</v>
      </c>
      <c r="V12" s="54">
        <v>51</v>
      </c>
      <c r="W12" s="54">
        <v>11</v>
      </c>
      <c r="X12" s="54">
        <v>16</v>
      </c>
      <c r="Y12" s="54">
        <v>0</v>
      </c>
      <c r="Z12" s="54">
        <v>9</v>
      </c>
      <c r="AA12" s="54">
        <v>7</v>
      </c>
      <c r="AB12" s="54">
        <v>6</v>
      </c>
      <c r="AC12" s="54">
        <v>41</v>
      </c>
      <c r="AD12" s="54">
        <v>14</v>
      </c>
      <c r="AE12" s="54">
        <v>6</v>
      </c>
      <c r="AF12" s="54">
        <v>0</v>
      </c>
      <c r="AG12" s="5">
        <f t="shared" si="2"/>
        <v>342</v>
      </c>
    </row>
    <row r="13" spans="1:33" ht="18.75" x14ac:dyDescent="0.25">
      <c r="A13" s="56" t="s">
        <v>11</v>
      </c>
      <c r="B13" s="54">
        <v>14</v>
      </c>
      <c r="C13" s="54">
        <v>6</v>
      </c>
      <c r="D13" s="54">
        <v>57</v>
      </c>
      <c r="E13" s="54">
        <v>32</v>
      </c>
      <c r="F13" s="54">
        <v>42</v>
      </c>
      <c r="G13" s="54">
        <v>37</v>
      </c>
      <c r="H13" s="54">
        <v>14</v>
      </c>
      <c r="I13" s="54">
        <v>18</v>
      </c>
      <c r="J13" s="54">
        <v>14</v>
      </c>
      <c r="K13" s="54">
        <v>53</v>
      </c>
      <c r="L13" s="54">
        <v>43</v>
      </c>
      <c r="M13" s="54">
        <v>40</v>
      </c>
      <c r="N13" s="54">
        <v>31</v>
      </c>
      <c r="O13" s="54">
        <v>13</v>
      </c>
      <c r="P13" s="54">
        <v>11</v>
      </c>
      <c r="Q13" s="54">
        <v>18</v>
      </c>
      <c r="R13" s="54">
        <v>63</v>
      </c>
      <c r="S13" s="54">
        <v>51</v>
      </c>
      <c r="T13" s="54">
        <v>47</v>
      </c>
      <c r="U13" s="54">
        <v>47</v>
      </c>
      <c r="V13" s="54">
        <v>17</v>
      </c>
      <c r="W13" s="54">
        <v>17</v>
      </c>
      <c r="X13" s="54">
        <v>14</v>
      </c>
      <c r="Y13" s="54">
        <v>54</v>
      </c>
      <c r="Z13" s="54">
        <v>55</v>
      </c>
      <c r="AA13" s="54">
        <v>47</v>
      </c>
      <c r="AB13" s="54">
        <v>55</v>
      </c>
      <c r="AC13" s="54">
        <v>23</v>
      </c>
      <c r="AD13" s="54">
        <v>18</v>
      </c>
      <c r="AE13" s="54">
        <v>11</v>
      </c>
      <c r="AF13" s="54">
        <v>59</v>
      </c>
      <c r="AG13" s="5">
        <f t="shared" si="2"/>
        <v>1021</v>
      </c>
    </row>
    <row r="14" spans="1:33" ht="18.75" x14ac:dyDescent="0.25">
      <c r="A14" s="56" t="s">
        <v>12</v>
      </c>
      <c r="B14" s="54">
        <v>13</v>
      </c>
      <c r="C14" s="54">
        <v>12</v>
      </c>
      <c r="D14" s="54">
        <v>16</v>
      </c>
      <c r="E14" s="54">
        <v>16</v>
      </c>
      <c r="F14" s="54">
        <v>13</v>
      </c>
      <c r="G14" s="54">
        <v>14</v>
      </c>
      <c r="H14" s="54">
        <v>13</v>
      </c>
      <c r="I14" s="54">
        <v>8</v>
      </c>
      <c r="J14" s="54">
        <v>7</v>
      </c>
      <c r="K14" s="54">
        <v>12</v>
      </c>
      <c r="L14" s="54">
        <v>17</v>
      </c>
      <c r="M14" s="54">
        <v>16</v>
      </c>
      <c r="N14" s="54">
        <v>7</v>
      </c>
      <c r="O14" s="54">
        <v>12</v>
      </c>
      <c r="P14" s="54">
        <v>13</v>
      </c>
      <c r="Q14" s="54">
        <v>6</v>
      </c>
      <c r="R14" s="54">
        <v>17</v>
      </c>
      <c r="S14" s="54">
        <v>25</v>
      </c>
      <c r="T14" s="54">
        <v>17</v>
      </c>
      <c r="U14" s="54">
        <v>13</v>
      </c>
      <c r="V14" s="54">
        <v>14</v>
      </c>
      <c r="W14" s="54">
        <v>14</v>
      </c>
      <c r="X14" s="54">
        <v>9</v>
      </c>
      <c r="Y14" s="54">
        <v>17</v>
      </c>
      <c r="Z14" s="54">
        <v>19</v>
      </c>
      <c r="AA14" s="54">
        <v>11</v>
      </c>
      <c r="AB14" s="54">
        <v>23</v>
      </c>
      <c r="AC14" s="54">
        <v>9</v>
      </c>
      <c r="AD14" s="54">
        <v>9</v>
      </c>
      <c r="AE14" s="54">
        <v>11</v>
      </c>
      <c r="AF14" s="54">
        <v>15</v>
      </c>
      <c r="AG14" s="5">
        <f t="shared" si="2"/>
        <v>418</v>
      </c>
    </row>
    <row r="15" spans="1:33" ht="18.75" x14ac:dyDescent="0.25">
      <c r="A15" s="56" t="s">
        <v>13</v>
      </c>
      <c r="B15" s="54">
        <v>11</v>
      </c>
      <c r="C15" s="54">
        <v>16</v>
      </c>
      <c r="D15" s="54">
        <v>11</v>
      </c>
      <c r="E15" s="54">
        <v>14</v>
      </c>
      <c r="F15" s="54">
        <v>15</v>
      </c>
      <c r="G15" s="54">
        <v>9</v>
      </c>
      <c r="H15" s="54">
        <v>7</v>
      </c>
      <c r="I15" s="54">
        <v>9</v>
      </c>
      <c r="J15" s="54">
        <v>8</v>
      </c>
      <c r="K15" s="54">
        <v>9</v>
      </c>
      <c r="L15" s="54">
        <v>14</v>
      </c>
      <c r="M15" s="54">
        <v>21</v>
      </c>
      <c r="N15" s="54">
        <v>7</v>
      </c>
      <c r="O15" s="54">
        <v>9</v>
      </c>
      <c r="P15" s="54">
        <v>10</v>
      </c>
      <c r="Q15" s="54">
        <v>10</v>
      </c>
      <c r="R15" s="54">
        <v>30</v>
      </c>
      <c r="S15" s="54">
        <v>20</v>
      </c>
      <c r="T15" s="54">
        <v>17</v>
      </c>
      <c r="U15" s="54">
        <v>13</v>
      </c>
      <c r="V15" s="54">
        <v>9</v>
      </c>
      <c r="W15" s="54">
        <v>4</v>
      </c>
      <c r="X15" s="54">
        <v>17</v>
      </c>
      <c r="Y15" s="54">
        <v>17</v>
      </c>
      <c r="Z15" s="54">
        <v>9</v>
      </c>
      <c r="AA15" s="54">
        <v>18</v>
      </c>
      <c r="AB15" s="54">
        <v>10</v>
      </c>
      <c r="AC15" s="54">
        <v>8</v>
      </c>
      <c r="AD15" s="54">
        <v>11</v>
      </c>
      <c r="AE15" s="54">
        <v>14</v>
      </c>
      <c r="AF15" s="54">
        <v>10</v>
      </c>
      <c r="AG15" s="5">
        <f t="shared" si="2"/>
        <v>387</v>
      </c>
    </row>
    <row r="16" spans="1:33" ht="18.75" x14ac:dyDescent="0.25">
      <c r="A16" s="56" t="s">
        <v>14</v>
      </c>
      <c r="B16" s="54">
        <v>7</v>
      </c>
      <c r="C16" s="54">
        <v>6</v>
      </c>
      <c r="D16" s="54">
        <v>23</v>
      </c>
      <c r="E16" s="54">
        <v>11</v>
      </c>
      <c r="F16" s="54">
        <v>14</v>
      </c>
      <c r="G16" s="54">
        <v>14</v>
      </c>
      <c r="H16" s="54">
        <v>4</v>
      </c>
      <c r="I16" s="54">
        <v>7</v>
      </c>
      <c r="J16" s="54">
        <v>6</v>
      </c>
      <c r="K16" s="54">
        <v>11</v>
      </c>
      <c r="L16" s="54">
        <v>4</v>
      </c>
      <c r="M16" s="54">
        <v>13</v>
      </c>
      <c r="N16" s="54">
        <v>10</v>
      </c>
      <c r="O16" s="54">
        <v>6</v>
      </c>
      <c r="P16" s="54">
        <v>9</v>
      </c>
      <c r="Q16" s="54">
        <v>11</v>
      </c>
      <c r="R16" s="54">
        <v>18</v>
      </c>
      <c r="S16" s="54">
        <v>14</v>
      </c>
      <c r="T16" s="54">
        <v>17</v>
      </c>
      <c r="U16" s="54">
        <v>10</v>
      </c>
      <c r="V16" s="54">
        <v>8</v>
      </c>
      <c r="W16" s="54">
        <v>11</v>
      </c>
      <c r="X16" s="54">
        <v>5</v>
      </c>
      <c r="Y16" s="54">
        <v>11</v>
      </c>
      <c r="Z16" s="54">
        <v>7</v>
      </c>
      <c r="AA16" s="54">
        <v>11</v>
      </c>
      <c r="AB16" s="54">
        <v>16</v>
      </c>
      <c r="AC16" s="54">
        <v>8</v>
      </c>
      <c r="AD16" s="54">
        <v>5</v>
      </c>
      <c r="AE16" s="54">
        <v>6</v>
      </c>
      <c r="AF16" s="54">
        <v>21</v>
      </c>
      <c r="AG16" s="5">
        <f t="shared" si="2"/>
        <v>324</v>
      </c>
    </row>
    <row r="17" spans="1:33" ht="18.75" x14ac:dyDescent="0.25">
      <c r="A17" s="56" t="s">
        <v>15</v>
      </c>
      <c r="B17" s="54">
        <v>11</v>
      </c>
      <c r="C17" s="54">
        <v>5</v>
      </c>
      <c r="D17" s="54">
        <v>6</v>
      </c>
      <c r="E17" s="54">
        <v>0</v>
      </c>
      <c r="F17" s="54">
        <v>3</v>
      </c>
      <c r="G17" s="54">
        <v>9</v>
      </c>
      <c r="H17" s="54">
        <v>12</v>
      </c>
      <c r="I17" s="54">
        <v>10</v>
      </c>
      <c r="J17" s="54">
        <v>10</v>
      </c>
      <c r="K17" s="54">
        <v>10</v>
      </c>
      <c r="L17" s="54">
        <v>13</v>
      </c>
      <c r="M17" s="54">
        <v>7</v>
      </c>
      <c r="N17" s="54">
        <v>15</v>
      </c>
      <c r="O17" s="54">
        <v>20</v>
      </c>
      <c r="P17" s="54">
        <v>9</v>
      </c>
      <c r="Q17" s="54">
        <v>9</v>
      </c>
      <c r="R17" s="54">
        <v>10</v>
      </c>
      <c r="S17" s="54">
        <v>5</v>
      </c>
      <c r="T17" s="54">
        <v>12</v>
      </c>
      <c r="U17" s="54">
        <v>11</v>
      </c>
      <c r="V17" s="54">
        <v>9</v>
      </c>
      <c r="W17" s="54">
        <v>11</v>
      </c>
      <c r="X17" s="54">
        <v>8</v>
      </c>
      <c r="Y17" s="54">
        <v>8</v>
      </c>
      <c r="Z17" s="54">
        <v>4</v>
      </c>
      <c r="AA17" s="54">
        <v>9</v>
      </c>
      <c r="AB17" s="54">
        <v>9</v>
      </c>
      <c r="AC17" s="54">
        <v>13</v>
      </c>
      <c r="AD17" s="54">
        <v>4</v>
      </c>
      <c r="AE17" s="54">
        <v>9</v>
      </c>
      <c r="AF17" s="54">
        <v>9</v>
      </c>
      <c r="AG17" s="5">
        <f t="shared" si="2"/>
        <v>280</v>
      </c>
    </row>
    <row r="18" spans="1:33" ht="18.75" x14ac:dyDescent="0.25">
      <c r="A18" s="56" t="s">
        <v>16</v>
      </c>
      <c r="B18" s="54">
        <v>8</v>
      </c>
      <c r="C18" s="54">
        <v>7</v>
      </c>
      <c r="D18" s="54">
        <v>11</v>
      </c>
      <c r="E18" s="54">
        <v>0</v>
      </c>
      <c r="F18" s="54">
        <v>6</v>
      </c>
      <c r="G18" s="54">
        <v>9</v>
      </c>
      <c r="H18" s="54">
        <v>7</v>
      </c>
      <c r="I18" s="54">
        <v>5</v>
      </c>
      <c r="J18" s="54">
        <v>5</v>
      </c>
      <c r="K18" s="54">
        <v>6</v>
      </c>
      <c r="L18" s="54">
        <v>11</v>
      </c>
      <c r="M18" s="54">
        <v>10</v>
      </c>
      <c r="N18" s="54">
        <v>6</v>
      </c>
      <c r="O18" s="54">
        <v>8</v>
      </c>
      <c r="P18" s="54">
        <v>5</v>
      </c>
      <c r="Q18" s="54">
        <v>7</v>
      </c>
      <c r="R18" s="54">
        <v>9</v>
      </c>
      <c r="S18" s="54">
        <v>7</v>
      </c>
      <c r="T18" s="54">
        <v>10</v>
      </c>
      <c r="U18" s="54">
        <v>5</v>
      </c>
      <c r="V18" s="54">
        <v>7</v>
      </c>
      <c r="W18" s="54">
        <v>4</v>
      </c>
      <c r="X18" s="54">
        <v>8</v>
      </c>
      <c r="Y18" s="54">
        <v>8</v>
      </c>
      <c r="Z18" s="54">
        <v>15</v>
      </c>
      <c r="AA18" s="54">
        <v>9</v>
      </c>
      <c r="AB18" s="54">
        <v>4</v>
      </c>
      <c r="AC18" s="54">
        <v>4</v>
      </c>
      <c r="AD18" s="54">
        <v>3</v>
      </c>
      <c r="AE18" s="54">
        <v>3</v>
      </c>
      <c r="AF18" s="54">
        <v>5</v>
      </c>
      <c r="AG18" s="5">
        <f t="shared" si="2"/>
        <v>212</v>
      </c>
    </row>
    <row r="19" spans="1:33" ht="18.75" x14ac:dyDescent="0.25">
      <c r="A19" s="56" t="s">
        <v>17</v>
      </c>
      <c r="B19" s="54">
        <v>2</v>
      </c>
      <c r="C19" s="54">
        <v>3</v>
      </c>
      <c r="D19" s="54">
        <v>3</v>
      </c>
      <c r="E19" s="54">
        <v>0</v>
      </c>
      <c r="F19" s="54">
        <v>4</v>
      </c>
      <c r="G19" s="54">
        <v>6</v>
      </c>
      <c r="H19" s="54">
        <v>6</v>
      </c>
      <c r="I19" s="54">
        <v>3</v>
      </c>
      <c r="J19" s="54">
        <v>4</v>
      </c>
      <c r="K19" s="54">
        <v>7</v>
      </c>
      <c r="L19" s="54">
        <v>3</v>
      </c>
      <c r="M19" s="54">
        <v>8</v>
      </c>
      <c r="N19" s="54">
        <v>6</v>
      </c>
      <c r="O19" s="54">
        <v>4</v>
      </c>
      <c r="P19" s="54">
        <v>4</v>
      </c>
      <c r="Q19" s="54">
        <v>2</v>
      </c>
      <c r="R19" s="54">
        <v>6</v>
      </c>
      <c r="S19" s="54">
        <v>9</v>
      </c>
      <c r="T19" s="54">
        <v>3</v>
      </c>
      <c r="U19" s="54">
        <v>7</v>
      </c>
      <c r="V19" s="54">
        <v>2</v>
      </c>
      <c r="W19" s="54">
        <v>4</v>
      </c>
      <c r="X19" s="54">
        <v>4</v>
      </c>
      <c r="Y19" s="54">
        <v>4</v>
      </c>
      <c r="Z19" s="54">
        <v>2</v>
      </c>
      <c r="AA19" s="54">
        <v>2</v>
      </c>
      <c r="AB19" s="54">
        <v>3</v>
      </c>
      <c r="AC19" s="54">
        <v>3</v>
      </c>
      <c r="AD19" s="54">
        <v>6</v>
      </c>
      <c r="AE19" s="54">
        <v>3</v>
      </c>
      <c r="AF19" s="54">
        <v>4</v>
      </c>
      <c r="AG19" s="5">
        <f t="shared" si="2"/>
        <v>127</v>
      </c>
    </row>
    <row r="20" spans="1:33" ht="18.75" x14ac:dyDescent="0.25">
      <c r="A20" s="56" t="s">
        <v>18</v>
      </c>
      <c r="B20" s="54">
        <v>4</v>
      </c>
      <c r="C20" s="54">
        <v>5</v>
      </c>
      <c r="D20" s="54">
        <v>3</v>
      </c>
      <c r="E20" s="54">
        <v>5</v>
      </c>
      <c r="F20" s="54">
        <v>3</v>
      </c>
      <c r="G20" s="54">
        <v>4</v>
      </c>
      <c r="H20" s="54">
        <v>3</v>
      </c>
      <c r="I20" s="54">
        <v>2</v>
      </c>
      <c r="J20" s="54">
        <v>3</v>
      </c>
      <c r="K20" s="54">
        <v>2</v>
      </c>
      <c r="L20" s="54">
        <v>4</v>
      </c>
      <c r="M20" s="54">
        <v>3</v>
      </c>
      <c r="N20" s="54">
        <v>7</v>
      </c>
      <c r="O20" s="54">
        <v>1</v>
      </c>
      <c r="P20" s="54">
        <v>4</v>
      </c>
      <c r="Q20" s="54">
        <v>4</v>
      </c>
      <c r="R20" s="54">
        <v>1</v>
      </c>
      <c r="S20" s="54">
        <v>7</v>
      </c>
      <c r="T20" s="54">
        <v>4</v>
      </c>
      <c r="U20" s="54">
        <v>3</v>
      </c>
      <c r="V20" s="54">
        <v>1</v>
      </c>
      <c r="W20" s="54">
        <v>5</v>
      </c>
      <c r="X20" s="54">
        <v>0</v>
      </c>
      <c r="Y20" s="54">
        <v>5</v>
      </c>
      <c r="Z20" s="54">
        <v>2</v>
      </c>
      <c r="AA20" s="54">
        <v>6</v>
      </c>
      <c r="AB20" s="54">
        <v>4</v>
      </c>
      <c r="AC20" s="54">
        <v>3</v>
      </c>
      <c r="AD20" s="54">
        <v>5</v>
      </c>
      <c r="AE20" s="54">
        <v>4</v>
      </c>
      <c r="AF20" s="54">
        <v>5</v>
      </c>
      <c r="AG20" s="5">
        <f t="shared" si="2"/>
        <v>112</v>
      </c>
    </row>
    <row r="21" spans="1:33" ht="15.75" customHeight="1" x14ac:dyDescent="0.25">
      <c r="A21" s="56" t="s">
        <v>19</v>
      </c>
      <c r="B21" s="54">
        <v>4</v>
      </c>
      <c r="C21" s="54">
        <v>2</v>
      </c>
      <c r="D21" s="54">
        <v>4</v>
      </c>
      <c r="E21" s="54">
        <v>6</v>
      </c>
      <c r="F21" s="54">
        <v>3</v>
      </c>
      <c r="G21" s="54">
        <v>3</v>
      </c>
      <c r="H21" s="54">
        <v>0</v>
      </c>
      <c r="I21" s="54">
        <v>1</v>
      </c>
      <c r="J21" s="54">
        <v>2</v>
      </c>
      <c r="K21" s="54">
        <v>5</v>
      </c>
      <c r="L21" s="54">
        <v>4</v>
      </c>
      <c r="M21" s="54">
        <v>1</v>
      </c>
      <c r="N21" s="54">
        <v>1</v>
      </c>
      <c r="O21" s="54">
        <v>3</v>
      </c>
      <c r="P21" s="54">
        <v>4</v>
      </c>
      <c r="Q21" s="54">
        <v>2</v>
      </c>
      <c r="R21" s="54">
        <v>2</v>
      </c>
      <c r="S21" s="54">
        <v>3</v>
      </c>
      <c r="T21" s="54">
        <v>0</v>
      </c>
      <c r="U21" s="54">
        <v>2</v>
      </c>
      <c r="V21" s="54">
        <v>3</v>
      </c>
      <c r="W21" s="54">
        <v>5</v>
      </c>
      <c r="X21" s="54">
        <v>1</v>
      </c>
      <c r="Y21" s="54">
        <v>0</v>
      </c>
      <c r="Z21" s="54">
        <v>4</v>
      </c>
      <c r="AA21" s="54">
        <v>4</v>
      </c>
      <c r="AB21" s="54">
        <v>3</v>
      </c>
      <c r="AC21" s="54">
        <v>3</v>
      </c>
      <c r="AD21" s="54">
        <v>3</v>
      </c>
      <c r="AE21" s="54">
        <v>4</v>
      </c>
      <c r="AF21" s="54">
        <v>2</v>
      </c>
      <c r="AG21" s="5">
        <f t="shared" si="2"/>
        <v>84</v>
      </c>
    </row>
    <row r="22" spans="1:33" ht="15.75" customHeight="1" x14ac:dyDescent="0.25">
      <c r="A22" s="56" t="s">
        <v>20</v>
      </c>
      <c r="B22" s="54">
        <v>3</v>
      </c>
      <c r="C22" s="54">
        <v>1</v>
      </c>
      <c r="D22" s="54">
        <v>2</v>
      </c>
      <c r="E22" s="54">
        <v>2</v>
      </c>
      <c r="F22" s="54">
        <v>2</v>
      </c>
      <c r="G22" s="54">
        <v>1</v>
      </c>
      <c r="H22" s="54">
        <v>0</v>
      </c>
      <c r="I22" s="54">
        <v>3</v>
      </c>
      <c r="J22" s="54">
        <v>1</v>
      </c>
      <c r="K22" s="54">
        <v>0</v>
      </c>
      <c r="L22" s="54">
        <v>0</v>
      </c>
      <c r="M22" s="54">
        <v>0</v>
      </c>
      <c r="N22" s="54">
        <v>1</v>
      </c>
      <c r="O22" s="54">
        <v>3</v>
      </c>
      <c r="P22" s="54">
        <v>4</v>
      </c>
      <c r="Q22" s="54">
        <v>3</v>
      </c>
      <c r="R22" s="54">
        <v>1</v>
      </c>
      <c r="S22" s="54">
        <v>2</v>
      </c>
      <c r="T22" s="54">
        <v>3</v>
      </c>
      <c r="U22" s="54">
        <v>0</v>
      </c>
      <c r="V22" s="54">
        <v>1</v>
      </c>
      <c r="W22" s="54">
        <v>0</v>
      </c>
      <c r="X22" s="54">
        <v>1</v>
      </c>
      <c r="Y22" s="54">
        <v>3</v>
      </c>
      <c r="Z22" s="54">
        <v>0</v>
      </c>
      <c r="AA22" s="54">
        <v>3</v>
      </c>
      <c r="AB22" s="54">
        <v>1</v>
      </c>
      <c r="AC22" s="54">
        <v>4</v>
      </c>
      <c r="AD22" s="54">
        <v>3</v>
      </c>
      <c r="AE22" s="54">
        <v>0</v>
      </c>
      <c r="AF22" s="54">
        <v>0</v>
      </c>
      <c r="AG22" s="5">
        <f t="shared" si="2"/>
        <v>48</v>
      </c>
    </row>
    <row r="23" spans="1:33" ht="15.75" customHeight="1" x14ac:dyDescent="0.25">
      <c r="A23" s="56" t="s">
        <v>21</v>
      </c>
      <c r="B23" s="54">
        <v>0</v>
      </c>
      <c r="C23" s="54">
        <v>1</v>
      </c>
      <c r="D23" s="54">
        <v>2</v>
      </c>
      <c r="E23" s="54">
        <v>1</v>
      </c>
      <c r="F23" s="54">
        <v>2</v>
      </c>
      <c r="G23" s="54">
        <v>1</v>
      </c>
      <c r="H23" s="54">
        <v>1</v>
      </c>
      <c r="I23" s="54">
        <v>1</v>
      </c>
      <c r="J23" s="54">
        <v>1</v>
      </c>
      <c r="K23" s="54">
        <v>1</v>
      </c>
      <c r="L23" s="54">
        <v>2</v>
      </c>
      <c r="M23" s="54">
        <v>0</v>
      </c>
      <c r="N23" s="54">
        <v>0</v>
      </c>
      <c r="O23" s="54">
        <v>0</v>
      </c>
      <c r="P23" s="54">
        <v>1</v>
      </c>
      <c r="Q23" s="54">
        <v>1</v>
      </c>
      <c r="R23" s="54">
        <v>2</v>
      </c>
      <c r="S23" s="54">
        <v>1</v>
      </c>
      <c r="T23" s="54">
        <v>0</v>
      </c>
      <c r="U23" s="54">
        <v>0</v>
      </c>
      <c r="V23" s="54">
        <v>3</v>
      </c>
      <c r="W23" s="54">
        <v>1</v>
      </c>
      <c r="X23" s="54">
        <v>2</v>
      </c>
      <c r="Y23" s="54">
        <v>1</v>
      </c>
      <c r="Z23" s="54">
        <v>3</v>
      </c>
      <c r="AA23" s="54">
        <v>0</v>
      </c>
      <c r="AB23" s="54">
        <v>0</v>
      </c>
      <c r="AC23" s="54">
        <v>1</v>
      </c>
      <c r="AD23" s="54">
        <v>2</v>
      </c>
      <c r="AE23" s="54">
        <v>3</v>
      </c>
      <c r="AF23" s="54">
        <v>0</v>
      </c>
      <c r="AG23" s="5">
        <f t="shared" si="2"/>
        <v>34</v>
      </c>
    </row>
    <row r="24" spans="1:33" ht="15.75" customHeight="1" x14ac:dyDescent="0.25">
      <c r="A24" s="56" t="s">
        <v>22</v>
      </c>
      <c r="B24" s="54">
        <v>0</v>
      </c>
      <c r="C24" s="54">
        <v>2</v>
      </c>
      <c r="D24" s="54">
        <v>2</v>
      </c>
      <c r="E24" s="54">
        <v>3</v>
      </c>
      <c r="F24" s="54">
        <v>0</v>
      </c>
      <c r="G24" s="54">
        <v>0</v>
      </c>
      <c r="H24" s="54">
        <v>0</v>
      </c>
      <c r="I24" s="54">
        <v>0</v>
      </c>
      <c r="J24" s="54">
        <v>1</v>
      </c>
      <c r="K24" s="54">
        <v>1</v>
      </c>
      <c r="L24" s="54">
        <v>4</v>
      </c>
      <c r="M24" s="54">
        <v>1</v>
      </c>
      <c r="N24" s="54">
        <v>0</v>
      </c>
      <c r="O24" s="54">
        <v>2</v>
      </c>
      <c r="P24" s="54">
        <v>2</v>
      </c>
      <c r="Q24" s="54">
        <v>1</v>
      </c>
      <c r="R24" s="54">
        <v>1</v>
      </c>
      <c r="S24" s="54">
        <v>1</v>
      </c>
      <c r="T24" s="54">
        <v>1</v>
      </c>
      <c r="U24" s="54">
        <v>0</v>
      </c>
      <c r="V24" s="54">
        <v>1</v>
      </c>
      <c r="W24" s="54">
        <v>2</v>
      </c>
      <c r="X24" s="54">
        <v>0</v>
      </c>
      <c r="Y24" s="54">
        <v>1</v>
      </c>
      <c r="Z24" s="54">
        <v>2</v>
      </c>
      <c r="AA24" s="54">
        <v>1</v>
      </c>
      <c r="AB24" s="54">
        <v>0</v>
      </c>
      <c r="AC24" s="54">
        <v>1</v>
      </c>
      <c r="AD24" s="54">
        <v>2</v>
      </c>
      <c r="AE24" s="54">
        <v>4</v>
      </c>
      <c r="AF24" s="54">
        <v>1</v>
      </c>
      <c r="AG24" s="5">
        <f t="shared" si="2"/>
        <v>37</v>
      </c>
    </row>
    <row r="25" spans="1:33" ht="15.75" customHeight="1" x14ac:dyDescent="0.25">
      <c r="A25" s="56" t="s">
        <v>23</v>
      </c>
      <c r="B25" s="54">
        <v>0</v>
      </c>
      <c r="C25" s="54">
        <v>2</v>
      </c>
      <c r="D25" s="54">
        <v>4</v>
      </c>
      <c r="E25" s="54">
        <v>1</v>
      </c>
      <c r="F25" s="54">
        <v>0</v>
      </c>
      <c r="G25" s="54">
        <v>1</v>
      </c>
      <c r="H25" s="54">
        <v>1</v>
      </c>
      <c r="I25" s="54">
        <v>3</v>
      </c>
      <c r="J25" s="54">
        <v>0</v>
      </c>
      <c r="K25" s="54">
        <v>0</v>
      </c>
      <c r="L25" s="54">
        <v>2</v>
      </c>
      <c r="M25" s="54">
        <v>0</v>
      </c>
      <c r="N25" s="54">
        <v>0</v>
      </c>
      <c r="O25" s="54">
        <v>1</v>
      </c>
      <c r="P25" s="54">
        <v>1</v>
      </c>
      <c r="Q25" s="54">
        <v>2</v>
      </c>
      <c r="R25" s="54">
        <v>1</v>
      </c>
      <c r="S25" s="54">
        <v>2</v>
      </c>
      <c r="T25" s="54">
        <v>1</v>
      </c>
      <c r="U25" s="54">
        <v>1</v>
      </c>
      <c r="V25" s="54">
        <v>1</v>
      </c>
      <c r="W25" s="54">
        <v>0</v>
      </c>
      <c r="X25" s="54">
        <v>2</v>
      </c>
      <c r="Y25" s="54">
        <v>0</v>
      </c>
      <c r="Z25" s="54">
        <v>0</v>
      </c>
      <c r="AA25" s="54">
        <v>4</v>
      </c>
      <c r="AB25" s="54">
        <v>0</v>
      </c>
      <c r="AC25" s="54">
        <v>2</v>
      </c>
      <c r="AD25" s="54">
        <v>0</v>
      </c>
      <c r="AE25" s="54">
        <v>2</v>
      </c>
      <c r="AF25" s="54">
        <v>0</v>
      </c>
      <c r="AG25" s="5">
        <f t="shared" si="2"/>
        <v>34</v>
      </c>
    </row>
    <row r="26" spans="1:33" ht="15.75" customHeight="1" x14ac:dyDescent="0.25">
      <c r="A26" s="56" t="s">
        <v>24</v>
      </c>
      <c r="B26" s="54">
        <v>2</v>
      </c>
      <c r="C26" s="54">
        <v>2</v>
      </c>
      <c r="D26" s="54">
        <v>4</v>
      </c>
      <c r="E26" s="54">
        <v>2</v>
      </c>
      <c r="F26" s="54">
        <v>2</v>
      </c>
      <c r="G26" s="54">
        <v>2</v>
      </c>
      <c r="H26" s="54">
        <v>1</v>
      </c>
      <c r="I26" s="54">
        <v>5</v>
      </c>
      <c r="J26" s="54">
        <v>0</v>
      </c>
      <c r="K26" s="54">
        <v>1</v>
      </c>
      <c r="L26" s="54">
        <v>6</v>
      </c>
      <c r="M26" s="54">
        <v>1</v>
      </c>
      <c r="N26" s="54">
        <v>2</v>
      </c>
      <c r="O26" s="54">
        <v>1</v>
      </c>
      <c r="P26" s="54">
        <v>1</v>
      </c>
      <c r="Q26" s="54">
        <v>1</v>
      </c>
      <c r="R26" s="54">
        <v>1</v>
      </c>
      <c r="S26" s="54">
        <v>2</v>
      </c>
      <c r="T26" s="54">
        <v>2</v>
      </c>
      <c r="U26" s="54">
        <v>1</v>
      </c>
      <c r="V26" s="54">
        <v>0</v>
      </c>
      <c r="W26" s="54">
        <v>0</v>
      </c>
      <c r="X26" s="54">
        <v>1</v>
      </c>
      <c r="Y26" s="54">
        <v>1</v>
      </c>
      <c r="Z26" s="54">
        <v>1</v>
      </c>
      <c r="AA26" s="54">
        <v>2</v>
      </c>
      <c r="AB26" s="54">
        <v>2</v>
      </c>
      <c r="AC26" s="54">
        <v>1</v>
      </c>
      <c r="AD26" s="54">
        <v>3</v>
      </c>
      <c r="AE26" s="54">
        <v>2</v>
      </c>
      <c r="AF26" s="54">
        <v>0</v>
      </c>
      <c r="AG26" s="5">
        <f t="shared" si="2"/>
        <v>52</v>
      </c>
    </row>
    <row r="27" spans="1:33" ht="15.75" customHeight="1" thickBot="1" x14ac:dyDescent="0.3">
      <c r="A27" s="57" t="s">
        <v>25</v>
      </c>
      <c r="B27" s="58">
        <v>3</v>
      </c>
      <c r="C27" s="58">
        <v>2</v>
      </c>
      <c r="D27" s="58">
        <v>0</v>
      </c>
      <c r="E27" s="58">
        <v>0</v>
      </c>
      <c r="F27" s="58">
        <v>0</v>
      </c>
      <c r="G27" s="58">
        <v>0</v>
      </c>
      <c r="H27" s="58">
        <v>0</v>
      </c>
      <c r="I27" s="58">
        <v>1</v>
      </c>
      <c r="J27" s="58">
        <v>0</v>
      </c>
      <c r="K27" s="58">
        <v>0</v>
      </c>
      <c r="L27" s="58">
        <v>0</v>
      </c>
      <c r="M27" s="58">
        <v>0</v>
      </c>
      <c r="N27" s="58">
        <v>0</v>
      </c>
      <c r="O27" s="58">
        <v>0</v>
      </c>
      <c r="P27" s="58">
        <v>1</v>
      </c>
      <c r="Q27" s="58">
        <v>4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2</v>
      </c>
      <c r="X27" s="58">
        <v>2</v>
      </c>
      <c r="Y27" s="58">
        <v>0</v>
      </c>
      <c r="Z27" s="58">
        <v>0</v>
      </c>
      <c r="AA27" s="58">
        <v>0</v>
      </c>
      <c r="AB27" s="58">
        <v>0</v>
      </c>
      <c r="AC27" s="58">
        <v>0</v>
      </c>
      <c r="AD27" s="58">
        <v>1</v>
      </c>
      <c r="AE27" s="58">
        <v>2</v>
      </c>
      <c r="AF27" s="58">
        <v>0</v>
      </c>
      <c r="AG27" s="5">
        <f t="shared" si="2"/>
        <v>18</v>
      </c>
    </row>
    <row r="28" spans="1:33" ht="15.75" customHeight="1" x14ac:dyDescent="0.25">
      <c r="A28" s="59" t="s">
        <v>26</v>
      </c>
      <c r="B28" s="6">
        <f t="shared" ref="B28:AF28" si="3">SUM(B29:B52)</f>
        <v>152</v>
      </c>
      <c r="C28" s="6">
        <f t="shared" si="3"/>
        <v>153</v>
      </c>
      <c r="D28" s="6">
        <f t="shared" si="3"/>
        <v>139</v>
      </c>
      <c r="E28" s="6">
        <f t="shared" si="3"/>
        <v>96</v>
      </c>
      <c r="F28" s="6">
        <f t="shared" si="3"/>
        <v>105</v>
      </c>
      <c r="G28" s="6">
        <f t="shared" si="3"/>
        <v>104</v>
      </c>
      <c r="H28" s="6">
        <f t="shared" si="3"/>
        <v>99</v>
      </c>
      <c r="I28" s="6">
        <f t="shared" si="3"/>
        <v>148</v>
      </c>
      <c r="J28" s="6">
        <f t="shared" si="3"/>
        <v>158</v>
      </c>
      <c r="K28" s="6">
        <f t="shared" si="3"/>
        <v>102</v>
      </c>
      <c r="L28" s="6">
        <f t="shared" si="3"/>
        <v>129</v>
      </c>
      <c r="M28" s="6">
        <f t="shared" si="3"/>
        <v>108</v>
      </c>
      <c r="N28" s="6">
        <f t="shared" si="3"/>
        <v>98</v>
      </c>
      <c r="O28" s="6">
        <f t="shared" si="3"/>
        <v>109</v>
      </c>
      <c r="P28" s="6">
        <f t="shared" si="3"/>
        <v>161</v>
      </c>
      <c r="Q28" s="6">
        <f t="shared" si="3"/>
        <v>157</v>
      </c>
      <c r="R28" s="6">
        <f t="shared" si="3"/>
        <v>134</v>
      </c>
      <c r="S28" s="6">
        <f t="shared" si="3"/>
        <v>138</v>
      </c>
      <c r="T28" s="6">
        <f t="shared" si="3"/>
        <v>131</v>
      </c>
      <c r="U28" s="6">
        <f t="shared" si="3"/>
        <v>108</v>
      </c>
      <c r="V28" s="6">
        <f t="shared" si="3"/>
        <v>116</v>
      </c>
      <c r="W28" s="6">
        <f t="shared" si="3"/>
        <v>166</v>
      </c>
      <c r="X28" s="6">
        <f t="shared" si="3"/>
        <v>168</v>
      </c>
      <c r="Y28" s="6">
        <f t="shared" si="3"/>
        <v>122</v>
      </c>
      <c r="Z28" s="6">
        <f t="shared" si="3"/>
        <v>114</v>
      </c>
      <c r="AA28" s="6">
        <f t="shared" si="3"/>
        <v>125</v>
      </c>
      <c r="AB28" s="6">
        <f t="shared" si="3"/>
        <v>110</v>
      </c>
      <c r="AC28" s="6">
        <f t="shared" si="3"/>
        <v>116</v>
      </c>
      <c r="AD28" s="6">
        <f t="shared" si="3"/>
        <v>165</v>
      </c>
      <c r="AE28" s="6">
        <f t="shared" si="3"/>
        <v>162</v>
      </c>
      <c r="AF28" s="6">
        <f t="shared" si="3"/>
        <v>126</v>
      </c>
      <c r="AG28" s="7">
        <f t="shared" si="2"/>
        <v>4019</v>
      </c>
    </row>
    <row r="29" spans="1:33" ht="15.75" customHeight="1" x14ac:dyDescent="0.25">
      <c r="A29" s="53" t="s">
        <v>2</v>
      </c>
      <c r="B29" s="54">
        <v>7</v>
      </c>
      <c r="C29" s="55">
        <v>6</v>
      </c>
      <c r="D29" s="55">
        <v>0</v>
      </c>
      <c r="E29" s="55">
        <v>0</v>
      </c>
      <c r="F29" s="55">
        <v>0</v>
      </c>
      <c r="G29" s="55">
        <v>0</v>
      </c>
      <c r="H29" s="55">
        <v>0</v>
      </c>
      <c r="I29" s="55">
        <v>5</v>
      </c>
      <c r="J29" s="55">
        <v>2</v>
      </c>
      <c r="K29" s="55">
        <v>0</v>
      </c>
      <c r="L29" s="55">
        <v>0</v>
      </c>
      <c r="M29" s="55">
        <v>0</v>
      </c>
      <c r="N29" s="55">
        <v>0</v>
      </c>
      <c r="O29" s="55">
        <v>0</v>
      </c>
      <c r="P29" s="55">
        <v>1</v>
      </c>
      <c r="Q29" s="55">
        <v>1</v>
      </c>
      <c r="R29" s="55">
        <v>0</v>
      </c>
      <c r="S29" s="55">
        <v>0</v>
      </c>
      <c r="T29" s="55">
        <v>0</v>
      </c>
      <c r="U29" s="55">
        <v>0</v>
      </c>
      <c r="V29" s="55">
        <v>0</v>
      </c>
      <c r="W29" s="55">
        <v>2</v>
      </c>
      <c r="X29" s="55">
        <v>2</v>
      </c>
      <c r="Y29" s="55">
        <v>0</v>
      </c>
      <c r="Z29" s="55">
        <v>0</v>
      </c>
      <c r="AA29" s="55">
        <v>0</v>
      </c>
      <c r="AB29" s="55">
        <v>0</v>
      </c>
      <c r="AC29" s="55">
        <v>0</v>
      </c>
      <c r="AD29" s="54">
        <v>2</v>
      </c>
      <c r="AE29" s="54">
        <v>1</v>
      </c>
      <c r="AF29" s="54">
        <v>0</v>
      </c>
      <c r="AG29" s="5">
        <f t="shared" si="2"/>
        <v>29</v>
      </c>
    </row>
    <row r="30" spans="1:33" ht="15.75" customHeight="1" x14ac:dyDescent="0.25">
      <c r="A30" s="56" t="s">
        <v>3</v>
      </c>
      <c r="B30" s="54">
        <v>6</v>
      </c>
      <c r="C30" s="54">
        <v>8</v>
      </c>
      <c r="D30" s="54">
        <v>0</v>
      </c>
      <c r="E30" s="54">
        <v>0</v>
      </c>
      <c r="F30" s="54">
        <v>0</v>
      </c>
      <c r="G30" s="54">
        <v>0</v>
      </c>
      <c r="H30" s="54">
        <v>0</v>
      </c>
      <c r="I30" s="54">
        <v>6</v>
      </c>
      <c r="J30" s="54">
        <v>7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7</v>
      </c>
      <c r="Q30" s="54">
        <v>5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4">
        <v>6</v>
      </c>
      <c r="X30" s="54">
        <v>4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6</v>
      </c>
      <c r="AE30" s="54">
        <v>5</v>
      </c>
      <c r="AF30" s="54">
        <v>0</v>
      </c>
      <c r="AG30" s="5">
        <f t="shared" si="2"/>
        <v>60</v>
      </c>
    </row>
    <row r="31" spans="1:33" ht="15.75" customHeight="1" x14ac:dyDescent="0.25">
      <c r="A31" s="56" t="s">
        <v>4</v>
      </c>
      <c r="B31" s="54">
        <v>9</v>
      </c>
      <c r="C31" s="54">
        <v>9</v>
      </c>
      <c r="D31" s="54">
        <v>0</v>
      </c>
      <c r="E31" s="54">
        <v>0</v>
      </c>
      <c r="F31" s="54">
        <v>0</v>
      </c>
      <c r="G31" s="54">
        <v>0</v>
      </c>
      <c r="H31" s="54">
        <v>0</v>
      </c>
      <c r="I31" s="54">
        <v>9</v>
      </c>
      <c r="J31" s="54">
        <v>11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14</v>
      </c>
      <c r="Q31" s="54">
        <v>10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4">
        <v>9</v>
      </c>
      <c r="X31" s="54">
        <v>9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13</v>
      </c>
      <c r="AE31" s="54">
        <v>10</v>
      </c>
      <c r="AF31" s="54">
        <v>0</v>
      </c>
      <c r="AG31" s="5">
        <f t="shared" si="2"/>
        <v>103</v>
      </c>
    </row>
    <row r="32" spans="1:33" ht="15.75" customHeight="1" x14ac:dyDescent="0.25">
      <c r="A32" s="56" t="s">
        <v>5</v>
      </c>
      <c r="B32" s="54">
        <v>4</v>
      </c>
      <c r="C32" s="54">
        <v>11</v>
      </c>
      <c r="D32" s="54">
        <v>0</v>
      </c>
      <c r="E32" s="54">
        <v>0</v>
      </c>
      <c r="F32" s="54">
        <v>0</v>
      </c>
      <c r="G32" s="54">
        <v>0</v>
      </c>
      <c r="H32" s="54">
        <v>0</v>
      </c>
      <c r="I32" s="54">
        <v>11</v>
      </c>
      <c r="J32" s="54">
        <v>11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11</v>
      </c>
      <c r="Q32" s="54">
        <v>8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4">
        <v>12</v>
      </c>
      <c r="X32" s="54">
        <v>8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9</v>
      </c>
      <c r="AE32" s="54">
        <v>8</v>
      </c>
      <c r="AF32" s="54">
        <v>0</v>
      </c>
      <c r="AG32" s="5">
        <f t="shared" si="2"/>
        <v>93</v>
      </c>
    </row>
    <row r="33" spans="1:33" ht="15.75" customHeight="1" x14ac:dyDescent="0.25">
      <c r="A33" s="56" t="s">
        <v>6</v>
      </c>
      <c r="B33" s="54">
        <v>11</v>
      </c>
      <c r="C33" s="54">
        <v>10</v>
      </c>
      <c r="D33" s="54">
        <v>0</v>
      </c>
      <c r="E33" s="54">
        <v>0</v>
      </c>
      <c r="F33" s="54">
        <v>0</v>
      </c>
      <c r="G33" s="54">
        <v>0</v>
      </c>
      <c r="H33" s="54">
        <v>0</v>
      </c>
      <c r="I33" s="54">
        <v>9</v>
      </c>
      <c r="J33" s="54">
        <v>11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11</v>
      </c>
      <c r="Q33" s="54">
        <v>12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4">
        <v>11</v>
      </c>
      <c r="X33" s="54">
        <v>9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10</v>
      </c>
      <c r="AE33" s="54">
        <v>14</v>
      </c>
      <c r="AF33" s="54">
        <v>0</v>
      </c>
      <c r="AG33" s="5">
        <f t="shared" si="2"/>
        <v>108</v>
      </c>
    </row>
    <row r="34" spans="1:33" ht="15.75" customHeight="1" x14ac:dyDescent="0.25">
      <c r="A34" s="56" t="s">
        <v>7</v>
      </c>
      <c r="B34" s="54">
        <v>6</v>
      </c>
      <c r="C34" s="54">
        <v>6</v>
      </c>
      <c r="D34" s="54">
        <v>0</v>
      </c>
      <c r="E34" s="54">
        <v>0</v>
      </c>
      <c r="F34" s="54">
        <v>0</v>
      </c>
      <c r="G34" s="54">
        <v>0</v>
      </c>
      <c r="H34" s="54">
        <v>0</v>
      </c>
      <c r="I34" s="54">
        <v>3</v>
      </c>
      <c r="J34" s="54">
        <v>9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9</v>
      </c>
      <c r="Q34" s="54">
        <v>11</v>
      </c>
      <c r="R34" s="54">
        <v>0</v>
      </c>
      <c r="S34" s="54">
        <v>0</v>
      </c>
      <c r="T34" s="54">
        <v>0</v>
      </c>
      <c r="U34" s="54">
        <v>0</v>
      </c>
      <c r="V34" s="54">
        <v>0</v>
      </c>
      <c r="W34" s="54">
        <v>8</v>
      </c>
      <c r="X34" s="54">
        <v>8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11</v>
      </c>
      <c r="AE34" s="54">
        <v>11</v>
      </c>
      <c r="AF34" s="54">
        <v>0</v>
      </c>
      <c r="AG34" s="5">
        <f t="shared" si="2"/>
        <v>82</v>
      </c>
    </row>
    <row r="35" spans="1:33" ht="15.75" customHeight="1" x14ac:dyDescent="0.25">
      <c r="A35" s="56" t="s">
        <v>8</v>
      </c>
      <c r="B35" s="54">
        <v>4</v>
      </c>
      <c r="C35" s="54">
        <v>5</v>
      </c>
      <c r="D35" s="54">
        <v>0</v>
      </c>
      <c r="E35" s="54">
        <v>0</v>
      </c>
      <c r="F35" s="54">
        <v>0</v>
      </c>
      <c r="G35" s="54">
        <v>0</v>
      </c>
      <c r="H35" s="54">
        <v>0</v>
      </c>
      <c r="I35" s="54">
        <v>11</v>
      </c>
      <c r="J35" s="54">
        <v>7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5</v>
      </c>
      <c r="Q35" s="54">
        <v>5</v>
      </c>
      <c r="R35" s="54">
        <v>0</v>
      </c>
      <c r="S35" s="54">
        <v>0</v>
      </c>
      <c r="T35" s="54">
        <v>0</v>
      </c>
      <c r="U35" s="54">
        <v>0</v>
      </c>
      <c r="V35" s="54">
        <v>0</v>
      </c>
      <c r="W35" s="54">
        <v>6</v>
      </c>
      <c r="X35" s="54">
        <v>7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6</v>
      </c>
      <c r="AE35" s="54">
        <v>12</v>
      </c>
      <c r="AF35" s="54">
        <v>0</v>
      </c>
      <c r="AG35" s="5">
        <f t="shared" si="2"/>
        <v>68</v>
      </c>
    </row>
    <row r="36" spans="1:33" ht="15.75" customHeight="1" x14ac:dyDescent="0.25">
      <c r="A36" s="56" t="s">
        <v>9</v>
      </c>
      <c r="B36" s="54">
        <v>9</v>
      </c>
      <c r="C36" s="54">
        <v>13</v>
      </c>
      <c r="D36" s="54">
        <v>0</v>
      </c>
      <c r="E36" s="54">
        <v>0</v>
      </c>
      <c r="F36" s="54">
        <v>0</v>
      </c>
      <c r="G36" s="54">
        <v>0</v>
      </c>
      <c r="H36" s="54">
        <v>0</v>
      </c>
      <c r="I36" s="54">
        <v>9</v>
      </c>
      <c r="J36" s="54">
        <v>8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8</v>
      </c>
      <c r="Q36" s="54">
        <v>14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4">
        <v>11</v>
      </c>
      <c r="X36" s="54">
        <v>9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10</v>
      </c>
      <c r="AE36" s="54">
        <v>8</v>
      </c>
      <c r="AF36" s="54">
        <v>0</v>
      </c>
      <c r="AG36" s="5">
        <f t="shared" si="2"/>
        <v>99</v>
      </c>
    </row>
    <row r="37" spans="1:33" ht="15.75" customHeight="1" x14ac:dyDescent="0.25">
      <c r="A37" s="56" t="s">
        <v>10</v>
      </c>
      <c r="B37" s="54">
        <v>10</v>
      </c>
      <c r="C37" s="54">
        <v>9</v>
      </c>
      <c r="D37" s="54">
        <v>0</v>
      </c>
      <c r="E37" s="54">
        <v>0</v>
      </c>
      <c r="F37" s="54">
        <v>0</v>
      </c>
      <c r="G37" s="54">
        <v>0</v>
      </c>
      <c r="H37" s="54">
        <v>2</v>
      </c>
      <c r="I37" s="54">
        <v>4</v>
      </c>
      <c r="J37" s="54">
        <v>13</v>
      </c>
      <c r="K37" s="54">
        <v>0</v>
      </c>
      <c r="L37" s="54">
        <v>0</v>
      </c>
      <c r="M37" s="54">
        <v>0</v>
      </c>
      <c r="N37" s="54">
        <v>0</v>
      </c>
      <c r="O37" s="54">
        <v>10</v>
      </c>
      <c r="P37" s="54">
        <v>11</v>
      </c>
      <c r="Q37" s="54">
        <v>14</v>
      </c>
      <c r="R37" s="54">
        <v>0</v>
      </c>
      <c r="S37" s="54">
        <v>0</v>
      </c>
      <c r="T37" s="54">
        <v>0</v>
      </c>
      <c r="U37" s="54">
        <v>0</v>
      </c>
      <c r="V37" s="54">
        <v>6</v>
      </c>
      <c r="W37" s="54">
        <v>8</v>
      </c>
      <c r="X37" s="54">
        <v>8</v>
      </c>
      <c r="Y37" s="54">
        <v>0</v>
      </c>
      <c r="Z37" s="54">
        <v>0</v>
      </c>
      <c r="AA37" s="54">
        <v>1</v>
      </c>
      <c r="AB37" s="54">
        <v>0</v>
      </c>
      <c r="AC37" s="54">
        <v>3</v>
      </c>
      <c r="AD37" s="54">
        <v>8</v>
      </c>
      <c r="AE37" s="54">
        <v>10</v>
      </c>
      <c r="AF37" s="54">
        <v>0</v>
      </c>
      <c r="AG37" s="5">
        <f t="shared" si="2"/>
        <v>117</v>
      </c>
    </row>
    <row r="38" spans="1:33" ht="15.75" customHeight="1" x14ac:dyDescent="0.25">
      <c r="A38" s="56" t="s">
        <v>11</v>
      </c>
      <c r="B38" s="54">
        <v>13</v>
      </c>
      <c r="C38" s="54">
        <v>8</v>
      </c>
      <c r="D38" s="54">
        <v>5</v>
      </c>
      <c r="E38" s="54">
        <v>7</v>
      </c>
      <c r="F38" s="54">
        <v>7</v>
      </c>
      <c r="G38" s="54">
        <v>1</v>
      </c>
      <c r="H38" s="54">
        <v>12</v>
      </c>
      <c r="I38" s="54">
        <v>7</v>
      </c>
      <c r="J38" s="54">
        <v>11</v>
      </c>
      <c r="K38" s="54">
        <v>6</v>
      </c>
      <c r="L38" s="54">
        <v>9</v>
      </c>
      <c r="M38" s="54">
        <v>8</v>
      </c>
      <c r="N38" s="54">
        <v>6</v>
      </c>
      <c r="O38" s="54">
        <v>10</v>
      </c>
      <c r="P38" s="54">
        <v>9</v>
      </c>
      <c r="Q38" s="54">
        <v>8</v>
      </c>
      <c r="R38" s="54">
        <v>13</v>
      </c>
      <c r="S38" s="54">
        <v>4</v>
      </c>
      <c r="T38" s="54">
        <v>12</v>
      </c>
      <c r="U38" s="54">
        <v>5</v>
      </c>
      <c r="V38" s="54">
        <v>11</v>
      </c>
      <c r="W38" s="54">
        <v>7</v>
      </c>
      <c r="X38" s="54">
        <v>14</v>
      </c>
      <c r="Y38" s="54">
        <v>13</v>
      </c>
      <c r="Z38" s="54">
        <v>11</v>
      </c>
      <c r="AA38" s="54">
        <v>5</v>
      </c>
      <c r="AB38" s="54">
        <v>2</v>
      </c>
      <c r="AC38" s="54">
        <v>10</v>
      </c>
      <c r="AD38" s="54">
        <v>17</v>
      </c>
      <c r="AE38" s="54">
        <v>10</v>
      </c>
      <c r="AF38" s="54">
        <v>11</v>
      </c>
      <c r="AG38" s="5">
        <f t="shared" si="2"/>
        <v>272</v>
      </c>
    </row>
    <row r="39" spans="1:33" ht="15.75" customHeight="1" x14ac:dyDescent="0.25">
      <c r="A39" s="56" t="s">
        <v>12</v>
      </c>
      <c r="B39" s="54">
        <v>8</v>
      </c>
      <c r="C39" s="54">
        <v>8</v>
      </c>
      <c r="D39" s="54">
        <v>23</v>
      </c>
      <c r="E39" s="54">
        <v>19</v>
      </c>
      <c r="F39" s="54">
        <v>12</v>
      </c>
      <c r="G39" s="54">
        <v>15</v>
      </c>
      <c r="H39" s="54">
        <v>18</v>
      </c>
      <c r="I39" s="54">
        <v>7</v>
      </c>
      <c r="J39" s="54">
        <v>13</v>
      </c>
      <c r="K39" s="54">
        <v>11</v>
      </c>
      <c r="L39" s="54">
        <v>24</v>
      </c>
      <c r="M39" s="54">
        <v>4</v>
      </c>
      <c r="N39" s="54">
        <v>14</v>
      </c>
      <c r="O39" s="54">
        <v>22</v>
      </c>
      <c r="P39" s="54">
        <v>8</v>
      </c>
      <c r="Q39" s="54">
        <v>13</v>
      </c>
      <c r="R39" s="54">
        <v>13</v>
      </c>
      <c r="S39" s="54">
        <v>18</v>
      </c>
      <c r="T39" s="54">
        <v>18</v>
      </c>
      <c r="U39" s="54">
        <v>11</v>
      </c>
      <c r="V39" s="54">
        <v>16</v>
      </c>
      <c r="W39" s="54">
        <v>6</v>
      </c>
      <c r="X39" s="54">
        <v>17</v>
      </c>
      <c r="Y39" s="54">
        <v>18</v>
      </c>
      <c r="Z39" s="54">
        <v>19</v>
      </c>
      <c r="AA39" s="54">
        <v>12</v>
      </c>
      <c r="AB39" s="54">
        <v>16</v>
      </c>
      <c r="AC39" s="54">
        <v>16</v>
      </c>
      <c r="AD39" s="54">
        <v>13</v>
      </c>
      <c r="AE39" s="54">
        <v>11</v>
      </c>
      <c r="AF39" s="54">
        <v>21</v>
      </c>
      <c r="AG39" s="5">
        <f t="shared" si="2"/>
        <v>444</v>
      </c>
    </row>
    <row r="40" spans="1:33" ht="15.75" customHeight="1" x14ac:dyDescent="0.25">
      <c r="A40" s="56" t="s">
        <v>13</v>
      </c>
      <c r="B40" s="54">
        <v>7</v>
      </c>
      <c r="C40" s="54">
        <v>12</v>
      </c>
      <c r="D40" s="54">
        <v>18</v>
      </c>
      <c r="E40" s="54">
        <v>23</v>
      </c>
      <c r="F40" s="54">
        <v>13</v>
      </c>
      <c r="G40" s="54">
        <v>12</v>
      </c>
      <c r="H40" s="54">
        <v>10</v>
      </c>
      <c r="I40" s="54">
        <v>13</v>
      </c>
      <c r="J40" s="54">
        <v>8</v>
      </c>
      <c r="K40" s="54">
        <v>7</v>
      </c>
      <c r="L40" s="54">
        <v>20</v>
      </c>
      <c r="M40" s="54">
        <v>17</v>
      </c>
      <c r="N40" s="54">
        <v>15</v>
      </c>
      <c r="O40" s="54">
        <v>15</v>
      </c>
      <c r="P40" s="54">
        <v>7</v>
      </c>
      <c r="Q40" s="54">
        <v>12</v>
      </c>
      <c r="R40" s="54">
        <v>23</v>
      </c>
      <c r="S40" s="54">
        <v>24</v>
      </c>
      <c r="T40" s="54">
        <v>22</v>
      </c>
      <c r="U40" s="54">
        <v>17</v>
      </c>
      <c r="V40" s="54">
        <v>20</v>
      </c>
      <c r="W40" s="54">
        <v>7</v>
      </c>
      <c r="X40" s="54">
        <v>19</v>
      </c>
      <c r="Y40" s="54">
        <v>20</v>
      </c>
      <c r="Z40" s="54">
        <v>11</v>
      </c>
      <c r="AA40" s="54">
        <v>18</v>
      </c>
      <c r="AB40" s="54">
        <v>18</v>
      </c>
      <c r="AC40" s="54">
        <v>20</v>
      </c>
      <c r="AD40" s="54">
        <v>13</v>
      </c>
      <c r="AE40" s="54">
        <v>10</v>
      </c>
      <c r="AF40" s="54">
        <v>12</v>
      </c>
      <c r="AG40" s="5">
        <f t="shared" si="2"/>
        <v>463</v>
      </c>
    </row>
    <row r="41" spans="1:33" ht="15.75" customHeight="1" x14ac:dyDescent="0.25">
      <c r="A41" s="56" t="s">
        <v>14</v>
      </c>
      <c r="B41" s="54">
        <v>12</v>
      </c>
      <c r="C41" s="54">
        <v>9</v>
      </c>
      <c r="D41" s="54">
        <v>18</v>
      </c>
      <c r="E41" s="54">
        <v>18</v>
      </c>
      <c r="F41" s="54">
        <v>19</v>
      </c>
      <c r="G41" s="54">
        <v>16</v>
      </c>
      <c r="H41" s="54">
        <v>22</v>
      </c>
      <c r="I41" s="54">
        <v>6</v>
      </c>
      <c r="J41" s="54">
        <v>8</v>
      </c>
      <c r="K41" s="54">
        <v>21</v>
      </c>
      <c r="L41" s="54">
        <v>10</v>
      </c>
      <c r="M41" s="54">
        <v>21</v>
      </c>
      <c r="N41" s="54">
        <v>12</v>
      </c>
      <c r="O41" s="54">
        <v>9</v>
      </c>
      <c r="P41" s="54">
        <v>11</v>
      </c>
      <c r="Q41" s="54">
        <v>8</v>
      </c>
      <c r="R41" s="54">
        <v>15</v>
      </c>
      <c r="S41" s="54">
        <v>19</v>
      </c>
      <c r="T41" s="54">
        <v>19</v>
      </c>
      <c r="U41" s="54">
        <v>16</v>
      </c>
      <c r="V41" s="54">
        <v>15</v>
      </c>
      <c r="W41" s="54">
        <v>16</v>
      </c>
      <c r="X41" s="54">
        <v>13</v>
      </c>
      <c r="Y41" s="54">
        <v>19</v>
      </c>
      <c r="Z41" s="54">
        <v>21</v>
      </c>
      <c r="AA41" s="54">
        <v>15</v>
      </c>
      <c r="AB41" s="54">
        <v>8</v>
      </c>
      <c r="AC41" s="54">
        <v>13</v>
      </c>
      <c r="AD41" s="54">
        <v>9</v>
      </c>
      <c r="AE41" s="54">
        <v>14</v>
      </c>
      <c r="AF41" s="54">
        <v>15</v>
      </c>
      <c r="AG41" s="5">
        <f t="shared" si="2"/>
        <v>447</v>
      </c>
    </row>
    <row r="42" spans="1:33" ht="15.75" customHeight="1" x14ac:dyDescent="0.25">
      <c r="A42" s="56" t="s">
        <v>15</v>
      </c>
      <c r="B42" s="54">
        <v>11</v>
      </c>
      <c r="C42" s="54">
        <v>11</v>
      </c>
      <c r="D42" s="54">
        <v>17</v>
      </c>
      <c r="E42" s="54">
        <v>9</v>
      </c>
      <c r="F42" s="54">
        <v>15</v>
      </c>
      <c r="G42" s="54">
        <v>12</v>
      </c>
      <c r="H42" s="54">
        <v>9</v>
      </c>
      <c r="I42" s="54">
        <v>4</v>
      </c>
      <c r="J42" s="54">
        <v>16</v>
      </c>
      <c r="K42" s="54">
        <v>16</v>
      </c>
      <c r="L42" s="54">
        <v>11</v>
      </c>
      <c r="M42" s="54">
        <v>13</v>
      </c>
      <c r="N42" s="54">
        <v>11</v>
      </c>
      <c r="O42" s="54">
        <v>12</v>
      </c>
      <c r="P42" s="54">
        <v>7</v>
      </c>
      <c r="Q42" s="54">
        <v>12</v>
      </c>
      <c r="R42" s="54">
        <v>20</v>
      </c>
      <c r="S42" s="54">
        <v>20</v>
      </c>
      <c r="T42" s="54">
        <v>12</v>
      </c>
      <c r="U42" s="54">
        <v>10</v>
      </c>
      <c r="V42" s="54">
        <v>13</v>
      </c>
      <c r="W42" s="54">
        <v>16</v>
      </c>
      <c r="X42" s="54">
        <v>7</v>
      </c>
      <c r="Y42" s="54">
        <v>18</v>
      </c>
      <c r="Z42" s="54">
        <v>9</v>
      </c>
      <c r="AA42" s="54">
        <v>20</v>
      </c>
      <c r="AB42" s="54">
        <v>10</v>
      </c>
      <c r="AC42" s="54">
        <v>17</v>
      </c>
      <c r="AD42" s="54">
        <v>6</v>
      </c>
      <c r="AE42" s="54">
        <v>7</v>
      </c>
      <c r="AF42" s="54">
        <v>19</v>
      </c>
      <c r="AG42" s="5">
        <f t="shared" si="2"/>
        <v>390</v>
      </c>
    </row>
    <row r="43" spans="1:33" ht="15.75" customHeight="1" x14ac:dyDescent="0.25">
      <c r="A43" s="56" t="s">
        <v>16</v>
      </c>
      <c r="B43" s="54">
        <v>9</v>
      </c>
      <c r="C43" s="54">
        <v>7</v>
      </c>
      <c r="D43" s="54">
        <v>10</v>
      </c>
      <c r="E43" s="54">
        <v>0</v>
      </c>
      <c r="F43" s="54">
        <v>13</v>
      </c>
      <c r="G43" s="54">
        <v>14</v>
      </c>
      <c r="H43" s="54">
        <v>9</v>
      </c>
      <c r="I43" s="54">
        <v>6</v>
      </c>
      <c r="J43" s="54">
        <v>4</v>
      </c>
      <c r="K43" s="54">
        <v>12</v>
      </c>
      <c r="L43" s="54">
        <v>13</v>
      </c>
      <c r="M43" s="54">
        <v>11</v>
      </c>
      <c r="N43" s="54">
        <v>7</v>
      </c>
      <c r="O43" s="54">
        <v>10</v>
      </c>
      <c r="P43" s="54">
        <v>6</v>
      </c>
      <c r="Q43" s="54">
        <v>7</v>
      </c>
      <c r="R43" s="54">
        <v>14</v>
      </c>
      <c r="S43" s="54">
        <v>22</v>
      </c>
      <c r="T43" s="54">
        <v>19</v>
      </c>
      <c r="U43" s="54">
        <v>7</v>
      </c>
      <c r="V43" s="54">
        <v>9</v>
      </c>
      <c r="W43" s="54">
        <v>15</v>
      </c>
      <c r="X43" s="54">
        <v>6</v>
      </c>
      <c r="Y43" s="54">
        <v>8</v>
      </c>
      <c r="Z43" s="54">
        <v>3</v>
      </c>
      <c r="AA43" s="54">
        <v>13</v>
      </c>
      <c r="AB43" s="54">
        <v>11</v>
      </c>
      <c r="AC43" s="54">
        <v>6</v>
      </c>
      <c r="AD43" s="54">
        <v>6</v>
      </c>
      <c r="AE43" s="54">
        <v>6</v>
      </c>
      <c r="AF43" s="54">
        <v>9</v>
      </c>
      <c r="AG43" s="5">
        <f t="shared" si="2"/>
        <v>292</v>
      </c>
    </row>
    <row r="44" spans="1:33" ht="15.75" customHeight="1" x14ac:dyDescent="0.25">
      <c r="A44" s="56" t="s">
        <v>17</v>
      </c>
      <c r="B44" s="54">
        <v>10</v>
      </c>
      <c r="C44" s="54">
        <v>5</v>
      </c>
      <c r="D44" s="54">
        <v>10</v>
      </c>
      <c r="E44" s="54">
        <v>0</v>
      </c>
      <c r="F44" s="54">
        <v>10</v>
      </c>
      <c r="G44" s="54">
        <v>4</v>
      </c>
      <c r="H44" s="54">
        <v>4</v>
      </c>
      <c r="I44" s="54">
        <v>8</v>
      </c>
      <c r="J44" s="54">
        <v>8</v>
      </c>
      <c r="K44" s="54">
        <v>5</v>
      </c>
      <c r="L44" s="54">
        <v>7</v>
      </c>
      <c r="M44" s="54">
        <v>11</v>
      </c>
      <c r="N44" s="54">
        <v>5</v>
      </c>
      <c r="O44" s="54">
        <v>7</v>
      </c>
      <c r="P44" s="54">
        <v>8</v>
      </c>
      <c r="Q44" s="54">
        <v>3</v>
      </c>
      <c r="R44" s="54">
        <v>8</v>
      </c>
      <c r="S44" s="54">
        <v>6</v>
      </c>
      <c r="T44" s="54">
        <v>15</v>
      </c>
      <c r="U44" s="54">
        <v>3</v>
      </c>
      <c r="V44" s="54">
        <v>6</v>
      </c>
      <c r="W44" s="54">
        <v>3</v>
      </c>
      <c r="X44" s="54">
        <v>7</v>
      </c>
      <c r="Y44" s="54">
        <v>9</v>
      </c>
      <c r="Z44" s="54">
        <v>12</v>
      </c>
      <c r="AA44" s="54">
        <v>4</v>
      </c>
      <c r="AB44" s="54">
        <v>6</v>
      </c>
      <c r="AC44" s="54">
        <v>5</v>
      </c>
      <c r="AD44" s="54">
        <v>6</v>
      </c>
      <c r="AE44" s="54">
        <v>4</v>
      </c>
      <c r="AF44" s="54">
        <v>5</v>
      </c>
      <c r="AG44" s="5">
        <f t="shared" si="2"/>
        <v>204</v>
      </c>
    </row>
    <row r="45" spans="1:33" ht="15.75" customHeight="1" x14ac:dyDescent="0.25">
      <c r="A45" s="56" t="s">
        <v>18</v>
      </c>
      <c r="B45" s="54">
        <v>3</v>
      </c>
      <c r="C45" s="54">
        <v>2</v>
      </c>
      <c r="D45" s="54">
        <v>5</v>
      </c>
      <c r="E45" s="54">
        <v>0</v>
      </c>
      <c r="F45" s="54">
        <v>4</v>
      </c>
      <c r="G45" s="54">
        <v>8</v>
      </c>
      <c r="H45" s="54">
        <v>5</v>
      </c>
      <c r="I45" s="54">
        <v>11</v>
      </c>
      <c r="J45" s="54">
        <v>3</v>
      </c>
      <c r="K45" s="54">
        <v>7</v>
      </c>
      <c r="L45" s="54">
        <v>4</v>
      </c>
      <c r="M45" s="54">
        <v>7</v>
      </c>
      <c r="N45" s="54">
        <v>7</v>
      </c>
      <c r="O45" s="54">
        <v>4</v>
      </c>
      <c r="P45" s="54">
        <v>8</v>
      </c>
      <c r="Q45" s="54">
        <v>0</v>
      </c>
      <c r="R45" s="54">
        <v>6</v>
      </c>
      <c r="S45" s="54">
        <v>8</v>
      </c>
      <c r="T45" s="54">
        <v>5</v>
      </c>
      <c r="U45" s="54">
        <v>12</v>
      </c>
      <c r="V45" s="54">
        <v>6</v>
      </c>
      <c r="W45" s="54">
        <v>4</v>
      </c>
      <c r="X45" s="54">
        <v>7</v>
      </c>
      <c r="Y45" s="54">
        <v>4</v>
      </c>
      <c r="Z45" s="54">
        <v>8</v>
      </c>
      <c r="AA45" s="54">
        <v>16</v>
      </c>
      <c r="AB45" s="54">
        <v>10</v>
      </c>
      <c r="AC45" s="54">
        <v>9</v>
      </c>
      <c r="AD45" s="54">
        <v>3</v>
      </c>
      <c r="AE45" s="54">
        <v>3</v>
      </c>
      <c r="AF45" s="54">
        <v>11</v>
      </c>
      <c r="AG45" s="5">
        <f t="shared" si="2"/>
        <v>190</v>
      </c>
    </row>
    <row r="46" spans="1:33" ht="15.75" customHeight="1" x14ac:dyDescent="0.25">
      <c r="A46" s="56" t="s">
        <v>19</v>
      </c>
      <c r="B46" s="54">
        <v>4</v>
      </c>
      <c r="C46" s="54">
        <v>2</v>
      </c>
      <c r="D46" s="54">
        <v>18</v>
      </c>
      <c r="E46" s="54">
        <v>1</v>
      </c>
      <c r="F46" s="54">
        <v>5</v>
      </c>
      <c r="G46" s="54">
        <v>5</v>
      </c>
      <c r="H46" s="54">
        <v>2</v>
      </c>
      <c r="I46" s="54">
        <v>7</v>
      </c>
      <c r="J46" s="54">
        <v>1</v>
      </c>
      <c r="K46" s="54">
        <v>8</v>
      </c>
      <c r="L46" s="54">
        <v>5</v>
      </c>
      <c r="M46" s="54">
        <v>11</v>
      </c>
      <c r="N46" s="54">
        <v>13</v>
      </c>
      <c r="O46" s="54">
        <v>0</v>
      </c>
      <c r="P46" s="54">
        <v>7</v>
      </c>
      <c r="Q46" s="54">
        <v>1</v>
      </c>
      <c r="R46" s="54">
        <v>9</v>
      </c>
      <c r="S46" s="54">
        <v>2</v>
      </c>
      <c r="T46" s="54">
        <v>2</v>
      </c>
      <c r="U46" s="54">
        <v>8</v>
      </c>
      <c r="V46" s="54">
        <v>5</v>
      </c>
      <c r="W46" s="54">
        <v>8</v>
      </c>
      <c r="X46" s="54">
        <v>6</v>
      </c>
      <c r="Y46" s="54">
        <v>7</v>
      </c>
      <c r="Z46" s="54">
        <v>5</v>
      </c>
      <c r="AA46" s="54">
        <v>6</v>
      </c>
      <c r="AB46" s="54">
        <v>16</v>
      </c>
      <c r="AC46" s="54">
        <v>3</v>
      </c>
      <c r="AD46" s="54">
        <v>5</v>
      </c>
      <c r="AE46" s="54">
        <v>6</v>
      </c>
      <c r="AF46" s="54">
        <v>13</v>
      </c>
      <c r="AG46" s="5">
        <f t="shared" si="2"/>
        <v>191</v>
      </c>
    </row>
    <row r="47" spans="1:33" ht="15.75" customHeight="1" x14ac:dyDescent="0.25">
      <c r="A47" s="56" t="s">
        <v>20</v>
      </c>
      <c r="B47" s="54">
        <v>3</v>
      </c>
      <c r="C47" s="54">
        <v>3</v>
      </c>
      <c r="D47" s="54">
        <v>4</v>
      </c>
      <c r="E47" s="54">
        <v>3</v>
      </c>
      <c r="F47" s="54">
        <v>3</v>
      </c>
      <c r="G47" s="54">
        <v>10</v>
      </c>
      <c r="H47" s="54">
        <v>2</v>
      </c>
      <c r="I47" s="54">
        <v>3</v>
      </c>
      <c r="J47" s="54">
        <v>4</v>
      </c>
      <c r="K47" s="54">
        <v>6</v>
      </c>
      <c r="L47" s="54">
        <v>8</v>
      </c>
      <c r="M47" s="54">
        <v>1</v>
      </c>
      <c r="N47" s="54">
        <v>6</v>
      </c>
      <c r="O47" s="54">
        <v>1</v>
      </c>
      <c r="P47" s="54">
        <v>7</v>
      </c>
      <c r="Q47" s="54">
        <v>3</v>
      </c>
      <c r="R47" s="54">
        <v>8</v>
      </c>
      <c r="S47" s="54">
        <v>4</v>
      </c>
      <c r="T47" s="54">
        <v>2</v>
      </c>
      <c r="U47" s="54">
        <v>8</v>
      </c>
      <c r="V47" s="54">
        <v>0</v>
      </c>
      <c r="W47" s="54">
        <v>6</v>
      </c>
      <c r="X47" s="54">
        <v>1</v>
      </c>
      <c r="Y47" s="54">
        <v>1</v>
      </c>
      <c r="Z47" s="54">
        <v>9</v>
      </c>
      <c r="AA47" s="54">
        <v>4</v>
      </c>
      <c r="AB47" s="54">
        <v>7</v>
      </c>
      <c r="AC47" s="54">
        <v>6</v>
      </c>
      <c r="AD47" s="54">
        <v>3</v>
      </c>
      <c r="AE47" s="54">
        <v>0</v>
      </c>
      <c r="AF47" s="54">
        <v>9</v>
      </c>
      <c r="AG47" s="5">
        <f t="shared" si="2"/>
        <v>135</v>
      </c>
    </row>
    <row r="48" spans="1:33" ht="15.75" customHeight="1" x14ac:dyDescent="0.25">
      <c r="A48" s="56" t="s">
        <v>21</v>
      </c>
      <c r="B48" s="54">
        <v>2</v>
      </c>
      <c r="C48" s="54">
        <v>2</v>
      </c>
      <c r="D48" s="54">
        <v>0</v>
      </c>
      <c r="E48" s="54">
        <v>7</v>
      </c>
      <c r="F48" s="54">
        <v>2</v>
      </c>
      <c r="G48" s="54">
        <v>1</v>
      </c>
      <c r="H48" s="54">
        <v>1</v>
      </c>
      <c r="I48" s="54">
        <v>3</v>
      </c>
      <c r="J48" s="54">
        <v>1</v>
      </c>
      <c r="K48" s="54">
        <v>1</v>
      </c>
      <c r="L48" s="54">
        <v>5</v>
      </c>
      <c r="M48" s="54">
        <v>2</v>
      </c>
      <c r="N48" s="54">
        <v>0</v>
      </c>
      <c r="O48" s="54">
        <v>5</v>
      </c>
      <c r="P48" s="54">
        <v>2</v>
      </c>
      <c r="Q48" s="54">
        <v>4</v>
      </c>
      <c r="R48" s="54">
        <v>1</v>
      </c>
      <c r="S48" s="54">
        <v>5</v>
      </c>
      <c r="T48" s="54">
        <v>2</v>
      </c>
      <c r="U48" s="54">
        <v>9</v>
      </c>
      <c r="V48" s="54">
        <v>4</v>
      </c>
      <c r="W48" s="54">
        <v>2</v>
      </c>
      <c r="X48" s="54">
        <v>3</v>
      </c>
      <c r="Y48" s="54">
        <v>2</v>
      </c>
      <c r="Z48" s="54">
        <v>2</v>
      </c>
      <c r="AA48" s="54">
        <v>4</v>
      </c>
      <c r="AB48" s="54">
        <v>0</v>
      </c>
      <c r="AC48" s="54">
        <v>3</v>
      </c>
      <c r="AD48" s="54">
        <v>3</v>
      </c>
      <c r="AE48" s="54">
        <v>2</v>
      </c>
      <c r="AF48" s="54">
        <v>0</v>
      </c>
      <c r="AG48" s="5">
        <f t="shared" si="2"/>
        <v>80</v>
      </c>
    </row>
    <row r="49" spans="1:33" ht="15.75" customHeight="1" x14ac:dyDescent="0.25">
      <c r="A49" s="56" t="s">
        <v>22</v>
      </c>
      <c r="B49" s="54">
        <v>0</v>
      </c>
      <c r="C49" s="54">
        <v>1</v>
      </c>
      <c r="D49" s="54">
        <v>3</v>
      </c>
      <c r="E49" s="54">
        <v>3</v>
      </c>
      <c r="F49" s="54">
        <v>0</v>
      </c>
      <c r="G49" s="54">
        <v>0</v>
      </c>
      <c r="H49" s="54">
        <v>0</v>
      </c>
      <c r="I49" s="54">
        <v>0</v>
      </c>
      <c r="J49" s="54">
        <v>2</v>
      </c>
      <c r="K49" s="54">
        <v>0</v>
      </c>
      <c r="L49" s="54">
        <v>2</v>
      </c>
      <c r="M49" s="54">
        <v>1</v>
      </c>
      <c r="N49" s="54">
        <v>0</v>
      </c>
      <c r="O49" s="54">
        <v>1</v>
      </c>
      <c r="P49" s="54">
        <v>2</v>
      </c>
      <c r="Q49" s="54">
        <v>2</v>
      </c>
      <c r="R49" s="54">
        <v>1</v>
      </c>
      <c r="S49" s="54">
        <v>2</v>
      </c>
      <c r="T49" s="54">
        <v>0</v>
      </c>
      <c r="U49" s="54">
        <v>0</v>
      </c>
      <c r="V49" s="54">
        <v>4</v>
      </c>
      <c r="W49" s="54">
        <v>0</v>
      </c>
      <c r="X49" s="54">
        <v>0</v>
      </c>
      <c r="Y49" s="54">
        <v>1</v>
      </c>
      <c r="Z49" s="54">
        <v>3</v>
      </c>
      <c r="AA49" s="54">
        <v>1</v>
      </c>
      <c r="AB49" s="54">
        <v>0</v>
      </c>
      <c r="AC49" s="54">
        <v>1</v>
      </c>
      <c r="AD49" s="54">
        <v>2</v>
      </c>
      <c r="AE49" s="54">
        <v>3</v>
      </c>
      <c r="AF49" s="54">
        <v>1</v>
      </c>
      <c r="AG49" s="5">
        <f t="shared" si="2"/>
        <v>36</v>
      </c>
    </row>
    <row r="50" spans="1:33" ht="15.75" customHeight="1" x14ac:dyDescent="0.25">
      <c r="A50" s="56" t="s">
        <v>23</v>
      </c>
      <c r="B50" s="54">
        <v>0</v>
      </c>
      <c r="C50" s="54">
        <v>2</v>
      </c>
      <c r="D50" s="54">
        <v>3</v>
      </c>
      <c r="E50" s="54">
        <v>4</v>
      </c>
      <c r="F50" s="54">
        <v>0</v>
      </c>
      <c r="G50" s="54">
        <v>1</v>
      </c>
      <c r="H50" s="54">
        <v>1</v>
      </c>
      <c r="I50" s="54">
        <v>0</v>
      </c>
      <c r="J50" s="54">
        <v>0</v>
      </c>
      <c r="K50" s="54">
        <v>1</v>
      </c>
      <c r="L50" s="54">
        <v>4</v>
      </c>
      <c r="M50" s="54">
        <v>0</v>
      </c>
      <c r="N50" s="54">
        <v>0</v>
      </c>
      <c r="O50" s="54">
        <v>1</v>
      </c>
      <c r="P50" s="54">
        <v>0</v>
      </c>
      <c r="Q50" s="54">
        <v>1</v>
      </c>
      <c r="R50" s="54">
        <v>1</v>
      </c>
      <c r="S50" s="54">
        <v>1</v>
      </c>
      <c r="T50" s="54">
        <v>1</v>
      </c>
      <c r="U50" s="54">
        <v>1</v>
      </c>
      <c r="V50" s="54">
        <v>0</v>
      </c>
      <c r="W50" s="54">
        <v>2</v>
      </c>
      <c r="X50" s="54">
        <v>0</v>
      </c>
      <c r="Y50" s="54">
        <v>1</v>
      </c>
      <c r="Z50" s="54">
        <v>0</v>
      </c>
      <c r="AA50" s="54">
        <v>1</v>
      </c>
      <c r="AB50" s="54">
        <v>0</v>
      </c>
      <c r="AC50" s="54">
        <v>2</v>
      </c>
      <c r="AD50" s="54">
        <v>0</v>
      </c>
      <c r="AE50" s="54">
        <v>3</v>
      </c>
      <c r="AF50" s="54">
        <v>0</v>
      </c>
      <c r="AG50" s="5">
        <f t="shared" si="2"/>
        <v>31</v>
      </c>
    </row>
    <row r="51" spans="1:33" ht="15.75" customHeight="1" x14ac:dyDescent="0.25">
      <c r="A51" s="56" t="s">
        <v>24</v>
      </c>
      <c r="B51" s="54">
        <v>0</v>
      </c>
      <c r="C51" s="54">
        <v>1</v>
      </c>
      <c r="D51" s="54">
        <v>3</v>
      </c>
      <c r="E51" s="54">
        <v>2</v>
      </c>
      <c r="F51" s="54">
        <v>2</v>
      </c>
      <c r="G51" s="54">
        <v>5</v>
      </c>
      <c r="H51" s="54">
        <v>2</v>
      </c>
      <c r="I51" s="54">
        <v>4</v>
      </c>
      <c r="J51" s="54">
        <v>0</v>
      </c>
      <c r="K51" s="54">
        <v>0</v>
      </c>
      <c r="L51" s="54">
        <v>4</v>
      </c>
      <c r="M51" s="54">
        <v>1</v>
      </c>
      <c r="N51" s="54">
        <v>1</v>
      </c>
      <c r="O51" s="54">
        <v>1</v>
      </c>
      <c r="P51" s="54">
        <v>1</v>
      </c>
      <c r="Q51" s="54">
        <v>2</v>
      </c>
      <c r="R51" s="54">
        <v>2</v>
      </c>
      <c r="S51" s="54">
        <v>2</v>
      </c>
      <c r="T51" s="54">
        <v>1</v>
      </c>
      <c r="U51" s="54">
        <v>1</v>
      </c>
      <c r="V51" s="54">
        <v>1</v>
      </c>
      <c r="W51" s="54">
        <v>0</v>
      </c>
      <c r="X51" s="54">
        <v>2</v>
      </c>
      <c r="Y51" s="54">
        <v>1</v>
      </c>
      <c r="Z51" s="54">
        <v>0</v>
      </c>
      <c r="AA51" s="54">
        <v>5</v>
      </c>
      <c r="AB51" s="54">
        <v>6</v>
      </c>
      <c r="AC51" s="54">
        <v>2</v>
      </c>
      <c r="AD51" s="54">
        <v>3</v>
      </c>
      <c r="AE51" s="54">
        <v>2</v>
      </c>
      <c r="AF51" s="54">
        <v>0</v>
      </c>
      <c r="AG51" s="5">
        <f t="shared" si="2"/>
        <v>57</v>
      </c>
    </row>
    <row r="52" spans="1:33" ht="15.75" customHeight="1" thickBot="1" x14ac:dyDescent="0.3">
      <c r="A52" s="57" t="s">
        <v>25</v>
      </c>
      <c r="B52" s="58">
        <v>4</v>
      </c>
      <c r="C52" s="58">
        <v>3</v>
      </c>
      <c r="D52" s="58">
        <v>2</v>
      </c>
      <c r="E52" s="58">
        <v>0</v>
      </c>
      <c r="F52" s="58">
        <v>0</v>
      </c>
      <c r="G52" s="58">
        <v>0</v>
      </c>
      <c r="H52" s="58">
        <v>0</v>
      </c>
      <c r="I52" s="58">
        <v>2</v>
      </c>
      <c r="J52" s="58">
        <v>0</v>
      </c>
      <c r="K52" s="58">
        <v>1</v>
      </c>
      <c r="L52" s="58">
        <v>3</v>
      </c>
      <c r="M52" s="58">
        <v>0</v>
      </c>
      <c r="N52" s="58">
        <v>1</v>
      </c>
      <c r="O52" s="58">
        <v>1</v>
      </c>
      <c r="P52" s="58">
        <v>1</v>
      </c>
      <c r="Q52" s="58">
        <v>1</v>
      </c>
      <c r="R52" s="58">
        <v>0</v>
      </c>
      <c r="S52" s="58">
        <v>1</v>
      </c>
      <c r="T52" s="58">
        <v>1</v>
      </c>
      <c r="U52" s="58">
        <v>0</v>
      </c>
      <c r="V52" s="58">
        <v>0</v>
      </c>
      <c r="W52" s="58">
        <v>1</v>
      </c>
      <c r="X52" s="58">
        <v>2</v>
      </c>
      <c r="Y52" s="58">
        <v>0</v>
      </c>
      <c r="Z52" s="58">
        <v>1</v>
      </c>
      <c r="AA52" s="58">
        <v>0</v>
      </c>
      <c r="AB52" s="58">
        <v>0</v>
      </c>
      <c r="AC52" s="58">
        <v>0</v>
      </c>
      <c r="AD52" s="60">
        <v>1</v>
      </c>
      <c r="AE52" s="60">
        <v>2</v>
      </c>
      <c r="AF52" s="60">
        <v>0</v>
      </c>
      <c r="AG52" s="9">
        <f t="shared" si="2"/>
        <v>28</v>
      </c>
    </row>
    <row r="53" spans="1:33" ht="15.75" customHeight="1" thickBot="1" x14ac:dyDescent="0.3">
      <c r="A53" s="52" t="s">
        <v>27</v>
      </c>
      <c r="B53" s="1">
        <f t="shared" ref="B53:AF53" si="4">SUM(B54:B77)</f>
        <v>3</v>
      </c>
      <c r="C53" s="1">
        <f t="shared" si="4"/>
        <v>2</v>
      </c>
      <c r="D53" s="1">
        <f t="shared" si="4"/>
        <v>10</v>
      </c>
      <c r="E53" s="1">
        <f t="shared" si="4"/>
        <v>5</v>
      </c>
      <c r="F53" s="1">
        <f t="shared" si="4"/>
        <v>11</v>
      </c>
      <c r="G53" s="1">
        <f t="shared" si="4"/>
        <v>12</v>
      </c>
      <c r="H53" s="1">
        <f t="shared" si="4"/>
        <v>4</v>
      </c>
      <c r="I53" s="1">
        <f t="shared" si="4"/>
        <v>4</v>
      </c>
      <c r="J53" s="1">
        <f t="shared" si="4"/>
        <v>4</v>
      </c>
      <c r="K53" s="1">
        <f t="shared" si="4"/>
        <v>17</v>
      </c>
      <c r="L53" s="1">
        <f t="shared" si="4"/>
        <v>4</v>
      </c>
      <c r="M53" s="1">
        <f t="shared" si="4"/>
        <v>20</v>
      </c>
      <c r="N53" s="1">
        <f t="shared" si="4"/>
        <v>2</v>
      </c>
      <c r="O53" s="1">
        <f t="shared" si="4"/>
        <v>1</v>
      </c>
      <c r="P53" s="1">
        <f t="shared" si="4"/>
        <v>4</v>
      </c>
      <c r="Q53" s="1">
        <f t="shared" si="4"/>
        <v>5</v>
      </c>
      <c r="R53" s="1">
        <f t="shared" si="4"/>
        <v>29</v>
      </c>
      <c r="S53" s="1">
        <f t="shared" si="4"/>
        <v>18</v>
      </c>
      <c r="T53" s="1">
        <f t="shared" si="4"/>
        <v>10</v>
      </c>
      <c r="U53" s="1">
        <f t="shared" si="4"/>
        <v>12</v>
      </c>
      <c r="V53" s="1">
        <f t="shared" si="4"/>
        <v>13</v>
      </c>
      <c r="W53" s="1">
        <f t="shared" si="4"/>
        <v>8</v>
      </c>
      <c r="X53" s="1">
        <f t="shared" si="4"/>
        <v>23</v>
      </c>
      <c r="Y53" s="1">
        <f t="shared" si="4"/>
        <v>8</v>
      </c>
      <c r="Z53" s="1">
        <f t="shared" si="4"/>
        <v>18</v>
      </c>
      <c r="AA53" s="1">
        <f t="shared" si="4"/>
        <v>9</v>
      </c>
      <c r="AB53" s="1">
        <f t="shared" si="4"/>
        <v>26</v>
      </c>
      <c r="AC53" s="1">
        <f t="shared" si="4"/>
        <v>12</v>
      </c>
      <c r="AD53" s="1">
        <f t="shared" si="4"/>
        <v>2</v>
      </c>
      <c r="AE53" s="1">
        <f t="shared" si="4"/>
        <v>4</v>
      </c>
      <c r="AF53" s="1">
        <f t="shared" si="4"/>
        <v>5</v>
      </c>
      <c r="AG53" s="10">
        <f t="shared" si="2"/>
        <v>305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1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1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1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1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2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1</v>
      </c>
      <c r="AF57" s="54">
        <v>0</v>
      </c>
      <c r="AG57" s="5">
        <f t="shared" si="2"/>
        <v>1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1</v>
      </c>
      <c r="AE58" s="54">
        <v>1</v>
      </c>
      <c r="AF58" s="54">
        <v>0</v>
      </c>
      <c r="AG58" s="5">
        <f t="shared" si="2"/>
        <v>2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1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2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1</v>
      </c>
      <c r="AF59" s="54">
        <v>0</v>
      </c>
      <c r="AG59" s="5">
        <f t="shared" si="2"/>
        <v>4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2"/>
        <v>0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2</v>
      </c>
      <c r="W61" s="54">
        <v>0</v>
      </c>
      <c r="X61" s="54">
        <v>1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1</v>
      </c>
      <c r="AF61" s="54">
        <v>0</v>
      </c>
      <c r="AG61" s="5">
        <f t="shared" si="2"/>
        <v>4</v>
      </c>
    </row>
    <row r="62" spans="1:33" ht="15.75" customHeight="1" x14ac:dyDescent="0.25">
      <c r="A62" s="56" t="s">
        <v>10</v>
      </c>
      <c r="B62" s="54">
        <v>0</v>
      </c>
      <c r="C62" s="54">
        <v>1</v>
      </c>
      <c r="D62" s="54">
        <v>0</v>
      </c>
      <c r="E62" s="54">
        <v>0</v>
      </c>
      <c r="F62" s="54">
        <v>0</v>
      </c>
      <c r="G62" s="54">
        <v>0</v>
      </c>
      <c r="H62" s="54">
        <v>1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1</v>
      </c>
      <c r="W62" s="54">
        <v>1</v>
      </c>
      <c r="X62" s="54">
        <v>3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1</v>
      </c>
      <c r="AE62" s="54">
        <v>0</v>
      </c>
      <c r="AF62" s="54">
        <v>0</v>
      </c>
      <c r="AG62" s="5">
        <f t="shared" si="2"/>
        <v>8</v>
      </c>
    </row>
    <row r="63" spans="1:33" ht="15.75" customHeight="1" x14ac:dyDescent="0.25">
      <c r="A63" s="56" t="s">
        <v>11</v>
      </c>
      <c r="B63" s="54">
        <v>0</v>
      </c>
      <c r="C63" s="54">
        <v>0</v>
      </c>
      <c r="D63" s="54">
        <v>1</v>
      </c>
      <c r="E63" s="54">
        <v>0</v>
      </c>
      <c r="F63" s="54">
        <v>1</v>
      </c>
      <c r="G63" s="54">
        <v>2</v>
      </c>
      <c r="H63" s="54">
        <v>0</v>
      </c>
      <c r="I63" s="54">
        <v>0</v>
      </c>
      <c r="J63" s="54">
        <v>0</v>
      </c>
      <c r="K63" s="54">
        <v>0</v>
      </c>
      <c r="L63" s="54">
        <v>0</v>
      </c>
      <c r="M63" s="54">
        <v>1</v>
      </c>
      <c r="N63" s="54">
        <v>0</v>
      </c>
      <c r="O63" s="54">
        <v>0</v>
      </c>
      <c r="P63" s="54">
        <v>0</v>
      </c>
      <c r="Q63" s="54">
        <v>0</v>
      </c>
      <c r="R63" s="54">
        <v>3</v>
      </c>
      <c r="S63" s="54">
        <v>2</v>
      </c>
      <c r="T63" s="54">
        <v>1</v>
      </c>
      <c r="U63" s="54">
        <v>0</v>
      </c>
      <c r="V63" s="54">
        <v>1</v>
      </c>
      <c r="W63" s="54">
        <v>0</v>
      </c>
      <c r="X63" s="54">
        <v>5</v>
      </c>
      <c r="Y63" s="54">
        <v>0</v>
      </c>
      <c r="Z63" s="54">
        <v>0</v>
      </c>
      <c r="AA63" s="54">
        <v>1</v>
      </c>
      <c r="AB63" s="54">
        <v>1</v>
      </c>
      <c r="AC63" s="54">
        <v>2</v>
      </c>
      <c r="AD63" s="54">
        <v>0</v>
      </c>
      <c r="AE63" s="54">
        <v>0</v>
      </c>
      <c r="AF63" s="54">
        <v>0</v>
      </c>
      <c r="AG63" s="5">
        <f t="shared" si="2"/>
        <v>21</v>
      </c>
    </row>
    <row r="64" spans="1:33" ht="15.75" customHeight="1" x14ac:dyDescent="0.25">
      <c r="A64" s="56" t="s">
        <v>12</v>
      </c>
      <c r="B64" s="54">
        <v>0</v>
      </c>
      <c r="C64" s="54">
        <v>0</v>
      </c>
      <c r="D64" s="54">
        <v>2</v>
      </c>
      <c r="E64" s="54">
        <v>1</v>
      </c>
      <c r="F64" s="54">
        <v>1</v>
      </c>
      <c r="G64" s="54">
        <v>1</v>
      </c>
      <c r="H64" s="54">
        <v>1</v>
      </c>
      <c r="I64" s="54">
        <v>0</v>
      </c>
      <c r="J64" s="54">
        <v>1</v>
      </c>
      <c r="K64" s="54">
        <v>0</v>
      </c>
      <c r="L64" s="54">
        <v>1</v>
      </c>
      <c r="M64" s="54">
        <v>2</v>
      </c>
      <c r="N64" s="54">
        <v>0</v>
      </c>
      <c r="O64" s="54">
        <v>0</v>
      </c>
      <c r="P64" s="54">
        <v>0</v>
      </c>
      <c r="Q64" s="54">
        <v>1</v>
      </c>
      <c r="R64" s="54">
        <v>0</v>
      </c>
      <c r="S64" s="54">
        <v>2</v>
      </c>
      <c r="T64" s="54">
        <v>0</v>
      </c>
      <c r="U64" s="54">
        <v>0</v>
      </c>
      <c r="V64" s="54">
        <v>1</v>
      </c>
      <c r="W64" s="54">
        <v>2</v>
      </c>
      <c r="X64" s="54">
        <v>7</v>
      </c>
      <c r="Y64" s="54">
        <v>0</v>
      </c>
      <c r="Z64" s="54">
        <v>1</v>
      </c>
      <c r="AA64" s="54">
        <v>0</v>
      </c>
      <c r="AB64" s="54">
        <v>1</v>
      </c>
      <c r="AC64" s="54">
        <v>2</v>
      </c>
      <c r="AD64" s="54">
        <v>0</v>
      </c>
      <c r="AE64" s="54">
        <v>0</v>
      </c>
      <c r="AF64" s="54">
        <v>1</v>
      </c>
      <c r="AG64" s="5">
        <f t="shared" si="2"/>
        <v>28</v>
      </c>
    </row>
    <row r="65" spans="1:33" ht="15.75" customHeight="1" x14ac:dyDescent="0.25">
      <c r="A65" s="56" t="s">
        <v>13</v>
      </c>
      <c r="B65" s="54">
        <v>0</v>
      </c>
      <c r="C65" s="54">
        <v>0</v>
      </c>
      <c r="D65" s="54">
        <v>0</v>
      </c>
      <c r="E65" s="54">
        <v>0</v>
      </c>
      <c r="F65" s="54">
        <v>1</v>
      </c>
      <c r="G65" s="54">
        <v>0</v>
      </c>
      <c r="H65" s="54">
        <v>1</v>
      </c>
      <c r="I65" s="54">
        <v>0</v>
      </c>
      <c r="J65" s="54">
        <v>0</v>
      </c>
      <c r="K65" s="54">
        <v>3</v>
      </c>
      <c r="L65" s="54">
        <v>1</v>
      </c>
      <c r="M65" s="54">
        <v>0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  <c r="S65" s="54">
        <v>1</v>
      </c>
      <c r="T65" s="54">
        <v>1</v>
      </c>
      <c r="U65" s="54">
        <v>1</v>
      </c>
      <c r="V65" s="54">
        <v>1</v>
      </c>
      <c r="W65" s="54">
        <v>0</v>
      </c>
      <c r="X65" s="54">
        <v>3</v>
      </c>
      <c r="Y65" s="54">
        <v>0</v>
      </c>
      <c r="Z65" s="54">
        <v>0</v>
      </c>
      <c r="AA65" s="54">
        <v>2</v>
      </c>
      <c r="AB65" s="54">
        <v>1</v>
      </c>
      <c r="AC65" s="54">
        <v>1</v>
      </c>
      <c r="AD65" s="54">
        <v>0</v>
      </c>
      <c r="AE65" s="54">
        <v>0</v>
      </c>
      <c r="AF65" s="54">
        <v>1</v>
      </c>
      <c r="AG65" s="5">
        <f t="shared" si="2"/>
        <v>19</v>
      </c>
    </row>
    <row r="66" spans="1:33" ht="15.75" customHeight="1" x14ac:dyDescent="0.25">
      <c r="A66" s="56" t="s">
        <v>14</v>
      </c>
      <c r="B66" s="54">
        <v>2</v>
      </c>
      <c r="C66" s="54">
        <v>0</v>
      </c>
      <c r="D66" s="54">
        <v>1</v>
      </c>
      <c r="E66" s="54">
        <v>2</v>
      </c>
      <c r="F66" s="54">
        <v>4</v>
      </c>
      <c r="G66" s="54">
        <v>4</v>
      </c>
      <c r="H66" s="54">
        <v>1</v>
      </c>
      <c r="I66" s="54">
        <v>0</v>
      </c>
      <c r="J66" s="54">
        <v>0</v>
      </c>
      <c r="K66" s="54">
        <v>2</v>
      </c>
      <c r="L66" s="54">
        <v>0</v>
      </c>
      <c r="M66" s="54">
        <v>0</v>
      </c>
      <c r="N66" s="54">
        <v>0</v>
      </c>
      <c r="O66" s="54">
        <v>0</v>
      </c>
      <c r="P66" s="54">
        <v>0</v>
      </c>
      <c r="Q66" s="54">
        <v>1</v>
      </c>
      <c r="R66" s="54">
        <v>1</v>
      </c>
      <c r="S66" s="54">
        <v>1</v>
      </c>
      <c r="T66" s="54">
        <v>3</v>
      </c>
      <c r="U66" s="54">
        <v>0</v>
      </c>
      <c r="V66" s="54">
        <v>0</v>
      </c>
      <c r="W66" s="54">
        <v>0</v>
      </c>
      <c r="X66" s="54">
        <v>1</v>
      </c>
      <c r="Y66" s="54">
        <v>4</v>
      </c>
      <c r="Z66" s="54">
        <v>2</v>
      </c>
      <c r="AA66" s="54">
        <v>4</v>
      </c>
      <c r="AB66" s="54">
        <v>2</v>
      </c>
      <c r="AC66" s="54">
        <v>0</v>
      </c>
      <c r="AD66" s="54">
        <v>0</v>
      </c>
      <c r="AE66" s="54">
        <v>0</v>
      </c>
      <c r="AF66" s="54">
        <v>0</v>
      </c>
      <c r="AG66" s="5">
        <f t="shared" si="2"/>
        <v>35</v>
      </c>
    </row>
    <row r="67" spans="1:33" ht="15.75" customHeight="1" x14ac:dyDescent="0.25">
      <c r="A67" s="56" t="s">
        <v>15</v>
      </c>
      <c r="B67" s="54">
        <v>0</v>
      </c>
      <c r="C67" s="54">
        <v>0</v>
      </c>
      <c r="D67" s="54">
        <v>0</v>
      </c>
      <c r="E67" s="54">
        <v>2</v>
      </c>
      <c r="F67" s="54">
        <v>0</v>
      </c>
      <c r="G67" s="54">
        <v>1</v>
      </c>
      <c r="H67" s="54">
        <v>0</v>
      </c>
      <c r="I67" s="54">
        <v>0</v>
      </c>
      <c r="J67" s="54">
        <v>3</v>
      </c>
      <c r="K67" s="54">
        <v>0</v>
      </c>
      <c r="L67" s="54">
        <v>0</v>
      </c>
      <c r="M67" s="54">
        <v>8</v>
      </c>
      <c r="N67" s="54">
        <v>0</v>
      </c>
      <c r="O67" s="54">
        <v>0</v>
      </c>
      <c r="P67" s="54">
        <v>2</v>
      </c>
      <c r="Q67" s="54">
        <v>0</v>
      </c>
      <c r="R67" s="54">
        <v>1</v>
      </c>
      <c r="S67" s="54">
        <v>6</v>
      </c>
      <c r="T67" s="54">
        <v>2</v>
      </c>
      <c r="U67" s="54">
        <v>0</v>
      </c>
      <c r="V67" s="54">
        <v>2</v>
      </c>
      <c r="W67" s="54">
        <v>4</v>
      </c>
      <c r="X67" s="54">
        <v>1</v>
      </c>
      <c r="Y67" s="54">
        <v>1</v>
      </c>
      <c r="Z67" s="54">
        <v>0</v>
      </c>
      <c r="AA67" s="54">
        <v>1</v>
      </c>
      <c r="AB67" s="54">
        <v>3</v>
      </c>
      <c r="AC67" s="54">
        <v>2</v>
      </c>
      <c r="AD67" s="54">
        <v>0</v>
      </c>
      <c r="AE67" s="54">
        <v>0</v>
      </c>
      <c r="AF67" s="54">
        <v>1</v>
      </c>
      <c r="AG67" s="5">
        <f t="shared" ref="AG67:AG98" si="5">SUM(B67:AF67)</f>
        <v>40</v>
      </c>
    </row>
    <row r="68" spans="1:33" ht="15.75" customHeight="1" x14ac:dyDescent="0.25">
      <c r="A68" s="56" t="s">
        <v>16</v>
      </c>
      <c r="B68" s="54">
        <v>1</v>
      </c>
      <c r="C68" s="54">
        <v>0</v>
      </c>
      <c r="D68" s="54">
        <v>1</v>
      </c>
      <c r="E68" s="54">
        <v>0</v>
      </c>
      <c r="F68" s="54">
        <v>3</v>
      </c>
      <c r="G68" s="54">
        <v>2</v>
      </c>
      <c r="H68" s="54">
        <v>0</v>
      </c>
      <c r="I68" s="54">
        <v>0</v>
      </c>
      <c r="J68" s="54">
        <v>0</v>
      </c>
      <c r="K68" s="54">
        <v>6</v>
      </c>
      <c r="L68" s="54">
        <v>0</v>
      </c>
      <c r="M68" s="54">
        <v>2</v>
      </c>
      <c r="N68" s="54">
        <v>0</v>
      </c>
      <c r="O68" s="54">
        <v>0</v>
      </c>
      <c r="P68" s="54">
        <v>0</v>
      </c>
      <c r="Q68" s="54">
        <v>0</v>
      </c>
      <c r="R68" s="54">
        <v>8</v>
      </c>
      <c r="S68" s="54">
        <v>3</v>
      </c>
      <c r="T68" s="54">
        <v>2</v>
      </c>
      <c r="U68" s="54">
        <v>2</v>
      </c>
      <c r="V68" s="54">
        <v>0</v>
      </c>
      <c r="W68" s="54">
        <v>0</v>
      </c>
      <c r="X68" s="54">
        <v>0</v>
      </c>
      <c r="Y68" s="54">
        <v>1</v>
      </c>
      <c r="Z68" s="54">
        <v>1</v>
      </c>
      <c r="AA68" s="54">
        <v>0</v>
      </c>
      <c r="AB68" s="54">
        <v>5</v>
      </c>
      <c r="AC68" s="54">
        <v>3</v>
      </c>
      <c r="AD68" s="54">
        <v>0</v>
      </c>
      <c r="AE68" s="54">
        <v>0</v>
      </c>
      <c r="AF68" s="54">
        <v>1</v>
      </c>
      <c r="AG68" s="5">
        <f t="shared" si="5"/>
        <v>41</v>
      </c>
    </row>
    <row r="69" spans="1:33" ht="15.75" customHeight="1" x14ac:dyDescent="0.25">
      <c r="A69" s="56" t="s">
        <v>17</v>
      </c>
      <c r="B69" s="54">
        <v>0</v>
      </c>
      <c r="C69" s="54">
        <v>0</v>
      </c>
      <c r="D69" s="54">
        <v>1</v>
      </c>
      <c r="E69" s="54">
        <v>0</v>
      </c>
      <c r="F69" s="54">
        <v>0</v>
      </c>
      <c r="G69" s="54">
        <v>0</v>
      </c>
      <c r="H69" s="54">
        <v>0</v>
      </c>
      <c r="I69" s="54">
        <v>1</v>
      </c>
      <c r="J69" s="54">
        <v>0</v>
      </c>
      <c r="K69" s="54">
        <v>0</v>
      </c>
      <c r="L69" s="54">
        <v>0</v>
      </c>
      <c r="M69" s="54">
        <v>2</v>
      </c>
      <c r="N69" s="54">
        <v>0</v>
      </c>
      <c r="O69" s="54">
        <v>0</v>
      </c>
      <c r="P69" s="54">
        <v>1</v>
      </c>
      <c r="Q69" s="54">
        <v>0</v>
      </c>
      <c r="R69" s="54">
        <v>6</v>
      </c>
      <c r="S69" s="54">
        <v>0</v>
      </c>
      <c r="T69" s="54">
        <v>0</v>
      </c>
      <c r="U69" s="54">
        <v>1</v>
      </c>
      <c r="V69" s="54">
        <v>0</v>
      </c>
      <c r="W69" s="54">
        <v>0</v>
      </c>
      <c r="X69" s="54">
        <v>0</v>
      </c>
      <c r="Y69" s="54">
        <v>0</v>
      </c>
      <c r="Z69" s="54">
        <v>6</v>
      </c>
      <c r="AA69" s="54">
        <v>0</v>
      </c>
      <c r="AB69" s="54">
        <v>3</v>
      </c>
      <c r="AC69" s="54">
        <v>0</v>
      </c>
      <c r="AD69" s="54">
        <v>0</v>
      </c>
      <c r="AE69" s="54">
        <v>0</v>
      </c>
      <c r="AF69" s="54">
        <v>0</v>
      </c>
      <c r="AG69" s="5">
        <f t="shared" si="5"/>
        <v>21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3</v>
      </c>
      <c r="E70" s="54">
        <v>0</v>
      </c>
      <c r="F70" s="54">
        <v>0</v>
      </c>
      <c r="G70" s="54">
        <v>0</v>
      </c>
      <c r="H70" s="54">
        <v>0</v>
      </c>
      <c r="I70" s="54">
        <v>1</v>
      </c>
      <c r="J70" s="54">
        <v>0</v>
      </c>
      <c r="K70" s="54">
        <v>2</v>
      </c>
      <c r="L70" s="54">
        <v>0</v>
      </c>
      <c r="M70" s="54">
        <v>5</v>
      </c>
      <c r="N70" s="54">
        <v>0</v>
      </c>
      <c r="O70" s="54">
        <v>0</v>
      </c>
      <c r="P70" s="54">
        <v>0</v>
      </c>
      <c r="Q70" s="54">
        <v>0</v>
      </c>
      <c r="R70" s="54">
        <v>5</v>
      </c>
      <c r="S70" s="54">
        <v>0</v>
      </c>
      <c r="T70" s="54">
        <v>0</v>
      </c>
      <c r="U70" s="54">
        <v>3</v>
      </c>
      <c r="V70" s="54">
        <v>0</v>
      </c>
      <c r="W70" s="54">
        <v>1</v>
      </c>
      <c r="X70" s="54">
        <v>0</v>
      </c>
      <c r="Y70" s="54">
        <v>0</v>
      </c>
      <c r="Z70" s="54">
        <v>1</v>
      </c>
      <c r="AA70" s="54">
        <v>1</v>
      </c>
      <c r="AB70" s="54">
        <v>0</v>
      </c>
      <c r="AC70" s="54">
        <v>2</v>
      </c>
      <c r="AD70" s="55">
        <v>0</v>
      </c>
      <c r="AE70" s="55">
        <v>0</v>
      </c>
      <c r="AF70" s="55">
        <v>1</v>
      </c>
      <c r="AG70" s="5">
        <f t="shared" si="5"/>
        <v>25</v>
      </c>
    </row>
    <row r="71" spans="1:33" ht="15.75" customHeight="1" x14ac:dyDescent="0.25">
      <c r="A71" s="56" t="s">
        <v>19</v>
      </c>
      <c r="B71" s="54">
        <v>0</v>
      </c>
      <c r="C71" s="54">
        <v>0</v>
      </c>
      <c r="D71" s="54">
        <v>0</v>
      </c>
      <c r="E71" s="54">
        <v>0</v>
      </c>
      <c r="F71" s="54">
        <v>0</v>
      </c>
      <c r="G71" s="54">
        <v>2</v>
      </c>
      <c r="H71" s="54">
        <v>0</v>
      </c>
      <c r="I71" s="54">
        <v>0</v>
      </c>
      <c r="J71" s="54">
        <v>0</v>
      </c>
      <c r="K71" s="54">
        <v>4</v>
      </c>
      <c r="L71" s="54">
        <v>1</v>
      </c>
      <c r="M71" s="54">
        <v>0</v>
      </c>
      <c r="N71" s="54">
        <v>2</v>
      </c>
      <c r="O71" s="54">
        <v>0</v>
      </c>
      <c r="P71" s="54">
        <v>0</v>
      </c>
      <c r="Q71" s="54">
        <v>0</v>
      </c>
      <c r="R71" s="54">
        <v>3</v>
      </c>
      <c r="S71" s="54">
        <v>0</v>
      </c>
      <c r="T71" s="54">
        <v>0</v>
      </c>
      <c r="U71" s="54">
        <v>3</v>
      </c>
      <c r="V71" s="54">
        <v>4</v>
      </c>
      <c r="W71" s="54">
        <v>0</v>
      </c>
      <c r="X71" s="54">
        <v>1</v>
      </c>
      <c r="Y71" s="54">
        <v>0</v>
      </c>
      <c r="Z71" s="54">
        <v>7</v>
      </c>
      <c r="AA71" s="54">
        <v>0</v>
      </c>
      <c r="AB71" s="54">
        <v>6</v>
      </c>
      <c r="AC71" s="54">
        <v>0</v>
      </c>
      <c r="AD71" s="55">
        <v>0</v>
      </c>
      <c r="AE71" s="55">
        <v>0</v>
      </c>
      <c r="AF71" s="55">
        <v>0</v>
      </c>
      <c r="AG71" s="5">
        <f t="shared" si="5"/>
        <v>33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0</v>
      </c>
      <c r="E72" s="54">
        <v>0</v>
      </c>
      <c r="F72" s="54">
        <v>1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1</v>
      </c>
      <c r="V72" s="54">
        <v>0</v>
      </c>
      <c r="W72" s="54">
        <v>0</v>
      </c>
      <c r="X72" s="54">
        <v>0</v>
      </c>
      <c r="Y72" s="54">
        <v>2</v>
      </c>
      <c r="Z72" s="54">
        <v>0</v>
      </c>
      <c r="AA72" s="54">
        <v>0</v>
      </c>
      <c r="AB72" s="54">
        <v>4</v>
      </c>
      <c r="AC72" s="54">
        <v>0</v>
      </c>
      <c r="AD72" s="55">
        <v>0</v>
      </c>
      <c r="AE72" s="55">
        <v>0</v>
      </c>
      <c r="AF72" s="55">
        <v>0</v>
      </c>
      <c r="AG72" s="5">
        <f t="shared" si="5"/>
        <v>8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  <c r="S73" s="54">
        <v>2</v>
      </c>
      <c r="T73" s="54">
        <v>0</v>
      </c>
      <c r="U73" s="54">
        <v>1</v>
      </c>
      <c r="V73" s="54">
        <v>1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5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1</v>
      </c>
      <c r="P74" s="54">
        <v>0</v>
      </c>
      <c r="Q74" s="54">
        <v>0</v>
      </c>
      <c r="R74" s="54">
        <v>0</v>
      </c>
      <c r="S74" s="54">
        <v>1</v>
      </c>
      <c r="T74" s="54">
        <v>1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3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1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1</v>
      </c>
    </row>
    <row r="76" spans="1:33" ht="15.75" customHeight="1" x14ac:dyDescent="0.25">
      <c r="A76" s="56" t="s">
        <v>24</v>
      </c>
      <c r="B76" s="54">
        <v>0</v>
      </c>
      <c r="C76" s="54">
        <v>1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1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2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1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1</v>
      </c>
    </row>
    <row r="78" spans="1:33" ht="19.5" customHeight="1" thickBot="1" x14ac:dyDescent="0.3">
      <c r="A78" s="63" t="s">
        <v>28</v>
      </c>
      <c r="B78" s="11">
        <f t="shared" ref="B78:AF78" si="6">SUM(B79:B80)</f>
        <v>155</v>
      </c>
      <c r="C78" s="11">
        <f t="shared" si="6"/>
        <v>155</v>
      </c>
      <c r="D78" s="11">
        <f t="shared" si="6"/>
        <v>149</v>
      </c>
      <c r="E78" s="11">
        <f t="shared" si="6"/>
        <v>101</v>
      </c>
      <c r="F78" s="11">
        <f t="shared" si="6"/>
        <v>116</v>
      </c>
      <c r="G78" s="11">
        <f t="shared" si="6"/>
        <v>116</v>
      </c>
      <c r="H78" s="11">
        <f t="shared" si="6"/>
        <v>103</v>
      </c>
      <c r="I78" s="11">
        <f t="shared" si="6"/>
        <v>152</v>
      </c>
      <c r="J78" s="11">
        <f t="shared" si="6"/>
        <v>162</v>
      </c>
      <c r="K78" s="11">
        <f t="shared" si="6"/>
        <v>119</v>
      </c>
      <c r="L78" s="11">
        <f t="shared" si="6"/>
        <v>133</v>
      </c>
      <c r="M78" s="11">
        <f t="shared" si="6"/>
        <v>128</v>
      </c>
      <c r="N78" s="11">
        <f t="shared" si="6"/>
        <v>100</v>
      </c>
      <c r="O78" s="11">
        <f t="shared" si="6"/>
        <v>110</v>
      </c>
      <c r="P78" s="11">
        <f t="shared" si="6"/>
        <v>165</v>
      </c>
      <c r="Q78" s="11">
        <f t="shared" si="6"/>
        <v>162</v>
      </c>
      <c r="R78" s="11">
        <f t="shared" si="6"/>
        <v>163</v>
      </c>
      <c r="S78" s="11">
        <f t="shared" si="6"/>
        <v>156</v>
      </c>
      <c r="T78" s="11">
        <f t="shared" si="6"/>
        <v>141</v>
      </c>
      <c r="U78" s="11">
        <f t="shared" si="6"/>
        <v>120</v>
      </c>
      <c r="V78" s="11">
        <f t="shared" si="6"/>
        <v>129</v>
      </c>
      <c r="W78" s="11">
        <f t="shared" si="6"/>
        <v>174</v>
      </c>
      <c r="X78" s="11">
        <f t="shared" si="6"/>
        <v>191</v>
      </c>
      <c r="Y78" s="11">
        <f t="shared" si="6"/>
        <v>130</v>
      </c>
      <c r="Z78" s="11">
        <f t="shared" si="6"/>
        <v>132</v>
      </c>
      <c r="AA78" s="11">
        <f t="shared" si="6"/>
        <v>134</v>
      </c>
      <c r="AB78" s="11">
        <f t="shared" si="6"/>
        <v>136</v>
      </c>
      <c r="AC78" s="11">
        <f t="shared" si="6"/>
        <v>128</v>
      </c>
      <c r="AD78" s="11">
        <f t="shared" si="6"/>
        <v>167</v>
      </c>
      <c r="AE78" s="11">
        <f t="shared" si="6"/>
        <v>166</v>
      </c>
      <c r="AF78" s="11">
        <f t="shared" si="6"/>
        <v>131</v>
      </c>
      <c r="AG78" s="10">
        <f t="shared" si="5"/>
        <v>4324</v>
      </c>
    </row>
    <row r="79" spans="1:33" ht="19.5" customHeight="1" x14ac:dyDescent="0.25">
      <c r="A79" s="64" t="s">
        <v>29</v>
      </c>
      <c r="B79" s="3">
        <f t="shared" ref="B79" si="7">SUM(B4:B27)-B80</f>
        <v>155</v>
      </c>
      <c r="C79" s="3">
        <f t="shared" ref="C79" si="8">SUM(C4:C27)-C80</f>
        <v>155</v>
      </c>
      <c r="D79" s="3">
        <f t="shared" ref="D79:AF79" si="9">SUM(D4:D27)-D80</f>
        <v>149</v>
      </c>
      <c r="E79" s="3">
        <f t="shared" si="9"/>
        <v>101</v>
      </c>
      <c r="F79" s="3">
        <f t="shared" si="9"/>
        <v>116</v>
      </c>
      <c r="G79" s="3">
        <f t="shared" si="9"/>
        <v>116</v>
      </c>
      <c r="H79" s="3">
        <f t="shared" si="9"/>
        <v>103</v>
      </c>
      <c r="I79" s="3">
        <f t="shared" si="9"/>
        <v>152</v>
      </c>
      <c r="J79" s="3">
        <f t="shared" si="9"/>
        <v>162</v>
      </c>
      <c r="K79" s="3">
        <f t="shared" si="9"/>
        <v>119</v>
      </c>
      <c r="L79" s="3">
        <f t="shared" si="9"/>
        <v>133</v>
      </c>
      <c r="M79" s="3">
        <f t="shared" si="9"/>
        <v>128</v>
      </c>
      <c r="N79" s="3">
        <f t="shared" si="9"/>
        <v>100</v>
      </c>
      <c r="O79" s="3">
        <f t="shared" si="9"/>
        <v>110</v>
      </c>
      <c r="P79" s="3">
        <f t="shared" si="9"/>
        <v>165</v>
      </c>
      <c r="Q79" s="3">
        <f t="shared" si="9"/>
        <v>162</v>
      </c>
      <c r="R79" s="3">
        <f t="shared" si="9"/>
        <v>163</v>
      </c>
      <c r="S79" s="3">
        <f t="shared" si="9"/>
        <v>156</v>
      </c>
      <c r="T79" s="3">
        <f t="shared" si="9"/>
        <v>141</v>
      </c>
      <c r="U79" s="3">
        <f t="shared" si="9"/>
        <v>120</v>
      </c>
      <c r="V79" s="3">
        <f t="shared" si="9"/>
        <v>129</v>
      </c>
      <c r="W79" s="3">
        <f t="shared" si="9"/>
        <v>174</v>
      </c>
      <c r="X79" s="3">
        <f t="shared" si="9"/>
        <v>191</v>
      </c>
      <c r="Y79" s="3">
        <f t="shared" si="9"/>
        <v>130</v>
      </c>
      <c r="Z79" s="3">
        <f t="shared" si="9"/>
        <v>132</v>
      </c>
      <c r="AA79" s="3">
        <f t="shared" si="9"/>
        <v>134</v>
      </c>
      <c r="AB79" s="3">
        <f t="shared" si="9"/>
        <v>136</v>
      </c>
      <c r="AC79" s="3">
        <f t="shared" si="9"/>
        <v>128</v>
      </c>
      <c r="AD79" s="3">
        <f t="shared" si="9"/>
        <v>167</v>
      </c>
      <c r="AE79" s="3">
        <f t="shared" si="9"/>
        <v>166</v>
      </c>
      <c r="AF79" s="3">
        <f t="shared" si="9"/>
        <v>131</v>
      </c>
      <c r="AG79" s="4">
        <f t="shared" si="5"/>
        <v>4324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3</v>
      </c>
      <c r="C81" s="12">
        <f t="shared" si="10"/>
        <v>2</v>
      </c>
      <c r="D81" s="12">
        <f t="shared" si="10"/>
        <v>10</v>
      </c>
      <c r="E81" s="12">
        <f t="shared" si="10"/>
        <v>5</v>
      </c>
      <c r="F81" s="12">
        <f t="shared" si="10"/>
        <v>11</v>
      </c>
      <c r="G81" s="12">
        <f t="shared" si="10"/>
        <v>12</v>
      </c>
      <c r="H81" s="12">
        <f t="shared" si="10"/>
        <v>4</v>
      </c>
      <c r="I81" s="12">
        <f t="shared" si="10"/>
        <v>4</v>
      </c>
      <c r="J81" s="12">
        <f t="shared" si="10"/>
        <v>4</v>
      </c>
      <c r="K81" s="12">
        <f t="shared" si="10"/>
        <v>17</v>
      </c>
      <c r="L81" s="12">
        <f t="shared" si="10"/>
        <v>4</v>
      </c>
      <c r="M81" s="12">
        <f t="shared" si="10"/>
        <v>20</v>
      </c>
      <c r="N81" s="12">
        <f t="shared" si="10"/>
        <v>2</v>
      </c>
      <c r="O81" s="12">
        <f t="shared" si="10"/>
        <v>1</v>
      </c>
      <c r="P81" s="12">
        <f t="shared" si="10"/>
        <v>4</v>
      </c>
      <c r="Q81" s="12">
        <f t="shared" si="10"/>
        <v>5</v>
      </c>
      <c r="R81" s="12">
        <f t="shared" si="10"/>
        <v>29</v>
      </c>
      <c r="S81" s="12">
        <f t="shared" si="10"/>
        <v>18</v>
      </c>
      <c r="T81" s="12">
        <f t="shared" si="10"/>
        <v>10</v>
      </c>
      <c r="U81" s="12">
        <f t="shared" si="10"/>
        <v>12</v>
      </c>
      <c r="V81" s="12">
        <f t="shared" si="10"/>
        <v>13</v>
      </c>
      <c r="W81" s="12">
        <f t="shared" si="10"/>
        <v>8</v>
      </c>
      <c r="X81" s="12">
        <f t="shared" si="10"/>
        <v>23</v>
      </c>
      <c r="Y81" s="12">
        <f t="shared" si="10"/>
        <v>8</v>
      </c>
      <c r="Z81" s="12">
        <f t="shared" si="10"/>
        <v>18</v>
      </c>
      <c r="AA81" s="12">
        <f t="shared" si="10"/>
        <v>9</v>
      </c>
      <c r="AB81" s="12">
        <f t="shared" si="10"/>
        <v>26</v>
      </c>
      <c r="AC81" s="12">
        <f t="shared" si="10"/>
        <v>12</v>
      </c>
      <c r="AD81" s="12">
        <f t="shared" si="10"/>
        <v>2</v>
      </c>
      <c r="AE81" s="12">
        <f t="shared" si="10"/>
        <v>4</v>
      </c>
      <c r="AF81" s="12">
        <f t="shared" si="10"/>
        <v>5</v>
      </c>
      <c r="AG81" s="10">
        <f t="shared" si="5"/>
        <v>305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1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1</v>
      </c>
      <c r="I82" s="3">
        <f t="shared" si="11"/>
        <v>2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1</v>
      </c>
      <c r="Q82" s="3">
        <f t="shared" si="11"/>
        <v>3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3</v>
      </c>
      <c r="W82" s="3">
        <f t="shared" si="11"/>
        <v>1</v>
      </c>
      <c r="X82" s="3">
        <f t="shared" si="11"/>
        <v>4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2</v>
      </c>
      <c r="AE82" s="3">
        <f t="shared" si="11"/>
        <v>4</v>
      </c>
      <c r="AF82" s="3">
        <f t="shared" si="11"/>
        <v>0</v>
      </c>
      <c r="AG82" s="4">
        <f t="shared" si="5"/>
        <v>22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3</v>
      </c>
      <c r="C83" s="8">
        <f t="shared" si="12"/>
        <v>1</v>
      </c>
      <c r="D83" s="8">
        <f t="shared" si="12"/>
        <v>10</v>
      </c>
      <c r="E83" s="8">
        <f t="shared" si="12"/>
        <v>5</v>
      </c>
      <c r="F83" s="8">
        <f t="shared" si="12"/>
        <v>11</v>
      </c>
      <c r="G83" s="8">
        <f t="shared" si="12"/>
        <v>12</v>
      </c>
      <c r="H83" s="8">
        <f t="shared" si="12"/>
        <v>3</v>
      </c>
      <c r="I83" s="8">
        <f t="shared" si="12"/>
        <v>2</v>
      </c>
      <c r="J83" s="8">
        <f t="shared" si="12"/>
        <v>4</v>
      </c>
      <c r="K83" s="8">
        <f t="shared" si="12"/>
        <v>17</v>
      </c>
      <c r="L83" s="8">
        <f t="shared" si="12"/>
        <v>4</v>
      </c>
      <c r="M83" s="8">
        <f t="shared" si="12"/>
        <v>20</v>
      </c>
      <c r="N83" s="8">
        <f t="shared" si="12"/>
        <v>2</v>
      </c>
      <c r="O83" s="8">
        <f t="shared" si="12"/>
        <v>1</v>
      </c>
      <c r="P83" s="8">
        <f t="shared" si="12"/>
        <v>3</v>
      </c>
      <c r="Q83" s="8">
        <f t="shared" si="12"/>
        <v>2</v>
      </c>
      <c r="R83" s="8">
        <f t="shared" si="12"/>
        <v>29</v>
      </c>
      <c r="S83" s="8">
        <f t="shared" si="12"/>
        <v>18</v>
      </c>
      <c r="T83" s="8">
        <f t="shared" si="12"/>
        <v>10</v>
      </c>
      <c r="U83" s="8">
        <f t="shared" si="12"/>
        <v>12</v>
      </c>
      <c r="V83" s="8">
        <f t="shared" si="12"/>
        <v>10</v>
      </c>
      <c r="W83" s="8">
        <f t="shared" si="12"/>
        <v>7</v>
      </c>
      <c r="X83" s="8">
        <f t="shared" si="12"/>
        <v>19</v>
      </c>
      <c r="Y83" s="8">
        <f t="shared" si="12"/>
        <v>8</v>
      </c>
      <c r="Z83" s="8">
        <f t="shared" si="12"/>
        <v>18</v>
      </c>
      <c r="AA83" s="8">
        <f t="shared" si="12"/>
        <v>9</v>
      </c>
      <c r="AB83" s="8">
        <f t="shared" si="12"/>
        <v>26</v>
      </c>
      <c r="AC83" s="8">
        <f t="shared" si="12"/>
        <v>12</v>
      </c>
      <c r="AD83" s="8">
        <f t="shared" si="12"/>
        <v>0</v>
      </c>
      <c r="AE83" s="8">
        <f t="shared" si="12"/>
        <v>0</v>
      </c>
      <c r="AF83" s="8">
        <f t="shared" si="12"/>
        <v>5</v>
      </c>
      <c r="AG83" s="5">
        <f t="shared" si="5"/>
        <v>283</v>
      </c>
    </row>
    <row r="84" spans="1:34" ht="15.75" customHeight="1" thickBot="1" x14ac:dyDescent="0.3">
      <c r="A84" s="67" t="s">
        <v>32</v>
      </c>
      <c r="B84" s="14">
        <f t="shared" ref="B84:AF84" si="13">SUM(B85:B86)</f>
        <v>3</v>
      </c>
      <c r="C84" s="14">
        <f t="shared" si="13"/>
        <v>2</v>
      </c>
      <c r="D84" s="14">
        <f t="shared" si="13"/>
        <v>10</v>
      </c>
      <c r="E84" s="14">
        <f t="shared" si="13"/>
        <v>5</v>
      </c>
      <c r="F84" s="14">
        <f t="shared" si="13"/>
        <v>11</v>
      </c>
      <c r="G84" s="14">
        <f t="shared" si="13"/>
        <v>12</v>
      </c>
      <c r="H84" s="14">
        <f t="shared" si="13"/>
        <v>4</v>
      </c>
      <c r="I84" s="14">
        <f t="shared" si="13"/>
        <v>4</v>
      </c>
      <c r="J84" s="14">
        <f t="shared" si="13"/>
        <v>4</v>
      </c>
      <c r="K84" s="14">
        <f t="shared" si="13"/>
        <v>17</v>
      </c>
      <c r="L84" s="14">
        <f t="shared" si="13"/>
        <v>4</v>
      </c>
      <c r="M84" s="14">
        <f t="shared" si="13"/>
        <v>20</v>
      </c>
      <c r="N84" s="14">
        <f t="shared" si="13"/>
        <v>2</v>
      </c>
      <c r="O84" s="14">
        <f t="shared" si="13"/>
        <v>1</v>
      </c>
      <c r="P84" s="14">
        <f t="shared" si="13"/>
        <v>4</v>
      </c>
      <c r="Q84" s="14">
        <f t="shared" si="13"/>
        <v>5</v>
      </c>
      <c r="R84" s="14">
        <f t="shared" si="13"/>
        <v>29</v>
      </c>
      <c r="S84" s="14">
        <f t="shared" si="13"/>
        <v>18</v>
      </c>
      <c r="T84" s="14">
        <f t="shared" si="13"/>
        <v>10</v>
      </c>
      <c r="U84" s="14">
        <f t="shared" si="13"/>
        <v>12</v>
      </c>
      <c r="V84" s="14">
        <f t="shared" si="13"/>
        <v>13</v>
      </c>
      <c r="W84" s="14">
        <f t="shared" si="13"/>
        <v>8</v>
      </c>
      <c r="X84" s="14">
        <f t="shared" si="13"/>
        <v>23</v>
      </c>
      <c r="Y84" s="14">
        <f t="shared" si="13"/>
        <v>8</v>
      </c>
      <c r="Z84" s="14">
        <f t="shared" si="13"/>
        <v>18</v>
      </c>
      <c r="AA84" s="14">
        <f t="shared" si="13"/>
        <v>9</v>
      </c>
      <c r="AB84" s="14">
        <f t="shared" si="13"/>
        <v>26</v>
      </c>
      <c r="AC84" s="14">
        <f t="shared" si="13"/>
        <v>12</v>
      </c>
      <c r="AD84" s="14">
        <f t="shared" si="13"/>
        <v>2</v>
      </c>
      <c r="AE84" s="14">
        <f t="shared" si="13"/>
        <v>4</v>
      </c>
      <c r="AF84" s="14">
        <f t="shared" si="13"/>
        <v>5</v>
      </c>
      <c r="AG84" s="15">
        <f t="shared" si="5"/>
        <v>305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1</v>
      </c>
      <c r="C85" s="69">
        <v>0</v>
      </c>
      <c r="D85" s="69">
        <v>0</v>
      </c>
      <c r="E85" s="69">
        <v>0</v>
      </c>
      <c r="F85" s="69">
        <v>1</v>
      </c>
      <c r="G85" s="69">
        <v>3</v>
      </c>
      <c r="H85" s="69">
        <v>0</v>
      </c>
      <c r="I85" s="69">
        <v>1</v>
      </c>
      <c r="J85" s="69">
        <v>0</v>
      </c>
      <c r="K85" s="69">
        <v>3</v>
      </c>
      <c r="L85" s="69">
        <v>0</v>
      </c>
      <c r="M85" s="69">
        <v>6</v>
      </c>
      <c r="N85" s="69">
        <v>0</v>
      </c>
      <c r="O85" s="69">
        <v>0</v>
      </c>
      <c r="P85" s="69">
        <v>0</v>
      </c>
      <c r="Q85" s="69">
        <v>3</v>
      </c>
      <c r="R85" s="69">
        <v>8</v>
      </c>
      <c r="S85" s="69">
        <v>4</v>
      </c>
      <c r="T85" s="69">
        <v>1</v>
      </c>
      <c r="U85" s="69">
        <v>2</v>
      </c>
      <c r="V85" s="69">
        <v>3</v>
      </c>
      <c r="W85" s="69">
        <v>2</v>
      </c>
      <c r="X85" s="69">
        <v>8</v>
      </c>
      <c r="Y85" s="69">
        <v>1</v>
      </c>
      <c r="Z85" s="69">
        <v>4</v>
      </c>
      <c r="AA85" s="69">
        <v>2</v>
      </c>
      <c r="AB85" s="69">
        <v>7</v>
      </c>
      <c r="AC85" s="69">
        <v>1</v>
      </c>
      <c r="AD85" s="69">
        <v>0</v>
      </c>
      <c r="AE85" s="69">
        <v>0</v>
      </c>
      <c r="AF85" s="69">
        <v>2</v>
      </c>
      <c r="AG85" s="16">
        <f t="shared" si="5"/>
        <v>63</v>
      </c>
    </row>
    <row r="86" spans="1:34" ht="15.75" customHeight="1" thickBot="1" x14ac:dyDescent="0.3">
      <c r="A86" s="70" t="s">
        <v>34</v>
      </c>
      <c r="B86" s="71">
        <v>2</v>
      </c>
      <c r="C86" s="71">
        <v>2</v>
      </c>
      <c r="D86" s="71">
        <v>10</v>
      </c>
      <c r="E86" s="71">
        <v>5</v>
      </c>
      <c r="F86" s="71">
        <v>10</v>
      </c>
      <c r="G86" s="71">
        <v>9</v>
      </c>
      <c r="H86" s="71">
        <v>4</v>
      </c>
      <c r="I86" s="71">
        <v>3</v>
      </c>
      <c r="J86" s="71">
        <v>4</v>
      </c>
      <c r="K86" s="71">
        <v>14</v>
      </c>
      <c r="L86" s="71">
        <v>4</v>
      </c>
      <c r="M86" s="71">
        <v>14</v>
      </c>
      <c r="N86" s="71">
        <v>2</v>
      </c>
      <c r="O86" s="71">
        <v>1</v>
      </c>
      <c r="P86" s="71">
        <v>4</v>
      </c>
      <c r="Q86" s="71">
        <v>2</v>
      </c>
      <c r="R86" s="71">
        <v>21</v>
      </c>
      <c r="S86" s="71">
        <v>14</v>
      </c>
      <c r="T86" s="71">
        <v>9</v>
      </c>
      <c r="U86" s="71">
        <v>10</v>
      </c>
      <c r="V86" s="71">
        <v>10</v>
      </c>
      <c r="W86" s="71">
        <v>6</v>
      </c>
      <c r="X86" s="71">
        <v>15</v>
      </c>
      <c r="Y86" s="71">
        <v>7</v>
      </c>
      <c r="Z86" s="71">
        <v>14</v>
      </c>
      <c r="AA86" s="71">
        <v>7</v>
      </c>
      <c r="AB86" s="71">
        <v>19</v>
      </c>
      <c r="AC86" s="71">
        <v>11</v>
      </c>
      <c r="AD86" s="71">
        <v>2</v>
      </c>
      <c r="AE86" s="71">
        <v>4</v>
      </c>
      <c r="AF86" s="71">
        <v>3</v>
      </c>
      <c r="AG86" s="17">
        <f t="shared" si="5"/>
        <v>242</v>
      </c>
    </row>
    <row r="87" spans="1:34" ht="15.75" customHeight="1" thickBot="1" x14ac:dyDescent="0.3">
      <c r="A87" s="72" t="s">
        <v>35</v>
      </c>
      <c r="B87" s="18">
        <f t="shared" ref="B87:AF87" si="14">SUM(B88:B92)</f>
        <v>3</v>
      </c>
      <c r="C87" s="18">
        <f t="shared" si="14"/>
        <v>2</v>
      </c>
      <c r="D87" s="18">
        <f t="shared" si="14"/>
        <v>10</v>
      </c>
      <c r="E87" s="18">
        <f t="shared" si="14"/>
        <v>5</v>
      </c>
      <c r="F87" s="18">
        <f t="shared" si="14"/>
        <v>11</v>
      </c>
      <c r="G87" s="18">
        <f t="shared" si="14"/>
        <v>12</v>
      </c>
      <c r="H87" s="18">
        <f t="shared" si="14"/>
        <v>4</v>
      </c>
      <c r="I87" s="18">
        <f t="shared" si="14"/>
        <v>4</v>
      </c>
      <c r="J87" s="18">
        <f t="shared" si="14"/>
        <v>4</v>
      </c>
      <c r="K87" s="18">
        <f t="shared" si="14"/>
        <v>17</v>
      </c>
      <c r="L87" s="18">
        <f t="shared" si="14"/>
        <v>4</v>
      </c>
      <c r="M87" s="18">
        <f t="shared" si="14"/>
        <v>20</v>
      </c>
      <c r="N87" s="18">
        <f t="shared" si="14"/>
        <v>2</v>
      </c>
      <c r="O87" s="18">
        <f t="shared" si="14"/>
        <v>1</v>
      </c>
      <c r="P87" s="18">
        <f t="shared" si="14"/>
        <v>4</v>
      </c>
      <c r="Q87" s="18">
        <f t="shared" si="14"/>
        <v>5</v>
      </c>
      <c r="R87" s="18">
        <f t="shared" si="14"/>
        <v>29</v>
      </c>
      <c r="S87" s="18">
        <f t="shared" si="14"/>
        <v>18</v>
      </c>
      <c r="T87" s="18">
        <f t="shared" si="14"/>
        <v>10</v>
      </c>
      <c r="U87" s="18">
        <f t="shared" si="14"/>
        <v>12</v>
      </c>
      <c r="V87" s="18">
        <f t="shared" si="14"/>
        <v>13</v>
      </c>
      <c r="W87" s="18">
        <f t="shared" si="14"/>
        <v>8</v>
      </c>
      <c r="X87" s="18">
        <f t="shared" si="14"/>
        <v>23</v>
      </c>
      <c r="Y87" s="18">
        <f t="shared" si="14"/>
        <v>8</v>
      </c>
      <c r="Z87" s="18">
        <f t="shared" si="14"/>
        <v>18</v>
      </c>
      <c r="AA87" s="18">
        <f t="shared" si="14"/>
        <v>9</v>
      </c>
      <c r="AB87" s="18">
        <f t="shared" si="14"/>
        <v>26</v>
      </c>
      <c r="AC87" s="18">
        <f t="shared" si="14"/>
        <v>12</v>
      </c>
      <c r="AD87" s="18">
        <f t="shared" si="14"/>
        <v>2</v>
      </c>
      <c r="AE87" s="18">
        <f t="shared" si="14"/>
        <v>4</v>
      </c>
      <c r="AF87" s="18">
        <f t="shared" si="14"/>
        <v>5</v>
      </c>
      <c r="AG87" s="19">
        <f t="shared" si="5"/>
        <v>305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1</v>
      </c>
      <c r="C88" s="60">
        <v>1</v>
      </c>
      <c r="D88" s="60">
        <v>4</v>
      </c>
      <c r="E88" s="60">
        <v>2</v>
      </c>
      <c r="F88" s="60">
        <v>4</v>
      </c>
      <c r="G88" s="60">
        <v>3</v>
      </c>
      <c r="H88" s="60">
        <v>1</v>
      </c>
      <c r="I88" s="60">
        <v>2</v>
      </c>
      <c r="J88" s="60">
        <v>0</v>
      </c>
      <c r="K88" s="60">
        <v>2</v>
      </c>
      <c r="L88" s="60">
        <v>1</v>
      </c>
      <c r="M88" s="60">
        <v>5</v>
      </c>
      <c r="N88" s="60">
        <v>0</v>
      </c>
      <c r="O88" s="60">
        <v>0</v>
      </c>
      <c r="P88" s="60">
        <v>1</v>
      </c>
      <c r="Q88" s="60">
        <v>4</v>
      </c>
      <c r="R88" s="60">
        <v>4</v>
      </c>
      <c r="S88" s="60">
        <v>4</v>
      </c>
      <c r="T88" s="60">
        <v>3</v>
      </c>
      <c r="U88" s="60">
        <v>2</v>
      </c>
      <c r="V88" s="60">
        <v>4</v>
      </c>
      <c r="W88" s="60">
        <v>5</v>
      </c>
      <c r="X88" s="60">
        <v>3</v>
      </c>
      <c r="Y88" s="60">
        <v>2</v>
      </c>
      <c r="Z88" s="60">
        <v>1</v>
      </c>
      <c r="AA88" s="60">
        <v>3</v>
      </c>
      <c r="AB88" s="60">
        <v>7</v>
      </c>
      <c r="AC88" s="60">
        <v>3</v>
      </c>
      <c r="AD88" s="60">
        <v>1</v>
      </c>
      <c r="AE88" s="60">
        <v>3</v>
      </c>
      <c r="AF88" s="60">
        <v>2</v>
      </c>
      <c r="AG88" s="4">
        <f t="shared" si="5"/>
        <v>78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1</v>
      </c>
      <c r="T90" s="60">
        <v>0</v>
      </c>
      <c r="U90" s="60">
        <v>0</v>
      </c>
      <c r="V90" s="60">
        <v>0</v>
      </c>
      <c r="W90" s="60">
        <v>0</v>
      </c>
      <c r="X90" s="60">
        <v>1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>
        <v>0</v>
      </c>
      <c r="AG90" s="5">
        <f t="shared" si="5"/>
        <v>2</v>
      </c>
    </row>
    <row r="91" spans="1:34" ht="15.75" customHeight="1" x14ac:dyDescent="0.25">
      <c r="A91" s="74" t="s">
        <v>39</v>
      </c>
      <c r="B91" s="60">
        <v>2</v>
      </c>
      <c r="C91" s="60">
        <v>0</v>
      </c>
      <c r="D91" s="60">
        <v>3</v>
      </c>
      <c r="E91" s="60">
        <v>1</v>
      </c>
      <c r="F91" s="60">
        <v>4</v>
      </c>
      <c r="G91" s="60">
        <v>7</v>
      </c>
      <c r="H91" s="60">
        <v>2</v>
      </c>
      <c r="I91" s="60">
        <v>2</v>
      </c>
      <c r="J91" s="60">
        <v>1</v>
      </c>
      <c r="K91" s="60">
        <v>9</v>
      </c>
      <c r="L91" s="60">
        <v>1</v>
      </c>
      <c r="M91" s="60">
        <v>13</v>
      </c>
      <c r="N91" s="60">
        <v>0</v>
      </c>
      <c r="O91" s="60">
        <v>1</v>
      </c>
      <c r="P91" s="60">
        <v>3</v>
      </c>
      <c r="Q91" s="60">
        <v>1</v>
      </c>
      <c r="R91" s="60">
        <v>11</v>
      </c>
      <c r="S91" s="60">
        <v>11</v>
      </c>
      <c r="T91" s="60">
        <v>4</v>
      </c>
      <c r="U91" s="60">
        <v>10</v>
      </c>
      <c r="V91" s="60">
        <v>9</v>
      </c>
      <c r="W91" s="60">
        <v>2</v>
      </c>
      <c r="X91" s="60">
        <v>14</v>
      </c>
      <c r="Y91" s="60">
        <v>5</v>
      </c>
      <c r="Z91" s="60">
        <v>13</v>
      </c>
      <c r="AA91" s="60">
        <v>3</v>
      </c>
      <c r="AB91" s="60">
        <v>15</v>
      </c>
      <c r="AC91" s="60">
        <v>3</v>
      </c>
      <c r="AD91" s="60">
        <v>1</v>
      </c>
      <c r="AE91" s="60">
        <v>0</v>
      </c>
      <c r="AF91" s="60">
        <v>2</v>
      </c>
      <c r="AG91" s="5">
        <f t="shared" si="5"/>
        <v>153</v>
      </c>
    </row>
    <row r="92" spans="1:34" ht="15.75" customHeight="1" thickBot="1" x14ac:dyDescent="0.3">
      <c r="A92" s="74" t="s">
        <v>40</v>
      </c>
      <c r="B92" s="60">
        <v>0</v>
      </c>
      <c r="C92" s="60">
        <v>1</v>
      </c>
      <c r="D92" s="60">
        <v>3</v>
      </c>
      <c r="E92" s="60">
        <v>2</v>
      </c>
      <c r="F92" s="60">
        <v>3</v>
      </c>
      <c r="G92" s="60">
        <v>2</v>
      </c>
      <c r="H92" s="60">
        <v>1</v>
      </c>
      <c r="I92" s="60">
        <v>0</v>
      </c>
      <c r="J92" s="60">
        <v>3</v>
      </c>
      <c r="K92" s="60">
        <v>6</v>
      </c>
      <c r="L92" s="60">
        <v>2</v>
      </c>
      <c r="M92" s="60">
        <v>2</v>
      </c>
      <c r="N92" s="60">
        <v>2</v>
      </c>
      <c r="O92" s="60">
        <v>0</v>
      </c>
      <c r="P92" s="60">
        <v>0</v>
      </c>
      <c r="Q92" s="60">
        <v>0</v>
      </c>
      <c r="R92" s="60">
        <v>14</v>
      </c>
      <c r="S92" s="60">
        <v>2</v>
      </c>
      <c r="T92" s="60">
        <v>3</v>
      </c>
      <c r="U92" s="60">
        <v>0</v>
      </c>
      <c r="V92" s="60">
        <v>0</v>
      </c>
      <c r="W92" s="60">
        <v>1</v>
      </c>
      <c r="X92" s="60">
        <v>5</v>
      </c>
      <c r="Y92" s="60">
        <v>1</v>
      </c>
      <c r="Z92" s="60">
        <v>4</v>
      </c>
      <c r="AA92" s="60">
        <v>3</v>
      </c>
      <c r="AB92" s="60">
        <v>4</v>
      </c>
      <c r="AC92" s="60">
        <v>6</v>
      </c>
      <c r="AD92" s="60">
        <v>0</v>
      </c>
      <c r="AE92" s="60">
        <v>1</v>
      </c>
      <c r="AF92" s="60">
        <v>1</v>
      </c>
      <c r="AG92" s="5">
        <f t="shared" si="5"/>
        <v>72</v>
      </c>
    </row>
    <row r="93" spans="1:34" ht="15.75" customHeight="1" x14ac:dyDescent="0.25">
      <c r="A93" s="75" t="s">
        <v>41</v>
      </c>
      <c r="B93" s="20">
        <f t="shared" ref="B93:AF93" si="15">+B94+B100</f>
        <v>152</v>
      </c>
      <c r="C93" s="20">
        <f t="shared" si="15"/>
        <v>153</v>
      </c>
      <c r="D93" s="20">
        <f t="shared" si="15"/>
        <v>139</v>
      </c>
      <c r="E93" s="20">
        <f t="shared" si="15"/>
        <v>96</v>
      </c>
      <c r="F93" s="20">
        <f t="shared" si="15"/>
        <v>105</v>
      </c>
      <c r="G93" s="20">
        <f t="shared" si="15"/>
        <v>104</v>
      </c>
      <c r="H93" s="20">
        <f t="shared" si="15"/>
        <v>99</v>
      </c>
      <c r="I93" s="20">
        <f t="shared" si="15"/>
        <v>148</v>
      </c>
      <c r="J93" s="20">
        <f t="shared" si="15"/>
        <v>158</v>
      </c>
      <c r="K93" s="20">
        <f t="shared" si="15"/>
        <v>102</v>
      </c>
      <c r="L93" s="20">
        <f t="shared" si="15"/>
        <v>129</v>
      </c>
      <c r="M93" s="20">
        <f t="shared" si="15"/>
        <v>108</v>
      </c>
      <c r="N93" s="20">
        <f t="shared" si="15"/>
        <v>98</v>
      </c>
      <c r="O93" s="20">
        <f t="shared" si="15"/>
        <v>109</v>
      </c>
      <c r="P93" s="20">
        <f t="shared" si="15"/>
        <v>161</v>
      </c>
      <c r="Q93" s="20">
        <f t="shared" si="15"/>
        <v>157</v>
      </c>
      <c r="R93" s="20">
        <f t="shared" si="15"/>
        <v>134</v>
      </c>
      <c r="S93" s="20">
        <f t="shared" si="15"/>
        <v>138</v>
      </c>
      <c r="T93" s="20">
        <f t="shared" si="15"/>
        <v>131</v>
      </c>
      <c r="U93" s="20">
        <f t="shared" si="15"/>
        <v>108</v>
      </c>
      <c r="V93" s="20">
        <f t="shared" si="15"/>
        <v>116</v>
      </c>
      <c r="W93" s="20">
        <f t="shared" si="15"/>
        <v>166</v>
      </c>
      <c r="X93" s="20">
        <f t="shared" si="15"/>
        <v>168</v>
      </c>
      <c r="Y93" s="20">
        <f t="shared" si="15"/>
        <v>122</v>
      </c>
      <c r="Z93" s="20">
        <f t="shared" si="15"/>
        <v>114</v>
      </c>
      <c r="AA93" s="20">
        <f t="shared" si="15"/>
        <v>125</v>
      </c>
      <c r="AB93" s="20">
        <f t="shared" si="15"/>
        <v>110</v>
      </c>
      <c r="AC93" s="20">
        <f t="shared" si="15"/>
        <v>116</v>
      </c>
      <c r="AD93" s="20">
        <f t="shared" si="15"/>
        <v>165</v>
      </c>
      <c r="AE93" s="20">
        <f t="shared" si="15"/>
        <v>162</v>
      </c>
      <c r="AF93" s="20">
        <f t="shared" si="15"/>
        <v>126</v>
      </c>
      <c r="AG93" s="5">
        <f t="shared" si="5"/>
        <v>4019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11</v>
      </c>
      <c r="C94" s="21">
        <f t="shared" si="16"/>
        <v>8</v>
      </c>
      <c r="D94" s="21">
        <f t="shared" si="16"/>
        <v>10</v>
      </c>
      <c r="E94" s="21">
        <f t="shared" si="16"/>
        <v>3</v>
      </c>
      <c r="F94" s="21">
        <f t="shared" si="16"/>
        <v>13</v>
      </c>
      <c r="G94" s="21">
        <f t="shared" si="16"/>
        <v>16</v>
      </c>
      <c r="H94" s="21">
        <f t="shared" si="16"/>
        <v>7</v>
      </c>
      <c r="I94" s="21">
        <f t="shared" si="16"/>
        <v>10</v>
      </c>
      <c r="J94" s="21">
        <f t="shared" si="16"/>
        <v>18</v>
      </c>
      <c r="K94" s="21">
        <f t="shared" si="16"/>
        <v>9</v>
      </c>
      <c r="L94" s="21">
        <f t="shared" si="16"/>
        <v>18</v>
      </c>
      <c r="M94" s="21">
        <f t="shared" si="16"/>
        <v>12</v>
      </c>
      <c r="N94" s="21">
        <f t="shared" si="16"/>
        <v>13</v>
      </c>
      <c r="O94" s="21">
        <f t="shared" si="16"/>
        <v>22</v>
      </c>
      <c r="P94" s="21">
        <f t="shared" si="16"/>
        <v>30</v>
      </c>
      <c r="Q94" s="21">
        <f t="shared" si="16"/>
        <v>36</v>
      </c>
      <c r="R94" s="21">
        <f t="shared" si="16"/>
        <v>15</v>
      </c>
      <c r="S94" s="21">
        <f t="shared" si="16"/>
        <v>28</v>
      </c>
      <c r="T94" s="21">
        <f t="shared" si="16"/>
        <v>30</v>
      </c>
      <c r="U94" s="21">
        <f t="shared" si="16"/>
        <v>15</v>
      </c>
      <c r="V94" s="21">
        <f t="shared" si="16"/>
        <v>20</v>
      </c>
      <c r="W94" s="21">
        <f t="shared" si="16"/>
        <v>21</v>
      </c>
      <c r="X94" s="21">
        <f t="shared" si="16"/>
        <v>22</v>
      </c>
      <c r="Y94" s="21">
        <f t="shared" si="16"/>
        <v>19</v>
      </c>
      <c r="Z94" s="21">
        <f t="shared" si="16"/>
        <v>17</v>
      </c>
      <c r="AA94" s="21">
        <f t="shared" si="16"/>
        <v>20</v>
      </c>
      <c r="AB94" s="21">
        <f t="shared" si="16"/>
        <v>15</v>
      </c>
      <c r="AC94" s="21">
        <f t="shared" si="16"/>
        <v>15</v>
      </c>
      <c r="AD94" s="21">
        <f t="shared" si="16"/>
        <v>20</v>
      </c>
      <c r="AE94" s="21">
        <f t="shared" si="16"/>
        <v>24</v>
      </c>
      <c r="AF94" s="21">
        <f t="shared" si="16"/>
        <v>22</v>
      </c>
      <c r="AG94" s="5">
        <f t="shared" si="5"/>
        <v>539</v>
      </c>
    </row>
    <row r="95" spans="1:34" ht="15.75" customHeight="1" x14ac:dyDescent="0.25">
      <c r="A95" s="78" t="s">
        <v>43</v>
      </c>
      <c r="B95" s="54">
        <v>0</v>
      </c>
      <c r="C95" s="54">
        <v>0</v>
      </c>
      <c r="D95" s="54">
        <v>0</v>
      </c>
      <c r="E95" s="54">
        <v>0</v>
      </c>
      <c r="F95" s="54">
        <v>0</v>
      </c>
      <c r="G95" s="54">
        <v>0</v>
      </c>
      <c r="H95" s="54">
        <v>1</v>
      </c>
      <c r="I95" s="54">
        <v>0</v>
      </c>
      <c r="J95" s="54">
        <v>1</v>
      </c>
      <c r="K95" s="54">
        <v>1</v>
      </c>
      <c r="L95" s="54">
        <v>1</v>
      </c>
      <c r="M95" s="54">
        <v>0</v>
      </c>
      <c r="N95" s="54">
        <v>0</v>
      </c>
      <c r="O95" s="54">
        <v>1</v>
      </c>
      <c r="P95" s="54">
        <v>0</v>
      </c>
      <c r="Q95" s="54">
        <v>0</v>
      </c>
      <c r="R95" s="54">
        <v>1</v>
      </c>
      <c r="S95" s="54">
        <v>1</v>
      </c>
      <c r="T95" s="54">
        <v>1</v>
      </c>
      <c r="U95" s="54">
        <v>0</v>
      </c>
      <c r="V95" s="54">
        <v>0</v>
      </c>
      <c r="W95" s="54">
        <v>0</v>
      </c>
      <c r="X95" s="54">
        <v>1</v>
      </c>
      <c r="Y95" s="54">
        <v>2</v>
      </c>
      <c r="Z95" s="54">
        <v>1</v>
      </c>
      <c r="AA95" s="54">
        <v>0</v>
      </c>
      <c r="AB95" s="54">
        <v>0</v>
      </c>
      <c r="AC95" s="54">
        <v>0</v>
      </c>
      <c r="AD95" s="54">
        <v>1</v>
      </c>
      <c r="AE95" s="54">
        <v>0</v>
      </c>
      <c r="AF95" s="54">
        <v>2</v>
      </c>
      <c r="AG95" s="5">
        <f t="shared" si="5"/>
        <v>15</v>
      </c>
    </row>
    <row r="96" spans="1:34" ht="15.75" customHeight="1" x14ac:dyDescent="0.25">
      <c r="A96" s="79" t="s">
        <v>44</v>
      </c>
      <c r="B96" s="54">
        <v>0</v>
      </c>
      <c r="C96" s="54">
        <v>0</v>
      </c>
      <c r="D96" s="54">
        <v>1</v>
      </c>
      <c r="E96" s="54">
        <v>0</v>
      </c>
      <c r="F96" s="54">
        <v>1</v>
      </c>
      <c r="G96" s="54">
        <v>1</v>
      </c>
      <c r="H96" s="54">
        <v>0</v>
      </c>
      <c r="I96" s="54">
        <v>0</v>
      </c>
      <c r="J96" s="54">
        <v>1</v>
      </c>
      <c r="K96" s="54">
        <v>0</v>
      </c>
      <c r="L96" s="54">
        <v>0</v>
      </c>
      <c r="M96" s="54">
        <v>0</v>
      </c>
      <c r="N96" s="54">
        <v>0</v>
      </c>
      <c r="O96" s="54">
        <v>2</v>
      </c>
      <c r="P96" s="54">
        <v>0</v>
      </c>
      <c r="Q96" s="54">
        <v>1</v>
      </c>
      <c r="R96" s="54">
        <v>1</v>
      </c>
      <c r="S96" s="54">
        <v>2</v>
      </c>
      <c r="T96" s="54">
        <v>0</v>
      </c>
      <c r="U96" s="54">
        <v>0</v>
      </c>
      <c r="V96" s="54">
        <v>1</v>
      </c>
      <c r="W96" s="54">
        <v>1</v>
      </c>
      <c r="X96" s="54">
        <v>0</v>
      </c>
      <c r="Y96" s="54">
        <v>1</v>
      </c>
      <c r="Z96" s="54">
        <v>0</v>
      </c>
      <c r="AA96" s="54">
        <v>1</v>
      </c>
      <c r="AB96" s="54">
        <v>0</v>
      </c>
      <c r="AC96" s="54">
        <v>0</v>
      </c>
      <c r="AD96" s="54">
        <v>1</v>
      </c>
      <c r="AE96" s="54">
        <v>1</v>
      </c>
      <c r="AF96" s="54">
        <v>0</v>
      </c>
      <c r="AG96" s="5">
        <f t="shared" si="5"/>
        <v>16</v>
      </c>
    </row>
    <row r="97" spans="1:33" ht="15.75" customHeight="1" x14ac:dyDescent="0.25">
      <c r="A97" s="80" t="s">
        <v>45</v>
      </c>
      <c r="B97" s="54">
        <v>3</v>
      </c>
      <c r="C97" s="54">
        <v>1</v>
      </c>
      <c r="D97" s="54">
        <v>3</v>
      </c>
      <c r="E97" s="54">
        <v>1</v>
      </c>
      <c r="F97" s="54">
        <v>1</v>
      </c>
      <c r="G97" s="54">
        <v>0</v>
      </c>
      <c r="H97" s="54">
        <v>2</v>
      </c>
      <c r="I97" s="54">
        <v>3</v>
      </c>
      <c r="J97" s="54">
        <v>4</v>
      </c>
      <c r="K97" s="54">
        <v>1</v>
      </c>
      <c r="L97" s="54">
        <v>3</v>
      </c>
      <c r="M97" s="54">
        <v>0</v>
      </c>
      <c r="N97" s="54">
        <v>3</v>
      </c>
      <c r="O97" s="54">
        <v>4</v>
      </c>
      <c r="P97" s="54">
        <v>6</v>
      </c>
      <c r="Q97" s="54">
        <v>10</v>
      </c>
      <c r="R97" s="54">
        <v>1</v>
      </c>
      <c r="S97" s="54">
        <v>3</v>
      </c>
      <c r="T97" s="54">
        <v>5</v>
      </c>
      <c r="U97" s="54">
        <v>0</v>
      </c>
      <c r="V97" s="54">
        <v>5</v>
      </c>
      <c r="W97" s="54">
        <v>5</v>
      </c>
      <c r="X97" s="54">
        <v>5</v>
      </c>
      <c r="Y97" s="54">
        <v>2</v>
      </c>
      <c r="Z97" s="54">
        <v>1</v>
      </c>
      <c r="AA97" s="54">
        <v>5</v>
      </c>
      <c r="AB97" s="54">
        <v>5</v>
      </c>
      <c r="AC97" s="54">
        <v>4</v>
      </c>
      <c r="AD97" s="54">
        <v>5</v>
      </c>
      <c r="AE97" s="54">
        <v>4</v>
      </c>
      <c r="AF97" s="54">
        <v>3</v>
      </c>
      <c r="AG97" s="5">
        <f t="shared" si="5"/>
        <v>98</v>
      </c>
    </row>
    <row r="98" spans="1:33" ht="15.75" customHeight="1" x14ac:dyDescent="0.25">
      <c r="A98" s="81" t="s">
        <v>46</v>
      </c>
      <c r="B98" s="54">
        <v>3</v>
      </c>
      <c r="C98" s="54">
        <v>5</v>
      </c>
      <c r="D98" s="54">
        <v>2</v>
      </c>
      <c r="E98" s="54">
        <v>0</v>
      </c>
      <c r="F98" s="54">
        <v>7</v>
      </c>
      <c r="G98" s="54">
        <v>6</v>
      </c>
      <c r="H98" s="54">
        <v>2</v>
      </c>
      <c r="I98" s="54">
        <v>5</v>
      </c>
      <c r="J98" s="54">
        <v>6</v>
      </c>
      <c r="K98" s="54">
        <v>4</v>
      </c>
      <c r="L98" s="54">
        <v>4</v>
      </c>
      <c r="M98" s="54">
        <v>5</v>
      </c>
      <c r="N98" s="54">
        <v>7</v>
      </c>
      <c r="O98" s="54">
        <v>9</v>
      </c>
      <c r="P98" s="54">
        <v>16</v>
      </c>
      <c r="Q98" s="54">
        <v>12</v>
      </c>
      <c r="R98" s="54">
        <v>4</v>
      </c>
      <c r="S98" s="54">
        <v>10</v>
      </c>
      <c r="T98" s="54">
        <v>10</v>
      </c>
      <c r="U98" s="54">
        <v>7</v>
      </c>
      <c r="V98" s="54">
        <v>6</v>
      </c>
      <c r="W98" s="54">
        <v>9</v>
      </c>
      <c r="X98" s="54">
        <v>2</v>
      </c>
      <c r="Y98" s="54">
        <v>4</v>
      </c>
      <c r="Z98" s="54">
        <v>9</v>
      </c>
      <c r="AA98" s="54">
        <v>7</v>
      </c>
      <c r="AB98" s="54">
        <v>1</v>
      </c>
      <c r="AC98" s="54">
        <v>5</v>
      </c>
      <c r="AD98" s="54">
        <v>8</v>
      </c>
      <c r="AE98" s="54">
        <v>10</v>
      </c>
      <c r="AF98" s="54">
        <v>8</v>
      </c>
      <c r="AG98" s="5">
        <f t="shared" si="5"/>
        <v>193</v>
      </c>
    </row>
    <row r="99" spans="1:33" ht="15.75" customHeight="1" x14ac:dyDescent="0.25">
      <c r="A99" s="82" t="s">
        <v>47</v>
      </c>
      <c r="B99" s="54">
        <v>5</v>
      </c>
      <c r="C99" s="54">
        <v>2</v>
      </c>
      <c r="D99" s="54">
        <v>4</v>
      </c>
      <c r="E99" s="54">
        <v>2</v>
      </c>
      <c r="F99" s="54">
        <v>4</v>
      </c>
      <c r="G99" s="54">
        <v>9</v>
      </c>
      <c r="H99" s="54">
        <v>2</v>
      </c>
      <c r="I99" s="54">
        <v>2</v>
      </c>
      <c r="J99" s="54">
        <v>6</v>
      </c>
      <c r="K99" s="54">
        <v>3</v>
      </c>
      <c r="L99" s="54">
        <v>10</v>
      </c>
      <c r="M99" s="54">
        <v>7</v>
      </c>
      <c r="N99" s="54">
        <v>3</v>
      </c>
      <c r="O99" s="54">
        <v>6</v>
      </c>
      <c r="P99" s="54">
        <v>8</v>
      </c>
      <c r="Q99" s="54">
        <v>13</v>
      </c>
      <c r="R99" s="54">
        <v>8</v>
      </c>
      <c r="S99" s="54">
        <v>12</v>
      </c>
      <c r="T99" s="54">
        <v>14</v>
      </c>
      <c r="U99" s="54">
        <v>8</v>
      </c>
      <c r="V99" s="54">
        <v>8</v>
      </c>
      <c r="W99" s="54">
        <v>6</v>
      </c>
      <c r="X99" s="54">
        <v>14</v>
      </c>
      <c r="Y99" s="54">
        <v>10</v>
      </c>
      <c r="Z99" s="54">
        <v>6</v>
      </c>
      <c r="AA99" s="54">
        <v>7</v>
      </c>
      <c r="AB99" s="54">
        <v>9</v>
      </c>
      <c r="AC99" s="54">
        <v>6</v>
      </c>
      <c r="AD99" s="54">
        <v>5</v>
      </c>
      <c r="AE99" s="54">
        <v>9</v>
      </c>
      <c r="AF99" s="54">
        <v>9</v>
      </c>
      <c r="AG99" s="5">
        <f t="shared" ref="AG99:AG162" si="17">SUM(B99:AF99)</f>
        <v>217</v>
      </c>
    </row>
    <row r="100" spans="1:33" ht="15.75" customHeight="1" x14ac:dyDescent="0.25">
      <c r="A100" s="76" t="s">
        <v>48</v>
      </c>
      <c r="B100" s="21">
        <f t="shared" ref="B100:AF100" si="18">SUM(B101:B115)</f>
        <v>141</v>
      </c>
      <c r="C100" s="21">
        <f t="shared" si="18"/>
        <v>145</v>
      </c>
      <c r="D100" s="21">
        <f t="shared" si="18"/>
        <v>129</v>
      </c>
      <c r="E100" s="21">
        <f t="shared" si="18"/>
        <v>93</v>
      </c>
      <c r="F100" s="21">
        <f t="shared" si="18"/>
        <v>92</v>
      </c>
      <c r="G100" s="21">
        <f t="shared" si="18"/>
        <v>88</v>
      </c>
      <c r="H100" s="21">
        <f t="shared" si="18"/>
        <v>92</v>
      </c>
      <c r="I100" s="21">
        <f t="shared" si="18"/>
        <v>138</v>
      </c>
      <c r="J100" s="21">
        <f t="shared" si="18"/>
        <v>140</v>
      </c>
      <c r="K100" s="21">
        <f t="shared" si="18"/>
        <v>93</v>
      </c>
      <c r="L100" s="21">
        <f t="shared" si="18"/>
        <v>111</v>
      </c>
      <c r="M100" s="21">
        <f t="shared" si="18"/>
        <v>96</v>
      </c>
      <c r="N100" s="21">
        <f t="shared" si="18"/>
        <v>85</v>
      </c>
      <c r="O100" s="21">
        <f t="shared" si="18"/>
        <v>87</v>
      </c>
      <c r="P100" s="21">
        <f t="shared" si="18"/>
        <v>131</v>
      </c>
      <c r="Q100" s="21">
        <f t="shared" si="18"/>
        <v>121</v>
      </c>
      <c r="R100" s="21">
        <f t="shared" si="18"/>
        <v>119</v>
      </c>
      <c r="S100" s="21">
        <f t="shared" si="18"/>
        <v>110</v>
      </c>
      <c r="T100" s="21">
        <f t="shared" si="18"/>
        <v>101</v>
      </c>
      <c r="U100" s="21">
        <f t="shared" si="18"/>
        <v>93</v>
      </c>
      <c r="V100" s="21">
        <f t="shared" si="18"/>
        <v>96</v>
      </c>
      <c r="W100" s="21">
        <f t="shared" si="18"/>
        <v>145</v>
      </c>
      <c r="X100" s="21">
        <f t="shared" si="18"/>
        <v>146</v>
      </c>
      <c r="Y100" s="21">
        <f t="shared" si="18"/>
        <v>103</v>
      </c>
      <c r="Z100" s="21">
        <f t="shared" si="18"/>
        <v>97</v>
      </c>
      <c r="AA100" s="21">
        <f t="shared" si="18"/>
        <v>105</v>
      </c>
      <c r="AB100" s="21">
        <f t="shared" si="18"/>
        <v>95</v>
      </c>
      <c r="AC100" s="21">
        <f t="shared" si="18"/>
        <v>101</v>
      </c>
      <c r="AD100" s="21">
        <f t="shared" si="18"/>
        <v>145</v>
      </c>
      <c r="AE100" s="21">
        <f t="shared" si="18"/>
        <v>138</v>
      </c>
      <c r="AF100" s="21">
        <f t="shared" si="18"/>
        <v>104</v>
      </c>
      <c r="AG100" s="5">
        <f t="shared" si="17"/>
        <v>3480</v>
      </c>
    </row>
    <row r="101" spans="1:33" ht="15.75" customHeight="1" x14ac:dyDescent="0.25">
      <c r="A101" s="82" t="s">
        <v>49</v>
      </c>
      <c r="B101" s="54">
        <v>6</v>
      </c>
      <c r="C101" s="54">
        <v>5</v>
      </c>
      <c r="D101" s="54">
        <v>9</v>
      </c>
      <c r="E101" s="54">
        <v>6</v>
      </c>
      <c r="F101" s="54">
        <v>7</v>
      </c>
      <c r="G101" s="54">
        <v>7</v>
      </c>
      <c r="H101" s="54">
        <v>1</v>
      </c>
      <c r="I101" s="54">
        <v>5</v>
      </c>
      <c r="J101" s="54">
        <v>9</v>
      </c>
      <c r="K101" s="54">
        <v>9</v>
      </c>
      <c r="L101" s="54">
        <v>11</v>
      </c>
      <c r="M101" s="54">
        <v>4</v>
      </c>
      <c r="N101" s="54">
        <v>8</v>
      </c>
      <c r="O101" s="54">
        <v>5</v>
      </c>
      <c r="P101" s="54">
        <v>12</v>
      </c>
      <c r="Q101" s="54">
        <v>8</v>
      </c>
      <c r="R101" s="54">
        <v>15</v>
      </c>
      <c r="S101" s="54">
        <v>12</v>
      </c>
      <c r="T101" s="54">
        <v>4</v>
      </c>
      <c r="U101" s="54">
        <v>12</v>
      </c>
      <c r="V101" s="54">
        <v>8</v>
      </c>
      <c r="W101" s="54">
        <v>15</v>
      </c>
      <c r="X101" s="54">
        <v>13</v>
      </c>
      <c r="Y101" s="54">
        <v>16</v>
      </c>
      <c r="Z101" s="54">
        <v>18</v>
      </c>
      <c r="AA101" s="54">
        <v>13</v>
      </c>
      <c r="AB101" s="54">
        <v>8</v>
      </c>
      <c r="AC101" s="54">
        <v>7</v>
      </c>
      <c r="AD101" s="54">
        <v>14</v>
      </c>
      <c r="AE101" s="54">
        <v>12</v>
      </c>
      <c r="AF101" s="54">
        <v>7</v>
      </c>
      <c r="AG101" s="5">
        <f t="shared" si="17"/>
        <v>286</v>
      </c>
    </row>
    <row r="102" spans="1:33" ht="15.75" customHeight="1" x14ac:dyDescent="0.25">
      <c r="A102" s="82" t="s">
        <v>50</v>
      </c>
      <c r="B102" s="54">
        <v>17</v>
      </c>
      <c r="C102" s="54">
        <v>8</v>
      </c>
      <c r="D102" s="54">
        <v>9</v>
      </c>
      <c r="E102" s="54">
        <v>7</v>
      </c>
      <c r="F102" s="54">
        <v>5</v>
      </c>
      <c r="G102" s="54">
        <v>8</v>
      </c>
      <c r="H102" s="54">
        <v>3</v>
      </c>
      <c r="I102" s="54">
        <v>10</v>
      </c>
      <c r="J102" s="54">
        <v>7</v>
      </c>
      <c r="K102" s="54">
        <v>8</v>
      </c>
      <c r="L102" s="54">
        <v>8</v>
      </c>
      <c r="M102" s="54">
        <v>6</v>
      </c>
      <c r="N102" s="54">
        <v>7</v>
      </c>
      <c r="O102" s="54">
        <v>10</v>
      </c>
      <c r="P102" s="54">
        <v>10</v>
      </c>
      <c r="Q102" s="54">
        <v>10</v>
      </c>
      <c r="R102" s="54">
        <v>14</v>
      </c>
      <c r="S102" s="54">
        <v>14</v>
      </c>
      <c r="T102" s="54">
        <v>9</v>
      </c>
      <c r="U102" s="54">
        <v>5</v>
      </c>
      <c r="V102" s="54">
        <v>4</v>
      </c>
      <c r="W102" s="54">
        <v>7</v>
      </c>
      <c r="X102" s="54">
        <v>10</v>
      </c>
      <c r="Y102" s="54">
        <v>16</v>
      </c>
      <c r="Z102" s="54">
        <v>11</v>
      </c>
      <c r="AA102" s="54">
        <v>9</v>
      </c>
      <c r="AB102" s="54">
        <v>7</v>
      </c>
      <c r="AC102" s="54">
        <v>11</v>
      </c>
      <c r="AD102" s="54">
        <v>15</v>
      </c>
      <c r="AE102" s="54">
        <v>9</v>
      </c>
      <c r="AF102" s="54">
        <v>12</v>
      </c>
      <c r="AG102" s="5">
        <f t="shared" si="17"/>
        <v>286</v>
      </c>
    </row>
    <row r="103" spans="1:33" ht="15.75" customHeight="1" x14ac:dyDescent="0.25">
      <c r="A103" s="78" t="s">
        <v>51</v>
      </c>
      <c r="B103" s="54">
        <v>7</v>
      </c>
      <c r="C103" s="54">
        <v>16</v>
      </c>
      <c r="D103" s="54">
        <v>8</v>
      </c>
      <c r="E103" s="54">
        <v>9</v>
      </c>
      <c r="F103" s="54">
        <v>5</v>
      </c>
      <c r="G103" s="54">
        <v>8</v>
      </c>
      <c r="H103" s="54">
        <v>6</v>
      </c>
      <c r="I103" s="54">
        <v>6</v>
      </c>
      <c r="J103" s="54">
        <v>11</v>
      </c>
      <c r="K103" s="54">
        <v>6</v>
      </c>
      <c r="L103" s="54">
        <v>15</v>
      </c>
      <c r="M103" s="54">
        <v>12</v>
      </c>
      <c r="N103" s="54">
        <v>9</v>
      </c>
      <c r="O103" s="54">
        <v>7</v>
      </c>
      <c r="P103" s="54">
        <v>8</v>
      </c>
      <c r="Q103" s="54">
        <v>3</v>
      </c>
      <c r="R103" s="54">
        <v>10</v>
      </c>
      <c r="S103" s="54">
        <v>15</v>
      </c>
      <c r="T103" s="54">
        <v>9</v>
      </c>
      <c r="U103" s="54">
        <v>11</v>
      </c>
      <c r="V103" s="54">
        <v>5</v>
      </c>
      <c r="W103" s="54">
        <v>13</v>
      </c>
      <c r="X103" s="54">
        <v>12</v>
      </c>
      <c r="Y103" s="54">
        <v>11</v>
      </c>
      <c r="Z103" s="54">
        <v>6</v>
      </c>
      <c r="AA103" s="54">
        <v>10</v>
      </c>
      <c r="AB103" s="54">
        <v>4</v>
      </c>
      <c r="AC103" s="54">
        <v>3</v>
      </c>
      <c r="AD103" s="54">
        <v>9</v>
      </c>
      <c r="AE103" s="54">
        <v>9</v>
      </c>
      <c r="AF103" s="54">
        <v>8</v>
      </c>
      <c r="AG103" s="5">
        <f t="shared" si="17"/>
        <v>271</v>
      </c>
    </row>
    <row r="104" spans="1:33" ht="15.75" customHeight="1" x14ac:dyDescent="0.25">
      <c r="A104" s="78" t="s">
        <v>52</v>
      </c>
      <c r="B104" s="54">
        <v>12</v>
      </c>
      <c r="C104" s="54">
        <v>12</v>
      </c>
      <c r="D104" s="54">
        <v>10</v>
      </c>
      <c r="E104" s="54">
        <v>13</v>
      </c>
      <c r="F104" s="54">
        <v>9</v>
      </c>
      <c r="G104" s="54">
        <v>1</v>
      </c>
      <c r="H104" s="54">
        <v>3</v>
      </c>
      <c r="I104" s="54">
        <v>8</v>
      </c>
      <c r="J104" s="54">
        <v>8</v>
      </c>
      <c r="K104" s="54">
        <v>6</v>
      </c>
      <c r="L104" s="54">
        <v>11</v>
      </c>
      <c r="M104" s="54">
        <v>7</v>
      </c>
      <c r="N104" s="54">
        <v>2</v>
      </c>
      <c r="O104" s="54">
        <v>8</v>
      </c>
      <c r="P104" s="54">
        <v>14</v>
      </c>
      <c r="Q104" s="54">
        <v>11</v>
      </c>
      <c r="R104" s="54">
        <v>6</v>
      </c>
      <c r="S104" s="54">
        <v>6</v>
      </c>
      <c r="T104" s="54">
        <v>8</v>
      </c>
      <c r="U104" s="54">
        <v>10</v>
      </c>
      <c r="V104" s="54">
        <v>8</v>
      </c>
      <c r="W104" s="54">
        <v>13</v>
      </c>
      <c r="X104" s="54">
        <v>16</v>
      </c>
      <c r="Y104" s="54">
        <v>6</v>
      </c>
      <c r="Z104" s="54">
        <v>7</v>
      </c>
      <c r="AA104" s="54">
        <v>10</v>
      </c>
      <c r="AB104" s="54">
        <v>7</v>
      </c>
      <c r="AC104" s="54">
        <v>3</v>
      </c>
      <c r="AD104" s="54">
        <v>7</v>
      </c>
      <c r="AE104" s="54">
        <v>11</v>
      </c>
      <c r="AF104" s="54">
        <v>6</v>
      </c>
      <c r="AG104" s="5">
        <f t="shared" si="17"/>
        <v>259</v>
      </c>
    </row>
    <row r="105" spans="1:33" ht="15.75" customHeight="1" x14ac:dyDescent="0.25">
      <c r="A105" s="78" t="s">
        <v>53</v>
      </c>
      <c r="B105" s="54">
        <v>16</v>
      </c>
      <c r="C105" s="54">
        <v>14</v>
      </c>
      <c r="D105" s="54">
        <v>8</v>
      </c>
      <c r="E105" s="54">
        <v>6</v>
      </c>
      <c r="F105" s="54">
        <v>7</v>
      </c>
      <c r="G105" s="54">
        <v>12</v>
      </c>
      <c r="H105" s="54">
        <v>3</v>
      </c>
      <c r="I105" s="54">
        <v>18</v>
      </c>
      <c r="J105" s="54">
        <v>11</v>
      </c>
      <c r="K105" s="54">
        <v>8</v>
      </c>
      <c r="L105" s="54">
        <v>3</v>
      </c>
      <c r="M105" s="54">
        <v>6</v>
      </c>
      <c r="N105" s="54">
        <v>2</v>
      </c>
      <c r="O105" s="54">
        <v>4</v>
      </c>
      <c r="P105" s="54">
        <v>6</v>
      </c>
      <c r="Q105" s="54">
        <v>7</v>
      </c>
      <c r="R105" s="54">
        <v>10</v>
      </c>
      <c r="S105" s="54">
        <v>11</v>
      </c>
      <c r="T105" s="54">
        <v>10</v>
      </c>
      <c r="U105" s="54">
        <v>10</v>
      </c>
      <c r="V105" s="54">
        <v>7</v>
      </c>
      <c r="W105" s="54">
        <v>11</v>
      </c>
      <c r="X105" s="54">
        <v>6</v>
      </c>
      <c r="Y105" s="54">
        <v>8</v>
      </c>
      <c r="Z105" s="54">
        <v>5</v>
      </c>
      <c r="AA105" s="54">
        <v>6</v>
      </c>
      <c r="AB105" s="54">
        <v>5</v>
      </c>
      <c r="AC105" s="54">
        <v>6</v>
      </c>
      <c r="AD105" s="54">
        <v>8</v>
      </c>
      <c r="AE105" s="54">
        <v>11</v>
      </c>
      <c r="AF105" s="54">
        <v>5</v>
      </c>
      <c r="AG105" s="5">
        <f t="shared" si="17"/>
        <v>250</v>
      </c>
    </row>
    <row r="106" spans="1:33" ht="15.75" customHeight="1" x14ac:dyDescent="0.25">
      <c r="A106" s="78" t="s">
        <v>54</v>
      </c>
      <c r="B106" s="54">
        <v>8</v>
      </c>
      <c r="C106" s="54">
        <v>9</v>
      </c>
      <c r="D106" s="54">
        <v>2</v>
      </c>
      <c r="E106" s="54">
        <v>5</v>
      </c>
      <c r="F106" s="54">
        <v>4</v>
      </c>
      <c r="G106" s="54">
        <v>7</v>
      </c>
      <c r="H106" s="54">
        <v>9</v>
      </c>
      <c r="I106" s="54">
        <v>10</v>
      </c>
      <c r="J106" s="54">
        <v>11</v>
      </c>
      <c r="K106" s="54">
        <v>5</v>
      </c>
      <c r="L106" s="54">
        <v>10</v>
      </c>
      <c r="M106" s="54">
        <v>11</v>
      </c>
      <c r="N106" s="54">
        <v>7</v>
      </c>
      <c r="O106" s="54">
        <v>2</v>
      </c>
      <c r="P106" s="54">
        <v>8</v>
      </c>
      <c r="Q106" s="54">
        <v>7</v>
      </c>
      <c r="R106" s="54">
        <v>3</v>
      </c>
      <c r="S106" s="54">
        <v>13</v>
      </c>
      <c r="T106" s="54">
        <v>2</v>
      </c>
      <c r="U106" s="54">
        <v>6</v>
      </c>
      <c r="V106" s="54">
        <v>3</v>
      </c>
      <c r="W106" s="54">
        <v>5</v>
      </c>
      <c r="X106" s="54">
        <v>6</v>
      </c>
      <c r="Y106" s="54">
        <v>6</v>
      </c>
      <c r="Z106" s="54">
        <v>3</v>
      </c>
      <c r="AA106" s="54">
        <v>6</v>
      </c>
      <c r="AB106" s="54">
        <v>6</v>
      </c>
      <c r="AC106" s="54">
        <v>4</v>
      </c>
      <c r="AD106" s="54">
        <v>12</v>
      </c>
      <c r="AE106" s="54">
        <v>9</v>
      </c>
      <c r="AF106" s="54">
        <v>6</v>
      </c>
      <c r="AG106" s="5">
        <f t="shared" si="17"/>
        <v>205</v>
      </c>
    </row>
    <row r="107" spans="1:33" ht="15.75" customHeight="1" x14ac:dyDescent="0.25">
      <c r="A107" s="78" t="s">
        <v>55</v>
      </c>
      <c r="B107" s="54">
        <v>11</v>
      </c>
      <c r="C107" s="54">
        <v>10</v>
      </c>
      <c r="D107" s="54">
        <v>17</v>
      </c>
      <c r="E107" s="54">
        <v>7</v>
      </c>
      <c r="F107" s="54">
        <v>11</v>
      </c>
      <c r="G107" s="54">
        <v>10</v>
      </c>
      <c r="H107" s="54">
        <v>8</v>
      </c>
      <c r="I107" s="54">
        <v>14</v>
      </c>
      <c r="J107" s="54">
        <v>6</v>
      </c>
      <c r="K107" s="54">
        <v>7</v>
      </c>
      <c r="L107" s="54">
        <v>5</v>
      </c>
      <c r="M107" s="54">
        <v>4</v>
      </c>
      <c r="N107" s="54">
        <v>6</v>
      </c>
      <c r="O107" s="54">
        <v>7</v>
      </c>
      <c r="P107" s="54">
        <v>8</v>
      </c>
      <c r="Q107" s="54">
        <v>8</v>
      </c>
      <c r="R107" s="54">
        <v>7</v>
      </c>
      <c r="S107" s="54">
        <v>4</v>
      </c>
      <c r="T107" s="54">
        <v>9</v>
      </c>
      <c r="U107" s="54">
        <v>3</v>
      </c>
      <c r="V107" s="54">
        <v>10</v>
      </c>
      <c r="W107" s="54">
        <v>8</v>
      </c>
      <c r="X107" s="54">
        <v>7</v>
      </c>
      <c r="Y107" s="54">
        <v>6</v>
      </c>
      <c r="Z107" s="54">
        <v>9</v>
      </c>
      <c r="AA107" s="54">
        <v>7</v>
      </c>
      <c r="AB107" s="54">
        <v>8</v>
      </c>
      <c r="AC107" s="54">
        <v>11</v>
      </c>
      <c r="AD107" s="54">
        <v>11</v>
      </c>
      <c r="AE107" s="54">
        <v>9</v>
      </c>
      <c r="AF107" s="54">
        <v>7</v>
      </c>
      <c r="AG107" s="5">
        <f t="shared" si="17"/>
        <v>255</v>
      </c>
    </row>
    <row r="108" spans="1:33" ht="15.75" customHeight="1" x14ac:dyDescent="0.25">
      <c r="A108" s="78" t="s">
        <v>56</v>
      </c>
      <c r="B108" s="54">
        <v>11</v>
      </c>
      <c r="C108" s="54">
        <v>11</v>
      </c>
      <c r="D108" s="54">
        <v>9</v>
      </c>
      <c r="E108" s="54">
        <v>3</v>
      </c>
      <c r="F108" s="54">
        <v>3</v>
      </c>
      <c r="G108" s="54">
        <v>4</v>
      </c>
      <c r="H108" s="54">
        <v>8</v>
      </c>
      <c r="I108" s="54">
        <v>7</v>
      </c>
      <c r="J108" s="54">
        <v>16</v>
      </c>
      <c r="K108" s="54">
        <v>3</v>
      </c>
      <c r="L108" s="54">
        <v>9</v>
      </c>
      <c r="M108" s="54">
        <v>8</v>
      </c>
      <c r="N108" s="54">
        <v>9</v>
      </c>
      <c r="O108" s="54">
        <v>4</v>
      </c>
      <c r="P108" s="54">
        <v>6</v>
      </c>
      <c r="Q108" s="54">
        <v>12</v>
      </c>
      <c r="R108" s="54">
        <v>7</v>
      </c>
      <c r="S108" s="54">
        <v>4</v>
      </c>
      <c r="T108" s="54">
        <v>6</v>
      </c>
      <c r="U108" s="54">
        <v>7</v>
      </c>
      <c r="V108" s="54">
        <v>7</v>
      </c>
      <c r="W108" s="54">
        <v>15</v>
      </c>
      <c r="X108" s="54">
        <v>11</v>
      </c>
      <c r="Y108" s="54">
        <v>7</v>
      </c>
      <c r="Z108" s="54">
        <v>6</v>
      </c>
      <c r="AA108" s="54">
        <v>14</v>
      </c>
      <c r="AB108" s="54">
        <v>10</v>
      </c>
      <c r="AC108" s="54">
        <v>10</v>
      </c>
      <c r="AD108" s="54">
        <v>10</v>
      </c>
      <c r="AE108" s="54">
        <v>13</v>
      </c>
      <c r="AF108" s="54">
        <v>12</v>
      </c>
      <c r="AG108" s="5">
        <f t="shared" si="17"/>
        <v>262</v>
      </c>
    </row>
    <row r="109" spans="1:33" ht="15.75" customHeight="1" x14ac:dyDescent="0.25">
      <c r="A109" s="78" t="s">
        <v>57</v>
      </c>
      <c r="B109" s="54">
        <v>11</v>
      </c>
      <c r="C109" s="54">
        <v>9</v>
      </c>
      <c r="D109" s="54">
        <v>10</v>
      </c>
      <c r="E109" s="54">
        <v>8</v>
      </c>
      <c r="F109" s="54">
        <v>6</v>
      </c>
      <c r="G109" s="54">
        <v>4</v>
      </c>
      <c r="H109" s="54">
        <v>12</v>
      </c>
      <c r="I109" s="54">
        <v>13</v>
      </c>
      <c r="J109" s="54">
        <v>14</v>
      </c>
      <c r="K109" s="54">
        <v>5</v>
      </c>
      <c r="L109" s="54">
        <v>9</v>
      </c>
      <c r="M109" s="54">
        <v>4</v>
      </c>
      <c r="N109" s="54">
        <v>6</v>
      </c>
      <c r="O109" s="54">
        <v>9</v>
      </c>
      <c r="P109" s="54">
        <v>7</v>
      </c>
      <c r="Q109" s="54">
        <v>10</v>
      </c>
      <c r="R109" s="54">
        <v>11</v>
      </c>
      <c r="S109" s="54">
        <v>7</v>
      </c>
      <c r="T109" s="54">
        <v>12</v>
      </c>
      <c r="U109" s="54">
        <v>6</v>
      </c>
      <c r="V109" s="54">
        <v>10</v>
      </c>
      <c r="W109" s="54">
        <v>14</v>
      </c>
      <c r="X109" s="54">
        <v>15</v>
      </c>
      <c r="Y109" s="54">
        <v>5</v>
      </c>
      <c r="Z109" s="54">
        <v>4</v>
      </c>
      <c r="AA109" s="54">
        <v>5</v>
      </c>
      <c r="AB109" s="54">
        <v>9</v>
      </c>
      <c r="AC109" s="54">
        <v>8</v>
      </c>
      <c r="AD109" s="54">
        <v>11</v>
      </c>
      <c r="AE109" s="54">
        <v>15</v>
      </c>
      <c r="AF109" s="54">
        <v>6</v>
      </c>
      <c r="AG109" s="5">
        <f t="shared" si="17"/>
        <v>275</v>
      </c>
    </row>
    <row r="110" spans="1:33" ht="15.75" customHeight="1" x14ac:dyDescent="0.25">
      <c r="A110" s="78" t="s">
        <v>58</v>
      </c>
      <c r="B110" s="54">
        <v>13</v>
      </c>
      <c r="C110" s="54">
        <v>19</v>
      </c>
      <c r="D110" s="54">
        <v>17</v>
      </c>
      <c r="E110" s="54">
        <v>3</v>
      </c>
      <c r="F110" s="54">
        <v>11</v>
      </c>
      <c r="G110" s="54">
        <v>5</v>
      </c>
      <c r="H110" s="54">
        <v>7</v>
      </c>
      <c r="I110" s="54">
        <v>9</v>
      </c>
      <c r="J110" s="54">
        <v>12</v>
      </c>
      <c r="K110" s="54">
        <v>7</v>
      </c>
      <c r="L110" s="54">
        <v>8</v>
      </c>
      <c r="M110" s="54">
        <v>10</v>
      </c>
      <c r="N110" s="54">
        <v>7</v>
      </c>
      <c r="O110" s="54">
        <v>8</v>
      </c>
      <c r="P110" s="54">
        <v>11</v>
      </c>
      <c r="Q110" s="54">
        <v>10</v>
      </c>
      <c r="R110" s="54">
        <v>6</v>
      </c>
      <c r="S110" s="54">
        <v>5</v>
      </c>
      <c r="T110" s="54">
        <v>10</v>
      </c>
      <c r="U110" s="54">
        <v>6</v>
      </c>
      <c r="V110" s="54">
        <v>6</v>
      </c>
      <c r="W110" s="54">
        <v>16</v>
      </c>
      <c r="X110" s="54">
        <v>15</v>
      </c>
      <c r="Y110" s="54">
        <v>4</v>
      </c>
      <c r="Z110" s="54">
        <v>9</v>
      </c>
      <c r="AA110" s="54">
        <v>7</v>
      </c>
      <c r="AB110" s="54">
        <v>12</v>
      </c>
      <c r="AC110" s="54">
        <v>9</v>
      </c>
      <c r="AD110" s="54">
        <v>14</v>
      </c>
      <c r="AE110" s="54">
        <v>14</v>
      </c>
      <c r="AF110" s="54">
        <v>9</v>
      </c>
      <c r="AG110" s="5">
        <f t="shared" si="17"/>
        <v>299</v>
      </c>
    </row>
    <row r="111" spans="1:33" ht="15.75" customHeight="1" x14ac:dyDescent="0.25">
      <c r="A111" s="78" t="s">
        <v>59</v>
      </c>
      <c r="B111" s="54">
        <v>10</v>
      </c>
      <c r="C111" s="54">
        <v>10</v>
      </c>
      <c r="D111" s="54">
        <v>10</v>
      </c>
      <c r="E111" s="54">
        <v>7</v>
      </c>
      <c r="F111" s="54">
        <v>9</v>
      </c>
      <c r="G111" s="54">
        <v>7</v>
      </c>
      <c r="H111" s="54">
        <v>8</v>
      </c>
      <c r="I111" s="54">
        <v>8</v>
      </c>
      <c r="J111" s="54">
        <v>7</v>
      </c>
      <c r="K111" s="54">
        <v>6</v>
      </c>
      <c r="L111" s="54">
        <v>10</v>
      </c>
      <c r="M111" s="54">
        <v>5</v>
      </c>
      <c r="N111" s="54">
        <v>6</v>
      </c>
      <c r="O111" s="54">
        <v>8</v>
      </c>
      <c r="P111" s="54">
        <v>12</v>
      </c>
      <c r="Q111" s="54">
        <v>11</v>
      </c>
      <c r="R111" s="54">
        <v>10</v>
      </c>
      <c r="S111" s="54">
        <v>5</v>
      </c>
      <c r="T111" s="54">
        <v>5</v>
      </c>
      <c r="U111" s="54">
        <v>5</v>
      </c>
      <c r="V111" s="54">
        <v>9</v>
      </c>
      <c r="W111" s="54">
        <v>7</v>
      </c>
      <c r="X111" s="54">
        <v>9</v>
      </c>
      <c r="Y111" s="54">
        <v>7</v>
      </c>
      <c r="Z111" s="54">
        <v>6</v>
      </c>
      <c r="AA111" s="54">
        <v>5</v>
      </c>
      <c r="AB111" s="54">
        <v>4</v>
      </c>
      <c r="AC111" s="54">
        <v>7</v>
      </c>
      <c r="AD111" s="54">
        <v>12</v>
      </c>
      <c r="AE111" s="54">
        <v>7</v>
      </c>
      <c r="AF111" s="54">
        <v>9</v>
      </c>
      <c r="AG111" s="5">
        <f t="shared" si="17"/>
        <v>241</v>
      </c>
    </row>
    <row r="112" spans="1:33" ht="15.75" customHeight="1" x14ac:dyDescent="0.25">
      <c r="A112" s="78" t="s">
        <v>60</v>
      </c>
      <c r="B112" s="54">
        <v>5</v>
      </c>
      <c r="C112" s="54">
        <v>3</v>
      </c>
      <c r="D112" s="54">
        <v>5</v>
      </c>
      <c r="E112" s="54">
        <v>7</v>
      </c>
      <c r="F112" s="54">
        <v>6</v>
      </c>
      <c r="G112" s="54">
        <v>3</v>
      </c>
      <c r="H112" s="54">
        <v>9</v>
      </c>
      <c r="I112" s="54">
        <v>10</v>
      </c>
      <c r="J112" s="54">
        <v>12</v>
      </c>
      <c r="K112" s="54">
        <v>10</v>
      </c>
      <c r="L112" s="54">
        <v>1</v>
      </c>
      <c r="M112" s="54">
        <v>8</v>
      </c>
      <c r="N112" s="54">
        <v>6</v>
      </c>
      <c r="O112" s="54">
        <v>6</v>
      </c>
      <c r="P112" s="54">
        <v>12</v>
      </c>
      <c r="Q112" s="54">
        <v>12</v>
      </c>
      <c r="R112" s="54">
        <v>8</v>
      </c>
      <c r="S112" s="54">
        <v>5</v>
      </c>
      <c r="T112" s="54">
        <v>6</v>
      </c>
      <c r="U112" s="54">
        <v>3</v>
      </c>
      <c r="V112" s="54">
        <v>7</v>
      </c>
      <c r="W112" s="54">
        <v>8</v>
      </c>
      <c r="X112" s="54">
        <v>8</v>
      </c>
      <c r="Y112" s="54">
        <v>1</v>
      </c>
      <c r="Z112" s="54">
        <v>4</v>
      </c>
      <c r="AA112" s="54">
        <v>5</v>
      </c>
      <c r="AB112" s="54">
        <v>2</v>
      </c>
      <c r="AC112" s="54">
        <v>8</v>
      </c>
      <c r="AD112" s="54">
        <v>9</v>
      </c>
      <c r="AE112" s="54">
        <v>5</v>
      </c>
      <c r="AF112" s="54">
        <v>6</v>
      </c>
      <c r="AG112" s="5">
        <f t="shared" si="17"/>
        <v>200</v>
      </c>
    </row>
    <row r="113" spans="1:37" ht="15.75" customHeight="1" x14ac:dyDescent="0.25">
      <c r="A113" s="78" t="s">
        <v>61</v>
      </c>
      <c r="B113" s="54">
        <v>7</v>
      </c>
      <c r="C113" s="54">
        <v>8</v>
      </c>
      <c r="D113" s="54">
        <v>5</v>
      </c>
      <c r="E113" s="54">
        <v>8</v>
      </c>
      <c r="F113" s="54">
        <v>1</v>
      </c>
      <c r="G113" s="54">
        <v>6</v>
      </c>
      <c r="H113" s="54">
        <v>4</v>
      </c>
      <c r="I113" s="54">
        <v>6</v>
      </c>
      <c r="J113" s="54">
        <v>8</v>
      </c>
      <c r="K113" s="54">
        <v>6</v>
      </c>
      <c r="L113" s="54">
        <v>4</v>
      </c>
      <c r="M113" s="54">
        <v>6</v>
      </c>
      <c r="N113" s="54">
        <v>5</v>
      </c>
      <c r="O113" s="54">
        <v>2</v>
      </c>
      <c r="P113" s="54">
        <v>6</v>
      </c>
      <c r="Q113" s="54">
        <v>6</v>
      </c>
      <c r="R113" s="54">
        <v>2</v>
      </c>
      <c r="S113" s="54">
        <v>3</v>
      </c>
      <c r="T113" s="54">
        <v>5</v>
      </c>
      <c r="U113" s="54">
        <v>5</v>
      </c>
      <c r="V113" s="54">
        <v>6</v>
      </c>
      <c r="W113" s="54">
        <v>5</v>
      </c>
      <c r="X113" s="54">
        <v>7</v>
      </c>
      <c r="Y113" s="54">
        <v>1</v>
      </c>
      <c r="Z113" s="54">
        <v>0</v>
      </c>
      <c r="AA113" s="54">
        <v>1</v>
      </c>
      <c r="AB113" s="54">
        <v>5</v>
      </c>
      <c r="AC113" s="54">
        <v>4</v>
      </c>
      <c r="AD113" s="54">
        <v>2</v>
      </c>
      <c r="AE113" s="54">
        <v>3</v>
      </c>
      <c r="AF113" s="54">
        <v>2</v>
      </c>
      <c r="AG113" s="5">
        <f t="shared" si="17"/>
        <v>139</v>
      </c>
    </row>
    <row r="114" spans="1:37" ht="15.75" customHeight="1" x14ac:dyDescent="0.25">
      <c r="A114" s="78" t="s">
        <v>62</v>
      </c>
      <c r="B114" s="54">
        <v>7</v>
      </c>
      <c r="C114" s="54">
        <v>11</v>
      </c>
      <c r="D114" s="54">
        <v>10</v>
      </c>
      <c r="E114" s="54">
        <v>4</v>
      </c>
      <c r="F114" s="54">
        <v>8</v>
      </c>
      <c r="G114" s="54">
        <v>6</v>
      </c>
      <c r="H114" s="54">
        <v>11</v>
      </c>
      <c r="I114" s="54">
        <v>14</v>
      </c>
      <c r="J114" s="54">
        <v>8</v>
      </c>
      <c r="K114" s="54">
        <v>7</v>
      </c>
      <c r="L114" s="54">
        <v>7</v>
      </c>
      <c r="M114" s="54">
        <v>5</v>
      </c>
      <c r="N114" s="54">
        <v>5</v>
      </c>
      <c r="O114" s="54">
        <v>7</v>
      </c>
      <c r="P114" s="54">
        <v>11</v>
      </c>
      <c r="Q114" s="54">
        <v>6</v>
      </c>
      <c r="R114" s="54">
        <v>10</v>
      </c>
      <c r="S114" s="54">
        <v>6</v>
      </c>
      <c r="T114" s="54">
        <v>6</v>
      </c>
      <c r="U114" s="54">
        <v>4</v>
      </c>
      <c r="V114" s="54">
        <v>6</v>
      </c>
      <c r="W114" s="54">
        <v>8</v>
      </c>
      <c r="X114" s="54">
        <v>11</v>
      </c>
      <c r="Y114" s="54">
        <v>9</v>
      </c>
      <c r="Z114" s="54">
        <v>9</v>
      </c>
      <c r="AA114" s="54">
        <v>7</v>
      </c>
      <c r="AB114" s="54">
        <v>8</v>
      </c>
      <c r="AC114" s="54">
        <v>10</v>
      </c>
      <c r="AD114" s="54">
        <v>11</v>
      </c>
      <c r="AE114" s="54">
        <v>11</v>
      </c>
      <c r="AF114" s="54">
        <v>9</v>
      </c>
      <c r="AG114" s="5">
        <f t="shared" si="17"/>
        <v>252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39</v>
      </c>
      <c r="C116" s="20">
        <f t="shared" si="19"/>
        <v>41</v>
      </c>
      <c r="D116" s="20">
        <f t="shared" si="19"/>
        <v>37</v>
      </c>
      <c r="E116" s="20">
        <f t="shared" si="19"/>
        <v>35</v>
      </c>
      <c r="F116" s="20">
        <f t="shared" si="19"/>
        <v>32</v>
      </c>
      <c r="G116" s="20">
        <f t="shared" si="19"/>
        <v>34</v>
      </c>
      <c r="H116" s="20">
        <f t="shared" si="19"/>
        <v>34</v>
      </c>
      <c r="I116" s="20">
        <f t="shared" si="19"/>
        <v>45</v>
      </c>
      <c r="J116" s="20">
        <f t="shared" si="19"/>
        <v>44</v>
      </c>
      <c r="K116" s="20">
        <f t="shared" si="19"/>
        <v>35</v>
      </c>
      <c r="L116" s="20">
        <f t="shared" si="19"/>
        <v>31</v>
      </c>
      <c r="M116" s="20">
        <f t="shared" si="19"/>
        <v>28</v>
      </c>
      <c r="N116" s="20">
        <f t="shared" si="19"/>
        <v>14</v>
      </c>
      <c r="O116" s="20">
        <f t="shared" si="19"/>
        <v>26</v>
      </c>
      <c r="P116" s="20">
        <f t="shared" si="19"/>
        <v>42</v>
      </c>
      <c r="Q116" s="20">
        <f t="shared" si="19"/>
        <v>29</v>
      </c>
      <c r="R116" s="20">
        <f t="shared" si="19"/>
        <v>48</v>
      </c>
      <c r="S116" s="20">
        <f t="shared" si="19"/>
        <v>42</v>
      </c>
      <c r="T116" s="20">
        <f t="shared" si="19"/>
        <v>34</v>
      </c>
      <c r="U116" s="20">
        <f t="shared" si="19"/>
        <v>35</v>
      </c>
      <c r="V116" s="20">
        <f t="shared" si="19"/>
        <v>32</v>
      </c>
      <c r="W116" s="20">
        <f t="shared" si="19"/>
        <v>50</v>
      </c>
      <c r="X116" s="20">
        <f t="shared" si="19"/>
        <v>54</v>
      </c>
      <c r="Y116" s="20">
        <f t="shared" si="19"/>
        <v>34</v>
      </c>
      <c r="Z116" s="20">
        <f t="shared" si="19"/>
        <v>32</v>
      </c>
      <c r="AA116" s="20">
        <f t="shared" si="19"/>
        <v>50</v>
      </c>
      <c r="AB116" s="20">
        <f t="shared" si="19"/>
        <v>41</v>
      </c>
      <c r="AC116" s="20">
        <f t="shared" si="19"/>
        <v>40</v>
      </c>
      <c r="AD116" s="20">
        <f t="shared" si="19"/>
        <v>50</v>
      </c>
      <c r="AE116" s="20">
        <f t="shared" si="19"/>
        <v>43</v>
      </c>
      <c r="AF116" s="20">
        <f t="shared" si="19"/>
        <v>36</v>
      </c>
      <c r="AG116" s="5">
        <f t="shared" si="17"/>
        <v>1167</v>
      </c>
      <c r="AK116" s="84">
        <v>612</v>
      </c>
    </row>
    <row r="117" spans="1:37" ht="15.75" customHeight="1" x14ac:dyDescent="0.25">
      <c r="A117" s="85" t="s">
        <v>64</v>
      </c>
      <c r="B117" s="54">
        <v>36</v>
      </c>
      <c r="C117" s="54">
        <v>33</v>
      </c>
      <c r="D117" s="54">
        <v>33</v>
      </c>
      <c r="E117" s="54">
        <v>29</v>
      </c>
      <c r="F117" s="54">
        <v>23</v>
      </c>
      <c r="G117" s="54">
        <v>31</v>
      </c>
      <c r="H117" s="54">
        <v>30</v>
      </c>
      <c r="I117" s="54">
        <v>37</v>
      </c>
      <c r="J117" s="54">
        <v>37</v>
      </c>
      <c r="K117" s="54">
        <v>28</v>
      </c>
      <c r="L117" s="54">
        <v>26</v>
      </c>
      <c r="M117" s="54">
        <v>22</v>
      </c>
      <c r="N117" s="54">
        <v>11</v>
      </c>
      <c r="O117" s="54">
        <v>24</v>
      </c>
      <c r="P117" s="54">
        <v>36</v>
      </c>
      <c r="Q117" s="54">
        <v>22</v>
      </c>
      <c r="R117" s="54">
        <v>41</v>
      </c>
      <c r="S117" s="54">
        <v>34</v>
      </c>
      <c r="T117" s="54">
        <v>27</v>
      </c>
      <c r="U117" s="54">
        <v>31</v>
      </c>
      <c r="V117" s="54">
        <v>24</v>
      </c>
      <c r="W117" s="54">
        <v>37</v>
      </c>
      <c r="X117" s="54">
        <v>43</v>
      </c>
      <c r="Y117" s="54">
        <v>26</v>
      </c>
      <c r="Z117" s="54">
        <v>25</v>
      </c>
      <c r="AA117" s="54">
        <v>41</v>
      </c>
      <c r="AB117" s="54">
        <v>36</v>
      </c>
      <c r="AC117" s="54">
        <v>35</v>
      </c>
      <c r="AD117" s="54">
        <v>43</v>
      </c>
      <c r="AE117" s="54">
        <v>32</v>
      </c>
      <c r="AF117" s="54">
        <v>30</v>
      </c>
      <c r="AG117" s="5">
        <f t="shared" si="17"/>
        <v>963</v>
      </c>
      <c r="AK117" s="84">
        <v>613</v>
      </c>
    </row>
    <row r="118" spans="1:37" ht="15.75" customHeight="1" thickBot="1" x14ac:dyDescent="0.3">
      <c r="A118" s="86" t="s">
        <v>76</v>
      </c>
      <c r="B118" s="87">
        <v>3</v>
      </c>
      <c r="C118" s="87">
        <v>8</v>
      </c>
      <c r="D118" s="87">
        <v>4</v>
      </c>
      <c r="E118" s="87">
        <v>6</v>
      </c>
      <c r="F118" s="87">
        <v>9</v>
      </c>
      <c r="G118" s="87">
        <v>3</v>
      </c>
      <c r="H118" s="87">
        <v>4</v>
      </c>
      <c r="I118" s="87">
        <v>8</v>
      </c>
      <c r="J118" s="87">
        <v>7</v>
      </c>
      <c r="K118" s="87">
        <v>7</v>
      </c>
      <c r="L118" s="87">
        <v>5</v>
      </c>
      <c r="M118" s="87">
        <v>6</v>
      </c>
      <c r="N118" s="87">
        <v>3</v>
      </c>
      <c r="O118" s="87">
        <v>2</v>
      </c>
      <c r="P118" s="87">
        <v>6</v>
      </c>
      <c r="Q118" s="87">
        <v>7</v>
      </c>
      <c r="R118" s="87">
        <v>7</v>
      </c>
      <c r="S118" s="87">
        <v>8</v>
      </c>
      <c r="T118" s="87">
        <v>7</v>
      </c>
      <c r="U118" s="87">
        <v>4</v>
      </c>
      <c r="V118" s="87">
        <v>8</v>
      </c>
      <c r="W118" s="87">
        <v>13</v>
      </c>
      <c r="X118" s="87">
        <v>11</v>
      </c>
      <c r="Y118" s="87">
        <v>8</v>
      </c>
      <c r="Z118" s="87">
        <v>7</v>
      </c>
      <c r="AA118" s="87">
        <v>9</v>
      </c>
      <c r="AB118" s="87">
        <v>5</v>
      </c>
      <c r="AC118" s="87">
        <v>5</v>
      </c>
      <c r="AD118" s="87">
        <v>7</v>
      </c>
      <c r="AE118" s="87">
        <v>11</v>
      </c>
      <c r="AF118" s="87">
        <v>6</v>
      </c>
      <c r="AG118" s="5">
        <f t="shared" si="17"/>
        <v>204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152</v>
      </c>
      <c r="C119" s="20">
        <f t="shared" si="20"/>
        <v>153</v>
      </c>
      <c r="D119" s="20">
        <f t="shared" si="20"/>
        <v>139</v>
      </c>
      <c r="E119" s="20">
        <f t="shared" si="20"/>
        <v>96</v>
      </c>
      <c r="F119" s="20">
        <f t="shared" si="20"/>
        <v>105</v>
      </c>
      <c r="G119" s="20">
        <f t="shared" si="20"/>
        <v>104</v>
      </c>
      <c r="H119" s="20">
        <f t="shared" si="20"/>
        <v>99</v>
      </c>
      <c r="I119" s="20">
        <f t="shared" si="20"/>
        <v>148</v>
      </c>
      <c r="J119" s="20">
        <f t="shared" si="20"/>
        <v>158</v>
      </c>
      <c r="K119" s="20">
        <f t="shared" si="20"/>
        <v>102</v>
      </c>
      <c r="L119" s="20">
        <f t="shared" si="20"/>
        <v>129</v>
      </c>
      <c r="M119" s="20">
        <f t="shared" si="20"/>
        <v>108</v>
      </c>
      <c r="N119" s="20">
        <f t="shared" si="20"/>
        <v>98</v>
      </c>
      <c r="O119" s="20">
        <f t="shared" si="20"/>
        <v>109</v>
      </c>
      <c r="P119" s="20">
        <f t="shared" si="20"/>
        <v>161</v>
      </c>
      <c r="Q119" s="20">
        <f t="shared" si="20"/>
        <v>157</v>
      </c>
      <c r="R119" s="20">
        <f t="shared" si="20"/>
        <v>134</v>
      </c>
      <c r="S119" s="20">
        <f t="shared" si="20"/>
        <v>138</v>
      </c>
      <c r="T119" s="20">
        <f t="shared" si="20"/>
        <v>131</v>
      </c>
      <c r="U119" s="20">
        <f t="shared" si="20"/>
        <v>108</v>
      </c>
      <c r="V119" s="20">
        <f t="shared" si="20"/>
        <v>116</v>
      </c>
      <c r="W119" s="20">
        <f t="shared" si="20"/>
        <v>166</v>
      </c>
      <c r="X119" s="20">
        <f t="shared" si="20"/>
        <v>168</v>
      </c>
      <c r="Y119" s="20">
        <f t="shared" si="20"/>
        <v>122</v>
      </c>
      <c r="Z119" s="20">
        <f t="shared" si="20"/>
        <v>114</v>
      </c>
      <c r="AA119" s="20">
        <f t="shared" si="20"/>
        <v>125</v>
      </c>
      <c r="AB119" s="20">
        <f t="shared" si="20"/>
        <v>110</v>
      </c>
      <c r="AC119" s="20">
        <f t="shared" si="20"/>
        <v>116</v>
      </c>
      <c r="AD119" s="20">
        <f t="shared" si="20"/>
        <v>165</v>
      </c>
      <c r="AE119" s="20">
        <f t="shared" si="20"/>
        <v>162</v>
      </c>
      <c r="AF119" s="20">
        <f t="shared" si="20"/>
        <v>126</v>
      </c>
      <c r="AG119" s="7">
        <f t="shared" si="17"/>
        <v>4019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33</v>
      </c>
      <c r="C120" s="54">
        <v>32</v>
      </c>
      <c r="D120" s="54">
        <v>30</v>
      </c>
      <c r="E120" s="54">
        <v>27</v>
      </c>
      <c r="F120" s="54">
        <v>19</v>
      </c>
      <c r="G120" s="54">
        <v>28</v>
      </c>
      <c r="H120" s="54">
        <v>29</v>
      </c>
      <c r="I120" s="54">
        <v>35</v>
      </c>
      <c r="J120" s="54">
        <v>37</v>
      </c>
      <c r="K120" s="54">
        <v>25</v>
      </c>
      <c r="L120" s="54">
        <v>25</v>
      </c>
      <c r="M120" s="54">
        <v>18</v>
      </c>
      <c r="N120" s="54">
        <v>11</v>
      </c>
      <c r="O120" s="54">
        <v>24</v>
      </c>
      <c r="P120" s="54">
        <v>35</v>
      </c>
      <c r="Q120" s="54">
        <v>22</v>
      </c>
      <c r="R120" s="54">
        <v>34</v>
      </c>
      <c r="S120" s="54">
        <v>30</v>
      </c>
      <c r="T120" s="54">
        <v>26</v>
      </c>
      <c r="U120" s="54">
        <v>28</v>
      </c>
      <c r="V120" s="54">
        <v>22</v>
      </c>
      <c r="W120" s="54">
        <v>37</v>
      </c>
      <c r="X120" s="54">
        <v>40</v>
      </c>
      <c r="Y120" s="54">
        <v>26</v>
      </c>
      <c r="Z120" s="54">
        <v>23</v>
      </c>
      <c r="AA120" s="54">
        <v>38</v>
      </c>
      <c r="AB120" s="54">
        <v>31</v>
      </c>
      <c r="AC120" s="54">
        <v>31</v>
      </c>
      <c r="AD120" s="54">
        <v>42</v>
      </c>
      <c r="AE120" s="54">
        <v>32</v>
      </c>
      <c r="AF120" s="54">
        <v>30</v>
      </c>
      <c r="AG120" s="5">
        <f t="shared" si="17"/>
        <v>900</v>
      </c>
      <c r="AK120" s="88" t="s">
        <v>130</v>
      </c>
    </row>
    <row r="121" spans="1:37" ht="15.75" customHeight="1" x14ac:dyDescent="0.25">
      <c r="A121" s="85" t="s">
        <v>65</v>
      </c>
      <c r="B121" s="54">
        <v>2</v>
      </c>
      <c r="C121" s="54">
        <v>5</v>
      </c>
      <c r="D121" s="54">
        <v>5</v>
      </c>
      <c r="E121" s="54">
        <v>6</v>
      </c>
      <c r="F121" s="54">
        <v>3</v>
      </c>
      <c r="G121" s="54">
        <v>5</v>
      </c>
      <c r="H121" s="54">
        <v>3</v>
      </c>
      <c r="I121" s="54">
        <v>6</v>
      </c>
      <c r="J121" s="54">
        <v>7</v>
      </c>
      <c r="K121" s="54">
        <v>1</v>
      </c>
      <c r="L121" s="54">
        <v>5</v>
      </c>
      <c r="M121" s="54">
        <v>0</v>
      </c>
      <c r="N121" s="54">
        <v>6</v>
      </c>
      <c r="O121" s="54">
        <v>3</v>
      </c>
      <c r="P121" s="54">
        <v>0</v>
      </c>
      <c r="Q121" s="54">
        <v>2</v>
      </c>
      <c r="R121" s="54">
        <v>2</v>
      </c>
      <c r="S121" s="54">
        <v>3</v>
      </c>
      <c r="T121" s="54">
        <v>4</v>
      </c>
      <c r="U121" s="54">
        <v>1</v>
      </c>
      <c r="V121" s="54">
        <v>2</v>
      </c>
      <c r="W121" s="54">
        <v>1</v>
      </c>
      <c r="X121" s="54">
        <v>6</v>
      </c>
      <c r="Y121" s="54">
        <v>3</v>
      </c>
      <c r="Z121" s="54">
        <v>5</v>
      </c>
      <c r="AA121" s="54">
        <v>2</v>
      </c>
      <c r="AB121" s="54">
        <v>3</v>
      </c>
      <c r="AC121" s="54">
        <v>2</v>
      </c>
      <c r="AD121" s="54">
        <v>7</v>
      </c>
      <c r="AE121" s="54">
        <v>5</v>
      </c>
      <c r="AF121" s="54">
        <v>3</v>
      </c>
      <c r="AG121" s="5">
        <f t="shared" si="17"/>
        <v>108</v>
      </c>
      <c r="AK121" s="84" t="s">
        <v>131</v>
      </c>
    </row>
    <row r="122" spans="1:37" ht="15.75" customHeight="1" x14ac:dyDescent="0.25">
      <c r="A122" s="85" t="s">
        <v>66</v>
      </c>
      <c r="B122" s="54">
        <v>18</v>
      </c>
      <c r="C122" s="54">
        <v>16</v>
      </c>
      <c r="D122" s="54">
        <v>15</v>
      </c>
      <c r="E122" s="54">
        <v>3</v>
      </c>
      <c r="F122" s="54">
        <v>5</v>
      </c>
      <c r="G122" s="54">
        <v>7</v>
      </c>
      <c r="H122" s="54">
        <v>9</v>
      </c>
      <c r="I122" s="54">
        <v>11</v>
      </c>
      <c r="J122" s="54">
        <v>12</v>
      </c>
      <c r="K122" s="54">
        <v>7</v>
      </c>
      <c r="L122" s="54">
        <v>10</v>
      </c>
      <c r="M122" s="54">
        <v>7</v>
      </c>
      <c r="N122" s="54">
        <v>7</v>
      </c>
      <c r="O122" s="54">
        <v>8</v>
      </c>
      <c r="P122" s="54">
        <v>14</v>
      </c>
      <c r="Q122" s="54">
        <v>4</v>
      </c>
      <c r="R122" s="54">
        <v>12</v>
      </c>
      <c r="S122" s="54">
        <v>9</v>
      </c>
      <c r="T122" s="54">
        <v>7</v>
      </c>
      <c r="U122" s="54">
        <v>5</v>
      </c>
      <c r="V122" s="54">
        <v>8</v>
      </c>
      <c r="W122" s="54">
        <v>8</v>
      </c>
      <c r="X122" s="54">
        <v>6</v>
      </c>
      <c r="Y122" s="54">
        <v>5</v>
      </c>
      <c r="Z122" s="54">
        <v>6</v>
      </c>
      <c r="AA122" s="54">
        <v>2</v>
      </c>
      <c r="AB122" s="54">
        <v>4</v>
      </c>
      <c r="AC122" s="54">
        <v>8</v>
      </c>
      <c r="AD122" s="54">
        <v>6</v>
      </c>
      <c r="AE122" s="54">
        <v>10</v>
      </c>
      <c r="AF122" s="54">
        <v>8</v>
      </c>
      <c r="AG122" s="5">
        <f t="shared" si="17"/>
        <v>257</v>
      </c>
      <c r="AK122" s="88" t="s">
        <v>132</v>
      </c>
    </row>
    <row r="123" spans="1:37" ht="15.75" customHeight="1" x14ac:dyDescent="0.25">
      <c r="A123" s="85" t="s">
        <v>67</v>
      </c>
      <c r="B123" s="54">
        <v>5</v>
      </c>
      <c r="C123" s="54">
        <v>8</v>
      </c>
      <c r="D123" s="54">
        <v>6</v>
      </c>
      <c r="E123" s="54">
        <v>4</v>
      </c>
      <c r="F123" s="54">
        <v>7</v>
      </c>
      <c r="G123" s="54">
        <v>5</v>
      </c>
      <c r="H123" s="54">
        <v>0</v>
      </c>
      <c r="I123" s="54">
        <v>2</v>
      </c>
      <c r="J123" s="54">
        <v>7</v>
      </c>
      <c r="K123" s="54">
        <v>3</v>
      </c>
      <c r="L123" s="54">
        <v>8</v>
      </c>
      <c r="M123" s="54">
        <v>6</v>
      </c>
      <c r="N123" s="54">
        <v>4</v>
      </c>
      <c r="O123" s="54">
        <v>5</v>
      </c>
      <c r="P123" s="54">
        <v>9</v>
      </c>
      <c r="Q123" s="54">
        <v>6</v>
      </c>
      <c r="R123" s="54">
        <v>4</v>
      </c>
      <c r="S123" s="54">
        <v>5</v>
      </c>
      <c r="T123" s="54">
        <v>2</v>
      </c>
      <c r="U123" s="54">
        <v>6</v>
      </c>
      <c r="V123" s="54">
        <v>4</v>
      </c>
      <c r="W123" s="54">
        <v>10</v>
      </c>
      <c r="X123" s="54">
        <v>11</v>
      </c>
      <c r="Y123" s="54">
        <v>8</v>
      </c>
      <c r="Z123" s="54">
        <v>14</v>
      </c>
      <c r="AA123" s="54">
        <v>4</v>
      </c>
      <c r="AB123" s="54">
        <v>6</v>
      </c>
      <c r="AC123" s="54">
        <v>6</v>
      </c>
      <c r="AD123" s="54">
        <v>11</v>
      </c>
      <c r="AE123" s="54">
        <v>9</v>
      </c>
      <c r="AF123" s="54">
        <v>3</v>
      </c>
      <c r="AG123" s="5">
        <f t="shared" si="17"/>
        <v>188</v>
      </c>
      <c r="AK123" s="84" t="s">
        <v>133</v>
      </c>
    </row>
    <row r="124" spans="1:37" ht="15.75" customHeight="1" x14ac:dyDescent="0.25">
      <c r="A124" s="85" t="s">
        <v>68</v>
      </c>
      <c r="B124" s="54">
        <v>15</v>
      </c>
      <c r="C124" s="54">
        <v>10</v>
      </c>
      <c r="D124" s="54">
        <v>14</v>
      </c>
      <c r="E124" s="54">
        <v>7</v>
      </c>
      <c r="F124" s="54">
        <v>6</v>
      </c>
      <c r="G124" s="54">
        <v>6</v>
      </c>
      <c r="H124" s="54">
        <v>7</v>
      </c>
      <c r="I124" s="54">
        <v>17</v>
      </c>
      <c r="J124" s="54">
        <v>15</v>
      </c>
      <c r="K124" s="54">
        <v>5</v>
      </c>
      <c r="L124" s="54">
        <v>7</v>
      </c>
      <c r="M124" s="54">
        <v>4</v>
      </c>
      <c r="N124" s="54">
        <v>5</v>
      </c>
      <c r="O124" s="54">
        <v>4</v>
      </c>
      <c r="P124" s="54">
        <v>11</v>
      </c>
      <c r="Q124" s="54">
        <v>6</v>
      </c>
      <c r="R124" s="54">
        <v>15</v>
      </c>
      <c r="S124" s="54">
        <v>15</v>
      </c>
      <c r="T124" s="54">
        <v>13</v>
      </c>
      <c r="U124" s="54">
        <v>6</v>
      </c>
      <c r="V124" s="54">
        <v>7</v>
      </c>
      <c r="W124" s="54">
        <v>11</v>
      </c>
      <c r="X124" s="54">
        <v>13</v>
      </c>
      <c r="Y124" s="54">
        <v>7</v>
      </c>
      <c r="Z124" s="54">
        <v>9</v>
      </c>
      <c r="AA124" s="54">
        <v>6</v>
      </c>
      <c r="AB124" s="54">
        <v>6</v>
      </c>
      <c r="AC124" s="54">
        <v>4</v>
      </c>
      <c r="AD124" s="54">
        <v>10</v>
      </c>
      <c r="AE124" s="54">
        <v>7</v>
      </c>
      <c r="AF124" s="54">
        <v>4</v>
      </c>
      <c r="AG124" s="5">
        <f t="shared" si="17"/>
        <v>272</v>
      </c>
      <c r="AK124" s="88" t="s">
        <v>134</v>
      </c>
    </row>
    <row r="125" spans="1:37" ht="15.75" customHeight="1" x14ac:dyDescent="0.25">
      <c r="A125" s="85" t="s">
        <v>69</v>
      </c>
      <c r="B125" s="54">
        <v>63</v>
      </c>
      <c r="C125" s="54">
        <v>62</v>
      </c>
      <c r="D125" s="54">
        <v>56</v>
      </c>
      <c r="E125" s="54">
        <v>36</v>
      </c>
      <c r="F125" s="54">
        <v>48</v>
      </c>
      <c r="G125" s="54">
        <v>44</v>
      </c>
      <c r="H125" s="54">
        <v>41</v>
      </c>
      <c r="I125" s="54">
        <v>65</v>
      </c>
      <c r="J125" s="54">
        <v>61</v>
      </c>
      <c r="K125" s="54">
        <v>48</v>
      </c>
      <c r="L125" s="54">
        <v>55</v>
      </c>
      <c r="M125" s="54">
        <v>59</v>
      </c>
      <c r="N125" s="54">
        <v>55</v>
      </c>
      <c r="O125" s="54">
        <v>54</v>
      </c>
      <c r="P125" s="54">
        <v>75</v>
      </c>
      <c r="Q125" s="54">
        <v>100</v>
      </c>
      <c r="R125" s="54">
        <v>51</v>
      </c>
      <c r="S125" s="54">
        <v>47</v>
      </c>
      <c r="T125" s="54">
        <v>64</v>
      </c>
      <c r="U125" s="54">
        <v>53</v>
      </c>
      <c r="V125" s="54">
        <v>53</v>
      </c>
      <c r="W125" s="54">
        <v>73</v>
      </c>
      <c r="X125" s="54">
        <v>69</v>
      </c>
      <c r="Y125" s="54">
        <v>46</v>
      </c>
      <c r="Z125" s="54">
        <v>45</v>
      </c>
      <c r="AA125" s="54">
        <v>59</v>
      </c>
      <c r="AB125" s="54">
        <v>47</v>
      </c>
      <c r="AC125" s="54">
        <v>46</v>
      </c>
      <c r="AD125" s="54">
        <v>69</v>
      </c>
      <c r="AE125" s="54">
        <v>76</v>
      </c>
      <c r="AF125" s="54">
        <v>60</v>
      </c>
      <c r="AG125" s="5">
        <f t="shared" si="17"/>
        <v>1780</v>
      </c>
      <c r="AK125" s="88" t="s">
        <v>135</v>
      </c>
    </row>
    <row r="126" spans="1:37" ht="15.75" customHeight="1" x14ac:dyDescent="0.25">
      <c r="A126" s="85" t="s">
        <v>70</v>
      </c>
      <c r="B126" s="54">
        <v>2</v>
      </c>
      <c r="C126" s="54">
        <v>2</v>
      </c>
      <c r="D126" s="54">
        <v>3</v>
      </c>
      <c r="E126" s="54">
        <v>2</v>
      </c>
      <c r="F126" s="54">
        <v>0</v>
      </c>
      <c r="G126" s="54">
        <v>1</v>
      </c>
      <c r="H126" s="54">
        <v>4</v>
      </c>
      <c r="I126" s="54">
        <v>2</v>
      </c>
      <c r="J126" s="54">
        <v>3</v>
      </c>
      <c r="K126" s="54">
        <v>4</v>
      </c>
      <c r="L126" s="54">
        <v>7</v>
      </c>
      <c r="M126" s="54">
        <v>1</v>
      </c>
      <c r="N126" s="54">
        <v>2</v>
      </c>
      <c r="O126" s="54">
        <v>3</v>
      </c>
      <c r="P126" s="54">
        <v>4</v>
      </c>
      <c r="Q126" s="54">
        <v>2</v>
      </c>
      <c r="R126" s="54">
        <v>1</v>
      </c>
      <c r="S126" s="54">
        <v>3</v>
      </c>
      <c r="T126" s="54">
        <v>1</v>
      </c>
      <c r="U126" s="54">
        <v>2</v>
      </c>
      <c r="V126" s="54">
        <v>5</v>
      </c>
      <c r="W126" s="54">
        <v>4</v>
      </c>
      <c r="X126" s="54">
        <v>1</v>
      </c>
      <c r="Y126" s="54">
        <v>3</v>
      </c>
      <c r="Z126" s="54">
        <v>2</v>
      </c>
      <c r="AA126" s="54">
        <v>0</v>
      </c>
      <c r="AB126" s="54">
        <v>2</v>
      </c>
      <c r="AC126" s="54">
        <v>5</v>
      </c>
      <c r="AD126" s="54">
        <v>1</v>
      </c>
      <c r="AE126" s="54">
        <v>4</v>
      </c>
      <c r="AF126" s="54">
        <v>4</v>
      </c>
      <c r="AG126" s="5">
        <f t="shared" si="17"/>
        <v>80</v>
      </c>
      <c r="AK126" s="84" t="s">
        <v>136</v>
      </c>
    </row>
    <row r="127" spans="1:37" ht="15.75" customHeight="1" x14ac:dyDescent="0.25">
      <c r="A127" s="85" t="s">
        <v>71</v>
      </c>
      <c r="B127" s="54">
        <v>2</v>
      </c>
      <c r="C127" s="54">
        <v>3</v>
      </c>
      <c r="D127" s="54">
        <v>2</v>
      </c>
      <c r="E127" s="54">
        <v>0</v>
      </c>
      <c r="F127" s="54">
        <v>4</v>
      </c>
      <c r="G127" s="54">
        <v>3</v>
      </c>
      <c r="H127" s="54">
        <v>0</v>
      </c>
      <c r="I127" s="54">
        <v>0</v>
      </c>
      <c r="J127" s="54">
        <v>2</v>
      </c>
      <c r="K127" s="54">
        <v>0</v>
      </c>
      <c r="L127" s="54">
        <v>0</v>
      </c>
      <c r="M127" s="54">
        <v>2</v>
      </c>
      <c r="N127" s="54">
        <v>0</v>
      </c>
      <c r="O127" s="54">
        <v>0</v>
      </c>
      <c r="P127" s="54">
        <v>0</v>
      </c>
      <c r="Q127" s="54">
        <v>0</v>
      </c>
      <c r="R127" s="54">
        <v>0</v>
      </c>
      <c r="S127" s="54">
        <v>3</v>
      </c>
      <c r="T127" s="54">
        <v>2</v>
      </c>
      <c r="U127" s="54">
        <v>1</v>
      </c>
      <c r="V127" s="54">
        <v>0</v>
      </c>
      <c r="W127" s="54">
        <v>0</v>
      </c>
      <c r="X127" s="54">
        <v>1</v>
      </c>
      <c r="Y127" s="54">
        <v>1</v>
      </c>
      <c r="Z127" s="54">
        <v>2</v>
      </c>
      <c r="AA127" s="54">
        <v>1</v>
      </c>
      <c r="AB127" s="54">
        <v>1</v>
      </c>
      <c r="AC127" s="54">
        <v>0</v>
      </c>
      <c r="AD127" s="54">
        <v>2</v>
      </c>
      <c r="AE127" s="54">
        <v>1</v>
      </c>
      <c r="AF127" s="54">
        <v>2</v>
      </c>
      <c r="AG127" s="5">
        <f t="shared" si="17"/>
        <v>35</v>
      </c>
      <c r="AK127" s="88" t="s">
        <v>137</v>
      </c>
    </row>
    <row r="128" spans="1:37" ht="15.75" customHeight="1" x14ac:dyDescent="0.25">
      <c r="A128" s="56" t="s">
        <v>72</v>
      </c>
      <c r="B128" s="54">
        <v>2</v>
      </c>
      <c r="C128" s="54">
        <v>4</v>
      </c>
      <c r="D128" s="54">
        <v>0</v>
      </c>
      <c r="E128" s="54">
        <v>1</v>
      </c>
      <c r="F128" s="54">
        <v>0</v>
      </c>
      <c r="G128" s="54">
        <v>1</v>
      </c>
      <c r="H128" s="54">
        <v>0</v>
      </c>
      <c r="I128" s="54">
        <v>1</v>
      </c>
      <c r="J128" s="54">
        <v>2</v>
      </c>
      <c r="K128" s="54">
        <v>2</v>
      </c>
      <c r="L128" s="54">
        <v>4</v>
      </c>
      <c r="M128" s="54">
        <v>1</v>
      </c>
      <c r="N128" s="54">
        <v>4</v>
      </c>
      <c r="O128" s="54">
        <v>3</v>
      </c>
      <c r="P128" s="54">
        <v>3</v>
      </c>
      <c r="Q128" s="54">
        <v>2</v>
      </c>
      <c r="R128" s="54">
        <v>2</v>
      </c>
      <c r="S128" s="54">
        <v>2</v>
      </c>
      <c r="T128" s="54">
        <v>1</v>
      </c>
      <c r="U128" s="54">
        <v>0</v>
      </c>
      <c r="V128" s="54">
        <v>2</v>
      </c>
      <c r="W128" s="54">
        <v>0</v>
      </c>
      <c r="X128" s="54">
        <v>4</v>
      </c>
      <c r="Y128" s="54">
        <v>2</v>
      </c>
      <c r="Z128" s="54">
        <v>0</v>
      </c>
      <c r="AA128" s="54">
        <v>0</v>
      </c>
      <c r="AB128" s="54">
        <v>1</v>
      </c>
      <c r="AC128" s="54">
        <v>1</v>
      </c>
      <c r="AD128" s="54">
        <v>3</v>
      </c>
      <c r="AE128" s="54">
        <v>2</v>
      </c>
      <c r="AF128" s="54">
        <v>1</v>
      </c>
      <c r="AG128" s="5">
        <f t="shared" si="17"/>
        <v>51</v>
      </c>
      <c r="AK128" s="88" t="s">
        <v>138</v>
      </c>
    </row>
    <row r="129" spans="1:37" ht="15.75" customHeight="1" x14ac:dyDescent="0.25">
      <c r="A129" s="56" t="s">
        <v>73</v>
      </c>
      <c r="B129" s="54">
        <v>0</v>
      </c>
      <c r="C129" s="54">
        <v>0</v>
      </c>
      <c r="D129" s="54">
        <v>1</v>
      </c>
      <c r="E129" s="54">
        <v>1</v>
      </c>
      <c r="F129" s="54">
        <v>1</v>
      </c>
      <c r="G129" s="54">
        <v>0</v>
      </c>
      <c r="H129" s="54">
        <v>0</v>
      </c>
      <c r="I129" s="54">
        <v>0</v>
      </c>
      <c r="J129" s="54">
        <v>0</v>
      </c>
      <c r="K129" s="54">
        <v>0</v>
      </c>
      <c r="L129" s="54">
        <v>0</v>
      </c>
      <c r="M129" s="54">
        <v>2</v>
      </c>
      <c r="N129" s="54">
        <v>0</v>
      </c>
      <c r="O129" s="54">
        <v>0</v>
      </c>
      <c r="P129" s="54">
        <v>0</v>
      </c>
      <c r="Q129" s="54">
        <v>1</v>
      </c>
      <c r="R129" s="54">
        <v>0</v>
      </c>
      <c r="S129" s="54">
        <v>5</v>
      </c>
      <c r="T129" s="54">
        <v>1</v>
      </c>
      <c r="U129" s="54">
        <v>0</v>
      </c>
      <c r="V129" s="54">
        <v>1</v>
      </c>
      <c r="W129" s="54">
        <v>1</v>
      </c>
      <c r="X129" s="54">
        <v>1</v>
      </c>
      <c r="Y129" s="54">
        <v>3</v>
      </c>
      <c r="Z129" s="54">
        <v>0</v>
      </c>
      <c r="AA129" s="54">
        <v>0</v>
      </c>
      <c r="AB129" s="54">
        <v>0</v>
      </c>
      <c r="AC129" s="54">
        <v>0</v>
      </c>
      <c r="AD129" s="54">
        <v>1</v>
      </c>
      <c r="AE129" s="54">
        <v>0</v>
      </c>
      <c r="AF129" s="54">
        <v>0</v>
      </c>
      <c r="AG129" s="5">
        <f t="shared" si="17"/>
        <v>19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0</v>
      </c>
      <c r="D130" s="54">
        <v>0</v>
      </c>
      <c r="E130" s="54">
        <v>0</v>
      </c>
      <c r="F130" s="54">
        <v>1</v>
      </c>
      <c r="G130" s="54">
        <v>0</v>
      </c>
      <c r="H130" s="54">
        <v>0</v>
      </c>
      <c r="I130" s="54">
        <v>0</v>
      </c>
      <c r="J130" s="54">
        <v>2</v>
      </c>
      <c r="K130" s="54">
        <v>0</v>
      </c>
      <c r="L130" s="54">
        <v>0</v>
      </c>
      <c r="M130" s="54">
        <v>0</v>
      </c>
      <c r="N130" s="54">
        <v>0</v>
      </c>
      <c r="O130" s="54">
        <v>1</v>
      </c>
      <c r="P130" s="54">
        <v>0</v>
      </c>
      <c r="Q130" s="54">
        <v>1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4">
        <v>0</v>
      </c>
      <c r="X130" s="54">
        <v>0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>
        <v>0</v>
      </c>
      <c r="AE130" s="54">
        <v>0</v>
      </c>
      <c r="AF130" s="54">
        <v>1</v>
      </c>
      <c r="AG130" s="5">
        <f t="shared" si="17"/>
        <v>6</v>
      </c>
      <c r="AK130" s="84" t="s">
        <v>140</v>
      </c>
    </row>
    <row r="131" spans="1:37" ht="15.75" customHeight="1" x14ac:dyDescent="0.25">
      <c r="A131" s="85" t="s">
        <v>75</v>
      </c>
      <c r="B131" s="54">
        <v>7</v>
      </c>
      <c r="C131" s="54">
        <v>4</v>
      </c>
      <c r="D131" s="54">
        <v>4</v>
      </c>
      <c r="E131" s="54">
        <v>3</v>
      </c>
      <c r="F131" s="54">
        <v>3</v>
      </c>
      <c r="G131" s="54">
        <v>3</v>
      </c>
      <c r="H131" s="54">
        <v>2</v>
      </c>
      <c r="I131" s="54">
        <v>3</v>
      </c>
      <c r="J131" s="54">
        <v>6</v>
      </c>
      <c r="K131" s="54">
        <v>3</v>
      </c>
      <c r="L131" s="54">
        <v>4</v>
      </c>
      <c r="M131" s="54">
        <v>3</v>
      </c>
      <c r="N131" s="54">
        <v>2</v>
      </c>
      <c r="O131" s="54">
        <v>2</v>
      </c>
      <c r="P131" s="54">
        <v>7</v>
      </c>
      <c r="Q131" s="54">
        <v>5</v>
      </c>
      <c r="R131" s="54">
        <v>6</v>
      </c>
      <c r="S131" s="54">
        <v>9</v>
      </c>
      <c r="T131" s="54">
        <v>4</v>
      </c>
      <c r="U131" s="54">
        <v>4</v>
      </c>
      <c r="V131" s="54">
        <v>6</v>
      </c>
      <c r="W131" s="54">
        <v>10</v>
      </c>
      <c r="X131" s="54">
        <v>4</v>
      </c>
      <c r="Y131" s="54">
        <v>9</v>
      </c>
      <c r="Z131" s="54">
        <v>3</v>
      </c>
      <c r="AA131" s="54">
        <v>6</v>
      </c>
      <c r="AB131" s="54">
        <v>4</v>
      </c>
      <c r="AC131" s="54">
        <v>7</v>
      </c>
      <c r="AD131" s="54">
        <v>8</v>
      </c>
      <c r="AE131" s="54">
        <v>6</v>
      </c>
      <c r="AF131" s="54">
        <v>5</v>
      </c>
      <c r="AG131" s="5">
        <f t="shared" si="17"/>
        <v>152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3</v>
      </c>
      <c r="C132" s="87">
        <v>7</v>
      </c>
      <c r="D132" s="87">
        <v>3</v>
      </c>
      <c r="E132" s="87">
        <v>6</v>
      </c>
      <c r="F132" s="87">
        <v>8</v>
      </c>
      <c r="G132" s="87">
        <v>1</v>
      </c>
      <c r="H132" s="87">
        <v>4</v>
      </c>
      <c r="I132" s="87">
        <v>6</v>
      </c>
      <c r="J132" s="87">
        <v>4</v>
      </c>
      <c r="K132" s="87">
        <v>4</v>
      </c>
      <c r="L132" s="87">
        <v>4</v>
      </c>
      <c r="M132" s="87">
        <v>5</v>
      </c>
      <c r="N132" s="87">
        <v>2</v>
      </c>
      <c r="O132" s="87">
        <v>2</v>
      </c>
      <c r="P132" s="87">
        <v>3</v>
      </c>
      <c r="Q132" s="87">
        <v>6</v>
      </c>
      <c r="R132" s="87">
        <v>7</v>
      </c>
      <c r="S132" s="87">
        <v>7</v>
      </c>
      <c r="T132" s="87">
        <v>6</v>
      </c>
      <c r="U132" s="87">
        <v>2</v>
      </c>
      <c r="V132" s="87">
        <v>6</v>
      </c>
      <c r="W132" s="87">
        <v>11</v>
      </c>
      <c r="X132" s="87">
        <v>12</v>
      </c>
      <c r="Y132" s="87">
        <v>9</v>
      </c>
      <c r="Z132" s="87">
        <v>5</v>
      </c>
      <c r="AA132" s="87">
        <v>7</v>
      </c>
      <c r="AB132" s="87">
        <v>5</v>
      </c>
      <c r="AC132" s="87">
        <v>6</v>
      </c>
      <c r="AD132" s="87">
        <v>5</v>
      </c>
      <c r="AE132" s="87">
        <v>10</v>
      </c>
      <c r="AF132" s="87">
        <v>5</v>
      </c>
      <c r="AG132" s="9">
        <f t="shared" si="17"/>
        <v>171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152</v>
      </c>
      <c r="C133" s="14">
        <f t="shared" si="21"/>
        <v>153</v>
      </c>
      <c r="D133" s="14">
        <f t="shared" si="21"/>
        <v>139</v>
      </c>
      <c r="E133" s="14">
        <f t="shared" si="21"/>
        <v>96</v>
      </c>
      <c r="F133" s="14">
        <f t="shared" si="21"/>
        <v>105</v>
      </c>
      <c r="G133" s="14">
        <f t="shared" si="21"/>
        <v>104</v>
      </c>
      <c r="H133" s="14">
        <f t="shared" si="21"/>
        <v>99</v>
      </c>
      <c r="I133" s="14">
        <f t="shared" si="21"/>
        <v>148</v>
      </c>
      <c r="J133" s="14">
        <f t="shared" si="21"/>
        <v>158</v>
      </c>
      <c r="K133" s="14">
        <f t="shared" si="21"/>
        <v>102</v>
      </c>
      <c r="L133" s="14">
        <f t="shared" si="21"/>
        <v>129</v>
      </c>
      <c r="M133" s="14">
        <f t="shared" si="21"/>
        <v>108</v>
      </c>
      <c r="N133" s="14">
        <f t="shared" si="21"/>
        <v>98</v>
      </c>
      <c r="O133" s="14">
        <f t="shared" si="21"/>
        <v>109</v>
      </c>
      <c r="P133" s="14">
        <f t="shared" si="21"/>
        <v>161</v>
      </c>
      <c r="Q133" s="14">
        <f t="shared" si="21"/>
        <v>157</v>
      </c>
      <c r="R133" s="14">
        <f t="shared" si="21"/>
        <v>134</v>
      </c>
      <c r="S133" s="14">
        <f t="shared" si="21"/>
        <v>138</v>
      </c>
      <c r="T133" s="14">
        <f t="shared" si="21"/>
        <v>131</v>
      </c>
      <c r="U133" s="14">
        <f t="shared" si="21"/>
        <v>108</v>
      </c>
      <c r="V133" s="14">
        <f t="shared" si="21"/>
        <v>116</v>
      </c>
      <c r="W133" s="14">
        <f t="shared" si="21"/>
        <v>166</v>
      </c>
      <c r="X133" s="14">
        <f t="shared" si="21"/>
        <v>168</v>
      </c>
      <c r="Y133" s="14">
        <f t="shared" si="21"/>
        <v>122</v>
      </c>
      <c r="Z133" s="14">
        <f t="shared" si="21"/>
        <v>114</v>
      </c>
      <c r="AA133" s="14">
        <f t="shared" si="21"/>
        <v>125</v>
      </c>
      <c r="AB133" s="14">
        <f t="shared" si="21"/>
        <v>110</v>
      </c>
      <c r="AC133" s="14">
        <f t="shared" si="21"/>
        <v>116</v>
      </c>
      <c r="AD133" s="14">
        <f t="shared" si="21"/>
        <v>165</v>
      </c>
      <c r="AE133" s="14">
        <f t="shared" si="21"/>
        <v>162</v>
      </c>
      <c r="AF133" s="14">
        <f t="shared" si="21"/>
        <v>126</v>
      </c>
      <c r="AG133" s="10">
        <f t="shared" si="17"/>
        <v>4019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3</v>
      </c>
      <c r="C134" s="22">
        <f t="shared" si="22"/>
        <v>2</v>
      </c>
      <c r="D134" s="22">
        <f t="shared" si="22"/>
        <v>10</v>
      </c>
      <c r="E134" s="22">
        <f t="shared" si="22"/>
        <v>5</v>
      </c>
      <c r="F134" s="22">
        <f t="shared" si="22"/>
        <v>11</v>
      </c>
      <c r="G134" s="22">
        <f t="shared" si="22"/>
        <v>12</v>
      </c>
      <c r="H134" s="22">
        <f t="shared" si="22"/>
        <v>4</v>
      </c>
      <c r="I134" s="22">
        <f t="shared" si="22"/>
        <v>4</v>
      </c>
      <c r="J134" s="22">
        <f t="shared" si="22"/>
        <v>4</v>
      </c>
      <c r="K134" s="22">
        <f t="shared" si="22"/>
        <v>17</v>
      </c>
      <c r="L134" s="22">
        <f t="shared" si="22"/>
        <v>4</v>
      </c>
      <c r="M134" s="22">
        <f t="shared" si="22"/>
        <v>20</v>
      </c>
      <c r="N134" s="22">
        <f t="shared" si="22"/>
        <v>2</v>
      </c>
      <c r="O134" s="22">
        <f t="shared" si="22"/>
        <v>1</v>
      </c>
      <c r="P134" s="22">
        <f t="shared" si="22"/>
        <v>4</v>
      </c>
      <c r="Q134" s="22">
        <f t="shared" si="22"/>
        <v>5</v>
      </c>
      <c r="R134" s="22">
        <f t="shared" si="22"/>
        <v>29</v>
      </c>
      <c r="S134" s="22">
        <f t="shared" si="22"/>
        <v>18</v>
      </c>
      <c r="T134" s="22">
        <f t="shared" si="22"/>
        <v>10</v>
      </c>
      <c r="U134" s="22">
        <f t="shared" si="22"/>
        <v>12</v>
      </c>
      <c r="V134" s="22">
        <f t="shared" si="22"/>
        <v>13</v>
      </c>
      <c r="W134" s="22">
        <f t="shared" si="22"/>
        <v>8</v>
      </c>
      <c r="X134" s="22">
        <f t="shared" si="22"/>
        <v>23</v>
      </c>
      <c r="Y134" s="22">
        <f t="shared" si="22"/>
        <v>8</v>
      </c>
      <c r="Z134" s="22">
        <f t="shared" si="22"/>
        <v>18</v>
      </c>
      <c r="AA134" s="22">
        <f t="shared" si="22"/>
        <v>9</v>
      </c>
      <c r="AB134" s="22">
        <f t="shared" si="22"/>
        <v>26</v>
      </c>
      <c r="AC134" s="22">
        <f t="shared" si="22"/>
        <v>12</v>
      </c>
      <c r="AD134" s="22">
        <f t="shared" si="22"/>
        <v>2</v>
      </c>
      <c r="AE134" s="22">
        <f t="shared" si="22"/>
        <v>4</v>
      </c>
      <c r="AF134" s="22">
        <f t="shared" si="22"/>
        <v>5</v>
      </c>
      <c r="AG134" s="23">
        <f t="shared" si="17"/>
        <v>305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1</v>
      </c>
      <c r="D135" s="1">
        <f t="shared" si="23"/>
        <v>0</v>
      </c>
      <c r="E135" s="1">
        <f t="shared" si="23"/>
        <v>0</v>
      </c>
      <c r="F135" s="1">
        <f t="shared" si="23"/>
        <v>0</v>
      </c>
      <c r="G135" s="1">
        <f t="shared" si="23"/>
        <v>0</v>
      </c>
      <c r="H135" s="1">
        <f t="shared" si="23"/>
        <v>1</v>
      </c>
      <c r="I135" s="1">
        <f t="shared" si="23"/>
        <v>1</v>
      </c>
      <c r="J135" s="1">
        <f t="shared" si="23"/>
        <v>0</v>
      </c>
      <c r="K135" s="1">
        <f t="shared" si="23"/>
        <v>0</v>
      </c>
      <c r="L135" s="1">
        <f t="shared" si="23"/>
        <v>1</v>
      </c>
      <c r="M135" s="1">
        <f t="shared" si="23"/>
        <v>1</v>
      </c>
      <c r="N135" s="1">
        <f t="shared" si="23"/>
        <v>1</v>
      </c>
      <c r="O135" s="1">
        <f t="shared" si="23"/>
        <v>1</v>
      </c>
      <c r="P135" s="1">
        <f t="shared" si="23"/>
        <v>1</v>
      </c>
      <c r="Q135" s="1">
        <f t="shared" si="23"/>
        <v>1</v>
      </c>
      <c r="R135" s="1">
        <f t="shared" si="23"/>
        <v>0</v>
      </c>
      <c r="S135" s="1">
        <f t="shared" si="23"/>
        <v>0</v>
      </c>
      <c r="T135" s="1">
        <f t="shared" si="23"/>
        <v>1</v>
      </c>
      <c r="U135" s="1">
        <f t="shared" si="23"/>
        <v>0</v>
      </c>
      <c r="V135" s="1">
        <f t="shared" si="23"/>
        <v>1</v>
      </c>
      <c r="W135" s="1">
        <f t="shared" si="23"/>
        <v>0</v>
      </c>
      <c r="X135" s="1">
        <f t="shared" si="23"/>
        <v>1</v>
      </c>
      <c r="Y135" s="1">
        <f t="shared" si="23"/>
        <v>0</v>
      </c>
      <c r="Z135" s="1">
        <f t="shared" si="23"/>
        <v>1</v>
      </c>
      <c r="AA135" s="1">
        <f t="shared" si="23"/>
        <v>0</v>
      </c>
      <c r="AB135" s="1">
        <f t="shared" si="23"/>
        <v>0</v>
      </c>
      <c r="AC135" s="1">
        <f t="shared" si="23"/>
        <v>1</v>
      </c>
      <c r="AD135" s="1">
        <f t="shared" si="23"/>
        <v>1</v>
      </c>
      <c r="AE135" s="1">
        <f t="shared" si="23"/>
        <v>2</v>
      </c>
      <c r="AF135" s="1">
        <f t="shared" si="23"/>
        <v>0</v>
      </c>
      <c r="AG135" s="2">
        <f t="shared" si="17"/>
        <v>17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1</v>
      </c>
      <c r="D136" s="91">
        <v>0</v>
      </c>
      <c r="E136" s="91">
        <v>0</v>
      </c>
      <c r="F136" s="91">
        <v>0</v>
      </c>
      <c r="G136" s="91">
        <v>0</v>
      </c>
      <c r="H136" s="91">
        <v>1</v>
      </c>
      <c r="I136" s="91">
        <v>1</v>
      </c>
      <c r="J136" s="91">
        <v>0</v>
      </c>
      <c r="K136" s="91">
        <v>0</v>
      </c>
      <c r="L136" s="91">
        <v>1</v>
      </c>
      <c r="M136" s="91">
        <v>1</v>
      </c>
      <c r="N136" s="91">
        <v>1</v>
      </c>
      <c r="O136" s="91">
        <v>1</v>
      </c>
      <c r="P136" s="91">
        <v>1</v>
      </c>
      <c r="Q136" s="91">
        <v>1</v>
      </c>
      <c r="R136" s="91">
        <v>0</v>
      </c>
      <c r="S136" s="91">
        <v>0</v>
      </c>
      <c r="T136" s="91">
        <v>1</v>
      </c>
      <c r="U136" s="91">
        <v>0</v>
      </c>
      <c r="V136" s="91">
        <v>1</v>
      </c>
      <c r="W136" s="91">
        <v>0</v>
      </c>
      <c r="X136" s="91">
        <v>1</v>
      </c>
      <c r="Y136" s="91">
        <v>0</v>
      </c>
      <c r="Z136" s="91">
        <v>1</v>
      </c>
      <c r="AA136" s="91">
        <v>0</v>
      </c>
      <c r="AB136" s="91">
        <v>0</v>
      </c>
      <c r="AC136" s="91">
        <v>0</v>
      </c>
      <c r="AD136" s="91">
        <v>1</v>
      </c>
      <c r="AE136" s="91">
        <v>2</v>
      </c>
      <c r="AF136" s="91">
        <v>0</v>
      </c>
      <c r="AG136" s="28">
        <f t="shared" si="17"/>
        <v>16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1</v>
      </c>
      <c r="AD137" s="93">
        <v>0</v>
      </c>
      <c r="AE137" s="93">
        <v>0</v>
      </c>
      <c r="AF137" s="93">
        <v>0</v>
      </c>
      <c r="AG137" s="29">
        <f t="shared" si="17"/>
        <v>1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4</v>
      </c>
      <c r="C139" s="31">
        <f t="shared" si="24"/>
        <v>2</v>
      </c>
      <c r="D139" s="31">
        <f t="shared" si="24"/>
        <v>6</v>
      </c>
      <c r="E139" s="31">
        <f t="shared" si="24"/>
        <v>5</v>
      </c>
      <c r="F139" s="31">
        <f t="shared" si="24"/>
        <v>1</v>
      </c>
      <c r="G139" s="31">
        <f t="shared" si="24"/>
        <v>2</v>
      </c>
      <c r="H139" s="31">
        <f t="shared" si="24"/>
        <v>6</v>
      </c>
      <c r="I139" s="31">
        <f t="shared" si="24"/>
        <v>7</v>
      </c>
      <c r="J139" s="31">
        <f t="shared" si="24"/>
        <v>2</v>
      </c>
      <c r="K139" s="31">
        <f t="shared" si="24"/>
        <v>7</v>
      </c>
      <c r="L139" s="31">
        <f t="shared" si="24"/>
        <v>10</v>
      </c>
      <c r="M139" s="31">
        <f t="shared" si="24"/>
        <v>5</v>
      </c>
      <c r="N139" s="31">
        <f t="shared" si="24"/>
        <v>2</v>
      </c>
      <c r="O139" s="31">
        <f t="shared" si="24"/>
        <v>4</v>
      </c>
      <c r="P139" s="31">
        <f t="shared" si="24"/>
        <v>5</v>
      </c>
      <c r="Q139" s="31">
        <f t="shared" si="24"/>
        <v>1</v>
      </c>
      <c r="R139" s="31">
        <f t="shared" si="24"/>
        <v>1</v>
      </c>
      <c r="S139" s="31">
        <f t="shared" si="24"/>
        <v>2</v>
      </c>
      <c r="T139" s="31">
        <f t="shared" si="24"/>
        <v>3</v>
      </c>
      <c r="U139" s="31">
        <f t="shared" si="24"/>
        <v>0</v>
      </c>
      <c r="V139" s="31">
        <f t="shared" si="24"/>
        <v>5</v>
      </c>
      <c r="W139" s="31">
        <f t="shared" si="24"/>
        <v>6</v>
      </c>
      <c r="X139" s="31">
        <f t="shared" si="24"/>
        <v>8</v>
      </c>
      <c r="Y139" s="31">
        <f t="shared" si="24"/>
        <v>3</v>
      </c>
      <c r="Z139" s="31">
        <f t="shared" si="24"/>
        <v>7</v>
      </c>
      <c r="AA139" s="31">
        <f t="shared" si="24"/>
        <v>2</v>
      </c>
      <c r="AB139" s="31">
        <f t="shared" si="24"/>
        <v>1</v>
      </c>
      <c r="AC139" s="31">
        <f t="shared" si="24"/>
        <v>3</v>
      </c>
      <c r="AD139" s="31">
        <f t="shared" si="24"/>
        <v>3</v>
      </c>
      <c r="AE139" s="31">
        <f t="shared" si="24"/>
        <v>7</v>
      </c>
      <c r="AF139" s="31">
        <f t="shared" si="24"/>
        <v>1</v>
      </c>
      <c r="AG139" s="32">
        <f t="shared" si="17"/>
        <v>121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0</v>
      </c>
      <c r="E140" s="97">
        <v>0</v>
      </c>
      <c r="F140" s="97">
        <v>0</v>
      </c>
      <c r="G140" s="97">
        <v>2</v>
      </c>
      <c r="H140" s="97">
        <v>0</v>
      </c>
      <c r="I140" s="97">
        <v>0</v>
      </c>
      <c r="J140" s="97">
        <v>0</v>
      </c>
      <c r="K140" s="97">
        <v>0</v>
      </c>
      <c r="L140" s="97">
        <v>1</v>
      </c>
      <c r="M140" s="97">
        <v>0</v>
      </c>
      <c r="N140" s="97">
        <v>0</v>
      </c>
      <c r="O140" s="97">
        <v>0</v>
      </c>
      <c r="P140" s="97">
        <v>2</v>
      </c>
      <c r="Q140" s="97">
        <v>0</v>
      </c>
      <c r="R140" s="97">
        <v>0</v>
      </c>
      <c r="S140" s="97">
        <v>0</v>
      </c>
      <c r="T140" s="97">
        <v>0</v>
      </c>
      <c r="U140" s="97">
        <v>0</v>
      </c>
      <c r="V140" s="97">
        <v>0</v>
      </c>
      <c r="W140" s="97">
        <v>0</v>
      </c>
      <c r="X140" s="97">
        <v>0</v>
      </c>
      <c r="Y140" s="97">
        <v>0</v>
      </c>
      <c r="Z140" s="97">
        <v>0</v>
      </c>
      <c r="AA140" s="97">
        <v>0</v>
      </c>
      <c r="AB140" s="97">
        <v>0</v>
      </c>
      <c r="AC140" s="97">
        <v>1</v>
      </c>
      <c r="AD140" s="97">
        <v>1</v>
      </c>
      <c r="AE140" s="97">
        <v>0</v>
      </c>
      <c r="AF140" s="97">
        <v>0</v>
      </c>
      <c r="AG140" s="33">
        <f t="shared" si="17"/>
        <v>7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4</v>
      </c>
      <c r="C141" s="98">
        <v>2</v>
      </c>
      <c r="D141" s="98">
        <v>6</v>
      </c>
      <c r="E141" s="98">
        <v>5</v>
      </c>
      <c r="F141" s="98">
        <v>1</v>
      </c>
      <c r="G141" s="98">
        <v>0</v>
      </c>
      <c r="H141" s="98">
        <v>6</v>
      </c>
      <c r="I141" s="98">
        <v>7</v>
      </c>
      <c r="J141" s="98">
        <v>2</v>
      </c>
      <c r="K141" s="98">
        <v>7</v>
      </c>
      <c r="L141" s="98">
        <v>9</v>
      </c>
      <c r="M141" s="98">
        <v>5</v>
      </c>
      <c r="N141" s="98">
        <v>2</v>
      </c>
      <c r="O141" s="98">
        <v>4</v>
      </c>
      <c r="P141" s="98">
        <v>3</v>
      </c>
      <c r="Q141" s="98">
        <v>1</v>
      </c>
      <c r="R141" s="98">
        <v>1</v>
      </c>
      <c r="S141" s="98">
        <v>2</v>
      </c>
      <c r="T141" s="98">
        <v>3</v>
      </c>
      <c r="U141" s="98">
        <v>0</v>
      </c>
      <c r="V141" s="98">
        <v>5</v>
      </c>
      <c r="W141" s="98">
        <v>6</v>
      </c>
      <c r="X141" s="98">
        <v>8</v>
      </c>
      <c r="Y141" s="98">
        <v>3</v>
      </c>
      <c r="Z141" s="98">
        <v>7</v>
      </c>
      <c r="AA141" s="98">
        <v>2</v>
      </c>
      <c r="AB141" s="98">
        <v>1</v>
      </c>
      <c r="AC141" s="98">
        <v>2</v>
      </c>
      <c r="AD141" s="98">
        <v>2</v>
      </c>
      <c r="AE141" s="98">
        <v>7</v>
      </c>
      <c r="AF141" s="98">
        <v>1</v>
      </c>
      <c r="AG141" s="34">
        <f t="shared" si="17"/>
        <v>114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14</v>
      </c>
      <c r="C144" s="37">
        <f t="shared" si="25"/>
        <v>13</v>
      </c>
      <c r="D144" s="37">
        <f t="shared" si="25"/>
        <v>7</v>
      </c>
      <c r="E144" s="37">
        <f t="shared" si="25"/>
        <v>15</v>
      </c>
      <c r="F144" s="37">
        <f t="shared" si="25"/>
        <v>10</v>
      </c>
      <c r="G144" s="37">
        <f t="shared" si="25"/>
        <v>15</v>
      </c>
      <c r="H144" s="37">
        <f t="shared" si="25"/>
        <v>10</v>
      </c>
      <c r="I144" s="37">
        <f t="shared" si="25"/>
        <v>20</v>
      </c>
      <c r="J144" s="37">
        <f t="shared" si="25"/>
        <v>8</v>
      </c>
      <c r="K144" s="37">
        <f t="shared" si="25"/>
        <v>9</v>
      </c>
      <c r="L144" s="37">
        <f t="shared" si="25"/>
        <v>21</v>
      </c>
      <c r="M144" s="37">
        <f t="shared" si="25"/>
        <v>13</v>
      </c>
      <c r="N144" s="37">
        <f t="shared" si="25"/>
        <v>12</v>
      </c>
      <c r="O144" s="37">
        <f t="shared" si="25"/>
        <v>16</v>
      </c>
      <c r="P144" s="37">
        <f t="shared" si="25"/>
        <v>34</v>
      </c>
      <c r="Q144" s="37">
        <f t="shared" si="25"/>
        <v>43</v>
      </c>
      <c r="R144" s="37">
        <f t="shared" si="25"/>
        <v>28</v>
      </c>
      <c r="S144" s="37">
        <f t="shared" si="25"/>
        <v>46</v>
      </c>
      <c r="T144" s="37">
        <f t="shared" si="25"/>
        <v>39</v>
      </c>
      <c r="U144" s="37">
        <f t="shared" si="25"/>
        <v>19</v>
      </c>
      <c r="V144" s="37">
        <f t="shared" si="25"/>
        <v>32</v>
      </c>
      <c r="W144" s="37">
        <f t="shared" si="25"/>
        <v>40</v>
      </c>
      <c r="X144" s="37">
        <f t="shared" si="25"/>
        <v>29</v>
      </c>
      <c r="Y144" s="37">
        <f t="shared" si="25"/>
        <v>23</v>
      </c>
      <c r="Z144" s="37">
        <f t="shared" si="25"/>
        <v>25</v>
      </c>
      <c r="AA144" s="37">
        <f t="shared" si="25"/>
        <v>23</v>
      </c>
      <c r="AB144" s="37">
        <f t="shared" si="25"/>
        <v>18</v>
      </c>
      <c r="AC144" s="37">
        <f t="shared" si="25"/>
        <v>21</v>
      </c>
      <c r="AD144" s="37">
        <f t="shared" si="25"/>
        <v>43</v>
      </c>
      <c r="AE144" s="37">
        <f t="shared" si="25"/>
        <v>35</v>
      </c>
      <c r="AF144" s="37">
        <f t="shared" si="25"/>
        <v>36</v>
      </c>
      <c r="AG144" s="24">
        <f t="shared" si="17"/>
        <v>717</v>
      </c>
      <c r="AK144" s="84" t="s">
        <v>154</v>
      </c>
    </row>
    <row r="145" spans="1:37" ht="15.75" customHeight="1" x14ac:dyDescent="0.25">
      <c r="A145" s="104" t="s">
        <v>91</v>
      </c>
      <c r="B145" s="105">
        <v>1</v>
      </c>
      <c r="C145" s="105">
        <v>1</v>
      </c>
      <c r="D145" s="105">
        <v>5</v>
      </c>
      <c r="E145" s="105">
        <v>7</v>
      </c>
      <c r="F145" s="105">
        <v>2</v>
      </c>
      <c r="G145" s="105">
        <v>0</v>
      </c>
      <c r="H145" s="105">
        <v>2</v>
      </c>
      <c r="I145" s="105">
        <v>3</v>
      </c>
      <c r="J145" s="105">
        <v>2</v>
      </c>
      <c r="K145" s="105">
        <v>1</v>
      </c>
      <c r="L145" s="105">
        <v>2</v>
      </c>
      <c r="M145" s="105">
        <v>0</v>
      </c>
      <c r="N145" s="105">
        <v>1</v>
      </c>
      <c r="O145" s="105">
        <v>0</v>
      </c>
      <c r="P145" s="105">
        <v>3</v>
      </c>
      <c r="Q145" s="105">
        <v>6</v>
      </c>
      <c r="R145" s="105">
        <v>2</v>
      </c>
      <c r="S145" s="105">
        <v>5</v>
      </c>
      <c r="T145" s="105">
        <v>0</v>
      </c>
      <c r="U145" s="105">
        <v>2</v>
      </c>
      <c r="V145" s="105">
        <v>1</v>
      </c>
      <c r="W145" s="105">
        <v>3</v>
      </c>
      <c r="X145" s="105">
        <v>3</v>
      </c>
      <c r="Y145" s="105">
        <v>3</v>
      </c>
      <c r="Z145" s="105">
        <v>0</v>
      </c>
      <c r="AA145" s="105">
        <v>2</v>
      </c>
      <c r="AB145" s="105">
        <v>0</v>
      </c>
      <c r="AC145" s="105">
        <v>2</v>
      </c>
      <c r="AD145" s="105">
        <v>4</v>
      </c>
      <c r="AE145" s="105">
        <v>0</v>
      </c>
      <c r="AF145" s="105">
        <v>1</v>
      </c>
      <c r="AG145" s="38">
        <f t="shared" si="17"/>
        <v>64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1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1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11</v>
      </c>
      <c r="C149" s="108">
        <v>9</v>
      </c>
      <c r="D149" s="108">
        <v>1</v>
      </c>
      <c r="E149" s="108">
        <v>4</v>
      </c>
      <c r="F149" s="108">
        <v>7</v>
      </c>
      <c r="G149" s="108">
        <v>12</v>
      </c>
      <c r="H149" s="108">
        <v>6</v>
      </c>
      <c r="I149" s="108">
        <v>13</v>
      </c>
      <c r="J149" s="108">
        <v>2</v>
      </c>
      <c r="K149" s="108">
        <v>7</v>
      </c>
      <c r="L149" s="108">
        <v>17</v>
      </c>
      <c r="M149" s="108">
        <v>12</v>
      </c>
      <c r="N149" s="108">
        <v>8</v>
      </c>
      <c r="O149" s="108">
        <v>15</v>
      </c>
      <c r="P149" s="108">
        <v>28</v>
      </c>
      <c r="Q149" s="108">
        <v>36</v>
      </c>
      <c r="R149" s="108">
        <v>24</v>
      </c>
      <c r="S149" s="108">
        <v>32</v>
      </c>
      <c r="T149" s="108">
        <v>35</v>
      </c>
      <c r="U149" s="108">
        <v>15</v>
      </c>
      <c r="V149" s="108">
        <v>30</v>
      </c>
      <c r="W149" s="108">
        <v>28</v>
      </c>
      <c r="X149" s="108">
        <v>24</v>
      </c>
      <c r="Y149" s="108">
        <v>18</v>
      </c>
      <c r="Z149" s="108">
        <v>21</v>
      </c>
      <c r="AA149" s="108">
        <v>19</v>
      </c>
      <c r="AB149" s="108">
        <v>15</v>
      </c>
      <c r="AC149" s="108">
        <v>17</v>
      </c>
      <c r="AD149" s="108">
        <v>33</v>
      </c>
      <c r="AE149" s="108">
        <v>34</v>
      </c>
      <c r="AF149" s="108">
        <v>33</v>
      </c>
      <c r="AG149" s="39">
        <f t="shared" si="17"/>
        <v>566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0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1</v>
      </c>
      <c r="E154" s="77">
        <v>0</v>
      </c>
      <c r="F154" s="77">
        <v>1</v>
      </c>
      <c r="G154" s="77">
        <v>0</v>
      </c>
      <c r="H154" s="77">
        <v>1</v>
      </c>
      <c r="I154" s="77">
        <v>0</v>
      </c>
      <c r="J154" s="77">
        <v>0</v>
      </c>
      <c r="K154" s="77">
        <v>1</v>
      </c>
      <c r="L154" s="77">
        <v>2</v>
      </c>
      <c r="M154" s="77">
        <v>0</v>
      </c>
      <c r="N154" s="77">
        <v>1</v>
      </c>
      <c r="O154" s="77">
        <v>1</v>
      </c>
      <c r="P154" s="77">
        <v>0</v>
      </c>
      <c r="Q154" s="77">
        <v>0</v>
      </c>
      <c r="R154" s="77">
        <v>2</v>
      </c>
      <c r="S154" s="77">
        <v>5</v>
      </c>
      <c r="T154" s="77">
        <v>2</v>
      </c>
      <c r="U154" s="77">
        <v>2</v>
      </c>
      <c r="V154" s="77">
        <v>0</v>
      </c>
      <c r="W154" s="77">
        <v>0</v>
      </c>
      <c r="X154" s="77">
        <v>0</v>
      </c>
      <c r="Y154" s="77">
        <v>1</v>
      </c>
      <c r="Z154" s="77">
        <v>2</v>
      </c>
      <c r="AA154" s="77">
        <v>1</v>
      </c>
      <c r="AB154" s="77">
        <v>3</v>
      </c>
      <c r="AC154" s="77">
        <v>1</v>
      </c>
      <c r="AD154" s="77">
        <v>0</v>
      </c>
      <c r="AE154" s="77">
        <v>0</v>
      </c>
      <c r="AF154" s="77">
        <v>2</v>
      </c>
      <c r="AG154" s="5">
        <f t="shared" si="17"/>
        <v>29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0</v>
      </c>
      <c r="C158" s="111">
        <v>0</v>
      </c>
      <c r="D158" s="111">
        <v>0</v>
      </c>
      <c r="E158" s="111">
        <v>2</v>
      </c>
      <c r="F158" s="111">
        <v>0</v>
      </c>
      <c r="G158" s="111">
        <v>1</v>
      </c>
      <c r="H158" s="111">
        <v>0</v>
      </c>
      <c r="I158" s="111">
        <v>1</v>
      </c>
      <c r="J158" s="111">
        <v>3</v>
      </c>
      <c r="K158" s="111">
        <v>0</v>
      </c>
      <c r="L158" s="111">
        <v>0</v>
      </c>
      <c r="M158" s="111">
        <v>1</v>
      </c>
      <c r="N158" s="111">
        <v>0</v>
      </c>
      <c r="O158" s="111">
        <v>0</v>
      </c>
      <c r="P158" s="111">
        <v>1</v>
      </c>
      <c r="Q158" s="111">
        <v>1</v>
      </c>
      <c r="R158" s="111">
        <v>0</v>
      </c>
      <c r="S158" s="111">
        <v>3</v>
      </c>
      <c r="T158" s="111">
        <v>0</v>
      </c>
      <c r="U158" s="111">
        <v>0</v>
      </c>
      <c r="V158" s="111">
        <v>1</v>
      </c>
      <c r="W158" s="111">
        <v>5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4</v>
      </c>
      <c r="AE158" s="111">
        <v>1</v>
      </c>
      <c r="AF158" s="111">
        <v>0</v>
      </c>
      <c r="AG158" s="40">
        <f t="shared" si="17"/>
        <v>24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1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1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1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1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1</v>
      </c>
      <c r="AE165" s="77">
        <v>0</v>
      </c>
      <c r="AF165" s="77">
        <v>0</v>
      </c>
      <c r="AG165" s="5">
        <f t="shared" si="26"/>
        <v>3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1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1</v>
      </c>
      <c r="I167" s="77">
        <v>1</v>
      </c>
      <c r="J167" s="77">
        <v>0</v>
      </c>
      <c r="K167" s="77">
        <v>0</v>
      </c>
      <c r="L167" s="77">
        <v>0</v>
      </c>
      <c r="M167" s="77">
        <v>0</v>
      </c>
      <c r="N167" s="77">
        <v>1</v>
      </c>
      <c r="O167" s="77">
        <v>0</v>
      </c>
      <c r="P167" s="77">
        <v>1</v>
      </c>
      <c r="Q167" s="77">
        <v>0</v>
      </c>
      <c r="R167" s="77">
        <v>0</v>
      </c>
      <c r="S167" s="77">
        <v>0</v>
      </c>
      <c r="T167" s="77">
        <v>1</v>
      </c>
      <c r="U167" s="77">
        <v>0</v>
      </c>
      <c r="V167" s="77">
        <v>0</v>
      </c>
      <c r="W167" s="77">
        <v>2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1</v>
      </c>
      <c r="AE167" s="77">
        <v>0</v>
      </c>
      <c r="AF167" s="77">
        <v>0</v>
      </c>
      <c r="AG167" s="5">
        <f t="shared" si="26"/>
        <v>9</v>
      </c>
    </row>
    <row r="168" spans="1:34" ht="15.75" customHeight="1" x14ac:dyDescent="0.25">
      <c r="A168" s="76" t="s">
        <v>114</v>
      </c>
      <c r="B168" s="113">
        <v>1</v>
      </c>
      <c r="C168" s="113">
        <v>1</v>
      </c>
      <c r="D168" s="113">
        <v>0</v>
      </c>
      <c r="E168" s="113">
        <v>2</v>
      </c>
      <c r="F168" s="113">
        <v>0</v>
      </c>
      <c r="G168" s="113">
        <v>1</v>
      </c>
      <c r="H168" s="113">
        <v>0</v>
      </c>
      <c r="I168" s="113">
        <v>1</v>
      </c>
      <c r="J168" s="113">
        <v>0</v>
      </c>
      <c r="K168" s="113">
        <v>0</v>
      </c>
      <c r="L168" s="113">
        <v>0</v>
      </c>
      <c r="M168" s="113">
        <v>0</v>
      </c>
      <c r="N168" s="113">
        <v>1</v>
      </c>
      <c r="O168" s="113">
        <v>0</v>
      </c>
      <c r="P168" s="113">
        <v>0</v>
      </c>
      <c r="Q168" s="113">
        <v>0</v>
      </c>
      <c r="R168" s="113">
        <v>0</v>
      </c>
      <c r="S168" s="113">
        <v>0</v>
      </c>
      <c r="T168" s="113">
        <v>0</v>
      </c>
      <c r="U168" s="113">
        <v>0</v>
      </c>
      <c r="V168" s="113">
        <v>0</v>
      </c>
      <c r="W168" s="113">
        <v>2</v>
      </c>
      <c r="X168" s="113">
        <v>1</v>
      </c>
      <c r="Y168" s="113">
        <v>0</v>
      </c>
      <c r="Z168" s="113">
        <v>1</v>
      </c>
      <c r="AA168" s="113">
        <v>0</v>
      </c>
      <c r="AB168" s="113">
        <v>0</v>
      </c>
      <c r="AC168" s="113">
        <v>1</v>
      </c>
      <c r="AD168" s="113">
        <v>0</v>
      </c>
      <c r="AE168" s="113">
        <v>0</v>
      </c>
      <c r="AF168" s="113">
        <v>0</v>
      </c>
      <c r="AG168" s="5">
        <f t="shared" si="26"/>
        <v>12</v>
      </c>
    </row>
    <row r="169" spans="1:34" ht="15.75" customHeight="1" x14ac:dyDescent="0.25">
      <c r="A169" s="114" t="s">
        <v>115</v>
      </c>
      <c r="B169" s="113">
        <v>0</v>
      </c>
      <c r="C169" s="113">
        <v>1</v>
      </c>
      <c r="D169" s="113">
        <v>0</v>
      </c>
      <c r="E169" s="113">
        <v>0</v>
      </c>
      <c r="F169" s="113">
        <v>0</v>
      </c>
      <c r="G169" s="113">
        <v>1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1</v>
      </c>
      <c r="Q169" s="113">
        <v>0</v>
      </c>
      <c r="R169" s="113">
        <v>0</v>
      </c>
      <c r="S169" s="113">
        <v>1</v>
      </c>
      <c r="T169" s="113">
        <v>1</v>
      </c>
      <c r="U169" s="113">
        <v>0</v>
      </c>
      <c r="V169" s="113">
        <v>0</v>
      </c>
      <c r="W169" s="113">
        <v>0</v>
      </c>
      <c r="X169" s="113">
        <v>1</v>
      </c>
      <c r="Y169" s="113">
        <v>0</v>
      </c>
      <c r="Z169" s="113">
        <v>1</v>
      </c>
      <c r="AA169" s="113">
        <v>1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5">
        <f t="shared" si="26"/>
        <v>8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152</v>
      </c>
      <c r="C171" s="41">
        <f t="shared" si="27"/>
        <v>153</v>
      </c>
      <c r="D171" s="41">
        <f t="shared" si="27"/>
        <v>139</v>
      </c>
      <c r="E171" s="41">
        <f t="shared" si="27"/>
        <v>96</v>
      </c>
      <c r="F171" s="41">
        <f t="shared" si="27"/>
        <v>105</v>
      </c>
      <c r="G171" s="41">
        <f t="shared" si="27"/>
        <v>104</v>
      </c>
      <c r="H171" s="41">
        <f t="shared" si="27"/>
        <v>99</v>
      </c>
      <c r="I171" s="41">
        <f t="shared" si="27"/>
        <v>148</v>
      </c>
      <c r="J171" s="41">
        <f t="shared" si="27"/>
        <v>158</v>
      </c>
      <c r="K171" s="41">
        <f t="shared" si="27"/>
        <v>102</v>
      </c>
      <c r="L171" s="41">
        <f t="shared" si="27"/>
        <v>129</v>
      </c>
      <c r="M171" s="41">
        <f t="shared" si="27"/>
        <v>108</v>
      </c>
      <c r="N171" s="41">
        <f t="shared" si="27"/>
        <v>98</v>
      </c>
      <c r="O171" s="41">
        <f t="shared" si="27"/>
        <v>109</v>
      </c>
      <c r="P171" s="41">
        <f t="shared" si="27"/>
        <v>161</v>
      </c>
      <c r="Q171" s="41">
        <f t="shared" si="27"/>
        <v>157</v>
      </c>
      <c r="R171" s="41">
        <f t="shared" si="27"/>
        <v>134</v>
      </c>
      <c r="S171" s="41">
        <f t="shared" si="27"/>
        <v>138</v>
      </c>
      <c r="T171" s="41">
        <f t="shared" si="27"/>
        <v>131</v>
      </c>
      <c r="U171" s="41">
        <f t="shared" si="27"/>
        <v>108</v>
      </c>
      <c r="V171" s="41">
        <f t="shared" si="27"/>
        <v>116</v>
      </c>
      <c r="W171" s="41">
        <f t="shared" si="27"/>
        <v>166</v>
      </c>
      <c r="X171" s="41">
        <f t="shared" si="27"/>
        <v>168</v>
      </c>
      <c r="Y171" s="41">
        <f t="shared" si="27"/>
        <v>122</v>
      </c>
      <c r="Z171" s="41">
        <f t="shared" si="27"/>
        <v>114</v>
      </c>
      <c r="AA171" s="41">
        <f t="shared" si="27"/>
        <v>125</v>
      </c>
      <c r="AB171" s="41">
        <f t="shared" si="27"/>
        <v>110</v>
      </c>
      <c r="AC171" s="41">
        <f t="shared" si="27"/>
        <v>116</v>
      </c>
      <c r="AD171" s="41">
        <f t="shared" si="27"/>
        <v>165</v>
      </c>
      <c r="AE171" s="41">
        <f t="shared" si="27"/>
        <v>162</v>
      </c>
      <c r="AF171" s="41">
        <f t="shared" si="27"/>
        <v>126</v>
      </c>
      <c r="AG171" s="42">
        <f t="shared" si="26"/>
        <v>4019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1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1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1</v>
      </c>
      <c r="AG172" s="43">
        <f t="shared" si="26"/>
        <v>3</v>
      </c>
    </row>
    <row r="173" spans="1:34" ht="15.75" customHeight="1" x14ac:dyDescent="0.25">
      <c r="A173" s="119" t="s">
        <v>37</v>
      </c>
      <c r="B173" s="120">
        <v>2</v>
      </c>
      <c r="C173" s="120">
        <v>2</v>
      </c>
      <c r="D173" s="120">
        <v>0</v>
      </c>
      <c r="E173" s="120">
        <v>1</v>
      </c>
      <c r="F173" s="120">
        <v>2</v>
      </c>
      <c r="G173" s="120">
        <v>1</v>
      </c>
      <c r="H173" s="120">
        <v>5</v>
      </c>
      <c r="I173" s="120">
        <v>4</v>
      </c>
      <c r="J173" s="120">
        <v>1</v>
      </c>
      <c r="K173" s="120">
        <v>1</v>
      </c>
      <c r="L173" s="120">
        <v>0</v>
      </c>
      <c r="M173" s="120">
        <v>2</v>
      </c>
      <c r="N173" s="120">
        <v>3</v>
      </c>
      <c r="O173" s="120">
        <v>1</v>
      </c>
      <c r="P173" s="120">
        <v>1</v>
      </c>
      <c r="Q173" s="120">
        <v>2</v>
      </c>
      <c r="R173" s="120">
        <v>6</v>
      </c>
      <c r="S173" s="120">
        <v>1</v>
      </c>
      <c r="T173" s="120">
        <v>2</v>
      </c>
      <c r="U173" s="120">
        <v>0</v>
      </c>
      <c r="V173" s="120">
        <v>0</v>
      </c>
      <c r="W173" s="120">
        <v>1</v>
      </c>
      <c r="X173" s="120">
        <v>2</v>
      </c>
      <c r="Y173" s="120">
        <v>0</v>
      </c>
      <c r="Z173" s="120">
        <v>2</v>
      </c>
      <c r="AA173" s="120">
        <v>2</v>
      </c>
      <c r="AB173" s="120">
        <v>1</v>
      </c>
      <c r="AC173" s="120">
        <v>4</v>
      </c>
      <c r="AD173" s="120">
        <v>3</v>
      </c>
      <c r="AE173" s="120">
        <v>1</v>
      </c>
      <c r="AF173" s="120">
        <v>2</v>
      </c>
      <c r="AG173" s="44">
        <f t="shared" si="26"/>
        <v>55</v>
      </c>
    </row>
    <row r="174" spans="1:34" ht="15.75" customHeight="1" x14ac:dyDescent="0.25">
      <c r="A174" s="119" t="s">
        <v>38</v>
      </c>
      <c r="B174" s="120">
        <v>21</v>
      </c>
      <c r="C174" s="120">
        <v>13</v>
      </c>
      <c r="D174" s="120">
        <v>25</v>
      </c>
      <c r="E174" s="120">
        <v>19</v>
      </c>
      <c r="F174" s="120">
        <v>10</v>
      </c>
      <c r="G174" s="120">
        <v>13</v>
      </c>
      <c r="H174" s="120">
        <v>16</v>
      </c>
      <c r="I174" s="120">
        <v>19</v>
      </c>
      <c r="J174" s="120">
        <v>20</v>
      </c>
      <c r="K174" s="120">
        <v>17</v>
      </c>
      <c r="L174" s="120">
        <v>14</v>
      </c>
      <c r="M174" s="120">
        <v>23</v>
      </c>
      <c r="N174" s="120">
        <v>23</v>
      </c>
      <c r="O174" s="120">
        <v>10</v>
      </c>
      <c r="P174" s="120">
        <v>23</v>
      </c>
      <c r="Q174" s="120">
        <v>23</v>
      </c>
      <c r="R174" s="120">
        <v>28</v>
      </c>
      <c r="S174" s="120">
        <v>28</v>
      </c>
      <c r="T174" s="120">
        <v>21</v>
      </c>
      <c r="U174" s="120">
        <v>23</v>
      </c>
      <c r="V174" s="120">
        <v>23</v>
      </c>
      <c r="W174" s="120">
        <v>30</v>
      </c>
      <c r="X174" s="120">
        <v>24</v>
      </c>
      <c r="Y174" s="120">
        <v>13</v>
      </c>
      <c r="Z174" s="120">
        <v>16</v>
      </c>
      <c r="AA174" s="120">
        <v>17</v>
      </c>
      <c r="AB174" s="120">
        <v>21</v>
      </c>
      <c r="AC174" s="120">
        <v>25</v>
      </c>
      <c r="AD174" s="120">
        <v>27</v>
      </c>
      <c r="AE174" s="120">
        <v>17</v>
      </c>
      <c r="AF174" s="120">
        <v>22</v>
      </c>
      <c r="AG174" s="44">
        <f t="shared" si="26"/>
        <v>624</v>
      </c>
    </row>
    <row r="175" spans="1:34" ht="15.75" customHeight="1" x14ac:dyDescent="0.25">
      <c r="A175" s="119" t="s">
        <v>39</v>
      </c>
      <c r="B175" s="120">
        <v>120</v>
      </c>
      <c r="C175" s="120">
        <v>112</v>
      </c>
      <c r="D175" s="120">
        <v>81</v>
      </c>
      <c r="E175" s="120">
        <v>63</v>
      </c>
      <c r="F175" s="120">
        <v>77</v>
      </c>
      <c r="G175" s="120">
        <v>76</v>
      </c>
      <c r="H175" s="120">
        <v>58</v>
      </c>
      <c r="I175" s="120">
        <v>103</v>
      </c>
      <c r="J175" s="120">
        <v>118</v>
      </c>
      <c r="K175" s="120">
        <v>78</v>
      </c>
      <c r="L175" s="120">
        <v>104</v>
      </c>
      <c r="M175" s="120">
        <v>70</v>
      </c>
      <c r="N175" s="120">
        <v>67</v>
      </c>
      <c r="O175" s="120">
        <v>84</v>
      </c>
      <c r="P175" s="120">
        <v>109</v>
      </c>
      <c r="Q175" s="120">
        <v>109</v>
      </c>
      <c r="R175" s="120">
        <v>85</v>
      </c>
      <c r="S175" s="120">
        <v>99</v>
      </c>
      <c r="T175" s="120">
        <v>98</v>
      </c>
      <c r="U175" s="120">
        <v>80</v>
      </c>
      <c r="V175" s="120">
        <v>83</v>
      </c>
      <c r="W175" s="120">
        <v>119</v>
      </c>
      <c r="X175" s="120">
        <v>128</v>
      </c>
      <c r="Y175" s="120">
        <v>94</v>
      </c>
      <c r="Z175" s="120">
        <v>80</v>
      </c>
      <c r="AA175" s="120">
        <v>90</v>
      </c>
      <c r="AB175" s="120">
        <v>83</v>
      </c>
      <c r="AC175" s="120">
        <v>79</v>
      </c>
      <c r="AD175" s="120">
        <v>114</v>
      </c>
      <c r="AE175" s="120">
        <v>116</v>
      </c>
      <c r="AF175" s="120">
        <v>93</v>
      </c>
      <c r="AG175" s="44">
        <f t="shared" si="26"/>
        <v>2870</v>
      </c>
    </row>
    <row r="176" spans="1:34" ht="15.75" customHeight="1" thickBot="1" x14ac:dyDescent="0.3">
      <c r="A176" s="121" t="s">
        <v>40</v>
      </c>
      <c r="B176" s="122">
        <v>9</v>
      </c>
      <c r="C176" s="122">
        <v>26</v>
      </c>
      <c r="D176" s="122">
        <v>33</v>
      </c>
      <c r="E176" s="122">
        <v>13</v>
      </c>
      <c r="F176" s="122">
        <v>15</v>
      </c>
      <c r="G176" s="122">
        <v>14</v>
      </c>
      <c r="H176" s="122">
        <v>20</v>
      </c>
      <c r="I176" s="122">
        <v>22</v>
      </c>
      <c r="J176" s="122">
        <v>19</v>
      </c>
      <c r="K176" s="122">
        <v>6</v>
      </c>
      <c r="L176" s="122">
        <v>11</v>
      </c>
      <c r="M176" s="122">
        <v>13</v>
      </c>
      <c r="N176" s="122">
        <v>5</v>
      </c>
      <c r="O176" s="122">
        <v>14</v>
      </c>
      <c r="P176" s="122">
        <v>27</v>
      </c>
      <c r="Q176" s="122">
        <v>23</v>
      </c>
      <c r="R176" s="122">
        <v>15</v>
      </c>
      <c r="S176" s="122">
        <v>10</v>
      </c>
      <c r="T176" s="122">
        <v>10</v>
      </c>
      <c r="U176" s="122">
        <v>5</v>
      </c>
      <c r="V176" s="122">
        <v>10</v>
      </c>
      <c r="W176" s="122">
        <v>16</v>
      </c>
      <c r="X176" s="122">
        <v>14</v>
      </c>
      <c r="Y176" s="122">
        <v>15</v>
      </c>
      <c r="Z176" s="122">
        <v>16</v>
      </c>
      <c r="AA176" s="122">
        <v>16</v>
      </c>
      <c r="AB176" s="122">
        <v>5</v>
      </c>
      <c r="AC176" s="122">
        <v>8</v>
      </c>
      <c r="AD176" s="122">
        <v>21</v>
      </c>
      <c r="AE176" s="122">
        <v>28</v>
      </c>
      <c r="AF176" s="122">
        <v>8</v>
      </c>
      <c r="AG176" s="45">
        <f t="shared" si="26"/>
        <v>467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29" priority="3" operator="lessThan">
      <formula>0</formula>
    </cfRule>
  </conditionalFormatting>
  <conditionalFormatting sqref="AH171">
    <cfRule type="cellIs" dxfId="28" priority="2" operator="equal">
      <formula>"X"</formula>
    </cfRule>
  </conditionalFormatting>
  <conditionalFormatting sqref="AH1:AH1048576">
    <cfRule type="cellIs" dxfId="27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F69EE5EA-4121-420E-9829-33B1BDCF58D3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DFFB1-6AF3-4858-9ADB-91677866D747}">
  <sheetPr codeName="Hoja26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AF22" sqref="AF22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177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122</v>
      </c>
      <c r="C3" s="1">
        <f t="shared" si="1"/>
        <v>105</v>
      </c>
      <c r="D3" s="1">
        <f t="shared" si="1"/>
        <v>114</v>
      </c>
      <c r="E3" s="1">
        <f t="shared" si="1"/>
        <v>99</v>
      </c>
      <c r="F3" s="1">
        <f t="shared" si="1"/>
        <v>172</v>
      </c>
      <c r="G3" s="1">
        <f t="shared" si="1"/>
        <v>172</v>
      </c>
      <c r="H3" s="1">
        <f t="shared" si="1"/>
        <v>130</v>
      </c>
      <c r="I3" s="1">
        <f t="shared" si="1"/>
        <v>119</v>
      </c>
      <c r="J3" s="1">
        <f t="shared" si="1"/>
        <v>107</v>
      </c>
      <c r="K3" s="1">
        <f t="shared" si="1"/>
        <v>101</v>
      </c>
      <c r="L3" s="1">
        <f t="shared" si="1"/>
        <v>109</v>
      </c>
      <c r="M3" s="1">
        <f t="shared" si="1"/>
        <v>174</v>
      </c>
      <c r="N3" s="1">
        <f t="shared" si="1"/>
        <v>174</v>
      </c>
      <c r="O3" s="1">
        <f t="shared" si="1"/>
        <v>137</v>
      </c>
      <c r="P3" s="1">
        <f t="shared" si="1"/>
        <v>109</v>
      </c>
      <c r="Q3" s="1">
        <f t="shared" si="1"/>
        <v>121</v>
      </c>
      <c r="R3" s="1">
        <f t="shared" si="1"/>
        <v>106</v>
      </c>
      <c r="S3" s="1">
        <f t="shared" si="1"/>
        <v>135</v>
      </c>
      <c r="T3" s="1">
        <f t="shared" si="1"/>
        <v>163</v>
      </c>
      <c r="U3" s="1">
        <f t="shared" si="1"/>
        <v>173</v>
      </c>
      <c r="V3" s="1">
        <f t="shared" si="1"/>
        <v>129</v>
      </c>
      <c r="W3" s="1">
        <f t="shared" si="1"/>
        <v>124</v>
      </c>
      <c r="X3" s="1">
        <f t="shared" si="1"/>
        <v>135</v>
      </c>
      <c r="Y3" s="1">
        <f t="shared" si="1"/>
        <v>125</v>
      </c>
      <c r="Z3" s="1">
        <f t="shared" si="1"/>
        <v>115</v>
      </c>
      <c r="AA3" s="1">
        <f t="shared" si="1"/>
        <v>191</v>
      </c>
      <c r="AB3" s="1">
        <f t="shared" si="1"/>
        <v>191</v>
      </c>
      <c r="AC3" s="1">
        <f t="shared" si="1"/>
        <v>136</v>
      </c>
      <c r="AD3" s="1">
        <f t="shared" si="1"/>
        <v>122</v>
      </c>
      <c r="AE3" s="1">
        <f t="shared" si="1"/>
        <v>114</v>
      </c>
      <c r="AF3" s="1">
        <f t="shared" si="1"/>
        <v>0</v>
      </c>
      <c r="AG3" s="2">
        <f t="shared" ref="AG3:AG66" si="2">SUM(B3:AF3)</f>
        <v>4024</v>
      </c>
    </row>
    <row r="4" spans="1:33" ht="18.75" x14ac:dyDescent="0.25">
      <c r="A4" s="53" t="s">
        <v>2</v>
      </c>
      <c r="B4" s="54">
        <v>0</v>
      </c>
      <c r="C4" s="55">
        <v>0</v>
      </c>
      <c r="D4" s="55">
        <v>0</v>
      </c>
      <c r="E4" s="55">
        <v>0</v>
      </c>
      <c r="F4" s="55">
        <v>8</v>
      </c>
      <c r="G4" s="55">
        <v>8</v>
      </c>
      <c r="H4" s="55">
        <v>0</v>
      </c>
      <c r="I4" s="55">
        <v>0</v>
      </c>
      <c r="J4" s="55">
        <v>0</v>
      </c>
      <c r="K4" s="55">
        <v>0</v>
      </c>
      <c r="L4" s="55">
        <v>0</v>
      </c>
      <c r="M4" s="55">
        <v>10</v>
      </c>
      <c r="N4" s="55">
        <v>6</v>
      </c>
      <c r="O4" s="55">
        <v>0</v>
      </c>
      <c r="P4" s="55">
        <v>0</v>
      </c>
      <c r="Q4" s="55">
        <v>0</v>
      </c>
      <c r="R4" s="55">
        <v>0</v>
      </c>
      <c r="S4" s="55">
        <v>6</v>
      </c>
      <c r="T4" s="55">
        <v>7</v>
      </c>
      <c r="U4" s="55">
        <v>6</v>
      </c>
      <c r="V4" s="55">
        <v>0</v>
      </c>
      <c r="W4" s="55">
        <v>0</v>
      </c>
      <c r="X4" s="55">
        <v>0</v>
      </c>
      <c r="Y4" s="55">
        <v>0</v>
      </c>
      <c r="Z4" s="55">
        <v>0</v>
      </c>
      <c r="AA4" s="55">
        <v>7</v>
      </c>
      <c r="AB4" s="55">
        <v>4</v>
      </c>
      <c r="AC4" s="55">
        <v>0</v>
      </c>
      <c r="AD4" s="55">
        <v>0</v>
      </c>
      <c r="AE4" s="55">
        <v>0</v>
      </c>
      <c r="AF4" s="55"/>
      <c r="AG4" s="4">
        <f t="shared" si="2"/>
        <v>62</v>
      </c>
    </row>
    <row r="5" spans="1:33" ht="18.75" x14ac:dyDescent="0.25">
      <c r="A5" s="56" t="s">
        <v>3</v>
      </c>
      <c r="B5" s="54">
        <v>0</v>
      </c>
      <c r="C5" s="54">
        <v>0</v>
      </c>
      <c r="D5" s="54">
        <v>0</v>
      </c>
      <c r="E5" s="54">
        <v>0</v>
      </c>
      <c r="F5" s="54">
        <v>7</v>
      </c>
      <c r="G5" s="54">
        <v>15</v>
      </c>
      <c r="H5" s="54">
        <v>0</v>
      </c>
      <c r="I5" s="54">
        <v>0</v>
      </c>
      <c r="J5" s="54">
        <v>0</v>
      </c>
      <c r="K5" s="54">
        <v>0</v>
      </c>
      <c r="L5" s="54">
        <v>1</v>
      </c>
      <c r="M5" s="54">
        <v>12</v>
      </c>
      <c r="N5" s="54">
        <v>5</v>
      </c>
      <c r="O5" s="54">
        <v>0</v>
      </c>
      <c r="P5" s="54">
        <v>0</v>
      </c>
      <c r="Q5" s="54">
        <v>1</v>
      </c>
      <c r="R5" s="54">
        <v>0</v>
      </c>
      <c r="S5" s="54">
        <v>8</v>
      </c>
      <c r="T5" s="54">
        <v>11</v>
      </c>
      <c r="U5" s="54">
        <v>10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11</v>
      </c>
      <c r="AB5" s="54">
        <v>9</v>
      </c>
      <c r="AC5" s="54">
        <v>0</v>
      </c>
      <c r="AD5" s="54">
        <v>0</v>
      </c>
      <c r="AE5" s="54">
        <v>0</v>
      </c>
      <c r="AF5" s="54"/>
      <c r="AG5" s="5">
        <f t="shared" si="2"/>
        <v>90</v>
      </c>
    </row>
    <row r="6" spans="1:33" ht="18.75" x14ac:dyDescent="0.25">
      <c r="A6" s="56" t="s">
        <v>4</v>
      </c>
      <c r="B6" s="54">
        <v>0</v>
      </c>
      <c r="C6" s="54">
        <v>0</v>
      </c>
      <c r="D6" s="54">
        <v>0</v>
      </c>
      <c r="E6" s="54">
        <v>0</v>
      </c>
      <c r="F6" s="54">
        <v>13</v>
      </c>
      <c r="G6" s="54">
        <v>15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9</v>
      </c>
      <c r="N6" s="54">
        <v>12</v>
      </c>
      <c r="O6" s="54">
        <v>0</v>
      </c>
      <c r="P6" s="54">
        <v>0</v>
      </c>
      <c r="Q6" s="54">
        <v>0</v>
      </c>
      <c r="R6" s="54">
        <v>0</v>
      </c>
      <c r="S6" s="54">
        <v>14</v>
      </c>
      <c r="T6" s="54">
        <v>16</v>
      </c>
      <c r="U6" s="54">
        <v>12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18</v>
      </c>
      <c r="AB6" s="54">
        <v>16</v>
      </c>
      <c r="AC6" s="54">
        <v>0</v>
      </c>
      <c r="AD6" s="54">
        <v>0</v>
      </c>
      <c r="AE6" s="54">
        <v>0</v>
      </c>
      <c r="AF6" s="54"/>
      <c r="AG6" s="5">
        <f t="shared" si="2"/>
        <v>125</v>
      </c>
    </row>
    <row r="7" spans="1:33" ht="18.75" x14ac:dyDescent="0.25">
      <c r="A7" s="56" t="s">
        <v>5</v>
      </c>
      <c r="B7" s="54">
        <v>0</v>
      </c>
      <c r="C7" s="54">
        <v>0</v>
      </c>
      <c r="D7" s="54">
        <v>0</v>
      </c>
      <c r="E7" s="54">
        <v>0</v>
      </c>
      <c r="F7" s="54">
        <v>14</v>
      </c>
      <c r="G7" s="54">
        <v>13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18</v>
      </c>
      <c r="N7" s="54">
        <v>11</v>
      </c>
      <c r="O7" s="54">
        <v>0</v>
      </c>
      <c r="P7" s="54">
        <v>0</v>
      </c>
      <c r="Q7" s="54">
        <v>0</v>
      </c>
      <c r="R7" s="54">
        <v>0</v>
      </c>
      <c r="S7" s="54">
        <v>10</v>
      </c>
      <c r="T7" s="54">
        <v>18</v>
      </c>
      <c r="U7" s="54">
        <v>19</v>
      </c>
      <c r="V7" s="54">
        <v>1</v>
      </c>
      <c r="W7" s="54">
        <v>0</v>
      </c>
      <c r="X7" s="54">
        <v>0</v>
      </c>
      <c r="Y7" s="54">
        <v>0</v>
      </c>
      <c r="Z7" s="54">
        <v>0</v>
      </c>
      <c r="AA7" s="54">
        <v>15</v>
      </c>
      <c r="AB7" s="54">
        <v>23</v>
      </c>
      <c r="AC7" s="54">
        <v>1</v>
      </c>
      <c r="AD7" s="54">
        <v>0</v>
      </c>
      <c r="AE7" s="54">
        <v>0</v>
      </c>
      <c r="AF7" s="54"/>
      <c r="AG7" s="5">
        <f t="shared" si="2"/>
        <v>143</v>
      </c>
    </row>
    <row r="8" spans="1:33" ht="18.75" x14ac:dyDescent="0.25">
      <c r="A8" s="56" t="s">
        <v>6</v>
      </c>
      <c r="B8" s="54">
        <v>0</v>
      </c>
      <c r="C8" s="54">
        <v>0</v>
      </c>
      <c r="D8" s="54">
        <v>0</v>
      </c>
      <c r="E8" s="54">
        <v>0</v>
      </c>
      <c r="F8" s="54">
        <v>14</v>
      </c>
      <c r="G8" s="54">
        <v>7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6</v>
      </c>
      <c r="N8" s="54">
        <v>12</v>
      </c>
      <c r="O8" s="54">
        <v>0</v>
      </c>
      <c r="P8" s="54">
        <v>0</v>
      </c>
      <c r="Q8" s="54">
        <v>0</v>
      </c>
      <c r="R8" s="54">
        <v>0</v>
      </c>
      <c r="S8" s="54">
        <v>13</v>
      </c>
      <c r="T8" s="54">
        <v>10</v>
      </c>
      <c r="U8" s="54">
        <v>11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15</v>
      </c>
      <c r="AB8" s="54">
        <v>22</v>
      </c>
      <c r="AC8" s="54">
        <v>0</v>
      </c>
      <c r="AD8" s="54">
        <v>0</v>
      </c>
      <c r="AE8" s="54">
        <v>0</v>
      </c>
      <c r="AF8" s="54"/>
      <c r="AG8" s="5">
        <f t="shared" si="2"/>
        <v>110</v>
      </c>
    </row>
    <row r="9" spans="1:33" ht="18.75" x14ac:dyDescent="0.25">
      <c r="A9" s="56" t="s">
        <v>7</v>
      </c>
      <c r="B9" s="54">
        <v>0</v>
      </c>
      <c r="C9" s="54">
        <v>0</v>
      </c>
      <c r="D9" s="54">
        <v>0</v>
      </c>
      <c r="E9" s="54">
        <v>0</v>
      </c>
      <c r="F9" s="54">
        <v>4</v>
      </c>
      <c r="G9" s="54">
        <v>12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54">
        <v>16</v>
      </c>
      <c r="N9" s="54">
        <v>12</v>
      </c>
      <c r="O9" s="54">
        <v>0</v>
      </c>
      <c r="P9" s="54">
        <v>0</v>
      </c>
      <c r="Q9" s="54">
        <v>0</v>
      </c>
      <c r="R9" s="54">
        <v>0</v>
      </c>
      <c r="S9" s="54">
        <v>6</v>
      </c>
      <c r="T9" s="54">
        <v>7</v>
      </c>
      <c r="U9" s="54">
        <v>8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10</v>
      </c>
      <c r="AB9" s="54">
        <v>10</v>
      </c>
      <c r="AC9" s="54">
        <v>0</v>
      </c>
      <c r="AD9" s="54">
        <v>0</v>
      </c>
      <c r="AE9" s="54">
        <v>0</v>
      </c>
      <c r="AF9" s="54"/>
      <c r="AG9" s="5">
        <f t="shared" si="2"/>
        <v>85</v>
      </c>
    </row>
    <row r="10" spans="1:33" ht="18.75" x14ac:dyDescent="0.25">
      <c r="A10" s="56" t="s">
        <v>8</v>
      </c>
      <c r="B10" s="54">
        <v>0</v>
      </c>
      <c r="C10" s="54">
        <v>0</v>
      </c>
      <c r="D10" s="54">
        <v>0</v>
      </c>
      <c r="E10" s="54">
        <v>0</v>
      </c>
      <c r="F10" s="54">
        <v>9</v>
      </c>
      <c r="G10" s="54">
        <v>8</v>
      </c>
      <c r="H10" s="54">
        <v>0</v>
      </c>
      <c r="I10" s="54">
        <v>0</v>
      </c>
      <c r="J10" s="54">
        <v>0</v>
      </c>
      <c r="K10" s="54">
        <v>0</v>
      </c>
      <c r="L10" s="54">
        <v>0</v>
      </c>
      <c r="M10" s="54">
        <v>4</v>
      </c>
      <c r="N10" s="54">
        <v>17</v>
      </c>
      <c r="O10" s="54">
        <v>0</v>
      </c>
      <c r="P10" s="54">
        <v>0</v>
      </c>
      <c r="Q10" s="54">
        <v>0</v>
      </c>
      <c r="R10" s="54">
        <v>0</v>
      </c>
      <c r="S10" s="54">
        <v>8</v>
      </c>
      <c r="T10" s="54">
        <v>5</v>
      </c>
      <c r="U10" s="54">
        <v>19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14</v>
      </c>
      <c r="AB10" s="54">
        <v>7</v>
      </c>
      <c r="AC10" s="54">
        <v>0</v>
      </c>
      <c r="AD10" s="54">
        <v>0</v>
      </c>
      <c r="AE10" s="54">
        <v>0</v>
      </c>
      <c r="AF10" s="54"/>
      <c r="AG10" s="5">
        <f t="shared" si="2"/>
        <v>91</v>
      </c>
    </row>
    <row r="11" spans="1:33" ht="18.75" x14ac:dyDescent="0.25">
      <c r="A11" s="56" t="s">
        <v>9</v>
      </c>
      <c r="B11" s="54">
        <v>0</v>
      </c>
      <c r="C11" s="54">
        <v>0</v>
      </c>
      <c r="D11" s="54">
        <v>0</v>
      </c>
      <c r="E11" s="54">
        <v>2</v>
      </c>
      <c r="F11" s="54">
        <v>16</v>
      </c>
      <c r="G11" s="54">
        <v>11</v>
      </c>
      <c r="H11" s="54">
        <v>0</v>
      </c>
      <c r="I11" s="54">
        <v>0</v>
      </c>
      <c r="J11" s="54">
        <v>0</v>
      </c>
      <c r="K11" s="54">
        <v>0</v>
      </c>
      <c r="L11" s="54">
        <v>8</v>
      </c>
      <c r="M11" s="54">
        <v>10</v>
      </c>
      <c r="N11" s="54">
        <v>16</v>
      </c>
      <c r="O11" s="54">
        <v>0</v>
      </c>
      <c r="P11" s="54">
        <v>0</v>
      </c>
      <c r="Q11" s="54">
        <v>0</v>
      </c>
      <c r="R11" s="54">
        <v>0</v>
      </c>
      <c r="S11" s="54">
        <v>13</v>
      </c>
      <c r="T11" s="54">
        <v>8</v>
      </c>
      <c r="U11" s="54">
        <v>9</v>
      </c>
      <c r="V11" s="54">
        <v>0</v>
      </c>
      <c r="W11" s="54">
        <v>0</v>
      </c>
      <c r="X11" s="54">
        <v>0</v>
      </c>
      <c r="Y11" s="54">
        <v>0</v>
      </c>
      <c r="Z11" s="54">
        <v>8</v>
      </c>
      <c r="AA11" s="54">
        <v>14</v>
      </c>
      <c r="AB11" s="54">
        <v>16</v>
      </c>
      <c r="AC11" s="54">
        <v>0</v>
      </c>
      <c r="AD11" s="54">
        <v>0</v>
      </c>
      <c r="AE11" s="54">
        <v>0</v>
      </c>
      <c r="AF11" s="54"/>
      <c r="AG11" s="5">
        <f t="shared" si="2"/>
        <v>131</v>
      </c>
    </row>
    <row r="12" spans="1:33" ht="18.75" x14ac:dyDescent="0.25">
      <c r="A12" s="56" t="s">
        <v>10</v>
      </c>
      <c r="B12" s="54">
        <v>0</v>
      </c>
      <c r="C12" s="54">
        <v>6</v>
      </c>
      <c r="D12" s="54">
        <v>0</v>
      </c>
      <c r="E12" s="54">
        <v>30</v>
      </c>
      <c r="F12" s="54">
        <v>15</v>
      </c>
      <c r="G12" s="54">
        <v>19</v>
      </c>
      <c r="H12" s="54">
        <v>0</v>
      </c>
      <c r="I12" s="54">
        <v>4</v>
      </c>
      <c r="J12" s="54">
        <v>7</v>
      </c>
      <c r="K12" s="54">
        <v>9</v>
      </c>
      <c r="L12" s="54">
        <v>27</v>
      </c>
      <c r="M12" s="54">
        <v>12</v>
      </c>
      <c r="N12" s="54">
        <v>12</v>
      </c>
      <c r="O12" s="54">
        <v>0</v>
      </c>
      <c r="P12" s="54">
        <v>8</v>
      </c>
      <c r="Q12" s="54">
        <v>12</v>
      </c>
      <c r="R12" s="54">
        <v>4</v>
      </c>
      <c r="S12" s="54">
        <v>8</v>
      </c>
      <c r="T12" s="54">
        <v>20</v>
      </c>
      <c r="U12" s="54">
        <v>13</v>
      </c>
      <c r="V12" s="54">
        <v>0</v>
      </c>
      <c r="W12" s="54">
        <v>8</v>
      </c>
      <c r="X12" s="54">
        <v>6</v>
      </c>
      <c r="Y12" s="54">
        <v>8</v>
      </c>
      <c r="Z12" s="54">
        <v>34</v>
      </c>
      <c r="AA12" s="54">
        <v>16</v>
      </c>
      <c r="AB12" s="54">
        <v>13</v>
      </c>
      <c r="AC12" s="54">
        <v>0</v>
      </c>
      <c r="AD12" s="54">
        <v>10</v>
      </c>
      <c r="AE12" s="54">
        <v>10</v>
      </c>
      <c r="AF12" s="54"/>
      <c r="AG12" s="5">
        <f t="shared" si="2"/>
        <v>311</v>
      </c>
    </row>
    <row r="13" spans="1:33" ht="18.75" x14ac:dyDescent="0.25">
      <c r="A13" s="56" t="s">
        <v>11</v>
      </c>
      <c r="B13" s="54">
        <v>58</v>
      </c>
      <c r="C13" s="54">
        <v>43</v>
      </c>
      <c r="D13" s="54">
        <v>50</v>
      </c>
      <c r="E13" s="54">
        <v>13</v>
      </c>
      <c r="F13" s="54">
        <v>17</v>
      </c>
      <c r="G13" s="54">
        <v>7</v>
      </c>
      <c r="H13" s="54">
        <v>57</v>
      </c>
      <c r="I13" s="54">
        <v>55</v>
      </c>
      <c r="J13" s="54">
        <v>39</v>
      </c>
      <c r="K13" s="54">
        <v>34</v>
      </c>
      <c r="L13" s="54">
        <v>24</v>
      </c>
      <c r="M13" s="54">
        <v>10</v>
      </c>
      <c r="N13" s="54">
        <v>6</v>
      </c>
      <c r="O13" s="54">
        <v>65</v>
      </c>
      <c r="P13" s="54">
        <v>41</v>
      </c>
      <c r="Q13" s="54">
        <v>52</v>
      </c>
      <c r="R13" s="54">
        <v>44</v>
      </c>
      <c r="S13" s="54">
        <v>12</v>
      </c>
      <c r="T13" s="54">
        <v>9</v>
      </c>
      <c r="U13" s="54">
        <v>12</v>
      </c>
      <c r="V13" s="54">
        <v>58</v>
      </c>
      <c r="W13" s="54">
        <v>43</v>
      </c>
      <c r="X13" s="54">
        <v>56</v>
      </c>
      <c r="Y13" s="54">
        <v>51</v>
      </c>
      <c r="Z13" s="54">
        <v>16</v>
      </c>
      <c r="AA13" s="54">
        <v>12</v>
      </c>
      <c r="AB13" s="54">
        <v>12</v>
      </c>
      <c r="AC13" s="54">
        <v>64</v>
      </c>
      <c r="AD13" s="54">
        <v>51</v>
      </c>
      <c r="AE13" s="54">
        <v>49</v>
      </c>
      <c r="AF13" s="54"/>
      <c r="AG13" s="5">
        <f t="shared" si="2"/>
        <v>1060</v>
      </c>
    </row>
    <row r="14" spans="1:33" ht="18.75" x14ac:dyDescent="0.25">
      <c r="A14" s="56" t="s">
        <v>12</v>
      </c>
      <c r="B14" s="54">
        <v>12</v>
      </c>
      <c r="C14" s="54">
        <v>11</v>
      </c>
      <c r="D14" s="54">
        <v>14</v>
      </c>
      <c r="E14" s="54">
        <v>9</v>
      </c>
      <c r="F14" s="54">
        <v>5</v>
      </c>
      <c r="G14" s="54">
        <v>8</v>
      </c>
      <c r="H14" s="54">
        <v>17</v>
      </c>
      <c r="I14" s="54">
        <v>14</v>
      </c>
      <c r="J14" s="54">
        <v>16</v>
      </c>
      <c r="K14" s="54">
        <v>15</v>
      </c>
      <c r="L14" s="54">
        <v>17</v>
      </c>
      <c r="M14" s="54">
        <v>14</v>
      </c>
      <c r="N14" s="54">
        <v>11</v>
      </c>
      <c r="O14" s="54">
        <v>18</v>
      </c>
      <c r="P14" s="54">
        <v>15</v>
      </c>
      <c r="Q14" s="54">
        <v>10</v>
      </c>
      <c r="R14" s="54">
        <v>9</v>
      </c>
      <c r="S14" s="54">
        <v>9</v>
      </c>
      <c r="T14" s="54">
        <v>9</v>
      </c>
      <c r="U14" s="54">
        <v>12</v>
      </c>
      <c r="V14" s="54">
        <v>19</v>
      </c>
      <c r="W14" s="54">
        <v>15</v>
      </c>
      <c r="X14" s="54">
        <v>20</v>
      </c>
      <c r="Y14" s="54">
        <v>17</v>
      </c>
      <c r="Z14" s="54">
        <v>9</v>
      </c>
      <c r="AA14" s="54">
        <v>10</v>
      </c>
      <c r="AB14" s="54">
        <v>6</v>
      </c>
      <c r="AC14" s="54">
        <v>17</v>
      </c>
      <c r="AD14" s="54">
        <v>14</v>
      </c>
      <c r="AE14" s="54">
        <v>8</v>
      </c>
      <c r="AF14" s="54"/>
      <c r="AG14" s="5">
        <f t="shared" si="2"/>
        <v>380</v>
      </c>
    </row>
    <row r="15" spans="1:33" ht="18.75" x14ac:dyDescent="0.25">
      <c r="A15" s="56" t="s">
        <v>13</v>
      </c>
      <c r="B15" s="54">
        <v>13</v>
      </c>
      <c r="C15" s="54">
        <v>10</v>
      </c>
      <c r="D15" s="54">
        <v>5</v>
      </c>
      <c r="E15" s="54">
        <v>11</v>
      </c>
      <c r="F15" s="54">
        <v>8</v>
      </c>
      <c r="G15" s="54">
        <v>8</v>
      </c>
      <c r="H15" s="54">
        <v>13</v>
      </c>
      <c r="I15" s="54">
        <v>19</v>
      </c>
      <c r="J15" s="54">
        <v>8</v>
      </c>
      <c r="K15" s="54">
        <v>11</v>
      </c>
      <c r="L15" s="54">
        <v>6</v>
      </c>
      <c r="M15" s="54">
        <v>10</v>
      </c>
      <c r="N15" s="54">
        <v>10</v>
      </c>
      <c r="O15" s="54">
        <v>16</v>
      </c>
      <c r="P15" s="54">
        <v>12</v>
      </c>
      <c r="Q15" s="54">
        <v>12</v>
      </c>
      <c r="R15" s="54">
        <v>13</v>
      </c>
      <c r="S15" s="54">
        <v>6</v>
      </c>
      <c r="T15" s="54">
        <v>8</v>
      </c>
      <c r="U15" s="54">
        <v>13</v>
      </c>
      <c r="V15" s="54">
        <v>8</v>
      </c>
      <c r="W15" s="54">
        <v>10</v>
      </c>
      <c r="X15" s="54">
        <v>15</v>
      </c>
      <c r="Y15" s="54">
        <v>12</v>
      </c>
      <c r="Z15" s="54">
        <v>12</v>
      </c>
      <c r="AA15" s="54">
        <v>6</v>
      </c>
      <c r="AB15" s="54">
        <v>12</v>
      </c>
      <c r="AC15" s="54">
        <v>10</v>
      </c>
      <c r="AD15" s="54">
        <v>13</v>
      </c>
      <c r="AE15" s="54">
        <v>13</v>
      </c>
      <c r="AF15" s="54"/>
      <c r="AG15" s="5">
        <f t="shared" si="2"/>
        <v>323</v>
      </c>
    </row>
    <row r="16" spans="1:33" ht="18.75" x14ac:dyDescent="0.25">
      <c r="A16" s="56" t="s">
        <v>14</v>
      </c>
      <c r="B16" s="54">
        <v>15</v>
      </c>
      <c r="C16" s="54">
        <v>11</v>
      </c>
      <c r="D16" s="54">
        <v>9</v>
      </c>
      <c r="E16" s="54">
        <v>10</v>
      </c>
      <c r="F16" s="54">
        <v>8</v>
      </c>
      <c r="G16" s="54">
        <v>9</v>
      </c>
      <c r="H16" s="54">
        <v>16</v>
      </c>
      <c r="I16" s="54">
        <v>6</v>
      </c>
      <c r="J16" s="54">
        <v>8</v>
      </c>
      <c r="K16" s="54">
        <v>8</v>
      </c>
      <c r="L16" s="54">
        <v>4</v>
      </c>
      <c r="M16" s="54">
        <v>7</v>
      </c>
      <c r="N16" s="54">
        <v>6</v>
      </c>
      <c r="O16" s="54">
        <v>8</v>
      </c>
      <c r="P16" s="54">
        <v>5</v>
      </c>
      <c r="Q16" s="54">
        <v>7</v>
      </c>
      <c r="R16" s="54">
        <v>10</v>
      </c>
      <c r="S16" s="54">
        <v>4</v>
      </c>
      <c r="T16" s="54">
        <v>6</v>
      </c>
      <c r="U16" s="54">
        <v>7</v>
      </c>
      <c r="V16" s="54">
        <v>12</v>
      </c>
      <c r="W16" s="54">
        <v>7</v>
      </c>
      <c r="X16" s="54">
        <v>10</v>
      </c>
      <c r="Y16" s="54">
        <v>13</v>
      </c>
      <c r="Z16" s="54">
        <v>7</v>
      </c>
      <c r="AA16" s="54">
        <v>8</v>
      </c>
      <c r="AB16" s="54">
        <v>15</v>
      </c>
      <c r="AC16" s="54">
        <v>15</v>
      </c>
      <c r="AD16" s="54">
        <v>9</v>
      </c>
      <c r="AE16" s="54">
        <v>9</v>
      </c>
      <c r="AF16" s="54"/>
      <c r="AG16" s="5">
        <f t="shared" si="2"/>
        <v>269</v>
      </c>
    </row>
    <row r="17" spans="1:33" ht="18.75" x14ac:dyDescent="0.25">
      <c r="A17" s="56" t="s">
        <v>15</v>
      </c>
      <c r="B17" s="54">
        <v>8</v>
      </c>
      <c r="C17" s="54">
        <v>6</v>
      </c>
      <c r="D17" s="54">
        <v>13</v>
      </c>
      <c r="E17" s="54">
        <v>9</v>
      </c>
      <c r="F17" s="54">
        <v>6</v>
      </c>
      <c r="G17" s="54">
        <v>8</v>
      </c>
      <c r="H17" s="54">
        <v>12</v>
      </c>
      <c r="I17" s="54">
        <v>8</v>
      </c>
      <c r="J17" s="54">
        <v>12</v>
      </c>
      <c r="K17" s="54">
        <v>7</v>
      </c>
      <c r="L17" s="54">
        <v>8</v>
      </c>
      <c r="M17" s="54">
        <v>6</v>
      </c>
      <c r="N17" s="54">
        <v>9</v>
      </c>
      <c r="O17" s="54">
        <v>5</v>
      </c>
      <c r="P17" s="54">
        <v>6</v>
      </c>
      <c r="Q17" s="54">
        <v>7</v>
      </c>
      <c r="R17" s="54">
        <v>4</v>
      </c>
      <c r="S17" s="54">
        <v>7</v>
      </c>
      <c r="T17" s="54">
        <v>6</v>
      </c>
      <c r="U17" s="54">
        <v>4</v>
      </c>
      <c r="V17" s="54">
        <v>8</v>
      </c>
      <c r="W17" s="54">
        <v>16</v>
      </c>
      <c r="X17" s="54">
        <v>6</v>
      </c>
      <c r="Y17" s="54">
        <v>7</v>
      </c>
      <c r="Z17" s="54">
        <v>7</v>
      </c>
      <c r="AA17" s="54">
        <v>9</v>
      </c>
      <c r="AB17" s="54">
        <v>8</v>
      </c>
      <c r="AC17" s="54">
        <v>9</v>
      </c>
      <c r="AD17" s="54">
        <v>8</v>
      </c>
      <c r="AE17" s="54">
        <v>9</v>
      </c>
      <c r="AF17" s="54"/>
      <c r="AG17" s="5">
        <f t="shared" si="2"/>
        <v>238</v>
      </c>
    </row>
    <row r="18" spans="1:33" ht="18.75" x14ac:dyDescent="0.25">
      <c r="A18" s="56" t="s">
        <v>16</v>
      </c>
      <c r="B18" s="54">
        <v>4</v>
      </c>
      <c r="C18" s="54">
        <v>4</v>
      </c>
      <c r="D18" s="54">
        <v>8</v>
      </c>
      <c r="E18" s="54">
        <v>5</v>
      </c>
      <c r="F18" s="54">
        <v>5</v>
      </c>
      <c r="G18" s="54">
        <v>4</v>
      </c>
      <c r="H18" s="54">
        <v>7</v>
      </c>
      <c r="I18" s="54">
        <v>5</v>
      </c>
      <c r="J18" s="54">
        <v>4</v>
      </c>
      <c r="K18" s="54">
        <v>4</v>
      </c>
      <c r="L18" s="54">
        <v>6</v>
      </c>
      <c r="M18" s="54">
        <v>3</v>
      </c>
      <c r="N18" s="54">
        <v>11</v>
      </c>
      <c r="O18" s="54">
        <v>12</v>
      </c>
      <c r="P18" s="54">
        <v>5</v>
      </c>
      <c r="Q18" s="54">
        <v>3</v>
      </c>
      <c r="R18" s="54">
        <v>10</v>
      </c>
      <c r="S18" s="54">
        <v>2</v>
      </c>
      <c r="T18" s="54">
        <v>5</v>
      </c>
      <c r="U18" s="54">
        <v>5</v>
      </c>
      <c r="V18" s="54">
        <v>1</v>
      </c>
      <c r="W18" s="54">
        <v>4</v>
      </c>
      <c r="X18" s="54">
        <v>8</v>
      </c>
      <c r="Y18" s="54">
        <v>1</v>
      </c>
      <c r="Z18" s="54">
        <v>8</v>
      </c>
      <c r="AA18" s="54">
        <v>1</v>
      </c>
      <c r="AB18" s="54">
        <v>7</v>
      </c>
      <c r="AC18" s="54">
        <v>8</v>
      </c>
      <c r="AD18" s="54">
        <v>6</v>
      </c>
      <c r="AE18" s="54">
        <v>4</v>
      </c>
      <c r="AF18" s="54"/>
      <c r="AG18" s="5">
        <f t="shared" si="2"/>
        <v>160</v>
      </c>
    </row>
    <row r="19" spans="1:33" ht="18.75" x14ac:dyDescent="0.25">
      <c r="A19" s="56" t="s">
        <v>17</v>
      </c>
      <c r="B19" s="54">
        <v>5</v>
      </c>
      <c r="C19" s="54">
        <v>4</v>
      </c>
      <c r="D19" s="54">
        <v>7</v>
      </c>
      <c r="E19" s="54">
        <v>4</v>
      </c>
      <c r="F19" s="54">
        <v>8</v>
      </c>
      <c r="G19" s="54">
        <v>2</v>
      </c>
      <c r="H19" s="54">
        <v>3</v>
      </c>
      <c r="I19" s="54">
        <v>1</v>
      </c>
      <c r="J19" s="54">
        <v>8</v>
      </c>
      <c r="K19" s="54">
        <v>3</v>
      </c>
      <c r="L19" s="54">
        <v>2</v>
      </c>
      <c r="M19" s="54">
        <v>8</v>
      </c>
      <c r="N19" s="54">
        <v>5</v>
      </c>
      <c r="O19" s="54">
        <v>7</v>
      </c>
      <c r="P19" s="54">
        <v>4</v>
      </c>
      <c r="Q19" s="54">
        <v>6</v>
      </c>
      <c r="R19" s="54">
        <v>5</v>
      </c>
      <c r="S19" s="54">
        <v>2</v>
      </c>
      <c r="T19" s="54">
        <v>7</v>
      </c>
      <c r="U19" s="54">
        <v>4</v>
      </c>
      <c r="V19" s="54">
        <v>5</v>
      </c>
      <c r="W19" s="54">
        <v>6</v>
      </c>
      <c r="X19" s="54">
        <v>2</v>
      </c>
      <c r="Y19" s="54">
        <v>3</v>
      </c>
      <c r="Z19" s="54">
        <v>5</v>
      </c>
      <c r="AA19" s="54">
        <v>9</v>
      </c>
      <c r="AB19" s="54">
        <v>4</v>
      </c>
      <c r="AC19" s="54">
        <v>3</v>
      </c>
      <c r="AD19" s="54">
        <v>3</v>
      </c>
      <c r="AE19" s="54">
        <v>3</v>
      </c>
      <c r="AF19" s="54"/>
      <c r="AG19" s="5">
        <f t="shared" si="2"/>
        <v>138</v>
      </c>
    </row>
    <row r="20" spans="1:33" ht="18.75" x14ac:dyDescent="0.25">
      <c r="A20" s="56" t="s">
        <v>18</v>
      </c>
      <c r="B20" s="54">
        <v>1</v>
      </c>
      <c r="C20" s="54">
        <v>5</v>
      </c>
      <c r="D20" s="54">
        <v>5</v>
      </c>
      <c r="E20" s="54">
        <v>2</v>
      </c>
      <c r="F20" s="54">
        <v>7</v>
      </c>
      <c r="G20" s="54">
        <v>5</v>
      </c>
      <c r="H20" s="54">
        <v>1</v>
      </c>
      <c r="I20" s="54">
        <v>1</v>
      </c>
      <c r="J20" s="54">
        <v>2</v>
      </c>
      <c r="K20" s="54">
        <v>4</v>
      </c>
      <c r="L20" s="54">
        <v>2</v>
      </c>
      <c r="M20" s="54">
        <v>2</v>
      </c>
      <c r="N20" s="54">
        <v>6</v>
      </c>
      <c r="O20" s="54">
        <v>2</v>
      </c>
      <c r="P20" s="54">
        <v>4</v>
      </c>
      <c r="Q20" s="54">
        <v>4</v>
      </c>
      <c r="R20" s="54">
        <v>1</v>
      </c>
      <c r="S20" s="54">
        <v>0</v>
      </c>
      <c r="T20" s="54">
        <v>2</v>
      </c>
      <c r="U20" s="54">
        <v>4</v>
      </c>
      <c r="V20" s="54">
        <v>4</v>
      </c>
      <c r="W20" s="54">
        <v>1</v>
      </c>
      <c r="X20" s="54">
        <v>6</v>
      </c>
      <c r="Y20" s="54">
        <v>3</v>
      </c>
      <c r="Z20" s="54">
        <v>3</v>
      </c>
      <c r="AA20" s="54">
        <v>3</v>
      </c>
      <c r="AB20" s="54">
        <v>2</v>
      </c>
      <c r="AC20" s="54">
        <v>1</v>
      </c>
      <c r="AD20" s="54">
        <v>3</v>
      </c>
      <c r="AE20" s="54">
        <v>1</v>
      </c>
      <c r="AF20" s="54"/>
      <c r="AG20" s="5">
        <f t="shared" si="2"/>
        <v>87</v>
      </c>
    </row>
    <row r="21" spans="1:33" ht="15.75" customHeight="1" x14ac:dyDescent="0.25">
      <c r="A21" s="56" t="s">
        <v>19</v>
      </c>
      <c r="B21" s="54">
        <v>2</v>
      </c>
      <c r="C21" s="54">
        <v>2</v>
      </c>
      <c r="D21" s="54">
        <v>1</v>
      </c>
      <c r="E21" s="54">
        <v>2</v>
      </c>
      <c r="F21" s="54">
        <v>1</v>
      </c>
      <c r="G21" s="54">
        <v>4</v>
      </c>
      <c r="H21" s="54">
        <v>2</v>
      </c>
      <c r="I21" s="54">
        <v>0</v>
      </c>
      <c r="J21" s="54">
        <v>2</v>
      </c>
      <c r="K21" s="54">
        <v>3</v>
      </c>
      <c r="L21" s="54">
        <v>2</v>
      </c>
      <c r="M21" s="54">
        <v>6</v>
      </c>
      <c r="N21" s="54">
        <v>1</v>
      </c>
      <c r="O21" s="54">
        <v>2</v>
      </c>
      <c r="P21" s="54">
        <v>4</v>
      </c>
      <c r="Q21" s="54">
        <v>0</v>
      </c>
      <c r="R21" s="54">
        <v>0</v>
      </c>
      <c r="S21" s="54">
        <v>3</v>
      </c>
      <c r="T21" s="54">
        <v>3</v>
      </c>
      <c r="U21" s="54">
        <v>0</v>
      </c>
      <c r="V21" s="54">
        <v>2</v>
      </c>
      <c r="W21" s="54">
        <v>2</v>
      </c>
      <c r="X21" s="54">
        <v>1</v>
      </c>
      <c r="Y21" s="54">
        <v>3</v>
      </c>
      <c r="Z21" s="54">
        <v>0</v>
      </c>
      <c r="AA21" s="54">
        <v>1</v>
      </c>
      <c r="AB21" s="54">
        <v>0</v>
      </c>
      <c r="AC21" s="54">
        <v>4</v>
      </c>
      <c r="AD21" s="54">
        <v>3</v>
      </c>
      <c r="AE21" s="54">
        <v>2</v>
      </c>
      <c r="AF21" s="54"/>
      <c r="AG21" s="5">
        <f t="shared" si="2"/>
        <v>58</v>
      </c>
    </row>
    <row r="22" spans="1:33" ht="15.75" customHeight="1" x14ac:dyDescent="0.25">
      <c r="A22" s="56" t="s">
        <v>20</v>
      </c>
      <c r="B22" s="54">
        <v>3</v>
      </c>
      <c r="C22" s="54">
        <v>0</v>
      </c>
      <c r="D22" s="54">
        <v>1</v>
      </c>
      <c r="E22" s="54">
        <v>1</v>
      </c>
      <c r="F22" s="54">
        <v>0</v>
      </c>
      <c r="G22" s="54">
        <v>2</v>
      </c>
      <c r="H22" s="54">
        <v>1</v>
      </c>
      <c r="I22" s="54">
        <v>0</v>
      </c>
      <c r="J22" s="54">
        <v>0</v>
      </c>
      <c r="K22" s="54">
        <v>0</v>
      </c>
      <c r="L22" s="54">
        <v>2</v>
      </c>
      <c r="M22" s="54">
        <v>3</v>
      </c>
      <c r="N22" s="54">
        <v>0</v>
      </c>
      <c r="O22" s="54">
        <v>0</v>
      </c>
      <c r="P22" s="54">
        <v>3</v>
      </c>
      <c r="Q22" s="54">
        <v>3</v>
      </c>
      <c r="R22" s="54">
        <v>2</v>
      </c>
      <c r="S22" s="54">
        <v>0</v>
      </c>
      <c r="T22" s="54">
        <v>0</v>
      </c>
      <c r="U22" s="54">
        <v>2</v>
      </c>
      <c r="V22" s="54">
        <v>3</v>
      </c>
      <c r="W22" s="54">
        <v>3</v>
      </c>
      <c r="X22" s="54">
        <v>1</v>
      </c>
      <c r="Y22" s="54">
        <v>2</v>
      </c>
      <c r="Z22" s="54">
        <v>0</v>
      </c>
      <c r="AA22" s="54">
        <v>3</v>
      </c>
      <c r="AB22" s="54">
        <v>1</v>
      </c>
      <c r="AC22" s="54">
        <v>3</v>
      </c>
      <c r="AD22" s="54">
        <v>1</v>
      </c>
      <c r="AE22" s="54">
        <v>0</v>
      </c>
      <c r="AF22" s="54"/>
      <c r="AG22" s="5">
        <f t="shared" si="2"/>
        <v>40</v>
      </c>
    </row>
    <row r="23" spans="1:33" ht="15.75" customHeight="1" x14ac:dyDescent="0.25">
      <c r="A23" s="56" t="s">
        <v>21</v>
      </c>
      <c r="B23" s="54">
        <v>0</v>
      </c>
      <c r="C23" s="54">
        <v>2</v>
      </c>
      <c r="D23" s="54">
        <v>1</v>
      </c>
      <c r="E23" s="54">
        <v>0</v>
      </c>
      <c r="F23" s="54">
        <v>2</v>
      </c>
      <c r="G23" s="54">
        <v>2</v>
      </c>
      <c r="H23" s="54">
        <v>0</v>
      </c>
      <c r="I23" s="54">
        <v>1</v>
      </c>
      <c r="J23" s="54">
        <v>1</v>
      </c>
      <c r="K23" s="54">
        <v>1</v>
      </c>
      <c r="L23" s="54">
        <v>0</v>
      </c>
      <c r="M23" s="54">
        <v>1</v>
      </c>
      <c r="N23" s="54">
        <v>1</v>
      </c>
      <c r="O23" s="54">
        <v>1</v>
      </c>
      <c r="P23" s="54">
        <v>1</v>
      </c>
      <c r="Q23" s="54">
        <v>2</v>
      </c>
      <c r="R23" s="54">
        <v>0</v>
      </c>
      <c r="S23" s="54">
        <v>1</v>
      </c>
      <c r="T23" s="54">
        <v>3</v>
      </c>
      <c r="U23" s="54">
        <v>1</v>
      </c>
      <c r="V23" s="54">
        <v>1</v>
      </c>
      <c r="W23" s="54">
        <v>4</v>
      </c>
      <c r="X23" s="54">
        <v>1</v>
      </c>
      <c r="Y23" s="54">
        <v>0</v>
      </c>
      <c r="Z23" s="54">
        <v>2</v>
      </c>
      <c r="AA23" s="54">
        <v>0</v>
      </c>
      <c r="AB23" s="54">
        <v>1</v>
      </c>
      <c r="AC23" s="54">
        <v>0</v>
      </c>
      <c r="AD23" s="54">
        <v>1</v>
      </c>
      <c r="AE23" s="54">
        <v>0</v>
      </c>
      <c r="AF23" s="54"/>
      <c r="AG23" s="5">
        <f t="shared" si="2"/>
        <v>31</v>
      </c>
    </row>
    <row r="24" spans="1:33" ht="15.75" customHeight="1" x14ac:dyDescent="0.25">
      <c r="A24" s="56" t="s">
        <v>22</v>
      </c>
      <c r="B24" s="54">
        <v>0</v>
      </c>
      <c r="C24" s="54">
        <v>1</v>
      </c>
      <c r="D24" s="54">
        <v>0</v>
      </c>
      <c r="E24" s="54">
        <v>0</v>
      </c>
      <c r="F24" s="54">
        <v>0</v>
      </c>
      <c r="G24" s="54">
        <v>1</v>
      </c>
      <c r="H24" s="54">
        <v>1</v>
      </c>
      <c r="I24" s="54">
        <v>2</v>
      </c>
      <c r="J24" s="54">
        <v>0</v>
      </c>
      <c r="K24" s="54">
        <v>1</v>
      </c>
      <c r="L24" s="54">
        <v>0</v>
      </c>
      <c r="M24" s="54">
        <v>3</v>
      </c>
      <c r="N24" s="54">
        <v>0</v>
      </c>
      <c r="O24" s="54">
        <v>1</v>
      </c>
      <c r="P24" s="54">
        <v>0</v>
      </c>
      <c r="Q24" s="54">
        <v>1</v>
      </c>
      <c r="R24" s="54">
        <v>1</v>
      </c>
      <c r="S24" s="54">
        <v>0</v>
      </c>
      <c r="T24" s="54">
        <v>2</v>
      </c>
      <c r="U24" s="54">
        <v>0</v>
      </c>
      <c r="V24" s="54">
        <v>2</v>
      </c>
      <c r="W24" s="54">
        <v>0</v>
      </c>
      <c r="X24" s="54">
        <v>0</v>
      </c>
      <c r="Y24" s="54">
        <v>2</v>
      </c>
      <c r="Z24" s="54">
        <v>1</v>
      </c>
      <c r="AA24" s="54">
        <v>3</v>
      </c>
      <c r="AB24" s="54">
        <v>0</v>
      </c>
      <c r="AC24" s="54">
        <v>0</v>
      </c>
      <c r="AD24" s="54">
        <v>0</v>
      </c>
      <c r="AE24" s="54">
        <v>2</v>
      </c>
      <c r="AF24" s="54"/>
      <c r="AG24" s="5">
        <f t="shared" si="2"/>
        <v>24</v>
      </c>
    </row>
    <row r="25" spans="1:33" ht="15.75" customHeight="1" x14ac:dyDescent="0.25">
      <c r="A25" s="56" t="s">
        <v>23</v>
      </c>
      <c r="B25" s="54">
        <v>0</v>
      </c>
      <c r="C25" s="54">
        <v>0</v>
      </c>
      <c r="D25" s="54">
        <v>0</v>
      </c>
      <c r="E25" s="54">
        <v>1</v>
      </c>
      <c r="F25" s="54">
        <v>3</v>
      </c>
      <c r="G25" s="54">
        <v>0</v>
      </c>
      <c r="H25" s="54">
        <v>0</v>
      </c>
      <c r="I25" s="54">
        <v>1</v>
      </c>
      <c r="J25" s="54">
        <v>0</v>
      </c>
      <c r="K25" s="54">
        <v>0</v>
      </c>
      <c r="L25" s="54">
        <v>0</v>
      </c>
      <c r="M25" s="54">
        <v>0</v>
      </c>
      <c r="N25" s="54">
        <v>1</v>
      </c>
      <c r="O25" s="54">
        <v>0</v>
      </c>
      <c r="P25" s="54">
        <v>1</v>
      </c>
      <c r="Q25" s="54">
        <v>0</v>
      </c>
      <c r="R25" s="54">
        <v>2</v>
      </c>
      <c r="S25" s="54">
        <v>1</v>
      </c>
      <c r="T25" s="54">
        <v>1</v>
      </c>
      <c r="U25" s="54">
        <v>0</v>
      </c>
      <c r="V25" s="54">
        <v>1</v>
      </c>
      <c r="W25" s="54">
        <v>2</v>
      </c>
      <c r="X25" s="54">
        <v>2</v>
      </c>
      <c r="Y25" s="54">
        <v>2</v>
      </c>
      <c r="Z25" s="54">
        <v>0</v>
      </c>
      <c r="AA25" s="54">
        <v>2</v>
      </c>
      <c r="AB25" s="54">
        <v>2</v>
      </c>
      <c r="AC25" s="54">
        <v>1</v>
      </c>
      <c r="AD25" s="54">
        <v>0</v>
      </c>
      <c r="AE25" s="54">
        <v>0</v>
      </c>
      <c r="AF25" s="54"/>
      <c r="AG25" s="5">
        <f t="shared" si="2"/>
        <v>23</v>
      </c>
    </row>
    <row r="26" spans="1:33" ht="15.75" customHeight="1" x14ac:dyDescent="0.25">
      <c r="A26" s="56" t="s">
        <v>24</v>
      </c>
      <c r="B26" s="54">
        <v>1</v>
      </c>
      <c r="C26" s="54">
        <v>0</v>
      </c>
      <c r="D26" s="54">
        <v>0</v>
      </c>
      <c r="E26" s="54">
        <v>0</v>
      </c>
      <c r="F26" s="54">
        <v>1</v>
      </c>
      <c r="G26" s="54">
        <v>2</v>
      </c>
      <c r="H26" s="54">
        <v>0</v>
      </c>
      <c r="I26" s="54">
        <v>1</v>
      </c>
      <c r="J26" s="54">
        <v>0</v>
      </c>
      <c r="K26" s="54">
        <v>1</v>
      </c>
      <c r="L26" s="54">
        <v>0</v>
      </c>
      <c r="M26" s="54">
        <v>2</v>
      </c>
      <c r="N26" s="54">
        <v>0</v>
      </c>
      <c r="O26" s="54">
        <v>0</v>
      </c>
      <c r="P26" s="54">
        <v>0</v>
      </c>
      <c r="Q26" s="54">
        <v>1</v>
      </c>
      <c r="R26" s="54">
        <v>1</v>
      </c>
      <c r="S26" s="54">
        <v>1</v>
      </c>
      <c r="T26" s="54">
        <v>0</v>
      </c>
      <c r="U26" s="54">
        <v>0</v>
      </c>
      <c r="V26" s="54">
        <v>4</v>
      </c>
      <c r="W26" s="54">
        <v>3</v>
      </c>
      <c r="X26" s="54">
        <v>1</v>
      </c>
      <c r="Y26" s="54">
        <v>1</v>
      </c>
      <c r="Z26" s="54">
        <v>2</v>
      </c>
      <c r="AA26" s="54">
        <v>3</v>
      </c>
      <c r="AB26" s="54">
        <v>1</v>
      </c>
      <c r="AC26" s="54">
        <v>0</v>
      </c>
      <c r="AD26" s="54">
        <v>0</v>
      </c>
      <c r="AE26" s="54">
        <v>4</v>
      </c>
      <c r="AF26" s="54"/>
      <c r="AG26" s="5">
        <f t="shared" si="2"/>
        <v>30</v>
      </c>
    </row>
    <row r="27" spans="1:33" ht="15.75" customHeight="1" thickBot="1" x14ac:dyDescent="0.3">
      <c r="A27" s="57" t="s">
        <v>25</v>
      </c>
      <c r="B27" s="58">
        <v>0</v>
      </c>
      <c r="C27" s="58">
        <v>0</v>
      </c>
      <c r="D27" s="58">
        <v>0</v>
      </c>
      <c r="E27" s="58">
        <v>0</v>
      </c>
      <c r="F27" s="58">
        <v>1</v>
      </c>
      <c r="G27" s="58">
        <v>2</v>
      </c>
      <c r="H27" s="58">
        <v>0</v>
      </c>
      <c r="I27" s="58">
        <v>1</v>
      </c>
      <c r="J27" s="58">
        <v>0</v>
      </c>
      <c r="K27" s="58">
        <v>0</v>
      </c>
      <c r="L27" s="58">
        <v>0</v>
      </c>
      <c r="M27" s="58">
        <v>2</v>
      </c>
      <c r="N27" s="58">
        <v>4</v>
      </c>
      <c r="O27" s="58">
        <v>0</v>
      </c>
      <c r="P27" s="58">
        <v>0</v>
      </c>
      <c r="Q27" s="58">
        <v>0</v>
      </c>
      <c r="R27" s="58">
        <v>0</v>
      </c>
      <c r="S27" s="58">
        <v>1</v>
      </c>
      <c r="T27" s="58">
        <v>0</v>
      </c>
      <c r="U27" s="58">
        <v>2</v>
      </c>
      <c r="V27" s="58">
        <v>0</v>
      </c>
      <c r="W27" s="58">
        <v>0</v>
      </c>
      <c r="X27" s="58">
        <v>0</v>
      </c>
      <c r="Y27" s="58">
        <v>0</v>
      </c>
      <c r="Z27" s="58">
        <v>1</v>
      </c>
      <c r="AA27" s="58">
        <v>1</v>
      </c>
      <c r="AB27" s="58">
        <v>0</v>
      </c>
      <c r="AC27" s="58">
        <v>0</v>
      </c>
      <c r="AD27" s="58">
        <v>0</v>
      </c>
      <c r="AE27" s="58">
        <v>0</v>
      </c>
      <c r="AF27" s="58"/>
      <c r="AG27" s="5">
        <f t="shared" si="2"/>
        <v>15</v>
      </c>
    </row>
    <row r="28" spans="1:33" ht="15.75" customHeight="1" x14ac:dyDescent="0.25">
      <c r="A28" s="59" t="s">
        <v>26</v>
      </c>
      <c r="B28" s="6">
        <f t="shared" ref="B28:AF28" si="3">SUM(B29:B52)</f>
        <v>114</v>
      </c>
      <c r="C28" s="6">
        <f t="shared" si="3"/>
        <v>99</v>
      </c>
      <c r="D28" s="6">
        <f t="shared" si="3"/>
        <v>99</v>
      </c>
      <c r="E28" s="6">
        <f t="shared" si="3"/>
        <v>96</v>
      </c>
      <c r="F28" s="6">
        <f t="shared" si="3"/>
        <v>169</v>
      </c>
      <c r="G28" s="6">
        <f t="shared" si="3"/>
        <v>170</v>
      </c>
      <c r="H28" s="6">
        <f t="shared" si="3"/>
        <v>125</v>
      </c>
      <c r="I28" s="6">
        <f t="shared" si="3"/>
        <v>107</v>
      </c>
      <c r="J28" s="6">
        <f t="shared" si="3"/>
        <v>98</v>
      </c>
      <c r="K28" s="6">
        <f t="shared" si="3"/>
        <v>86</v>
      </c>
      <c r="L28" s="6">
        <f t="shared" si="3"/>
        <v>101</v>
      </c>
      <c r="M28" s="6">
        <f t="shared" si="3"/>
        <v>169</v>
      </c>
      <c r="N28" s="6">
        <f t="shared" si="3"/>
        <v>172</v>
      </c>
      <c r="O28" s="6">
        <f t="shared" si="3"/>
        <v>118</v>
      </c>
      <c r="P28" s="6">
        <f t="shared" si="3"/>
        <v>102</v>
      </c>
      <c r="Q28" s="6">
        <f t="shared" si="3"/>
        <v>104</v>
      </c>
      <c r="R28" s="6">
        <f t="shared" si="3"/>
        <v>95</v>
      </c>
      <c r="S28" s="6">
        <f t="shared" si="3"/>
        <v>132</v>
      </c>
      <c r="T28" s="6">
        <f t="shared" si="3"/>
        <v>159</v>
      </c>
      <c r="U28" s="6">
        <f t="shared" si="3"/>
        <v>170</v>
      </c>
      <c r="V28" s="6">
        <f t="shared" si="3"/>
        <v>126</v>
      </c>
      <c r="W28" s="6">
        <f t="shared" si="3"/>
        <v>118</v>
      </c>
      <c r="X28" s="6">
        <f t="shared" si="3"/>
        <v>102</v>
      </c>
      <c r="Y28" s="6">
        <f t="shared" si="3"/>
        <v>105</v>
      </c>
      <c r="Z28" s="6">
        <f t="shared" si="3"/>
        <v>109</v>
      </c>
      <c r="AA28" s="6">
        <f t="shared" si="3"/>
        <v>174</v>
      </c>
      <c r="AB28" s="6">
        <f t="shared" si="3"/>
        <v>178</v>
      </c>
      <c r="AC28" s="6">
        <f t="shared" si="3"/>
        <v>118</v>
      </c>
      <c r="AD28" s="6">
        <f t="shared" si="3"/>
        <v>107</v>
      </c>
      <c r="AE28" s="6">
        <f t="shared" si="3"/>
        <v>108</v>
      </c>
      <c r="AF28" s="6">
        <f t="shared" si="3"/>
        <v>0</v>
      </c>
      <c r="AG28" s="7">
        <f t="shared" si="2"/>
        <v>3730</v>
      </c>
    </row>
    <row r="29" spans="1:33" ht="15.75" customHeight="1" x14ac:dyDescent="0.25">
      <c r="A29" s="53" t="s">
        <v>2</v>
      </c>
      <c r="B29" s="54">
        <v>0</v>
      </c>
      <c r="C29" s="55">
        <v>0</v>
      </c>
      <c r="D29" s="55">
        <v>0</v>
      </c>
      <c r="E29" s="55">
        <v>0</v>
      </c>
      <c r="F29" s="55">
        <v>5</v>
      </c>
      <c r="G29" s="55">
        <v>10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11</v>
      </c>
      <c r="N29" s="55">
        <v>3</v>
      </c>
      <c r="O29" s="55">
        <v>0</v>
      </c>
      <c r="P29" s="55">
        <v>0</v>
      </c>
      <c r="Q29" s="55">
        <v>0</v>
      </c>
      <c r="R29" s="55">
        <v>0</v>
      </c>
      <c r="S29" s="55">
        <v>3</v>
      </c>
      <c r="T29" s="55">
        <v>4</v>
      </c>
      <c r="U29" s="55">
        <v>2</v>
      </c>
      <c r="V29" s="55">
        <v>0</v>
      </c>
      <c r="W29" s="55">
        <v>0</v>
      </c>
      <c r="X29" s="55">
        <v>0</v>
      </c>
      <c r="Y29" s="55">
        <v>0</v>
      </c>
      <c r="Z29" s="55">
        <v>0</v>
      </c>
      <c r="AA29" s="55">
        <v>1</v>
      </c>
      <c r="AB29" s="55">
        <v>2</v>
      </c>
      <c r="AC29" s="55">
        <v>0</v>
      </c>
      <c r="AD29" s="54">
        <v>0</v>
      </c>
      <c r="AE29" s="54">
        <v>0</v>
      </c>
      <c r="AF29" s="54"/>
      <c r="AG29" s="5">
        <f t="shared" si="2"/>
        <v>41</v>
      </c>
    </row>
    <row r="30" spans="1:33" ht="15.75" customHeight="1" x14ac:dyDescent="0.25">
      <c r="A30" s="56" t="s">
        <v>3</v>
      </c>
      <c r="B30" s="54">
        <v>0</v>
      </c>
      <c r="C30" s="54">
        <v>0</v>
      </c>
      <c r="D30" s="54">
        <v>0</v>
      </c>
      <c r="E30" s="54">
        <v>0</v>
      </c>
      <c r="F30" s="54">
        <v>10</v>
      </c>
      <c r="G30" s="54">
        <v>9</v>
      </c>
      <c r="H30" s="54">
        <v>0</v>
      </c>
      <c r="I30" s="54">
        <v>0</v>
      </c>
      <c r="J30" s="54">
        <v>0</v>
      </c>
      <c r="K30" s="54">
        <v>0</v>
      </c>
      <c r="L30" s="54">
        <v>1</v>
      </c>
      <c r="M30" s="54">
        <v>10</v>
      </c>
      <c r="N30" s="54">
        <v>6</v>
      </c>
      <c r="O30" s="54">
        <v>0</v>
      </c>
      <c r="P30" s="54">
        <v>0</v>
      </c>
      <c r="Q30" s="54">
        <v>0</v>
      </c>
      <c r="R30" s="54">
        <v>0</v>
      </c>
      <c r="S30" s="54">
        <v>8</v>
      </c>
      <c r="T30" s="54">
        <v>11</v>
      </c>
      <c r="U30" s="54">
        <v>5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8</v>
      </c>
      <c r="AB30" s="54">
        <v>3</v>
      </c>
      <c r="AC30" s="54">
        <v>0</v>
      </c>
      <c r="AD30" s="54">
        <v>0</v>
      </c>
      <c r="AE30" s="54">
        <v>0</v>
      </c>
      <c r="AF30" s="54"/>
      <c r="AG30" s="5">
        <f t="shared" si="2"/>
        <v>71</v>
      </c>
    </row>
    <row r="31" spans="1:33" ht="15.75" customHeight="1" x14ac:dyDescent="0.25">
      <c r="A31" s="56" t="s">
        <v>4</v>
      </c>
      <c r="B31" s="54">
        <v>0</v>
      </c>
      <c r="C31" s="54">
        <v>0</v>
      </c>
      <c r="D31" s="54">
        <v>0</v>
      </c>
      <c r="E31" s="54">
        <v>0</v>
      </c>
      <c r="F31" s="54">
        <v>11</v>
      </c>
      <c r="G31" s="54">
        <v>14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7</v>
      </c>
      <c r="N31" s="54">
        <v>9</v>
      </c>
      <c r="O31" s="54">
        <v>0</v>
      </c>
      <c r="P31" s="54">
        <v>0</v>
      </c>
      <c r="Q31" s="54">
        <v>0</v>
      </c>
      <c r="R31" s="54">
        <v>0</v>
      </c>
      <c r="S31" s="54">
        <v>14</v>
      </c>
      <c r="T31" s="54">
        <v>14</v>
      </c>
      <c r="U31" s="54">
        <v>12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11</v>
      </c>
      <c r="AB31" s="54">
        <v>14</v>
      </c>
      <c r="AC31" s="54">
        <v>0</v>
      </c>
      <c r="AD31" s="54">
        <v>0</v>
      </c>
      <c r="AE31" s="54">
        <v>0</v>
      </c>
      <c r="AF31" s="54"/>
      <c r="AG31" s="5">
        <f t="shared" si="2"/>
        <v>106</v>
      </c>
    </row>
    <row r="32" spans="1:33" ht="15.75" customHeight="1" x14ac:dyDescent="0.25">
      <c r="A32" s="56" t="s">
        <v>5</v>
      </c>
      <c r="B32" s="54">
        <v>0</v>
      </c>
      <c r="C32" s="54">
        <v>0</v>
      </c>
      <c r="D32" s="54">
        <v>0</v>
      </c>
      <c r="E32" s="54">
        <v>0</v>
      </c>
      <c r="F32" s="54">
        <v>11</v>
      </c>
      <c r="G32" s="54">
        <v>18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12</v>
      </c>
      <c r="N32" s="54">
        <v>12</v>
      </c>
      <c r="O32" s="54">
        <v>0</v>
      </c>
      <c r="P32" s="54">
        <v>0</v>
      </c>
      <c r="Q32" s="54">
        <v>0</v>
      </c>
      <c r="R32" s="54">
        <v>0</v>
      </c>
      <c r="S32" s="54">
        <v>12</v>
      </c>
      <c r="T32" s="54">
        <v>6</v>
      </c>
      <c r="U32" s="54">
        <v>17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9</v>
      </c>
      <c r="AB32" s="54">
        <v>15</v>
      </c>
      <c r="AC32" s="54">
        <v>1</v>
      </c>
      <c r="AD32" s="54">
        <v>0</v>
      </c>
      <c r="AE32" s="54">
        <v>0</v>
      </c>
      <c r="AF32" s="54"/>
      <c r="AG32" s="5">
        <f t="shared" si="2"/>
        <v>113</v>
      </c>
    </row>
    <row r="33" spans="1:33" ht="15.75" customHeight="1" x14ac:dyDescent="0.25">
      <c r="A33" s="56" t="s">
        <v>6</v>
      </c>
      <c r="B33" s="54">
        <v>0</v>
      </c>
      <c r="C33" s="54">
        <v>0</v>
      </c>
      <c r="D33" s="54">
        <v>0</v>
      </c>
      <c r="E33" s="54">
        <v>0</v>
      </c>
      <c r="F33" s="54">
        <v>13</v>
      </c>
      <c r="G33" s="54">
        <v>7</v>
      </c>
      <c r="H33" s="54">
        <v>0</v>
      </c>
      <c r="I33" s="54">
        <v>0</v>
      </c>
      <c r="J33" s="54">
        <v>0</v>
      </c>
      <c r="K33" s="54">
        <v>0</v>
      </c>
      <c r="L33" s="54">
        <v>0</v>
      </c>
      <c r="M33" s="54">
        <v>16</v>
      </c>
      <c r="N33" s="54">
        <v>10</v>
      </c>
      <c r="O33" s="54">
        <v>0</v>
      </c>
      <c r="P33" s="54">
        <v>0</v>
      </c>
      <c r="Q33" s="54">
        <v>0</v>
      </c>
      <c r="R33" s="54">
        <v>0</v>
      </c>
      <c r="S33" s="54">
        <v>6</v>
      </c>
      <c r="T33" s="54">
        <v>16</v>
      </c>
      <c r="U33" s="54">
        <v>16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13</v>
      </c>
      <c r="AB33" s="54">
        <v>11</v>
      </c>
      <c r="AC33" s="54">
        <v>0</v>
      </c>
      <c r="AD33" s="54">
        <v>0</v>
      </c>
      <c r="AE33" s="54">
        <v>0</v>
      </c>
      <c r="AF33" s="54"/>
      <c r="AG33" s="5">
        <f t="shared" si="2"/>
        <v>108</v>
      </c>
    </row>
    <row r="34" spans="1:33" ht="15.75" customHeight="1" x14ac:dyDescent="0.25">
      <c r="A34" s="56" t="s">
        <v>7</v>
      </c>
      <c r="B34" s="54">
        <v>0</v>
      </c>
      <c r="C34" s="54">
        <v>0</v>
      </c>
      <c r="D34" s="54">
        <v>0</v>
      </c>
      <c r="E34" s="54">
        <v>0</v>
      </c>
      <c r="F34" s="54">
        <v>7</v>
      </c>
      <c r="G34" s="54">
        <v>10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6</v>
      </c>
      <c r="N34" s="54">
        <v>5</v>
      </c>
      <c r="O34" s="54">
        <v>0</v>
      </c>
      <c r="P34" s="54">
        <v>0</v>
      </c>
      <c r="Q34" s="54">
        <v>0</v>
      </c>
      <c r="R34" s="54">
        <v>0</v>
      </c>
      <c r="S34" s="54">
        <v>2</v>
      </c>
      <c r="T34" s="54">
        <v>6</v>
      </c>
      <c r="U34" s="54">
        <v>9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4</v>
      </c>
      <c r="AB34" s="54">
        <v>9</v>
      </c>
      <c r="AC34" s="54">
        <v>0</v>
      </c>
      <c r="AD34" s="54">
        <v>0</v>
      </c>
      <c r="AE34" s="54">
        <v>0</v>
      </c>
      <c r="AF34" s="54"/>
      <c r="AG34" s="5">
        <f t="shared" si="2"/>
        <v>58</v>
      </c>
    </row>
    <row r="35" spans="1:33" ht="15.75" customHeight="1" x14ac:dyDescent="0.25">
      <c r="A35" s="56" t="s">
        <v>8</v>
      </c>
      <c r="B35" s="54">
        <v>0</v>
      </c>
      <c r="C35" s="54">
        <v>0</v>
      </c>
      <c r="D35" s="54">
        <v>0</v>
      </c>
      <c r="E35" s="54">
        <v>0</v>
      </c>
      <c r="F35" s="54">
        <v>5</v>
      </c>
      <c r="G35" s="54">
        <v>9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10</v>
      </c>
      <c r="N35" s="54">
        <v>8</v>
      </c>
      <c r="O35" s="54">
        <v>0</v>
      </c>
      <c r="P35" s="54">
        <v>0</v>
      </c>
      <c r="Q35" s="54">
        <v>0</v>
      </c>
      <c r="R35" s="54">
        <v>0</v>
      </c>
      <c r="S35" s="54">
        <v>11</v>
      </c>
      <c r="T35" s="54">
        <v>7</v>
      </c>
      <c r="U35" s="54">
        <v>8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7</v>
      </c>
      <c r="AB35" s="54">
        <v>8</v>
      </c>
      <c r="AC35" s="54">
        <v>0</v>
      </c>
      <c r="AD35" s="54">
        <v>0</v>
      </c>
      <c r="AE35" s="54">
        <v>0</v>
      </c>
      <c r="AF35" s="54"/>
      <c r="AG35" s="5">
        <f t="shared" si="2"/>
        <v>73</v>
      </c>
    </row>
    <row r="36" spans="1:33" ht="15.75" customHeight="1" x14ac:dyDescent="0.25">
      <c r="A36" s="56" t="s">
        <v>9</v>
      </c>
      <c r="B36" s="54">
        <v>0</v>
      </c>
      <c r="C36" s="54">
        <v>0</v>
      </c>
      <c r="D36" s="54">
        <v>0</v>
      </c>
      <c r="E36" s="54">
        <v>0</v>
      </c>
      <c r="F36" s="54">
        <v>11</v>
      </c>
      <c r="G36" s="54">
        <v>11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4</v>
      </c>
      <c r="N36" s="54">
        <v>12</v>
      </c>
      <c r="O36" s="54">
        <v>0</v>
      </c>
      <c r="P36" s="54">
        <v>0</v>
      </c>
      <c r="Q36" s="54">
        <v>0</v>
      </c>
      <c r="R36" s="54">
        <v>0</v>
      </c>
      <c r="S36" s="54">
        <v>11</v>
      </c>
      <c r="T36" s="54">
        <v>9</v>
      </c>
      <c r="U36" s="54">
        <v>10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10</v>
      </c>
      <c r="AB36" s="54">
        <v>9</v>
      </c>
      <c r="AC36" s="54">
        <v>0</v>
      </c>
      <c r="AD36" s="54">
        <v>0</v>
      </c>
      <c r="AE36" s="54">
        <v>0</v>
      </c>
      <c r="AF36" s="54"/>
      <c r="AG36" s="5">
        <f t="shared" si="2"/>
        <v>87</v>
      </c>
    </row>
    <row r="37" spans="1:33" ht="15.75" customHeight="1" x14ac:dyDescent="0.25">
      <c r="A37" s="56" t="s">
        <v>10</v>
      </c>
      <c r="B37" s="54">
        <v>0</v>
      </c>
      <c r="C37" s="54">
        <v>0</v>
      </c>
      <c r="D37" s="54">
        <v>0</v>
      </c>
      <c r="E37" s="54">
        <v>4</v>
      </c>
      <c r="F37" s="54">
        <v>10</v>
      </c>
      <c r="G37" s="54">
        <v>16</v>
      </c>
      <c r="H37" s="54">
        <v>0</v>
      </c>
      <c r="I37" s="54">
        <v>0</v>
      </c>
      <c r="J37" s="54">
        <v>0</v>
      </c>
      <c r="K37" s="54">
        <v>0</v>
      </c>
      <c r="L37" s="54">
        <v>6</v>
      </c>
      <c r="M37" s="54">
        <v>6</v>
      </c>
      <c r="N37" s="54">
        <v>13</v>
      </c>
      <c r="O37" s="54">
        <v>0</v>
      </c>
      <c r="P37" s="54">
        <v>0</v>
      </c>
      <c r="Q37" s="54">
        <v>0</v>
      </c>
      <c r="R37" s="54">
        <v>0</v>
      </c>
      <c r="S37" s="54">
        <v>14</v>
      </c>
      <c r="T37" s="54">
        <v>7</v>
      </c>
      <c r="U37" s="54">
        <v>13</v>
      </c>
      <c r="V37" s="54">
        <v>0</v>
      </c>
      <c r="W37" s="54">
        <v>0</v>
      </c>
      <c r="X37" s="54">
        <v>1</v>
      </c>
      <c r="Y37" s="54">
        <v>0</v>
      </c>
      <c r="Z37" s="54">
        <v>4</v>
      </c>
      <c r="AA37" s="54">
        <v>14</v>
      </c>
      <c r="AB37" s="54">
        <v>12</v>
      </c>
      <c r="AC37" s="54">
        <v>0</v>
      </c>
      <c r="AD37" s="54">
        <v>0</v>
      </c>
      <c r="AE37" s="54">
        <v>0</v>
      </c>
      <c r="AF37" s="54"/>
      <c r="AG37" s="5">
        <f t="shared" si="2"/>
        <v>120</v>
      </c>
    </row>
    <row r="38" spans="1:33" ht="15.75" customHeight="1" x14ac:dyDescent="0.25">
      <c r="A38" s="56" t="s">
        <v>11</v>
      </c>
      <c r="B38" s="54">
        <v>11</v>
      </c>
      <c r="C38" s="54">
        <v>10</v>
      </c>
      <c r="D38" s="54">
        <v>4</v>
      </c>
      <c r="E38" s="54">
        <v>10</v>
      </c>
      <c r="F38" s="54">
        <v>20</v>
      </c>
      <c r="G38" s="54">
        <v>11</v>
      </c>
      <c r="H38" s="54">
        <v>8</v>
      </c>
      <c r="I38" s="54">
        <v>11</v>
      </c>
      <c r="J38" s="54">
        <v>9</v>
      </c>
      <c r="K38" s="54">
        <v>7</v>
      </c>
      <c r="L38" s="54">
        <v>13</v>
      </c>
      <c r="M38" s="54">
        <v>7</v>
      </c>
      <c r="N38" s="54">
        <v>20</v>
      </c>
      <c r="O38" s="54">
        <v>13</v>
      </c>
      <c r="P38" s="54">
        <v>10</v>
      </c>
      <c r="Q38" s="54">
        <v>9</v>
      </c>
      <c r="R38" s="54">
        <v>0</v>
      </c>
      <c r="S38" s="54">
        <v>9</v>
      </c>
      <c r="T38" s="54">
        <v>13</v>
      </c>
      <c r="U38" s="54">
        <v>20</v>
      </c>
      <c r="V38" s="54">
        <v>10</v>
      </c>
      <c r="W38" s="54">
        <v>15</v>
      </c>
      <c r="X38" s="54">
        <v>7</v>
      </c>
      <c r="Y38" s="54">
        <v>2</v>
      </c>
      <c r="Z38" s="54">
        <v>11</v>
      </c>
      <c r="AA38" s="54">
        <v>11</v>
      </c>
      <c r="AB38" s="54">
        <v>15</v>
      </c>
      <c r="AC38" s="54">
        <v>8</v>
      </c>
      <c r="AD38" s="54">
        <v>8</v>
      </c>
      <c r="AE38" s="54">
        <v>11</v>
      </c>
      <c r="AF38" s="54"/>
      <c r="AG38" s="5">
        <f t="shared" si="2"/>
        <v>313</v>
      </c>
    </row>
    <row r="39" spans="1:33" ht="15.75" customHeight="1" x14ac:dyDescent="0.25">
      <c r="A39" s="56" t="s">
        <v>12</v>
      </c>
      <c r="B39" s="54">
        <v>21</v>
      </c>
      <c r="C39" s="54">
        <v>16</v>
      </c>
      <c r="D39" s="54">
        <v>13</v>
      </c>
      <c r="E39" s="54">
        <v>20</v>
      </c>
      <c r="F39" s="54">
        <v>9</v>
      </c>
      <c r="G39" s="54">
        <v>8</v>
      </c>
      <c r="H39" s="54">
        <v>20</v>
      </c>
      <c r="I39" s="54">
        <v>21</v>
      </c>
      <c r="J39" s="54">
        <v>12</v>
      </c>
      <c r="K39" s="54">
        <v>15</v>
      </c>
      <c r="L39" s="54">
        <v>17</v>
      </c>
      <c r="M39" s="54">
        <v>9</v>
      </c>
      <c r="N39" s="54">
        <v>17</v>
      </c>
      <c r="O39" s="54">
        <v>21</v>
      </c>
      <c r="P39" s="54">
        <v>19</v>
      </c>
      <c r="Q39" s="54">
        <v>8</v>
      </c>
      <c r="R39" s="54">
        <v>7</v>
      </c>
      <c r="S39" s="54">
        <v>9</v>
      </c>
      <c r="T39" s="54">
        <v>12</v>
      </c>
      <c r="U39" s="54">
        <v>13</v>
      </c>
      <c r="V39" s="54">
        <v>17</v>
      </c>
      <c r="W39" s="54">
        <v>18</v>
      </c>
      <c r="X39" s="54">
        <v>12</v>
      </c>
      <c r="Y39" s="54">
        <v>6</v>
      </c>
      <c r="Z39" s="54">
        <v>10</v>
      </c>
      <c r="AA39" s="54">
        <v>10</v>
      </c>
      <c r="AB39" s="54">
        <v>11</v>
      </c>
      <c r="AC39" s="54">
        <v>6</v>
      </c>
      <c r="AD39" s="54">
        <v>19</v>
      </c>
      <c r="AE39" s="54">
        <v>15</v>
      </c>
      <c r="AF39" s="54"/>
      <c r="AG39" s="5">
        <f t="shared" si="2"/>
        <v>411</v>
      </c>
    </row>
    <row r="40" spans="1:33" ht="15.75" customHeight="1" x14ac:dyDescent="0.25">
      <c r="A40" s="56" t="s">
        <v>13</v>
      </c>
      <c r="B40" s="54">
        <v>12</v>
      </c>
      <c r="C40" s="54">
        <v>14</v>
      </c>
      <c r="D40" s="54">
        <v>14</v>
      </c>
      <c r="E40" s="54">
        <v>17</v>
      </c>
      <c r="F40" s="54">
        <v>13</v>
      </c>
      <c r="G40" s="54">
        <v>8</v>
      </c>
      <c r="H40" s="54">
        <v>19</v>
      </c>
      <c r="I40" s="54">
        <v>17</v>
      </c>
      <c r="J40" s="54">
        <v>15</v>
      </c>
      <c r="K40" s="54">
        <v>6</v>
      </c>
      <c r="L40" s="54">
        <v>15</v>
      </c>
      <c r="M40" s="54">
        <v>13</v>
      </c>
      <c r="N40" s="54">
        <v>12</v>
      </c>
      <c r="O40" s="54">
        <v>17</v>
      </c>
      <c r="P40" s="54">
        <v>13</v>
      </c>
      <c r="Q40" s="54">
        <v>12</v>
      </c>
      <c r="R40" s="54">
        <v>18</v>
      </c>
      <c r="S40" s="54">
        <v>10</v>
      </c>
      <c r="T40" s="54">
        <v>11</v>
      </c>
      <c r="U40" s="54">
        <v>9</v>
      </c>
      <c r="V40" s="54">
        <v>15</v>
      </c>
      <c r="W40" s="54">
        <v>21</v>
      </c>
      <c r="X40" s="54">
        <v>12</v>
      </c>
      <c r="Y40" s="54">
        <v>18</v>
      </c>
      <c r="Z40" s="54">
        <v>19</v>
      </c>
      <c r="AA40" s="54">
        <v>13</v>
      </c>
      <c r="AB40" s="54">
        <v>12</v>
      </c>
      <c r="AC40" s="54">
        <v>14</v>
      </c>
      <c r="AD40" s="54">
        <v>21</v>
      </c>
      <c r="AE40" s="54">
        <v>13</v>
      </c>
      <c r="AF40" s="54"/>
      <c r="AG40" s="5">
        <f t="shared" si="2"/>
        <v>423</v>
      </c>
    </row>
    <row r="41" spans="1:33" ht="15.75" customHeight="1" x14ac:dyDescent="0.25">
      <c r="A41" s="56" t="s">
        <v>14</v>
      </c>
      <c r="B41" s="54">
        <v>14</v>
      </c>
      <c r="C41" s="54">
        <v>13</v>
      </c>
      <c r="D41" s="54">
        <v>11</v>
      </c>
      <c r="E41" s="54">
        <v>14</v>
      </c>
      <c r="F41" s="54">
        <v>9</v>
      </c>
      <c r="G41" s="54">
        <v>8</v>
      </c>
      <c r="H41" s="54">
        <v>13</v>
      </c>
      <c r="I41" s="54">
        <v>12</v>
      </c>
      <c r="J41" s="54">
        <v>10</v>
      </c>
      <c r="K41" s="54">
        <v>11</v>
      </c>
      <c r="L41" s="54">
        <v>10</v>
      </c>
      <c r="M41" s="54">
        <v>15</v>
      </c>
      <c r="N41" s="54">
        <v>9</v>
      </c>
      <c r="O41" s="54">
        <v>18</v>
      </c>
      <c r="P41" s="54">
        <v>13</v>
      </c>
      <c r="Q41" s="54">
        <v>18</v>
      </c>
      <c r="R41" s="54">
        <v>13</v>
      </c>
      <c r="S41" s="54">
        <v>4</v>
      </c>
      <c r="T41" s="54">
        <v>6</v>
      </c>
      <c r="U41" s="54">
        <v>11</v>
      </c>
      <c r="V41" s="54">
        <v>20</v>
      </c>
      <c r="W41" s="54">
        <v>18</v>
      </c>
      <c r="X41" s="54">
        <v>10</v>
      </c>
      <c r="Y41" s="54">
        <v>13</v>
      </c>
      <c r="Z41" s="54">
        <v>17</v>
      </c>
      <c r="AA41" s="54">
        <v>11</v>
      </c>
      <c r="AB41" s="54">
        <v>13</v>
      </c>
      <c r="AC41" s="54">
        <v>17</v>
      </c>
      <c r="AD41" s="54">
        <v>6</v>
      </c>
      <c r="AE41" s="54">
        <v>17</v>
      </c>
      <c r="AF41" s="54"/>
      <c r="AG41" s="5">
        <f t="shared" si="2"/>
        <v>374</v>
      </c>
    </row>
    <row r="42" spans="1:33" ht="15.75" customHeight="1" x14ac:dyDescent="0.25">
      <c r="A42" s="56" t="s">
        <v>15</v>
      </c>
      <c r="B42" s="54">
        <v>12</v>
      </c>
      <c r="C42" s="54">
        <v>13</v>
      </c>
      <c r="D42" s="54">
        <v>15</v>
      </c>
      <c r="E42" s="54">
        <v>15</v>
      </c>
      <c r="F42" s="54">
        <v>6</v>
      </c>
      <c r="G42" s="54">
        <v>6</v>
      </c>
      <c r="H42" s="54">
        <v>15</v>
      </c>
      <c r="I42" s="54">
        <v>13</v>
      </c>
      <c r="J42" s="54">
        <v>13</v>
      </c>
      <c r="K42" s="54">
        <v>9</v>
      </c>
      <c r="L42" s="54">
        <v>15</v>
      </c>
      <c r="M42" s="54">
        <v>7</v>
      </c>
      <c r="N42" s="54">
        <v>9</v>
      </c>
      <c r="O42" s="54">
        <v>8</v>
      </c>
      <c r="P42" s="54">
        <v>14</v>
      </c>
      <c r="Q42" s="54">
        <v>9</v>
      </c>
      <c r="R42" s="54">
        <v>9</v>
      </c>
      <c r="S42" s="54">
        <v>4</v>
      </c>
      <c r="T42" s="54">
        <v>7</v>
      </c>
      <c r="U42" s="54">
        <v>4</v>
      </c>
      <c r="V42" s="54">
        <v>16</v>
      </c>
      <c r="W42" s="54">
        <v>12</v>
      </c>
      <c r="X42" s="54">
        <v>16</v>
      </c>
      <c r="Y42" s="54">
        <v>7</v>
      </c>
      <c r="Z42" s="54">
        <v>15</v>
      </c>
      <c r="AA42" s="54">
        <v>12</v>
      </c>
      <c r="AB42" s="54">
        <v>9</v>
      </c>
      <c r="AC42" s="54">
        <v>18</v>
      </c>
      <c r="AD42" s="54">
        <v>13</v>
      </c>
      <c r="AE42" s="54">
        <v>14</v>
      </c>
      <c r="AF42" s="54"/>
      <c r="AG42" s="5">
        <f t="shared" si="2"/>
        <v>335</v>
      </c>
    </row>
    <row r="43" spans="1:33" ht="15.75" customHeight="1" x14ac:dyDescent="0.25">
      <c r="A43" s="56" t="s">
        <v>16</v>
      </c>
      <c r="B43" s="54">
        <v>18</v>
      </c>
      <c r="C43" s="54">
        <v>8</v>
      </c>
      <c r="D43" s="54">
        <v>8</v>
      </c>
      <c r="E43" s="54">
        <v>4</v>
      </c>
      <c r="F43" s="54">
        <v>3</v>
      </c>
      <c r="G43" s="54">
        <v>8</v>
      </c>
      <c r="H43" s="54">
        <v>12</v>
      </c>
      <c r="I43" s="54">
        <v>11</v>
      </c>
      <c r="J43" s="54">
        <v>7</v>
      </c>
      <c r="K43" s="54">
        <v>9</v>
      </c>
      <c r="L43" s="54">
        <v>10</v>
      </c>
      <c r="M43" s="54">
        <v>10</v>
      </c>
      <c r="N43" s="54">
        <v>7</v>
      </c>
      <c r="O43" s="54">
        <v>7</v>
      </c>
      <c r="P43" s="54">
        <v>11</v>
      </c>
      <c r="Q43" s="54">
        <v>8</v>
      </c>
      <c r="R43" s="54">
        <v>14</v>
      </c>
      <c r="S43" s="54">
        <v>6</v>
      </c>
      <c r="T43" s="54">
        <v>7</v>
      </c>
      <c r="U43" s="54">
        <v>6</v>
      </c>
      <c r="V43" s="54">
        <v>12</v>
      </c>
      <c r="W43" s="54">
        <v>11</v>
      </c>
      <c r="X43" s="54">
        <v>6</v>
      </c>
      <c r="Y43" s="54">
        <v>9</v>
      </c>
      <c r="Z43" s="54">
        <v>5</v>
      </c>
      <c r="AA43" s="54">
        <v>7</v>
      </c>
      <c r="AB43" s="54">
        <v>12</v>
      </c>
      <c r="AC43" s="54">
        <v>12</v>
      </c>
      <c r="AD43" s="54">
        <v>10</v>
      </c>
      <c r="AE43" s="54">
        <v>10</v>
      </c>
      <c r="AF43" s="54"/>
      <c r="AG43" s="5">
        <f t="shared" si="2"/>
        <v>268</v>
      </c>
    </row>
    <row r="44" spans="1:33" ht="15.75" customHeight="1" x14ac:dyDescent="0.25">
      <c r="A44" s="56" t="s">
        <v>17</v>
      </c>
      <c r="B44" s="54">
        <v>15</v>
      </c>
      <c r="C44" s="54">
        <v>5</v>
      </c>
      <c r="D44" s="54">
        <v>6</v>
      </c>
      <c r="E44" s="54">
        <v>2</v>
      </c>
      <c r="F44" s="54">
        <v>9</v>
      </c>
      <c r="G44" s="54">
        <v>1</v>
      </c>
      <c r="H44" s="54">
        <v>9</v>
      </c>
      <c r="I44" s="54">
        <v>3</v>
      </c>
      <c r="J44" s="54">
        <v>3</v>
      </c>
      <c r="K44" s="54">
        <v>7</v>
      </c>
      <c r="L44" s="54">
        <v>5</v>
      </c>
      <c r="M44" s="54">
        <v>4</v>
      </c>
      <c r="N44" s="54">
        <v>7</v>
      </c>
      <c r="O44" s="54">
        <v>6</v>
      </c>
      <c r="P44" s="54">
        <v>6</v>
      </c>
      <c r="Q44" s="54">
        <v>10</v>
      </c>
      <c r="R44" s="54">
        <v>6</v>
      </c>
      <c r="S44" s="54">
        <v>2</v>
      </c>
      <c r="T44" s="54">
        <v>3</v>
      </c>
      <c r="U44" s="54">
        <v>7</v>
      </c>
      <c r="V44" s="54">
        <v>7</v>
      </c>
      <c r="W44" s="54">
        <v>6</v>
      </c>
      <c r="X44" s="54">
        <v>4</v>
      </c>
      <c r="Y44" s="54">
        <v>5</v>
      </c>
      <c r="Z44" s="54">
        <v>4</v>
      </c>
      <c r="AA44" s="54">
        <v>9</v>
      </c>
      <c r="AB44" s="54">
        <v>11</v>
      </c>
      <c r="AC44" s="54">
        <v>6</v>
      </c>
      <c r="AD44" s="54">
        <v>5</v>
      </c>
      <c r="AE44" s="54">
        <v>7</v>
      </c>
      <c r="AF44" s="54"/>
      <c r="AG44" s="5">
        <f t="shared" si="2"/>
        <v>180</v>
      </c>
    </row>
    <row r="45" spans="1:33" ht="15.75" customHeight="1" x14ac:dyDescent="0.25">
      <c r="A45" s="56" t="s">
        <v>18</v>
      </c>
      <c r="B45" s="54">
        <v>3</v>
      </c>
      <c r="C45" s="54">
        <v>12</v>
      </c>
      <c r="D45" s="54">
        <v>12</v>
      </c>
      <c r="E45" s="54">
        <v>6</v>
      </c>
      <c r="F45" s="54">
        <v>4</v>
      </c>
      <c r="G45" s="54">
        <v>4</v>
      </c>
      <c r="H45" s="54">
        <v>6</v>
      </c>
      <c r="I45" s="54">
        <v>6</v>
      </c>
      <c r="J45" s="54">
        <v>12</v>
      </c>
      <c r="K45" s="54">
        <v>7</v>
      </c>
      <c r="L45" s="54">
        <v>3</v>
      </c>
      <c r="M45" s="54">
        <v>6</v>
      </c>
      <c r="N45" s="54">
        <v>6</v>
      </c>
      <c r="O45" s="54">
        <v>6</v>
      </c>
      <c r="P45" s="54">
        <v>5</v>
      </c>
      <c r="Q45" s="54">
        <v>15</v>
      </c>
      <c r="R45" s="54">
        <v>5</v>
      </c>
      <c r="S45" s="54">
        <v>1</v>
      </c>
      <c r="T45" s="54">
        <v>3</v>
      </c>
      <c r="U45" s="54">
        <v>1</v>
      </c>
      <c r="V45" s="54">
        <v>9</v>
      </c>
      <c r="W45" s="54">
        <v>3</v>
      </c>
      <c r="X45" s="54">
        <v>9</v>
      </c>
      <c r="Y45" s="54">
        <v>6</v>
      </c>
      <c r="Z45" s="54">
        <v>6</v>
      </c>
      <c r="AA45" s="54">
        <v>10</v>
      </c>
      <c r="AB45" s="54">
        <v>5</v>
      </c>
      <c r="AC45" s="54">
        <v>7</v>
      </c>
      <c r="AD45" s="54">
        <v>9</v>
      </c>
      <c r="AE45" s="54">
        <v>10</v>
      </c>
      <c r="AF45" s="54"/>
      <c r="AG45" s="5">
        <f t="shared" si="2"/>
        <v>197</v>
      </c>
    </row>
    <row r="46" spans="1:33" ht="15.75" customHeight="1" x14ac:dyDescent="0.25">
      <c r="A46" s="56" t="s">
        <v>19</v>
      </c>
      <c r="B46" s="54">
        <v>0</v>
      </c>
      <c r="C46" s="54">
        <v>5</v>
      </c>
      <c r="D46" s="54">
        <v>9</v>
      </c>
      <c r="E46" s="54">
        <v>4</v>
      </c>
      <c r="F46" s="54">
        <v>5</v>
      </c>
      <c r="G46" s="54">
        <v>2</v>
      </c>
      <c r="H46" s="54">
        <v>8</v>
      </c>
      <c r="I46" s="54">
        <v>6</v>
      </c>
      <c r="J46" s="54">
        <v>9</v>
      </c>
      <c r="K46" s="54">
        <v>5</v>
      </c>
      <c r="L46" s="54">
        <v>0</v>
      </c>
      <c r="M46" s="54">
        <v>5</v>
      </c>
      <c r="N46" s="54">
        <v>5</v>
      </c>
      <c r="O46" s="54">
        <v>7</v>
      </c>
      <c r="P46" s="54">
        <v>2</v>
      </c>
      <c r="Q46" s="54">
        <v>7</v>
      </c>
      <c r="R46" s="54">
        <v>7</v>
      </c>
      <c r="S46" s="54">
        <v>0</v>
      </c>
      <c r="T46" s="54">
        <v>12</v>
      </c>
      <c r="U46" s="54">
        <v>2</v>
      </c>
      <c r="V46" s="54">
        <v>8</v>
      </c>
      <c r="W46" s="54">
        <v>3</v>
      </c>
      <c r="X46" s="54">
        <v>11</v>
      </c>
      <c r="Y46" s="54">
        <v>7</v>
      </c>
      <c r="Z46" s="54">
        <v>7</v>
      </c>
      <c r="AA46" s="54">
        <v>3</v>
      </c>
      <c r="AB46" s="54">
        <v>2</v>
      </c>
      <c r="AC46" s="54">
        <v>12</v>
      </c>
      <c r="AD46" s="54">
        <v>9</v>
      </c>
      <c r="AE46" s="54">
        <v>5</v>
      </c>
      <c r="AF46" s="54"/>
      <c r="AG46" s="5">
        <f t="shared" si="2"/>
        <v>167</v>
      </c>
    </row>
    <row r="47" spans="1:33" ht="15.75" customHeight="1" x14ac:dyDescent="0.25">
      <c r="A47" s="56" t="s">
        <v>20</v>
      </c>
      <c r="B47" s="54">
        <v>3</v>
      </c>
      <c r="C47" s="54">
        <v>0</v>
      </c>
      <c r="D47" s="54">
        <v>6</v>
      </c>
      <c r="E47" s="54">
        <v>0</v>
      </c>
      <c r="F47" s="54">
        <v>1</v>
      </c>
      <c r="G47" s="54">
        <v>1</v>
      </c>
      <c r="H47" s="54">
        <v>9</v>
      </c>
      <c r="I47" s="54">
        <v>0</v>
      </c>
      <c r="J47" s="54">
        <v>7</v>
      </c>
      <c r="K47" s="54">
        <v>6</v>
      </c>
      <c r="L47" s="54">
        <v>5</v>
      </c>
      <c r="M47" s="54">
        <v>3</v>
      </c>
      <c r="N47" s="54">
        <v>0</v>
      </c>
      <c r="O47" s="54">
        <v>3</v>
      </c>
      <c r="P47" s="54">
        <v>2</v>
      </c>
      <c r="Q47" s="54">
        <v>1</v>
      </c>
      <c r="R47" s="54">
        <v>5</v>
      </c>
      <c r="S47" s="54">
        <v>3</v>
      </c>
      <c r="T47" s="54">
        <v>0</v>
      </c>
      <c r="U47" s="54">
        <v>3</v>
      </c>
      <c r="V47" s="54">
        <v>2</v>
      </c>
      <c r="W47" s="54">
        <v>2</v>
      </c>
      <c r="X47" s="54">
        <v>10</v>
      </c>
      <c r="Y47" s="54">
        <v>10</v>
      </c>
      <c r="Z47" s="54">
        <v>3</v>
      </c>
      <c r="AA47" s="54">
        <v>3</v>
      </c>
      <c r="AB47" s="54">
        <v>1</v>
      </c>
      <c r="AC47" s="54">
        <v>12</v>
      </c>
      <c r="AD47" s="54">
        <v>3</v>
      </c>
      <c r="AE47" s="54">
        <v>0</v>
      </c>
      <c r="AF47" s="54"/>
      <c r="AG47" s="5">
        <f t="shared" si="2"/>
        <v>104</v>
      </c>
    </row>
    <row r="48" spans="1:33" ht="15.75" customHeight="1" x14ac:dyDescent="0.25">
      <c r="A48" s="56" t="s">
        <v>21</v>
      </c>
      <c r="B48" s="54">
        <v>3</v>
      </c>
      <c r="C48" s="54">
        <v>1</v>
      </c>
      <c r="D48" s="54">
        <v>1</v>
      </c>
      <c r="E48" s="54">
        <v>0</v>
      </c>
      <c r="F48" s="54">
        <v>1</v>
      </c>
      <c r="G48" s="54">
        <v>4</v>
      </c>
      <c r="H48" s="54">
        <v>5</v>
      </c>
      <c r="I48" s="54">
        <v>2</v>
      </c>
      <c r="J48" s="54">
        <v>1</v>
      </c>
      <c r="K48" s="54">
        <v>2</v>
      </c>
      <c r="L48" s="54">
        <v>1</v>
      </c>
      <c r="M48" s="54">
        <v>3</v>
      </c>
      <c r="N48" s="54">
        <v>0</v>
      </c>
      <c r="O48" s="54">
        <v>7</v>
      </c>
      <c r="P48" s="54">
        <v>1</v>
      </c>
      <c r="Q48" s="54">
        <v>3</v>
      </c>
      <c r="R48" s="54">
        <v>1</v>
      </c>
      <c r="S48" s="54">
        <v>0</v>
      </c>
      <c r="T48" s="54">
        <v>2</v>
      </c>
      <c r="U48" s="54">
        <v>1</v>
      </c>
      <c r="V48" s="54">
        <v>2</v>
      </c>
      <c r="W48" s="54">
        <v>4</v>
      </c>
      <c r="X48" s="54">
        <v>1</v>
      </c>
      <c r="Y48" s="54">
        <v>12</v>
      </c>
      <c r="Z48" s="54">
        <v>0</v>
      </c>
      <c r="AA48" s="54">
        <v>0</v>
      </c>
      <c r="AB48" s="54">
        <v>1</v>
      </c>
      <c r="AC48" s="54">
        <v>4</v>
      </c>
      <c r="AD48" s="54">
        <v>3</v>
      </c>
      <c r="AE48" s="54">
        <v>0</v>
      </c>
      <c r="AF48" s="54"/>
      <c r="AG48" s="5">
        <f t="shared" si="2"/>
        <v>66</v>
      </c>
    </row>
    <row r="49" spans="1:33" ht="15.75" customHeight="1" x14ac:dyDescent="0.25">
      <c r="A49" s="56" t="s">
        <v>22</v>
      </c>
      <c r="B49" s="54">
        <v>0</v>
      </c>
      <c r="C49" s="54">
        <v>2</v>
      </c>
      <c r="D49" s="54">
        <v>0</v>
      </c>
      <c r="E49" s="54">
        <v>0</v>
      </c>
      <c r="F49" s="54">
        <v>1</v>
      </c>
      <c r="G49" s="54">
        <v>1</v>
      </c>
      <c r="H49" s="54">
        <v>1</v>
      </c>
      <c r="I49" s="54">
        <v>2</v>
      </c>
      <c r="J49" s="54">
        <v>0</v>
      </c>
      <c r="K49" s="54">
        <v>2</v>
      </c>
      <c r="L49" s="54">
        <v>0</v>
      </c>
      <c r="M49" s="54">
        <v>2</v>
      </c>
      <c r="N49" s="54">
        <v>1</v>
      </c>
      <c r="O49" s="54">
        <v>5</v>
      </c>
      <c r="P49" s="54">
        <v>5</v>
      </c>
      <c r="Q49" s="54">
        <v>2</v>
      </c>
      <c r="R49" s="54">
        <v>0</v>
      </c>
      <c r="S49" s="54">
        <v>1</v>
      </c>
      <c r="T49" s="54">
        <v>1</v>
      </c>
      <c r="U49" s="54">
        <v>0</v>
      </c>
      <c r="V49" s="54">
        <v>2</v>
      </c>
      <c r="W49" s="54">
        <v>0</v>
      </c>
      <c r="X49" s="54">
        <v>0</v>
      </c>
      <c r="Y49" s="54">
        <v>7</v>
      </c>
      <c r="Z49" s="54">
        <v>1</v>
      </c>
      <c r="AA49" s="54">
        <v>2</v>
      </c>
      <c r="AB49" s="54">
        <v>0</v>
      </c>
      <c r="AC49" s="54">
        <v>0</v>
      </c>
      <c r="AD49" s="54">
        <v>1</v>
      </c>
      <c r="AE49" s="54">
        <v>2</v>
      </c>
      <c r="AF49" s="54"/>
      <c r="AG49" s="5">
        <f t="shared" si="2"/>
        <v>41</v>
      </c>
    </row>
    <row r="50" spans="1:33" ht="15.75" customHeight="1" x14ac:dyDescent="0.25">
      <c r="A50" s="56" t="s">
        <v>23</v>
      </c>
      <c r="B50" s="54">
        <v>0</v>
      </c>
      <c r="C50" s="54">
        <v>0</v>
      </c>
      <c r="D50" s="54">
        <v>0</v>
      </c>
      <c r="E50" s="54">
        <v>0</v>
      </c>
      <c r="F50" s="54">
        <v>2</v>
      </c>
      <c r="G50" s="54">
        <v>2</v>
      </c>
      <c r="H50" s="54">
        <v>0</v>
      </c>
      <c r="I50" s="54">
        <v>1</v>
      </c>
      <c r="J50" s="54">
        <v>0</v>
      </c>
      <c r="K50" s="54">
        <v>0</v>
      </c>
      <c r="L50" s="54">
        <v>0</v>
      </c>
      <c r="M50" s="54">
        <v>1</v>
      </c>
      <c r="N50" s="54">
        <v>1</v>
      </c>
      <c r="O50" s="54">
        <v>0</v>
      </c>
      <c r="P50" s="54">
        <v>1</v>
      </c>
      <c r="Q50" s="54">
        <v>0</v>
      </c>
      <c r="R50" s="54">
        <v>2</v>
      </c>
      <c r="S50" s="54">
        <v>1</v>
      </c>
      <c r="T50" s="54">
        <v>1</v>
      </c>
      <c r="U50" s="54">
        <v>0</v>
      </c>
      <c r="V50" s="54">
        <v>1</v>
      </c>
      <c r="W50" s="54">
        <v>0</v>
      </c>
      <c r="X50" s="54">
        <v>2</v>
      </c>
      <c r="Y50" s="54">
        <v>2</v>
      </c>
      <c r="Z50" s="54">
        <v>4</v>
      </c>
      <c r="AA50" s="54">
        <v>2</v>
      </c>
      <c r="AB50" s="54">
        <v>2</v>
      </c>
      <c r="AC50" s="54">
        <v>1</v>
      </c>
      <c r="AD50" s="54">
        <v>0</v>
      </c>
      <c r="AE50" s="54">
        <v>0</v>
      </c>
      <c r="AF50" s="54"/>
      <c r="AG50" s="5">
        <f t="shared" si="2"/>
        <v>26</v>
      </c>
    </row>
    <row r="51" spans="1:33" ht="15.75" customHeight="1" x14ac:dyDescent="0.25">
      <c r="A51" s="56" t="s">
        <v>24</v>
      </c>
      <c r="B51" s="54">
        <v>0</v>
      </c>
      <c r="C51" s="54">
        <v>0</v>
      </c>
      <c r="D51" s="54">
        <v>0</v>
      </c>
      <c r="E51" s="54">
        <v>0</v>
      </c>
      <c r="F51" s="54">
        <v>2</v>
      </c>
      <c r="G51" s="54">
        <v>1</v>
      </c>
      <c r="H51" s="54">
        <v>0</v>
      </c>
      <c r="I51" s="54">
        <v>1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2</v>
      </c>
      <c r="R51" s="54">
        <v>8</v>
      </c>
      <c r="S51" s="54">
        <v>1</v>
      </c>
      <c r="T51" s="54">
        <v>1</v>
      </c>
      <c r="U51" s="54">
        <v>0</v>
      </c>
      <c r="V51" s="54">
        <v>3</v>
      </c>
      <c r="W51" s="54">
        <v>4</v>
      </c>
      <c r="X51" s="54">
        <v>1</v>
      </c>
      <c r="Y51" s="54">
        <v>1</v>
      </c>
      <c r="Z51" s="54">
        <v>1</v>
      </c>
      <c r="AA51" s="54">
        <v>4</v>
      </c>
      <c r="AB51" s="54">
        <v>0</v>
      </c>
      <c r="AC51" s="54">
        <v>0</v>
      </c>
      <c r="AD51" s="54">
        <v>0</v>
      </c>
      <c r="AE51" s="54">
        <v>4</v>
      </c>
      <c r="AF51" s="54"/>
      <c r="AG51" s="5">
        <f t="shared" si="2"/>
        <v>34</v>
      </c>
    </row>
    <row r="52" spans="1:33" ht="15.75" customHeight="1" thickBot="1" x14ac:dyDescent="0.3">
      <c r="A52" s="57" t="s">
        <v>25</v>
      </c>
      <c r="B52" s="58">
        <v>2</v>
      </c>
      <c r="C52" s="58">
        <v>0</v>
      </c>
      <c r="D52" s="58">
        <v>0</v>
      </c>
      <c r="E52" s="58">
        <v>0</v>
      </c>
      <c r="F52" s="58">
        <v>1</v>
      </c>
      <c r="G52" s="58">
        <v>1</v>
      </c>
      <c r="H52" s="58">
        <v>0</v>
      </c>
      <c r="I52" s="58">
        <v>1</v>
      </c>
      <c r="J52" s="58">
        <v>0</v>
      </c>
      <c r="K52" s="58">
        <v>0</v>
      </c>
      <c r="L52" s="58">
        <v>0</v>
      </c>
      <c r="M52" s="58">
        <v>2</v>
      </c>
      <c r="N52" s="58">
        <v>0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1</v>
      </c>
      <c r="V52" s="58">
        <v>2</v>
      </c>
      <c r="W52" s="58">
        <v>1</v>
      </c>
      <c r="X52" s="58">
        <v>0</v>
      </c>
      <c r="Y52" s="58">
        <v>0</v>
      </c>
      <c r="Z52" s="58">
        <v>2</v>
      </c>
      <c r="AA52" s="58">
        <v>0</v>
      </c>
      <c r="AB52" s="58">
        <v>1</v>
      </c>
      <c r="AC52" s="58">
        <v>0</v>
      </c>
      <c r="AD52" s="60">
        <v>0</v>
      </c>
      <c r="AE52" s="60">
        <v>0</v>
      </c>
      <c r="AF52" s="60"/>
      <c r="AG52" s="9">
        <f t="shared" si="2"/>
        <v>14</v>
      </c>
    </row>
    <row r="53" spans="1:33" ht="15.75" customHeight="1" thickBot="1" x14ac:dyDescent="0.3">
      <c r="A53" s="52" t="s">
        <v>27</v>
      </c>
      <c r="B53" s="1">
        <f t="shared" ref="B53:AF53" si="4">SUM(B54:B77)</f>
        <v>8</v>
      </c>
      <c r="C53" s="1">
        <f t="shared" si="4"/>
        <v>6</v>
      </c>
      <c r="D53" s="1">
        <f t="shared" si="4"/>
        <v>15</v>
      </c>
      <c r="E53" s="1">
        <f t="shared" si="4"/>
        <v>3</v>
      </c>
      <c r="F53" s="1">
        <f t="shared" si="4"/>
        <v>3</v>
      </c>
      <c r="G53" s="1">
        <f t="shared" si="4"/>
        <v>2</v>
      </c>
      <c r="H53" s="1">
        <f t="shared" si="4"/>
        <v>5</v>
      </c>
      <c r="I53" s="1">
        <f t="shared" si="4"/>
        <v>12</v>
      </c>
      <c r="J53" s="1">
        <f t="shared" si="4"/>
        <v>9</v>
      </c>
      <c r="K53" s="1">
        <f t="shared" si="4"/>
        <v>15</v>
      </c>
      <c r="L53" s="1">
        <f t="shared" si="4"/>
        <v>8</v>
      </c>
      <c r="M53" s="1">
        <f t="shared" si="4"/>
        <v>5</v>
      </c>
      <c r="N53" s="1">
        <f t="shared" si="4"/>
        <v>2</v>
      </c>
      <c r="O53" s="1">
        <f t="shared" si="4"/>
        <v>19</v>
      </c>
      <c r="P53" s="1">
        <f t="shared" si="4"/>
        <v>7</v>
      </c>
      <c r="Q53" s="1">
        <f t="shared" si="4"/>
        <v>17</v>
      </c>
      <c r="R53" s="1">
        <f t="shared" si="4"/>
        <v>11</v>
      </c>
      <c r="S53" s="1">
        <f t="shared" si="4"/>
        <v>3</v>
      </c>
      <c r="T53" s="1">
        <f t="shared" si="4"/>
        <v>4</v>
      </c>
      <c r="U53" s="1">
        <f t="shared" si="4"/>
        <v>3</v>
      </c>
      <c r="V53" s="1">
        <f t="shared" si="4"/>
        <v>3</v>
      </c>
      <c r="W53" s="1">
        <f t="shared" si="4"/>
        <v>6</v>
      </c>
      <c r="X53" s="1">
        <f t="shared" si="4"/>
        <v>33</v>
      </c>
      <c r="Y53" s="1">
        <f t="shared" si="4"/>
        <v>20</v>
      </c>
      <c r="Z53" s="1">
        <f t="shared" si="4"/>
        <v>6</v>
      </c>
      <c r="AA53" s="1">
        <f t="shared" si="4"/>
        <v>17</v>
      </c>
      <c r="AB53" s="1">
        <f t="shared" si="4"/>
        <v>13</v>
      </c>
      <c r="AC53" s="1">
        <f t="shared" si="4"/>
        <v>18</v>
      </c>
      <c r="AD53" s="1">
        <f t="shared" si="4"/>
        <v>15</v>
      </c>
      <c r="AE53" s="1">
        <f t="shared" si="4"/>
        <v>6</v>
      </c>
      <c r="AF53" s="1">
        <f t="shared" si="4"/>
        <v>0</v>
      </c>
      <c r="AG53" s="10">
        <f t="shared" si="2"/>
        <v>294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/>
      <c r="AG54" s="4">
        <f t="shared" si="2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/>
      <c r="AG55" s="5">
        <f t="shared" si="2"/>
        <v>0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1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/>
      <c r="AG56" s="5">
        <f t="shared" si="2"/>
        <v>1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1</v>
      </c>
      <c r="U57" s="54">
        <v>1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/>
      <c r="AG57" s="5">
        <f t="shared" si="2"/>
        <v>2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1</v>
      </c>
      <c r="AB58" s="54">
        <v>1</v>
      </c>
      <c r="AC58" s="54">
        <v>0</v>
      </c>
      <c r="AD58" s="54">
        <v>0</v>
      </c>
      <c r="AE58" s="54">
        <v>0</v>
      </c>
      <c r="AF58" s="54"/>
      <c r="AG58" s="5">
        <f t="shared" si="2"/>
        <v>2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1</v>
      </c>
      <c r="G59" s="54">
        <v>1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/>
      <c r="AG59" s="5">
        <f t="shared" si="2"/>
        <v>2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0</v>
      </c>
      <c r="F60" s="54">
        <v>1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1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2</v>
      </c>
      <c r="AB60" s="54">
        <v>0</v>
      </c>
      <c r="AC60" s="54">
        <v>0</v>
      </c>
      <c r="AD60" s="54">
        <v>0</v>
      </c>
      <c r="AE60" s="54">
        <v>0</v>
      </c>
      <c r="AF60" s="54"/>
      <c r="AG60" s="5">
        <f t="shared" si="2"/>
        <v>4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1</v>
      </c>
      <c r="N61" s="54">
        <v>1</v>
      </c>
      <c r="O61" s="54">
        <v>0</v>
      </c>
      <c r="P61" s="54">
        <v>0</v>
      </c>
      <c r="Q61" s="54">
        <v>0</v>
      </c>
      <c r="R61" s="54">
        <v>0</v>
      </c>
      <c r="S61" s="54">
        <v>1</v>
      </c>
      <c r="T61" s="54">
        <v>0</v>
      </c>
      <c r="U61" s="54">
        <v>1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2</v>
      </c>
      <c r="AC61" s="54">
        <v>0</v>
      </c>
      <c r="AD61" s="54">
        <v>0</v>
      </c>
      <c r="AE61" s="54">
        <v>0</v>
      </c>
      <c r="AF61" s="54"/>
      <c r="AG61" s="5">
        <f t="shared" si="2"/>
        <v>6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2</v>
      </c>
      <c r="M62" s="54">
        <v>1</v>
      </c>
      <c r="N62" s="54">
        <v>1</v>
      </c>
      <c r="O62" s="54">
        <v>0</v>
      </c>
      <c r="P62" s="54">
        <v>0</v>
      </c>
      <c r="Q62" s="54">
        <v>0</v>
      </c>
      <c r="R62" s="54">
        <v>0</v>
      </c>
      <c r="S62" s="54">
        <v>1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0</v>
      </c>
      <c r="AA62" s="54">
        <v>1</v>
      </c>
      <c r="AB62" s="54">
        <v>1</v>
      </c>
      <c r="AC62" s="54">
        <v>0</v>
      </c>
      <c r="AD62" s="54">
        <v>0</v>
      </c>
      <c r="AE62" s="54">
        <v>0</v>
      </c>
      <c r="AF62" s="54"/>
      <c r="AG62" s="5">
        <f t="shared" si="2"/>
        <v>7</v>
      </c>
    </row>
    <row r="63" spans="1:33" ht="15.75" customHeight="1" x14ac:dyDescent="0.25">
      <c r="A63" s="56" t="s">
        <v>11</v>
      </c>
      <c r="B63" s="54">
        <v>1</v>
      </c>
      <c r="C63" s="54">
        <v>0</v>
      </c>
      <c r="D63" s="54">
        <v>0</v>
      </c>
      <c r="E63" s="54">
        <v>0</v>
      </c>
      <c r="F63" s="54">
        <v>0</v>
      </c>
      <c r="G63" s="54">
        <v>0</v>
      </c>
      <c r="H63" s="54">
        <v>0</v>
      </c>
      <c r="I63" s="54">
        <v>0</v>
      </c>
      <c r="J63" s="54">
        <v>0</v>
      </c>
      <c r="K63" s="54">
        <v>0</v>
      </c>
      <c r="L63" s="54">
        <v>1</v>
      </c>
      <c r="M63" s="54">
        <v>1</v>
      </c>
      <c r="N63" s="54">
        <v>0</v>
      </c>
      <c r="O63" s="54">
        <v>0</v>
      </c>
      <c r="P63" s="54">
        <v>0</v>
      </c>
      <c r="Q63" s="54">
        <v>1</v>
      </c>
      <c r="R63" s="54">
        <v>0</v>
      </c>
      <c r="S63" s="54">
        <v>0</v>
      </c>
      <c r="T63" s="54">
        <v>0</v>
      </c>
      <c r="U63" s="54">
        <v>1</v>
      </c>
      <c r="V63" s="54">
        <v>0</v>
      </c>
      <c r="W63" s="54">
        <v>0</v>
      </c>
      <c r="X63" s="54">
        <v>0</v>
      </c>
      <c r="Y63" s="54">
        <v>0</v>
      </c>
      <c r="Z63" s="54">
        <v>0</v>
      </c>
      <c r="AA63" s="54">
        <v>1</v>
      </c>
      <c r="AB63" s="54">
        <v>1</v>
      </c>
      <c r="AC63" s="54">
        <v>0</v>
      </c>
      <c r="AD63" s="54">
        <v>0</v>
      </c>
      <c r="AE63" s="54">
        <v>1</v>
      </c>
      <c r="AF63" s="54"/>
      <c r="AG63" s="5">
        <f t="shared" si="2"/>
        <v>8</v>
      </c>
    </row>
    <row r="64" spans="1:33" ht="15.75" customHeight="1" x14ac:dyDescent="0.25">
      <c r="A64" s="56" t="s">
        <v>12</v>
      </c>
      <c r="B64" s="54">
        <v>0</v>
      </c>
      <c r="C64" s="54">
        <v>0</v>
      </c>
      <c r="D64" s="54">
        <v>0</v>
      </c>
      <c r="E64" s="54">
        <v>0</v>
      </c>
      <c r="F64" s="54">
        <v>0</v>
      </c>
      <c r="G64" s="54">
        <v>0</v>
      </c>
      <c r="H64" s="54">
        <v>1</v>
      </c>
      <c r="I64" s="54">
        <v>1</v>
      </c>
      <c r="J64" s="54">
        <v>0</v>
      </c>
      <c r="K64" s="54">
        <v>1</v>
      </c>
      <c r="L64" s="54">
        <v>1</v>
      </c>
      <c r="M64" s="54">
        <v>0</v>
      </c>
      <c r="N64" s="54">
        <v>0</v>
      </c>
      <c r="O64" s="54">
        <v>0</v>
      </c>
      <c r="P64" s="54">
        <v>1</v>
      </c>
      <c r="Q64" s="54">
        <v>2</v>
      </c>
      <c r="R64" s="54">
        <v>1</v>
      </c>
      <c r="S64" s="54">
        <v>0</v>
      </c>
      <c r="T64" s="54">
        <v>0</v>
      </c>
      <c r="U64" s="54">
        <v>0</v>
      </c>
      <c r="V64" s="54">
        <v>0</v>
      </c>
      <c r="W64" s="54">
        <v>2</v>
      </c>
      <c r="X64" s="54">
        <v>4</v>
      </c>
      <c r="Y64" s="54">
        <v>0</v>
      </c>
      <c r="Z64" s="54">
        <v>1</v>
      </c>
      <c r="AA64" s="54">
        <v>2</v>
      </c>
      <c r="AB64" s="54">
        <v>2</v>
      </c>
      <c r="AC64" s="54">
        <v>2</v>
      </c>
      <c r="AD64" s="54">
        <v>0</v>
      </c>
      <c r="AE64" s="54">
        <v>1</v>
      </c>
      <c r="AF64" s="54"/>
      <c r="AG64" s="5">
        <f t="shared" si="2"/>
        <v>22</v>
      </c>
    </row>
    <row r="65" spans="1:33" ht="15.75" customHeight="1" x14ac:dyDescent="0.25">
      <c r="A65" s="56" t="s">
        <v>13</v>
      </c>
      <c r="B65" s="54">
        <v>0</v>
      </c>
      <c r="C65" s="54">
        <v>0</v>
      </c>
      <c r="D65" s="54">
        <v>1</v>
      </c>
      <c r="E65" s="54">
        <v>3</v>
      </c>
      <c r="F65" s="54">
        <v>0</v>
      </c>
      <c r="G65" s="54">
        <v>0</v>
      </c>
      <c r="H65" s="54">
        <v>0</v>
      </c>
      <c r="I65" s="54">
        <v>1</v>
      </c>
      <c r="J65" s="54">
        <v>1</v>
      </c>
      <c r="K65" s="54">
        <v>0</v>
      </c>
      <c r="L65" s="54">
        <v>2</v>
      </c>
      <c r="M65" s="54">
        <v>0</v>
      </c>
      <c r="N65" s="54">
        <v>0</v>
      </c>
      <c r="O65" s="54">
        <v>0</v>
      </c>
      <c r="P65" s="54">
        <v>1</v>
      </c>
      <c r="Q65" s="54">
        <v>0</v>
      </c>
      <c r="R65" s="54">
        <v>1</v>
      </c>
      <c r="S65" s="54">
        <v>0</v>
      </c>
      <c r="T65" s="54">
        <v>0</v>
      </c>
      <c r="U65" s="54">
        <v>0</v>
      </c>
      <c r="V65" s="54">
        <v>2</v>
      </c>
      <c r="W65" s="54">
        <v>2</v>
      </c>
      <c r="X65" s="54">
        <v>1</v>
      </c>
      <c r="Y65" s="54">
        <v>1</v>
      </c>
      <c r="Z65" s="54">
        <v>2</v>
      </c>
      <c r="AA65" s="54">
        <v>0</v>
      </c>
      <c r="AB65" s="54">
        <v>1</v>
      </c>
      <c r="AC65" s="54">
        <v>1</v>
      </c>
      <c r="AD65" s="54">
        <v>0</v>
      </c>
      <c r="AE65" s="54">
        <v>0</v>
      </c>
      <c r="AF65" s="54"/>
      <c r="AG65" s="5">
        <f t="shared" si="2"/>
        <v>20</v>
      </c>
    </row>
    <row r="66" spans="1:33" ht="15.75" customHeight="1" x14ac:dyDescent="0.25">
      <c r="A66" s="56" t="s">
        <v>14</v>
      </c>
      <c r="B66" s="54">
        <v>2</v>
      </c>
      <c r="C66" s="54">
        <v>0</v>
      </c>
      <c r="D66" s="54">
        <v>2</v>
      </c>
      <c r="E66" s="54">
        <v>0</v>
      </c>
      <c r="F66" s="54">
        <v>0</v>
      </c>
      <c r="G66" s="54">
        <v>0</v>
      </c>
      <c r="H66" s="54">
        <v>0</v>
      </c>
      <c r="I66" s="54">
        <v>1</v>
      </c>
      <c r="J66" s="54">
        <v>0</v>
      </c>
      <c r="K66" s="54">
        <v>1</v>
      </c>
      <c r="L66" s="54">
        <v>2</v>
      </c>
      <c r="M66" s="54">
        <v>0</v>
      </c>
      <c r="N66" s="54">
        <v>0</v>
      </c>
      <c r="O66" s="54">
        <v>3</v>
      </c>
      <c r="P66" s="54">
        <v>1</v>
      </c>
      <c r="Q66" s="54">
        <v>0</v>
      </c>
      <c r="R66" s="54">
        <v>5</v>
      </c>
      <c r="S66" s="54">
        <v>0</v>
      </c>
      <c r="T66" s="54">
        <v>1</v>
      </c>
      <c r="U66" s="54">
        <v>0</v>
      </c>
      <c r="V66" s="54">
        <v>0</v>
      </c>
      <c r="W66" s="54">
        <v>0</v>
      </c>
      <c r="X66" s="54">
        <v>3</v>
      </c>
      <c r="Y66" s="54">
        <v>0</v>
      </c>
      <c r="Z66" s="54">
        <v>0</v>
      </c>
      <c r="AA66" s="54">
        <v>6</v>
      </c>
      <c r="AB66" s="54">
        <v>0</v>
      </c>
      <c r="AC66" s="54">
        <v>1</v>
      </c>
      <c r="AD66" s="54">
        <v>0</v>
      </c>
      <c r="AE66" s="54">
        <v>0</v>
      </c>
      <c r="AF66" s="54"/>
      <c r="AG66" s="5">
        <f t="shared" si="2"/>
        <v>28</v>
      </c>
    </row>
    <row r="67" spans="1:33" ht="15.75" customHeight="1" x14ac:dyDescent="0.25">
      <c r="A67" s="56" t="s">
        <v>15</v>
      </c>
      <c r="B67" s="54">
        <v>1</v>
      </c>
      <c r="C67" s="54">
        <v>5</v>
      </c>
      <c r="D67" s="54">
        <v>2</v>
      </c>
      <c r="E67" s="54">
        <v>0</v>
      </c>
      <c r="F67" s="54">
        <v>1</v>
      </c>
      <c r="G67" s="54">
        <v>0</v>
      </c>
      <c r="H67" s="54">
        <v>0</v>
      </c>
      <c r="I67" s="54">
        <v>5</v>
      </c>
      <c r="J67" s="54">
        <v>0</v>
      </c>
      <c r="K67" s="54">
        <v>0</v>
      </c>
      <c r="L67" s="54">
        <v>0</v>
      </c>
      <c r="M67" s="54">
        <v>0</v>
      </c>
      <c r="N67" s="54">
        <v>0</v>
      </c>
      <c r="O67" s="54">
        <v>1</v>
      </c>
      <c r="P67" s="54">
        <v>1</v>
      </c>
      <c r="Q67" s="54">
        <v>1</v>
      </c>
      <c r="R67" s="54">
        <v>1</v>
      </c>
      <c r="S67" s="54">
        <v>0</v>
      </c>
      <c r="T67" s="54">
        <v>1</v>
      </c>
      <c r="U67" s="54">
        <v>0</v>
      </c>
      <c r="V67" s="54">
        <v>0</v>
      </c>
      <c r="W67" s="54">
        <v>0</v>
      </c>
      <c r="X67" s="54">
        <v>2</v>
      </c>
      <c r="Y67" s="54">
        <v>0</v>
      </c>
      <c r="Z67" s="54">
        <v>0</v>
      </c>
      <c r="AA67" s="54">
        <v>0</v>
      </c>
      <c r="AB67" s="54">
        <v>1</v>
      </c>
      <c r="AC67" s="54">
        <v>1</v>
      </c>
      <c r="AD67" s="54">
        <v>0</v>
      </c>
      <c r="AE67" s="54">
        <v>1</v>
      </c>
      <c r="AF67" s="54"/>
      <c r="AG67" s="5">
        <f t="shared" ref="AG67:AG98" si="5">SUM(B67:AF67)</f>
        <v>24</v>
      </c>
    </row>
    <row r="68" spans="1:33" ht="15.75" customHeight="1" x14ac:dyDescent="0.25">
      <c r="A68" s="56" t="s">
        <v>16</v>
      </c>
      <c r="B68" s="54">
        <v>2</v>
      </c>
      <c r="C68" s="54">
        <v>0</v>
      </c>
      <c r="D68" s="54">
        <v>4</v>
      </c>
      <c r="E68" s="54">
        <v>0</v>
      </c>
      <c r="F68" s="54">
        <v>0</v>
      </c>
      <c r="G68" s="54">
        <v>0</v>
      </c>
      <c r="H68" s="54">
        <v>1</v>
      </c>
      <c r="I68" s="54">
        <v>3</v>
      </c>
      <c r="J68" s="54">
        <v>0</v>
      </c>
      <c r="K68" s="54">
        <v>3</v>
      </c>
      <c r="L68" s="54">
        <v>0</v>
      </c>
      <c r="M68" s="54">
        <v>1</v>
      </c>
      <c r="N68" s="54">
        <v>0</v>
      </c>
      <c r="O68" s="54">
        <v>6</v>
      </c>
      <c r="P68" s="54">
        <v>2</v>
      </c>
      <c r="Q68" s="54">
        <v>0</v>
      </c>
      <c r="R68" s="54">
        <v>0</v>
      </c>
      <c r="S68" s="54">
        <v>0</v>
      </c>
      <c r="T68" s="54">
        <v>0</v>
      </c>
      <c r="U68" s="54">
        <v>0</v>
      </c>
      <c r="V68" s="54">
        <v>0</v>
      </c>
      <c r="W68" s="54">
        <v>1</v>
      </c>
      <c r="X68" s="54">
        <v>1</v>
      </c>
      <c r="Y68" s="54">
        <v>1</v>
      </c>
      <c r="Z68" s="54">
        <v>1</v>
      </c>
      <c r="AA68" s="54">
        <v>3</v>
      </c>
      <c r="AB68" s="54">
        <v>3</v>
      </c>
      <c r="AC68" s="54">
        <v>0</v>
      </c>
      <c r="AD68" s="54">
        <v>3</v>
      </c>
      <c r="AE68" s="54">
        <v>2</v>
      </c>
      <c r="AF68" s="54"/>
      <c r="AG68" s="5">
        <f t="shared" si="5"/>
        <v>37</v>
      </c>
    </row>
    <row r="69" spans="1:33" ht="15.75" customHeight="1" x14ac:dyDescent="0.25">
      <c r="A69" s="56" t="s">
        <v>17</v>
      </c>
      <c r="B69" s="54">
        <v>2</v>
      </c>
      <c r="C69" s="54">
        <v>0</v>
      </c>
      <c r="D69" s="54">
        <v>2</v>
      </c>
      <c r="E69" s="54">
        <v>0</v>
      </c>
      <c r="F69" s="54">
        <v>0</v>
      </c>
      <c r="G69" s="54">
        <v>0</v>
      </c>
      <c r="H69" s="54">
        <v>2</v>
      </c>
      <c r="I69" s="54">
        <v>0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1</v>
      </c>
      <c r="P69" s="54">
        <v>0</v>
      </c>
      <c r="Q69" s="54">
        <v>1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4">
        <v>0</v>
      </c>
      <c r="X69" s="54">
        <v>4</v>
      </c>
      <c r="Y69" s="54">
        <v>1</v>
      </c>
      <c r="Z69" s="54">
        <v>0</v>
      </c>
      <c r="AA69" s="54">
        <v>0</v>
      </c>
      <c r="AB69" s="54">
        <v>1</v>
      </c>
      <c r="AC69" s="54">
        <v>0</v>
      </c>
      <c r="AD69" s="54">
        <v>8</v>
      </c>
      <c r="AE69" s="54">
        <v>0</v>
      </c>
      <c r="AF69" s="54"/>
      <c r="AG69" s="5">
        <f t="shared" si="5"/>
        <v>22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0</v>
      </c>
      <c r="E70" s="54">
        <v>0</v>
      </c>
      <c r="F70" s="54">
        <v>0</v>
      </c>
      <c r="G70" s="54">
        <v>0</v>
      </c>
      <c r="H70" s="54">
        <v>0</v>
      </c>
      <c r="I70" s="54">
        <v>1</v>
      </c>
      <c r="J70" s="54">
        <v>6</v>
      </c>
      <c r="K70" s="54">
        <v>0</v>
      </c>
      <c r="L70" s="54">
        <v>0</v>
      </c>
      <c r="M70" s="54">
        <v>0</v>
      </c>
      <c r="N70" s="54">
        <v>0</v>
      </c>
      <c r="O70" s="54">
        <v>3</v>
      </c>
      <c r="P70" s="54">
        <v>0</v>
      </c>
      <c r="Q70" s="54">
        <v>5</v>
      </c>
      <c r="R70" s="54">
        <v>1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3</v>
      </c>
      <c r="Y70" s="54">
        <v>0</v>
      </c>
      <c r="Z70" s="54">
        <v>2</v>
      </c>
      <c r="AA70" s="54">
        <v>0</v>
      </c>
      <c r="AB70" s="54">
        <v>0</v>
      </c>
      <c r="AC70" s="54">
        <v>2</v>
      </c>
      <c r="AD70" s="55">
        <v>3</v>
      </c>
      <c r="AE70" s="55">
        <v>1</v>
      </c>
      <c r="AF70" s="55"/>
      <c r="AG70" s="5">
        <f t="shared" si="5"/>
        <v>27</v>
      </c>
    </row>
    <row r="71" spans="1:33" ht="15.75" customHeight="1" x14ac:dyDescent="0.25">
      <c r="A71" s="56" t="s">
        <v>19</v>
      </c>
      <c r="B71" s="54">
        <v>0</v>
      </c>
      <c r="C71" s="54">
        <v>1</v>
      </c>
      <c r="D71" s="54">
        <v>3</v>
      </c>
      <c r="E71" s="54">
        <v>0</v>
      </c>
      <c r="F71" s="54">
        <v>0</v>
      </c>
      <c r="G71" s="54">
        <v>0</v>
      </c>
      <c r="H71" s="54">
        <v>1</v>
      </c>
      <c r="I71" s="54">
        <v>0</v>
      </c>
      <c r="J71" s="54">
        <v>0</v>
      </c>
      <c r="K71" s="54">
        <v>6</v>
      </c>
      <c r="L71" s="54">
        <v>0</v>
      </c>
      <c r="M71" s="54">
        <v>0</v>
      </c>
      <c r="N71" s="54">
        <v>0</v>
      </c>
      <c r="O71" s="54">
        <v>5</v>
      </c>
      <c r="P71" s="54">
        <v>0</v>
      </c>
      <c r="Q71" s="54">
        <v>7</v>
      </c>
      <c r="R71" s="54">
        <v>2</v>
      </c>
      <c r="S71" s="54">
        <v>0</v>
      </c>
      <c r="T71" s="54">
        <v>0</v>
      </c>
      <c r="U71" s="54">
        <v>0</v>
      </c>
      <c r="V71" s="54">
        <v>1</v>
      </c>
      <c r="W71" s="54">
        <v>0</v>
      </c>
      <c r="X71" s="54">
        <v>11</v>
      </c>
      <c r="Y71" s="54">
        <v>3</v>
      </c>
      <c r="Z71" s="54">
        <v>0</v>
      </c>
      <c r="AA71" s="54">
        <v>1</v>
      </c>
      <c r="AB71" s="54">
        <v>0</v>
      </c>
      <c r="AC71" s="54">
        <v>6</v>
      </c>
      <c r="AD71" s="55">
        <v>1</v>
      </c>
      <c r="AE71" s="55">
        <v>0</v>
      </c>
      <c r="AF71" s="55"/>
      <c r="AG71" s="5">
        <f t="shared" si="5"/>
        <v>48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1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2</v>
      </c>
      <c r="K72" s="54">
        <v>3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4</v>
      </c>
      <c r="Y72" s="54">
        <v>12</v>
      </c>
      <c r="Z72" s="54">
        <v>0</v>
      </c>
      <c r="AA72" s="54">
        <v>0</v>
      </c>
      <c r="AB72" s="54">
        <v>0</v>
      </c>
      <c r="AC72" s="54">
        <v>5</v>
      </c>
      <c r="AD72" s="55">
        <v>0</v>
      </c>
      <c r="AE72" s="55">
        <v>0</v>
      </c>
      <c r="AF72" s="55"/>
      <c r="AG72" s="5">
        <f t="shared" si="5"/>
        <v>27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1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1</v>
      </c>
      <c r="Q73" s="54">
        <v>0</v>
      </c>
      <c r="R73" s="54">
        <v>0</v>
      </c>
      <c r="S73" s="54">
        <v>0</v>
      </c>
      <c r="T73" s="54">
        <v>1</v>
      </c>
      <c r="U73" s="54">
        <v>0</v>
      </c>
      <c r="V73" s="54">
        <v>0</v>
      </c>
      <c r="W73" s="54">
        <v>1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/>
      <c r="AG73" s="5">
        <f t="shared" si="5"/>
        <v>4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2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/>
      <c r="AG74" s="5">
        <f t="shared" si="5"/>
        <v>2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/>
      <c r="AG75" s="5">
        <f t="shared" si="5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1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/>
      <c r="AG76" s="5">
        <f t="shared" si="5"/>
        <v>1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/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122</v>
      </c>
      <c r="C78" s="11">
        <f t="shared" si="6"/>
        <v>105</v>
      </c>
      <c r="D78" s="11">
        <f t="shared" si="6"/>
        <v>114</v>
      </c>
      <c r="E78" s="11">
        <f t="shared" si="6"/>
        <v>99</v>
      </c>
      <c r="F78" s="11">
        <f t="shared" si="6"/>
        <v>172</v>
      </c>
      <c r="G78" s="11">
        <f t="shared" si="6"/>
        <v>172</v>
      </c>
      <c r="H78" s="11">
        <f t="shared" si="6"/>
        <v>130</v>
      </c>
      <c r="I78" s="11">
        <f t="shared" si="6"/>
        <v>119</v>
      </c>
      <c r="J78" s="11">
        <f t="shared" si="6"/>
        <v>107</v>
      </c>
      <c r="K78" s="11">
        <f t="shared" si="6"/>
        <v>101</v>
      </c>
      <c r="L78" s="11">
        <f t="shared" si="6"/>
        <v>109</v>
      </c>
      <c r="M78" s="11">
        <f t="shared" si="6"/>
        <v>174</v>
      </c>
      <c r="N78" s="11">
        <f t="shared" si="6"/>
        <v>174</v>
      </c>
      <c r="O78" s="11">
        <f t="shared" si="6"/>
        <v>137</v>
      </c>
      <c r="P78" s="11">
        <f t="shared" si="6"/>
        <v>109</v>
      </c>
      <c r="Q78" s="11">
        <f t="shared" si="6"/>
        <v>121</v>
      </c>
      <c r="R78" s="11">
        <f t="shared" si="6"/>
        <v>106</v>
      </c>
      <c r="S78" s="11">
        <f t="shared" si="6"/>
        <v>135</v>
      </c>
      <c r="T78" s="11">
        <f t="shared" si="6"/>
        <v>163</v>
      </c>
      <c r="U78" s="11">
        <f t="shared" si="6"/>
        <v>173</v>
      </c>
      <c r="V78" s="11">
        <f t="shared" si="6"/>
        <v>129</v>
      </c>
      <c r="W78" s="11">
        <f t="shared" si="6"/>
        <v>124</v>
      </c>
      <c r="X78" s="11">
        <f t="shared" si="6"/>
        <v>135</v>
      </c>
      <c r="Y78" s="11">
        <f t="shared" si="6"/>
        <v>125</v>
      </c>
      <c r="Z78" s="11">
        <f t="shared" si="6"/>
        <v>115</v>
      </c>
      <c r="AA78" s="11">
        <f t="shared" si="6"/>
        <v>191</v>
      </c>
      <c r="AB78" s="11">
        <f t="shared" si="6"/>
        <v>191</v>
      </c>
      <c r="AC78" s="11">
        <f t="shared" si="6"/>
        <v>136</v>
      </c>
      <c r="AD78" s="11">
        <f t="shared" si="6"/>
        <v>122</v>
      </c>
      <c r="AE78" s="11">
        <f t="shared" si="6"/>
        <v>114</v>
      </c>
      <c r="AF78" s="11">
        <f t="shared" si="6"/>
        <v>0</v>
      </c>
      <c r="AG78" s="10">
        <f t="shared" si="5"/>
        <v>4024</v>
      </c>
    </row>
    <row r="79" spans="1:33" ht="19.5" customHeight="1" x14ac:dyDescent="0.25">
      <c r="A79" s="64" t="s">
        <v>29</v>
      </c>
      <c r="B79" s="3">
        <f t="shared" ref="B79" si="7">SUM(B4:B27)-B80</f>
        <v>122</v>
      </c>
      <c r="C79" s="3">
        <f t="shared" ref="C79" si="8">SUM(C4:C27)-C80</f>
        <v>105</v>
      </c>
      <c r="D79" s="3">
        <f t="shared" ref="D79:AF79" si="9">SUM(D4:D27)-D80</f>
        <v>114</v>
      </c>
      <c r="E79" s="3">
        <f t="shared" si="9"/>
        <v>99</v>
      </c>
      <c r="F79" s="3">
        <f t="shared" si="9"/>
        <v>172</v>
      </c>
      <c r="G79" s="3">
        <f t="shared" si="9"/>
        <v>172</v>
      </c>
      <c r="H79" s="3">
        <f t="shared" si="9"/>
        <v>130</v>
      </c>
      <c r="I79" s="3">
        <f t="shared" si="9"/>
        <v>119</v>
      </c>
      <c r="J79" s="3">
        <f t="shared" si="9"/>
        <v>107</v>
      </c>
      <c r="K79" s="3">
        <f t="shared" si="9"/>
        <v>101</v>
      </c>
      <c r="L79" s="3">
        <f t="shared" si="9"/>
        <v>109</v>
      </c>
      <c r="M79" s="3">
        <f t="shared" si="9"/>
        <v>174</v>
      </c>
      <c r="N79" s="3">
        <f t="shared" si="9"/>
        <v>174</v>
      </c>
      <c r="O79" s="3">
        <f t="shared" si="9"/>
        <v>137</v>
      </c>
      <c r="P79" s="3">
        <f t="shared" si="9"/>
        <v>109</v>
      </c>
      <c r="Q79" s="3">
        <f t="shared" si="9"/>
        <v>121</v>
      </c>
      <c r="R79" s="3">
        <f t="shared" si="9"/>
        <v>106</v>
      </c>
      <c r="S79" s="3">
        <f t="shared" si="9"/>
        <v>135</v>
      </c>
      <c r="T79" s="3">
        <f t="shared" si="9"/>
        <v>163</v>
      </c>
      <c r="U79" s="3">
        <f t="shared" si="9"/>
        <v>173</v>
      </c>
      <c r="V79" s="3">
        <f t="shared" si="9"/>
        <v>129</v>
      </c>
      <c r="W79" s="3">
        <f t="shared" si="9"/>
        <v>124</v>
      </c>
      <c r="X79" s="3">
        <f t="shared" si="9"/>
        <v>135</v>
      </c>
      <c r="Y79" s="3">
        <f t="shared" si="9"/>
        <v>125</v>
      </c>
      <c r="Z79" s="3">
        <f t="shared" si="9"/>
        <v>115</v>
      </c>
      <c r="AA79" s="3">
        <f t="shared" si="9"/>
        <v>191</v>
      </c>
      <c r="AB79" s="3">
        <f t="shared" si="9"/>
        <v>191</v>
      </c>
      <c r="AC79" s="3">
        <f t="shared" si="9"/>
        <v>136</v>
      </c>
      <c r="AD79" s="3">
        <f t="shared" si="9"/>
        <v>122</v>
      </c>
      <c r="AE79" s="3">
        <f t="shared" si="9"/>
        <v>114</v>
      </c>
      <c r="AF79" s="3">
        <f t="shared" si="9"/>
        <v>0</v>
      </c>
      <c r="AG79" s="4">
        <f t="shared" si="5"/>
        <v>4024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8</v>
      </c>
      <c r="C81" s="12">
        <f t="shared" si="10"/>
        <v>6</v>
      </c>
      <c r="D81" s="12">
        <f t="shared" si="10"/>
        <v>15</v>
      </c>
      <c r="E81" s="12">
        <f t="shared" si="10"/>
        <v>3</v>
      </c>
      <c r="F81" s="12">
        <f t="shared" si="10"/>
        <v>3</v>
      </c>
      <c r="G81" s="12">
        <f t="shared" si="10"/>
        <v>2</v>
      </c>
      <c r="H81" s="12">
        <f t="shared" si="10"/>
        <v>5</v>
      </c>
      <c r="I81" s="12">
        <f t="shared" si="10"/>
        <v>12</v>
      </c>
      <c r="J81" s="12">
        <f t="shared" si="10"/>
        <v>9</v>
      </c>
      <c r="K81" s="12">
        <f t="shared" si="10"/>
        <v>15</v>
      </c>
      <c r="L81" s="12">
        <f t="shared" si="10"/>
        <v>8</v>
      </c>
      <c r="M81" s="12">
        <f t="shared" si="10"/>
        <v>5</v>
      </c>
      <c r="N81" s="12">
        <f t="shared" si="10"/>
        <v>2</v>
      </c>
      <c r="O81" s="12">
        <f t="shared" si="10"/>
        <v>19</v>
      </c>
      <c r="P81" s="12">
        <f t="shared" si="10"/>
        <v>7</v>
      </c>
      <c r="Q81" s="12">
        <f t="shared" si="10"/>
        <v>17</v>
      </c>
      <c r="R81" s="12">
        <f t="shared" si="10"/>
        <v>11</v>
      </c>
      <c r="S81" s="12">
        <f t="shared" si="10"/>
        <v>3</v>
      </c>
      <c r="T81" s="12">
        <f t="shared" si="10"/>
        <v>4</v>
      </c>
      <c r="U81" s="12">
        <f t="shared" si="10"/>
        <v>3</v>
      </c>
      <c r="V81" s="12">
        <f t="shared" si="10"/>
        <v>3</v>
      </c>
      <c r="W81" s="12">
        <f t="shared" si="10"/>
        <v>6</v>
      </c>
      <c r="X81" s="12">
        <f t="shared" si="10"/>
        <v>33</v>
      </c>
      <c r="Y81" s="12">
        <f t="shared" si="10"/>
        <v>20</v>
      </c>
      <c r="Z81" s="12">
        <f t="shared" si="10"/>
        <v>6</v>
      </c>
      <c r="AA81" s="12">
        <f t="shared" si="10"/>
        <v>17</v>
      </c>
      <c r="AB81" s="12">
        <f t="shared" si="10"/>
        <v>13</v>
      </c>
      <c r="AC81" s="12">
        <f t="shared" si="10"/>
        <v>18</v>
      </c>
      <c r="AD81" s="12">
        <f t="shared" si="10"/>
        <v>15</v>
      </c>
      <c r="AE81" s="12">
        <f t="shared" si="10"/>
        <v>6</v>
      </c>
      <c r="AF81" s="12">
        <f t="shared" si="10"/>
        <v>0</v>
      </c>
      <c r="AG81" s="10">
        <f t="shared" si="5"/>
        <v>294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2</v>
      </c>
      <c r="G82" s="3">
        <f t="shared" si="11"/>
        <v>1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2</v>
      </c>
      <c r="M82" s="3">
        <f t="shared" si="11"/>
        <v>3</v>
      </c>
      <c r="N82" s="3">
        <f t="shared" si="11"/>
        <v>2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3</v>
      </c>
      <c r="T82" s="3">
        <f t="shared" si="11"/>
        <v>1</v>
      </c>
      <c r="U82" s="3">
        <f t="shared" si="11"/>
        <v>2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4</v>
      </c>
      <c r="AB82" s="3">
        <f t="shared" si="11"/>
        <v>4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24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8</v>
      </c>
      <c r="C83" s="8">
        <f t="shared" si="12"/>
        <v>6</v>
      </c>
      <c r="D83" s="8">
        <f t="shared" si="12"/>
        <v>15</v>
      </c>
      <c r="E83" s="8">
        <f t="shared" si="12"/>
        <v>3</v>
      </c>
      <c r="F83" s="8">
        <f t="shared" si="12"/>
        <v>1</v>
      </c>
      <c r="G83" s="8">
        <f t="shared" si="12"/>
        <v>1</v>
      </c>
      <c r="H83" s="8">
        <f t="shared" si="12"/>
        <v>5</v>
      </c>
      <c r="I83" s="8">
        <f t="shared" si="12"/>
        <v>12</v>
      </c>
      <c r="J83" s="8">
        <f t="shared" si="12"/>
        <v>9</v>
      </c>
      <c r="K83" s="8">
        <f t="shared" si="12"/>
        <v>15</v>
      </c>
      <c r="L83" s="8">
        <f t="shared" si="12"/>
        <v>6</v>
      </c>
      <c r="M83" s="8">
        <f t="shared" si="12"/>
        <v>2</v>
      </c>
      <c r="N83" s="8">
        <f t="shared" si="12"/>
        <v>0</v>
      </c>
      <c r="O83" s="8">
        <f t="shared" si="12"/>
        <v>19</v>
      </c>
      <c r="P83" s="8">
        <f t="shared" si="12"/>
        <v>7</v>
      </c>
      <c r="Q83" s="8">
        <f t="shared" si="12"/>
        <v>17</v>
      </c>
      <c r="R83" s="8">
        <f t="shared" si="12"/>
        <v>11</v>
      </c>
      <c r="S83" s="8">
        <f t="shared" si="12"/>
        <v>0</v>
      </c>
      <c r="T83" s="8">
        <f t="shared" si="12"/>
        <v>3</v>
      </c>
      <c r="U83" s="8">
        <f t="shared" si="12"/>
        <v>1</v>
      </c>
      <c r="V83" s="8">
        <f t="shared" si="12"/>
        <v>3</v>
      </c>
      <c r="W83" s="8">
        <f t="shared" si="12"/>
        <v>6</v>
      </c>
      <c r="X83" s="8">
        <f t="shared" si="12"/>
        <v>33</v>
      </c>
      <c r="Y83" s="8">
        <f t="shared" si="12"/>
        <v>20</v>
      </c>
      <c r="Z83" s="8">
        <f t="shared" si="12"/>
        <v>6</v>
      </c>
      <c r="AA83" s="8">
        <f t="shared" si="12"/>
        <v>13</v>
      </c>
      <c r="AB83" s="8">
        <f t="shared" si="12"/>
        <v>9</v>
      </c>
      <c r="AC83" s="8">
        <f t="shared" si="12"/>
        <v>18</v>
      </c>
      <c r="AD83" s="8">
        <f t="shared" si="12"/>
        <v>15</v>
      </c>
      <c r="AE83" s="8">
        <f t="shared" si="12"/>
        <v>6</v>
      </c>
      <c r="AF83" s="8">
        <f t="shared" si="12"/>
        <v>0</v>
      </c>
      <c r="AG83" s="5">
        <f t="shared" si="5"/>
        <v>270</v>
      </c>
    </row>
    <row r="84" spans="1:34" ht="15.75" customHeight="1" thickBot="1" x14ac:dyDescent="0.3">
      <c r="A84" s="67" t="s">
        <v>32</v>
      </c>
      <c r="B84" s="14">
        <f t="shared" ref="B84:AF84" si="13">SUM(B85:B86)</f>
        <v>8</v>
      </c>
      <c r="C84" s="14">
        <f t="shared" si="13"/>
        <v>6</v>
      </c>
      <c r="D84" s="14">
        <f t="shared" si="13"/>
        <v>15</v>
      </c>
      <c r="E84" s="14">
        <f t="shared" si="13"/>
        <v>3</v>
      </c>
      <c r="F84" s="14">
        <f t="shared" si="13"/>
        <v>3</v>
      </c>
      <c r="G84" s="14">
        <f t="shared" si="13"/>
        <v>2</v>
      </c>
      <c r="H84" s="14">
        <f t="shared" si="13"/>
        <v>5</v>
      </c>
      <c r="I84" s="14">
        <f t="shared" si="13"/>
        <v>12</v>
      </c>
      <c r="J84" s="14">
        <f t="shared" si="13"/>
        <v>9</v>
      </c>
      <c r="K84" s="14">
        <f t="shared" si="13"/>
        <v>15</v>
      </c>
      <c r="L84" s="14">
        <f t="shared" si="13"/>
        <v>8</v>
      </c>
      <c r="M84" s="14">
        <f t="shared" si="13"/>
        <v>5</v>
      </c>
      <c r="N84" s="14">
        <f t="shared" si="13"/>
        <v>2</v>
      </c>
      <c r="O84" s="14">
        <f t="shared" si="13"/>
        <v>19</v>
      </c>
      <c r="P84" s="14">
        <f t="shared" si="13"/>
        <v>7</v>
      </c>
      <c r="Q84" s="14">
        <f t="shared" si="13"/>
        <v>17</v>
      </c>
      <c r="R84" s="14">
        <f t="shared" si="13"/>
        <v>11</v>
      </c>
      <c r="S84" s="14">
        <f t="shared" si="13"/>
        <v>3</v>
      </c>
      <c r="T84" s="14">
        <f t="shared" si="13"/>
        <v>4</v>
      </c>
      <c r="U84" s="14">
        <f t="shared" si="13"/>
        <v>3</v>
      </c>
      <c r="V84" s="14">
        <f t="shared" si="13"/>
        <v>3</v>
      </c>
      <c r="W84" s="14">
        <f t="shared" si="13"/>
        <v>6</v>
      </c>
      <c r="X84" s="14">
        <f t="shared" si="13"/>
        <v>33</v>
      </c>
      <c r="Y84" s="14">
        <f t="shared" si="13"/>
        <v>20</v>
      </c>
      <c r="Z84" s="14">
        <f t="shared" si="13"/>
        <v>6</v>
      </c>
      <c r="AA84" s="14">
        <f t="shared" si="13"/>
        <v>17</v>
      </c>
      <c r="AB84" s="14">
        <f t="shared" si="13"/>
        <v>13</v>
      </c>
      <c r="AC84" s="14">
        <f t="shared" si="13"/>
        <v>18</v>
      </c>
      <c r="AD84" s="14">
        <f t="shared" si="13"/>
        <v>15</v>
      </c>
      <c r="AE84" s="14">
        <f t="shared" si="13"/>
        <v>6</v>
      </c>
      <c r="AF84" s="14">
        <f t="shared" si="13"/>
        <v>0</v>
      </c>
      <c r="AG84" s="15">
        <f t="shared" si="5"/>
        <v>294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0</v>
      </c>
      <c r="C85" s="69">
        <v>0</v>
      </c>
      <c r="D85" s="69">
        <v>3</v>
      </c>
      <c r="E85" s="69">
        <v>2</v>
      </c>
      <c r="F85" s="69">
        <v>1</v>
      </c>
      <c r="G85" s="69">
        <v>0</v>
      </c>
      <c r="H85" s="69">
        <v>5</v>
      </c>
      <c r="I85" s="69">
        <v>4</v>
      </c>
      <c r="J85" s="69">
        <v>1</v>
      </c>
      <c r="K85" s="69">
        <v>2</v>
      </c>
      <c r="L85" s="69">
        <v>2</v>
      </c>
      <c r="M85" s="69">
        <v>1</v>
      </c>
      <c r="N85" s="69">
        <v>1</v>
      </c>
      <c r="O85" s="69">
        <v>2</v>
      </c>
      <c r="P85" s="69">
        <v>0</v>
      </c>
      <c r="Q85" s="69">
        <v>5</v>
      </c>
      <c r="R85" s="69">
        <v>3</v>
      </c>
      <c r="S85" s="69">
        <v>0</v>
      </c>
      <c r="T85" s="69">
        <v>0</v>
      </c>
      <c r="U85" s="69">
        <v>0</v>
      </c>
      <c r="V85" s="69">
        <v>1</v>
      </c>
      <c r="W85" s="69">
        <v>2</v>
      </c>
      <c r="X85" s="69">
        <v>5</v>
      </c>
      <c r="Y85" s="69">
        <v>4</v>
      </c>
      <c r="Z85" s="69">
        <v>2</v>
      </c>
      <c r="AA85" s="69">
        <v>2</v>
      </c>
      <c r="AB85" s="69">
        <v>6</v>
      </c>
      <c r="AC85" s="69">
        <v>6</v>
      </c>
      <c r="AD85" s="69">
        <v>3</v>
      </c>
      <c r="AE85" s="69">
        <v>4</v>
      </c>
      <c r="AF85" s="69"/>
      <c r="AG85" s="16">
        <f t="shared" si="5"/>
        <v>67</v>
      </c>
    </row>
    <row r="86" spans="1:34" ht="15.75" customHeight="1" thickBot="1" x14ac:dyDescent="0.3">
      <c r="A86" s="70" t="s">
        <v>34</v>
      </c>
      <c r="B86" s="71">
        <v>8</v>
      </c>
      <c r="C86" s="71">
        <v>6</v>
      </c>
      <c r="D86" s="71">
        <v>12</v>
      </c>
      <c r="E86" s="71">
        <v>1</v>
      </c>
      <c r="F86" s="71">
        <v>2</v>
      </c>
      <c r="G86" s="71">
        <v>2</v>
      </c>
      <c r="H86" s="71">
        <v>0</v>
      </c>
      <c r="I86" s="71">
        <v>8</v>
      </c>
      <c r="J86" s="71">
        <v>8</v>
      </c>
      <c r="K86" s="71">
        <v>13</v>
      </c>
      <c r="L86" s="71">
        <v>6</v>
      </c>
      <c r="M86" s="71">
        <v>4</v>
      </c>
      <c r="N86" s="71">
        <v>1</v>
      </c>
      <c r="O86" s="71">
        <v>17</v>
      </c>
      <c r="P86" s="71">
        <v>7</v>
      </c>
      <c r="Q86" s="71">
        <v>12</v>
      </c>
      <c r="R86" s="71">
        <v>8</v>
      </c>
      <c r="S86" s="71">
        <v>3</v>
      </c>
      <c r="T86" s="71">
        <v>4</v>
      </c>
      <c r="U86" s="71">
        <v>3</v>
      </c>
      <c r="V86" s="71">
        <v>2</v>
      </c>
      <c r="W86" s="71">
        <v>4</v>
      </c>
      <c r="X86" s="71">
        <v>28</v>
      </c>
      <c r="Y86" s="71">
        <v>16</v>
      </c>
      <c r="Z86" s="71">
        <v>4</v>
      </c>
      <c r="AA86" s="71">
        <v>15</v>
      </c>
      <c r="AB86" s="71">
        <v>7</v>
      </c>
      <c r="AC86" s="71">
        <v>12</v>
      </c>
      <c r="AD86" s="71">
        <v>12</v>
      </c>
      <c r="AE86" s="71">
        <v>2</v>
      </c>
      <c r="AF86" s="71"/>
      <c r="AG86" s="17">
        <f t="shared" si="5"/>
        <v>227</v>
      </c>
    </row>
    <row r="87" spans="1:34" ht="15.75" customHeight="1" thickBot="1" x14ac:dyDescent="0.3">
      <c r="A87" s="72" t="s">
        <v>35</v>
      </c>
      <c r="B87" s="18">
        <f t="shared" ref="B87:AF87" si="14">SUM(B88:B92)</f>
        <v>8</v>
      </c>
      <c r="C87" s="18">
        <f t="shared" si="14"/>
        <v>6</v>
      </c>
      <c r="D87" s="18">
        <f t="shared" si="14"/>
        <v>15</v>
      </c>
      <c r="E87" s="18">
        <f t="shared" si="14"/>
        <v>3</v>
      </c>
      <c r="F87" s="18">
        <f t="shared" si="14"/>
        <v>3</v>
      </c>
      <c r="G87" s="18">
        <f t="shared" si="14"/>
        <v>2</v>
      </c>
      <c r="H87" s="18">
        <f t="shared" si="14"/>
        <v>5</v>
      </c>
      <c r="I87" s="18">
        <f t="shared" si="14"/>
        <v>12</v>
      </c>
      <c r="J87" s="18">
        <f t="shared" si="14"/>
        <v>9</v>
      </c>
      <c r="K87" s="18">
        <f t="shared" si="14"/>
        <v>15</v>
      </c>
      <c r="L87" s="18">
        <f t="shared" si="14"/>
        <v>8</v>
      </c>
      <c r="M87" s="18">
        <f t="shared" si="14"/>
        <v>5</v>
      </c>
      <c r="N87" s="18">
        <f t="shared" si="14"/>
        <v>2</v>
      </c>
      <c r="O87" s="18">
        <f t="shared" si="14"/>
        <v>19</v>
      </c>
      <c r="P87" s="18">
        <f t="shared" si="14"/>
        <v>7</v>
      </c>
      <c r="Q87" s="18">
        <f t="shared" si="14"/>
        <v>17</v>
      </c>
      <c r="R87" s="18">
        <f t="shared" si="14"/>
        <v>11</v>
      </c>
      <c r="S87" s="18">
        <f t="shared" si="14"/>
        <v>3</v>
      </c>
      <c r="T87" s="18">
        <f t="shared" si="14"/>
        <v>4</v>
      </c>
      <c r="U87" s="18">
        <f t="shared" si="14"/>
        <v>3</v>
      </c>
      <c r="V87" s="18">
        <f t="shared" si="14"/>
        <v>3</v>
      </c>
      <c r="W87" s="18">
        <f t="shared" si="14"/>
        <v>6</v>
      </c>
      <c r="X87" s="18">
        <f t="shared" si="14"/>
        <v>33</v>
      </c>
      <c r="Y87" s="18">
        <f t="shared" si="14"/>
        <v>20</v>
      </c>
      <c r="Z87" s="18">
        <f t="shared" si="14"/>
        <v>6</v>
      </c>
      <c r="AA87" s="18">
        <f t="shared" si="14"/>
        <v>17</v>
      </c>
      <c r="AB87" s="18">
        <f t="shared" si="14"/>
        <v>13</v>
      </c>
      <c r="AC87" s="18">
        <f t="shared" si="14"/>
        <v>18</v>
      </c>
      <c r="AD87" s="18">
        <f t="shared" si="14"/>
        <v>15</v>
      </c>
      <c r="AE87" s="18">
        <f t="shared" si="14"/>
        <v>6</v>
      </c>
      <c r="AF87" s="18">
        <f t="shared" si="14"/>
        <v>0</v>
      </c>
      <c r="AG87" s="19">
        <f t="shared" si="5"/>
        <v>294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1</v>
      </c>
      <c r="C88" s="60">
        <v>1</v>
      </c>
      <c r="D88" s="60">
        <v>1</v>
      </c>
      <c r="E88" s="60">
        <v>0</v>
      </c>
      <c r="F88" s="60">
        <v>3</v>
      </c>
      <c r="G88" s="60">
        <v>2</v>
      </c>
      <c r="H88" s="60">
        <v>1</v>
      </c>
      <c r="I88" s="60">
        <v>2</v>
      </c>
      <c r="J88" s="60">
        <v>0</v>
      </c>
      <c r="K88" s="60">
        <v>2</v>
      </c>
      <c r="L88" s="60">
        <v>1</v>
      </c>
      <c r="M88" s="60">
        <v>4</v>
      </c>
      <c r="N88" s="60">
        <v>1</v>
      </c>
      <c r="O88" s="60">
        <v>1</v>
      </c>
      <c r="P88" s="60">
        <v>2</v>
      </c>
      <c r="Q88" s="60">
        <v>4</v>
      </c>
      <c r="R88" s="60">
        <v>1</v>
      </c>
      <c r="S88" s="60">
        <v>0</v>
      </c>
      <c r="T88" s="60">
        <v>2</v>
      </c>
      <c r="U88" s="60">
        <v>1</v>
      </c>
      <c r="V88" s="60">
        <v>0</v>
      </c>
      <c r="W88" s="60">
        <v>2</v>
      </c>
      <c r="X88" s="60">
        <v>7</v>
      </c>
      <c r="Y88" s="60">
        <v>0</v>
      </c>
      <c r="Z88" s="60">
        <v>3</v>
      </c>
      <c r="AA88" s="60">
        <v>5</v>
      </c>
      <c r="AB88" s="60">
        <v>2</v>
      </c>
      <c r="AC88" s="60">
        <v>3</v>
      </c>
      <c r="AD88" s="60">
        <v>0</v>
      </c>
      <c r="AE88" s="60">
        <v>1</v>
      </c>
      <c r="AF88" s="60"/>
      <c r="AG88" s="4">
        <f t="shared" si="5"/>
        <v>53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/>
      <c r="AG89" s="5">
        <f t="shared" si="5"/>
        <v>0</v>
      </c>
    </row>
    <row r="90" spans="1:34" ht="15.75" customHeight="1" x14ac:dyDescent="0.25">
      <c r="A90" s="74" t="s">
        <v>38</v>
      </c>
      <c r="B90" s="60">
        <v>1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1</v>
      </c>
      <c r="I90" s="60">
        <v>0</v>
      </c>
      <c r="J90" s="60">
        <v>0</v>
      </c>
      <c r="K90" s="60">
        <v>0</v>
      </c>
      <c r="L90" s="60">
        <v>1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1</v>
      </c>
      <c r="W90" s="60">
        <v>1</v>
      </c>
      <c r="X90" s="60">
        <v>0</v>
      </c>
      <c r="Y90" s="60">
        <v>1</v>
      </c>
      <c r="Z90" s="60">
        <v>1</v>
      </c>
      <c r="AA90" s="60">
        <v>0</v>
      </c>
      <c r="AB90" s="60">
        <v>0</v>
      </c>
      <c r="AC90" s="60">
        <v>0</v>
      </c>
      <c r="AD90" s="60">
        <v>0</v>
      </c>
      <c r="AE90" s="60">
        <v>1</v>
      </c>
      <c r="AF90" s="60"/>
      <c r="AG90" s="5">
        <f t="shared" si="5"/>
        <v>8</v>
      </c>
    </row>
    <row r="91" spans="1:34" ht="15.75" customHeight="1" x14ac:dyDescent="0.25">
      <c r="A91" s="74" t="s">
        <v>39</v>
      </c>
      <c r="B91" s="60">
        <v>6</v>
      </c>
      <c r="C91" s="60">
        <v>5</v>
      </c>
      <c r="D91" s="60">
        <v>9</v>
      </c>
      <c r="E91" s="60">
        <v>2</v>
      </c>
      <c r="F91" s="60">
        <v>0</v>
      </c>
      <c r="G91" s="60">
        <v>0</v>
      </c>
      <c r="H91" s="60">
        <v>3</v>
      </c>
      <c r="I91" s="60">
        <v>9</v>
      </c>
      <c r="J91" s="60">
        <v>6</v>
      </c>
      <c r="K91" s="60">
        <v>13</v>
      </c>
      <c r="L91" s="60">
        <v>3</v>
      </c>
      <c r="M91" s="60">
        <v>1</v>
      </c>
      <c r="N91" s="60">
        <v>0</v>
      </c>
      <c r="O91" s="60">
        <v>11</v>
      </c>
      <c r="P91" s="60">
        <v>3</v>
      </c>
      <c r="Q91" s="60">
        <v>10</v>
      </c>
      <c r="R91" s="60">
        <v>9</v>
      </c>
      <c r="S91" s="60">
        <v>2</v>
      </c>
      <c r="T91" s="60">
        <v>1</v>
      </c>
      <c r="U91" s="60">
        <v>1</v>
      </c>
      <c r="V91" s="60">
        <v>2</v>
      </c>
      <c r="W91" s="60">
        <v>3</v>
      </c>
      <c r="X91" s="60">
        <v>23</v>
      </c>
      <c r="Y91" s="60">
        <v>17</v>
      </c>
      <c r="Z91" s="60">
        <v>2</v>
      </c>
      <c r="AA91" s="60">
        <v>8</v>
      </c>
      <c r="AB91" s="60">
        <v>10</v>
      </c>
      <c r="AC91" s="60">
        <v>12</v>
      </c>
      <c r="AD91" s="60">
        <v>8</v>
      </c>
      <c r="AE91" s="60">
        <v>4</v>
      </c>
      <c r="AF91" s="60"/>
      <c r="AG91" s="5">
        <f t="shared" si="5"/>
        <v>183</v>
      </c>
    </row>
    <row r="92" spans="1:34" ht="15.75" customHeight="1" thickBot="1" x14ac:dyDescent="0.3">
      <c r="A92" s="74" t="s">
        <v>40</v>
      </c>
      <c r="B92" s="60">
        <v>0</v>
      </c>
      <c r="C92" s="60">
        <v>0</v>
      </c>
      <c r="D92" s="60">
        <v>5</v>
      </c>
      <c r="E92" s="60">
        <v>1</v>
      </c>
      <c r="F92" s="60">
        <v>0</v>
      </c>
      <c r="G92" s="60">
        <v>0</v>
      </c>
      <c r="H92" s="60">
        <v>0</v>
      </c>
      <c r="I92" s="60">
        <v>1</v>
      </c>
      <c r="J92" s="60">
        <v>3</v>
      </c>
      <c r="K92" s="60">
        <v>0</v>
      </c>
      <c r="L92" s="60">
        <v>3</v>
      </c>
      <c r="M92" s="60">
        <v>0</v>
      </c>
      <c r="N92" s="60">
        <v>1</v>
      </c>
      <c r="O92" s="60">
        <v>7</v>
      </c>
      <c r="P92" s="60">
        <v>2</v>
      </c>
      <c r="Q92" s="60">
        <v>3</v>
      </c>
      <c r="R92" s="60">
        <v>1</v>
      </c>
      <c r="S92" s="60">
        <v>1</v>
      </c>
      <c r="T92" s="60">
        <v>1</v>
      </c>
      <c r="U92" s="60">
        <v>1</v>
      </c>
      <c r="V92" s="60">
        <v>0</v>
      </c>
      <c r="W92" s="60">
        <v>0</v>
      </c>
      <c r="X92" s="60">
        <v>3</v>
      </c>
      <c r="Y92" s="60">
        <v>2</v>
      </c>
      <c r="Z92" s="60">
        <v>0</v>
      </c>
      <c r="AA92" s="60">
        <v>4</v>
      </c>
      <c r="AB92" s="60">
        <v>1</v>
      </c>
      <c r="AC92" s="60">
        <v>3</v>
      </c>
      <c r="AD92" s="60">
        <v>7</v>
      </c>
      <c r="AE92" s="60">
        <v>0</v>
      </c>
      <c r="AF92" s="60"/>
      <c r="AG92" s="5">
        <f t="shared" si="5"/>
        <v>50</v>
      </c>
    </row>
    <row r="93" spans="1:34" ht="15.75" customHeight="1" x14ac:dyDescent="0.25">
      <c r="A93" s="75" t="s">
        <v>41</v>
      </c>
      <c r="B93" s="20">
        <f t="shared" ref="B93:AF93" si="15">+B94+B100</f>
        <v>114</v>
      </c>
      <c r="C93" s="20">
        <f t="shared" si="15"/>
        <v>99</v>
      </c>
      <c r="D93" s="20">
        <f t="shared" si="15"/>
        <v>99</v>
      </c>
      <c r="E93" s="20">
        <f t="shared" si="15"/>
        <v>96</v>
      </c>
      <c r="F93" s="20">
        <f t="shared" si="15"/>
        <v>169</v>
      </c>
      <c r="G93" s="20">
        <f t="shared" si="15"/>
        <v>170</v>
      </c>
      <c r="H93" s="20">
        <f t="shared" si="15"/>
        <v>125</v>
      </c>
      <c r="I93" s="20">
        <f t="shared" si="15"/>
        <v>107</v>
      </c>
      <c r="J93" s="20">
        <f t="shared" si="15"/>
        <v>98</v>
      </c>
      <c r="K93" s="20">
        <f t="shared" si="15"/>
        <v>86</v>
      </c>
      <c r="L93" s="20">
        <f t="shared" si="15"/>
        <v>101</v>
      </c>
      <c r="M93" s="20">
        <f t="shared" si="15"/>
        <v>169</v>
      </c>
      <c r="N93" s="20">
        <f t="shared" si="15"/>
        <v>172</v>
      </c>
      <c r="O93" s="20">
        <f t="shared" si="15"/>
        <v>118</v>
      </c>
      <c r="P93" s="20">
        <f t="shared" si="15"/>
        <v>102</v>
      </c>
      <c r="Q93" s="20">
        <f t="shared" si="15"/>
        <v>104</v>
      </c>
      <c r="R93" s="20">
        <f t="shared" si="15"/>
        <v>95</v>
      </c>
      <c r="S93" s="20">
        <f t="shared" si="15"/>
        <v>132</v>
      </c>
      <c r="T93" s="20">
        <f t="shared" si="15"/>
        <v>159</v>
      </c>
      <c r="U93" s="20">
        <f t="shared" si="15"/>
        <v>170</v>
      </c>
      <c r="V93" s="20">
        <f t="shared" si="15"/>
        <v>126</v>
      </c>
      <c r="W93" s="20">
        <f t="shared" si="15"/>
        <v>118</v>
      </c>
      <c r="X93" s="20">
        <f t="shared" si="15"/>
        <v>102</v>
      </c>
      <c r="Y93" s="20">
        <f t="shared" si="15"/>
        <v>105</v>
      </c>
      <c r="Z93" s="20">
        <f t="shared" si="15"/>
        <v>109</v>
      </c>
      <c r="AA93" s="20">
        <f t="shared" si="15"/>
        <v>174</v>
      </c>
      <c r="AB93" s="20">
        <f t="shared" si="15"/>
        <v>178</v>
      </c>
      <c r="AC93" s="20">
        <f t="shared" si="15"/>
        <v>118</v>
      </c>
      <c r="AD93" s="20">
        <f t="shared" si="15"/>
        <v>107</v>
      </c>
      <c r="AE93" s="20">
        <f t="shared" si="15"/>
        <v>108</v>
      </c>
      <c r="AF93" s="20">
        <f t="shared" si="15"/>
        <v>0</v>
      </c>
      <c r="AG93" s="5">
        <f t="shared" si="5"/>
        <v>3730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12</v>
      </c>
      <c r="C94" s="21">
        <f t="shared" si="16"/>
        <v>15</v>
      </c>
      <c r="D94" s="21">
        <f t="shared" si="16"/>
        <v>11</v>
      </c>
      <c r="E94" s="21">
        <f t="shared" si="16"/>
        <v>12</v>
      </c>
      <c r="F94" s="21">
        <f t="shared" si="16"/>
        <v>21</v>
      </c>
      <c r="G94" s="21">
        <f t="shared" si="16"/>
        <v>27</v>
      </c>
      <c r="H94" s="21">
        <f t="shared" si="16"/>
        <v>14</v>
      </c>
      <c r="I94" s="21">
        <f t="shared" si="16"/>
        <v>18</v>
      </c>
      <c r="J94" s="21">
        <f t="shared" si="16"/>
        <v>13</v>
      </c>
      <c r="K94" s="21">
        <f t="shared" si="16"/>
        <v>19</v>
      </c>
      <c r="L94" s="21">
        <f t="shared" si="16"/>
        <v>19</v>
      </c>
      <c r="M94" s="21">
        <f t="shared" si="16"/>
        <v>18</v>
      </c>
      <c r="N94" s="21">
        <f t="shared" si="16"/>
        <v>20</v>
      </c>
      <c r="O94" s="21">
        <f t="shared" si="16"/>
        <v>21</v>
      </c>
      <c r="P94" s="21">
        <f t="shared" si="16"/>
        <v>14</v>
      </c>
      <c r="Q94" s="21">
        <f t="shared" si="16"/>
        <v>13</v>
      </c>
      <c r="R94" s="21">
        <f t="shared" si="16"/>
        <v>17</v>
      </c>
      <c r="S94" s="21">
        <f t="shared" si="16"/>
        <v>12</v>
      </c>
      <c r="T94" s="21">
        <f t="shared" si="16"/>
        <v>24</v>
      </c>
      <c r="U94" s="21">
        <f t="shared" si="16"/>
        <v>24</v>
      </c>
      <c r="V94" s="21">
        <f t="shared" si="16"/>
        <v>22</v>
      </c>
      <c r="W94" s="21">
        <f t="shared" si="16"/>
        <v>14</v>
      </c>
      <c r="X94" s="21">
        <f t="shared" si="16"/>
        <v>11</v>
      </c>
      <c r="Y94" s="21">
        <f t="shared" si="16"/>
        <v>21</v>
      </c>
      <c r="Z94" s="21">
        <f t="shared" si="16"/>
        <v>26</v>
      </c>
      <c r="AA94" s="21">
        <f t="shared" si="16"/>
        <v>33</v>
      </c>
      <c r="AB94" s="21">
        <f t="shared" si="16"/>
        <v>29</v>
      </c>
      <c r="AC94" s="21">
        <f t="shared" si="16"/>
        <v>20</v>
      </c>
      <c r="AD94" s="21">
        <f t="shared" si="16"/>
        <v>30</v>
      </c>
      <c r="AE94" s="21">
        <f t="shared" si="16"/>
        <v>10</v>
      </c>
      <c r="AF94" s="21">
        <f t="shared" si="16"/>
        <v>0</v>
      </c>
      <c r="AG94" s="5">
        <f t="shared" si="5"/>
        <v>560</v>
      </c>
    </row>
    <row r="95" spans="1:34" ht="15.75" customHeight="1" x14ac:dyDescent="0.25">
      <c r="A95" s="78" t="s">
        <v>43</v>
      </c>
      <c r="B95" s="54">
        <v>0</v>
      </c>
      <c r="C95" s="54">
        <v>2</v>
      </c>
      <c r="D95" s="54">
        <v>0</v>
      </c>
      <c r="E95" s="54">
        <v>1</v>
      </c>
      <c r="F95" s="54">
        <v>0</v>
      </c>
      <c r="G95" s="54">
        <v>0</v>
      </c>
      <c r="H95" s="54">
        <v>0</v>
      </c>
      <c r="I95" s="54">
        <v>0</v>
      </c>
      <c r="J95" s="54">
        <v>0</v>
      </c>
      <c r="K95" s="54">
        <v>0</v>
      </c>
      <c r="L95" s="54">
        <v>1</v>
      </c>
      <c r="M95" s="54">
        <v>0</v>
      </c>
      <c r="N95" s="54">
        <v>0</v>
      </c>
      <c r="O95" s="54">
        <v>0</v>
      </c>
      <c r="P95" s="54">
        <v>1</v>
      </c>
      <c r="Q95" s="54">
        <v>0</v>
      </c>
      <c r="R95" s="54">
        <v>2</v>
      </c>
      <c r="S95" s="54">
        <v>1</v>
      </c>
      <c r="T95" s="54">
        <v>0</v>
      </c>
      <c r="U95" s="54">
        <v>1</v>
      </c>
      <c r="V95" s="54">
        <v>1</v>
      </c>
      <c r="W95" s="54">
        <v>0</v>
      </c>
      <c r="X95" s="54">
        <v>0</v>
      </c>
      <c r="Y95" s="54">
        <v>0</v>
      </c>
      <c r="Z95" s="54">
        <v>0</v>
      </c>
      <c r="AA95" s="54">
        <v>0</v>
      </c>
      <c r="AB95" s="54">
        <v>0</v>
      </c>
      <c r="AC95" s="54">
        <v>1</v>
      </c>
      <c r="AD95" s="54">
        <v>1</v>
      </c>
      <c r="AE95" s="54">
        <v>0</v>
      </c>
      <c r="AF95" s="54"/>
      <c r="AG95" s="5">
        <f t="shared" si="5"/>
        <v>12</v>
      </c>
    </row>
    <row r="96" spans="1:34" ht="15.75" customHeight="1" x14ac:dyDescent="0.25">
      <c r="A96" s="79" t="s">
        <v>44</v>
      </c>
      <c r="B96" s="54">
        <v>1</v>
      </c>
      <c r="C96" s="54">
        <v>0</v>
      </c>
      <c r="D96" s="54">
        <v>0</v>
      </c>
      <c r="E96" s="54">
        <v>0</v>
      </c>
      <c r="F96" s="54">
        <v>1</v>
      </c>
      <c r="G96" s="54">
        <v>2</v>
      </c>
      <c r="H96" s="54">
        <v>0</v>
      </c>
      <c r="I96" s="54">
        <v>1</v>
      </c>
      <c r="J96" s="54">
        <v>2</v>
      </c>
      <c r="K96" s="54">
        <v>2</v>
      </c>
      <c r="L96" s="54">
        <v>3</v>
      </c>
      <c r="M96" s="54">
        <v>3</v>
      </c>
      <c r="N96" s="54">
        <v>3</v>
      </c>
      <c r="O96" s="54">
        <v>1</v>
      </c>
      <c r="P96" s="54">
        <v>0</v>
      </c>
      <c r="Q96" s="54">
        <v>0</v>
      </c>
      <c r="R96" s="54">
        <v>1</v>
      </c>
      <c r="S96" s="54">
        <v>0</v>
      </c>
      <c r="T96" s="54">
        <v>1</v>
      </c>
      <c r="U96" s="54">
        <v>1</v>
      </c>
      <c r="V96" s="54">
        <v>0</v>
      </c>
      <c r="W96" s="54">
        <v>0</v>
      </c>
      <c r="X96" s="54">
        <v>0</v>
      </c>
      <c r="Y96" s="54">
        <v>1</v>
      </c>
      <c r="Z96" s="54">
        <v>0</v>
      </c>
      <c r="AA96" s="54">
        <v>2</v>
      </c>
      <c r="AB96" s="54">
        <v>0</v>
      </c>
      <c r="AC96" s="54">
        <v>0</v>
      </c>
      <c r="AD96" s="54">
        <v>1</v>
      </c>
      <c r="AE96" s="54">
        <v>2</v>
      </c>
      <c r="AF96" s="54"/>
      <c r="AG96" s="5">
        <f t="shared" si="5"/>
        <v>28</v>
      </c>
    </row>
    <row r="97" spans="1:33" ht="15.75" customHeight="1" x14ac:dyDescent="0.25">
      <c r="A97" s="80" t="s">
        <v>45</v>
      </c>
      <c r="B97" s="54">
        <v>1</v>
      </c>
      <c r="C97" s="54">
        <v>3</v>
      </c>
      <c r="D97" s="54">
        <v>1</v>
      </c>
      <c r="E97" s="54">
        <v>2</v>
      </c>
      <c r="F97" s="54">
        <v>5</v>
      </c>
      <c r="G97" s="54">
        <v>5</v>
      </c>
      <c r="H97" s="54">
        <v>1</v>
      </c>
      <c r="I97" s="54">
        <v>4</v>
      </c>
      <c r="J97" s="54">
        <v>2</v>
      </c>
      <c r="K97" s="54">
        <v>4</v>
      </c>
      <c r="L97" s="54">
        <v>4</v>
      </c>
      <c r="M97" s="54">
        <v>2</v>
      </c>
      <c r="N97" s="54">
        <v>2</v>
      </c>
      <c r="O97" s="54">
        <v>2</v>
      </c>
      <c r="P97" s="54">
        <v>1</v>
      </c>
      <c r="Q97" s="54">
        <v>1</v>
      </c>
      <c r="R97" s="54">
        <v>3</v>
      </c>
      <c r="S97" s="54">
        <v>1</v>
      </c>
      <c r="T97" s="54">
        <v>2</v>
      </c>
      <c r="U97" s="54">
        <v>4</v>
      </c>
      <c r="V97" s="54">
        <v>6</v>
      </c>
      <c r="W97" s="54">
        <v>3</v>
      </c>
      <c r="X97" s="54">
        <v>3</v>
      </c>
      <c r="Y97" s="54">
        <v>3</v>
      </c>
      <c r="Z97" s="54">
        <v>3</v>
      </c>
      <c r="AA97" s="54">
        <v>2</v>
      </c>
      <c r="AB97" s="54">
        <v>5</v>
      </c>
      <c r="AC97" s="54">
        <v>2</v>
      </c>
      <c r="AD97" s="54">
        <v>7</v>
      </c>
      <c r="AE97" s="54">
        <v>2</v>
      </c>
      <c r="AF97" s="54"/>
      <c r="AG97" s="5">
        <f t="shared" si="5"/>
        <v>86</v>
      </c>
    </row>
    <row r="98" spans="1:33" ht="15.75" customHeight="1" x14ac:dyDescent="0.25">
      <c r="A98" s="81" t="s">
        <v>46</v>
      </c>
      <c r="B98" s="54">
        <v>5</v>
      </c>
      <c r="C98" s="54">
        <v>5</v>
      </c>
      <c r="D98" s="54">
        <v>7</v>
      </c>
      <c r="E98" s="54">
        <v>5</v>
      </c>
      <c r="F98" s="54">
        <v>9</v>
      </c>
      <c r="G98" s="54">
        <v>14</v>
      </c>
      <c r="H98" s="54">
        <v>8</v>
      </c>
      <c r="I98" s="54">
        <v>9</v>
      </c>
      <c r="J98" s="54">
        <v>4</v>
      </c>
      <c r="K98" s="54">
        <v>8</v>
      </c>
      <c r="L98" s="54">
        <v>6</v>
      </c>
      <c r="M98" s="54">
        <v>6</v>
      </c>
      <c r="N98" s="54">
        <v>7</v>
      </c>
      <c r="O98" s="54">
        <v>11</v>
      </c>
      <c r="P98" s="54">
        <v>2</v>
      </c>
      <c r="Q98" s="54">
        <v>5</v>
      </c>
      <c r="R98" s="54">
        <v>6</v>
      </c>
      <c r="S98" s="54">
        <v>7</v>
      </c>
      <c r="T98" s="54">
        <v>9</v>
      </c>
      <c r="U98" s="54">
        <v>6</v>
      </c>
      <c r="V98" s="54">
        <v>7</v>
      </c>
      <c r="W98" s="54">
        <v>4</v>
      </c>
      <c r="X98" s="54">
        <v>5</v>
      </c>
      <c r="Y98" s="54">
        <v>11</v>
      </c>
      <c r="Z98" s="54">
        <v>13</v>
      </c>
      <c r="AA98" s="54">
        <v>19</v>
      </c>
      <c r="AB98" s="54">
        <v>12</v>
      </c>
      <c r="AC98" s="54">
        <v>4</v>
      </c>
      <c r="AD98" s="54">
        <v>8</v>
      </c>
      <c r="AE98" s="54">
        <v>2</v>
      </c>
      <c r="AF98" s="54"/>
      <c r="AG98" s="5">
        <f t="shared" si="5"/>
        <v>224</v>
      </c>
    </row>
    <row r="99" spans="1:33" ht="15.75" customHeight="1" x14ac:dyDescent="0.25">
      <c r="A99" s="82" t="s">
        <v>47</v>
      </c>
      <c r="B99" s="54">
        <v>5</v>
      </c>
      <c r="C99" s="54">
        <v>5</v>
      </c>
      <c r="D99" s="54">
        <v>3</v>
      </c>
      <c r="E99" s="54">
        <v>4</v>
      </c>
      <c r="F99" s="54">
        <v>6</v>
      </c>
      <c r="G99" s="54">
        <v>6</v>
      </c>
      <c r="H99" s="54">
        <v>5</v>
      </c>
      <c r="I99" s="54">
        <v>4</v>
      </c>
      <c r="J99" s="54">
        <v>5</v>
      </c>
      <c r="K99" s="54">
        <v>5</v>
      </c>
      <c r="L99" s="54">
        <v>5</v>
      </c>
      <c r="M99" s="54">
        <v>7</v>
      </c>
      <c r="N99" s="54">
        <v>8</v>
      </c>
      <c r="O99" s="54">
        <v>7</v>
      </c>
      <c r="P99" s="54">
        <v>10</v>
      </c>
      <c r="Q99" s="54">
        <v>7</v>
      </c>
      <c r="R99" s="54">
        <v>5</v>
      </c>
      <c r="S99" s="54">
        <v>3</v>
      </c>
      <c r="T99" s="54">
        <v>12</v>
      </c>
      <c r="U99" s="54">
        <v>12</v>
      </c>
      <c r="V99" s="54">
        <v>8</v>
      </c>
      <c r="W99" s="54">
        <v>7</v>
      </c>
      <c r="X99" s="54">
        <v>3</v>
      </c>
      <c r="Y99" s="54">
        <v>6</v>
      </c>
      <c r="Z99" s="54">
        <v>10</v>
      </c>
      <c r="AA99" s="54">
        <v>10</v>
      </c>
      <c r="AB99" s="54">
        <v>12</v>
      </c>
      <c r="AC99" s="54">
        <v>13</v>
      </c>
      <c r="AD99" s="54">
        <v>13</v>
      </c>
      <c r="AE99" s="54">
        <v>4</v>
      </c>
      <c r="AF99" s="54"/>
      <c r="AG99" s="5">
        <f t="shared" ref="AG99:AG162" si="17">SUM(B99:AF99)</f>
        <v>210</v>
      </c>
    </row>
    <row r="100" spans="1:33" ht="15.75" customHeight="1" x14ac:dyDescent="0.25">
      <c r="A100" s="76" t="s">
        <v>48</v>
      </c>
      <c r="B100" s="21">
        <f t="shared" ref="B100:AF100" si="18">SUM(B101:B115)</f>
        <v>102</v>
      </c>
      <c r="C100" s="21">
        <f t="shared" si="18"/>
        <v>84</v>
      </c>
      <c r="D100" s="21">
        <f t="shared" si="18"/>
        <v>88</v>
      </c>
      <c r="E100" s="21">
        <f t="shared" si="18"/>
        <v>84</v>
      </c>
      <c r="F100" s="21">
        <f t="shared" si="18"/>
        <v>148</v>
      </c>
      <c r="G100" s="21">
        <f t="shared" si="18"/>
        <v>143</v>
      </c>
      <c r="H100" s="21">
        <f t="shared" si="18"/>
        <v>111</v>
      </c>
      <c r="I100" s="21">
        <f t="shared" si="18"/>
        <v>89</v>
      </c>
      <c r="J100" s="21">
        <f t="shared" si="18"/>
        <v>85</v>
      </c>
      <c r="K100" s="21">
        <f t="shared" si="18"/>
        <v>67</v>
      </c>
      <c r="L100" s="21">
        <f t="shared" si="18"/>
        <v>82</v>
      </c>
      <c r="M100" s="21">
        <f t="shared" si="18"/>
        <v>151</v>
      </c>
      <c r="N100" s="21">
        <f t="shared" si="18"/>
        <v>152</v>
      </c>
      <c r="O100" s="21">
        <f t="shared" si="18"/>
        <v>97</v>
      </c>
      <c r="P100" s="21">
        <f t="shared" si="18"/>
        <v>88</v>
      </c>
      <c r="Q100" s="21">
        <f t="shared" si="18"/>
        <v>91</v>
      </c>
      <c r="R100" s="21">
        <f t="shared" si="18"/>
        <v>78</v>
      </c>
      <c r="S100" s="21">
        <f t="shared" si="18"/>
        <v>120</v>
      </c>
      <c r="T100" s="21">
        <f t="shared" si="18"/>
        <v>135</v>
      </c>
      <c r="U100" s="21">
        <f t="shared" si="18"/>
        <v>146</v>
      </c>
      <c r="V100" s="21">
        <f t="shared" si="18"/>
        <v>104</v>
      </c>
      <c r="W100" s="21">
        <f t="shared" si="18"/>
        <v>104</v>
      </c>
      <c r="X100" s="21">
        <f t="shared" si="18"/>
        <v>91</v>
      </c>
      <c r="Y100" s="21">
        <f t="shared" si="18"/>
        <v>84</v>
      </c>
      <c r="Z100" s="21">
        <f t="shared" si="18"/>
        <v>83</v>
      </c>
      <c r="AA100" s="21">
        <f t="shared" si="18"/>
        <v>141</v>
      </c>
      <c r="AB100" s="21">
        <f t="shared" si="18"/>
        <v>149</v>
      </c>
      <c r="AC100" s="21">
        <f t="shared" si="18"/>
        <v>98</v>
      </c>
      <c r="AD100" s="21">
        <f t="shared" si="18"/>
        <v>77</v>
      </c>
      <c r="AE100" s="21">
        <f t="shared" si="18"/>
        <v>98</v>
      </c>
      <c r="AF100" s="21">
        <f t="shared" si="18"/>
        <v>0</v>
      </c>
      <c r="AG100" s="5">
        <f t="shared" si="17"/>
        <v>3170</v>
      </c>
    </row>
    <row r="101" spans="1:33" ht="15.75" customHeight="1" x14ac:dyDescent="0.25">
      <c r="A101" s="82" t="s">
        <v>49</v>
      </c>
      <c r="B101" s="54">
        <v>12</v>
      </c>
      <c r="C101" s="54">
        <v>11</v>
      </c>
      <c r="D101" s="54">
        <v>19</v>
      </c>
      <c r="E101" s="54">
        <v>4</v>
      </c>
      <c r="F101" s="54">
        <v>13</v>
      </c>
      <c r="G101" s="54">
        <v>8</v>
      </c>
      <c r="H101" s="54">
        <v>15</v>
      </c>
      <c r="I101" s="54">
        <v>11</v>
      </c>
      <c r="J101" s="54">
        <v>9</v>
      </c>
      <c r="K101" s="54">
        <v>7</v>
      </c>
      <c r="L101" s="54">
        <v>4</v>
      </c>
      <c r="M101" s="54">
        <v>17</v>
      </c>
      <c r="N101" s="54">
        <v>9</v>
      </c>
      <c r="O101" s="54">
        <v>15</v>
      </c>
      <c r="P101" s="54">
        <v>9</v>
      </c>
      <c r="Q101" s="54">
        <v>11</v>
      </c>
      <c r="R101" s="54">
        <v>2</v>
      </c>
      <c r="S101" s="54">
        <v>14</v>
      </c>
      <c r="T101" s="54">
        <v>8</v>
      </c>
      <c r="U101" s="54">
        <v>16</v>
      </c>
      <c r="V101" s="54">
        <v>12</v>
      </c>
      <c r="W101" s="54">
        <v>17</v>
      </c>
      <c r="X101" s="54">
        <v>11</v>
      </c>
      <c r="Y101" s="54">
        <v>11</v>
      </c>
      <c r="Z101" s="54">
        <v>10</v>
      </c>
      <c r="AA101" s="54">
        <v>7</v>
      </c>
      <c r="AB101" s="54">
        <v>11</v>
      </c>
      <c r="AC101" s="54">
        <v>11</v>
      </c>
      <c r="AD101" s="54">
        <v>14</v>
      </c>
      <c r="AE101" s="54">
        <v>6</v>
      </c>
      <c r="AF101" s="54"/>
      <c r="AG101" s="5">
        <f t="shared" si="17"/>
        <v>324</v>
      </c>
    </row>
    <row r="102" spans="1:33" ht="15.75" customHeight="1" x14ac:dyDescent="0.25">
      <c r="A102" s="82" t="s">
        <v>50</v>
      </c>
      <c r="B102" s="54">
        <v>14</v>
      </c>
      <c r="C102" s="54">
        <v>3</v>
      </c>
      <c r="D102" s="54">
        <v>5</v>
      </c>
      <c r="E102" s="54">
        <v>6</v>
      </c>
      <c r="F102" s="54">
        <v>13</v>
      </c>
      <c r="G102" s="54">
        <v>20</v>
      </c>
      <c r="H102" s="54">
        <v>11</v>
      </c>
      <c r="I102" s="54">
        <v>9</v>
      </c>
      <c r="J102" s="54">
        <v>5</v>
      </c>
      <c r="K102" s="54">
        <v>5</v>
      </c>
      <c r="L102" s="54">
        <v>5</v>
      </c>
      <c r="M102" s="54">
        <v>16</v>
      </c>
      <c r="N102" s="54">
        <v>13</v>
      </c>
      <c r="O102" s="54">
        <v>8</v>
      </c>
      <c r="P102" s="54">
        <v>8</v>
      </c>
      <c r="Q102" s="54">
        <v>7</v>
      </c>
      <c r="R102" s="54">
        <v>6</v>
      </c>
      <c r="S102" s="54">
        <v>6</v>
      </c>
      <c r="T102" s="54">
        <v>15</v>
      </c>
      <c r="U102" s="54">
        <v>8</v>
      </c>
      <c r="V102" s="54">
        <v>11</v>
      </c>
      <c r="W102" s="54">
        <v>8</v>
      </c>
      <c r="X102" s="54">
        <v>1</v>
      </c>
      <c r="Y102" s="54">
        <v>10</v>
      </c>
      <c r="Z102" s="54">
        <v>7</v>
      </c>
      <c r="AA102" s="54">
        <v>8</v>
      </c>
      <c r="AB102" s="54">
        <v>5</v>
      </c>
      <c r="AC102" s="54">
        <v>13</v>
      </c>
      <c r="AD102" s="54">
        <v>11</v>
      </c>
      <c r="AE102" s="54">
        <v>9</v>
      </c>
      <c r="AF102" s="54"/>
      <c r="AG102" s="5">
        <f t="shared" si="17"/>
        <v>266</v>
      </c>
    </row>
    <row r="103" spans="1:33" ht="15.75" customHeight="1" x14ac:dyDescent="0.25">
      <c r="A103" s="78" t="s">
        <v>51</v>
      </c>
      <c r="B103" s="54">
        <v>7</v>
      </c>
      <c r="C103" s="54">
        <v>6</v>
      </c>
      <c r="D103" s="54">
        <v>6</v>
      </c>
      <c r="E103" s="54">
        <v>7</v>
      </c>
      <c r="F103" s="54">
        <v>8</v>
      </c>
      <c r="G103" s="54">
        <v>13</v>
      </c>
      <c r="H103" s="54">
        <v>11</v>
      </c>
      <c r="I103" s="54">
        <v>6</v>
      </c>
      <c r="J103" s="54">
        <v>2</v>
      </c>
      <c r="K103" s="54">
        <v>5</v>
      </c>
      <c r="L103" s="54">
        <v>4</v>
      </c>
      <c r="M103" s="54">
        <v>12</v>
      </c>
      <c r="N103" s="54">
        <v>19</v>
      </c>
      <c r="O103" s="54">
        <v>1</v>
      </c>
      <c r="P103" s="54">
        <v>6</v>
      </c>
      <c r="Q103" s="54">
        <v>5</v>
      </c>
      <c r="R103" s="54">
        <v>6</v>
      </c>
      <c r="S103" s="54">
        <v>13</v>
      </c>
      <c r="T103" s="54">
        <v>11</v>
      </c>
      <c r="U103" s="54">
        <v>10</v>
      </c>
      <c r="V103" s="54">
        <v>10</v>
      </c>
      <c r="W103" s="54">
        <v>15</v>
      </c>
      <c r="X103" s="54">
        <v>8</v>
      </c>
      <c r="Y103" s="54">
        <v>7</v>
      </c>
      <c r="Z103" s="54">
        <v>3</v>
      </c>
      <c r="AA103" s="54">
        <v>13</v>
      </c>
      <c r="AB103" s="54">
        <v>11</v>
      </c>
      <c r="AC103" s="54">
        <v>4</v>
      </c>
      <c r="AD103" s="54">
        <v>7</v>
      </c>
      <c r="AE103" s="54">
        <v>13</v>
      </c>
      <c r="AF103" s="54"/>
      <c r="AG103" s="5">
        <f t="shared" si="17"/>
        <v>249</v>
      </c>
    </row>
    <row r="104" spans="1:33" ht="15.75" customHeight="1" x14ac:dyDescent="0.25">
      <c r="A104" s="78" t="s">
        <v>52</v>
      </c>
      <c r="B104" s="54">
        <v>4</v>
      </c>
      <c r="C104" s="54">
        <v>6</v>
      </c>
      <c r="D104" s="54">
        <v>9</v>
      </c>
      <c r="E104" s="54">
        <v>4</v>
      </c>
      <c r="F104" s="54">
        <v>9</v>
      </c>
      <c r="G104" s="54">
        <v>7</v>
      </c>
      <c r="H104" s="54">
        <v>7</v>
      </c>
      <c r="I104" s="54">
        <v>7</v>
      </c>
      <c r="J104" s="54">
        <v>7</v>
      </c>
      <c r="K104" s="54">
        <v>4</v>
      </c>
      <c r="L104" s="54">
        <v>5</v>
      </c>
      <c r="M104" s="54">
        <v>8</v>
      </c>
      <c r="N104" s="54">
        <v>14</v>
      </c>
      <c r="O104" s="54">
        <v>6</v>
      </c>
      <c r="P104" s="54">
        <v>4</v>
      </c>
      <c r="Q104" s="54">
        <v>4</v>
      </c>
      <c r="R104" s="54">
        <v>6</v>
      </c>
      <c r="S104" s="54">
        <v>10</v>
      </c>
      <c r="T104" s="54">
        <v>9</v>
      </c>
      <c r="U104" s="54">
        <v>13</v>
      </c>
      <c r="V104" s="54">
        <v>13</v>
      </c>
      <c r="W104" s="54">
        <v>5</v>
      </c>
      <c r="X104" s="54">
        <v>6</v>
      </c>
      <c r="Y104" s="54">
        <v>6</v>
      </c>
      <c r="Z104" s="54">
        <v>6</v>
      </c>
      <c r="AA104" s="54">
        <v>9</v>
      </c>
      <c r="AB104" s="54">
        <v>11</v>
      </c>
      <c r="AC104" s="54">
        <v>8</v>
      </c>
      <c r="AD104" s="54">
        <v>2</v>
      </c>
      <c r="AE104" s="54">
        <v>6</v>
      </c>
      <c r="AF104" s="54"/>
      <c r="AG104" s="5">
        <f t="shared" si="17"/>
        <v>215</v>
      </c>
    </row>
    <row r="105" spans="1:33" ht="15.75" customHeight="1" x14ac:dyDescent="0.25">
      <c r="A105" s="78" t="s">
        <v>53</v>
      </c>
      <c r="B105" s="54">
        <v>4</v>
      </c>
      <c r="C105" s="54">
        <v>5</v>
      </c>
      <c r="D105" s="54">
        <v>5</v>
      </c>
      <c r="E105" s="54">
        <v>8</v>
      </c>
      <c r="F105" s="54">
        <v>6</v>
      </c>
      <c r="G105" s="54">
        <v>8</v>
      </c>
      <c r="H105" s="54">
        <v>5</v>
      </c>
      <c r="I105" s="54">
        <v>1</v>
      </c>
      <c r="J105" s="54">
        <v>6</v>
      </c>
      <c r="K105" s="54">
        <v>2</v>
      </c>
      <c r="L105" s="54">
        <v>9</v>
      </c>
      <c r="M105" s="54">
        <v>11</v>
      </c>
      <c r="N105" s="54">
        <v>15</v>
      </c>
      <c r="O105" s="54">
        <v>11</v>
      </c>
      <c r="P105" s="54">
        <v>5</v>
      </c>
      <c r="Q105" s="54">
        <v>8</v>
      </c>
      <c r="R105" s="54">
        <v>5</v>
      </c>
      <c r="S105" s="54">
        <v>9</v>
      </c>
      <c r="T105" s="54">
        <v>11</v>
      </c>
      <c r="U105" s="54">
        <v>14</v>
      </c>
      <c r="V105" s="54">
        <v>5</v>
      </c>
      <c r="W105" s="54">
        <v>7</v>
      </c>
      <c r="X105" s="54">
        <v>5</v>
      </c>
      <c r="Y105" s="54">
        <v>3</v>
      </c>
      <c r="Z105" s="54">
        <v>7</v>
      </c>
      <c r="AA105" s="54">
        <v>10</v>
      </c>
      <c r="AB105" s="54">
        <v>11</v>
      </c>
      <c r="AC105" s="54">
        <v>7</v>
      </c>
      <c r="AD105" s="54">
        <v>6</v>
      </c>
      <c r="AE105" s="54">
        <v>11</v>
      </c>
      <c r="AF105" s="54"/>
      <c r="AG105" s="5">
        <f t="shared" si="17"/>
        <v>220</v>
      </c>
    </row>
    <row r="106" spans="1:33" ht="15.75" customHeight="1" x14ac:dyDescent="0.25">
      <c r="A106" s="78" t="s">
        <v>54</v>
      </c>
      <c r="B106" s="54">
        <v>10</v>
      </c>
      <c r="C106" s="54">
        <v>5</v>
      </c>
      <c r="D106" s="54">
        <v>9</v>
      </c>
      <c r="E106" s="54">
        <v>5</v>
      </c>
      <c r="F106" s="54">
        <v>10</v>
      </c>
      <c r="G106" s="54">
        <v>16</v>
      </c>
      <c r="H106" s="54">
        <v>9</v>
      </c>
      <c r="I106" s="54">
        <v>15</v>
      </c>
      <c r="J106" s="54">
        <v>9</v>
      </c>
      <c r="K106" s="54">
        <v>7</v>
      </c>
      <c r="L106" s="54">
        <v>9</v>
      </c>
      <c r="M106" s="54">
        <v>8</v>
      </c>
      <c r="N106" s="54">
        <v>9</v>
      </c>
      <c r="O106" s="54">
        <v>6</v>
      </c>
      <c r="P106" s="54">
        <v>6</v>
      </c>
      <c r="Q106" s="54">
        <v>2</v>
      </c>
      <c r="R106" s="54">
        <v>6</v>
      </c>
      <c r="S106" s="54">
        <v>6</v>
      </c>
      <c r="T106" s="54">
        <v>8</v>
      </c>
      <c r="U106" s="54">
        <v>11</v>
      </c>
      <c r="V106" s="54">
        <v>7</v>
      </c>
      <c r="W106" s="54">
        <v>8</v>
      </c>
      <c r="X106" s="54">
        <v>6</v>
      </c>
      <c r="Y106" s="54">
        <v>5</v>
      </c>
      <c r="Z106" s="54">
        <v>5</v>
      </c>
      <c r="AA106" s="54">
        <v>12</v>
      </c>
      <c r="AB106" s="54">
        <v>12</v>
      </c>
      <c r="AC106" s="54">
        <v>4</v>
      </c>
      <c r="AD106" s="54">
        <v>5</v>
      </c>
      <c r="AE106" s="54">
        <v>5</v>
      </c>
      <c r="AF106" s="54"/>
      <c r="AG106" s="5">
        <f t="shared" si="17"/>
        <v>235</v>
      </c>
    </row>
    <row r="107" spans="1:33" ht="15.75" customHeight="1" x14ac:dyDescent="0.25">
      <c r="A107" s="78" t="s">
        <v>55</v>
      </c>
      <c r="B107" s="54">
        <v>4</v>
      </c>
      <c r="C107" s="54">
        <v>5</v>
      </c>
      <c r="D107" s="54">
        <v>2</v>
      </c>
      <c r="E107" s="54">
        <v>4</v>
      </c>
      <c r="F107" s="54">
        <v>11</v>
      </c>
      <c r="G107" s="54">
        <v>10</v>
      </c>
      <c r="H107" s="54">
        <v>10</v>
      </c>
      <c r="I107" s="54">
        <v>6</v>
      </c>
      <c r="J107" s="54">
        <v>7</v>
      </c>
      <c r="K107" s="54">
        <v>1</v>
      </c>
      <c r="L107" s="54">
        <v>7</v>
      </c>
      <c r="M107" s="54">
        <v>12</v>
      </c>
      <c r="N107" s="54">
        <v>12</v>
      </c>
      <c r="O107" s="54">
        <v>7</v>
      </c>
      <c r="P107" s="54">
        <v>9</v>
      </c>
      <c r="Q107" s="54">
        <v>6</v>
      </c>
      <c r="R107" s="54">
        <v>3</v>
      </c>
      <c r="S107" s="54">
        <v>7</v>
      </c>
      <c r="T107" s="54">
        <v>9</v>
      </c>
      <c r="U107" s="54">
        <v>17</v>
      </c>
      <c r="V107" s="54">
        <v>9</v>
      </c>
      <c r="W107" s="54">
        <v>5</v>
      </c>
      <c r="X107" s="54">
        <v>5</v>
      </c>
      <c r="Y107" s="54">
        <v>2</v>
      </c>
      <c r="Z107" s="54">
        <v>2</v>
      </c>
      <c r="AA107" s="54">
        <v>17</v>
      </c>
      <c r="AB107" s="54">
        <v>13</v>
      </c>
      <c r="AC107" s="54">
        <v>13</v>
      </c>
      <c r="AD107" s="54">
        <v>0</v>
      </c>
      <c r="AE107" s="54">
        <v>7</v>
      </c>
      <c r="AF107" s="54"/>
      <c r="AG107" s="5">
        <f t="shared" si="17"/>
        <v>222</v>
      </c>
    </row>
    <row r="108" spans="1:33" ht="15.75" customHeight="1" x14ac:dyDescent="0.25">
      <c r="A108" s="78" t="s">
        <v>56</v>
      </c>
      <c r="B108" s="54">
        <v>4</v>
      </c>
      <c r="C108" s="54">
        <v>10</v>
      </c>
      <c r="D108" s="54">
        <v>3</v>
      </c>
      <c r="E108" s="54">
        <v>7</v>
      </c>
      <c r="F108" s="54">
        <v>9</v>
      </c>
      <c r="G108" s="54">
        <v>11</v>
      </c>
      <c r="H108" s="54">
        <v>5</v>
      </c>
      <c r="I108" s="54">
        <v>3</v>
      </c>
      <c r="J108" s="54">
        <v>11</v>
      </c>
      <c r="K108" s="54">
        <v>6</v>
      </c>
      <c r="L108" s="54">
        <v>9</v>
      </c>
      <c r="M108" s="54">
        <v>12</v>
      </c>
      <c r="N108" s="54">
        <v>14</v>
      </c>
      <c r="O108" s="54">
        <v>6</v>
      </c>
      <c r="P108" s="54">
        <v>6</v>
      </c>
      <c r="Q108" s="54">
        <v>3</v>
      </c>
      <c r="R108" s="54">
        <v>8</v>
      </c>
      <c r="S108" s="54">
        <v>10</v>
      </c>
      <c r="T108" s="54">
        <v>16</v>
      </c>
      <c r="U108" s="54">
        <v>15</v>
      </c>
      <c r="V108" s="54">
        <v>10</v>
      </c>
      <c r="W108" s="54">
        <v>9</v>
      </c>
      <c r="X108" s="54">
        <v>15</v>
      </c>
      <c r="Y108" s="54">
        <v>7</v>
      </c>
      <c r="Z108" s="54">
        <v>8</v>
      </c>
      <c r="AA108" s="54">
        <v>11</v>
      </c>
      <c r="AB108" s="54">
        <v>6</v>
      </c>
      <c r="AC108" s="54">
        <v>4</v>
      </c>
      <c r="AD108" s="54">
        <v>5</v>
      </c>
      <c r="AE108" s="54">
        <v>6</v>
      </c>
      <c r="AF108" s="54"/>
      <c r="AG108" s="5">
        <f t="shared" si="17"/>
        <v>249</v>
      </c>
    </row>
    <row r="109" spans="1:33" ht="15.75" customHeight="1" x14ac:dyDescent="0.25">
      <c r="A109" s="78" t="s">
        <v>57</v>
      </c>
      <c r="B109" s="54">
        <v>8</v>
      </c>
      <c r="C109" s="54">
        <v>11</v>
      </c>
      <c r="D109" s="54">
        <v>7</v>
      </c>
      <c r="E109" s="54">
        <v>5</v>
      </c>
      <c r="F109" s="54">
        <v>10</v>
      </c>
      <c r="G109" s="54">
        <v>9</v>
      </c>
      <c r="H109" s="54">
        <v>11</v>
      </c>
      <c r="I109" s="54">
        <v>7</v>
      </c>
      <c r="J109" s="54">
        <v>5</v>
      </c>
      <c r="K109" s="54">
        <v>3</v>
      </c>
      <c r="L109" s="54">
        <v>11</v>
      </c>
      <c r="M109" s="54">
        <v>14</v>
      </c>
      <c r="N109" s="54">
        <v>17</v>
      </c>
      <c r="O109" s="54">
        <v>13</v>
      </c>
      <c r="P109" s="54">
        <v>9</v>
      </c>
      <c r="Q109" s="54">
        <v>9</v>
      </c>
      <c r="R109" s="54">
        <v>5</v>
      </c>
      <c r="S109" s="54">
        <v>17</v>
      </c>
      <c r="T109" s="54">
        <v>9</v>
      </c>
      <c r="U109" s="54">
        <v>14</v>
      </c>
      <c r="V109" s="54">
        <v>10</v>
      </c>
      <c r="W109" s="54">
        <v>5</v>
      </c>
      <c r="X109" s="54">
        <v>6</v>
      </c>
      <c r="Y109" s="54">
        <v>10</v>
      </c>
      <c r="Z109" s="54">
        <v>5</v>
      </c>
      <c r="AA109" s="54">
        <v>10</v>
      </c>
      <c r="AB109" s="54">
        <v>9</v>
      </c>
      <c r="AC109" s="54">
        <v>2</v>
      </c>
      <c r="AD109" s="54">
        <v>3</v>
      </c>
      <c r="AE109" s="54">
        <v>5</v>
      </c>
      <c r="AF109" s="54"/>
      <c r="AG109" s="5">
        <f t="shared" si="17"/>
        <v>259</v>
      </c>
    </row>
    <row r="110" spans="1:33" ht="15.75" customHeight="1" x14ac:dyDescent="0.25">
      <c r="A110" s="78" t="s">
        <v>58</v>
      </c>
      <c r="B110" s="54">
        <v>12</v>
      </c>
      <c r="C110" s="54">
        <v>1</v>
      </c>
      <c r="D110" s="54">
        <v>7</v>
      </c>
      <c r="E110" s="54">
        <v>8</v>
      </c>
      <c r="F110" s="54">
        <v>18</v>
      </c>
      <c r="G110" s="54">
        <v>17</v>
      </c>
      <c r="H110" s="54">
        <v>8</v>
      </c>
      <c r="I110" s="54">
        <v>2</v>
      </c>
      <c r="J110" s="54">
        <v>9</v>
      </c>
      <c r="K110" s="54">
        <v>11</v>
      </c>
      <c r="L110" s="54">
        <v>5</v>
      </c>
      <c r="M110" s="54">
        <v>11</v>
      </c>
      <c r="N110" s="54">
        <v>7</v>
      </c>
      <c r="O110" s="54">
        <v>9</v>
      </c>
      <c r="P110" s="54">
        <v>5</v>
      </c>
      <c r="Q110" s="54">
        <v>3</v>
      </c>
      <c r="R110" s="54">
        <v>7</v>
      </c>
      <c r="S110" s="54">
        <v>10</v>
      </c>
      <c r="T110" s="54">
        <v>8</v>
      </c>
      <c r="U110" s="54">
        <v>5</v>
      </c>
      <c r="V110" s="54">
        <v>3</v>
      </c>
      <c r="W110" s="54">
        <v>9</v>
      </c>
      <c r="X110" s="54">
        <v>4</v>
      </c>
      <c r="Y110" s="54">
        <v>4</v>
      </c>
      <c r="Z110" s="54">
        <v>5</v>
      </c>
      <c r="AA110" s="54">
        <v>8</v>
      </c>
      <c r="AB110" s="54">
        <v>17</v>
      </c>
      <c r="AC110" s="54">
        <v>6</v>
      </c>
      <c r="AD110" s="54">
        <v>8</v>
      </c>
      <c r="AE110" s="54">
        <v>5</v>
      </c>
      <c r="AF110" s="54"/>
      <c r="AG110" s="5">
        <f t="shared" si="17"/>
        <v>232</v>
      </c>
    </row>
    <row r="111" spans="1:33" ht="15.75" customHeight="1" x14ac:dyDescent="0.25">
      <c r="A111" s="78" t="s">
        <v>59</v>
      </c>
      <c r="B111" s="54">
        <v>7</v>
      </c>
      <c r="C111" s="54">
        <v>5</v>
      </c>
      <c r="D111" s="54">
        <v>4</v>
      </c>
      <c r="E111" s="54">
        <v>11</v>
      </c>
      <c r="F111" s="54">
        <v>9</v>
      </c>
      <c r="G111" s="54">
        <v>8</v>
      </c>
      <c r="H111" s="54">
        <v>7</v>
      </c>
      <c r="I111" s="54">
        <v>9</v>
      </c>
      <c r="J111" s="54">
        <v>4</v>
      </c>
      <c r="K111" s="54">
        <v>6</v>
      </c>
      <c r="L111" s="54">
        <v>5</v>
      </c>
      <c r="M111" s="54">
        <v>8</v>
      </c>
      <c r="N111" s="54">
        <v>2</v>
      </c>
      <c r="O111" s="54">
        <v>5</v>
      </c>
      <c r="P111" s="54">
        <v>12</v>
      </c>
      <c r="Q111" s="54">
        <v>9</v>
      </c>
      <c r="R111" s="54">
        <v>8</v>
      </c>
      <c r="S111" s="54">
        <v>7</v>
      </c>
      <c r="T111" s="54">
        <v>8</v>
      </c>
      <c r="U111" s="54">
        <v>7</v>
      </c>
      <c r="V111" s="54">
        <v>5</v>
      </c>
      <c r="W111" s="54">
        <v>5</v>
      </c>
      <c r="X111" s="54">
        <v>3</v>
      </c>
      <c r="Y111" s="54">
        <v>4</v>
      </c>
      <c r="Z111" s="54">
        <v>7</v>
      </c>
      <c r="AA111" s="54">
        <v>4</v>
      </c>
      <c r="AB111" s="54">
        <v>9</v>
      </c>
      <c r="AC111" s="54">
        <v>12</v>
      </c>
      <c r="AD111" s="54">
        <v>6</v>
      </c>
      <c r="AE111" s="54">
        <v>5</v>
      </c>
      <c r="AF111" s="54"/>
      <c r="AG111" s="5">
        <f t="shared" si="17"/>
        <v>201</v>
      </c>
    </row>
    <row r="112" spans="1:33" ht="15.75" customHeight="1" x14ac:dyDescent="0.25">
      <c r="A112" s="78" t="s">
        <v>60</v>
      </c>
      <c r="B112" s="54">
        <v>4</v>
      </c>
      <c r="C112" s="54">
        <v>5</v>
      </c>
      <c r="D112" s="54">
        <v>3</v>
      </c>
      <c r="E112" s="54">
        <v>4</v>
      </c>
      <c r="F112" s="54">
        <v>10</v>
      </c>
      <c r="G112" s="54">
        <v>9</v>
      </c>
      <c r="H112" s="54">
        <v>5</v>
      </c>
      <c r="I112" s="54">
        <v>2</v>
      </c>
      <c r="J112" s="54">
        <v>3</v>
      </c>
      <c r="K112" s="54">
        <v>7</v>
      </c>
      <c r="L112" s="54">
        <v>4</v>
      </c>
      <c r="M112" s="54">
        <v>9</v>
      </c>
      <c r="N112" s="54">
        <v>5</v>
      </c>
      <c r="O112" s="54">
        <v>5</v>
      </c>
      <c r="P112" s="54">
        <v>0</v>
      </c>
      <c r="Q112" s="54">
        <v>5</v>
      </c>
      <c r="R112" s="54">
        <v>6</v>
      </c>
      <c r="S112" s="54">
        <v>4</v>
      </c>
      <c r="T112" s="54">
        <v>10</v>
      </c>
      <c r="U112" s="54">
        <v>9</v>
      </c>
      <c r="V112" s="54">
        <v>4</v>
      </c>
      <c r="W112" s="54">
        <v>4</v>
      </c>
      <c r="X112" s="54">
        <v>8</v>
      </c>
      <c r="Y112" s="54">
        <v>8</v>
      </c>
      <c r="Z112" s="54">
        <v>7</v>
      </c>
      <c r="AA112" s="54">
        <v>12</v>
      </c>
      <c r="AB112" s="54">
        <v>10</v>
      </c>
      <c r="AC112" s="54">
        <v>2</v>
      </c>
      <c r="AD112" s="54">
        <v>2</v>
      </c>
      <c r="AE112" s="54">
        <v>5</v>
      </c>
      <c r="AF112" s="54"/>
      <c r="AG112" s="5">
        <f t="shared" si="17"/>
        <v>171</v>
      </c>
    </row>
    <row r="113" spans="1:37" ht="15.75" customHeight="1" x14ac:dyDescent="0.25">
      <c r="A113" s="78" t="s">
        <v>61</v>
      </c>
      <c r="B113" s="54">
        <v>3</v>
      </c>
      <c r="C113" s="54">
        <v>3</v>
      </c>
      <c r="D113" s="54">
        <v>2</v>
      </c>
      <c r="E113" s="54">
        <v>4</v>
      </c>
      <c r="F113" s="54">
        <v>11</v>
      </c>
      <c r="G113" s="54">
        <v>3</v>
      </c>
      <c r="H113" s="54">
        <v>3</v>
      </c>
      <c r="I113" s="54">
        <v>2</v>
      </c>
      <c r="J113" s="54">
        <v>3</v>
      </c>
      <c r="K113" s="54">
        <v>1</v>
      </c>
      <c r="L113" s="54">
        <v>1</v>
      </c>
      <c r="M113" s="54">
        <v>3</v>
      </c>
      <c r="N113" s="54">
        <v>9</v>
      </c>
      <c r="O113" s="54">
        <v>1</v>
      </c>
      <c r="P113" s="54">
        <v>5</v>
      </c>
      <c r="Q113" s="54">
        <v>6</v>
      </c>
      <c r="R113" s="54">
        <v>4</v>
      </c>
      <c r="S113" s="54">
        <v>2</v>
      </c>
      <c r="T113" s="54">
        <v>6</v>
      </c>
      <c r="U113" s="54">
        <v>3</v>
      </c>
      <c r="V113" s="54">
        <v>3</v>
      </c>
      <c r="W113" s="54">
        <v>2</v>
      </c>
      <c r="X113" s="54">
        <v>6</v>
      </c>
      <c r="Y113" s="54">
        <v>3</v>
      </c>
      <c r="Z113" s="54">
        <v>5</v>
      </c>
      <c r="AA113" s="54">
        <v>10</v>
      </c>
      <c r="AB113" s="54">
        <v>11</v>
      </c>
      <c r="AC113" s="54">
        <v>3</v>
      </c>
      <c r="AD113" s="54">
        <v>4</v>
      </c>
      <c r="AE113" s="54">
        <v>8</v>
      </c>
      <c r="AF113" s="54"/>
      <c r="AG113" s="5">
        <f t="shared" si="17"/>
        <v>130</v>
      </c>
    </row>
    <row r="114" spans="1:37" ht="15.75" customHeight="1" x14ac:dyDescent="0.25">
      <c r="A114" s="78" t="s">
        <v>62</v>
      </c>
      <c r="B114" s="54">
        <v>9</v>
      </c>
      <c r="C114" s="54">
        <v>8</v>
      </c>
      <c r="D114" s="54">
        <v>7</v>
      </c>
      <c r="E114" s="54">
        <v>7</v>
      </c>
      <c r="F114" s="54">
        <v>11</v>
      </c>
      <c r="G114" s="54">
        <v>4</v>
      </c>
      <c r="H114" s="54">
        <v>4</v>
      </c>
      <c r="I114" s="54">
        <v>9</v>
      </c>
      <c r="J114" s="54">
        <v>5</v>
      </c>
      <c r="K114" s="54">
        <v>2</v>
      </c>
      <c r="L114" s="54">
        <v>4</v>
      </c>
      <c r="M114" s="54">
        <v>10</v>
      </c>
      <c r="N114" s="54">
        <v>7</v>
      </c>
      <c r="O114" s="54">
        <v>4</v>
      </c>
      <c r="P114" s="54">
        <v>4</v>
      </c>
      <c r="Q114" s="54">
        <v>13</v>
      </c>
      <c r="R114" s="54">
        <v>6</v>
      </c>
      <c r="S114" s="54">
        <v>5</v>
      </c>
      <c r="T114" s="54">
        <v>7</v>
      </c>
      <c r="U114" s="54">
        <v>4</v>
      </c>
      <c r="V114" s="54">
        <v>2</v>
      </c>
      <c r="W114" s="54">
        <v>5</v>
      </c>
      <c r="X114" s="54">
        <v>7</v>
      </c>
      <c r="Y114" s="54">
        <v>4</v>
      </c>
      <c r="Z114" s="54">
        <v>6</v>
      </c>
      <c r="AA114" s="54">
        <v>10</v>
      </c>
      <c r="AB114" s="54">
        <v>13</v>
      </c>
      <c r="AC114" s="54">
        <v>9</v>
      </c>
      <c r="AD114" s="54">
        <v>4</v>
      </c>
      <c r="AE114" s="54">
        <v>7</v>
      </c>
      <c r="AF114" s="54"/>
      <c r="AG114" s="5">
        <f t="shared" si="17"/>
        <v>197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33</v>
      </c>
      <c r="C116" s="20">
        <f t="shared" si="19"/>
        <v>35</v>
      </c>
      <c r="D116" s="20">
        <f t="shared" si="19"/>
        <v>26</v>
      </c>
      <c r="E116" s="20">
        <f t="shared" si="19"/>
        <v>28</v>
      </c>
      <c r="F116" s="20">
        <f t="shared" si="19"/>
        <v>50</v>
      </c>
      <c r="G116" s="20">
        <f t="shared" si="19"/>
        <v>52</v>
      </c>
      <c r="H116" s="20">
        <f t="shared" si="19"/>
        <v>42</v>
      </c>
      <c r="I116" s="20">
        <f t="shared" si="19"/>
        <v>25</v>
      </c>
      <c r="J116" s="20">
        <f t="shared" si="19"/>
        <v>23</v>
      </c>
      <c r="K116" s="20">
        <f t="shared" si="19"/>
        <v>28</v>
      </c>
      <c r="L116" s="20">
        <f t="shared" si="19"/>
        <v>21</v>
      </c>
      <c r="M116" s="20">
        <f t="shared" si="19"/>
        <v>44</v>
      </c>
      <c r="N116" s="20">
        <f t="shared" si="19"/>
        <v>41</v>
      </c>
      <c r="O116" s="20">
        <f t="shared" si="19"/>
        <v>43</v>
      </c>
      <c r="P116" s="20">
        <f t="shared" si="19"/>
        <v>21</v>
      </c>
      <c r="Q116" s="20">
        <f t="shared" si="19"/>
        <v>31</v>
      </c>
      <c r="R116" s="20">
        <f t="shared" si="19"/>
        <v>24</v>
      </c>
      <c r="S116" s="20">
        <f t="shared" si="19"/>
        <v>34</v>
      </c>
      <c r="T116" s="20">
        <f t="shared" si="19"/>
        <v>45</v>
      </c>
      <c r="U116" s="20">
        <f t="shared" si="19"/>
        <v>48</v>
      </c>
      <c r="V116" s="20">
        <f t="shared" si="19"/>
        <v>44</v>
      </c>
      <c r="W116" s="20">
        <f t="shared" si="19"/>
        <v>22</v>
      </c>
      <c r="X116" s="20">
        <f t="shared" si="19"/>
        <v>31</v>
      </c>
      <c r="Y116" s="20">
        <f t="shared" si="19"/>
        <v>34</v>
      </c>
      <c r="Z116" s="20">
        <f t="shared" si="19"/>
        <v>30</v>
      </c>
      <c r="AA116" s="20">
        <f t="shared" si="19"/>
        <v>49</v>
      </c>
      <c r="AB116" s="20">
        <f t="shared" si="19"/>
        <v>27</v>
      </c>
      <c r="AC116" s="20">
        <f t="shared" si="19"/>
        <v>40</v>
      </c>
      <c r="AD116" s="20">
        <f t="shared" si="19"/>
        <v>33</v>
      </c>
      <c r="AE116" s="20">
        <f t="shared" si="19"/>
        <v>29</v>
      </c>
      <c r="AF116" s="20">
        <f t="shared" si="19"/>
        <v>0</v>
      </c>
      <c r="AG116" s="5">
        <f t="shared" si="17"/>
        <v>1033</v>
      </c>
      <c r="AK116" s="84">
        <v>612</v>
      </c>
    </row>
    <row r="117" spans="1:37" ht="15.75" customHeight="1" x14ac:dyDescent="0.25">
      <c r="A117" s="85" t="s">
        <v>64</v>
      </c>
      <c r="B117" s="54">
        <v>29</v>
      </c>
      <c r="C117" s="54">
        <v>25</v>
      </c>
      <c r="D117" s="54">
        <v>21</v>
      </c>
      <c r="E117" s="54">
        <v>23</v>
      </c>
      <c r="F117" s="54">
        <v>45</v>
      </c>
      <c r="G117" s="54">
        <v>40</v>
      </c>
      <c r="H117" s="54">
        <v>37</v>
      </c>
      <c r="I117" s="54">
        <v>20</v>
      </c>
      <c r="J117" s="54">
        <v>19</v>
      </c>
      <c r="K117" s="54">
        <v>21</v>
      </c>
      <c r="L117" s="54">
        <v>18</v>
      </c>
      <c r="M117" s="54">
        <v>38</v>
      </c>
      <c r="N117" s="54">
        <v>32</v>
      </c>
      <c r="O117" s="54">
        <v>31</v>
      </c>
      <c r="P117" s="54">
        <v>16</v>
      </c>
      <c r="Q117" s="54">
        <v>26</v>
      </c>
      <c r="R117" s="54">
        <v>23</v>
      </c>
      <c r="S117" s="54">
        <v>29</v>
      </c>
      <c r="T117" s="54">
        <v>36</v>
      </c>
      <c r="U117" s="54">
        <v>33</v>
      </c>
      <c r="V117" s="54">
        <v>33</v>
      </c>
      <c r="W117" s="54">
        <v>19</v>
      </c>
      <c r="X117" s="54">
        <v>23</v>
      </c>
      <c r="Y117" s="54">
        <v>25</v>
      </c>
      <c r="Z117" s="54">
        <v>25</v>
      </c>
      <c r="AA117" s="54">
        <v>41</v>
      </c>
      <c r="AB117" s="54">
        <v>22</v>
      </c>
      <c r="AC117" s="54">
        <v>30</v>
      </c>
      <c r="AD117" s="54">
        <v>26</v>
      </c>
      <c r="AE117" s="54">
        <v>21</v>
      </c>
      <c r="AF117" s="54"/>
      <c r="AG117" s="5">
        <f t="shared" si="17"/>
        <v>827</v>
      </c>
      <c r="AK117" s="84">
        <v>613</v>
      </c>
    </row>
    <row r="118" spans="1:37" ht="15.75" customHeight="1" thickBot="1" x14ac:dyDescent="0.3">
      <c r="A118" s="86" t="s">
        <v>76</v>
      </c>
      <c r="B118" s="87">
        <v>4</v>
      </c>
      <c r="C118" s="87">
        <v>10</v>
      </c>
      <c r="D118" s="87">
        <v>5</v>
      </c>
      <c r="E118" s="87">
        <v>5</v>
      </c>
      <c r="F118" s="87">
        <v>5</v>
      </c>
      <c r="G118" s="87">
        <v>12</v>
      </c>
      <c r="H118" s="87">
        <v>5</v>
      </c>
      <c r="I118" s="87">
        <v>5</v>
      </c>
      <c r="J118" s="87">
        <v>4</v>
      </c>
      <c r="K118" s="87">
        <v>7</v>
      </c>
      <c r="L118" s="87">
        <v>3</v>
      </c>
      <c r="M118" s="87">
        <v>6</v>
      </c>
      <c r="N118" s="87">
        <v>9</v>
      </c>
      <c r="O118" s="87">
        <v>12</v>
      </c>
      <c r="P118" s="87">
        <v>5</v>
      </c>
      <c r="Q118" s="87">
        <v>5</v>
      </c>
      <c r="R118" s="87">
        <v>1</v>
      </c>
      <c r="S118" s="87">
        <v>5</v>
      </c>
      <c r="T118" s="87">
        <v>9</v>
      </c>
      <c r="U118" s="87">
        <v>15</v>
      </c>
      <c r="V118" s="87">
        <v>11</v>
      </c>
      <c r="W118" s="87">
        <v>3</v>
      </c>
      <c r="X118" s="87">
        <v>8</v>
      </c>
      <c r="Y118" s="87">
        <v>9</v>
      </c>
      <c r="Z118" s="87">
        <v>5</v>
      </c>
      <c r="AA118" s="87">
        <v>8</v>
      </c>
      <c r="AB118" s="87">
        <v>5</v>
      </c>
      <c r="AC118" s="87">
        <v>10</v>
      </c>
      <c r="AD118" s="87">
        <v>7</v>
      </c>
      <c r="AE118" s="87">
        <v>8</v>
      </c>
      <c r="AF118" s="87"/>
      <c r="AG118" s="5">
        <f t="shared" si="17"/>
        <v>206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114</v>
      </c>
      <c r="C119" s="20">
        <f t="shared" si="20"/>
        <v>99</v>
      </c>
      <c r="D119" s="20">
        <f t="shared" si="20"/>
        <v>99</v>
      </c>
      <c r="E119" s="20">
        <f t="shared" si="20"/>
        <v>96</v>
      </c>
      <c r="F119" s="20">
        <f t="shared" si="20"/>
        <v>169</v>
      </c>
      <c r="G119" s="20">
        <f t="shared" si="20"/>
        <v>170</v>
      </c>
      <c r="H119" s="20">
        <f t="shared" si="20"/>
        <v>125</v>
      </c>
      <c r="I119" s="20">
        <f t="shared" si="20"/>
        <v>107</v>
      </c>
      <c r="J119" s="20">
        <f t="shared" si="20"/>
        <v>98</v>
      </c>
      <c r="K119" s="20">
        <f t="shared" si="20"/>
        <v>86</v>
      </c>
      <c r="L119" s="20">
        <f t="shared" si="20"/>
        <v>101</v>
      </c>
      <c r="M119" s="20">
        <f t="shared" si="20"/>
        <v>169</v>
      </c>
      <c r="N119" s="20">
        <f t="shared" si="20"/>
        <v>172</v>
      </c>
      <c r="O119" s="20">
        <f t="shared" si="20"/>
        <v>118</v>
      </c>
      <c r="P119" s="20">
        <f t="shared" si="20"/>
        <v>102</v>
      </c>
      <c r="Q119" s="20">
        <f t="shared" si="20"/>
        <v>104</v>
      </c>
      <c r="R119" s="20">
        <f t="shared" si="20"/>
        <v>95</v>
      </c>
      <c r="S119" s="20">
        <f t="shared" si="20"/>
        <v>132</v>
      </c>
      <c r="T119" s="20">
        <f t="shared" si="20"/>
        <v>159</v>
      </c>
      <c r="U119" s="20">
        <f t="shared" si="20"/>
        <v>170</v>
      </c>
      <c r="V119" s="20">
        <f t="shared" si="20"/>
        <v>126</v>
      </c>
      <c r="W119" s="20">
        <f t="shared" si="20"/>
        <v>118</v>
      </c>
      <c r="X119" s="20">
        <f t="shared" si="20"/>
        <v>102</v>
      </c>
      <c r="Y119" s="20">
        <f t="shared" si="20"/>
        <v>105</v>
      </c>
      <c r="Z119" s="20">
        <f t="shared" si="20"/>
        <v>109</v>
      </c>
      <c r="AA119" s="20">
        <f t="shared" si="20"/>
        <v>174</v>
      </c>
      <c r="AB119" s="20">
        <f t="shared" si="20"/>
        <v>178</v>
      </c>
      <c r="AC119" s="20">
        <f t="shared" si="20"/>
        <v>118</v>
      </c>
      <c r="AD119" s="20">
        <f t="shared" si="20"/>
        <v>107</v>
      </c>
      <c r="AE119" s="20">
        <f t="shared" si="20"/>
        <v>108</v>
      </c>
      <c r="AF119" s="20">
        <f t="shared" si="20"/>
        <v>0</v>
      </c>
      <c r="AG119" s="7">
        <f t="shared" si="17"/>
        <v>3730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28</v>
      </c>
      <c r="C120" s="54">
        <v>22</v>
      </c>
      <c r="D120" s="54">
        <v>20</v>
      </c>
      <c r="E120" s="54">
        <v>22</v>
      </c>
      <c r="F120" s="54">
        <v>45</v>
      </c>
      <c r="G120" s="54">
        <v>40</v>
      </c>
      <c r="H120" s="54">
        <v>34</v>
      </c>
      <c r="I120" s="54">
        <v>18</v>
      </c>
      <c r="J120" s="54">
        <v>19</v>
      </c>
      <c r="K120" s="54">
        <v>19</v>
      </c>
      <c r="L120" s="54">
        <v>15</v>
      </c>
      <c r="M120" s="54">
        <v>38</v>
      </c>
      <c r="N120" s="54">
        <v>31</v>
      </c>
      <c r="O120" s="54">
        <v>27</v>
      </c>
      <c r="P120" s="54">
        <v>14</v>
      </c>
      <c r="Q120" s="54">
        <v>24</v>
      </c>
      <c r="R120" s="54">
        <v>22</v>
      </c>
      <c r="S120" s="54">
        <v>29</v>
      </c>
      <c r="T120" s="54">
        <v>36</v>
      </c>
      <c r="U120" s="54">
        <v>33</v>
      </c>
      <c r="V120" s="54">
        <v>33</v>
      </c>
      <c r="W120" s="54">
        <v>18</v>
      </c>
      <c r="X120" s="54">
        <v>19</v>
      </c>
      <c r="Y120" s="54">
        <v>22</v>
      </c>
      <c r="Z120" s="54">
        <v>25</v>
      </c>
      <c r="AA120" s="54">
        <v>38</v>
      </c>
      <c r="AB120" s="54">
        <v>21</v>
      </c>
      <c r="AC120" s="54">
        <v>23</v>
      </c>
      <c r="AD120" s="54">
        <v>25</v>
      </c>
      <c r="AE120" s="54">
        <v>19</v>
      </c>
      <c r="AF120" s="54"/>
      <c r="AG120" s="5">
        <f t="shared" si="17"/>
        <v>779</v>
      </c>
      <c r="AK120" s="88" t="s">
        <v>130</v>
      </c>
    </row>
    <row r="121" spans="1:37" ht="15.75" customHeight="1" x14ac:dyDescent="0.25">
      <c r="A121" s="85" t="s">
        <v>65</v>
      </c>
      <c r="B121" s="54">
        <v>0</v>
      </c>
      <c r="C121" s="54">
        <v>1</v>
      </c>
      <c r="D121" s="54">
        <v>1</v>
      </c>
      <c r="E121" s="54">
        <v>3</v>
      </c>
      <c r="F121" s="54">
        <v>4</v>
      </c>
      <c r="G121" s="54">
        <v>6</v>
      </c>
      <c r="H121" s="54">
        <v>3</v>
      </c>
      <c r="I121" s="54">
        <v>7</v>
      </c>
      <c r="J121" s="54">
        <v>4</v>
      </c>
      <c r="K121" s="54">
        <v>2</v>
      </c>
      <c r="L121" s="54">
        <v>5</v>
      </c>
      <c r="M121" s="54">
        <v>5</v>
      </c>
      <c r="N121" s="54">
        <v>3</v>
      </c>
      <c r="O121" s="54">
        <v>5</v>
      </c>
      <c r="P121" s="54">
        <v>3</v>
      </c>
      <c r="Q121" s="54">
        <v>0</v>
      </c>
      <c r="R121" s="54">
        <v>2</v>
      </c>
      <c r="S121" s="54">
        <v>3</v>
      </c>
      <c r="T121" s="54">
        <v>3</v>
      </c>
      <c r="U121" s="54">
        <v>5</v>
      </c>
      <c r="V121" s="54">
        <v>3</v>
      </c>
      <c r="W121" s="54">
        <v>2</v>
      </c>
      <c r="X121" s="54">
        <v>2</v>
      </c>
      <c r="Y121" s="54">
        <v>3</v>
      </c>
      <c r="Z121" s="54">
        <v>6</v>
      </c>
      <c r="AA121" s="54">
        <v>6</v>
      </c>
      <c r="AB121" s="54">
        <v>1</v>
      </c>
      <c r="AC121" s="54">
        <v>4</v>
      </c>
      <c r="AD121" s="54">
        <v>5</v>
      </c>
      <c r="AE121" s="54">
        <v>4</v>
      </c>
      <c r="AF121" s="54"/>
      <c r="AG121" s="5">
        <f t="shared" si="17"/>
        <v>101</v>
      </c>
      <c r="AK121" s="84" t="s">
        <v>131</v>
      </c>
    </row>
    <row r="122" spans="1:37" ht="15.75" customHeight="1" x14ac:dyDescent="0.25">
      <c r="A122" s="85" t="s">
        <v>66</v>
      </c>
      <c r="B122" s="54">
        <v>2</v>
      </c>
      <c r="C122" s="54">
        <v>9</v>
      </c>
      <c r="D122" s="54">
        <v>4</v>
      </c>
      <c r="E122" s="54">
        <v>3</v>
      </c>
      <c r="F122" s="54">
        <v>8</v>
      </c>
      <c r="G122" s="54">
        <v>12</v>
      </c>
      <c r="H122" s="54">
        <v>6</v>
      </c>
      <c r="I122" s="54">
        <v>6</v>
      </c>
      <c r="J122" s="54">
        <v>5</v>
      </c>
      <c r="K122" s="54">
        <v>6</v>
      </c>
      <c r="L122" s="54">
        <v>8</v>
      </c>
      <c r="M122" s="54">
        <v>11</v>
      </c>
      <c r="N122" s="54">
        <v>5</v>
      </c>
      <c r="O122" s="54">
        <v>5</v>
      </c>
      <c r="P122" s="54">
        <v>7</v>
      </c>
      <c r="Q122" s="54">
        <v>4</v>
      </c>
      <c r="R122" s="54">
        <v>3</v>
      </c>
      <c r="S122" s="54">
        <v>8</v>
      </c>
      <c r="T122" s="54">
        <v>10</v>
      </c>
      <c r="U122" s="54">
        <v>10</v>
      </c>
      <c r="V122" s="54">
        <v>5</v>
      </c>
      <c r="W122" s="54">
        <v>5</v>
      </c>
      <c r="X122" s="54">
        <v>6</v>
      </c>
      <c r="Y122" s="54">
        <v>5</v>
      </c>
      <c r="Z122" s="54">
        <v>4</v>
      </c>
      <c r="AA122" s="54">
        <v>7</v>
      </c>
      <c r="AB122" s="54">
        <v>9</v>
      </c>
      <c r="AC122" s="54">
        <v>6</v>
      </c>
      <c r="AD122" s="54">
        <v>5</v>
      </c>
      <c r="AE122" s="54">
        <v>8</v>
      </c>
      <c r="AF122" s="54"/>
      <c r="AG122" s="5">
        <f t="shared" si="17"/>
        <v>192</v>
      </c>
      <c r="AK122" s="88" t="s">
        <v>132</v>
      </c>
    </row>
    <row r="123" spans="1:37" ht="15.75" customHeight="1" x14ac:dyDescent="0.25">
      <c r="A123" s="85" t="s">
        <v>67</v>
      </c>
      <c r="B123" s="54">
        <v>8</v>
      </c>
      <c r="C123" s="54">
        <v>6</v>
      </c>
      <c r="D123" s="54">
        <v>6</v>
      </c>
      <c r="E123" s="54">
        <v>3</v>
      </c>
      <c r="F123" s="54">
        <v>5</v>
      </c>
      <c r="G123" s="54">
        <v>6</v>
      </c>
      <c r="H123" s="54">
        <v>6</v>
      </c>
      <c r="I123" s="54">
        <v>0</v>
      </c>
      <c r="J123" s="54">
        <v>3</v>
      </c>
      <c r="K123" s="54">
        <v>4</v>
      </c>
      <c r="L123" s="54">
        <v>2</v>
      </c>
      <c r="M123" s="54">
        <v>12</v>
      </c>
      <c r="N123" s="54">
        <v>5</v>
      </c>
      <c r="O123" s="54">
        <v>10</v>
      </c>
      <c r="P123" s="54">
        <v>5</v>
      </c>
      <c r="Q123" s="54">
        <v>5</v>
      </c>
      <c r="R123" s="54">
        <v>4</v>
      </c>
      <c r="S123" s="54">
        <v>5</v>
      </c>
      <c r="T123" s="54">
        <v>3</v>
      </c>
      <c r="U123" s="54">
        <v>6</v>
      </c>
      <c r="V123" s="54">
        <v>7</v>
      </c>
      <c r="W123" s="54">
        <v>4</v>
      </c>
      <c r="X123" s="54">
        <v>7</v>
      </c>
      <c r="Y123" s="54">
        <v>6</v>
      </c>
      <c r="Z123" s="54">
        <v>3</v>
      </c>
      <c r="AA123" s="54">
        <v>8</v>
      </c>
      <c r="AB123" s="54">
        <v>4</v>
      </c>
      <c r="AC123" s="54">
        <v>5</v>
      </c>
      <c r="AD123" s="54">
        <v>4</v>
      </c>
      <c r="AE123" s="54">
        <v>6</v>
      </c>
      <c r="AF123" s="54"/>
      <c r="AG123" s="5">
        <f t="shared" si="17"/>
        <v>158</v>
      </c>
      <c r="AK123" s="84" t="s">
        <v>133</v>
      </c>
    </row>
    <row r="124" spans="1:37" ht="15.75" customHeight="1" x14ac:dyDescent="0.25">
      <c r="A124" s="85" t="s">
        <v>68</v>
      </c>
      <c r="B124" s="54">
        <v>7</v>
      </c>
      <c r="C124" s="54">
        <v>4</v>
      </c>
      <c r="D124" s="54">
        <v>5</v>
      </c>
      <c r="E124" s="54">
        <v>6</v>
      </c>
      <c r="F124" s="54">
        <v>10</v>
      </c>
      <c r="G124" s="54">
        <v>13</v>
      </c>
      <c r="H124" s="54">
        <v>13</v>
      </c>
      <c r="I124" s="54">
        <v>7</v>
      </c>
      <c r="J124" s="54">
        <v>3</v>
      </c>
      <c r="K124" s="54">
        <v>2</v>
      </c>
      <c r="L124" s="54">
        <v>2</v>
      </c>
      <c r="M124" s="54">
        <v>6</v>
      </c>
      <c r="N124" s="54">
        <v>9</v>
      </c>
      <c r="O124" s="54">
        <v>8</v>
      </c>
      <c r="P124" s="54">
        <v>8</v>
      </c>
      <c r="Q124" s="54">
        <v>3</v>
      </c>
      <c r="R124" s="54">
        <v>5</v>
      </c>
      <c r="S124" s="54">
        <v>6</v>
      </c>
      <c r="T124" s="54">
        <v>9</v>
      </c>
      <c r="U124" s="54">
        <v>7</v>
      </c>
      <c r="V124" s="54">
        <v>8</v>
      </c>
      <c r="W124" s="54">
        <v>12</v>
      </c>
      <c r="X124" s="54">
        <v>7</v>
      </c>
      <c r="Y124" s="54">
        <v>5</v>
      </c>
      <c r="Z124" s="54">
        <v>5</v>
      </c>
      <c r="AA124" s="54">
        <v>15</v>
      </c>
      <c r="AB124" s="54">
        <v>5</v>
      </c>
      <c r="AC124" s="54">
        <v>8</v>
      </c>
      <c r="AD124" s="54">
        <v>9</v>
      </c>
      <c r="AE124" s="54">
        <v>3</v>
      </c>
      <c r="AF124" s="54"/>
      <c r="AG124" s="5">
        <f t="shared" si="17"/>
        <v>210</v>
      </c>
      <c r="AK124" s="88" t="s">
        <v>134</v>
      </c>
    </row>
    <row r="125" spans="1:37" ht="15.75" customHeight="1" x14ac:dyDescent="0.25">
      <c r="A125" s="85" t="s">
        <v>69</v>
      </c>
      <c r="B125" s="54">
        <v>56</v>
      </c>
      <c r="C125" s="54">
        <v>38</v>
      </c>
      <c r="D125" s="54">
        <v>51</v>
      </c>
      <c r="E125" s="54">
        <v>49</v>
      </c>
      <c r="F125" s="54">
        <v>75</v>
      </c>
      <c r="G125" s="54">
        <v>67</v>
      </c>
      <c r="H125" s="54">
        <v>48</v>
      </c>
      <c r="I125" s="54">
        <v>55</v>
      </c>
      <c r="J125" s="54">
        <v>56</v>
      </c>
      <c r="K125" s="54">
        <v>36</v>
      </c>
      <c r="L125" s="54">
        <v>59</v>
      </c>
      <c r="M125" s="54">
        <v>70</v>
      </c>
      <c r="N125" s="54">
        <v>95</v>
      </c>
      <c r="O125" s="54">
        <v>42</v>
      </c>
      <c r="P125" s="54">
        <v>51</v>
      </c>
      <c r="Q125" s="54">
        <v>56</v>
      </c>
      <c r="R125" s="54">
        <v>54</v>
      </c>
      <c r="S125" s="54">
        <v>65</v>
      </c>
      <c r="T125" s="54">
        <v>73</v>
      </c>
      <c r="U125" s="54">
        <v>81</v>
      </c>
      <c r="V125" s="54">
        <v>52</v>
      </c>
      <c r="W125" s="54">
        <v>64</v>
      </c>
      <c r="X125" s="54">
        <v>44</v>
      </c>
      <c r="Y125" s="54">
        <v>45</v>
      </c>
      <c r="Z125" s="54">
        <v>54</v>
      </c>
      <c r="AA125" s="54">
        <v>78</v>
      </c>
      <c r="AB125" s="54">
        <v>120</v>
      </c>
      <c r="AC125" s="54">
        <v>55</v>
      </c>
      <c r="AD125" s="54">
        <v>50</v>
      </c>
      <c r="AE125" s="54">
        <v>49</v>
      </c>
      <c r="AF125" s="54"/>
      <c r="AG125" s="5">
        <f t="shared" si="17"/>
        <v>1788</v>
      </c>
      <c r="AK125" s="88" t="s">
        <v>135</v>
      </c>
    </row>
    <row r="126" spans="1:37" ht="15.75" customHeight="1" x14ac:dyDescent="0.25">
      <c r="A126" s="85" t="s">
        <v>70</v>
      </c>
      <c r="B126" s="54">
        <v>1</v>
      </c>
      <c r="C126" s="54">
        <v>1</v>
      </c>
      <c r="D126" s="54">
        <v>2</v>
      </c>
      <c r="E126" s="54">
        <v>0</v>
      </c>
      <c r="F126" s="54">
        <v>3</v>
      </c>
      <c r="G126" s="54">
        <v>3</v>
      </c>
      <c r="H126" s="54">
        <v>2</v>
      </c>
      <c r="I126" s="54">
        <v>1</v>
      </c>
      <c r="J126" s="54">
        <v>1</v>
      </c>
      <c r="K126" s="54">
        <v>1</v>
      </c>
      <c r="L126" s="54">
        <v>1</v>
      </c>
      <c r="M126" s="54">
        <v>2</v>
      </c>
      <c r="N126" s="54">
        <v>2</v>
      </c>
      <c r="O126" s="54">
        <v>3</v>
      </c>
      <c r="P126" s="54">
        <v>4</v>
      </c>
      <c r="Q126" s="54">
        <v>1</v>
      </c>
      <c r="R126" s="54">
        <v>1</v>
      </c>
      <c r="S126" s="54">
        <v>2</v>
      </c>
      <c r="T126" s="54">
        <v>1</v>
      </c>
      <c r="U126" s="54">
        <v>5</v>
      </c>
      <c r="V126" s="54">
        <v>0</v>
      </c>
      <c r="W126" s="54">
        <v>3</v>
      </c>
      <c r="X126" s="54">
        <v>5</v>
      </c>
      <c r="Y126" s="54">
        <v>3</v>
      </c>
      <c r="Z126" s="54">
        <v>0</v>
      </c>
      <c r="AA126" s="54">
        <v>1</v>
      </c>
      <c r="AB126" s="54">
        <v>1</v>
      </c>
      <c r="AC126" s="54">
        <v>3</v>
      </c>
      <c r="AD126" s="54">
        <v>2</v>
      </c>
      <c r="AE126" s="54">
        <v>2</v>
      </c>
      <c r="AF126" s="54"/>
      <c r="AG126" s="5">
        <f t="shared" si="17"/>
        <v>57</v>
      </c>
      <c r="AK126" s="84" t="s">
        <v>136</v>
      </c>
    </row>
    <row r="127" spans="1:37" ht="15.75" customHeight="1" x14ac:dyDescent="0.25">
      <c r="A127" s="85" t="s">
        <v>71</v>
      </c>
      <c r="B127" s="54">
        <v>3</v>
      </c>
      <c r="C127" s="54">
        <v>1</v>
      </c>
      <c r="D127" s="54">
        <v>0</v>
      </c>
      <c r="E127" s="54">
        <v>1</v>
      </c>
      <c r="F127" s="54">
        <v>0</v>
      </c>
      <c r="G127" s="54">
        <v>2</v>
      </c>
      <c r="H127" s="54">
        <v>0</v>
      </c>
      <c r="I127" s="54">
        <v>2</v>
      </c>
      <c r="J127" s="54">
        <v>1</v>
      </c>
      <c r="K127" s="54">
        <v>2</v>
      </c>
      <c r="L127" s="54">
        <v>1</v>
      </c>
      <c r="M127" s="54">
        <v>2</v>
      </c>
      <c r="N127" s="54">
        <v>0</v>
      </c>
      <c r="O127" s="54">
        <v>1</v>
      </c>
      <c r="P127" s="54">
        <v>0</v>
      </c>
      <c r="Q127" s="54">
        <v>0</v>
      </c>
      <c r="R127" s="54">
        <v>0</v>
      </c>
      <c r="S127" s="54">
        <v>2</v>
      </c>
      <c r="T127" s="54">
        <v>1</v>
      </c>
      <c r="U127" s="54">
        <v>1</v>
      </c>
      <c r="V127" s="54">
        <v>1</v>
      </c>
      <c r="W127" s="54">
        <v>0</v>
      </c>
      <c r="X127" s="54">
        <v>1</v>
      </c>
      <c r="Y127" s="54">
        <v>1</v>
      </c>
      <c r="Z127" s="54">
        <v>2</v>
      </c>
      <c r="AA127" s="54">
        <v>3</v>
      </c>
      <c r="AB127" s="54">
        <v>3</v>
      </c>
      <c r="AC127" s="54">
        <v>0</v>
      </c>
      <c r="AD127" s="54">
        <v>0</v>
      </c>
      <c r="AE127" s="54">
        <v>1</v>
      </c>
      <c r="AF127" s="54"/>
      <c r="AG127" s="5">
        <f t="shared" si="17"/>
        <v>32</v>
      </c>
      <c r="AK127" s="88" t="s">
        <v>137</v>
      </c>
    </row>
    <row r="128" spans="1:37" ht="15.75" customHeight="1" x14ac:dyDescent="0.25">
      <c r="A128" s="56" t="s">
        <v>72</v>
      </c>
      <c r="B128" s="54">
        <v>0</v>
      </c>
      <c r="C128" s="54">
        <v>1</v>
      </c>
      <c r="D128" s="54">
        <v>2</v>
      </c>
      <c r="E128" s="54">
        <v>0</v>
      </c>
      <c r="F128" s="54">
        <v>4</v>
      </c>
      <c r="G128" s="54">
        <v>2</v>
      </c>
      <c r="H128" s="54">
        <v>2</v>
      </c>
      <c r="I128" s="54">
        <v>2</v>
      </c>
      <c r="J128" s="54">
        <v>0</v>
      </c>
      <c r="K128" s="54">
        <v>0</v>
      </c>
      <c r="L128" s="54">
        <v>1</v>
      </c>
      <c r="M128" s="54">
        <v>2</v>
      </c>
      <c r="N128" s="54">
        <v>2</v>
      </c>
      <c r="O128" s="54">
        <v>3</v>
      </c>
      <c r="P128" s="54">
        <v>2</v>
      </c>
      <c r="Q128" s="54">
        <v>1</v>
      </c>
      <c r="R128" s="54">
        <v>0</v>
      </c>
      <c r="S128" s="54">
        <v>1</v>
      </c>
      <c r="T128" s="54">
        <v>1</v>
      </c>
      <c r="U128" s="54">
        <v>2</v>
      </c>
      <c r="V128" s="54">
        <v>2</v>
      </c>
      <c r="W128" s="54">
        <v>2</v>
      </c>
      <c r="X128" s="54">
        <v>0</v>
      </c>
      <c r="Y128" s="54">
        <v>1</v>
      </c>
      <c r="Z128" s="54">
        <v>0</v>
      </c>
      <c r="AA128" s="54">
        <v>2</v>
      </c>
      <c r="AB128" s="54">
        <v>1</v>
      </c>
      <c r="AC128" s="54">
        <v>0</v>
      </c>
      <c r="AD128" s="54">
        <v>1</v>
      </c>
      <c r="AE128" s="54">
        <v>1</v>
      </c>
      <c r="AF128" s="54"/>
      <c r="AG128" s="5">
        <f t="shared" si="17"/>
        <v>38</v>
      </c>
      <c r="AK128" s="88" t="s">
        <v>138</v>
      </c>
    </row>
    <row r="129" spans="1:37" ht="15.75" customHeight="1" x14ac:dyDescent="0.25">
      <c r="A129" s="56" t="s">
        <v>73</v>
      </c>
      <c r="B129" s="54">
        <v>0</v>
      </c>
      <c r="C129" s="54">
        <v>1</v>
      </c>
      <c r="D129" s="54">
        <v>0</v>
      </c>
      <c r="E129" s="54">
        <v>1</v>
      </c>
      <c r="F129" s="54">
        <v>0</v>
      </c>
      <c r="G129" s="54">
        <v>2</v>
      </c>
      <c r="H129" s="54">
        <v>3</v>
      </c>
      <c r="I129" s="54">
        <v>1</v>
      </c>
      <c r="J129" s="54">
        <v>0</v>
      </c>
      <c r="K129" s="54">
        <v>3</v>
      </c>
      <c r="L129" s="54">
        <v>2</v>
      </c>
      <c r="M129" s="54">
        <v>1</v>
      </c>
      <c r="N129" s="54">
        <v>1</v>
      </c>
      <c r="O129" s="54">
        <v>1</v>
      </c>
      <c r="P129" s="54">
        <v>0</v>
      </c>
      <c r="Q129" s="54">
        <v>0</v>
      </c>
      <c r="R129" s="54">
        <v>0</v>
      </c>
      <c r="S129" s="54">
        <v>0</v>
      </c>
      <c r="T129" s="54">
        <v>1</v>
      </c>
      <c r="U129" s="54">
        <v>3</v>
      </c>
      <c r="V129" s="54">
        <v>2</v>
      </c>
      <c r="W129" s="54">
        <v>3</v>
      </c>
      <c r="X129" s="54">
        <v>5</v>
      </c>
      <c r="Y129" s="54">
        <v>2</v>
      </c>
      <c r="Z129" s="54">
        <v>1</v>
      </c>
      <c r="AA129" s="54">
        <v>0</v>
      </c>
      <c r="AB129" s="54">
        <v>0</v>
      </c>
      <c r="AC129" s="54">
        <v>0</v>
      </c>
      <c r="AD129" s="54">
        <v>0</v>
      </c>
      <c r="AE129" s="54">
        <v>1</v>
      </c>
      <c r="AF129" s="54"/>
      <c r="AG129" s="5">
        <f t="shared" si="17"/>
        <v>34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0</v>
      </c>
      <c r="D130" s="54">
        <v>0</v>
      </c>
      <c r="E130" s="54">
        <v>0</v>
      </c>
      <c r="F130" s="54">
        <v>0</v>
      </c>
      <c r="G130" s="54">
        <v>0</v>
      </c>
      <c r="H130" s="54">
        <v>0</v>
      </c>
      <c r="I130" s="54">
        <v>0</v>
      </c>
      <c r="J130" s="54">
        <v>0</v>
      </c>
      <c r="K130" s="54">
        <v>0</v>
      </c>
      <c r="L130" s="54">
        <v>0</v>
      </c>
      <c r="M130" s="54">
        <v>2</v>
      </c>
      <c r="N130" s="54">
        <v>0</v>
      </c>
      <c r="O130" s="54">
        <v>0</v>
      </c>
      <c r="P130" s="54">
        <v>0</v>
      </c>
      <c r="Q130" s="54">
        <v>0</v>
      </c>
      <c r="R130" s="54">
        <v>0</v>
      </c>
      <c r="S130" s="54">
        <v>0</v>
      </c>
      <c r="T130" s="54">
        <v>1</v>
      </c>
      <c r="U130" s="54">
        <v>0</v>
      </c>
      <c r="V130" s="54">
        <v>0</v>
      </c>
      <c r="W130" s="54">
        <v>0</v>
      </c>
      <c r="X130" s="54">
        <v>0</v>
      </c>
      <c r="Y130" s="54">
        <v>0</v>
      </c>
      <c r="Z130" s="54">
        <v>0</v>
      </c>
      <c r="AA130" s="54">
        <v>1</v>
      </c>
      <c r="AB130" s="54">
        <v>0</v>
      </c>
      <c r="AC130" s="54">
        <v>0</v>
      </c>
      <c r="AD130" s="54">
        <v>0</v>
      </c>
      <c r="AE130" s="54">
        <v>1</v>
      </c>
      <c r="AF130" s="54"/>
      <c r="AG130" s="5">
        <f t="shared" si="17"/>
        <v>5</v>
      </c>
      <c r="AK130" s="84" t="s">
        <v>140</v>
      </c>
    </row>
    <row r="131" spans="1:37" ht="15.75" customHeight="1" x14ac:dyDescent="0.25">
      <c r="A131" s="85" t="s">
        <v>75</v>
      </c>
      <c r="B131" s="54">
        <v>6</v>
      </c>
      <c r="C131" s="54">
        <v>9</v>
      </c>
      <c r="D131" s="54">
        <v>7</v>
      </c>
      <c r="E131" s="54">
        <v>4</v>
      </c>
      <c r="F131" s="54">
        <v>10</v>
      </c>
      <c r="G131" s="54">
        <v>6</v>
      </c>
      <c r="H131" s="54">
        <v>3</v>
      </c>
      <c r="I131" s="54">
        <v>5</v>
      </c>
      <c r="J131" s="54">
        <v>4</v>
      </c>
      <c r="K131" s="54">
        <v>6</v>
      </c>
      <c r="L131" s="54">
        <v>2</v>
      </c>
      <c r="M131" s="54">
        <v>12</v>
      </c>
      <c r="N131" s="54">
        <v>12</v>
      </c>
      <c r="O131" s="54">
        <v>6</v>
      </c>
      <c r="P131" s="54">
        <v>4</v>
      </c>
      <c r="Q131" s="54">
        <v>8</v>
      </c>
      <c r="R131" s="54">
        <v>3</v>
      </c>
      <c r="S131" s="54">
        <v>8</v>
      </c>
      <c r="T131" s="54">
        <v>12</v>
      </c>
      <c r="U131" s="54">
        <v>4</v>
      </c>
      <c r="V131" s="54">
        <v>4</v>
      </c>
      <c r="W131" s="54">
        <v>2</v>
      </c>
      <c r="X131" s="54">
        <v>2</v>
      </c>
      <c r="Y131" s="54">
        <v>5</v>
      </c>
      <c r="Z131" s="54">
        <v>5</v>
      </c>
      <c r="AA131" s="54">
        <v>7</v>
      </c>
      <c r="AB131" s="54">
        <v>7</v>
      </c>
      <c r="AC131" s="54">
        <v>6</v>
      </c>
      <c r="AD131" s="54">
        <v>1</v>
      </c>
      <c r="AE131" s="54">
        <v>5</v>
      </c>
      <c r="AF131" s="54"/>
      <c r="AG131" s="5">
        <f t="shared" si="17"/>
        <v>175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3</v>
      </c>
      <c r="C132" s="87">
        <v>6</v>
      </c>
      <c r="D132" s="87">
        <v>1</v>
      </c>
      <c r="E132" s="87">
        <v>4</v>
      </c>
      <c r="F132" s="87">
        <v>5</v>
      </c>
      <c r="G132" s="87">
        <v>11</v>
      </c>
      <c r="H132" s="87">
        <v>5</v>
      </c>
      <c r="I132" s="87">
        <v>3</v>
      </c>
      <c r="J132" s="87">
        <v>2</v>
      </c>
      <c r="K132" s="87">
        <v>5</v>
      </c>
      <c r="L132" s="87">
        <v>3</v>
      </c>
      <c r="M132" s="87">
        <v>6</v>
      </c>
      <c r="N132" s="87">
        <v>7</v>
      </c>
      <c r="O132" s="87">
        <v>7</v>
      </c>
      <c r="P132" s="87">
        <v>4</v>
      </c>
      <c r="Q132" s="87">
        <v>2</v>
      </c>
      <c r="R132" s="87">
        <v>1</v>
      </c>
      <c r="S132" s="87">
        <v>3</v>
      </c>
      <c r="T132" s="87">
        <v>8</v>
      </c>
      <c r="U132" s="87">
        <v>13</v>
      </c>
      <c r="V132" s="87">
        <v>9</v>
      </c>
      <c r="W132" s="87">
        <v>3</v>
      </c>
      <c r="X132" s="87">
        <v>4</v>
      </c>
      <c r="Y132" s="87">
        <v>7</v>
      </c>
      <c r="Z132" s="87">
        <v>4</v>
      </c>
      <c r="AA132" s="87">
        <v>8</v>
      </c>
      <c r="AB132" s="87">
        <v>6</v>
      </c>
      <c r="AC132" s="87">
        <v>8</v>
      </c>
      <c r="AD132" s="87">
        <v>5</v>
      </c>
      <c r="AE132" s="87">
        <v>8</v>
      </c>
      <c r="AF132" s="87"/>
      <c r="AG132" s="9">
        <f t="shared" si="17"/>
        <v>161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114</v>
      </c>
      <c r="C133" s="14">
        <f t="shared" si="21"/>
        <v>99</v>
      </c>
      <c r="D133" s="14">
        <f t="shared" si="21"/>
        <v>99</v>
      </c>
      <c r="E133" s="14">
        <f t="shared" si="21"/>
        <v>96</v>
      </c>
      <c r="F133" s="14">
        <f t="shared" si="21"/>
        <v>169</v>
      </c>
      <c r="G133" s="14">
        <f t="shared" si="21"/>
        <v>170</v>
      </c>
      <c r="H133" s="14">
        <f t="shared" si="21"/>
        <v>125</v>
      </c>
      <c r="I133" s="14">
        <f t="shared" si="21"/>
        <v>107</v>
      </c>
      <c r="J133" s="14">
        <f t="shared" si="21"/>
        <v>98</v>
      </c>
      <c r="K133" s="14">
        <f t="shared" si="21"/>
        <v>86</v>
      </c>
      <c r="L133" s="14">
        <f t="shared" si="21"/>
        <v>101</v>
      </c>
      <c r="M133" s="14">
        <f t="shared" si="21"/>
        <v>169</v>
      </c>
      <c r="N133" s="14">
        <f t="shared" si="21"/>
        <v>172</v>
      </c>
      <c r="O133" s="14">
        <f t="shared" si="21"/>
        <v>118</v>
      </c>
      <c r="P133" s="14">
        <f t="shared" si="21"/>
        <v>102</v>
      </c>
      <c r="Q133" s="14">
        <f t="shared" si="21"/>
        <v>104</v>
      </c>
      <c r="R133" s="14">
        <f t="shared" si="21"/>
        <v>95</v>
      </c>
      <c r="S133" s="14">
        <f t="shared" si="21"/>
        <v>132</v>
      </c>
      <c r="T133" s="14">
        <f t="shared" si="21"/>
        <v>159</v>
      </c>
      <c r="U133" s="14">
        <f t="shared" si="21"/>
        <v>170</v>
      </c>
      <c r="V133" s="14">
        <f t="shared" si="21"/>
        <v>126</v>
      </c>
      <c r="W133" s="14">
        <f t="shared" si="21"/>
        <v>118</v>
      </c>
      <c r="X133" s="14">
        <f t="shared" si="21"/>
        <v>102</v>
      </c>
      <c r="Y133" s="14">
        <f t="shared" si="21"/>
        <v>105</v>
      </c>
      <c r="Z133" s="14">
        <f t="shared" si="21"/>
        <v>109</v>
      </c>
      <c r="AA133" s="14">
        <f t="shared" si="21"/>
        <v>174</v>
      </c>
      <c r="AB133" s="14">
        <f t="shared" si="21"/>
        <v>178</v>
      </c>
      <c r="AC133" s="14">
        <f t="shared" si="21"/>
        <v>118</v>
      </c>
      <c r="AD133" s="14">
        <f t="shared" si="21"/>
        <v>107</v>
      </c>
      <c r="AE133" s="14">
        <f t="shared" si="21"/>
        <v>108</v>
      </c>
      <c r="AF133" s="14">
        <f t="shared" si="21"/>
        <v>0</v>
      </c>
      <c r="AG133" s="10">
        <f t="shared" si="17"/>
        <v>3730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8</v>
      </c>
      <c r="C134" s="22">
        <f t="shared" si="22"/>
        <v>6</v>
      </c>
      <c r="D134" s="22">
        <f t="shared" si="22"/>
        <v>15</v>
      </c>
      <c r="E134" s="22">
        <f t="shared" si="22"/>
        <v>3</v>
      </c>
      <c r="F134" s="22">
        <f t="shared" si="22"/>
        <v>3</v>
      </c>
      <c r="G134" s="22">
        <f t="shared" si="22"/>
        <v>2</v>
      </c>
      <c r="H134" s="22">
        <f t="shared" si="22"/>
        <v>5</v>
      </c>
      <c r="I134" s="22">
        <f t="shared" si="22"/>
        <v>12</v>
      </c>
      <c r="J134" s="22">
        <f t="shared" si="22"/>
        <v>9</v>
      </c>
      <c r="K134" s="22">
        <f t="shared" si="22"/>
        <v>15</v>
      </c>
      <c r="L134" s="22">
        <f t="shared" si="22"/>
        <v>8</v>
      </c>
      <c r="M134" s="22">
        <f t="shared" si="22"/>
        <v>5</v>
      </c>
      <c r="N134" s="22">
        <f t="shared" si="22"/>
        <v>2</v>
      </c>
      <c r="O134" s="22">
        <f t="shared" si="22"/>
        <v>19</v>
      </c>
      <c r="P134" s="22">
        <f t="shared" si="22"/>
        <v>7</v>
      </c>
      <c r="Q134" s="22">
        <f t="shared" si="22"/>
        <v>17</v>
      </c>
      <c r="R134" s="22">
        <f t="shared" si="22"/>
        <v>11</v>
      </c>
      <c r="S134" s="22">
        <f t="shared" si="22"/>
        <v>3</v>
      </c>
      <c r="T134" s="22">
        <f t="shared" si="22"/>
        <v>4</v>
      </c>
      <c r="U134" s="22">
        <f t="shared" si="22"/>
        <v>3</v>
      </c>
      <c r="V134" s="22">
        <f t="shared" si="22"/>
        <v>3</v>
      </c>
      <c r="W134" s="22">
        <f t="shared" si="22"/>
        <v>6</v>
      </c>
      <c r="X134" s="22">
        <f t="shared" si="22"/>
        <v>33</v>
      </c>
      <c r="Y134" s="22">
        <f t="shared" si="22"/>
        <v>20</v>
      </c>
      <c r="Z134" s="22">
        <f t="shared" si="22"/>
        <v>6</v>
      </c>
      <c r="AA134" s="22">
        <f t="shared" si="22"/>
        <v>17</v>
      </c>
      <c r="AB134" s="22">
        <f t="shared" si="22"/>
        <v>13</v>
      </c>
      <c r="AC134" s="22">
        <f t="shared" si="22"/>
        <v>18</v>
      </c>
      <c r="AD134" s="22">
        <f t="shared" si="22"/>
        <v>15</v>
      </c>
      <c r="AE134" s="22">
        <f t="shared" si="22"/>
        <v>6</v>
      </c>
      <c r="AF134" s="22">
        <f t="shared" si="22"/>
        <v>0</v>
      </c>
      <c r="AG134" s="23">
        <f t="shared" si="17"/>
        <v>294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1</v>
      </c>
      <c r="C135" s="1">
        <f t="shared" si="23"/>
        <v>1</v>
      </c>
      <c r="D135" s="1">
        <f t="shared" si="23"/>
        <v>0</v>
      </c>
      <c r="E135" s="1">
        <f t="shared" si="23"/>
        <v>0</v>
      </c>
      <c r="F135" s="1">
        <f t="shared" si="23"/>
        <v>2</v>
      </c>
      <c r="G135" s="1">
        <f t="shared" si="23"/>
        <v>0</v>
      </c>
      <c r="H135" s="1">
        <f t="shared" si="23"/>
        <v>0</v>
      </c>
      <c r="I135" s="1">
        <f t="shared" si="23"/>
        <v>0</v>
      </c>
      <c r="J135" s="1">
        <f t="shared" si="23"/>
        <v>1</v>
      </c>
      <c r="K135" s="1">
        <f t="shared" si="23"/>
        <v>0</v>
      </c>
      <c r="L135" s="1">
        <f t="shared" si="23"/>
        <v>1</v>
      </c>
      <c r="M135" s="1">
        <f t="shared" si="23"/>
        <v>1</v>
      </c>
      <c r="N135" s="1">
        <f t="shared" si="23"/>
        <v>2</v>
      </c>
      <c r="O135" s="1">
        <f t="shared" si="23"/>
        <v>1</v>
      </c>
      <c r="P135" s="1">
        <f t="shared" si="23"/>
        <v>0</v>
      </c>
      <c r="Q135" s="1">
        <f t="shared" si="23"/>
        <v>0</v>
      </c>
      <c r="R135" s="1">
        <f t="shared" si="23"/>
        <v>1</v>
      </c>
      <c r="S135" s="1">
        <f t="shared" si="23"/>
        <v>3</v>
      </c>
      <c r="T135" s="1">
        <f t="shared" si="23"/>
        <v>0</v>
      </c>
      <c r="U135" s="1">
        <f t="shared" si="23"/>
        <v>1</v>
      </c>
      <c r="V135" s="1">
        <f t="shared" si="23"/>
        <v>2</v>
      </c>
      <c r="W135" s="1">
        <f t="shared" si="23"/>
        <v>2</v>
      </c>
      <c r="X135" s="1">
        <f t="shared" si="23"/>
        <v>1</v>
      </c>
      <c r="Y135" s="1">
        <f t="shared" si="23"/>
        <v>0</v>
      </c>
      <c r="Z135" s="1">
        <f t="shared" si="23"/>
        <v>1</v>
      </c>
      <c r="AA135" s="1">
        <f t="shared" si="23"/>
        <v>1</v>
      </c>
      <c r="AB135" s="1">
        <f t="shared" si="23"/>
        <v>3</v>
      </c>
      <c r="AC135" s="1">
        <f t="shared" si="23"/>
        <v>1</v>
      </c>
      <c r="AD135" s="1">
        <f t="shared" si="23"/>
        <v>0</v>
      </c>
      <c r="AE135" s="1">
        <f t="shared" si="23"/>
        <v>1</v>
      </c>
      <c r="AF135" s="1">
        <f t="shared" si="23"/>
        <v>0</v>
      </c>
      <c r="AG135" s="2">
        <f t="shared" si="17"/>
        <v>27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1</v>
      </c>
      <c r="C136" s="91">
        <v>1</v>
      </c>
      <c r="D136" s="91">
        <v>0</v>
      </c>
      <c r="E136" s="91">
        <v>0</v>
      </c>
      <c r="F136" s="91">
        <v>2</v>
      </c>
      <c r="G136" s="91">
        <v>0</v>
      </c>
      <c r="H136" s="91">
        <v>0</v>
      </c>
      <c r="I136" s="91">
        <v>0</v>
      </c>
      <c r="J136" s="91">
        <v>1</v>
      </c>
      <c r="K136" s="91">
        <v>0</v>
      </c>
      <c r="L136" s="91">
        <v>1</v>
      </c>
      <c r="M136" s="91">
        <v>1</v>
      </c>
      <c r="N136" s="91">
        <v>2</v>
      </c>
      <c r="O136" s="91">
        <v>1</v>
      </c>
      <c r="P136" s="91">
        <v>0</v>
      </c>
      <c r="Q136" s="91">
        <v>0</v>
      </c>
      <c r="R136" s="91">
        <v>1</v>
      </c>
      <c r="S136" s="91">
        <v>3</v>
      </c>
      <c r="T136" s="91">
        <v>0</v>
      </c>
      <c r="U136" s="91">
        <v>1</v>
      </c>
      <c r="V136" s="91">
        <v>2</v>
      </c>
      <c r="W136" s="91">
        <v>2</v>
      </c>
      <c r="X136" s="91">
        <v>1</v>
      </c>
      <c r="Y136" s="91">
        <v>0</v>
      </c>
      <c r="Z136" s="91">
        <v>1</v>
      </c>
      <c r="AA136" s="91">
        <v>1</v>
      </c>
      <c r="AB136" s="91">
        <v>3</v>
      </c>
      <c r="AC136" s="91">
        <v>1</v>
      </c>
      <c r="AD136" s="91">
        <v>0</v>
      </c>
      <c r="AE136" s="91">
        <v>1</v>
      </c>
      <c r="AF136" s="91"/>
      <c r="AG136" s="28">
        <f t="shared" si="17"/>
        <v>27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/>
      <c r="AG137" s="29">
        <f t="shared" si="17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/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5</v>
      </c>
      <c r="C139" s="31">
        <f t="shared" si="24"/>
        <v>1</v>
      </c>
      <c r="D139" s="31">
        <f t="shared" si="24"/>
        <v>4</v>
      </c>
      <c r="E139" s="31">
        <f t="shared" si="24"/>
        <v>3</v>
      </c>
      <c r="F139" s="31">
        <f t="shared" si="24"/>
        <v>9</v>
      </c>
      <c r="G139" s="31">
        <f t="shared" si="24"/>
        <v>0</v>
      </c>
      <c r="H139" s="31">
        <f t="shared" si="24"/>
        <v>5</v>
      </c>
      <c r="I139" s="31">
        <f t="shared" si="24"/>
        <v>5</v>
      </c>
      <c r="J139" s="31">
        <f t="shared" si="24"/>
        <v>3</v>
      </c>
      <c r="K139" s="31">
        <f t="shared" si="24"/>
        <v>2</v>
      </c>
      <c r="L139" s="31">
        <f t="shared" si="24"/>
        <v>2</v>
      </c>
      <c r="M139" s="31">
        <f t="shared" si="24"/>
        <v>3</v>
      </c>
      <c r="N139" s="31">
        <f t="shared" si="24"/>
        <v>7</v>
      </c>
      <c r="O139" s="31">
        <f t="shared" si="24"/>
        <v>4</v>
      </c>
      <c r="P139" s="31">
        <f t="shared" si="24"/>
        <v>5</v>
      </c>
      <c r="Q139" s="31">
        <f t="shared" si="24"/>
        <v>4</v>
      </c>
      <c r="R139" s="31">
        <f t="shared" si="24"/>
        <v>0</v>
      </c>
      <c r="S139" s="31">
        <f t="shared" si="24"/>
        <v>5</v>
      </c>
      <c r="T139" s="31">
        <f t="shared" si="24"/>
        <v>13</v>
      </c>
      <c r="U139" s="31">
        <f t="shared" si="24"/>
        <v>3</v>
      </c>
      <c r="V139" s="31">
        <f t="shared" si="24"/>
        <v>2</v>
      </c>
      <c r="W139" s="31">
        <f t="shared" si="24"/>
        <v>6</v>
      </c>
      <c r="X139" s="31">
        <f t="shared" si="24"/>
        <v>2</v>
      </c>
      <c r="Y139" s="31">
        <f t="shared" si="24"/>
        <v>3</v>
      </c>
      <c r="Z139" s="31">
        <f t="shared" si="24"/>
        <v>2</v>
      </c>
      <c r="AA139" s="31">
        <f t="shared" si="24"/>
        <v>1</v>
      </c>
      <c r="AB139" s="31">
        <f t="shared" si="24"/>
        <v>3</v>
      </c>
      <c r="AC139" s="31">
        <f t="shared" si="24"/>
        <v>0</v>
      </c>
      <c r="AD139" s="31">
        <f t="shared" si="24"/>
        <v>1</v>
      </c>
      <c r="AE139" s="31">
        <f t="shared" si="24"/>
        <v>4</v>
      </c>
      <c r="AF139" s="31">
        <f t="shared" si="24"/>
        <v>0</v>
      </c>
      <c r="AG139" s="32">
        <f t="shared" si="17"/>
        <v>107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1</v>
      </c>
      <c r="C140" s="97">
        <v>0</v>
      </c>
      <c r="D140" s="97">
        <v>0</v>
      </c>
      <c r="E140" s="97">
        <v>1</v>
      </c>
      <c r="F140" s="97">
        <v>1</v>
      </c>
      <c r="G140" s="97">
        <v>0</v>
      </c>
      <c r="H140" s="97">
        <v>0</v>
      </c>
      <c r="I140" s="97">
        <v>0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97">
        <v>0</v>
      </c>
      <c r="P140" s="97">
        <v>0</v>
      </c>
      <c r="Q140" s="97">
        <v>0</v>
      </c>
      <c r="R140" s="97">
        <v>0</v>
      </c>
      <c r="S140" s="97">
        <v>1</v>
      </c>
      <c r="T140" s="97">
        <v>2</v>
      </c>
      <c r="U140" s="97">
        <v>1</v>
      </c>
      <c r="V140" s="97">
        <v>0</v>
      </c>
      <c r="W140" s="97">
        <v>2</v>
      </c>
      <c r="X140" s="97">
        <v>0</v>
      </c>
      <c r="Y140" s="97">
        <v>2</v>
      </c>
      <c r="Z140" s="97">
        <v>0</v>
      </c>
      <c r="AA140" s="97">
        <v>0</v>
      </c>
      <c r="AB140" s="97">
        <v>0</v>
      </c>
      <c r="AC140" s="97">
        <v>0</v>
      </c>
      <c r="AD140" s="97">
        <v>1</v>
      </c>
      <c r="AE140" s="97">
        <v>1</v>
      </c>
      <c r="AF140" s="97"/>
      <c r="AG140" s="33">
        <f t="shared" si="17"/>
        <v>13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4</v>
      </c>
      <c r="C141" s="98">
        <v>1</v>
      </c>
      <c r="D141" s="98">
        <v>4</v>
      </c>
      <c r="E141" s="98">
        <v>2</v>
      </c>
      <c r="F141" s="98">
        <v>8</v>
      </c>
      <c r="G141" s="98">
        <v>0</v>
      </c>
      <c r="H141" s="98">
        <v>5</v>
      </c>
      <c r="I141" s="98">
        <v>5</v>
      </c>
      <c r="J141" s="98">
        <v>3</v>
      </c>
      <c r="K141" s="98">
        <v>2</v>
      </c>
      <c r="L141" s="98">
        <v>2</v>
      </c>
      <c r="M141" s="98">
        <v>3</v>
      </c>
      <c r="N141" s="98">
        <v>7</v>
      </c>
      <c r="O141" s="98">
        <v>4</v>
      </c>
      <c r="P141" s="98">
        <v>5</v>
      </c>
      <c r="Q141" s="98">
        <v>4</v>
      </c>
      <c r="R141" s="98">
        <v>0</v>
      </c>
      <c r="S141" s="98">
        <v>4</v>
      </c>
      <c r="T141" s="98">
        <v>11</v>
      </c>
      <c r="U141" s="98">
        <v>2</v>
      </c>
      <c r="V141" s="98">
        <v>2</v>
      </c>
      <c r="W141" s="98">
        <v>4</v>
      </c>
      <c r="X141" s="98">
        <v>2</v>
      </c>
      <c r="Y141" s="98">
        <v>1</v>
      </c>
      <c r="Z141" s="98">
        <v>2</v>
      </c>
      <c r="AA141" s="98">
        <v>1</v>
      </c>
      <c r="AB141" s="98">
        <v>3</v>
      </c>
      <c r="AC141" s="98">
        <v>0</v>
      </c>
      <c r="AD141" s="98">
        <v>0</v>
      </c>
      <c r="AE141" s="98">
        <v>3</v>
      </c>
      <c r="AF141" s="98"/>
      <c r="AG141" s="34">
        <f t="shared" si="17"/>
        <v>94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22</v>
      </c>
      <c r="C144" s="37">
        <f t="shared" si="25"/>
        <v>26</v>
      </c>
      <c r="D144" s="37">
        <f t="shared" si="25"/>
        <v>22</v>
      </c>
      <c r="E144" s="37">
        <f t="shared" si="25"/>
        <v>15</v>
      </c>
      <c r="F144" s="37">
        <f t="shared" si="25"/>
        <v>24</v>
      </c>
      <c r="G144" s="37">
        <f t="shared" si="25"/>
        <v>39</v>
      </c>
      <c r="H144" s="37">
        <f t="shared" si="25"/>
        <v>31</v>
      </c>
      <c r="I144" s="37">
        <f t="shared" si="25"/>
        <v>23</v>
      </c>
      <c r="J144" s="37">
        <f t="shared" si="25"/>
        <v>13</v>
      </c>
      <c r="K144" s="37">
        <f t="shared" si="25"/>
        <v>22</v>
      </c>
      <c r="L144" s="37">
        <f t="shared" si="25"/>
        <v>25</v>
      </c>
      <c r="M144" s="37">
        <f t="shared" si="25"/>
        <v>42</v>
      </c>
      <c r="N144" s="37">
        <f t="shared" si="25"/>
        <v>42</v>
      </c>
      <c r="O144" s="37">
        <f t="shared" si="25"/>
        <v>33</v>
      </c>
      <c r="P144" s="37">
        <f t="shared" si="25"/>
        <v>22</v>
      </c>
      <c r="Q144" s="37">
        <f t="shared" si="25"/>
        <v>20</v>
      </c>
      <c r="R144" s="37">
        <f t="shared" si="25"/>
        <v>17</v>
      </c>
      <c r="S144" s="37">
        <f t="shared" si="25"/>
        <v>33</v>
      </c>
      <c r="T144" s="37">
        <f t="shared" si="25"/>
        <v>46</v>
      </c>
      <c r="U144" s="37">
        <f t="shared" si="25"/>
        <v>20</v>
      </c>
      <c r="V144" s="37">
        <f t="shared" si="25"/>
        <v>29</v>
      </c>
      <c r="W144" s="37">
        <f t="shared" si="25"/>
        <v>26</v>
      </c>
      <c r="X144" s="37">
        <f t="shared" si="25"/>
        <v>29</v>
      </c>
      <c r="Y144" s="37">
        <f t="shared" si="25"/>
        <v>23</v>
      </c>
      <c r="Z144" s="37">
        <f t="shared" si="25"/>
        <v>24</v>
      </c>
      <c r="AA144" s="37">
        <f t="shared" si="25"/>
        <v>68</v>
      </c>
      <c r="AB144" s="37">
        <f t="shared" si="25"/>
        <v>62</v>
      </c>
      <c r="AC144" s="37">
        <f t="shared" si="25"/>
        <v>32</v>
      </c>
      <c r="AD144" s="37">
        <f t="shared" si="25"/>
        <v>32</v>
      </c>
      <c r="AE144" s="37">
        <f t="shared" si="25"/>
        <v>26</v>
      </c>
      <c r="AF144" s="37">
        <f t="shared" si="25"/>
        <v>0</v>
      </c>
      <c r="AG144" s="24">
        <f t="shared" si="17"/>
        <v>888</v>
      </c>
      <c r="AK144" s="84" t="s">
        <v>154</v>
      </c>
    </row>
    <row r="145" spans="1:37" ht="15.75" customHeight="1" x14ac:dyDescent="0.25">
      <c r="A145" s="104" t="s">
        <v>91</v>
      </c>
      <c r="B145" s="105">
        <v>2</v>
      </c>
      <c r="C145" s="105">
        <v>0</v>
      </c>
      <c r="D145" s="105">
        <v>0</v>
      </c>
      <c r="E145" s="105">
        <v>1</v>
      </c>
      <c r="F145" s="105">
        <v>0</v>
      </c>
      <c r="G145" s="105">
        <v>1</v>
      </c>
      <c r="H145" s="105">
        <v>1</v>
      </c>
      <c r="I145" s="105">
        <v>1</v>
      </c>
      <c r="J145" s="105">
        <v>1</v>
      </c>
      <c r="K145" s="105">
        <v>3</v>
      </c>
      <c r="L145" s="105">
        <v>0</v>
      </c>
      <c r="M145" s="105">
        <v>7</v>
      </c>
      <c r="N145" s="105">
        <v>0</v>
      </c>
      <c r="O145" s="105">
        <v>3</v>
      </c>
      <c r="P145" s="105">
        <v>1</v>
      </c>
      <c r="Q145" s="105">
        <v>2</v>
      </c>
      <c r="R145" s="105">
        <v>0</v>
      </c>
      <c r="S145" s="105">
        <v>3</v>
      </c>
      <c r="T145" s="105">
        <v>0</v>
      </c>
      <c r="U145" s="105">
        <v>3</v>
      </c>
      <c r="V145" s="105">
        <v>1</v>
      </c>
      <c r="W145" s="105">
        <v>1</v>
      </c>
      <c r="X145" s="105">
        <v>2</v>
      </c>
      <c r="Y145" s="105">
        <v>0</v>
      </c>
      <c r="Z145" s="105">
        <v>0</v>
      </c>
      <c r="AA145" s="105">
        <v>4</v>
      </c>
      <c r="AB145" s="105">
        <v>2</v>
      </c>
      <c r="AC145" s="105">
        <v>0</v>
      </c>
      <c r="AD145" s="105">
        <v>2</v>
      </c>
      <c r="AE145" s="105">
        <v>1</v>
      </c>
      <c r="AF145" s="105"/>
      <c r="AG145" s="38">
        <f t="shared" si="17"/>
        <v>42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/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1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/>
      <c r="AG147" s="5">
        <f t="shared" si="17"/>
        <v>1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/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14</v>
      </c>
      <c r="C149" s="108">
        <v>21</v>
      </c>
      <c r="D149" s="108">
        <v>17</v>
      </c>
      <c r="E149" s="108">
        <v>14</v>
      </c>
      <c r="F149" s="108">
        <v>23</v>
      </c>
      <c r="G149" s="108">
        <v>38</v>
      </c>
      <c r="H149" s="108">
        <v>28</v>
      </c>
      <c r="I149" s="108">
        <v>21</v>
      </c>
      <c r="J149" s="108">
        <v>11</v>
      </c>
      <c r="K149" s="108">
        <v>10</v>
      </c>
      <c r="L149" s="108">
        <v>20</v>
      </c>
      <c r="M149" s="108">
        <v>26</v>
      </c>
      <c r="N149" s="108">
        <v>41</v>
      </c>
      <c r="O149" s="108">
        <v>28</v>
      </c>
      <c r="P149" s="108">
        <v>17</v>
      </c>
      <c r="Q149" s="108">
        <v>16</v>
      </c>
      <c r="R149" s="108">
        <v>16</v>
      </c>
      <c r="S149" s="108">
        <v>26</v>
      </c>
      <c r="T149" s="108">
        <v>41</v>
      </c>
      <c r="U149" s="108">
        <v>16</v>
      </c>
      <c r="V149" s="108">
        <v>26</v>
      </c>
      <c r="W149" s="108">
        <v>23</v>
      </c>
      <c r="X149" s="108">
        <v>25</v>
      </c>
      <c r="Y149" s="108">
        <v>18</v>
      </c>
      <c r="Z149" s="108">
        <v>20</v>
      </c>
      <c r="AA149" s="108">
        <v>56</v>
      </c>
      <c r="AB149" s="108">
        <v>59</v>
      </c>
      <c r="AC149" s="108">
        <v>30</v>
      </c>
      <c r="AD149" s="108">
        <v>24</v>
      </c>
      <c r="AE149" s="108">
        <v>24</v>
      </c>
      <c r="AF149" s="108"/>
      <c r="AG149" s="39">
        <f t="shared" si="17"/>
        <v>749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/>
      <c r="AG153" s="5">
        <f t="shared" si="17"/>
        <v>0</v>
      </c>
      <c r="AK153" s="109" t="s">
        <v>126</v>
      </c>
    </row>
    <row r="154" spans="1:37" ht="15.75" customHeight="1" x14ac:dyDescent="0.25">
      <c r="A154" s="76" t="s">
        <v>100</v>
      </c>
      <c r="B154" s="77">
        <v>4</v>
      </c>
      <c r="C154" s="77">
        <v>3</v>
      </c>
      <c r="D154" s="77">
        <v>4</v>
      </c>
      <c r="E154" s="77">
        <v>0</v>
      </c>
      <c r="F154" s="77">
        <v>0</v>
      </c>
      <c r="G154" s="77">
        <v>0</v>
      </c>
      <c r="H154" s="77">
        <v>1</v>
      </c>
      <c r="I154" s="77">
        <v>0</v>
      </c>
      <c r="J154" s="77">
        <v>1</v>
      </c>
      <c r="K154" s="77">
        <v>5</v>
      </c>
      <c r="L154" s="77">
        <v>3</v>
      </c>
      <c r="M154" s="77">
        <v>2</v>
      </c>
      <c r="N154" s="77">
        <v>0</v>
      </c>
      <c r="O154" s="77">
        <v>1</v>
      </c>
      <c r="P154" s="77">
        <v>4</v>
      </c>
      <c r="Q154" s="77">
        <v>2</v>
      </c>
      <c r="R154" s="77">
        <v>0</v>
      </c>
      <c r="S154" s="77">
        <v>0</v>
      </c>
      <c r="T154" s="77">
        <v>0</v>
      </c>
      <c r="U154" s="77">
        <v>0</v>
      </c>
      <c r="V154" s="77">
        <v>1</v>
      </c>
      <c r="W154" s="77">
        <v>2</v>
      </c>
      <c r="X154" s="77">
        <v>1</v>
      </c>
      <c r="Y154" s="77">
        <v>4</v>
      </c>
      <c r="Z154" s="77">
        <v>2</v>
      </c>
      <c r="AA154" s="77">
        <v>0</v>
      </c>
      <c r="AB154" s="77">
        <v>0</v>
      </c>
      <c r="AC154" s="77">
        <v>2</v>
      </c>
      <c r="AD154" s="77">
        <v>5</v>
      </c>
      <c r="AE154" s="77">
        <v>0</v>
      </c>
      <c r="AF154" s="77"/>
      <c r="AG154" s="5">
        <f t="shared" si="17"/>
        <v>47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0</v>
      </c>
      <c r="C158" s="111">
        <v>2</v>
      </c>
      <c r="D158" s="111">
        <v>0</v>
      </c>
      <c r="E158" s="111">
        <v>0</v>
      </c>
      <c r="F158" s="111">
        <v>0</v>
      </c>
      <c r="G158" s="111">
        <v>0</v>
      </c>
      <c r="H158" s="111">
        <v>1</v>
      </c>
      <c r="I158" s="111">
        <v>1</v>
      </c>
      <c r="J158" s="111">
        <v>0</v>
      </c>
      <c r="K158" s="111">
        <v>2</v>
      </c>
      <c r="L158" s="111">
        <v>0</v>
      </c>
      <c r="M158" s="111">
        <v>5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3</v>
      </c>
      <c r="T158" s="111">
        <v>2</v>
      </c>
      <c r="U158" s="111">
        <v>0</v>
      </c>
      <c r="V158" s="111">
        <v>1</v>
      </c>
      <c r="W158" s="111">
        <v>0</v>
      </c>
      <c r="X158" s="111">
        <v>0</v>
      </c>
      <c r="Y158" s="111">
        <v>0</v>
      </c>
      <c r="Z158" s="111">
        <v>0</v>
      </c>
      <c r="AA158" s="111">
        <v>3</v>
      </c>
      <c r="AB158" s="111">
        <v>1</v>
      </c>
      <c r="AC158" s="111">
        <v>0</v>
      </c>
      <c r="AD158" s="111">
        <v>0</v>
      </c>
      <c r="AE158" s="111">
        <v>1</v>
      </c>
      <c r="AF158" s="111"/>
      <c r="AG158" s="40">
        <f t="shared" si="17"/>
        <v>22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/>
      <c r="AG162" s="5">
        <f t="shared" si="17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/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1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/>
      <c r="AG167" s="5">
        <f t="shared" si="26"/>
        <v>1</v>
      </c>
    </row>
    <row r="168" spans="1:34" ht="15.75" customHeight="1" x14ac:dyDescent="0.25">
      <c r="A168" s="76" t="s">
        <v>114</v>
      </c>
      <c r="B168" s="113">
        <v>2</v>
      </c>
      <c r="C168" s="113">
        <v>0</v>
      </c>
      <c r="D168" s="113">
        <v>1</v>
      </c>
      <c r="E168" s="113">
        <v>0</v>
      </c>
      <c r="F168" s="113">
        <v>1</v>
      </c>
      <c r="G168" s="113">
        <v>0</v>
      </c>
      <c r="H168" s="113">
        <v>0</v>
      </c>
      <c r="I168" s="113">
        <v>0</v>
      </c>
      <c r="J168" s="113">
        <v>0</v>
      </c>
      <c r="K168" s="113">
        <v>2</v>
      </c>
      <c r="L168" s="113">
        <v>1</v>
      </c>
      <c r="M168" s="113">
        <v>1</v>
      </c>
      <c r="N168" s="113">
        <v>1</v>
      </c>
      <c r="O168" s="113">
        <v>1</v>
      </c>
      <c r="P168" s="113">
        <v>0</v>
      </c>
      <c r="Q168" s="113">
        <v>0</v>
      </c>
      <c r="R168" s="113">
        <v>1</v>
      </c>
      <c r="S168" s="113">
        <v>0</v>
      </c>
      <c r="T168" s="113">
        <v>1</v>
      </c>
      <c r="U168" s="113">
        <v>1</v>
      </c>
      <c r="V168" s="113">
        <v>0</v>
      </c>
      <c r="W168" s="113">
        <v>0</v>
      </c>
      <c r="X168" s="113">
        <v>0</v>
      </c>
      <c r="Y168" s="113">
        <v>1</v>
      </c>
      <c r="Z168" s="113">
        <v>2</v>
      </c>
      <c r="AA168" s="113">
        <v>3</v>
      </c>
      <c r="AB168" s="113">
        <v>0</v>
      </c>
      <c r="AC168" s="113">
        <v>0</v>
      </c>
      <c r="AD168" s="113">
        <v>1</v>
      </c>
      <c r="AE168" s="113">
        <v>0</v>
      </c>
      <c r="AF168" s="113"/>
      <c r="AG168" s="5">
        <f t="shared" si="26"/>
        <v>20</v>
      </c>
    </row>
    <row r="169" spans="1:34" ht="15.75" customHeight="1" x14ac:dyDescent="0.25">
      <c r="A169" s="114" t="s">
        <v>115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1</v>
      </c>
      <c r="T169" s="113">
        <v>2</v>
      </c>
      <c r="U169" s="113">
        <v>0</v>
      </c>
      <c r="V169" s="113">
        <v>0</v>
      </c>
      <c r="W169" s="113">
        <v>0</v>
      </c>
      <c r="X169" s="113">
        <v>1</v>
      </c>
      <c r="Y169" s="113">
        <v>0</v>
      </c>
      <c r="Z169" s="113">
        <v>0</v>
      </c>
      <c r="AA169" s="113">
        <v>2</v>
      </c>
      <c r="AB169" s="113">
        <v>0</v>
      </c>
      <c r="AC169" s="113">
        <v>0</v>
      </c>
      <c r="AD169" s="113">
        <v>0</v>
      </c>
      <c r="AE169" s="113">
        <v>0</v>
      </c>
      <c r="AF169" s="113"/>
      <c r="AG169" s="5">
        <f t="shared" si="26"/>
        <v>6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114</v>
      </c>
      <c r="C171" s="41">
        <f t="shared" si="27"/>
        <v>99</v>
      </c>
      <c r="D171" s="41">
        <f t="shared" si="27"/>
        <v>99</v>
      </c>
      <c r="E171" s="41">
        <f t="shared" si="27"/>
        <v>96</v>
      </c>
      <c r="F171" s="41">
        <f t="shared" si="27"/>
        <v>169</v>
      </c>
      <c r="G171" s="41">
        <f t="shared" si="27"/>
        <v>170</v>
      </c>
      <c r="H171" s="41">
        <f t="shared" si="27"/>
        <v>125</v>
      </c>
      <c r="I171" s="41">
        <f t="shared" si="27"/>
        <v>107</v>
      </c>
      <c r="J171" s="41">
        <f t="shared" si="27"/>
        <v>98</v>
      </c>
      <c r="K171" s="41">
        <f t="shared" si="27"/>
        <v>86</v>
      </c>
      <c r="L171" s="41">
        <f t="shared" si="27"/>
        <v>101</v>
      </c>
      <c r="M171" s="41">
        <f t="shared" si="27"/>
        <v>169</v>
      </c>
      <c r="N171" s="41">
        <f t="shared" si="27"/>
        <v>172</v>
      </c>
      <c r="O171" s="41">
        <f t="shared" si="27"/>
        <v>118</v>
      </c>
      <c r="P171" s="41">
        <f t="shared" si="27"/>
        <v>102</v>
      </c>
      <c r="Q171" s="41">
        <f t="shared" si="27"/>
        <v>104</v>
      </c>
      <c r="R171" s="41">
        <f t="shared" si="27"/>
        <v>95</v>
      </c>
      <c r="S171" s="41">
        <f t="shared" si="27"/>
        <v>132</v>
      </c>
      <c r="T171" s="41">
        <f t="shared" si="27"/>
        <v>159</v>
      </c>
      <c r="U171" s="41">
        <f t="shared" si="27"/>
        <v>170</v>
      </c>
      <c r="V171" s="41">
        <f t="shared" si="27"/>
        <v>126</v>
      </c>
      <c r="W171" s="41">
        <f t="shared" si="27"/>
        <v>118</v>
      </c>
      <c r="X171" s="41">
        <f t="shared" si="27"/>
        <v>102</v>
      </c>
      <c r="Y171" s="41">
        <f t="shared" si="27"/>
        <v>105</v>
      </c>
      <c r="Z171" s="41">
        <f t="shared" si="27"/>
        <v>109</v>
      </c>
      <c r="AA171" s="41">
        <f t="shared" si="27"/>
        <v>174</v>
      </c>
      <c r="AB171" s="41">
        <f t="shared" si="27"/>
        <v>178</v>
      </c>
      <c r="AC171" s="41">
        <f t="shared" si="27"/>
        <v>118</v>
      </c>
      <c r="AD171" s="41">
        <f t="shared" si="27"/>
        <v>107</v>
      </c>
      <c r="AE171" s="41">
        <f t="shared" si="27"/>
        <v>108</v>
      </c>
      <c r="AF171" s="41">
        <f t="shared" si="27"/>
        <v>0</v>
      </c>
      <c r="AG171" s="42">
        <f t="shared" si="26"/>
        <v>3730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1</v>
      </c>
      <c r="V172" s="118">
        <v>0</v>
      </c>
      <c r="W172" s="118">
        <v>0</v>
      </c>
      <c r="X172" s="118">
        <v>0</v>
      </c>
      <c r="Y172" s="118">
        <v>0</v>
      </c>
      <c r="Z172" s="118">
        <v>1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/>
      <c r="AG172" s="43">
        <f t="shared" si="26"/>
        <v>2</v>
      </c>
    </row>
    <row r="173" spans="1:34" ht="15.75" customHeight="1" x14ac:dyDescent="0.25">
      <c r="A173" s="119" t="s">
        <v>37</v>
      </c>
      <c r="B173" s="120">
        <v>1</v>
      </c>
      <c r="C173" s="120">
        <v>1</v>
      </c>
      <c r="D173" s="120">
        <v>1</v>
      </c>
      <c r="E173" s="120">
        <v>2</v>
      </c>
      <c r="F173" s="120">
        <v>0</v>
      </c>
      <c r="G173" s="120">
        <v>1</v>
      </c>
      <c r="H173" s="120">
        <v>1</v>
      </c>
      <c r="I173" s="120">
        <v>0</v>
      </c>
      <c r="J173" s="120">
        <v>4</v>
      </c>
      <c r="K173" s="120">
        <v>4</v>
      </c>
      <c r="L173" s="120">
        <v>1</v>
      </c>
      <c r="M173" s="120">
        <v>1</v>
      </c>
      <c r="N173" s="120">
        <v>3</v>
      </c>
      <c r="O173" s="120">
        <v>2</v>
      </c>
      <c r="P173" s="120">
        <v>3</v>
      </c>
      <c r="Q173" s="120">
        <v>2</v>
      </c>
      <c r="R173" s="120">
        <v>3</v>
      </c>
      <c r="S173" s="120">
        <v>2</v>
      </c>
      <c r="T173" s="120">
        <v>1</v>
      </c>
      <c r="U173" s="120">
        <v>1</v>
      </c>
      <c r="V173" s="120">
        <v>1</v>
      </c>
      <c r="W173" s="120">
        <v>0</v>
      </c>
      <c r="X173" s="120">
        <v>2</v>
      </c>
      <c r="Y173" s="120">
        <v>3</v>
      </c>
      <c r="Z173" s="120">
        <v>0</v>
      </c>
      <c r="AA173" s="120">
        <v>3</v>
      </c>
      <c r="AB173" s="120">
        <v>0</v>
      </c>
      <c r="AC173" s="120">
        <v>6</v>
      </c>
      <c r="AD173" s="120">
        <v>3</v>
      </c>
      <c r="AE173" s="120">
        <v>1</v>
      </c>
      <c r="AF173" s="120"/>
      <c r="AG173" s="44">
        <f t="shared" si="26"/>
        <v>53</v>
      </c>
    </row>
    <row r="174" spans="1:34" ht="15.75" customHeight="1" x14ac:dyDescent="0.25">
      <c r="A174" s="119" t="s">
        <v>38</v>
      </c>
      <c r="B174" s="120">
        <v>20</v>
      </c>
      <c r="C174" s="120">
        <v>20</v>
      </c>
      <c r="D174" s="120">
        <v>17</v>
      </c>
      <c r="E174" s="120">
        <v>17</v>
      </c>
      <c r="F174" s="120">
        <v>16</v>
      </c>
      <c r="G174" s="120">
        <v>13</v>
      </c>
      <c r="H174" s="120">
        <v>12</v>
      </c>
      <c r="I174" s="120">
        <v>19</v>
      </c>
      <c r="J174" s="120">
        <v>18</v>
      </c>
      <c r="K174" s="120">
        <v>33</v>
      </c>
      <c r="L174" s="120">
        <v>10</v>
      </c>
      <c r="M174" s="120">
        <v>28</v>
      </c>
      <c r="N174" s="120">
        <v>12</v>
      </c>
      <c r="O174" s="120">
        <v>26</v>
      </c>
      <c r="P174" s="120">
        <v>15</v>
      </c>
      <c r="Q174" s="120">
        <v>21</v>
      </c>
      <c r="R174" s="120">
        <v>15</v>
      </c>
      <c r="S174" s="120">
        <v>18</v>
      </c>
      <c r="T174" s="120">
        <v>17</v>
      </c>
      <c r="U174" s="120">
        <v>23</v>
      </c>
      <c r="V174" s="120">
        <v>14</v>
      </c>
      <c r="W174" s="120">
        <v>26</v>
      </c>
      <c r="X174" s="120">
        <v>21</v>
      </c>
      <c r="Y174" s="120">
        <v>18</v>
      </c>
      <c r="Z174" s="120">
        <v>21</v>
      </c>
      <c r="AA174" s="120">
        <v>33</v>
      </c>
      <c r="AB174" s="120">
        <v>23</v>
      </c>
      <c r="AC174" s="120">
        <v>16</v>
      </c>
      <c r="AD174" s="120">
        <v>13</v>
      </c>
      <c r="AE174" s="120">
        <v>20</v>
      </c>
      <c r="AF174" s="120"/>
      <c r="AG174" s="44">
        <f t="shared" si="26"/>
        <v>575</v>
      </c>
    </row>
    <row r="175" spans="1:34" ht="15.75" customHeight="1" x14ac:dyDescent="0.25">
      <c r="A175" s="119" t="s">
        <v>39</v>
      </c>
      <c r="B175" s="120">
        <v>89</v>
      </c>
      <c r="C175" s="120">
        <v>72</v>
      </c>
      <c r="D175" s="120">
        <v>75</v>
      </c>
      <c r="E175" s="120">
        <v>65</v>
      </c>
      <c r="F175" s="120">
        <v>112</v>
      </c>
      <c r="G175" s="120">
        <v>112</v>
      </c>
      <c r="H175" s="120">
        <v>104</v>
      </c>
      <c r="I175" s="120">
        <v>77</v>
      </c>
      <c r="J175" s="120">
        <v>76</v>
      </c>
      <c r="K175" s="120">
        <v>48</v>
      </c>
      <c r="L175" s="120">
        <v>83</v>
      </c>
      <c r="M175" s="120">
        <v>107</v>
      </c>
      <c r="N175" s="120">
        <v>117</v>
      </c>
      <c r="O175" s="120">
        <v>83</v>
      </c>
      <c r="P175" s="120">
        <v>71</v>
      </c>
      <c r="Q175" s="120">
        <v>75</v>
      </c>
      <c r="R175" s="120">
        <v>76</v>
      </c>
      <c r="S175" s="120">
        <v>81</v>
      </c>
      <c r="T175" s="120">
        <v>124</v>
      </c>
      <c r="U175" s="120">
        <v>112</v>
      </c>
      <c r="V175" s="120">
        <v>96</v>
      </c>
      <c r="W175" s="120">
        <v>84</v>
      </c>
      <c r="X175" s="120">
        <v>70</v>
      </c>
      <c r="Y175" s="120">
        <v>76</v>
      </c>
      <c r="Z175" s="120">
        <v>80</v>
      </c>
      <c r="AA175" s="120">
        <v>111</v>
      </c>
      <c r="AB175" s="120">
        <v>150</v>
      </c>
      <c r="AC175" s="120">
        <v>87</v>
      </c>
      <c r="AD175" s="120">
        <v>75</v>
      </c>
      <c r="AE175" s="120">
        <v>77</v>
      </c>
      <c r="AF175" s="120"/>
      <c r="AG175" s="44">
        <f t="shared" si="26"/>
        <v>2665</v>
      </c>
    </row>
    <row r="176" spans="1:34" ht="15.75" customHeight="1" thickBot="1" x14ac:dyDescent="0.3">
      <c r="A176" s="121" t="s">
        <v>40</v>
      </c>
      <c r="B176" s="122">
        <v>4</v>
      </c>
      <c r="C176" s="122">
        <v>6</v>
      </c>
      <c r="D176" s="122">
        <v>6</v>
      </c>
      <c r="E176" s="122">
        <v>12</v>
      </c>
      <c r="F176" s="122">
        <v>41</v>
      </c>
      <c r="G176" s="122">
        <v>44</v>
      </c>
      <c r="H176" s="122">
        <v>8</v>
      </c>
      <c r="I176" s="122">
        <v>11</v>
      </c>
      <c r="J176" s="122">
        <v>0</v>
      </c>
      <c r="K176" s="122">
        <v>1</v>
      </c>
      <c r="L176" s="122">
        <v>7</v>
      </c>
      <c r="M176" s="122">
        <v>33</v>
      </c>
      <c r="N176" s="122">
        <v>40</v>
      </c>
      <c r="O176" s="122">
        <v>7</v>
      </c>
      <c r="P176" s="122">
        <v>13</v>
      </c>
      <c r="Q176" s="122">
        <v>6</v>
      </c>
      <c r="R176" s="122">
        <v>1</v>
      </c>
      <c r="S176" s="122">
        <v>31</v>
      </c>
      <c r="T176" s="122">
        <v>17</v>
      </c>
      <c r="U176" s="122">
        <v>33</v>
      </c>
      <c r="V176" s="122">
        <v>15</v>
      </c>
      <c r="W176" s="122">
        <v>8</v>
      </c>
      <c r="X176" s="122">
        <v>9</v>
      </c>
      <c r="Y176" s="122">
        <v>8</v>
      </c>
      <c r="Z176" s="122">
        <v>7</v>
      </c>
      <c r="AA176" s="122">
        <v>27</v>
      </c>
      <c r="AB176" s="122">
        <v>5</v>
      </c>
      <c r="AC176" s="122">
        <v>9</v>
      </c>
      <c r="AD176" s="122">
        <v>16</v>
      </c>
      <c r="AE176" s="122">
        <v>10</v>
      </c>
      <c r="AF176" s="122"/>
      <c r="AG176" s="45">
        <f t="shared" si="26"/>
        <v>435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26" priority="3" operator="lessThan">
      <formula>0</formula>
    </cfRule>
  </conditionalFormatting>
  <conditionalFormatting sqref="AH171">
    <cfRule type="cellIs" dxfId="25" priority="2" operator="equal">
      <formula>"X"</formula>
    </cfRule>
  </conditionalFormatting>
  <conditionalFormatting sqref="AH1:AH1048576">
    <cfRule type="cellIs" dxfId="24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F46FEA80-B160-4B4B-B4AC-A7F8D444ABB7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547EB-FD93-49CA-95CD-D1875008797C}">
  <sheetPr codeName="Hoja27"/>
  <dimension ref="A1:AK954"/>
  <sheetViews>
    <sheetView zoomScale="80" zoomScaleNormal="80" workbookViewId="0">
      <pane xSplit="1" ySplit="3" topLeftCell="B127" activePane="bottomRight" state="frozen"/>
      <selection activeCell="Q5" sqref="Q5"/>
      <selection pane="topRight" activeCell="Q5" sqref="Q5"/>
      <selection pane="bottomLeft" activeCell="Q5" sqref="Q5"/>
      <selection pane="bottomRight" activeCell="AF143" sqref="AF143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177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168</v>
      </c>
      <c r="C3" s="1">
        <f t="shared" si="1"/>
        <v>112</v>
      </c>
      <c r="D3" s="1">
        <f t="shared" si="1"/>
        <v>184</v>
      </c>
      <c r="E3" s="1">
        <f t="shared" si="1"/>
        <v>203</v>
      </c>
      <c r="F3" s="1">
        <f t="shared" si="1"/>
        <v>120</v>
      </c>
      <c r="G3" s="1">
        <f t="shared" si="1"/>
        <v>130</v>
      </c>
      <c r="H3" s="1">
        <f t="shared" si="1"/>
        <v>118</v>
      </c>
      <c r="I3" s="1">
        <f t="shared" si="1"/>
        <v>136</v>
      </c>
      <c r="J3" s="1">
        <f t="shared" si="1"/>
        <v>139</v>
      </c>
      <c r="K3" s="1">
        <f t="shared" si="1"/>
        <v>171</v>
      </c>
      <c r="L3" s="1">
        <f t="shared" si="1"/>
        <v>174</v>
      </c>
      <c r="M3" s="1">
        <f t="shared" si="1"/>
        <v>156</v>
      </c>
      <c r="N3" s="1">
        <f t="shared" si="1"/>
        <v>158</v>
      </c>
      <c r="O3" s="1">
        <f t="shared" si="1"/>
        <v>143</v>
      </c>
      <c r="P3" s="1">
        <f t="shared" si="1"/>
        <v>142</v>
      </c>
      <c r="Q3" s="1">
        <f t="shared" si="1"/>
        <v>135</v>
      </c>
      <c r="R3" s="1">
        <f t="shared" si="1"/>
        <v>182</v>
      </c>
      <c r="S3" s="1">
        <f t="shared" si="1"/>
        <v>215</v>
      </c>
      <c r="T3" s="1">
        <f t="shared" si="1"/>
        <v>153</v>
      </c>
      <c r="U3" s="1">
        <f t="shared" si="1"/>
        <v>149</v>
      </c>
      <c r="V3" s="1">
        <f t="shared" si="1"/>
        <v>227</v>
      </c>
      <c r="W3" s="1">
        <f t="shared" si="1"/>
        <v>119</v>
      </c>
      <c r="X3" s="1">
        <f t="shared" si="1"/>
        <v>145</v>
      </c>
      <c r="Y3" s="1">
        <f t="shared" si="1"/>
        <v>177</v>
      </c>
      <c r="Z3" s="1">
        <f t="shared" si="1"/>
        <v>170</v>
      </c>
      <c r="AA3" s="1">
        <f t="shared" si="1"/>
        <v>163</v>
      </c>
      <c r="AB3" s="1">
        <f t="shared" si="1"/>
        <v>130</v>
      </c>
      <c r="AC3" s="1">
        <f t="shared" si="1"/>
        <v>120</v>
      </c>
      <c r="AD3" s="1">
        <f t="shared" si="1"/>
        <v>132</v>
      </c>
      <c r="AE3" s="1">
        <f t="shared" si="1"/>
        <v>117</v>
      </c>
      <c r="AF3" s="1">
        <f t="shared" si="1"/>
        <v>175</v>
      </c>
      <c r="AG3" s="2">
        <f t="shared" ref="AG3:AG66" si="2">SUM(B3:AF3)</f>
        <v>4763</v>
      </c>
    </row>
    <row r="4" spans="1:33" ht="18.75" x14ac:dyDescent="0.25">
      <c r="A4" s="53" t="s">
        <v>2</v>
      </c>
      <c r="B4" s="54">
        <v>4</v>
      </c>
      <c r="C4" s="55">
        <v>0</v>
      </c>
      <c r="D4" s="55">
        <v>10</v>
      </c>
      <c r="E4" s="55">
        <v>4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5</v>
      </c>
      <c r="L4" s="55">
        <v>13</v>
      </c>
      <c r="M4" s="55">
        <v>0</v>
      </c>
      <c r="N4" s="55">
        <v>0</v>
      </c>
      <c r="O4" s="55">
        <v>0</v>
      </c>
      <c r="P4" s="55">
        <v>0</v>
      </c>
      <c r="Q4" s="55">
        <v>0</v>
      </c>
      <c r="R4" s="55">
        <v>8</v>
      </c>
      <c r="S4" s="55">
        <v>11</v>
      </c>
      <c r="T4" s="55">
        <v>0</v>
      </c>
      <c r="U4" s="55">
        <v>0</v>
      </c>
      <c r="V4" s="55">
        <v>5</v>
      </c>
      <c r="W4" s="55">
        <v>0</v>
      </c>
      <c r="X4" s="55">
        <v>0</v>
      </c>
      <c r="Y4" s="55">
        <v>7</v>
      </c>
      <c r="Z4" s="55">
        <v>7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10</v>
      </c>
      <c r="AG4" s="4">
        <f t="shared" si="2"/>
        <v>84</v>
      </c>
    </row>
    <row r="5" spans="1:33" ht="18.75" x14ac:dyDescent="0.25">
      <c r="A5" s="56" t="s">
        <v>3</v>
      </c>
      <c r="B5" s="54">
        <v>10</v>
      </c>
      <c r="C5" s="54">
        <v>0</v>
      </c>
      <c r="D5" s="54">
        <v>20</v>
      </c>
      <c r="E5" s="54">
        <v>7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9</v>
      </c>
      <c r="L5" s="54">
        <v>5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10</v>
      </c>
      <c r="S5" s="54">
        <v>12</v>
      </c>
      <c r="T5" s="54">
        <v>0</v>
      </c>
      <c r="U5" s="54">
        <v>0</v>
      </c>
      <c r="V5" s="54">
        <v>20</v>
      </c>
      <c r="W5" s="54">
        <v>0</v>
      </c>
      <c r="X5" s="54">
        <v>0</v>
      </c>
      <c r="Y5" s="54">
        <v>10</v>
      </c>
      <c r="Z5" s="54">
        <v>5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54">
        <v>10</v>
      </c>
      <c r="AG5" s="5">
        <f t="shared" si="2"/>
        <v>118</v>
      </c>
    </row>
    <row r="6" spans="1:33" ht="18.75" x14ac:dyDescent="0.25">
      <c r="A6" s="56" t="s">
        <v>4</v>
      </c>
      <c r="B6" s="54">
        <v>17</v>
      </c>
      <c r="C6" s="54">
        <v>0</v>
      </c>
      <c r="D6" s="54">
        <v>11</v>
      </c>
      <c r="E6" s="54">
        <v>14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16</v>
      </c>
      <c r="L6" s="54">
        <v>11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10</v>
      </c>
      <c r="S6" s="54">
        <v>19</v>
      </c>
      <c r="T6" s="54">
        <v>0</v>
      </c>
      <c r="U6" s="54">
        <v>0</v>
      </c>
      <c r="V6" s="54">
        <v>8</v>
      </c>
      <c r="W6" s="54">
        <v>0</v>
      </c>
      <c r="X6" s="54">
        <v>0</v>
      </c>
      <c r="Y6" s="54">
        <v>14</v>
      </c>
      <c r="Z6" s="54">
        <v>18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54">
        <v>9</v>
      </c>
      <c r="AG6" s="5">
        <f t="shared" si="2"/>
        <v>147</v>
      </c>
    </row>
    <row r="7" spans="1:33" ht="18.75" x14ac:dyDescent="0.25">
      <c r="A7" s="56" t="s">
        <v>5</v>
      </c>
      <c r="B7" s="54">
        <v>10</v>
      </c>
      <c r="C7" s="54">
        <v>0</v>
      </c>
      <c r="D7" s="54">
        <v>15</v>
      </c>
      <c r="E7" s="54">
        <v>12</v>
      </c>
      <c r="F7" s="54">
        <v>0</v>
      </c>
      <c r="G7" s="54">
        <v>0</v>
      </c>
      <c r="H7" s="54">
        <v>0</v>
      </c>
      <c r="I7" s="54">
        <v>0</v>
      </c>
      <c r="J7" s="54">
        <v>0</v>
      </c>
      <c r="K7" s="54">
        <v>12</v>
      </c>
      <c r="L7" s="54">
        <v>14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20</v>
      </c>
      <c r="S7" s="54">
        <v>10</v>
      </c>
      <c r="T7" s="54">
        <v>0</v>
      </c>
      <c r="U7" s="54">
        <v>0</v>
      </c>
      <c r="V7" s="54">
        <v>23</v>
      </c>
      <c r="W7" s="54">
        <v>0</v>
      </c>
      <c r="X7" s="54">
        <v>0</v>
      </c>
      <c r="Y7" s="54">
        <v>24</v>
      </c>
      <c r="Z7" s="54">
        <v>15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54">
        <v>15</v>
      </c>
      <c r="AG7" s="5">
        <f t="shared" si="2"/>
        <v>170</v>
      </c>
    </row>
    <row r="8" spans="1:33" ht="18.75" x14ac:dyDescent="0.25">
      <c r="A8" s="56" t="s">
        <v>6</v>
      </c>
      <c r="B8" s="54">
        <v>9</v>
      </c>
      <c r="C8" s="54">
        <v>0</v>
      </c>
      <c r="D8" s="54">
        <v>14</v>
      </c>
      <c r="E8" s="54">
        <v>19</v>
      </c>
      <c r="F8" s="54">
        <v>0</v>
      </c>
      <c r="G8" s="54">
        <v>0</v>
      </c>
      <c r="H8" s="54">
        <v>0</v>
      </c>
      <c r="I8" s="54">
        <v>0</v>
      </c>
      <c r="J8" s="54">
        <v>0</v>
      </c>
      <c r="K8" s="54">
        <v>12</v>
      </c>
      <c r="L8" s="54">
        <v>10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11</v>
      </c>
      <c r="S8" s="54">
        <v>20</v>
      </c>
      <c r="T8" s="54">
        <v>0</v>
      </c>
      <c r="U8" s="54">
        <v>0</v>
      </c>
      <c r="V8" s="54">
        <v>20</v>
      </c>
      <c r="W8" s="54">
        <v>0</v>
      </c>
      <c r="X8" s="54">
        <v>0</v>
      </c>
      <c r="Y8" s="54">
        <v>8</v>
      </c>
      <c r="Z8" s="54">
        <v>13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54">
        <v>13</v>
      </c>
      <c r="AG8" s="5">
        <f t="shared" si="2"/>
        <v>149</v>
      </c>
    </row>
    <row r="9" spans="1:33" ht="18.75" x14ac:dyDescent="0.25">
      <c r="A9" s="56" t="s">
        <v>7</v>
      </c>
      <c r="B9" s="54">
        <v>8</v>
      </c>
      <c r="C9" s="54">
        <v>0</v>
      </c>
      <c r="D9" s="54">
        <v>14</v>
      </c>
      <c r="E9" s="54">
        <v>14</v>
      </c>
      <c r="F9" s="54">
        <v>0</v>
      </c>
      <c r="G9" s="54">
        <v>0</v>
      </c>
      <c r="H9" s="54">
        <v>0</v>
      </c>
      <c r="I9" s="54">
        <v>0</v>
      </c>
      <c r="J9" s="54">
        <v>0</v>
      </c>
      <c r="K9" s="54">
        <v>17</v>
      </c>
      <c r="L9" s="54">
        <v>14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12</v>
      </c>
      <c r="S9" s="54">
        <v>12</v>
      </c>
      <c r="T9" s="54">
        <v>0</v>
      </c>
      <c r="U9" s="54">
        <v>0</v>
      </c>
      <c r="V9" s="54">
        <v>11</v>
      </c>
      <c r="W9" s="54">
        <v>0</v>
      </c>
      <c r="X9" s="54">
        <v>0</v>
      </c>
      <c r="Y9" s="54">
        <v>10</v>
      </c>
      <c r="Z9" s="54">
        <v>14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54">
        <v>14</v>
      </c>
      <c r="AG9" s="5">
        <f t="shared" si="2"/>
        <v>140</v>
      </c>
    </row>
    <row r="10" spans="1:33" ht="18.75" x14ac:dyDescent="0.25">
      <c r="A10" s="56" t="s">
        <v>8</v>
      </c>
      <c r="B10" s="54">
        <v>17</v>
      </c>
      <c r="C10" s="54">
        <v>0</v>
      </c>
      <c r="D10" s="54">
        <v>11</v>
      </c>
      <c r="E10" s="54">
        <v>13</v>
      </c>
      <c r="F10" s="54">
        <v>0</v>
      </c>
      <c r="G10" s="54">
        <v>0</v>
      </c>
      <c r="H10" s="54">
        <v>0</v>
      </c>
      <c r="I10" s="54">
        <v>0</v>
      </c>
      <c r="J10" s="54">
        <v>0</v>
      </c>
      <c r="K10" s="54">
        <v>9</v>
      </c>
      <c r="L10" s="54">
        <v>11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11</v>
      </c>
      <c r="S10" s="54">
        <v>10</v>
      </c>
      <c r="T10" s="54">
        <v>0</v>
      </c>
      <c r="U10" s="54">
        <v>0</v>
      </c>
      <c r="V10" s="54">
        <v>13</v>
      </c>
      <c r="W10" s="54">
        <v>0</v>
      </c>
      <c r="X10" s="54">
        <v>0</v>
      </c>
      <c r="Y10" s="54">
        <v>13</v>
      </c>
      <c r="Z10" s="54">
        <v>6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54">
        <v>11</v>
      </c>
      <c r="AG10" s="5">
        <f t="shared" si="2"/>
        <v>125</v>
      </c>
    </row>
    <row r="11" spans="1:33" ht="18.75" x14ac:dyDescent="0.25">
      <c r="A11" s="56" t="s">
        <v>9</v>
      </c>
      <c r="B11" s="54">
        <v>11</v>
      </c>
      <c r="C11" s="54">
        <v>9</v>
      </c>
      <c r="D11" s="54">
        <v>10</v>
      </c>
      <c r="E11" s="54">
        <v>11</v>
      </c>
      <c r="F11" s="54">
        <v>0</v>
      </c>
      <c r="G11" s="54">
        <v>0</v>
      </c>
      <c r="H11" s="54">
        <v>0</v>
      </c>
      <c r="I11" s="54">
        <v>0</v>
      </c>
      <c r="J11" s="54">
        <v>5</v>
      </c>
      <c r="K11" s="54">
        <v>10</v>
      </c>
      <c r="L11" s="54">
        <v>15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12</v>
      </c>
      <c r="S11" s="54">
        <v>21</v>
      </c>
      <c r="T11" s="54">
        <v>0</v>
      </c>
      <c r="U11" s="54">
        <v>0</v>
      </c>
      <c r="V11" s="54">
        <v>22</v>
      </c>
      <c r="W11" s="54">
        <v>0</v>
      </c>
      <c r="X11" s="54">
        <v>2</v>
      </c>
      <c r="Y11" s="54">
        <v>11</v>
      </c>
      <c r="Z11" s="54">
        <v>11</v>
      </c>
      <c r="AA11" s="54">
        <v>0</v>
      </c>
      <c r="AB11" s="54">
        <v>0</v>
      </c>
      <c r="AC11" s="54">
        <v>0</v>
      </c>
      <c r="AD11" s="54">
        <v>0</v>
      </c>
      <c r="AE11" s="54">
        <v>8</v>
      </c>
      <c r="AF11" s="54">
        <v>12</v>
      </c>
      <c r="AG11" s="5">
        <f t="shared" si="2"/>
        <v>170</v>
      </c>
    </row>
    <row r="12" spans="1:33" ht="18.75" x14ac:dyDescent="0.25">
      <c r="A12" s="56" t="s">
        <v>10</v>
      </c>
      <c r="B12" s="54">
        <v>18</v>
      </c>
      <c r="C12" s="54">
        <v>34</v>
      </c>
      <c r="D12" s="54">
        <v>16</v>
      </c>
      <c r="E12" s="54">
        <v>15</v>
      </c>
      <c r="F12" s="54">
        <v>0</v>
      </c>
      <c r="G12" s="54">
        <v>5</v>
      </c>
      <c r="H12" s="54">
        <v>5</v>
      </c>
      <c r="I12" s="54">
        <v>8</v>
      </c>
      <c r="J12" s="54">
        <v>34</v>
      </c>
      <c r="K12" s="54">
        <v>13</v>
      </c>
      <c r="L12" s="54">
        <v>11</v>
      </c>
      <c r="M12" s="54">
        <v>0</v>
      </c>
      <c r="N12" s="54">
        <v>7</v>
      </c>
      <c r="O12" s="54">
        <v>10</v>
      </c>
      <c r="P12" s="54">
        <v>5</v>
      </c>
      <c r="Q12" s="54">
        <v>54</v>
      </c>
      <c r="R12" s="54">
        <v>16</v>
      </c>
      <c r="S12" s="54">
        <v>19</v>
      </c>
      <c r="T12" s="54">
        <v>1</v>
      </c>
      <c r="U12" s="54">
        <v>11</v>
      </c>
      <c r="V12" s="54">
        <v>28</v>
      </c>
      <c r="W12" s="54">
        <v>4</v>
      </c>
      <c r="X12" s="54">
        <v>43</v>
      </c>
      <c r="Y12" s="54">
        <v>17</v>
      </c>
      <c r="Z12" s="54">
        <v>6</v>
      </c>
      <c r="AA12" s="54">
        <v>4</v>
      </c>
      <c r="AB12" s="54">
        <v>4</v>
      </c>
      <c r="AC12" s="54">
        <v>7</v>
      </c>
      <c r="AD12" s="54">
        <v>4</v>
      </c>
      <c r="AE12" s="54">
        <v>41</v>
      </c>
      <c r="AF12" s="54">
        <v>14</v>
      </c>
      <c r="AG12" s="5">
        <f t="shared" si="2"/>
        <v>454</v>
      </c>
    </row>
    <row r="13" spans="1:33" ht="18.75" x14ac:dyDescent="0.25">
      <c r="A13" s="56" t="s">
        <v>11</v>
      </c>
      <c r="B13" s="54">
        <v>10</v>
      </c>
      <c r="C13" s="54">
        <v>9</v>
      </c>
      <c r="D13" s="54">
        <v>11</v>
      </c>
      <c r="E13" s="54">
        <v>27</v>
      </c>
      <c r="F13" s="54">
        <v>51</v>
      </c>
      <c r="G13" s="54">
        <v>58</v>
      </c>
      <c r="H13" s="54">
        <v>43</v>
      </c>
      <c r="I13" s="54">
        <v>49</v>
      </c>
      <c r="J13" s="54">
        <v>16</v>
      </c>
      <c r="K13" s="54">
        <v>19</v>
      </c>
      <c r="L13" s="54">
        <v>10</v>
      </c>
      <c r="M13" s="54">
        <v>64</v>
      </c>
      <c r="N13" s="54">
        <v>68</v>
      </c>
      <c r="O13" s="54">
        <v>61</v>
      </c>
      <c r="P13" s="54">
        <v>70</v>
      </c>
      <c r="Q13" s="54">
        <v>11</v>
      </c>
      <c r="R13" s="54">
        <v>12</v>
      </c>
      <c r="S13" s="54">
        <v>17</v>
      </c>
      <c r="T13" s="54">
        <v>66</v>
      </c>
      <c r="U13" s="54">
        <v>54</v>
      </c>
      <c r="V13" s="54">
        <v>11</v>
      </c>
      <c r="W13" s="54">
        <v>51</v>
      </c>
      <c r="X13" s="54">
        <v>27</v>
      </c>
      <c r="Y13" s="54">
        <v>10</v>
      </c>
      <c r="Z13" s="54">
        <v>19</v>
      </c>
      <c r="AA13" s="54">
        <v>71</v>
      </c>
      <c r="AB13" s="54">
        <v>67</v>
      </c>
      <c r="AC13" s="54">
        <v>61</v>
      </c>
      <c r="AD13" s="54">
        <v>51</v>
      </c>
      <c r="AE13" s="54">
        <v>16</v>
      </c>
      <c r="AF13" s="54">
        <v>19</v>
      </c>
      <c r="AG13" s="5">
        <f t="shared" si="2"/>
        <v>1129</v>
      </c>
    </row>
    <row r="14" spans="1:33" ht="18.75" x14ac:dyDescent="0.25">
      <c r="A14" s="56" t="s">
        <v>12</v>
      </c>
      <c r="B14" s="54">
        <v>7</v>
      </c>
      <c r="C14" s="54">
        <v>13</v>
      </c>
      <c r="D14" s="54">
        <v>10</v>
      </c>
      <c r="E14" s="54">
        <v>10</v>
      </c>
      <c r="F14" s="54">
        <v>14</v>
      </c>
      <c r="G14" s="54">
        <v>14</v>
      </c>
      <c r="H14" s="54">
        <v>15</v>
      </c>
      <c r="I14" s="54">
        <v>20</v>
      </c>
      <c r="J14" s="54">
        <v>21</v>
      </c>
      <c r="K14" s="54">
        <v>6</v>
      </c>
      <c r="L14" s="54">
        <v>12</v>
      </c>
      <c r="M14" s="54">
        <v>20</v>
      </c>
      <c r="N14" s="54">
        <v>16</v>
      </c>
      <c r="O14" s="54">
        <v>13</v>
      </c>
      <c r="P14" s="54">
        <v>15</v>
      </c>
      <c r="Q14" s="54">
        <v>11</v>
      </c>
      <c r="R14" s="54">
        <v>11</v>
      </c>
      <c r="S14" s="54">
        <v>12</v>
      </c>
      <c r="T14" s="54">
        <v>13</v>
      </c>
      <c r="U14" s="54">
        <v>18</v>
      </c>
      <c r="V14" s="54">
        <v>10</v>
      </c>
      <c r="W14" s="54">
        <v>15</v>
      </c>
      <c r="X14" s="54">
        <v>16</v>
      </c>
      <c r="Y14" s="54">
        <v>12</v>
      </c>
      <c r="Z14" s="54">
        <v>13</v>
      </c>
      <c r="AA14" s="54">
        <v>30</v>
      </c>
      <c r="AB14" s="54">
        <v>13</v>
      </c>
      <c r="AC14" s="54">
        <v>10</v>
      </c>
      <c r="AD14" s="54">
        <v>11</v>
      </c>
      <c r="AE14" s="54">
        <v>8</v>
      </c>
      <c r="AF14" s="54">
        <v>8</v>
      </c>
      <c r="AG14" s="5">
        <f t="shared" si="2"/>
        <v>417</v>
      </c>
    </row>
    <row r="15" spans="1:33" ht="18.75" x14ac:dyDescent="0.25">
      <c r="A15" s="56" t="s">
        <v>13</v>
      </c>
      <c r="B15" s="54">
        <v>9</v>
      </c>
      <c r="C15" s="54">
        <v>12</v>
      </c>
      <c r="D15" s="54">
        <v>6</v>
      </c>
      <c r="E15" s="54">
        <v>14</v>
      </c>
      <c r="F15" s="54">
        <v>14</v>
      </c>
      <c r="G15" s="54">
        <v>15</v>
      </c>
      <c r="H15" s="54">
        <v>17</v>
      </c>
      <c r="I15" s="54">
        <v>15</v>
      </c>
      <c r="J15" s="54">
        <v>12</v>
      </c>
      <c r="K15" s="54">
        <v>4</v>
      </c>
      <c r="L15" s="54">
        <v>9</v>
      </c>
      <c r="M15" s="54">
        <v>22</v>
      </c>
      <c r="N15" s="54">
        <v>14</v>
      </c>
      <c r="O15" s="54">
        <v>11</v>
      </c>
      <c r="P15" s="54">
        <v>13</v>
      </c>
      <c r="Q15" s="54">
        <v>15</v>
      </c>
      <c r="R15" s="54">
        <v>10</v>
      </c>
      <c r="S15" s="54">
        <v>6</v>
      </c>
      <c r="T15" s="54">
        <v>22</v>
      </c>
      <c r="U15" s="54">
        <v>20</v>
      </c>
      <c r="V15" s="54">
        <v>8</v>
      </c>
      <c r="W15" s="54">
        <v>9</v>
      </c>
      <c r="X15" s="54">
        <v>8</v>
      </c>
      <c r="Y15" s="54">
        <v>9</v>
      </c>
      <c r="Z15" s="54">
        <v>8</v>
      </c>
      <c r="AA15" s="54">
        <v>12</v>
      </c>
      <c r="AB15" s="54">
        <v>10</v>
      </c>
      <c r="AC15" s="54">
        <v>13</v>
      </c>
      <c r="AD15" s="54">
        <v>16</v>
      </c>
      <c r="AE15" s="54">
        <v>11</v>
      </c>
      <c r="AF15" s="54">
        <v>6</v>
      </c>
      <c r="AG15" s="5">
        <f t="shared" si="2"/>
        <v>370</v>
      </c>
    </row>
    <row r="16" spans="1:33" ht="18.75" x14ac:dyDescent="0.25">
      <c r="A16" s="56" t="s">
        <v>14</v>
      </c>
      <c r="B16" s="54">
        <v>3</v>
      </c>
      <c r="C16" s="54">
        <v>7</v>
      </c>
      <c r="D16" s="54">
        <v>8</v>
      </c>
      <c r="E16" s="54">
        <v>9</v>
      </c>
      <c r="F16" s="54">
        <v>13</v>
      </c>
      <c r="G16" s="54">
        <v>4</v>
      </c>
      <c r="H16" s="54">
        <v>10</v>
      </c>
      <c r="I16" s="54">
        <v>12</v>
      </c>
      <c r="J16" s="54">
        <v>16</v>
      </c>
      <c r="K16" s="54">
        <v>8</v>
      </c>
      <c r="L16" s="54">
        <v>5</v>
      </c>
      <c r="M16" s="54">
        <v>15</v>
      </c>
      <c r="N16" s="54">
        <v>14</v>
      </c>
      <c r="O16" s="54">
        <v>18</v>
      </c>
      <c r="P16" s="54">
        <v>7</v>
      </c>
      <c r="Q16" s="54">
        <v>11</v>
      </c>
      <c r="R16" s="54">
        <v>4</v>
      </c>
      <c r="S16" s="54">
        <v>11</v>
      </c>
      <c r="T16" s="54">
        <v>15</v>
      </c>
      <c r="U16" s="54">
        <v>16</v>
      </c>
      <c r="V16" s="54">
        <v>9</v>
      </c>
      <c r="W16" s="54">
        <v>10</v>
      </c>
      <c r="X16" s="54">
        <v>12</v>
      </c>
      <c r="Y16" s="54">
        <v>10</v>
      </c>
      <c r="Z16" s="54">
        <v>11</v>
      </c>
      <c r="AA16" s="54">
        <v>12</v>
      </c>
      <c r="AB16" s="54">
        <v>10</v>
      </c>
      <c r="AC16" s="54">
        <v>10</v>
      </c>
      <c r="AD16" s="54">
        <v>11</v>
      </c>
      <c r="AE16" s="54">
        <v>4</v>
      </c>
      <c r="AF16" s="54">
        <v>5</v>
      </c>
      <c r="AG16" s="5">
        <f t="shared" si="2"/>
        <v>310</v>
      </c>
    </row>
    <row r="17" spans="1:33" ht="18.75" x14ac:dyDescent="0.25">
      <c r="A17" s="56" t="s">
        <v>15</v>
      </c>
      <c r="B17" s="54">
        <v>3</v>
      </c>
      <c r="C17" s="54">
        <v>12</v>
      </c>
      <c r="D17" s="54">
        <v>5</v>
      </c>
      <c r="E17" s="54">
        <v>10</v>
      </c>
      <c r="F17" s="54">
        <v>6</v>
      </c>
      <c r="G17" s="54">
        <v>3</v>
      </c>
      <c r="H17" s="54">
        <v>11</v>
      </c>
      <c r="I17" s="54">
        <v>9</v>
      </c>
      <c r="J17" s="54">
        <v>10</v>
      </c>
      <c r="K17" s="54">
        <v>4</v>
      </c>
      <c r="L17" s="54">
        <v>9</v>
      </c>
      <c r="M17" s="54">
        <v>6</v>
      </c>
      <c r="N17" s="54">
        <v>10</v>
      </c>
      <c r="O17" s="54">
        <v>8</v>
      </c>
      <c r="P17" s="54">
        <v>8</v>
      </c>
      <c r="Q17" s="54">
        <v>9</v>
      </c>
      <c r="R17" s="54">
        <v>12</v>
      </c>
      <c r="S17" s="54">
        <v>7</v>
      </c>
      <c r="T17" s="54">
        <v>17</v>
      </c>
      <c r="U17" s="54">
        <v>10</v>
      </c>
      <c r="V17" s="54">
        <v>5</v>
      </c>
      <c r="W17" s="54">
        <v>4</v>
      </c>
      <c r="X17" s="54">
        <v>8</v>
      </c>
      <c r="Y17" s="54">
        <v>5</v>
      </c>
      <c r="Z17" s="54">
        <v>4</v>
      </c>
      <c r="AA17" s="54">
        <v>7</v>
      </c>
      <c r="AB17" s="54">
        <v>5</v>
      </c>
      <c r="AC17" s="54">
        <v>2</v>
      </c>
      <c r="AD17" s="54">
        <v>9</v>
      </c>
      <c r="AE17" s="54">
        <v>7</v>
      </c>
      <c r="AF17" s="54">
        <v>7</v>
      </c>
      <c r="AG17" s="5">
        <f t="shared" si="2"/>
        <v>232</v>
      </c>
    </row>
    <row r="18" spans="1:33" ht="18.75" x14ac:dyDescent="0.25">
      <c r="A18" s="56" t="s">
        <v>16</v>
      </c>
      <c r="B18" s="54">
        <v>10</v>
      </c>
      <c r="C18" s="54">
        <v>2</v>
      </c>
      <c r="D18" s="54">
        <v>6</v>
      </c>
      <c r="E18" s="54">
        <v>4</v>
      </c>
      <c r="F18" s="54">
        <v>5</v>
      </c>
      <c r="G18" s="54">
        <v>6</v>
      </c>
      <c r="H18" s="54">
        <v>5</v>
      </c>
      <c r="I18" s="54">
        <v>4</v>
      </c>
      <c r="J18" s="54">
        <v>8</v>
      </c>
      <c r="K18" s="54">
        <v>6</v>
      </c>
      <c r="L18" s="54">
        <v>9</v>
      </c>
      <c r="M18" s="54">
        <v>11</v>
      </c>
      <c r="N18" s="54">
        <v>6</v>
      </c>
      <c r="O18" s="54">
        <v>8</v>
      </c>
      <c r="P18" s="54">
        <v>8</v>
      </c>
      <c r="Q18" s="54">
        <v>6</v>
      </c>
      <c r="R18" s="54">
        <v>4</v>
      </c>
      <c r="S18" s="54">
        <v>7</v>
      </c>
      <c r="T18" s="54">
        <v>6</v>
      </c>
      <c r="U18" s="54">
        <v>9</v>
      </c>
      <c r="V18" s="54">
        <v>7</v>
      </c>
      <c r="W18" s="54">
        <v>3</v>
      </c>
      <c r="X18" s="54">
        <v>10</v>
      </c>
      <c r="Y18" s="54">
        <v>4</v>
      </c>
      <c r="Z18" s="54">
        <v>5</v>
      </c>
      <c r="AA18" s="54">
        <v>13</v>
      </c>
      <c r="AB18" s="54">
        <v>5</v>
      </c>
      <c r="AC18" s="54">
        <v>4</v>
      </c>
      <c r="AD18" s="54">
        <v>13</v>
      </c>
      <c r="AE18" s="54">
        <v>3</v>
      </c>
      <c r="AF18" s="54">
        <v>9</v>
      </c>
      <c r="AG18" s="5">
        <f t="shared" si="2"/>
        <v>206</v>
      </c>
    </row>
    <row r="19" spans="1:33" ht="18.75" x14ac:dyDescent="0.25">
      <c r="A19" s="56" t="s">
        <v>17</v>
      </c>
      <c r="B19" s="54">
        <v>4</v>
      </c>
      <c r="C19" s="54">
        <v>4</v>
      </c>
      <c r="D19" s="54">
        <v>6</v>
      </c>
      <c r="E19" s="54">
        <v>3</v>
      </c>
      <c r="F19" s="54">
        <v>3</v>
      </c>
      <c r="G19" s="54">
        <v>5</v>
      </c>
      <c r="H19" s="54">
        <v>3</v>
      </c>
      <c r="I19" s="54">
        <v>4</v>
      </c>
      <c r="J19" s="54">
        <v>4</v>
      </c>
      <c r="K19" s="54">
        <v>8</v>
      </c>
      <c r="L19" s="54">
        <v>4</v>
      </c>
      <c r="M19" s="54">
        <v>5</v>
      </c>
      <c r="N19" s="54">
        <v>9</v>
      </c>
      <c r="O19" s="54">
        <v>1</v>
      </c>
      <c r="P19" s="54">
        <v>3</v>
      </c>
      <c r="Q19" s="54">
        <v>7</v>
      </c>
      <c r="R19" s="54">
        <v>2</v>
      </c>
      <c r="S19" s="54">
        <v>4</v>
      </c>
      <c r="T19" s="54">
        <v>4</v>
      </c>
      <c r="U19" s="54">
        <v>4</v>
      </c>
      <c r="V19" s="54">
        <v>7</v>
      </c>
      <c r="W19" s="54">
        <v>4</v>
      </c>
      <c r="X19" s="54">
        <v>6</v>
      </c>
      <c r="Y19" s="54">
        <v>2</v>
      </c>
      <c r="Z19" s="54">
        <v>3</v>
      </c>
      <c r="AA19" s="54">
        <v>7</v>
      </c>
      <c r="AB19" s="54">
        <v>9</v>
      </c>
      <c r="AC19" s="54">
        <v>3</v>
      </c>
      <c r="AD19" s="54">
        <v>6</v>
      </c>
      <c r="AE19" s="54">
        <v>7</v>
      </c>
      <c r="AF19" s="54">
        <v>5</v>
      </c>
      <c r="AG19" s="5">
        <f t="shared" si="2"/>
        <v>146</v>
      </c>
    </row>
    <row r="20" spans="1:33" ht="18.75" x14ac:dyDescent="0.25">
      <c r="A20" s="56" t="s">
        <v>18</v>
      </c>
      <c r="B20" s="54">
        <v>6</v>
      </c>
      <c r="C20" s="54">
        <v>2</v>
      </c>
      <c r="D20" s="54">
        <v>0</v>
      </c>
      <c r="E20" s="54">
        <v>3</v>
      </c>
      <c r="F20" s="54">
        <v>4</v>
      </c>
      <c r="G20" s="54">
        <v>3</v>
      </c>
      <c r="H20" s="54">
        <v>2</v>
      </c>
      <c r="I20" s="54">
        <v>3</v>
      </c>
      <c r="J20" s="54">
        <v>4</v>
      </c>
      <c r="K20" s="54">
        <v>7</v>
      </c>
      <c r="L20" s="54">
        <v>5</v>
      </c>
      <c r="M20" s="54">
        <v>3</v>
      </c>
      <c r="N20" s="54">
        <v>2</v>
      </c>
      <c r="O20" s="54">
        <v>5</v>
      </c>
      <c r="P20" s="54">
        <v>2</v>
      </c>
      <c r="Q20" s="54">
        <v>4</v>
      </c>
      <c r="R20" s="54">
        <v>8</v>
      </c>
      <c r="S20" s="54">
        <v>4</v>
      </c>
      <c r="T20" s="54">
        <v>3</v>
      </c>
      <c r="U20" s="54">
        <v>0</v>
      </c>
      <c r="V20" s="54">
        <v>3</v>
      </c>
      <c r="W20" s="54">
        <v>2</v>
      </c>
      <c r="X20" s="54">
        <v>4</v>
      </c>
      <c r="Y20" s="54">
        <v>1</v>
      </c>
      <c r="Z20" s="54">
        <v>4</v>
      </c>
      <c r="AA20" s="54">
        <v>2</v>
      </c>
      <c r="AB20" s="54">
        <v>2</v>
      </c>
      <c r="AC20" s="54">
        <v>2</v>
      </c>
      <c r="AD20" s="54">
        <v>4</v>
      </c>
      <c r="AE20" s="54">
        <v>6</v>
      </c>
      <c r="AF20" s="54">
        <v>2</v>
      </c>
      <c r="AG20" s="5">
        <f t="shared" si="2"/>
        <v>102</v>
      </c>
    </row>
    <row r="21" spans="1:33" ht="15.75" customHeight="1" x14ac:dyDescent="0.25">
      <c r="A21" s="56" t="s">
        <v>19</v>
      </c>
      <c r="B21" s="54">
        <v>4</v>
      </c>
      <c r="C21" s="54">
        <v>2</v>
      </c>
      <c r="D21" s="54">
        <v>4</v>
      </c>
      <c r="E21" s="54">
        <v>0</v>
      </c>
      <c r="F21" s="54">
        <v>4</v>
      </c>
      <c r="G21" s="54">
        <v>3</v>
      </c>
      <c r="H21" s="54">
        <v>3</v>
      </c>
      <c r="I21" s="54">
        <v>3</v>
      </c>
      <c r="J21" s="54">
        <v>2</v>
      </c>
      <c r="K21" s="54">
        <v>3</v>
      </c>
      <c r="L21" s="54">
        <v>2</v>
      </c>
      <c r="M21" s="54">
        <v>2</v>
      </c>
      <c r="N21" s="54">
        <v>3</v>
      </c>
      <c r="O21" s="54">
        <v>1</v>
      </c>
      <c r="P21" s="54">
        <v>3</v>
      </c>
      <c r="Q21" s="54">
        <v>3</v>
      </c>
      <c r="R21" s="54">
        <v>2</v>
      </c>
      <c r="S21" s="54">
        <v>0</v>
      </c>
      <c r="T21" s="54">
        <v>1</v>
      </c>
      <c r="U21" s="54">
        <v>2</v>
      </c>
      <c r="V21" s="54">
        <v>4</v>
      </c>
      <c r="W21" s="54">
        <v>6</v>
      </c>
      <c r="X21" s="54">
        <v>2</v>
      </c>
      <c r="Y21" s="54">
        <v>4</v>
      </c>
      <c r="Z21" s="54">
        <v>1</v>
      </c>
      <c r="AA21" s="54">
        <v>1</v>
      </c>
      <c r="AB21" s="54">
        <v>3</v>
      </c>
      <c r="AC21" s="54">
        <v>3</v>
      </c>
      <c r="AD21" s="54">
        <v>3</v>
      </c>
      <c r="AE21" s="54">
        <v>3</v>
      </c>
      <c r="AF21" s="54">
        <v>1</v>
      </c>
      <c r="AG21" s="5">
        <f t="shared" si="2"/>
        <v>78</v>
      </c>
    </row>
    <row r="22" spans="1:33" ht="15.75" customHeight="1" x14ac:dyDescent="0.25">
      <c r="A22" s="56" t="s">
        <v>20</v>
      </c>
      <c r="B22" s="54">
        <v>2</v>
      </c>
      <c r="C22" s="54">
        <v>0</v>
      </c>
      <c r="D22" s="54">
        <v>0</v>
      </c>
      <c r="E22" s="54">
        <v>0</v>
      </c>
      <c r="F22" s="54">
        <v>0</v>
      </c>
      <c r="G22" s="54">
        <v>2</v>
      </c>
      <c r="H22" s="54">
        <v>1</v>
      </c>
      <c r="I22" s="54">
        <v>1</v>
      </c>
      <c r="J22" s="54">
        <v>0</v>
      </c>
      <c r="K22" s="54">
        <v>2</v>
      </c>
      <c r="L22" s="54">
        <v>1</v>
      </c>
      <c r="M22" s="54">
        <v>1</v>
      </c>
      <c r="N22" s="54">
        <v>4</v>
      </c>
      <c r="O22" s="54">
        <v>1</v>
      </c>
      <c r="P22" s="54">
        <v>5</v>
      </c>
      <c r="Q22" s="54">
        <v>0</v>
      </c>
      <c r="R22" s="54">
        <v>2</v>
      </c>
      <c r="S22" s="54">
        <v>2</v>
      </c>
      <c r="T22" s="54">
        <v>1</v>
      </c>
      <c r="U22" s="54">
        <v>2</v>
      </c>
      <c r="V22" s="54">
        <v>2</v>
      </c>
      <c r="W22" s="54">
        <v>3</v>
      </c>
      <c r="X22" s="54">
        <v>3</v>
      </c>
      <c r="Y22" s="54">
        <v>0</v>
      </c>
      <c r="Z22" s="54">
        <v>3</v>
      </c>
      <c r="AA22" s="54">
        <v>2</v>
      </c>
      <c r="AB22" s="54">
        <v>1</v>
      </c>
      <c r="AC22" s="54">
        <v>2</v>
      </c>
      <c r="AD22" s="54">
        <v>1</v>
      </c>
      <c r="AE22" s="54">
        <v>0</v>
      </c>
      <c r="AF22" s="54">
        <v>1</v>
      </c>
      <c r="AG22" s="5">
        <f t="shared" si="2"/>
        <v>45</v>
      </c>
    </row>
    <row r="23" spans="1:33" ht="15.75" customHeight="1" x14ac:dyDescent="0.25">
      <c r="A23" s="56" t="s">
        <v>21</v>
      </c>
      <c r="B23" s="54">
        <v>1</v>
      </c>
      <c r="C23" s="54">
        <v>1</v>
      </c>
      <c r="D23" s="54">
        <v>4</v>
      </c>
      <c r="E23" s="54">
        <v>1</v>
      </c>
      <c r="F23" s="54">
        <v>4</v>
      </c>
      <c r="G23" s="54">
        <v>1</v>
      </c>
      <c r="H23" s="54">
        <v>1</v>
      </c>
      <c r="I23" s="54">
        <v>4</v>
      </c>
      <c r="J23" s="54">
        <v>1</v>
      </c>
      <c r="K23" s="54">
        <v>1</v>
      </c>
      <c r="L23" s="54">
        <v>3</v>
      </c>
      <c r="M23" s="54">
        <v>4</v>
      </c>
      <c r="N23" s="54">
        <v>1</v>
      </c>
      <c r="O23" s="54">
        <v>0</v>
      </c>
      <c r="P23" s="54">
        <v>1</v>
      </c>
      <c r="Q23" s="54">
        <v>1</v>
      </c>
      <c r="R23" s="54">
        <v>0</v>
      </c>
      <c r="S23" s="54">
        <v>4</v>
      </c>
      <c r="T23" s="54">
        <v>2</v>
      </c>
      <c r="U23" s="54">
        <v>0</v>
      </c>
      <c r="V23" s="54">
        <v>5</v>
      </c>
      <c r="W23" s="54">
        <v>4</v>
      </c>
      <c r="X23" s="54">
        <v>2</v>
      </c>
      <c r="Y23" s="54">
        <v>1</v>
      </c>
      <c r="Z23" s="54">
        <v>2</v>
      </c>
      <c r="AA23" s="54">
        <v>1</v>
      </c>
      <c r="AB23" s="54">
        <v>0</v>
      </c>
      <c r="AC23" s="54">
        <v>0</v>
      </c>
      <c r="AD23" s="54">
        <v>1</v>
      </c>
      <c r="AE23" s="54">
        <v>0</v>
      </c>
      <c r="AF23" s="54">
        <v>0</v>
      </c>
      <c r="AG23" s="5">
        <f t="shared" si="2"/>
        <v>51</v>
      </c>
    </row>
    <row r="24" spans="1:33" ht="15.75" customHeight="1" x14ac:dyDescent="0.25">
      <c r="A24" s="56" t="s">
        <v>22</v>
      </c>
      <c r="B24" s="54">
        <v>2</v>
      </c>
      <c r="C24" s="54">
        <v>2</v>
      </c>
      <c r="D24" s="54">
        <v>0</v>
      </c>
      <c r="E24" s="54">
        <v>2</v>
      </c>
      <c r="F24" s="54">
        <v>0</v>
      </c>
      <c r="G24" s="54">
        <v>6</v>
      </c>
      <c r="H24" s="54">
        <v>0</v>
      </c>
      <c r="I24" s="54">
        <v>1</v>
      </c>
      <c r="J24" s="54">
        <v>5</v>
      </c>
      <c r="K24" s="54">
        <v>0</v>
      </c>
      <c r="L24" s="54">
        <v>0</v>
      </c>
      <c r="M24" s="54">
        <v>3</v>
      </c>
      <c r="N24" s="54">
        <v>2</v>
      </c>
      <c r="O24" s="54">
        <v>3</v>
      </c>
      <c r="P24" s="54">
        <v>0</v>
      </c>
      <c r="Q24" s="54">
        <v>2</v>
      </c>
      <c r="R24" s="54">
        <v>1</v>
      </c>
      <c r="S24" s="54">
        <v>5</v>
      </c>
      <c r="T24" s="54">
        <v>0</v>
      </c>
      <c r="U24" s="54">
        <v>0</v>
      </c>
      <c r="V24" s="54">
        <v>1</v>
      </c>
      <c r="W24" s="54">
        <v>0</v>
      </c>
      <c r="X24" s="54">
        <v>2</v>
      </c>
      <c r="Y24" s="54">
        <v>2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2</v>
      </c>
      <c r="AF24" s="54">
        <v>1</v>
      </c>
      <c r="AG24" s="5">
        <f t="shared" si="2"/>
        <v>42</v>
      </c>
    </row>
    <row r="25" spans="1:33" ht="15.75" customHeight="1" x14ac:dyDescent="0.25">
      <c r="A25" s="56" t="s">
        <v>23</v>
      </c>
      <c r="B25" s="54">
        <v>0</v>
      </c>
      <c r="C25" s="54">
        <v>3</v>
      </c>
      <c r="D25" s="54">
        <v>1</v>
      </c>
      <c r="E25" s="54">
        <v>3</v>
      </c>
      <c r="F25" s="54">
        <v>2</v>
      </c>
      <c r="G25" s="54">
        <v>4</v>
      </c>
      <c r="H25" s="54">
        <v>2</v>
      </c>
      <c r="I25" s="54">
        <v>1</v>
      </c>
      <c r="J25" s="54">
        <v>1</v>
      </c>
      <c r="K25" s="54">
        <v>0</v>
      </c>
      <c r="L25" s="54">
        <v>0</v>
      </c>
      <c r="M25" s="54">
        <v>0</v>
      </c>
      <c r="N25" s="54">
        <v>0</v>
      </c>
      <c r="O25" s="54">
        <v>1</v>
      </c>
      <c r="P25" s="54">
        <v>1</v>
      </c>
      <c r="Q25" s="54">
        <v>1</v>
      </c>
      <c r="R25" s="54">
        <v>4</v>
      </c>
      <c r="S25" s="54">
        <v>1</v>
      </c>
      <c r="T25" s="54">
        <v>2</v>
      </c>
      <c r="U25" s="54">
        <v>2</v>
      </c>
      <c r="V25" s="54">
        <v>2</v>
      </c>
      <c r="W25" s="54">
        <v>1</v>
      </c>
      <c r="X25" s="54">
        <v>0</v>
      </c>
      <c r="Y25" s="54">
        <v>0</v>
      </c>
      <c r="Z25" s="54">
        <v>0</v>
      </c>
      <c r="AA25" s="54">
        <v>0</v>
      </c>
      <c r="AB25" s="54">
        <v>1</v>
      </c>
      <c r="AC25" s="54">
        <v>2</v>
      </c>
      <c r="AD25" s="54">
        <v>0</v>
      </c>
      <c r="AE25" s="54">
        <v>1</v>
      </c>
      <c r="AF25" s="54">
        <v>1</v>
      </c>
      <c r="AG25" s="5">
        <f t="shared" si="2"/>
        <v>37</v>
      </c>
    </row>
    <row r="26" spans="1:33" ht="15.75" customHeight="1" x14ac:dyDescent="0.25">
      <c r="A26" s="56" t="s">
        <v>24</v>
      </c>
      <c r="B26" s="54">
        <v>0</v>
      </c>
      <c r="C26" s="54">
        <v>0</v>
      </c>
      <c r="D26" s="54">
        <v>1</v>
      </c>
      <c r="E26" s="54">
        <v>4</v>
      </c>
      <c r="F26" s="54">
        <v>0</v>
      </c>
      <c r="G26" s="54">
        <v>1</v>
      </c>
      <c r="H26" s="54">
        <v>0</v>
      </c>
      <c r="I26" s="54">
        <v>1</v>
      </c>
      <c r="J26" s="54">
        <v>0</v>
      </c>
      <c r="K26" s="54">
        <v>0</v>
      </c>
      <c r="L26" s="54">
        <v>1</v>
      </c>
      <c r="M26" s="54">
        <v>0</v>
      </c>
      <c r="N26" s="54">
        <v>1</v>
      </c>
      <c r="O26" s="54">
        <v>2</v>
      </c>
      <c r="P26" s="54">
        <v>1</v>
      </c>
      <c r="Q26" s="54">
        <v>0</v>
      </c>
      <c r="R26" s="54">
        <v>0</v>
      </c>
      <c r="S26" s="54">
        <v>1</v>
      </c>
      <c r="T26" s="54">
        <v>0</v>
      </c>
      <c r="U26" s="54">
        <v>1</v>
      </c>
      <c r="V26" s="54">
        <v>2</v>
      </c>
      <c r="W26" s="54">
        <v>3</v>
      </c>
      <c r="X26" s="54">
        <v>0</v>
      </c>
      <c r="Y26" s="54">
        <v>2</v>
      </c>
      <c r="Z26" s="54">
        <v>0</v>
      </c>
      <c r="AA26" s="54">
        <v>1</v>
      </c>
      <c r="AB26" s="54">
        <v>0</v>
      </c>
      <c r="AC26" s="54">
        <v>1</v>
      </c>
      <c r="AD26" s="54">
        <v>2</v>
      </c>
      <c r="AE26" s="54">
        <v>0</v>
      </c>
      <c r="AF26" s="54">
        <v>2</v>
      </c>
      <c r="AG26" s="5">
        <f t="shared" si="2"/>
        <v>27</v>
      </c>
    </row>
    <row r="27" spans="1:33" ht="15.75" customHeight="1" thickBot="1" x14ac:dyDescent="0.3">
      <c r="A27" s="57" t="s">
        <v>25</v>
      </c>
      <c r="B27" s="58">
        <v>3</v>
      </c>
      <c r="C27" s="58">
        <v>0</v>
      </c>
      <c r="D27" s="58">
        <v>1</v>
      </c>
      <c r="E27" s="58">
        <v>4</v>
      </c>
      <c r="F27" s="58">
        <v>0</v>
      </c>
      <c r="G27" s="58">
        <v>0</v>
      </c>
      <c r="H27" s="58">
        <v>0</v>
      </c>
      <c r="I27" s="58">
        <v>1</v>
      </c>
      <c r="J27" s="58">
        <v>0</v>
      </c>
      <c r="K27" s="58">
        <v>0</v>
      </c>
      <c r="L27" s="58">
        <v>0</v>
      </c>
      <c r="M27" s="58">
        <v>0</v>
      </c>
      <c r="N27" s="58">
        <v>1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1</v>
      </c>
      <c r="W27" s="58">
        <v>0</v>
      </c>
      <c r="X27" s="58">
        <v>0</v>
      </c>
      <c r="Y27" s="58">
        <v>1</v>
      </c>
      <c r="Z27" s="58">
        <v>2</v>
      </c>
      <c r="AA27" s="58">
        <v>0</v>
      </c>
      <c r="AB27" s="58">
        <v>0</v>
      </c>
      <c r="AC27" s="58">
        <v>0</v>
      </c>
      <c r="AD27" s="58">
        <v>0</v>
      </c>
      <c r="AE27" s="58">
        <v>0</v>
      </c>
      <c r="AF27" s="58">
        <v>0</v>
      </c>
      <c r="AG27" s="5">
        <f t="shared" si="2"/>
        <v>14</v>
      </c>
    </row>
    <row r="28" spans="1:33" ht="15.75" customHeight="1" x14ac:dyDescent="0.25">
      <c r="A28" s="59" t="s">
        <v>26</v>
      </c>
      <c r="B28" s="6">
        <f t="shared" ref="B28:AF28" si="3">SUM(B29:B52)</f>
        <v>165</v>
      </c>
      <c r="C28" s="6">
        <f t="shared" si="3"/>
        <v>105</v>
      </c>
      <c r="D28" s="6">
        <f t="shared" si="3"/>
        <v>178</v>
      </c>
      <c r="E28" s="6">
        <f t="shared" si="3"/>
        <v>198</v>
      </c>
      <c r="F28" s="6">
        <f t="shared" si="3"/>
        <v>117</v>
      </c>
      <c r="G28" s="6">
        <f t="shared" si="3"/>
        <v>113</v>
      </c>
      <c r="H28" s="6">
        <f t="shared" si="3"/>
        <v>112</v>
      </c>
      <c r="I28" s="6">
        <f t="shared" si="3"/>
        <v>127</v>
      </c>
      <c r="J28" s="6">
        <f t="shared" si="3"/>
        <v>135</v>
      </c>
      <c r="K28" s="6">
        <f t="shared" si="3"/>
        <v>169</v>
      </c>
      <c r="L28" s="6">
        <f t="shared" si="3"/>
        <v>169</v>
      </c>
      <c r="M28" s="6">
        <f t="shared" si="3"/>
        <v>131</v>
      </c>
      <c r="N28" s="6">
        <f t="shared" si="3"/>
        <v>134</v>
      </c>
      <c r="O28" s="6">
        <f t="shared" si="3"/>
        <v>133</v>
      </c>
      <c r="P28" s="6">
        <f t="shared" si="3"/>
        <v>126</v>
      </c>
      <c r="Q28" s="6">
        <f t="shared" si="3"/>
        <v>122</v>
      </c>
      <c r="R28" s="6">
        <f t="shared" si="3"/>
        <v>181</v>
      </c>
      <c r="S28" s="6">
        <f t="shared" si="3"/>
        <v>189</v>
      </c>
      <c r="T28" s="6">
        <f t="shared" si="3"/>
        <v>140</v>
      </c>
      <c r="U28" s="6">
        <f t="shared" si="3"/>
        <v>131</v>
      </c>
      <c r="V28" s="6">
        <f t="shared" si="3"/>
        <v>222</v>
      </c>
      <c r="W28" s="6">
        <f t="shared" si="3"/>
        <v>117</v>
      </c>
      <c r="X28" s="6">
        <f t="shared" si="3"/>
        <v>134</v>
      </c>
      <c r="Y28" s="6">
        <f t="shared" si="3"/>
        <v>169</v>
      </c>
      <c r="Z28" s="6">
        <f t="shared" si="3"/>
        <v>168</v>
      </c>
      <c r="AA28" s="6">
        <f t="shared" si="3"/>
        <v>147</v>
      </c>
      <c r="AB28" s="6">
        <f t="shared" si="3"/>
        <v>122</v>
      </c>
      <c r="AC28" s="6">
        <f t="shared" si="3"/>
        <v>118</v>
      </c>
      <c r="AD28" s="6">
        <f t="shared" si="3"/>
        <v>128</v>
      </c>
      <c r="AE28" s="6">
        <f t="shared" si="3"/>
        <v>113</v>
      </c>
      <c r="AF28" s="6">
        <f t="shared" si="3"/>
        <v>166</v>
      </c>
      <c r="AG28" s="7">
        <f t="shared" si="2"/>
        <v>4479</v>
      </c>
    </row>
    <row r="29" spans="1:33" ht="15.75" customHeight="1" x14ac:dyDescent="0.25">
      <c r="A29" s="53" t="s">
        <v>2</v>
      </c>
      <c r="B29" s="54">
        <v>3</v>
      </c>
      <c r="C29" s="55">
        <v>0</v>
      </c>
      <c r="D29" s="55">
        <v>3</v>
      </c>
      <c r="E29" s="55">
        <v>6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3</v>
      </c>
      <c r="L29" s="55">
        <v>9</v>
      </c>
      <c r="M29" s="55">
        <v>0</v>
      </c>
      <c r="N29" s="55">
        <v>0</v>
      </c>
      <c r="O29" s="55">
        <v>0</v>
      </c>
      <c r="P29" s="55">
        <v>0</v>
      </c>
      <c r="Q29" s="55">
        <v>0</v>
      </c>
      <c r="R29" s="55">
        <v>5</v>
      </c>
      <c r="S29" s="55">
        <v>3</v>
      </c>
      <c r="T29" s="55">
        <v>0</v>
      </c>
      <c r="U29" s="55">
        <v>0</v>
      </c>
      <c r="V29" s="55">
        <v>4</v>
      </c>
      <c r="W29" s="55">
        <v>0</v>
      </c>
      <c r="X29" s="55">
        <v>0</v>
      </c>
      <c r="Y29" s="55">
        <v>4</v>
      </c>
      <c r="Z29" s="55">
        <v>5</v>
      </c>
      <c r="AA29" s="55">
        <v>0</v>
      </c>
      <c r="AB29" s="55">
        <v>0</v>
      </c>
      <c r="AC29" s="55">
        <v>0</v>
      </c>
      <c r="AD29" s="54">
        <v>0</v>
      </c>
      <c r="AE29" s="54">
        <v>0</v>
      </c>
      <c r="AF29" s="54">
        <v>4</v>
      </c>
      <c r="AG29" s="5">
        <f t="shared" si="2"/>
        <v>49</v>
      </c>
    </row>
    <row r="30" spans="1:33" ht="15.75" customHeight="1" x14ac:dyDescent="0.25">
      <c r="A30" s="56" t="s">
        <v>3</v>
      </c>
      <c r="B30" s="54">
        <v>5</v>
      </c>
      <c r="C30" s="54">
        <v>0</v>
      </c>
      <c r="D30" s="54">
        <v>14</v>
      </c>
      <c r="E30" s="54">
        <v>6</v>
      </c>
      <c r="F30" s="54">
        <v>0</v>
      </c>
      <c r="G30" s="54">
        <v>0</v>
      </c>
      <c r="H30" s="54">
        <v>0</v>
      </c>
      <c r="I30" s="54">
        <v>0</v>
      </c>
      <c r="J30" s="54">
        <v>0</v>
      </c>
      <c r="K30" s="54">
        <v>8</v>
      </c>
      <c r="L30" s="54">
        <v>7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5</v>
      </c>
      <c r="S30" s="54">
        <v>7</v>
      </c>
      <c r="T30" s="54">
        <v>0</v>
      </c>
      <c r="U30" s="54">
        <v>0</v>
      </c>
      <c r="V30" s="54">
        <v>10</v>
      </c>
      <c r="W30" s="54">
        <v>0</v>
      </c>
      <c r="X30" s="54">
        <v>0</v>
      </c>
      <c r="Y30" s="54">
        <v>8</v>
      </c>
      <c r="Z30" s="54">
        <v>5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54">
        <v>9</v>
      </c>
      <c r="AG30" s="5">
        <f t="shared" si="2"/>
        <v>84</v>
      </c>
    </row>
    <row r="31" spans="1:33" ht="15.75" customHeight="1" x14ac:dyDescent="0.25">
      <c r="A31" s="56" t="s">
        <v>4</v>
      </c>
      <c r="B31" s="54">
        <v>16</v>
      </c>
      <c r="C31" s="54">
        <v>0</v>
      </c>
      <c r="D31" s="54">
        <v>17</v>
      </c>
      <c r="E31" s="54">
        <v>11</v>
      </c>
      <c r="F31" s="54">
        <v>0</v>
      </c>
      <c r="G31" s="54">
        <v>0</v>
      </c>
      <c r="H31" s="54">
        <v>0</v>
      </c>
      <c r="I31" s="54">
        <v>0</v>
      </c>
      <c r="J31" s="54">
        <v>0</v>
      </c>
      <c r="K31" s="54">
        <v>11</v>
      </c>
      <c r="L31" s="54">
        <v>8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13</v>
      </c>
      <c r="S31" s="54">
        <v>10</v>
      </c>
      <c r="T31" s="54">
        <v>0</v>
      </c>
      <c r="U31" s="54">
        <v>0</v>
      </c>
      <c r="V31" s="54">
        <v>17</v>
      </c>
      <c r="W31" s="54">
        <v>0</v>
      </c>
      <c r="X31" s="54">
        <v>0</v>
      </c>
      <c r="Y31" s="54">
        <v>6</v>
      </c>
      <c r="Z31" s="54">
        <v>12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54">
        <v>7</v>
      </c>
      <c r="AG31" s="5">
        <f t="shared" si="2"/>
        <v>128</v>
      </c>
    </row>
    <row r="32" spans="1:33" ht="15.75" customHeight="1" x14ac:dyDescent="0.25">
      <c r="A32" s="56" t="s">
        <v>5</v>
      </c>
      <c r="B32" s="54">
        <v>10</v>
      </c>
      <c r="C32" s="54">
        <v>0</v>
      </c>
      <c r="D32" s="54">
        <v>10</v>
      </c>
      <c r="E32" s="54">
        <v>14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18</v>
      </c>
      <c r="L32" s="54">
        <v>12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14</v>
      </c>
      <c r="S32" s="54">
        <v>8</v>
      </c>
      <c r="T32" s="54">
        <v>0</v>
      </c>
      <c r="U32" s="54">
        <v>0</v>
      </c>
      <c r="V32" s="54">
        <v>17</v>
      </c>
      <c r="W32" s="54">
        <v>0</v>
      </c>
      <c r="X32" s="54">
        <v>0</v>
      </c>
      <c r="Y32" s="54">
        <v>14</v>
      </c>
      <c r="Z32" s="54">
        <v>13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54">
        <v>11</v>
      </c>
      <c r="AG32" s="5">
        <f t="shared" si="2"/>
        <v>141</v>
      </c>
    </row>
    <row r="33" spans="1:33" ht="15.75" customHeight="1" x14ac:dyDescent="0.25">
      <c r="A33" s="56" t="s">
        <v>6</v>
      </c>
      <c r="B33" s="54">
        <v>11</v>
      </c>
      <c r="C33" s="54">
        <v>0</v>
      </c>
      <c r="D33" s="54">
        <v>14</v>
      </c>
      <c r="E33" s="54">
        <v>14</v>
      </c>
      <c r="F33" s="54">
        <v>0</v>
      </c>
      <c r="G33" s="54">
        <v>0</v>
      </c>
      <c r="H33" s="54">
        <v>0</v>
      </c>
      <c r="I33" s="54">
        <v>0</v>
      </c>
      <c r="J33" s="54">
        <v>0</v>
      </c>
      <c r="K33" s="54">
        <v>8</v>
      </c>
      <c r="L33" s="54">
        <v>12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17</v>
      </c>
      <c r="S33" s="54">
        <v>4</v>
      </c>
      <c r="T33" s="54">
        <v>0</v>
      </c>
      <c r="U33" s="54">
        <v>0</v>
      </c>
      <c r="V33" s="54">
        <v>15</v>
      </c>
      <c r="W33" s="54">
        <v>0</v>
      </c>
      <c r="X33" s="54">
        <v>0</v>
      </c>
      <c r="Y33" s="54">
        <v>9</v>
      </c>
      <c r="Z33" s="54">
        <v>17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54">
        <v>12</v>
      </c>
      <c r="AG33" s="5">
        <f t="shared" si="2"/>
        <v>133</v>
      </c>
    </row>
    <row r="34" spans="1:33" ht="15.75" customHeight="1" x14ac:dyDescent="0.25">
      <c r="A34" s="56" t="s">
        <v>7</v>
      </c>
      <c r="B34" s="54">
        <v>9</v>
      </c>
      <c r="C34" s="54">
        <v>0</v>
      </c>
      <c r="D34" s="54">
        <v>11</v>
      </c>
      <c r="E34" s="54">
        <v>11</v>
      </c>
      <c r="F34" s="54">
        <v>0</v>
      </c>
      <c r="G34" s="54">
        <v>0</v>
      </c>
      <c r="H34" s="54">
        <v>0</v>
      </c>
      <c r="I34" s="54">
        <v>0</v>
      </c>
      <c r="J34" s="54">
        <v>0</v>
      </c>
      <c r="K34" s="54">
        <v>11</v>
      </c>
      <c r="L34" s="54">
        <v>7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10</v>
      </c>
      <c r="S34" s="54">
        <v>11</v>
      </c>
      <c r="T34" s="54">
        <v>0</v>
      </c>
      <c r="U34" s="54">
        <v>0</v>
      </c>
      <c r="V34" s="54">
        <v>7</v>
      </c>
      <c r="W34" s="54">
        <v>0</v>
      </c>
      <c r="X34" s="54">
        <v>0</v>
      </c>
      <c r="Y34" s="54">
        <v>8</v>
      </c>
      <c r="Z34" s="54">
        <v>8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54">
        <v>8</v>
      </c>
      <c r="AG34" s="5">
        <f t="shared" si="2"/>
        <v>101</v>
      </c>
    </row>
    <row r="35" spans="1:33" ht="15.75" customHeight="1" x14ac:dyDescent="0.25">
      <c r="A35" s="56" t="s">
        <v>8</v>
      </c>
      <c r="B35" s="54">
        <v>12</v>
      </c>
      <c r="C35" s="54">
        <v>0</v>
      </c>
      <c r="D35" s="54">
        <v>7</v>
      </c>
      <c r="E35" s="54">
        <v>15</v>
      </c>
      <c r="F35" s="54">
        <v>0</v>
      </c>
      <c r="G35" s="54">
        <v>0</v>
      </c>
      <c r="H35" s="54">
        <v>0</v>
      </c>
      <c r="I35" s="54">
        <v>0</v>
      </c>
      <c r="J35" s="54">
        <v>0</v>
      </c>
      <c r="K35" s="54">
        <v>9</v>
      </c>
      <c r="L35" s="54">
        <v>11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9</v>
      </c>
      <c r="S35" s="54">
        <v>6</v>
      </c>
      <c r="T35" s="54">
        <v>0</v>
      </c>
      <c r="U35" s="54">
        <v>0</v>
      </c>
      <c r="V35" s="54">
        <v>18</v>
      </c>
      <c r="W35" s="54">
        <v>0</v>
      </c>
      <c r="X35" s="54">
        <v>0</v>
      </c>
      <c r="Y35" s="54">
        <v>6</v>
      </c>
      <c r="Z35" s="54">
        <v>5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54">
        <v>8</v>
      </c>
      <c r="AG35" s="5">
        <f t="shared" si="2"/>
        <v>106</v>
      </c>
    </row>
    <row r="36" spans="1:33" ht="15.75" customHeight="1" x14ac:dyDescent="0.25">
      <c r="A36" s="56" t="s">
        <v>9</v>
      </c>
      <c r="B36" s="54">
        <v>12</v>
      </c>
      <c r="C36" s="54">
        <v>0</v>
      </c>
      <c r="D36" s="54">
        <v>14</v>
      </c>
      <c r="E36" s="54">
        <v>14</v>
      </c>
      <c r="F36" s="54">
        <v>0</v>
      </c>
      <c r="G36" s="54">
        <v>0</v>
      </c>
      <c r="H36" s="54">
        <v>0</v>
      </c>
      <c r="I36" s="54">
        <v>0</v>
      </c>
      <c r="J36" s="54">
        <v>0</v>
      </c>
      <c r="K36" s="54">
        <v>12</v>
      </c>
      <c r="L36" s="54">
        <v>9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9</v>
      </c>
      <c r="S36" s="54">
        <v>4</v>
      </c>
      <c r="T36" s="54">
        <v>0</v>
      </c>
      <c r="U36" s="54">
        <v>0</v>
      </c>
      <c r="V36" s="54">
        <v>16</v>
      </c>
      <c r="W36" s="54">
        <v>0</v>
      </c>
      <c r="X36" s="54">
        <v>0</v>
      </c>
      <c r="Y36" s="54">
        <v>7</v>
      </c>
      <c r="Z36" s="54">
        <v>8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54">
        <v>6</v>
      </c>
      <c r="AG36" s="5">
        <f t="shared" si="2"/>
        <v>111</v>
      </c>
    </row>
    <row r="37" spans="1:33" ht="15.75" customHeight="1" x14ac:dyDescent="0.25">
      <c r="A37" s="56" t="s">
        <v>10</v>
      </c>
      <c r="B37" s="54">
        <v>16</v>
      </c>
      <c r="C37" s="54">
        <v>7</v>
      </c>
      <c r="D37" s="54">
        <v>11</v>
      </c>
      <c r="E37" s="54">
        <v>12</v>
      </c>
      <c r="F37" s="54">
        <v>0</v>
      </c>
      <c r="G37" s="54">
        <v>0</v>
      </c>
      <c r="H37" s="54">
        <v>0</v>
      </c>
      <c r="I37" s="54">
        <v>0</v>
      </c>
      <c r="J37" s="54">
        <v>8</v>
      </c>
      <c r="K37" s="54">
        <v>17</v>
      </c>
      <c r="L37" s="54">
        <v>11</v>
      </c>
      <c r="M37" s="54">
        <v>0</v>
      </c>
      <c r="N37" s="54">
        <v>0</v>
      </c>
      <c r="O37" s="54">
        <v>0</v>
      </c>
      <c r="P37" s="54">
        <v>0</v>
      </c>
      <c r="Q37" s="54">
        <v>4</v>
      </c>
      <c r="R37" s="54">
        <v>14</v>
      </c>
      <c r="S37" s="54">
        <v>13</v>
      </c>
      <c r="T37" s="54">
        <v>0</v>
      </c>
      <c r="U37" s="54">
        <v>0</v>
      </c>
      <c r="V37" s="54">
        <v>13</v>
      </c>
      <c r="W37" s="54">
        <v>0</v>
      </c>
      <c r="X37" s="54">
        <v>14</v>
      </c>
      <c r="Y37" s="54">
        <v>14</v>
      </c>
      <c r="Z37" s="54">
        <v>20</v>
      </c>
      <c r="AA37" s="54">
        <v>0</v>
      </c>
      <c r="AB37" s="54">
        <v>0</v>
      </c>
      <c r="AC37" s="54">
        <v>0</v>
      </c>
      <c r="AD37" s="54">
        <v>0</v>
      </c>
      <c r="AE37" s="54">
        <v>7</v>
      </c>
      <c r="AF37" s="54">
        <v>13</v>
      </c>
      <c r="AG37" s="5">
        <f t="shared" si="2"/>
        <v>194</v>
      </c>
    </row>
    <row r="38" spans="1:33" ht="15.75" customHeight="1" x14ac:dyDescent="0.25">
      <c r="A38" s="56" t="s">
        <v>11</v>
      </c>
      <c r="B38" s="54">
        <v>16</v>
      </c>
      <c r="C38" s="54">
        <v>10</v>
      </c>
      <c r="D38" s="54">
        <v>9</v>
      </c>
      <c r="E38" s="54">
        <v>17</v>
      </c>
      <c r="F38" s="54">
        <v>18</v>
      </c>
      <c r="G38" s="54">
        <v>9</v>
      </c>
      <c r="H38" s="54">
        <v>14</v>
      </c>
      <c r="I38" s="54">
        <v>5</v>
      </c>
      <c r="J38" s="54">
        <v>15</v>
      </c>
      <c r="K38" s="54">
        <v>7</v>
      </c>
      <c r="L38" s="54">
        <v>18</v>
      </c>
      <c r="M38" s="54">
        <v>13</v>
      </c>
      <c r="N38" s="54">
        <v>15</v>
      </c>
      <c r="O38" s="54">
        <v>12</v>
      </c>
      <c r="P38" s="54">
        <v>11</v>
      </c>
      <c r="Q38" s="54">
        <v>13</v>
      </c>
      <c r="R38" s="54">
        <v>22</v>
      </c>
      <c r="S38" s="54">
        <v>22</v>
      </c>
      <c r="T38" s="54">
        <v>11</v>
      </c>
      <c r="U38" s="54">
        <v>15</v>
      </c>
      <c r="V38" s="54">
        <v>13</v>
      </c>
      <c r="W38" s="54">
        <v>13</v>
      </c>
      <c r="X38" s="54">
        <v>6</v>
      </c>
      <c r="Y38" s="54">
        <v>18</v>
      </c>
      <c r="Z38" s="54">
        <v>8</v>
      </c>
      <c r="AA38" s="54">
        <v>12</v>
      </c>
      <c r="AB38" s="54">
        <v>7</v>
      </c>
      <c r="AC38" s="54">
        <v>7</v>
      </c>
      <c r="AD38" s="54">
        <v>10</v>
      </c>
      <c r="AE38" s="54">
        <v>11</v>
      </c>
      <c r="AF38" s="54">
        <v>15</v>
      </c>
      <c r="AG38" s="5">
        <f t="shared" si="2"/>
        <v>392</v>
      </c>
    </row>
    <row r="39" spans="1:33" ht="15.75" customHeight="1" x14ac:dyDescent="0.25">
      <c r="A39" s="56" t="s">
        <v>12</v>
      </c>
      <c r="B39" s="54">
        <v>8</v>
      </c>
      <c r="C39" s="54">
        <v>15</v>
      </c>
      <c r="D39" s="54">
        <v>16</v>
      </c>
      <c r="E39" s="54">
        <v>19</v>
      </c>
      <c r="F39" s="54">
        <v>25</v>
      </c>
      <c r="G39" s="54">
        <v>8</v>
      </c>
      <c r="H39" s="54">
        <v>15</v>
      </c>
      <c r="I39" s="54">
        <v>30</v>
      </c>
      <c r="J39" s="54">
        <v>22</v>
      </c>
      <c r="K39" s="54">
        <v>14</v>
      </c>
      <c r="L39" s="54">
        <v>5</v>
      </c>
      <c r="M39" s="54">
        <v>16</v>
      </c>
      <c r="N39" s="54">
        <v>17</v>
      </c>
      <c r="O39" s="54">
        <v>26</v>
      </c>
      <c r="P39" s="54">
        <v>13</v>
      </c>
      <c r="Q39" s="54">
        <v>17</v>
      </c>
      <c r="R39" s="54">
        <v>6</v>
      </c>
      <c r="S39" s="54">
        <v>18</v>
      </c>
      <c r="T39" s="54">
        <v>21</v>
      </c>
      <c r="U39" s="54">
        <v>12</v>
      </c>
      <c r="V39" s="54">
        <v>20</v>
      </c>
      <c r="W39" s="54">
        <v>21</v>
      </c>
      <c r="X39" s="54">
        <v>19</v>
      </c>
      <c r="Y39" s="54">
        <v>8</v>
      </c>
      <c r="Z39" s="54">
        <v>12</v>
      </c>
      <c r="AA39" s="54">
        <v>21</v>
      </c>
      <c r="AB39" s="54">
        <v>15</v>
      </c>
      <c r="AC39" s="54">
        <v>29</v>
      </c>
      <c r="AD39" s="54">
        <v>26</v>
      </c>
      <c r="AE39" s="54">
        <v>13</v>
      </c>
      <c r="AF39" s="54">
        <v>11</v>
      </c>
      <c r="AG39" s="5">
        <f t="shared" si="2"/>
        <v>518</v>
      </c>
    </row>
    <row r="40" spans="1:33" ht="15.75" customHeight="1" x14ac:dyDescent="0.25">
      <c r="A40" s="56" t="s">
        <v>13</v>
      </c>
      <c r="B40" s="54">
        <v>8</v>
      </c>
      <c r="C40" s="54">
        <v>20</v>
      </c>
      <c r="D40" s="54">
        <v>7</v>
      </c>
      <c r="E40" s="54">
        <v>13</v>
      </c>
      <c r="F40" s="54">
        <v>17</v>
      </c>
      <c r="G40" s="54">
        <v>15</v>
      </c>
      <c r="H40" s="54">
        <v>15</v>
      </c>
      <c r="I40" s="54">
        <v>24</v>
      </c>
      <c r="J40" s="54">
        <v>20</v>
      </c>
      <c r="K40" s="54">
        <v>11</v>
      </c>
      <c r="L40" s="54">
        <v>10</v>
      </c>
      <c r="M40" s="54">
        <v>14</v>
      </c>
      <c r="N40" s="54">
        <v>17</v>
      </c>
      <c r="O40" s="54">
        <v>14</v>
      </c>
      <c r="P40" s="54">
        <v>21</v>
      </c>
      <c r="Q40" s="54">
        <v>31</v>
      </c>
      <c r="R40" s="54">
        <v>10</v>
      </c>
      <c r="S40" s="54">
        <v>17</v>
      </c>
      <c r="T40" s="54">
        <v>22</v>
      </c>
      <c r="U40" s="54">
        <v>27</v>
      </c>
      <c r="V40" s="54">
        <v>15</v>
      </c>
      <c r="W40" s="54">
        <v>27</v>
      </c>
      <c r="X40" s="54">
        <v>24</v>
      </c>
      <c r="Y40" s="54">
        <v>13</v>
      </c>
      <c r="Z40" s="54">
        <v>10</v>
      </c>
      <c r="AA40" s="54">
        <v>20</v>
      </c>
      <c r="AB40" s="54">
        <v>24</v>
      </c>
      <c r="AC40" s="54">
        <v>21</v>
      </c>
      <c r="AD40" s="54">
        <v>20</v>
      </c>
      <c r="AE40" s="54">
        <v>17</v>
      </c>
      <c r="AF40" s="54">
        <v>11</v>
      </c>
      <c r="AG40" s="5">
        <f t="shared" si="2"/>
        <v>535</v>
      </c>
    </row>
    <row r="41" spans="1:33" ht="15.75" customHeight="1" x14ac:dyDescent="0.25">
      <c r="A41" s="56" t="s">
        <v>14</v>
      </c>
      <c r="B41" s="54">
        <v>6</v>
      </c>
      <c r="C41" s="54">
        <v>15</v>
      </c>
      <c r="D41" s="54">
        <v>12</v>
      </c>
      <c r="E41" s="54">
        <v>14</v>
      </c>
      <c r="F41" s="54">
        <v>19</v>
      </c>
      <c r="G41" s="54">
        <v>13</v>
      </c>
      <c r="H41" s="54">
        <v>15</v>
      </c>
      <c r="I41" s="54">
        <v>16</v>
      </c>
      <c r="J41" s="54">
        <v>21</v>
      </c>
      <c r="K41" s="54">
        <v>5</v>
      </c>
      <c r="L41" s="54">
        <v>12</v>
      </c>
      <c r="M41" s="54">
        <v>19</v>
      </c>
      <c r="N41" s="54">
        <v>15</v>
      </c>
      <c r="O41" s="54">
        <v>26</v>
      </c>
      <c r="P41" s="54">
        <v>17</v>
      </c>
      <c r="Q41" s="54">
        <v>21</v>
      </c>
      <c r="R41" s="54">
        <v>10</v>
      </c>
      <c r="S41" s="54">
        <v>14</v>
      </c>
      <c r="T41" s="54">
        <v>24</v>
      </c>
      <c r="U41" s="54">
        <v>21</v>
      </c>
      <c r="V41" s="54">
        <v>14</v>
      </c>
      <c r="W41" s="54">
        <v>19</v>
      </c>
      <c r="X41" s="54">
        <v>22</v>
      </c>
      <c r="Y41" s="54">
        <v>18</v>
      </c>
      <c r="Z41" s="54">
        <v>15</v>
      </c>
      <c r="AA41" s="54">
        <v>25</v>
      </c>
      <c r="AB41" s="54">
        <v>17</v>
      </c>
      <c r="AC41" s="54">
        <v>18</v>
      </c>
      <c r="AD41" s="54">
        <v>15</v>
      </c>
      <c r="AE41" s="54">
        <v>12</v>
      </c>
      <c r="AF41" s="54">
        <v>10</v>
      </c>
      <c r="AG41" s="5">
        <f t="shared" si="2"/>
        <v>500</v>
      </c>
    </row>
    <row r="42" spans="1:33" ht="15.75" customHeight="1" x14ac:dyDescent="0.25">
      <c r="A42" s="56" t="s">
        <v>15</v>
      </c>
      <c r="B42" s="54">
        <v>3</v>
      </c>
      <c r="C42" s="54">
        <v>12</v>
      </c>
      <c r="D42" s="54">
        <v>6</v>
      </c>
      <c r="E42" s="54">
        <v>9</v>
      </c>
      <c r="F42" s="54">
        <v>10</v>
      </c>
      <c r="G42" s="54">
        <v>12</v>
      </c>
      <c r="H42" s="54">
        <v>14</v>
      </c>
      <c r="I42" s="54">
        <v>11</v>
      </c>
      <c r="J42" s="54">
        <v>16</v>
      </c>
      <c r="K42" s="54">
        <v>6</v>
      </c>
      <c r="L42" s="54">
        <v>8</v>
      </c>
      <c r="M42" s="54">
        <v>14</v>
      </c>
      <c r="N42" s="54">
        <v>16</v>
      </c>
      <c r="O42" s="54">
        <v>13</v>
      </c>
      <c r="P42" s="54">
        <v>18</v>
      </c>
      <c r="Q42" s="54">
        <v>11</v>
      </c>
      <c r="R42" s="54">
        <v>3</v>
      </c>
      <c r="S42" s="54">
        <v>14</v>
      </c>
      <c r="T42" s="54">
        <v>21</v>
      </c>
      <c r="U42" s="54">
        <v>15</v>
      </c>
      <c r="V42" s="54">
        <v>5</v>
      </c>
      <c r="W42" s="54">
        <v>11</v>
      </c>
      <c r="X42" s="54">
        <v>14</v>
      </c>
      <c r="Y42" s="54">
        <v>17</v>
      </c>
      <c r="Z42" s="54">
        <v>10</v>
      </c>
      <c r="AA42" s="54">
        <v>22</v>
      </c>
      <c r="AB42" s="54">
        <v>19</v>
      </c>
      <c r="AC42" s="54">
        <v>13</v>
      </c>
      <c r="AD42" s="54">
        <v>22</v>
      </c>
      <c r="AE42" s="54">
        <v>19</v>
      </c>
      <c r="AF42" s="54">
        <v>8</v>
      </c>
      <c r="AG42" s="5">
        <f t="shared" si="2"/>
        <v>392</v>
      </c>
    </row>
    <row r="43" spans="1:33" ht="15.75" customHeight="1" x14ac:dyDescent="0.25">
      <c r="A43" s="56" t="s">
        <v>16</v>
      </c>
      <c r="B43" s="54">
        <v>7</v>
      </c>
      <c r="C43" s="54">
        <v>8</v>
      </c>
      <c r="D43" s="54">
        <v>6</v>
      </c>
      <c r="E43" s="54">
        <v>8</v>
      </c>
      <c r="F43" s="54">
        <v>9</v>
      </c>
      <c r="G43" s="54">
        <v>14</v>
      </c>
      <c r="H43" s="54">
        <v>13</v>
      </c>
      <c r="I43" s="54">
        <v>8</v>
      </c>
      <c r="J43" s="54">
        <v>6</v>
      </c>
      <c r="K43" s="54">
        <v>5</v>
      </c>
      <c r="L43" s="54">
        <v>8</v>
      </c>
      <c r="M43" s="54">
        <v>7</v>
      </c>
      <c r="N43" s="54">
        <v>9</v>
      </c>
      <c r="O43" s="54">
        <v>8</v>
      </c>
      <c r="P43" s="54">
        <v>9</v>
      </c>
      <c r="Q43" s="54">
        <v>7</v>
      </c>
      <c r="R43" s="54">
        <v>11</v>
      </c>
      <c r="S43" s="54">
        <v>5</v>
      </c>
      <c r="T43" s="54">
        <v>12</v>
      </c>
      <c r="U43" s="54">
        <v>10</v>
      </c>
      <c r="V43" s="54">
        <v>9</v>
      </c>
      <c r="W43" s="54">
        <v>2</v>
      </c>
      <c r="X43" s="54">
        <v>13</v>
      </c>
      <c r="Y43" s="54">
        <v>4</v>
      </c>
      <c r="Z43" s="54">
        <v>5</v>
      </c>
      <c r="AA43" s="54">
        <v>4</v>
      </c>
      <c r="AB43" s="54">
        <v>14</v>
      </c>
      <c r="AC43" s="54">
        <v>8</v>
      </c>
      <c r="AD43" s="54">
        <v>10</v>
      </c>
      <c r="AE43" s="54">
        <v>13</v>
      </c>
      <c r="AF43" s="54">
        <v>4</v>
      </c>
      <c r="AG43" s="5">
        <f t="shared" si="2"/>
        <v>256</v>
      </c>
    </row>
    <row r="44" spans="1:33" ht="15.75" customHeight="1" x14ac:dyDescent="0.25">
      <c r="A44" s="56" t="s">
        <v>17</v>
      </c>
      <c r="B44" s="54">
        <v>6</v>
      </c>
      <c r="C44" s="54">
        <v>3</v>
      </c>
      <c r="D44" s="54">
        <v>7</v>
      </c>
      <c r="E44" s="54">
        <v>2</v>
      </c>
      <c r="F44" s="54">
        <v>4</v>
      </c>
      <c r="G44" s="54">
        <v>7</v>
      </c>
      <c r="H44" s="54">
        <v>8</v>
      </c>
      <c r="I44" s="54">
        <v>6</v>
      </c>
      <c r="J44" s="54">
        <v>5</v>
      </c>
      <c r="K44" s="54">
        <v>10</v>
      </c>
      <c r="L44" s="54">
        <v>9</v>
      </c>
      <c r="M44" s="54">
        <v>5</v>
      </c>
      <c r="N44" s="54">
        <v>9</v>
      </c>
      <c r="O44" s="54">
        <v>6</v>
      </c>
      <c r="P44" s="54">
        <v>1</v>
      </c>
      <c r="Q44" s="54">
        <v>8</v>
      </c>
      <c r="R44" s="54">
        <v>3</v>
      </c>
      <c r="S44" s="54">
        <v>10</v>
      </c>
      <c r="T44" s="54">
        <v>11</v>
      </c>
      <c r="U44" s="54">
        <v>10</v>
      </c>
      <c r="V44" s="54">
        <v>11</v>
      </c>
      <c r="W44" s="54">
        <v>3</v>
      </c>
      <c r="X44" s="54">
        <v>7</v>
      </c>
      <c r="Y44" s="54">
        <v>4</v>
      </c>
      <c r="Z44" s="54">
        <v>5</v>
      </c>
      <c r="AA44" s="54">
        <v>7</v>
      </c>
      <c r="AB44" s="54">
        <v>10</v>
      </c>
      <c r="AC44" s="54">
        <v>5</v>
      </c>
      <c r="AD44" s="54">
        <v>3</v>
      </c>
      <c r="AE44" s="54">
        <v>4</v>
      </c>
      <c r="AF44" s="54">
        <v>11</v>
      </c>
      <c r="AG44" s="5">
        <f t="shared" si="2"/>
        <v>200</v>
      </c>
    </row>
    <row r="45" spans="1:33" ht="15.75" customHeight="1" x14ac:dyDescent="0.25">
      <c r="A45" s="56" t="s">
        <v>18</v>
      </c>
      <c r="B45" s="54">
        <v>3</v>
      </c>
      <c r="C45" s="54">
        <v>4</v>
      </c>
      <c r="D45" s="54">
        <v>3</v>
      </c>
      <c r="E45" s="54">
        <v>2</v>
      </c>
      <c r="F45" s="54">
        <v>5</v>
      </c>
      <c r="G45" s="54">
        <v>9</v>
      </c>
      <c r="H45" s="54">
        <v>4</v>
      </c>
      <c r="I45" s="54">
        <v>8</v>
      </c>
      <c r="J45" s="54">
        <v>8</v>
      </c>
      <c r="K45" s="54">
        <v>1</v>
      </c>
      <c r="L45" s="54">
        <v>4</v>
      </c>
      <c r="M45" s="54">
        <v>14</v>
      </c>
      <c r="N45" s="54">
        <v>5</v>
      </c>
      <c r="O45" s="54">
        <v>10</v>
      </c>
      <c r="P45" s="54">
        <v>5</v>
      </c>
      <c r="Q45" s="54">
        <v>0</v>
      </c>
      <c r="R45" s="54">
        <v>7</v>
      </c>
      <c r="S45" s="54">
        <v>8</v>
      </c>
      <c r="T45" s="54">
        <v>5</v>
      </c>
      <c r="U45" s="54">
        <v>2</v>
      </c>
      <c r="V45" s="54">
        <v>2</v>
      </c>
      <c r="W45" s="54">
        <v>2</v>
      </c>
      <c r="X45" s="54">
        <v>3</v>
      </c>
      <c r="Y45" s="54">
        <v>1</v>
      </c>
      <c r="Z45" s="54">
        <v>2</v>
      </c>
      <c r="AA45" s="54">
        <v>5</v>
      </c>
      <c r="AB45" s="54">
        <v>8</v>
      </c>
      <c r="AC45" s="54">
        <v>5</v>
      </c>
      <c r="AD45" s="54">
        <v>3</v>
      </c>
      <c r="AE45" s="54">
        <v>6</v>
      </c>
      <c r="AF45" s="54">
        <v>7</v>
      </c>
      <c r="AG45" s="5">
        <f t="shared" si="2"/>
        <v>151</v>
      </c>
    </row>
    <row r="46" spans="1:33" ht="15.75" customHeight="1" x14ac:dyDescent="0.25">
      <c r="A46" s="56" t="s">
        <v>19</v>
      </c>
      <c r="B46" s="54">
        <v>5</v>
      </c>
      <c r="C46" s="54">
        <v>2</v>
      </c>
      <c r="D46" s="54">
        <v>3</v>
      </c>
      <c r="E46" s="54">
        <v>1</v>
      </c>
      <c r="F46" s="54">
        <v>3</v>
      </c>
      <c r="G46" s="54">
        <v>11</v>
      </c>
      <c r="H46" s="54">
        <v>6</v>
      </c>
      <c r="I46" s="54">
        <v>3</v>
      </c>
      <c r="J46" s="54">
        <v>6</v>
      </c>
      <c r="K46" s="54">
        <v>8</v>
      </c>
      <c r="L46" s="54">
        <v>3</v>
      </c>
      <c r="M46" s="54">
        <v>8</v>
      </c>
      <c r="N46" s="54">
        <v>7</v>
      </c>
      <c r="O46" s="54">
        <v>8</v>
      </c>
      <c r="P46" s="54">
        <v>11</v>
      </c>
      <c r="Q46" s="54">
        <v>1</v>
      </c>
      <c r="R46" s="54">
        <v>6</v>
      </c>
      <c r="S46" s="54">
        <v>2</v>
      </c>
      <c r="T46" s="54">
        <v>7</v>
      </c>
      <c r="U46" s="54">
        <v>3</v>
      </c>
      <c r="V46" s="54">
        <v>0</v>
      </c>
      <c r="W46" s="54">
        <v>4</v>
      </c>
      <c r="X46" s="54">
        <v>5</v>
      </c>
      <c r="Y46" s="54">
        <v>4</v>
      </c>
      <c r="Z46" s="54">
        <v>3</v>
      </c>
      <c r="AA46" s="54">
        <v>10</v>
      </c>
      <c r="AB46" s="54">
        <v>2</v>
      </c>
      <c r="AC46" s="54">
        <v>5</v>
      </c>
      <c r="AD46" s="54">
        <v>12</v>
      </c>
      <c r="AE46" s="54">
        <v>2</v>
      </c>
      <c r="AF46" s="54">
        <v>7</v>
      </c>
      <c r="AG46" s="5">
        <f t="shared" si="2"/>
        <v>158</v>
      </c>
    </row>
    <row r="47" spans="1:33" ht="15.75" customHeight="1" x14ac:dyDescent="0.25">
      <c r="A47" s="56" t="s">
        <v>20</v>
      </c>
      <c r="B47" s="54">
        <v>3</v>
      </c>
      <c r="C47" s="54">
        <v>2</v>
      </c>
      <c r="D47" s="54">
        <v>1</v>
      </c>
      <c r="E47" s="54">
        <v>0</v>
      </c>
      <c r="F47" s="54">
        <v>1</v>
      </c>
      <c r="G47" s="54">
        <v>2</v>
      </c>
      <c r="H47" s="54">
        <v>4</v>
      </c>
      <c r="I47" s="54">
        <v>2</v>
      </c>
      <c r="J47" s="54">
        <v>1</v>
      </c>
      <c r="K47" s="54">
        <v>3</v>
      </c>
      <c r="L47" s="54">
        <v>2</v>
      </c>
      <c r="M47" s="54">
        <v>13</v>
      </c>
      <c r="N47" s="54">
        <v>4</v>
      </c>
      <c r="O47" s="54">
        <v>0</v>
      </c>
      <c r="P47" s="54">
        <v>13</v>
      </c>
      <c r="Q47" s="54">
        <v>1</v>
      </c>
      <c r="R47" s="54">
        <v>1</v>
      </c>
      <c r="S47" s="54">
        <v>1</v>
      </c>
      <c r="T47" s="54">
        <v>2</v>
      </c>
      <c r="U47" s="54">
        <v>10</v>
      </c>
      <c r="V47" s="54">
        <v>0</v>
      </c>
      <c r="W47" s="54">
        <v>5</v>
      </c>
      <c r="X47" s="54">
        <v>1</v>
      </c>
      <c r="Y47" s="54">
        <v>0</v>
      </c>
      <c r="Z47" s="54">
        <v>2</v>
      </c>
      <c r="AA47" s="54">
        <v>8</v>
      </c>
      <c r="AB47" s="54">
        <v>1</v>
      </c>
      <c r="AC47" s="54">
        <v>4</v>
      </c>
      <c r="AD47" s="54">
        <v>4</v>
      </c>
      <c r="AE47" s="54">
        <v>4</v>
      </c>
      <c r="AF47" s="54">
        <v>0</v>
      </c>
      <c r="AG47" s="5">
        <f t="shared" si="2"/>
        <v>95</v>
      </c>
    </row>
    <row r="48" spans="1:33" ht="15.75" customHeight="1" x14ac:dyDescent="0.25">
      <c r="A48" s="56" t="s">
        <v>21</v>
      </c>
      <c r="B48" s="54">
        <v>2</v>
      </c>
      <c r="C48" s="54">
        <v>1</v>
      </c>
      <c r="D48" s="54">
        <v>3</v>
      </c>
      <c r="E48" s="54">
        <v>0</v>
      </c>
      <c r="F48" s="54">
        <v>3</v>
      </c>
      <c r="G48" s="54">
        <v>2</v>
      </c>
      <c r="H48" s="54">
        <v>2</v>
      </c>
      <c r="I48" s="54">
        <v>3</v>
      </c>
      <c r="J48" s="54">
        <v>0</v>
      </c>
      <c r="K48" s="54">
        <v>2</v>
      </c>
      <c r="L48" s="54">
        <v>1</v>
      </c>
      <c r="M48" s="54">
        <v>3</v>
      </c>
      <c r="N48" s="54">
        <v>13</v>
      </c>
      <c r="O48" s="54">
        <v>0</v>
      </c>
      <c r="P48" s="54">
        <v>3</v>
      </c>
      <c r="Q48" s="54">
        <v>2</v>
      </c>
      <c r="R48" s="54">
        <v>1</v>
      </c>
      <c r="S48" s="54">
        <v>3</v>
      </c>
      <c r="T48" s="54">
        <v>2</v>
      </c>
      <c r="U48" s="54">
        <v>3</v>
      </c>
      <c r="V48" s="54">
        <v>5</v>
      </c>
      <c r="W48" s="54">
        <v>4</v>
      </c>
      <c r="X48" s="54">
        <v>4</v>
      </c>
      <c r="Y48" s="54">
        <v>1</v>
      </c>
      <c r="Z48" s="54">
        <v>2</v>
      </c>
      <c r="AA48" s="54">
        <v>10</v>
      </c>
      <c r="AB48" s="54">
        <v>0</v>
      </c>
      <c r="AC48" s="54">
        <v>0</v>
      </c>
      <c r="AD48" s="54">
        <v>1</v>
      </c>
      <c r="AE48" s="54">
        <v>2</v>
      </c>
      <c r="AF48" s="54">
        <v>0</v>
      </c>
      <c r="AG48" s="5">
        <f t="shared" si="2"/>
        <v>78</v>
      </c>
    </row>
    <row r="49" spans="1:33" ht="15.75" customHeight="1" x14ac:dyDescent="0.25">
      <c r="A49" s="56" t="s">
        <v>22</v>
      </c>
      <c r="B49" s="54">
        <v>2</v>
      </c>
      <c r="C49" s="54">
        <v>2</v>
      </c>
      <c r="D49" s="54">
        <v>1</v>
      </c>
      <c r="E49" s="54">
        <v>2</v>
      </c>
      <c r="F49" s="54">
        <v>1</v>
      </c>
      <c r="G49" s="54">
        <v>3</v>
      </c>
      <c r="H49" s="54">
        <v>0</v>
      </c>
      <c r="I49" s="54">
        <v>3</v>
      </c>
      <c r="J49" s="54">
        <v>2</v>
      </c>
      <c r="K49" s="54">
        <v>0</v>
      </c>
      <c r="L49" s="54">
        <v>2</v>
      </c>
      <c r="M49" s="54">
        <v>3</v>
      </c>
      <c r="N49" s="54">
        <v>5</v>
      </c>
      <c r="O49" s="54">
        <v>4</v>
      </c>
      <c r="P49" s="54">
        <v>2</v>
      </c>
      <c r="Q49" s="54">
        <v>3</v>
      </c>
      <c r="R49" s="54">
        <v>1</v>
      </c>
      <c r="S49" s="54">
        <v>4</v>
      </c>
      <c r="T49" s="54">
        <v>0</v>
      </c>
      <c r="U49" s="54">
        <v>0</v>
      </c>
      <c r="V49" s="54">
        <v>5</v>
      </c>
      <c r="W49" s="54">
        <v>2</v>
      </c>
      <c r="X49" s="54">
        <v>0</v>
      </c>
      <c r="Y49" s="54">
        <v>2</v>
      </c>
      <c r="Z49" s="54">
        <v>1</v>
      </c>
      <c r="AA49" s="54">
        <v>2</v>
      </c>
      <c r="AB49" s="54">
        <v>4</v>
      </c>
      <c r="AC49" s="54">
        <v>0</v>
      </c>
      <c r="AD49" s="54">
        <v>0</v>
      </c>
      <c r="AE49" s="54">
        <v>1</v>
      </c>
      <c r="AF49" s="54">
        <v>0</v>
      </c>
      <c r="AG49" s="5">
        <f t="shared" si="2"/>
        <v>57</v>
      </c>
    </row>
    <row r="50" spans="1:33" ht="15.75" customHeight="1" x14ac:dyDescent="0.25">
      <c r="A50" s="56" t="s">
        <v>23</v>
      </c>
      <c r="B50" s="54">
        <v>0</v>
      </c>
      <c r="C50" s="54">
        <v>1</v>
      </c>
      <c r="D50" s="54">
        <v>1</v>
      </c>
      <c r="E50" s="54">
        <v>4</v>
      </c>
      <c r="F50" s="54">
        <v>1</v>
      </c>
      <c r="G50" s="54">
        <v>4</v>
      </c>
      <c r="H50" s="54">
        <v>0</v>
      </c>
      <c r="I50" s="54">
        <v>3</v>
      </c>
      <c r="J50" s="54">
        <v>5</v>
      </c>
      <c r="K50" s="54">
        <v>0</v>
      </c>
      <c r="L50" s="54">
        <v>0</v>
      </c>
      <c r="M50" s="54">
        <v>2</v>
      </c>
      <c r="N50" s="54">
        <v>0</v>
      </c>
      <c r="O50" s="54">
        <v>4</v>
      </c>
      <c r="P50" s="54">
        <v>1</v>
      </c>
      <c r="Q50" s="54">
        <v>3</v>
      </c>
      <c r="R50" s="54">
        <v>1</v>
      </c>
      <c r="S50" s="54">
        <v>2</v>
      </c>
      <c r="T50" s="54">
        <v>2</v>
      </c>
      <c r="U50" s="54">
        <v>1</v>
      </c>
      <c r="V50" s="54">
        <v>4</v>
      </c>
      <c r="W50" s="54">
        <v>1</v>
      </c>
      <c r="X50" s="54">
        <v>2</v>
      </c>
      <c r="Y50" s="54">
        <v>0</v>
      </c>
      <c r="Z50" s="54">
        <v>0</v>
      </c>
      <c r="AA50" s="54">
        <v>0</v>
      </c>
      <c r="AB50" s="54">
        <v>1</v>
      </c>
      <c r="AC50" s="54">
        <v>2</v>
      </c>
      <c r="AD50" s="54">
        <v>0</v>
      </c>
      <c r="AE50" s="54">
        <v>1</v>
      </c>
      <c r="AF50" s="54">
        <v>1</v>
      </c>
      <c r="AG50" s="5">
        <f t="shared" si="2"/>
        <v>47</v>
      </c>
    </row>
    <row r="51" spans="1:33" ht="15.75" customHeight="1" x14ac:dyDescent="0.25">
      <c r="A51" s="56" t="s">
        <v>24</v>
      </c>
      <c r="B51" s="54">
        <v>0</v>
      </c>
      <c r="C51" s="54">
        <v>3</v>
      </c>
      <c r="D51" s="54">
        <v>1</v>
      </c>
      <c r="E51" s="54">
        <v>2</v>
      </c>
      <c r="F51" s="54">
        <v>1</v>
      </c>
      <c r="G51" s="54">
        <v>3</v>
      </c>
      <c r="H51" s="54">
        <v>1</v>
      </c>
      <c r="I51" s="54">
        <v>0</v>
      </c>
      <c r="J51" s="54">
        <v>0</v>
      </c>
      <c r="K51" s="54">
        <v>0</v>
      </c>
      <c r="L51" s="54">
        <v>1</v>
      </c>
      <c r="M51" s="54">
        <v>0</v>
      </c>
      <c r="N51" s="54">
        <v>0</v>
      </c>
      <c r="O51" s="54">
        <v>2</v>
      </c>
      <c r="P51" s="54">
        <v>1</v>
      </c>
      <c r="Q51" s="54">
        <v>0</v>
      </c>
      <c r="R51" s="54">
        <v>3</v>
      </c>
      <c r="S51" s="54">
        <v>3</v>
      </c>
      <c r="T51" s="54">
        <v>0</v>
      </c>
      <c r="U51" s="54">
        <v>2</v>
      </c>
      <c r="V51" s="54">
        <v>1</v>
      </c>
      <c r="W51" s="54">
        <v>3</v>
      </c>
      <c r="X51" s="54">
        <v>0</v>
      </c>
      <c r="Y51" s="54">
        <v>1</v>
      </c>
      <c r="Z51" s="54">
        <v>0</v>
      </c>
      <c r="AA51" s="54">
        <v>1</v>
      </c>
      <c r="AB51" s="54">
        <v>0</v>
      </c>
      <c r="AC51" s="54">
        <v>1</v>
      </c>
      <c r="AD51" s="54">
        <v>0</v>
      </c>
      <c r="AE51" s="54">
        <v>1</v>
      </c>
      <c r="AF51" s="54">
        <v>2</v>
      </c>
      <c r="AG51" s="5">
        <f t="shared" si="2"/>
        <v>33</v>
      </c>
    </row>
    <row r="52" spans="1:33" ht="15.75" customHeight="1" thickBot="1" x14ac:dyDescent="0.3">
      <c r="A52" s="57" t="s">
        <v>25</v>
      </c>
      <c r="B52" s="58">
        <v>2</v>
      </c>
      <c r="C52" s="58">
        <v>0</v>
      </c>
      <c r="D52" s="58">
        <v>1</v>
      </c>
      <c r="E52" s="58">
        <v>2</v>
      </c>
      <c r="F52" s="58">
        <v>0</v>
      </c>
      <c r="G52" s="58">
        <v>1</v>
      </c>
      <c r="H52" s="58">
        <v>1</v>
      </c>
      <c r="I52" s="58">
        <v>5</v>
      </c>
      <c r="J52" s="58">
        <v>0</v>
      </c>
      <c r="K52" s="58">
        <v>0</v>
      </c>
      <c r="L52" s="58">
        <v>0</v>
      </c>
      <c r="M52" s="58">
        <v>0</v>
      </c>
      <c r="N52" s="58">
        <v>2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1</v>
      </c>
      <c r="W52" s="58">
        <v>0</v>
      </c>
      <c r="X52" s="58">
        <v>0</v>
      </c>
      <c r="Y52" s="58">
        <v>2</v>
      </c>
      <c r="Z52" s="58">
        <v>0</v>
      </c>
      <c r="AA52" s="58">
        <v>0</v>
      </c>
      <c r="AB52" s="58">
        <v>0</v>
      </c>
      <c r="AC52" s="58">
        <v>0</v>
      </c>
      <c r="AD52" s="60">
        <v>2</v>
      </c>
      <c r="AE52" s="60">
        <v>0</v>
      </c>
      <c r="AF52" s="60">
        <v>1</v>
      </c>
      <c r="AG52" s="9">
        <f t="shared" si="2"/>
        <v>20</v>
      </c>
    </row>
    <row r="53" spans="1:33" ht="15.75" customHeight="1" thickBot="1" x14ac:dyDescent="0.3">
      <c r="A53" s="52" t="s">
        <v>27</v>
      </c>
      <c r="B53" s="1">
        <f t="shared" ref="B53:AF53" si="4">SUM(B54:B77)</f>
        <v>3</v>
      </c>
      <c r="C53" s="1">
        <f t="shared" si="4"/>
        <v>7</v>
      </c>
      <c r="D53" s="1">
        <f t="shared" si="4"/>
        <v>6</v>
      </c>
      <c r="E53" s="1">
        <f t="shared" si="4"/>
        <v>5</v>
      </c>
      <c r="F53" s="1">
        <f t="shared" si="4"/>
        <v>3</v>
      </c>
      <c r="G53" s="1">
        <f t="shared" si="4"/>
        <v>17</v>
      </c>
      <c r="H53" s="1">
        <f t="shared" si="4"/>
        <v>6</v>
      </c>
      <c r="I53" s="1">
        <f t="shared" si="4"/>
        <v>9</v>
      </c>
      <c r="J53" s="1">
        <f t="shared" si="4"/>
        <v>4</v>
      </c>
      <c r="K53" s="1">
        <f t="shared" si="4"/>
        <v>2</v>
      </c>
      <c r="L53" s="1">
        <f t="shared" si="4"/>
        <v>5</v>
      </c>
      <c r="M53" s="1">
        <f t="shared" si="4"/>
        <v>25</v>
      </c>
      <c r="N53" s="1">
        <f t="shared" si="4"/>
        <v>24</v>
      </c>
      <c r="O53" s="1">
        <f t="shared" si="4"/>
        <v>10</v>
      </c>
      <c r="P53" s="1">
        <f t="shared" si="4"/>
        <v>16</v>
      </c>
      <c r="Q53" s="1">
        <f t="shared" si="4"/>
        <v>13</v>
      </c>
      <c r="R53" s="1">
        <f t="shared" si="4"/>
        <v>1</v>
      </c>
      <c r="S53" s="1">
        <f t="shared" si="4"/>
        <v>26</v>
      </c>
      <c r="T53" s="1">
        <f t="shared" si="4"/>
        <v>13</v>
      </c>
      <c r="U53" s="1">
        <f t="shared" si="4"/>
        <v>18</v>
      </c>
      <c r="V53" s="1">
        <f t="shared" si="4"/>
        <v>5</v>
      </c>
      <c r="W53" s="1">
        <f t="shared" si="4"/>
        <v>2</v>
      </c>
      <c r="X53" s="1">
        <f t="shared" si="4"/>
        <v>11</v>
      </c>
      <c r="Y53" s="1">
        <f t="shared" si="4"/>
        <v>8</v>
      </c>
      <c r="Z53" s="1">
        <f t="shared" si="4"/>
        <v>2</v>
      </c>
      <c r="AA53" s="1">
        <f t="shared" si="4"/>
        <v>16</v>
      </c>
      <c r="AB53" s="1">
        <f t="shared" si="4"/>
        <v>8</v>
      </c>
      <c r="AC53" s="1">
        <f t="shared" si="4"/>
        <v>2</v>
      </c>
      <c r="AD53" s="1">
        <f t="shared" si="4"/>
        <v>4</v>
      </c>
      <c r="AE53" s="1">
        <f t="shared" si="4"/>
        <v>4</v>
      </c>
      <c r="AF53" s="1">
        <f t="shared" si="4"/>
        <v>9</v>
      </c>
      <c r="AG53" s="10">
        <f t="shared" si="2"/>
        <v>284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0</v>
      </c>
    </row>
    <row r="55" spans="1:33" ht="15.75" customHeight="1" x14ac:dyDescent="0.25">
      <c r="A55" s="56" t="s">
        <v>3</v>
      </c>
      <c r="B55" s="54">
        <v>1</v>
      </c>
      <c r="C55" s="54">
        <v>0</v>
      </c>
      <c r="D55" s="54">
        <v>1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1</v>
      </c>
      <c r="T55" s="54">
        <v>0</v>
      </c>
      <c r="U55" s="54">
        <v>0</v>
      </c>
      <c r="V55" s="54">
        <v>1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4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1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1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0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1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1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">
        <f t="shared" si="2"/>
        <v>1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1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2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>
        <v>1</v>
      </c>
      <c r="AG60" s="5">
        <f t="shared" si="2"/>
        <v>4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1</v>
      </c>
      <c r="E61" s="54">
        <v>1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2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1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3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">
        <f t="shared" si="2"/>
        <v>8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1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4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1</v>
      </c>
      <c r="Z62" s="54">
        <v>2</v>
      </c>
      <c r="AA62" s="54">
        <v>0</v>
      </c>
      <c r="AB62" s="54">
        <v>0</v>
      </c>
      <c r="AC62" s="54">
        <v>0</v>
      </c>
      <c r="AD62" s="54">
        <v>0</v>
      </c>
      <c r="AE62" s="54">
        <v>0</v>
      </c>
      <c r="AF62" s="54">
        <v>3</v>
      </c>
      <c r="AG62" s="5">
        <f t="shared" si="2"/>
        <v>11</v>
      </c>
    </row>
    <row r="63" spans="1:33" ht="15.75" customHeight="1" x14ac:dyDescent="0.25">
      <c r="A63" s="56" t="s">
        <v>11</v>
      </c>
      <c r="B63" s="54">
        <v>0</v>
      </c>
      <c r="C63" s="54">
        <v>1</v>
      </c>
      <c r="D63" s="54">
        <v>0</v>
      </c>
      <c r="E63" s="54">
        <v>2</v>
      </c>
      <c r="F63" s="54">
        <v>1</v>
      </c>
      <c r="G63" s="54">
        <v>0</v>
      </c>
      <c r="H63" s="54">
        <v>0</v>
      </c>
      <c r="I63" s="54">
        <v>0</v>
      </c>
      <c r="J63" s="54">
        <v>0</v>
      </c>
      <c r="K63" s="54">
        <v>0</v>
      </c>
      <c r="L63" s="54">
        <v>2</v>
      </c>
      <c r="M63" s="54">
        <v>0</v>
      </c>
      <c r="N63" s="54">
        <v>0</v>
      </c>
      <c r="O63" s="54">
        <v>0</v>
      </c>
      <c r="P63" s="54">
        <v>0</v>
      </c>
      <c r="Q63" s="54">
        <v>1</v>
      </c>
      <c r="R63" s="54">
        <v>0</v>
      </c>
      <c r="S63" s="54">
        <v>4</v>
      </c>
      <c r="T63" s="54">
        <v>0</v>
      </c>
      <c r="U63" s="54">
        <v>1</v>
      </c>
      <c r="V63" s="54">
        <v>0</v>
      </c>
      <c r="W63" s="54">
        <v>0</v>
      </c>
      <c r="X63" s="54">
        <v>2</v>
      </c>
      <c r="Y63" s="54">
        <v>1</v>
      </c>
      <c r="Z63" s="54">
        <v>0</v>
      </c>
      <c r="AA63" s="54">
        <v>0</v>
      </c>
      <c r="AB63" s="54">
        <v>1</v>
      </c>
      <c r="AC63" s="54">
        <v>0</v>
      </c>
      <c r="AD63" s="54">
        <v>0</v>
      </c>
      <c r="AE63" s="54">
        <v>0</v>
      </c>
      <c r="AF63" s="54">
        <v>1</v>
      </c>
      <c r="AG63" s="5">
        <f t="shared" si="2"/>
        <v>17</v>
      </c>
    </row>
    <row r="64" spans="1:33" ht="15.75" customHeight="1" x14ac:dyDescent="0.25">
      <c r="A64" s="56" t="s">
        <v>12</v>
      </c>
      <c r="B64" s="54">
        <v>0</v>
      </c>
      <c r="C64" s="54">
        <v>3</v>
      </c>
      <c r="D64" s="54">
        <v>1</v>
      </c>
      <c r="E64" s="54">
        <v>0</v>
      </c>
      <c r="F64" s="54">
        <v>1</v>
      </c>
      <c r="G64" s="54">
        <v>0</v>
      </c>
      <c r="H64" s="54">
        <v>1</v>
      </c>
      <c r="I64" s="54">
        <v>2</v>
      </c>
      <c r="J64" s="54">
        <v>0</v>
      </c>
      <c r="K64" s="54">
        <v>0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1</v>
      </c>
      <c r="R64" s="54">
        <v>0</v>
      </c>
      <c r="S64" s="54">
        <v>4</v>
      </c>
      <c r="T64" s="54">
        <v>2</v>
      </c>
      <c r="U64" s="54">
        <v>0</v>
      </c>
      <c r="V64" s="54">
        <v>0</v>
      </c>
      <c r="W64" s="54">
        <v>1</v>
      </c>
      <c r="X64" s="54">
        <v>2</v>
      </c>
      <c r="Y64" s="54">
        <v>0</v>
      </c>
      <c r="Z64" s="54">
        <v>0</v>
      </c>
      <c r="AA64" s="54">
        <v>0</v>
      </c>
      <c r="AB64" s="54">
        <v>0</v>
      </c>
      <c r="AC64" s="54">
        <v>0</v>
      </c>
      <c r="AD64" s="54">
        <v>1</v>
      </c>
      <c r="AE64" s="54">
        <v>0</v>
      </c>
      <c r="AF64" s="54">
        <v>1</v>
      </c>
      <c r="AG64" s="5">
        <f t="shared" si="2"/>
        <v>20</v>
      </c>
    </row>
    <row r="65" spans="1:33" ht="15.75" customHeight="1" x14ac:dyDescent="0.25">
      <c r="A65" s="56" t="s">
        <v>13</v>
      </c>
      <c r="B65" s="54">
        <v>0</v>
      </c>
      <c r="C65" s="54">
        <v>1</v>
      </c>
      <c r="D65" s="54">
        <v>1</v>
      </c>
      <c r="E65" s="54">
        <v>0</v>
      </c>
      <c r="F65" s="54">
        <v>0</v>
      </c>
      <c r="G65" s="54">
        <v>5</v>
      </c>
      <c r="H65" s="54">
        <v>0</v>
      </c>
      <c r="I65" s="54">
        <v>0</v>
      </c>
      <c r="J65" s="54">
        <v>0</v>
      </c>
      <c r="K65" s="54">
        <v>2</v>
      </c>
      <c r="L65" s="54">
        <v>0</v>
      </c>
      <c r="M65" s="54">
        <v>3</v>
      </c>
      <c r="N65" s="54">
        <v>0</v>
      </c>
      <c r="O65" s="54">
        <v>2</v>
      </c>
      <c r="P65" s="54">
        <v>2</v>
      </c>
      <c r="Q65" s="54">
        <v>7</v>
      </c>
      <c r="R65" s="54">
        <v>0</v>
      </c>
      <c r="S65" s="54">
        <v>9</v>
      </c>
      <c r="T65" s="54">
        <v>1</v>
      </c>
      <c r="U65" s="54">
        <v>0</v>
      </c>
      <c r="V65" s="54">
        <v>0</v>
      </c>
      <c r="W65" s="54">
        <v>0</v>
      </c>
      <c r="X65" s="54">
        <v>3</v>
      </c>
      <c r="Y65" s="54">
        <v>0</v>
      </c>
      <c r="Z65" s="54">
        <v>0</v>
      </c>
      <c r="AA65" s="54">
        <v>5</v>
      </c>
      <c r="AB65" s="54">
        <v>0</v>
      </c>
      <c r="AC65" s="54">
        <v>0</v>
      </c>
      <c r="AD65" s="54">
        <v>1</v>
      </c>
      <c r="AE65" s="54">
        <v>1</v>
      </c>
      <c r="AF65" s="54">
        <v>1</v>
      </c>
      <c r="AG65" s="5">
        <f t="shared" si="2"/>
        <v>44</v>
      </c>
    </row>
    <row r="66" spans="1:33" ht="15.75" customHeight="1" x14ac:dyDescent="0.25">
      <c r="A66" s="56" t="s">
        <v>14</v>
      </c>
      <c r="B66" s="54">
        <v>0</v>
      </c>
      <c r="C66" s="54">
        <v>2</v>
      </c>
      <c r="D66" s="54">
        <v>0</v>
      </c>
      <c r="E66" s="54">
        <v>0</v>
      </c>
      <c r="F66" s="54">
        <v>0</v>
      </c>
      <c r="G66" s="54">
        <v>0</v>
      </c>
      <c r="H66" s="54">
        <v>3</v>
      </c>
      <c r="I66" s="54">
        <v>0</v>
      </c>
      <c r="J66" s="54">
        <v>2</v>
      </c>
      <c r="K66" s="54">
        <v>0</v>
      </c>
      <c r="L66" s="54">
        <v>0</v>
      </c>
      <c r="M66" s="54">
        <v>2</v>
      </c>
      <c r="N66" s="54">
        <v>2</v>
      </c>
      <c r="O66" s="54">
        <v>3</v>
      </c>
      <c r="P66" s="54">
        <v>2</v>
      </c>
      <c r="Q66" s="54">
        <v>3</v>
      </c>
      <c r="R66" s="54">
        <v>0</v>
      </c>
      <c r="S66" s="54">
        <v>0</v>
      </c>
      <c r="T66" s="54">
        <v>5</v>
      </c>
      <c r="U66" s="54">
        <v>1</v>
      </c>
      <c r="V66" s="54">
        <v>0</v>
      </c>
      <c r="W66" s="54">
        <v>1</v>
      </c>
      <c r="X66" s="54">
        <v>2</v>
      </c>
      <c r="Y66" s="54">
        <v>0</v>
      </c>
      <c r="Z66" s="54">
        <v>0</v>
      </c>
      <c r="AA66" s="54">
        <v>4</v>
      </c>
      <c r="AB66" s="54">
        <v>3</v>
      </c>
      <c r="AC66" s="54">
        <v>2</v>
      </c>
      <c r="AD66" s="54">
        <v>0</v>
      </c>
      <c r="AE66" s="54">
        <v>3</v>
      </c>
      <c r="AF66" s="54">
        <v>0</v>
      </c>
      <c r="AG66" s="5">
        <f t="shared" si="2"/>
        <v>40</v>
      </c>
    </row>
    <row r="67" spans="1:33" ht="15.75" customHeight="1" x14ac:dyDescent="0.25">
      <c r="A67" s="56" t="s">
        <v>15</v>
      </c>
      <c r="B67" s="54">
        <v>0</v>
      </c>
      <c r="C67" s="54">
        <v>0</v>
      </c>
      <c r="D67" s="54">
        <v>0</v>
      </c>
      <c r="E67" s="54">
        <v>0</v>
      </c>
      <c r="F67" s="54">
        <v>1</v>
      </c>
      <c r="G67" s="54">
        <v>6</v>
      </c>
      <c r="H67" s="54">
        <v>1</v>
      </c>
      <c r="I67" s="54">
        <v>4</v>
      </c>
      <c r="J67" s="54">
        <v>1</v>
      </c>
      <c r="K67" s="54">
        <v>0</v>
      </c>
      <c r="L67" s="54">
        <v>0</v>
      </c>
      <c r="M67" s="54">
        <v>1</v>
      </c>
      <c r="N67" s="54">
        <v>1</v>
      </c>
      <c r="O67" s="54">
        <v>0</v>
      </c>
      <c r="P67" s="54">
        <v>5</v>
      </c>
      <c r="Q67" s="54">
        <v>0</v>
      </c>
      <c r="R67" s="54">
        <v>0</v>
      </c>
      <c r="S67" s="54">
        <v>2</v>
      </c>
      <c r="T67" s="54">
        <v>4</v>
      </c>
      <c r="U67" s="54">
        <v>1</v>
      </c>
      <c r="V67" s="54">
        <v>1</v>
      </c>
      <c r="W67" s="54">
        <v>0</v>
      </c>
      <c r="X67" s="54">
        <v>1</v>
      </c>
      <c r="Y67" s="54">
        <v>1</v>
      </c>
      <c r="Z67" s="54">
        <v>0</v>
      </c>
      <c r="AA67" s="54">
        <v>2</v>
      </c>
      <c r="AB67" s="54">
        <v>1</v>
      </c>
      <c r="AC67" s="54">
        <v>0</v>
      </c>
      <c r="AD67" s="54">
        <v>1</v>
      </c>
      <c r="AE67" s="54">
        <v>0</v>
      </c>
      <c r="AF67" s="54">
        <v>0</v>
      </c>
      <c r="AG67" s="5">
        <f t="shared" ref="AG67:AG98" si="5">SUM(B67:AF67)</f>
        <v>34</v>
      </c>
    </row>
    <row r="68" spans="1:33" ht="15.75" customHeight="1" x14ac:dyDescent="0.25">
      <c r="A68" s="56" t="s">
        <v>16</v>
      </c>
      <c r="B68" s="54">
        <v>0</v>
      </c>
      <c r="C68" s="54">
        <v>0</v>
      </c>
      <c r="D68" s="54">
        <v>0</v>
      </c>
      <c r="E68" s="54">
        <v>1</v>
      </c>
      <c r="F68" s="54">
        <v>0</v>
      </c>
      <c r="G68" s="54">
        <v>2</v>
      </c>
      <c r="H68" s="54">
        <v>0</v>
      </c>
      <c r="I68" s="54">
        <v>2</v>
      </c>
      <c r="J68" s="54">
        <v>0</v>
      </c>
      <c r="K68" s="54">
        <v>0</v>
      </c>
      <c r="L68" s="54">
        <v>0</v>
      </c>
      <c r="M68" s="54">
        <v>1</v>
      </c>
      <c r="N68" s="54">
        <v>3</v>
      </c>
      <c r="O68" s="54">
        <v>0</v>
      </c>
      <c r="P68" s="54">
        <v>1</v>
      </c>
      <c r="Q68" s="54">
        <v>0</v>
      </c>
      <c r="R68" s="54">
        <v>0</v>
      </c>
      <c r="S68" s="54">
        <v>0</v>
      </c>
      <c r="T68" s="54">
        <v>0</v>
      </c>
      <c r="U68" s="54">
        <v>1</v>
      </c>
      <c r="V68" s="54">
        <v>0</v>
      </c>
      <c r="W68" s="54">
        <v>0</v>
      </c>
      <c r="X68" s="54">
        <v>0</v>
      </c>
      <c r="Y68" s="54">
        <v>0</v>
      </c>
      <c r="Z68" s="54">
        <v>0</v>
      </c>
      <c r="AA68" s="54">
        <v>2</v>
      </c>
      <c r="AB68" s="54">
        <v>3</v>
      </c>
      <c r="AC68" s="54">
        <v>0</v>
      </c>
      <c r="AD68" s="54">
        <v>0</v>
      </c>
      <c r="AE68" s="54">
        <v>0</v>
      </c>
      <c r="AF68" s="54">
        <v>0</v>
      </c>
      <c r="AG68" s="5">
        <f t="shared" si="5"/>
        <v>16</v>
      </c>
    </row>
    <row r="69" spans="1:33" ht="15.75" customHeight="1" x14ac:dyDescent="0.25">
      <c r="A69" s="56" t="s">
        <v>17</v>
      </c>
      <c r="B69" s="54">
        <v>0</v>
      </c>
      <c r="C69" s="54">
        <v>0</v>
      </c>
      <c r="D69" s="54">
        <v>0</v>
      </c>
      <c r="E69" s="54">
        <v>1</v>
      </c>
      <c r="F69" s="54">
        <v>0</v>
      </c>
      <c r="G69" s="54">
        <v>0</v>
      </c>
      <c r="H69" s="54">
        <v>0</v>
      </c>
      <c r="I69" s="54">
        <v>0</v>
      </c>
      <c r="J69" s="54">
        <v>1</v>
      </c>
      <c r="K69" s="54">
        <v>0</v>
      </c>
      <c r="L69" s="54">
        <v>0</v>
      </c>
      <c r="M69" s="54">
        <v>0</v>
      </c>
      <c r="N69" s="54">
        <v>3</v>
      </c>
      <c r="O69" s="54">
        <v>0</v>
      </c>
      <c r="P69" s="54">
        <v>2</v>
      </c>
      <c r="Q69" s="54">
        <v>0</v>
      </c>
      <c r="R69" s="54">
        <v>0</v>
      </c>
      <c r="S69" s="54">
        <v>0</v>
      </c>
      <c r="T69" s="54">
        <v>1</v>
      </c>
      <c r="U69" s="54">
        <v>2</v>
      </c>
      <c r="V69" s="54">
        <v>0</v>
      </c>
      <c r="W69" s="54">
        <v>0</v>
      </c>
      <c r="X69" s="54">
        <v>0</v>
      </c>
      <c r="Y69" s="54">
        <v>0</v>
      </c>
      <c r="Z69" s="54">
        <v>0</v>
      </c>
      <c r="AA69" s="54">
        <v>1</v>
      </c>
      <c r="AB69" s="54">
        <v>0</v>
      </c>
      <c r="AC69" s="54">
        <v>0</v>
      </c>
      <c r="AD69" s="54">
        <v>1</v>
      </c>
      <c r="AE69" s="54">
        <v>0</v>
      </c>
      <c r="AF69" s="54">
        <v>1</v>
      </c>
      <c r="AG69" s="5">
        <f t="shared" si="5"/>
        <v>13</v>
      </c>
    </row>
    <row r="70" spans="1:33" ht="15.75" customHeight="1" x14ac:dyDescent="0.25">
      <c r="A70" s="56" t="s">
        <v>18</v>
      </c>
      <c r="B70" s="54">
        <v>1</v>
      </c>
      <c r="C70" s="54">
        <v>0</v>
      </c>
      <c r="D70" s="54">
        <v>0</v>
      </c>
      <c r="E70" s="54">
        <v>0</v>
      </c>
      <c r="F70" s="54">
        <v>0</v>
      </c>
      <c r="G70" s="54">
        <v>3</v>
      </c>
      <c r="H70" s="54">
        <v>0</v>
      </c>
      <c r="I70" s="54">
        <v>1</v>
      </c>
      <c r="J70" s="54">
        <v>0</v>
      </c>
      <c r="K70" s="54">
        <v>0</v>
      </c>
      <c r="L70" s="54">
        <v>0</v>
      </c>
      <c r="M70" s="54">
        <v>12</v>
      </c>
      <c r="N70" s="54">
        <v>1</v>
      </c>
      <c r="O70" s="54">
        <v>3</v>
      </c>
      <c r="P70" s="54">
        <v>0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1</v>
      </c>
      <c r="Y70" s="54">
        <v>0</v>
      </c>
      <c r="Z70" s="54">
        <v>0</v>
      </c>
      <c r="AA70" s="54">
        <v>2</v>
      </c>
      <c r="AB70" s="54">
        <v>0</v>
      </c>
      <c r="AC70" s="54">
        <v>0</v>
      </c>
      <c r="AD70" s="55">
        <v>0</v>
      </c>
      <c r="AE70" s="55">
        <v>0</v>
      </c>
      <c r="AF70" s="55">
        <v>0</v>
      </c>
      <c r="AG70" s="5">
        <f t="shared" si="5"/>
        <v>24</v>
      </c>
    </row>
    <row r="71" spans="1:33" ht="15.75" customHeight="1" x14ac:dyDescent="0.25">
      <c r="A71" s="56" t="s">
        <v>19</v>
      </c>
      <c r="B71" s="54">
        <v>0</v>
      </c>
      <c r="C71" s="54">
        <v>0</v>
      </c>
      <c r="D71" s="54">
        <v>0</v>
      </c>
      <c r="E71" s="54">
        <v>0</v>
      </c>
      <c r="F71" s="54">
        <v>0</v>
      </c>
      <c r="G71" s="54">
        <v>1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3</v>
      </c>
      <c r="N71" s="54">
        <v>8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0</v>
      </c>
      <c r="U71" s="54">
        <v>2</v>
      </c>
      <c r="V71" s="54">
        <v>1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>
        <v>0</v>
      </c>
      <c r="AE71" s="55">
        <v>0</v>
      </c>
      <c r="AF71" s="55">
        <v>0</v>
      </c>
      <c r="AG71" s="5">
        <f t="shared" si="5"/>
        <v>15</v>
      </c>
    </row>
    <row r="72" spans="1:33" ht="15.75" customHeight="1" x14ac:dyDescent="0.25">
      <c r="A72" s="56" t="s">
        <v>20</v>
      </c>
      <c r="B72" s="54">
        <v>1</v>
      </c>
      <c r="C72" s="54">
        <v>0</v>
      </c>
      <c r="D72" s="54">
        <v>0</v>
      </c>
      <c r="E72" s="54">
        <v>0</v>
      </c>
      <c r="F72" s="54">
        <v>0</v>
      </c>
      <c r="G72" s="54">
        <v>0</v>
      </c>
      <c r="H72" s="54">
        <v>1</v>
      </c>
      <c r="I72" s="54">
        <v>0</v>
      </c>
      <c r="J72" s="54">
        <v>0</v>
      </c>
      <c r="K72" s="54">
        <v>0</v>
      </c>
      <c r="L72" s="54">
        <v>0</v>
      </c>
      <c r="M72" s="54">
        <v>2</v>
      </c>
      <c r="N72" s="54">
        <v>2</v>
      </c>
      <c r="O72" s="54">
        <v>0</v>
      </c>
      <c r="P72" s="54">
        <v>4</v>
      </c>
      <c r="Q72" s="54">
        <v>0</v>
      </c>
      <c r="R72" s="54">
        <v>0</v>
      </c>
      <c r="S72" s="54">
        <v>0</v>
      </c>
      <c r="T72" s="54">
        <v>0</v>
      </c>
      <c r="U72" s="54">
        <v>9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5">
        <v>0</v>
      </c>
      <c r="AE72" s="55">
        <v>0</v>
      </c>
      <c r="AF72" s="55">
        <v>1</v>
      </c>
      <c r="AG72" s="5">
        <f t="shared" si="5"/>
        <v>20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1</v>
      </c>
      <c r="N73" s="54">
        <v>1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1</v>
      </c>
      <c r="V73" s="54">
        <v>1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4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3</v>
      </c>
      <c r="O74" s="54">
        <v>2</v>
      </c>
      <c r="P74" s="54">
        <v>0</v>
      </c>
      <c r="Q74" s="54">
        <v>1</v>
      </c>
      <c r="R74" s="54">
        <v>0</v>
      </c>
      <c r="S74" s="54">
        <v>0</v>
      </c>
      <c r="T74" s="54">
        <v>0</v>
      </c>
      <c r="U74" s="54">
        <v>0</v>
      </c>
      <c r="V74" s="54">
        <v>1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7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0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168</v>
      </c>
      <c r="C78" s="11">
        <f t="shared" si="6"/>
        <v>112</v>
      </c>
      <c r="D78" s="11">
        <f t="shared" si="6"/>
        <v>184</v>
      </c>
      <c r="E78" s="11">
        <f t="shared" si="6"/>
        <v>203</v>
      </c>
      <c r="F78" s="11">
        <f t="shared" si="6"/>
        <v>120</v>
      </c>
      <c r="G78" s="11">
        <f t="shared" si="6"/>
        <v>130</v>
      </c>
      <c r="H78" s="11">
        <f t="shared" si="6"/>
        <v>118</v>
      </c>
      <c r="I78" s="11">
        <f t="shared" si="6"/>
        <v>136</v>
      </c>
      <c r="J78" s="11">
        <f t="shared" si="6"/>
        <v>139</v>
      </c>
      <c r="K78" s="11">
        <f t="shared" si="6"/>
        <v>171</v>
      </c>
      <c r="L78" s="11">
        <f t="shared" si="6"/>
        <v>174</v>
      </c>
      <c r="M78" s="11">
        <f t="shared" si="6"/>
        <v>156</v>
      </c>
      <c r="N78" s="11">
        <f t="shared" si="6"/>
        <v>158</v>
      </c>
      <c r="O78" s="11">
        <f t="shared" si="6"/>
        <v>143</v>
      </c>
      <c r="P78" s="11">
        <f t="shared" si="6"/>
        <v>142</v>
      </c>
      <c r="Q78" s="11">
        <f t="shared" si="6"/>
        <v>135</v>
      </c>
      <c r="R78" s="11">
        <f t="shared" si="6"/>
        <v>182</v>
      </c>
      <c r="S78" s="11">
        <f t="shared" si="6"/>
        <v>215</v>
      </c>
      <c r="T78" s="11">
        <f t="shared" si="6"/>
        <v>153</v>
      </c>
      <c r="U78" s="11">
        <f t="shared" si="6"/>
        <v>149</v>
      </c>
      <c r="V78" s="11">
        <f t="shared" si="6"/>
        <v>227</v>
      </c>
      <c r="W78" s="11">
        <f t="shared" si="6"/>
        <v>119</v>
      </c>
      <c r="X78" s="11">
        <f t="shared" si="6"/>
        <v>145</v>
      </c>
      <c r="Y78" s="11">
        <f t="shared" si="6"/>
        <v>177</v>
      </c>
      <c r="Z78" s="11">
        <f t="shared" si="6"/>
        <v>170</v>
      </c>
      <c r="AA78" s="11">
        <f t="shared" si="6"/>
        <v>163</v>
      </c>
      <c r="AB78" s="11">
        <f t="shared" si="6"/>
        <v>130</v>
      </c>
      <c r="AC78" s="11">
        <f t="shared" si="6"/>
        <v>120</v>
      </c>
      <c r="AD78" s="11">
        <f t="shared" si="6"/>
        <v>132</v>
      </c>
      <c r="AE78" s="11">
        <f t="shared" si="6"/>
        <v>117</v>
      </c>
      <c r="AF78" s="11">
        <f t="shared" si="6"/>
        <v>175</v>
      </c>
      <c r="AG78" s="10">
        <f t="shared" si="5"/>
        <v>4763</v>
      </c>
    </row>
    <row r="79" spans="1:33" ht="19.5" customHeight="1" x14ac:dyDescent="0.25">
      <c r="A79" s="64" t="s">
        <v>29</v>
      </c>
      <c r="B79" s="3">
        <f t="shared" ref="B79" si="7">SUM(B4:B27)-B80</f>
        <v>168</v>
      </c>
      <c r="C79" s="3">
        <f t="shared" ref="C79" si="8">SUM(C4:C27)-C80</f>
        <v>112</v>
      </c>
      <c r="D79" s="3">
        <f t="shared" ref="D79:AF79" si="9">SUM(D4:D27)-D80</f>
        <v>184</v>
      </c>
      <c r="E79" s="3">
        <f t="shared" si="9"/>
        <v>203</v>
      </c>
      <c r="F79" s="3">
        <f t="shared" si="9"/>
        <v>120</v>
      </c>
      <c r="G79" s="3">
        <f t="shared" si="9"/>
        <v>130</v>
      </c>
      <c r="H79" s="3">
        <f t="shared" si="9"/>
        <v>118</v>
      </c>
      <c r="I79" s="3">
        <f t="shared" si="9"/>
        <v>136</v>
      </c>
      <c r="J79" s="3">
        <f t="shared" si="9"/>
        <v>139</v>
      </c>
      <c r="K79" s="3">
        <f t="shared" si="9"/>
        <v>171</v>
      </c>
      <c r="L79" s="3">
        <f t="shared" si="9"/>
        <v>174</v>
      </c>
      <c r="M79" s="3">
        <f t="shared" si="9"/>
        <v>156</v>
      </c>
      <c r="N79" s="3">
        <f t="shared" si="9"/>
        <v>158</v>
      </c>
      <c r="O79" s="3">
        <f t="shared" si="9"/>
        <v>143</v>
      </c>
      <c r="P79" s="3">
        <f t="shared" si="9"/>
        <v>142</v>
      </c>
      <c r="Q79" s="3">
        <f t="shared" si="9"/>
        <v>135</v>
      </c>
      <c r="R79" s="3">
        <f t="shared" si="9"/>
        <v>182</v>
      </c>
      <c r="S79" s="3">
        <f t="shared" si="9"/>
        <v>215</v>
      </c>
      <c r="T79" s="3">
        <f t="shared" si="9"/>
        <v>153</v>
      </c>
      <c r="U79" s="3">
        <f t="shared" si="9"/>
        <v>149</v>
      </c>
      <c r="V79" s="3">
        <f t="shared" si="9"/>
        <v>227</v>
      </c>
      <c r="W79" s="3">
        <f t="shared" si="9"/>
        <v>119</v>
      </c>
      <c r="X79" s="3">
        <f t="shared" si="9"/>
        <v>145</v>
      </c>
      <c r="Y79" s="3">
        <f t="shared" si="9"/>
        <v>177</v>
      </c>
      <c r="Z79" s="3">
        <f t="shared" si="9"/>
        <v>170</v>
      </c>
      <c r="AA79" s="3">
        <f t="shared" si="9"/>
        <v>163</v>
      </c>
      <c r="AB79" s="3">
        <f t="shared" si="9"/>
        <v>130</v>
      </c>
      <c r="AC79" s="3">
        <f t="shared" si="9"/>
        <v>120</v>
      </c>
      <c r="AD79" s="3">
        <f t="shared" si="9"/>
        <v>132</v>
      </c>
      <c r="AE79" s="3">
        <f t="shared" si="9"/>
        <v>117</v>
      </c>
      <c r="AF79" s="3">
        <f t="shared" si="9"/>
        <v>175</v>
      </c>
      <c r="AG79" s="4">
        <f t="shared" si="5"/>
        <v>4763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3</v>
      </c>
      <c r="C81" s="12">
        <f t="shared" si="10"/>
        <v>7</v>
      </c>
      <c r="D81" s="12">
        <f t="shared" si="10"/>
        <v>6</v>
      </c>
      <c r="E81" s="12">
        <f t="shared" si="10"/>
        <v>5</v>
      </c>
      <c r="F81" s="12">
        <f t="shared" si="10"/>
        <v>3</v>
      </c>
      <c r="G81" s="12">
        <f t="shared" si="10"/>
        <v>17</v>
      </c>
      <c r="H81" s="12">
        <f t="shared" si="10"/>
        <v>6</v>
      </c>
      <c r="I81" s="12">
        <f t="shared" si="10"/>
        <v>9</v>
      </c>
      <c r="J81" s="12">
        <f t="shared" si="10"/>
        <v>4</v>
      </c>
      <c r="K81" s="12">
        <f t="shared" si="10"/>
        <v>2</v>
      </c>
      <c r="L81" s="12">
        <f t="shared" si="10"/>
        <v>5</v>
      </c>
      <c r="M81" s="12">
        <f t="shared" si="10"/>
        <v>25</v>
      </c>
      <c r="N81" s="12">
        <f t="shared" si="10"/>
        <v>24</v>
      </c>
      <c r="O81" s="12">
        <f t="shared" si="10"/>
        <v>10</v>
      </c>
      <c r="P81" s="12">
        <f t="shared" si="10"/>
        <v>16</v>
      </c>
      <c r="Q81" s="12">
        <f t="shared" si="10"/>
        <v>13</v>
      </c>
      <c r="R81" s="12">
        <f t="shared" si="10"/>
        <v>1</v>
      </c>
      <c r="S81" s="12">
        <f t="shared" si="10"/>
        <v>26</v>
      </c>
      <c r="T81" s="12">
        <f t="shared" si="10"/>
        <v>13</v>
      </c>
      <c r="U81" s="12">
        <f t="shared" si="10"/>
        <v>18</v>
      </c>
      <c r="V81" s="12">
        <f t="shared" si="10"/>
        <v>5</v>
      </c>
      <c r="W81" s="12">
        <f t="shared" si="10"/>
        <v>2</v>
      </c>
      <c r="X81" s="12">
        <f t="shared" si="10"/>
        <v>11</v>
      </c>
      <c r="Y81" s="12">
        <f t="shared" si="10"/>
        <v>8</v>
      </c>
      <c r="Z81" s="12">
        <f t="shared" si="10"/>
        <v>2</v>
      </c>
      <c r="AA81" s="12">
        <f t="shared" si="10"/>
        <v>16</v>
      </c>
      <c r="AB81" s="12">
        <f t="shared" si="10"/>
        <v>8</v>
      </c>
      <c r="AC81" s="12">
        <f t="shared" si="10"/>
        <v>2</v>
      </c>
      <c r="AD81" s="12">
        <f t="shared" si="10"/>
        <v>4</v>
      </c>
      <c r="AE81" s="12">
        <f t="shared" si="10"/>
        <v>4</v>
      </c>
      <c r="AF81" s="12">
        <f t="shared" si="10"/>
        <v>9</v>
      </c>
      <c r="AG81" s="10">
        <f t="shared" si="5"/>
        <v>284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1</v>
      </c>
      <c r="C82" s="3">
        <f t="shared" si="11"/>
        <v>0</v>
      </c>
      <c r="D82" s="3">
        <f t="shared" si="11"/>
        <v>4</v>
      </c>
      <c r="E82" s="3">
        <f t="shared" si="11"/>
        <v>1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3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1</v>
      </c>
      <c r="S82" s="3">
        <f t="shared" si="11"/>
        <v>7</v>
      </c>
      <c r="T82" s="3">
        <f t="shared" si="11"/>
        <v>0</v>
      </c>
      <c r="U82" s="3">
        <f t="shared" si="11"/>
        <v>0</v>
      </c>
      <c r="V82" s="3">
        <f t="shared" si="11"/>
        <v>1</v>
      </c>
      <c r="W82" s="3">
        <f t="shared" si="11"/>
        <v>0</v>
      </c>
      <c r="X82" s="3">
        <f t="shared" si="11"/>
        <v>0</v>
      </c>
      <c r="Y82" s="3">
        <f t="shared" si="11"/>
        <v>6</v>
      </c>
      <c r="Z82" s="3">
        <f t="shared" si="11"/>
        <v>2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4</v>
      </c>
      <c r="AG82" s="4">
        <f t="shared" si="5"/>
        <v>30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2</v>
      </c>
      <c r="C83" s="8">
        <f t="shared" si="12"/>
        <v>7</v>
      </c>
      <c r="D83" s="8">
        <f t="shared" si="12"/>
        <v>2</v>
      </c>
      <c r="E83" s="8">
        <f t="shared" si="12"/>
        <v>4</v>
      </c>
      <c r="F83" s="8">
        <f t="shared" si="12"/>
        <v>3</v>
      </c>
      <c r="G83" s="8">
        <f t="shared" si="12"/>
        <v>17</v>
      </c>
      <c r="H83" s="8">
        <f t="shared" si="12"/>
        <v>6</v>
      </c>
      <c r="I83" s="8">
        <f t="shared" si="12"/>
        <v>9</v>
      </c>
      <c r="J83" s="8">
        <f t="shared" si="12"/>
        <v>4</v>
      </c>
      <c r="K83" s="8">
        <f t="shared" si="12"/>
        <v>2</v>
      </c>
      <c r="L83" s="8">
        <f t="shared" si="12"/>
        <v>2</v>
      </c>
      <c r="M83" s="8">
        <f t="shared" si="12"/>
        <v>25</v>
      </c>
      <c r="N83" s="8">
        <f t="shared" si="12"/>
        <v>24</v>
      </c>
      <c r="O83" s="8">
        <f t="shared" si="12"/>
        <v>10</v>
      </c>
      <c r="P83" s="8">
        <f t="shared" si="12"/>
        <v>16</v>
      </c>
      <c r="Q83" s="8">
        <f t="shared" si="12"/>
        <v>13</v>
      </c>
      <c r="R83" s="8">
        <f t="shared" si="12"/>
        <v>0</v>
      </c>
      <c r="S83" s="8">
        <f t="shared" si="12"/>
        <v>19</v>
      </c>
      <c r="T83" s="8">
        <f t="shared" si="12"/>
        <v>13</v>
      </c>
      <c r="U83" s="8">
        <f t="shared" si="12"/>
        <v>18</v>
      </c>
      <c r="V83" s="8">
        <f t="shared" si="12"/>
        <v>4</v>
      </c>
      <c r="W83" s="8">
        <f t="shared" si="12"/>
        <v>2</v>
      </c>
      <c r="X83" s="8">
        <f t="shared" si="12"/>
        <v>11</v>
      </c>
      <c r="Y83" s="8">
        <f t="shared" si="12"/>
        <v>2</v>
      </c>
      <c r="Z83" s="8">
        <f t="shared" si="12"/>
        <v>0</v>
      </c>
      <c r="AA83" s="8">
        <f t="shared" si="12"/>
        <v>16</v>
      </c>
      <c r="AB83" s="8">
        <f t="shared" si="12"/>
        <v>8</v>
      </c>
      <c r="AC83" s="8">
        <f t="shared" si="12"/>
        <v>2</v>
      </c>
      <c r="AD83" s="8">
        <f t="shared" si="12"/>
        <v>4</v>
      </c>
      <c r="AE83" s="8">
        <f t="shared" si="12"/>
        <v>4</v>
      </c>
      <c r="AF83" s="8">
        <f t="shared" si="12"/>
        <v>5</v>
      </c>
      <c r="AG83" s="5">
        <f t="shared" si="5"/>
        <v>254</v>
      </c>
    </row>
    <row r="84" spans="1:34" ht="15.75" customHeight="1" thickBot="1" x14ac:dyDescent="0.3">
      <c r="A84" s="67" t="s">
        <v>32</v>
      </c>
      <c r="B84" s="14">
        <f t="shared" ref="B84:AF84" si="13">SUM(B85:B86)</f>
        <v>3</v>
      </c>
      <c r="C84" s="14">
        <f t="shared" si="13"/>
        <v>7</v>
      </c>
      <c r="D84" s="14">
        <f t="shared" si="13"/>
        <v>6</v>
      </c>
      <c r="E84" s="14">
        <f t="shared" si="13"/>
        <v>5</v>
      </c>
      <c r="F84" s="14">
        <f t="shared" si="13"/>
        <v>3</v>
      </c>
      <c r="G84" s="14">
        <f t="shared" si="13"/>
        <v>17</v>
      </c>
      <c r="H84" s="14">
        <f t="shared" si="13"/>
        <v>6</v>
      </c>
      <c r="I84" s="14">
        <f t="shared" si="13"/>
        <v>9</v>
      </c>
      <c r="J84" s="14">
        <f t="shared" si="13"/>
        <v>4</v>
      </c>
      <c r="K84" s="14">
        <f t="shared" si="13"/>
        <v>2</v>
      </c>
      <c r="L84" s="14">
        <f t="shared" si="13"/>
        <v>5</v>
      </c>
      <c r="M84" s="14">
        <f t="shared" si="13"/>
        <v>25</v>
      </c>
      <c r="N84" s="14">
        <f t="shared" si="13"/>
        <v>24</v>
      </c>
      <c r="O84" s="14">
        <f t="shared" si="13"/>
        <v>10</v>
      </c>
      <c r="P84" s="14">
        <f t="shared" si="13"/>
        <v>16</v>
      </c>
      <c r="Q84" s="14">
        <f t="shared" si="13"/>
        <v>13</v>
      </c>
      <c r="R84" s="14">
        <f t="shared" si="13"/>
        <v>1</v>
      </c>
      <c r="S84" s="14">
        <f t="shared" si="13"/>
        <v>26</v>
      </c>
      <c r="T84" s="14">
        <f t="shared" si="13"/>
        <v>13</v>
      </c>
      <c r="U84" s="14">
        <f t="shared" si="13"/>
        <v>18</v>
      </c>
      <c r="V84" s="14">
        <f t="shared" si="13"/>
        <v>5</v>
      </c>
      <c r="W84" s="14">
        <f t="shared" si="13"/>
        <v>2</v>
      </c>
      <c r="X84" s="14">
        <f t="shared" si="13"/>
        <v>11</v>
      </c>
      <c r="Y84" s="14">
        <f t="shared" si="13"/>
        <v>8</v>
      </c>
      <c r="Z84" s="14">
        <f t="shared" si="13"/>
        <v>2</v>
      </c>
      <c r="AA84" s="14">
        <f t="shared" si="13"/>
        <v>16</v>
      </c>
      <c r="AB84" s="14">
        <f t="shared" si="13"/>
        <v>8</v>
      </c>
      <c r="AC84" s="14">
        <f t="shared" si="13"/>
        <v>2</v>
      </c>
      <c r="AD84" s="14">
        <f t="shared" si="13"/>
        <v>4</v>
      </c>
      <c r="AE84" s="14">
        <f t="shared" si="13"/>
        <v>4</v>
      </c>
      <c r="AF84" s="14">
        <f t="shared" si="13"/>
        <v>9</v>
      </c>
      <c r="AG84" s="15">
        <f t="shared" si="5"/>
        <v>284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1</v>
      </c>
      <c r="C85" s="69">
        <v>0</v>
      </c>
      <c r="D85" s="69">
        <v>1</v>
      </c>
      <c r="E85" s="69">
        <v>1</v>
      </c>
      <c r="F85" s="69">
        <v>0</v>
      </c>
      <c r="G85" s="69">
        <v>4</v>
      </c>
      <c r="H85" s="69">
        <v>1</v>
      </c>
      <c r="I85" s="69">
        <v>1</v>
      </c>
      <c r="J85" s="69">
        <v>1</v>
      </c>
      <c r="K85" s="69">
        <v>0</v>
      </c>
      <c r="L85" s="69">
        <v>0</v>
      </c>
      <c r="M85" s="69">
        <v>6</v>
      </c>
      <c r="N85" s="69">
        <v>3</v>
      </c>
      <c r="O85" s="69">
        <v>1</v>
      </c>
      <c r="P85" s="69">
        <v>2</v>
      </c>
      <c r="Q85" s="69">
        <v>5</v>
      </c>
      <c r="R85" s="69">
        <v>0</v>
      </c>
      <c r="S85" s="69">
        <v>3</v>
      </c>
      <c r="T85" s="69">
        <v>3</v>
      </c>
      <c r="U85" s="69">
        <v>2</v>
      </c>
      <c r="V85" s="69">
        <v>0</v>
      </c>
      <c r="W85" s="69">
        <v>0</v>
      </c>
      <c r="X85" s="69">
        <v>1</v>
      </c>
      <c r="Y85" s="69">
        <v>2</v>
      </c>
      <c r="Z85" s="69">
        <v>1</v>
      </c>
      <c r="AA85" s="69">
        <v>6</v>
      </c>
      <c r="AB85" s="69">
        <v>2</v>
      </c>
      <c r="AC85" s="69">
        <v>0</v>
      </c>
      <c r="AD85" s="69">
        <v>2</v>
      </c>
      <c r="AE85" s="69">
        <v>0</v>
      </c>
      <c r="AF85" s="69">
        <v>1</v>
      </c>
      <c r="AG85" s="16">
        <f t="shared" si="5"/>
        <v>50</v>
      </c>
    </row>
    <row r="86" spans="1:34" ht="15.75" customHeight="1" thickBot="1" x14ac:dyDescent="0.3">
      <c r="A86" s="70" t="s">
        <v>34</v>
      </c>
      <c r="B86" s="71">
        <v>2</v>
      </c>
      <c r="C86" s="71">
        <v>7</v>
      </c>
      <c r="D86" s="71">
        <v>5</v>
      </c>
      <c r="E86" s="71">
        <v>4</v>
      </c>
      <c r="F86" s="71">
        <v>3</v>
      </c>
      <c r="G86" s="71">
        <v>13</v>
      </c>
      <c r="H86" s="71">
        <v>5</v>
      </c>
      <c r="I86" s="71">
        <v>8</v>
      </c>
      <c r="J86" s="71">
        <v>3</v>
      </c>
      <c r="K86" s="71">
        <v>2</v>
      </c>
      <c r="L86" s="71">
        <v>5</v>
      </c>
      <c r="M86" s="71">
        <v>19</v>
      </c>
      <c r="N86" s="71">
        <v>21</v>
      </c>
      <c r="O86" s="71">
        <v>9</v>
      </c>
      <c r="P86" s="71">
        <v>14</v>
      </c>
      <c r="Q86" s="71">
        <v>8</v>
      </c>
      <c r="R86" s="71">
        <v>1</v>
      </c>
      <c r="S86" s="71">
        <v>23</v>
      </c>
      <c r="T86" s="71">
        <v>10</v>
      </c>
      <c r="U86" s="71">
        <v>16</v>
      </c>
      <c r="V86" s="71">
        <v>5</v>
      </c>
      <c r="W86" s="71">
        <v>2</v>
      </c>
      <c r="X86" s="71">
        <v>10</v>
      </c>
      <c r="Y86" s="71">
        <v>6</v>
      </c>
      <c r="Z86" s="71">
        <v>1</v>
      </c>
      <c r="AA86" s="71">
        <v>10</v>
      </c>
      <c r="AB86" s="71">
        <v>6</v>
      </c>
      <c r="AC86" s="71">
        <v>2</v>
      </c>
      <c r="AD86" s="71">
        <v>2</v>
      </c>
      <c r="AE86" s="71">
        <v>4</v>
      </c>
      <c r="AF86" s="71">
        <v>8</v>
      </c>
      <c r="AG86" s="17">
        <f t="shared" si="5"/>
        <v>234</v>
      </c>
    </row>
    <row r="87" spans="1:34" ht="15.75" customHeight="1" thickBot="1" x14ac:dyDescent="0.3">
      <c r="A87" s="72" t="s">
        <v>35</v>
      </c>
      <c r="B87" s="18">
        <f t="shared" ref="B87:AF87" si="14">SUM(B88:B92)</f>
        <v>3</v>
      </c>
      <c r="C87" s="18">
        <f t="shared" si="14"/>
        <v>7</v>
      </c>
      <c r="D87" s="18">
        <f t="shared" si="14"/>
        <v>6</v>
      </c>
      <c r="E87" s="18">
        <f t="shared" si="14"/>
        <v>5</v>
      </c>
      <c r="F87" s="18">
        <f t="shared" si="14"/>
        <v>3</v>
      </c>
      <c r="G87" s="18">
        <f t="shared" si="14"/>
        <v>17</v>
      </c>
      <c r="H87" s="18">
        <f t="shared" si="14"/>
        <v>6</v>
      </c>
      <c r="I87" s="18">
        <f t="shared" si="14"/>
        <v>9</v>
      </c>
      <c r="J87" s="18">
        <f t="shared" si="14"/>
        <v>4</v>
      </c>
      <c r="K87" s="18">
        <f t="shared" si="14"/>
        <v>2</v>
      </c>
      <c r="L87" s="18">
        <f t="shared" si="14"/>
        <v>5</v>
      </c>
      <c r="M87" s="18">
        <f t="shared" si="14"/>
        <v>25</v>
      </c>
      <c r="N87" s="18">
        <f t="shared" si="14"/>
        <v>24</v>
      </c>
      <c r="O87" s="18">
        <f t="shared" si="14"/>
        <v>10</v>
      </c>
      <c r="P87" s="18">
        <f t="shared" si="14"/>
        <v>16</v>
      </c>
      <c r="Q87" s="18">
        <f t="shared" si="14"/>
        <v>13</v>
      </c>
      <c r="R87" s="18">
        <f t="shared" si="14"/>
        <v>1</v>
      </c>
      <c r="S87" s="18">
        <f t="shared" si="14"/>
        <v>26</v>
      </c>
      <c r="T87" s="18">
        <f t="shared" si="14"/>
        <v>13</v>
      </c>
      <c r="U87" s="18">
        <f t="shared" si="14"/>
        <v>18</v>
      </c>
      <c r="V87" s="18">
        <f t="shared" si="14"/>
        <v>5</v>
      </c>
      <c r="W87" s="18">
        <f t="shared" si="14"/>
        <v>2</v>
      </c>
      <c r="X87" s="18">
        <f t="shared" si="14"/>
        <v>11</v>
      </c>
      <c r="Y87" s="18">
        <f t="shared" si="14"/>
        <v>8</v>
      </c>
      <c r="Z87" s="18">
        <f t="shared" si="14"/>
        <v>2</v>
      </c>
      <c r="AA87" s="18">
        <f t="shared" si="14"/>
        <v>16</v>
      </c>
      <c r="AB87" s="18">
        <f t="shared" si="14"/>
        <v>8</v>
      </c>
      <c r="AC87" s="18">
        <f t="shared" si="14"/>
        <v>2</v>
      </c>
      <c r="AD87" s="18">
        <f t="shared" si="14"/>
        <v>4</v>
      </c>
      <c r="AE87" s="18">
        <f t="shared" si="14"/>
        <v>4</v>
      </c>
      <c r="AF87" s="18">
        <f t="shared" si="14"/>
        <v>9</v>
      </c>
      <c r="AG87" s="19">
        <f t="shared" si="5"/>
        <v>284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3</v>
      </c>
      <c r="C88" s="60">
        <v>3</v>
      </c>
      <c r="D88" s="60">
        <v>3</v>
      </c>
      <c r="E88" s="60">
        <v>3</v>
      </c>
      <c r="F88" s="60">
        <v>1</v>
      </c>
      <c r="G88" s="60">
        <v>3</v>
      </c>
      <c r="H88" s="60">
        <v>1</v>
      </c>
      <c r="I88" s="60">
        <v>3</v>
      </c>
      <c r="J88" s="60">
        <v>1</v>
      </c>
      <c r="K88" s="60">
        <v>1</v>
      </c>
      <c r="L88" s="60">
        <v>0</v>
      </c>
      <c r="M88" s="60">
        <v>3</v>
      </c>
      <c r="N88" s="60">
        <v>3</v>
      </c>
      <c r="O88" s="60">
        <v>3</v>
      </c>
      <c r="P88" s="60">
        <v>2</v>
      </c>
      <c r="Q88" s="60">
        <v>1</v>
      </c>
      <c r="R88" s="60">
        <v>0</v>
      </c>
      <c r="S88" s="60">
        <v>6</v>
      </c>
      <c r="T88" s="60">
        <v>3</v>
      </c>
      <c r="U88" s="60">
        <v>2</v>
      </c>
      <c r="V88" s="60">
        <v>3</v>
      </c>
      <c r="W88" s="60">
        <v>2</v>
      </c>
      <c r="X88" s="60">
        <v>5</v>
      </c>
      <c r="Y88" s="60">
        <v>1</v>
      </c>
      <c r="Z88" s="60">
        <v>0</v>
      </c>
      <c r="AA88" s="60">
        <v>10</v>
      </c>
      <c r="AB88" s="60">
        <v>1</v>
      </c>
      <c r="AC88" s="60">
        <v>1</v>
      </c>
      <c r="AD88" s="60">
        <v>1</v>
      </c>
      <c r="AE88" s="60">
        <v>0</v>
      </c>
      <c r="AF88" s="60">
        <v>2</v>
      </c>
      <c r="AG88" s="4">
        <f t="shared" si="5"/>
        <v>71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0</v>
      </c>
      <c r="E90" s="60">
        <v>1</v>
      </c>
      <c r="F90" s="60">
        <v>0</v>
      </c>
      <c r="G90" s="60">
        <v>2</v>
      </c>
      <c r="H90" s="60">
        <v>0</v>
      </c>
      <c r="I90" s="60">
        <v>1</v>
      </c>
      <c r="J90" s="60">
        <v>0</v>
      </c>
      <c r="K90" s="60">
        <v>0</v>
      </c>
      <c r="L90" s="60">
        <v>0</v>
      </c>
      <c r="M90" s="60">
        <v>0</v>
      </c>
      <c r="N90" s="60">
        <v>1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>
        <v>0</v>
      </c>
      <c r="AG90" s="5">
        <f t="shared" si="5"/>
        <v>5</v>
      </c>
    </row>
    <row r="91" spans="1:34" ht="15.75" customHeight="1" x14ac:dyDescent="0.25">
      <c r="A91" s="74" t="s">
        <v>39</v>
      </c>
      <c r="B91" s="60">
        <v>0</v>
      </c>
      <c r="C91" s="60">
        <v>3</v>
      </c>
      <c r="D91" s="60">
        <v>2</v>
      </c>
      <c r="E91" s="60">
        <v>1</v>
      </c>
      <c r="F91" s="60">
        <v>1</v>
      </c>
      <c r="G91" s="60">
        <v>8</v>
      </c>
      <c r="H91" s="60">
        <v>3</v>
      </c>
      <c r="I91" s="60">
        <v>4</v>
      </c>
      <c r="J91" s="60">
        <v>2</v>
      </c>
      <c r="K91" s="60">
        <v>0</v>
      </c>
      <c r="L91" s="60">
        <v>1</v>
      </c>
      <c r="M91" s="60">
        <v>14</v>
      </c>
      <c r="N91" s="60">
        <v>14</v>
      </c>
      <c r="O91" s="60">
        <v>6</v>
      </c>
      <c r="P91" s="60">
        <v>13</v>
      </c>
      <c r="Q91" s="60">
        <v>11</v>
      </c>
      <c r="R91" s="60">
        <v>1</v>
      </c>
      <c r="S91" s="60">
        <v>16</v>
      </c>
      <c r="T91" s="60">
        <v>7</v>
      </c>
      <c r="U91" s="60">
        <v>13</v>
      </c>
      <c r="V91" s="60">
        <v>2</v>
      </c>
      <c r="W91" s="60">
        <v>0</v>
      </c>
      <c r="X91" s="60">
        <v>3</v>
      </c>
      <c r="Y91" s="60">
        <v>7</v>
      </c>
      <c r="Z91" s="60">
        <v>2</v>
      </c>
      <c r="AA91" s="60">
        <v>5</v>
      </c>
      <c r="AB91" s="60">
        <v>7</v>
      </c>
      <c r="AC91" s="60">
        <v>1</v>
      </c>
      <c r="AD91" s="60">
        <v>3</v>
      </c>
      <c r="AE91" s="60">
        <v>1</v>
      </c>
      <c r="AF91" s="60">
        <v>4</v>
      </c>
      <c r="AG91" s="5">
        <f t="shared" si="5"/>
        <v>155</v>
      </c>
    </row>
    <row r="92" spans="1:34" ht="15.75" customHeight="1" thickBot="1" x14ac:dyDescent="0.3">
      <c r="A92" s="74" t="s">
        <v>40</v>
      </c>
      <c r="B92" s="60">
        <v>0</v>
      </c>
      <c r="C92" s="60">
        <v>1</v>
      </c>
      <c r="D92" s="60">
        <v>1</v>
      </c>
      <c r="E92" s="60">
        <v>0</v>
      </c>
      <c r="F92" s="60">
        <v>1</v>
      </c>
      <c r="G92" s="60">
        <v>4</v>
      </c>
      <c r="H92" s="60">
        <v>2</v>
      </c>
      <c r="I92" s="60">
        <v>1</v>
      </c>
      <c r="J92" s="60">
        <v>1</v>
      </c>
      <c r="K92" s="60">
        <v>1</v>
      </c>
      <c r="L92" s="60">
        <v>4</v>
      </c>
      <c r="M92" s="60">
        <v>8</v>
      </c>
      <c r="N92" s="60">
        <v>6</v>
      </c>
      <c r="O92" s="60">
        <v>1</v>
      </c>
      <c r="P92" s="60">
        <v>1</v>
      </c>
      <c r="Q92" s="60">
        <v>1</v>
      </c>
      <c r="R92" s="60">
        <v>0</v>
      </c>
      <c r="S92" s="60">
        <v>4</v>
      </c>
      <c r="T92" s="60">
        <v>3</v>
      </c>
      <c r="U92" s="60">
        <v>3</v>
      </c>
      <c r="V92" s="60">
        <v>0</v>
      </c>
      <c r="W92" s="60">
        <v>0</v>
      </c>
      <c r="X92" s="60">
        <v>3</v>
      </c>
      <c r="Y92" s="60">
        <v>0</v>
      </c>
      <c r="Z92" s="60">
        <v>0</v>
      </c>
      <c r="AA92" s="60">
        <v>1</v>
      </c>
      <c r="AB92" s="60">
        <v>0</v>
      </c>
      <c r="AC92" s="60">
        <v>0</v>
      </c>
      <c r="AD92" s="60">
        <v>0</v>
      </c>
      <c r="AE92" s="60">
        <v>3</v>
      </c>
      <c r="AF92" s="60">
        <v>3</v>
      </c>
      <c r="AG92" s="5">
        <f t="shared" si="5"/>
        <v>53</v>
      </c>
    </row>
    <row r="93" spans="1:34" ht="15.75" customHeight="1" x14ac:dyDescent="0.25">
      <c r="A93" s="75" t="s">
        <v>41</v>
      </c>
      <c r="B93" s="20">
        <f t="shared" ref="B93:AF93" si="15">+B94+B100</f>
        <v>165</v>
      </c>
      <c r="C93" s="20">
        <f t="shared" si="15"/>
        <v>105</v>
      </c>
      <c r="D93" s="20">
        <f t="shared" si="15"/>
        <v>178</v>
      </c>
      <c r="E93" s="20">
        <f t="shared" si="15"/>
        <v>198</v>
      </c>
      <c r="F93" s="20">
        <f t="shared" si="15"/>
        <v>117</v>
      </c>
      <c r="G93" s="20">
        <f t="shared" si="15"/>
        <v>113</v>
      </c>
      <c r="H93" s="20">
        <f t="shared" si="15"/>
        <v>112</v>
      </c>
      <c r="I93" s="20">
        <f t="shared" si="15"/>
        <v>127</v>
      </c>
      <c r="J93" s="20">
        <f t="shared" si="15"/>
        <v>135</v>
      </c>
      <c r="K93" s="20">
        <f t="shared" si="15"/>
        <v>169</v>
      </c>
      <c r="L93" s="20">
        <f t="shared" si="15"/>
        <v>169</v>
      </c>
      <c r="M93" s="20">
        <f t="shared" si="15"/>
        <v>131</v>
      </c>
      <c r="N93" s="20">
        <f t="shared" si="15"/>
        <v>134</v>
      </c>
      <c r="O93" s="20">
        <f t="shared" si="15"/>
        <v>133</v>
      </c>
      <c r="P93" s="20">
        <f t="shared" si="15"/>
        <v>126</v>
      </c>
      <c r="Q93" s="20">
        <f t="shared" si="15"/>
        <v>122</v>
      </c>
      <c r="R93" s="20">
        <f t="shared" si="15"/>
        <v>181</v>
      </c>
      <c r="S93" s="20">
        <f t="shared" si="15"/>
        <v>189</v>
      </c>
      <c r="T93" s="20">
        <f t="shared" si="15"/>
        <v>140</v>
      </c>
      <c r="U93" s="20">
        <f t="shared" si="15"/>
        <v>131</v>
      </c>
      <c r="V93" s="20">
        <f t="shared" si="15"/>
        <v>222</v>
      </c>
      <c r="W93" s="20">
        <f t="shared" si="15"/>
        <v>117</v>
      </c>
      <c r="X93" s="20">
        <f t="shared" si="15"/>
        <v>134</v>
      </c>
      <c r="Y93" s="20">
        <f t="shared" si="15"/>
        <v>169</v>
      </c>
      <c r="Z93" s="20">
        <f t="shared" si="15"/>
        <v>168</v>
      </c>
      <c r="AA93" s="20">
        <f t="shared" si="15"/>
        <v>147</v>
      </c>
      <c r="AB93" s="20">
        <f t="shared" si="15"/>
        <v>122</v>
      </c>
      <c r="AC93" s="20">
        <f t="shared" si="15"/>
        <v>118</v>
      </c>
      <c r="AD93" s="20">
        <f t="shared" si="15"/>
        <v>128</v>
      </c>
      <c r="AE93" s="20">
        <f t="shared" si="15"/>
        <v>113</v>
      </c>
      <c r="AF93" s="20">
        <f t="shared" si="15"/>
        <v>166</v>
      </c>
      <c r="AG93" s="5">
        <f t="shared" si="5"/>
        <v>4479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30</v>
      </c>
      <c r="C94" s="21">
        <f t="shared" si="16"/>
        <v>18</v>
      </c>
      <c r="D94" s="21">
        <f t="shared" si="16"/>
        <v>25</v>
      </c>
      <c r="E94" s="21">
        <f t="shared" si="16"/>
        <v>30</v>
      </c>
      <c r="F94" s="21">
        <f t="shared" si="16"/>
        <v>24</v>
      </c>
      <c r="G94" s="21">
        <f t="shared" si="16"/>
        <v>22</v>
      </c>
      <c r="H94" s="21">
        <f t="shared" si="16"/>
        <v>13</v>
      </c>
      <c r="I94" s="21">
        <f t="shared" si="16"/>
        <v>16</v>
      </c>
      <c r="J94" s="21">
        <f t="shared" si="16"/>
        <v>30</v>
      </c>
      <c r="K94" s="21">
        <f t="shared" si="16"/>
        <v>26</v>
      </c>
      <c r="L94" s="21">
        <f t="shared" si="16"/>
        <v>26</v>
      </c>
      <c r="M94" s="21">
        <f t="shared" si="16"/>
        <v>21</v>
      </c>
      <c r="N94" s="21">
        <f t="shared" si="16"/>
        <v>23</v>
      </c>
      <c r="O94" s="21">
        <f t="shared" si="16"/>
        <v>20</v>
      </c>
      <c r="P94" s="21">
        <f t="shared" si="16"/>
        <v>21</v>
      </c>
      <c r="Q94" s="21">
        <f t="shared" si="16"/>
        <v>25</v>
      </c>
      <c r="R94" s="21">
        <f t="shared" si="16"/>
        <v>26</v>
      </c>
      <c r="S94" s="21">
        <f t="shared" si="16"/>
        <v>24</v>
      </c>
      <c r="T94" s="21">
        <f t="shared" si="16"/>
        <v>26</v>
      </c>
      <c r="U94" s="21">
        <f t="shared" si="16"/>
        <v>17</v>
      </c>
      <c r="V94" s="21">
        <f t="shared" si="16"/>
        <v>31</v>
      </c>
      <c r="W94" s="21">
        <f t="shared" si="16"/>
        <v>20</v>
      </c>
      <c r="X94" s="21">
        <f t="shared" si="16"/>
        <v>15</v>
      </c>
      <c r="Y94" s="21">
        <f t="shared" si="16"/>
        <v>25</v>
      </c>
      <c r="Z94" s="21">
        <f t="shared" si="16"/>
        <v>33</v>
      </c>
      <c r="AA94" s="21">
        <f t="shared" si="16"/>
        <v>25</v>
      </c>
      <c r="AB94" s="21">
        <f t="shared" si="16"/>
        <v>16</v>
      </c>
      <c r="AC94" s="21">
        <f t="shared" si="16"/>
        <v>24</v>
      </c>
      <c r="AD94" s="21">
        <f t="shared" si="16"/>
        <v>17</v>
      </c>
      <c r="AE94" s="21">
        <f t="shared" si="16"/>
        <v>15</v>
      </c>
      <c r="AF94" s="21">
        <f t="shared" si="16"/>
        <v>25</v>
      </c>
      <c r="AG94" s="5">
        <f t="shared" si="5"/>
        <v>709</v>
      </c>
    </row>
    <row r="95" spans="1:34" ht="15.75" customHeight="1" x14ac:dyDescent="0.25">
      <c r="A95" s="78" t="s">
        <v>43</v>
      </c>
      <c r="B95" s="54">
        <v>2</v>
      </c>
      <c r="C95" s="54">
        <v>0</v>
      </c>
      <c r="D95" s="54">
        <v>0</v>
      </c>
      <c r="E95" s="54">
        <v>0</v>
      </c>
      <c r="F95" s="54">
        <v>0</v>
      </c>
      <c r="G95" s="54">
        <v>0</v>
      </c>
      <c r="H95" s="54">
        <v>0</v>
      </c>
      <c r="I95" s="54">
        <v>0</v>
      </c>
      <c r="J95" s="54">
        <v>1</v>
      </c>
      <c r="K95" s="54">
        <v>0</v>
      </c>
      <c r="L95" s="54">
        <v>1</v>
      </c>
      <c r="M95" s="54">
        <v>0</v>
      </c>
      <c r="N95" s="54">
        <v>0</v>
      </c>
      <c r="O95" s="54">
        <v>1</v>
      </c>
      <c r="P95" s="54">
        <v>0</v>
      </c>
      <c r="Q95" s="54">
        <v>1</v>
      </c>
      <c r="R95" s="54">
        <v>1</v>
      </c>
      <c r="S95" s="54">
        <v>0</v>
      </c>
      <c r="T95" s="54">
        <v>1</v>
      </c>
      <c r="U95" s="54">
        <v>0</v>
      </c>
      <c r="V95" s="54">
        <v>1</v>
      </c>
      <c r="W95" s="54">
        <v>0</v>
      </c>
      <c r="X95" s="54">
        <v>0</v>
      </c>
      <c r="Y95" s="54">
        <v>0</v>
      </c>
      <c r="Z95" s="54">
        <v>0</v>
      </c>
      <c r="AA95" s="54">
        <v>1</v>
      </c>
      <c r="AB95" s="54">
        <v>0</v>
      </c>
      <c r="AC95" s="54">
        <v>0</v>
      </c>
      <c r="AD95" s="54">
        <v>1</v>
      </c>
      <c r="AE95" s="54">
        <v>0</v>
      </c>
      <c r="AF95" s="54">
        <v>1</v>
      </c>
      <c r="AG95" s="5">
        <f t="shared" si="5"/>
        <v>12</v>
      </c>
    </row>
    <row r="96" spans="1:34" ht="15.75" customHeight="1" x14ac:dyDescent="0.25">
      <c r="A96" s="79" t="s">
        <v>44</v>
      </c>
      <c r="B96" s="54">
        <v>0</v>
      </c>
      <c r="C96" s="54">
        <v>0</v>
      </c>
      <c r="D96" s="54">
        <v>2</v>
      </c>
      <c r="E96" s="54">
        <v>1</v>
      </c>
      <c r="F96" s="54">
        <v>0</v>
      </c>
      <c r="G96" s="54">
        <v>1</v>
      </c>
      <c r="H96" s="54">
        <v>0</v>
      </c>
      <c r="I96" s="54">
        <v>1</v>
      </c>
      <c r="J96" s="54">
        <v>1</v>
      </c>
      <c r="K96" s="54">
        <v>1</v>
      </c>
      <c r="L96" s="54">
        <v>0</v>
      </c>
      <c r="M96" s="54">
        <v>0</v>
      </c>
      <c r="N96" s="54">
        <v>2</v>
      </c>
      <c r="O96" s="54">
        <v>2</v>
      </c>
      <c r="P96" s="54">
        <v>1</v>
      </c>
      <c r="Q96" s="54">
        <v>1</v>
      </c>
      <c r="R96" s="54">
        <v>0</v>
      </c>
      <c r="S96" s="54">
        <v>0</v>
      </c>
      <c r="T96" s="54">
        <v>4</v>
      </c>
      <c r="U96" s="54">
        <v>1</v>
      </c>
      <c r="V96" s="54">
        <v>1</v>
      </c>
      <c r="W96" s="54">
        <v>0</v>
      </c>
      <c r="X96" s="54">
        <v>2</v>
      </c>
      <c r="Y96" s="54">
        <v>0</v>
      </c>
      <c r="Z96" s="54">
        <v>2</v>
      </c>
      <c r="AA96" s="54">
        <v>2</v>
      </c>
      <c r="AB96" s="54">
        <v>1</v>
      </c>
      <c r="AC96" s="54">
        <v>1</v>
      </c>
      <c r="AD96" s="54">
        <v>0</v>
      </c>
      <c r="AE96" s="54">
        <v>2</v>
      </c>
      <c r="AF96" s="54">
        <v>1</v>
      </c>
      <c r="AG96" s="5">
        <f t="shared" si="5"/>
        <v>30</v>
      </c>
    </row>
    <row r="97" spans="1:33" ht="15.75" customHeight="1" x14ac:dyDescent="0.25">
      <c r="A97" s="80" t="s">
        <v>45</v>
      </c>
      <c r="B97" s="54">
        <v>7</v>
      </c>
      <c r="C97" s="54">
        <v>5</v>
      </c>
      <c r="D97" s="54">
        <v>6</v>
      </c>
      <c r="E97" s="54">
        <v>5</v>
      </c>
      <c r="F97" s="54">
        <v>5</v>
      </c>
      <c r="G97" s="54">
        <v>2</v>
      </c>
      <c r="H97" s="54">
        <v>1</v>
      </c>
      <c r="I97" s="54">
        <v>1</v>
      </c>
      <c r="J97" s="54">
        <v>9</v>
      </c>
      <c r="K97" s="54">
        <v>5</v>
      </c>
      <c r="L97" s="54">
        <v>5</v>
      </c>
      <c r="M97" s="54">
        <v>4</v>
      </c>
      <c r="N97" s="54">
        <v>4</v>
      </c>
      <c r="O97" s="54">
        <v>2</v>
      </c>
      <c r="P97" s="54">
        <v>3</v>
      </c>
      <c r="Q97" s="54">
        <v>4</v>
      </c>
      <c r="R97" s="54">
        <v>7</v>
      </c>
      <c r="S97" s="54">
        <v>3</v>
      </c>
      <c r="T97" s="54">
        <v>4</v>
      </c>
      <c r="U97" s="54">
        <v>1</v>
      </c>
      <c r="V97" s="54">
        <v>5</v>
      </c>
      <c r="W97" s="54">
        <v>1</v>
      </c>
      <c r="X97" s="54">
        <v>1</v>
      </c>
      <c r="Y97" s="54">
        <v>8</v>
      </c>
      <c r="Z97" s="54">
        <v>5</v>
      </c>
      <c r="AA97" s="54">
        <v>2</v>
      </c>
      <c r="AB97" s="54">
        <v>3</v>
      </c>
      <c r="AC97" s="54">
        <v>4</v>
      </c>
      <c r="AD97" s="54">
        <v>1</v>
      </c>
      <c r="AE97" s="54">
        <v>0</v>
      </c>
      <c r="AF97" s="54">
        <v>6</v>
      </c>
      <c r="AG97" s="5">
        <f t="shared" si="5"/>
        <v>119</v>
      </c>
    </row>
    <row r="98" spans="1:33" ht="15.75" customHeight="1" x14ac:dyDescent="0.25">
      <c r="A98" s="81" t="s">
        <v>46</v>
      </c>
      <c r="B98" s="54">
        <v>12</v>
      </c>
      <c r="C98" s="54">
        <v>8</v>
      </c>
      <c r="D98" s="54">
        <v>9</v>
      </c>
      <c r="E98" s="54">
        <v>14</v>
      </c>
      <c r="F98" s="54">
        <v>11</v>
      </c>
      <c r="G98" s="54">
        <v>8</v>
      </c>
      <c r="H98" s="54">
        <v>7</v>
      </c>
      <c r="I98" s="54">
        <v>7</v>
      </c>
      <c r="J98" s="54">
        <v>6</v>
      </c>
      <c r="K98" s="54">
        <v>11</v>
      </c>
      <c r="L98" s="54">
        <v>10</v>
      </c>
      <c r="M98" s="54">
        <v>9</v>
      </c>
      <c r="N98" s="54">
        <v>7</v>
      </c>
      <c r="O98" s="54">
        <v>7</v>
      </c>
      <c r="P98" s="54">
        <v>6</v>
      </c>
      <c r="Q98" s="54">
        <v>9</v>
      </c>
      <c r="R98" s="54">
        <v>9</v>
      </c>
      <c r="S98" s="54">
        <v>6</v>
      </c>
      <c r="T98" s="54">
        <v>8</v>
      </c>
      <c r="U98" s="54">
        <v>8</v>
      </c>
      <c r="V98" s="54">
        <v>13</v>
      </c>
      <c r="W98" s="54">
        <v>12</v>
      </c>
      <c r="X98" s="54">
        <v>8</v>
      </c>
      <c r="Y98" s="54">
        <v>7</v>
      </c>
      <c r="Z98" s="54">
        <v>16</v>
      </c>
      <c r="AA98" s="54">
        <v>8</v>
      </c>
      <c r="AB98" s="54">
        <v>3</v>
      </c>
      <c r="AC98" s="54">
        <v>8</v>
      </c>
      <c r="AD98" s="54">
        <v>3</v>
      </c>
      <c r="AE98" s="54">
        <v>6</v>
      </c>
      <c r="AF98" s="54">
        <v>9</v>
      </c>
      <c r="AG98" s="5">
        <f t="shared" si="5"/>
        <v>265</v>
      </c>
    </row>
    <row r="99" spans="1:33" ht="15.75" customHeight="1" x14ac:dyDescent="0.25">
      <c r="A99" s="82" t="s">
        <v>47</v>
      </c>
      <c r="B99" s="54">
        <v>9</v>
      </c>
      <c r="C99" s="54">
        <v>5</v>
      </c>
      <c r="D99" s="54">
        <v>8</v>
      </c>
      <c r="E99" s="54">
        <v>10</v>
      </c>
      <c r="F99" s="54">
        <v>8</v>
      </c>
      <c r="G99" s="54">
        <v>11</v>
      </c>
      <c r="H99" s="54">
        <v>5</v>
      </c>
      <c r="I99" s="54">
        <v>7</v>
      </c>
      <c r="J99" s="54">
        <v>13</v>
      </c>
      <c r="K99" s="54">
        <v>9</v>
      </c>
      <c r="L99" s="54">
        <v>10</v>
      </c>
      <c r="M99" s="54">
        <v>8</v>
      </c>
      <c r="N99" s="54">
        <v>10</v>
      </c>
      <c r="O99" s="54">
        <v>8</v>
      </c>
      <c r="P99" s="54">
        <v>11</v>
      </c>
      <c r="Q99" s="54">
        <v>10</v>
      </c>
      <c r="R99" s="54">
        <v>9</v>
      </c>
      <c r="S99" s="54">
        <v>15</v>
      </c>
      <c r="T99" s="54">
        <v>9</v>
      </c>
      <c r="U99" s="54">
        <v>7</v>
      </c>
      <c r="V99" s="54">
        <v>11</v>
      </c>
      <c r="W99" s="54">
        <v>7</v>
      </c>
      <c r="X99" s="54">
        <v>4</v>
      </c>
      <c r="Y99" s="54">
        <v>10</v>
      </c>
      <c r="Z99" s="54">
        <v>10</v>
      </c>
      <c r="AA99" s="54">
        <v>12</v>
      </c>
      <c r="AB99" s="54">
        <v>9</v>
      </c>
      <c r="AC99" s="54">
        <v>11</v>
      </c>
      <c r="AD99" s="54">
        <v>12</v>
      </c>
      <c r="AE99" s="54">
        <v>7</v>
      </c>
      <c r="AF99" s="54">
        <v>8</v>
      </c>
      <c r="AG99" s="5">
        <f t="shared" ref="AG99:AG162" si="17">SUM(B99:AF99)</f>
        <v>283</v>
      </c>
    </row>
    <row r="100" spans="1:33" ht="15.75" customHeight="1" x14ac:dyDescent="0.25">
      <c r="A100" s="76" t="s">
        <v>48</v>
      </c>
      <c r="B100" s="21">
        <f t="shared" ref="B100:AF100" si="18">SUM(B101:B115)</f>
        <v>135</v>
      </c>
      <c r="C100" s="21">
        <f t="shared" si="18"/>
        <v>87</v>
      </c>
      <c r="D100" s="21">
        <f t="shared" si="18"/>
        <v>153</v>
      </c>
      <c r="E100" s="21">
        <f t="shared" si="18"/>
        <v>168</v>
      </c>
      <c r="F100" s="21">
        <f t="shared" si="18"/>
        <v>93</v>
      </c>
      <c r="G100" s="21">
        <f t="shared" si="18"/>
        <v>91</v>
      </c>
      <c r="H100" s="21">
        <f t="shared" si="18"/>
        <v>99</v>
      </c>
      <c r="I100" s="21">
        <f t="shared" si="18"/>
        <v>111</v>
      </c>
      <c r="J100" s="21">
        <f t="shared" si="18"/>
        <v>105</v>
      </c>
      <c r="K100" s="21">
        <f t="shared" si="18"/>
        <v>143</v>
      </c>
      <c r="L100" s="21">
        <f t="shared" si="18"/>
        <v>143</v>
      </c>
      <c r="M100" s="21">
        <f t="shared" si="18"/>
        <v>110</v>
      </c>
      <c r="N100" s="21">
        <f t="shared" si="18"/>
        <v>111</v>
      </c>
      <c r="O100" s="21">
        <f t="shared" si="18"/>
        <v>113</v>
      </c>
      <c r="P100" s="21">
        <f t="shared" si="18"/>
        <v>105</v>
      </c>
      <c r="Q100" s="21">
        <f t="shared" si="18"/>
        <v>97</v>
      </c>
      <c r="R100" s="21">
        <f t="shared" si="18"/>
        <v>155</v>
      </c>
      <c r="S100" s="21">
        <f t="shared" si="18"/>
        <v>165</v>
      </c>
      <c r="T100" s="21">
        <f t="shared" si="18"/>
        <v>114</v>
      </c>
      <c r="U100" s="21">
        <f t="shared" si="18"/>
        <v>114</v>
      </c>
      <c r="V100" s="21">
        <f t="shared" si="18"/>
        <v>191</v>
      </c>
      <c r="W100" s="21">
        <f t="shared" si="18"/>
        <v>97</v>
      </c>
      <c r="X100" s="21">
        <f t="shared" si="18"/>
        <v>119</v>
      </c>
      <c r="Y100" s="21">
        <f t="shared" si="18"/>
        <v>144</v>
      </c>
      <c r="Z100" s="21">
        <f t="shared" si="18"/>
        <v>135</v>
      </c>
      <c r="AA100" s="21">
        <f t="shared" si="18"/>
        <v>122</v>
      </c>
      <c r="AB100" s="21">
        <f t="shared" si="18"/>
        <v>106</v>
      </c>
      <c r="AC100" s="21">
        <f t="shared" si="18"/>
        <v>94</v>
      </c>
      <c r="AD100" s="21">
        <f t="shared" si="18"/>
        <v>111</v>
      </c>
      <c r="AE100" s="21">
        <f t="shared" si="18"/>
        <v>98</v>
      </c>
      <c r="AF100" s="21">
        <f t="shared" si="18"/>
        <v>141</v>
      </c>
      <c r="AG100" s="5">
        <f t="shared" si="17"/>
        <v>3770</v>
      </c>
    </row>
    <row r="101" spans="1:33" ht="15.75" customHeight="1" x14ac:dyDescent="0.25">
      <c r="A101" s="82" t="s">
        <v>49</v>
      </c>
      <c r="B101" s="54">
        <v>9</v>
      </c>
      <c r="C101" s="54">
        <v>11</v>
      </c>
      <c r="D101" s="54">
        <v>10</v>
      </c>
      <c r="E101" s="54">
        <v>12</v>
      </c>
      <c r="F101" s="54">
        <v>17</v>
      </c>
      <c r="G101" s="54">
        <v>10</v>
      </c>
      <c r="H101" s="54">
        <v>11</v>
      </c>
      <c r="I101" s="54">
        <v>6</v>
      </c>
      <c r="J101" s="54">
        <v>7</v>
      </c>
      <c r="K101" s="54">
        <v>10</v>
      </c>
      <c r="L101" s="54">
        <v>11</v>
      </c>
      <c r="M101" s="54">
        <v>12</v>
      </c>
      <c r="N101" s="54">
        <v>14</v>
      </c>
      <c r="O101" s="54">
        <v>11</v>
      </c>
      <c r="P101" s="54">
        <v>11</v>
      </c>
      <c r="Q101" s="54">
        <v>7</v>
      </c>
      <c r="R101" s="54">
        <v>14</v>
      </c>
      <c r="S101" s="54">
        <v>14</v>
      </c>
      <c r="T101" s="54">
        <v>12</v>
      </c>
      <c r="U101" s="54">
        <v>10</v>
      </c>
      <c r="V101" s="54">
        <v>19</v>
      </c>
      <c r="W101" s="54">
        <v>9</v>
      </c>
      <c r="X101" s="54">
        <v>13</v>
      </c>
      <c r="Y101" s="54">
        <v>6</v>
      </c>
      <c r="Z101" s="54">
        <v>6</v>
      </c>
      <c r="AA101" s="54">
        <v>10</v>
      </c>
      <c r="AB101" s="54">
        <v>9</v>
      </c>
      <c r="AC101" s="54">
        <v>10</v>
      </c>
      <c r="AD101" s="54">
        <v>9</v>
      </c>
      <c r="AE101" s="54">
        <v>7</v>
      </c>
      <c r="AF101" s="54">
        <v>7</v>
      </c>
      <c r="AG101" s="5">
        <f t="shared" si="17"/>
        <v>324</v>
      </c>
    </row>
    <row r="102" spans="1:33" ht="15.75" customHeight="1" x14ac:dyDescent="0.25">
      <c r="A102" s="82" t="s">
        <v>50</v>
      </c>
      <c r="B102" s="54">
        <v>12</v>
      </c>
      <c r="C102" s="54">
        <v>10</v>
      </c>
      <c r="D102" s="54">
        <v>9</v>
      </c>
      <c r="E102" s="54">
        <v>11</v>
      </c>
      <c r="F102" s="54">
        <v>8</v>
      </c>
      <c r="G102" s="54">
        <v>7</v>
      </c>
      <c r="H102" s="54">
        <v>5</v>
      </c>
      <c r="I102" s="54">
        <v>8</v>
      </c>
      <c r="J102" s="54">
        <v>13</v>
      </c>
      <c r="K102" s="54">
        <v>11</v>
      </c>
      <c r="L102" s="54">
        <v>11</v>
      </c>
      <c r="M102" s="54">
        <v>12</v>
      </c>
      <c r="N102" s="54">
        <v>12</v>
      </c>
      <c r="O102" s="54">
        <v>12</v>
      </c>
      <c r="P102" s="54">
        <v>8</v>
      </c>
      <c r="Q102" s="54">
        <v>11</v>
      </c>
      <c r="R102" s="54">
        <v>11</v>
      </c>
      <c r="S102" s="54">
        <v>11</v>
      </c>
      <c r="T102" s="54">
        <v>11</v>
      </c>
      <c r="U102" s="54">
        <v>9</v>
      </c>
      <c r="V102" s="54">
        <v>12</v>
      </c>
      <c r="W102" s="54">
        <v>8</v>
      </c>
      <c r="X102" s="54">
        <v>13</v>
      </c>
      <c r="Y102" s="54">
        <v>9</v>
      </c>
      <c r="Z102" s="54">
        <v>15</v>
      </c>
      <c r="AA102" s="54">
        <v>4</v>
      </c>
      <c r="AB102" s="54">
        <v>11</v>
      </c>
      <c r="AC102" s="54">
        <v>7</v>
      </c>
      <c r="AD102" s="54">
        <v>6</v>
      </c>
      <c r="AE102" s="54">
        <v>6</v>
      </c>
      <c r="AF102" s="54">
        <v>10</v>
      </c>
      <c r="AG102" s="5">
        <f t="shared" si="17"/>
        <v>303</v>
      </c>
    </row>
    <row r="103" spans="1:33" ht="15.75" customHeight="1" x14ac:dyDescent="0.25">
      <c r="A103" s="78" t="s">
        <v>51</v>
      </c>
      <c r="B103" s="54">
        <v>11</v>
      </c>
      <c r="C103" s="54">
        <v>7</v>
      </c>
      <c r="D103" s="54">
        <v>11</v>
      </c>
      <c r="E103" s="54">
        <v>15</v>
      </c>
      <c r="F103" s="54">
        <v>6</v>
      </c>
      <c r="G103" s="54">
        <v>8</v>
      </c>
      <c r="H103" s="54">
        <v>12</v>
      </c>
      <c r="I103" s="54">
        <v>9</v>
      </c>
      <c r="J103" s="54">
        <v>6</v>
      </c>
      <c r="K103" s="54">
        <v>11</v>
      </c>
      <c r="L103" s="54">
        <v>12</v>
      </c>
      <c r="M103" s="54">
        <v>10</v>
      </c>
      <c r="N103" s="54">
        <v>13</v>
      </c>
      <c r="O103" s="54">
        <v>16</v>
      </c>
      <c r="P103" s="54">
        <v>11</v>
      </c>
      <c r="Q103" s="54">
        <v>5</v>
      </c>
      <c r="R103" s="54">
        <v>16</v>
      </c>
      <c r="S103" s="54">
        <v>10</v>
      </c>
      <c r="T103" s="54">
        <v>11</v>
      </c>
      <c r="U103" s="54">
        <v>8</v>
      </c>
      <c r="V103" s="54">
        <v>11</v>
      </c>
      <c r="W103" s="54">
        <v>11</v>
      </c>
      <c r="X103" s="54">
        <v>9</v>
      </c>
      <c r="Y103" s="54">
        <v>17</v>
      </c>
      <c r="Z103" s="54">
        <v>7</v>
      </c>
      <c r="AA103" s="54">
        <v>8</v>
      </c>
      <c r="AB103" s="54">
        <v>6</v>
      </c>
      <c r="AC103" s="54">
        <v>5</v>
      </c>
      <c r="AD103" s="54">
        <v>8</v>
      </c>
      <c r="AE103" s="54">
        <v>11</v>
      </c>
      <c r="AF103" s="54">
        <v>16</v>
      </c>
      <c r="AG103" s="5">
        <f t="shared" si="17"/>
        <v>317</v>
      </c>
    </row>
    <row r="104" spans="1:33" ht="15.75" customHeight="1" x14ac:dyDescent="0.25">
      <c r="A104" s="78" t="s">
        <v>52</v>
      </c>
      <c r="B104" s="54">
        <v>14</v>
      </c>
      <c r="C104" s="54">
        <v>7</v>
      </c>
      <c r="D104" s="54">
        <v>13</v>
      </c>
      <c r="E104" s="54">
        <v>14</v>
      </c>
      <c r="F104" s="54">
        <v>10</v>
      </c>
      <c r="G104" s="54">
        <v>7</v>
      </c>
      <c r="H104" s="54">
        <v>7</v>
      </c>
      <c r="I104" s="54">
        <v>13</v>
      </c>
      <c r="J104" s="54">
        <v>10</v>
      </c>
      <c r="K104" s="54">
        <v>5</v>
      </c>
      <c r="L104" s="54">
        <v>12</v>
      </c>
      <c r="M104" s="54">
        <v>7</v>
      </c>
      <c r="N104" s="54">
        <v>6</v>
      </c>
      <c r="O104" s="54">
        <v>6</v>
      </c>
      <c r="P104" s="54">
        <v>6</v>
      </c>
      <c r="Q104" s="54">
        <v>6</v>
      </c>
      <c r="R104" s="54">
        <v>10</v>
      </c>
      <c r="S104" s="54">
        <v>9</v>
      </c>
      <c r="T104" s="54">
        <v>8</v>
      </c>
      <c r="U104" s="54">
        <v>8</v>
      </c>
      <c r="V104" s="54">
        <v>14</v>
      </c>
      <c r="W104" s="54">
        <v>4</v>
      </c>
      <c r="X104" s="54">
        <v>6</v>
      </c>
      <c r="Y104" s="54">
        <v>7</v>
      </c>
      <c r="Z104" s="54">
        <v>10</v>
      </c>
      <c r="AA104" s="54">
        <v>13</v>
      </c>
      <c r="AB104" s="54">
        <v>5</v>
      </c>
      <c r="AC104" s="54">
        <v>10</v>
      </c>
      <c r="AD104" s="54">
        <v>7</v>
      </c>
      <c r="AE104" s="54">
        <v>7</v>
      </c>
      <c r="AF104" s="54">
        <v>7</v>
      </c>
      <c r="AG104" s="5">
        <f t="shared" si="17"/>
        <v>268</v>
      </c>
    </row>
    <row r="105" spans="1:33" ht="15.75" customHeight="1" x14ac:dyDescent="0.25">
      <c r="A105" s="78" t="s">
        <v>53</v>
      </c>
      <c r="B105" s="54">
        <v>9</v>
      </c>
      <c r="C105" s="54">
        <v>12</v>
      </c>
      <c r="D105" s="54">
        <v>9</v>
      </c>
      <c r="E105" s="54">
        <v>13</v>
      </c>
      <c r="F105" s="54">
        <v>3</v>
      </c>
      <c r="G105" s="54">
        <v>4</v>
      </c>
      <c r="H105" s="54">
        <v>11</v>
      </c>
      <c r="I105" s="54">
        <v>5</v>
      </c>
      <c r="J105" s="54">
        <v>12</v>
      </c>
      <c r="K105" s="54">
        <v>9</v>
      </c>
      <c r="L105" s="54">
        <v>9</v>
      </c>
      <c r="M105" s="54">
        <v>6</v>
      </c>
      <c r="N105" s="54">
        <v>11</v>
      </c>
      <c r="O105" s="54">
        <v>12</v>
      </c>
      <c r="P105" s="54">
        <v>6</v>
      </c>
      <c r="Q105" s="54">
        <v>10</v>
      </c>
      <c r="R105" s="54">
        <v>14</v>
      </c>
      <c r="S105" s="54">
        <v>14</v>
      </c>
      <c r="T105" s="54">
        <v>9</v>
      </c>
      <c r="U105" s="54">
        <v>6</v>
      </c>
      <c r="V105" s="54">
        <v>15</v>
      </c>
      <c r="W105" s="54">
        <v>17</v>
      </c>
      <c r="X105" s="54">
        <v>11</v>
      </c>
      <c r="Y105" s="54">
        <v>6</v>
      </c>
      <c r="Z105" s="54">
        <v>13</v>
      </c>
      <c r="AA105" s="54">
        <v>10</v>
      </c>
      <c r="AB105" s="54">
        <v>8</v>
      </c>
      <c r="AC105" s="54">
        <v>4</v>
      </c>
      <c r="AD105" s="54">
        <v>4</v>
      </c>
      <c r="AE105" s="54">
        <v>5</v>
      </c>
      <c r="AF105" s="54">
        <v>5</v>
      </c>
      <c r="AG105" s="5">
        <f t="shared" si="17"/>
        <v>282</v>
      </c>
    </row>
    <row r="106" spans="1:33" ht="15.75" customHeight="1" x14ac:dyDescent="0.25">
      <c r="A106" s="78" t="s">
        <v>54</v>
      </c>
      <c r="B106" s="54">
        <v>4</v>
      </c>
      <c r="C106" s="54">
        <v>9</v>
      </c>
      <c r="D106" s="54">
        <v>9</v>
      </c>
      <c r="E106" s="54">
        <v>11</v>
      </c>
      <c r="F106" s="54">
        <v>4</v>
      </c>
      <c r="G106" s="54">
        <v>4</v>
      </c>
      <c r="H106" s="54">
        <v>5</v>
      </c>
      <c r="I106" s="54">
        <v>7</v>
      </c>
      <c r="J106" s="54">
        <v>7</v>
      </c>
      <c r="K106" s="54">
        <v>16</v>
      </c>
      <c r="L106" s="54">
        <v>19</v>
      </c>
      <c r="M106" s="54">
        <v>11</v>
      </c>
      <c r="N106" s="54">
        <v>5</v>
      </c>
      <c r="O106" s="54">
        <v>7</v>
      </c>
      <c r="P106" s="54">
        <v>6</v>
      </c>
      <c r="Q106" s="54">
        <v>7</v>
      </c>
      <c r="R106" s="54">
        <v>6</v>
      </c>
      <c r="S106" s="54">
        <v>9</v>
      </c>
      <c r="T106" s="54">
        <v>8</v>
      </c>
      <c r="U106" s="54">
        <v>7</v>
      </c>
      <c r="V106" s="54">
        <v>14</v>
      </c>
      <c r="W106" s="54">
        <v>4</v>
      </c>
      <c r="X106" s="54">
        <v>5</v>
      </c>
      <c r="Y106" s="54">
        <v>2</v>
      </c>
      <c r="Z106" s="54">
        <v>12</v>
      </c>
      <c r="AA106" s="54">
        <v>3</v>
      </c>
      <c r="AB106" s="54">
        <v>8</v>
      </c>
      <c r="AC106" s="54">
        <v>4</v>
      </c>
      <c r="AD106" s="54">
        <v>13</v>
      </c>
      <c r="AE106" s="54">
        <v>5</v>
      </c>
      <c r="AF106" s="54">
        <v>13</v>
      </c>
      <c r="AG106" s="5">
        <f t="shared" si="17"/>
        <v>244</v>
      </c>
    </row>
    <row r="107" spans="1:33" ht="15.75" customHeight="1" x14ac:dyDescent="0.25">
      <c r="A107" s="78" t="s">
        <v>55</v>
      </c>
      <c r="B107" s="54">
        <v>16</v>
      </c>
      <c r="C107" s="54">
        <v>3</v>
      </c>
      <c r="D107" s="54">
        <v>8</v>
      </c>
      <c r="E107" s="54">
        <v>22</v>
      </c>
      <c r="F107" s="54">
        <v>6</v>
      </c>
      <c r="G107" s="54">
        <v>6</v>
      </c>
      <c r="H107" s="54">
        <v>3</v>
      </c>
      <c r="I107" s="54">
        <v>7</v>
      </c>
      <c r="J107" s="54">
        <v>7</v>
      </c>
      <c r="K107" s="54">
        <v>8</v>
      </c>
      <c r="L107" s="54">
        <v>12</v>
      </c>
      <c r="M107" s="54">
        <v>10</v>
      </c>
      <c r="N107" s="54">
        <v>4</v>
      </c>
      <c r="O107" s="54">
        <v>3</v>
      </c>
      <c r="P107" s="54">
        <v>4</v>
      </c>
      <c r="Q107" s="54">
        <v>1</v>
      </c>
      <c r="R107" s="54">
        <v>8</v>
      </c>
      <c r="S107" s="54">
        <v>12</v>
      </c>
      <c r="T107" s="54">
        <v>8</v>
      </c>
      <c r="U107" s="54">
        <v>7</v>
      </c>
      <c r="V107" s="54">
        <v>17</v>
      </c>
      <c r="W107" s="54">
        <v>5</v>
      </c>
      <c r="X107" s="54">
        <v>8</v>
      </c>
      <c r="Y107" s="54">
        <v>17</v>
      </c>
      <c r="Z107" s="54">
        <v>12</v>
      </c>
      <c r="AA107" s="54">
        <v>3</v>
      </c>
      <c r="AB107" s="54">
        <v>7</v>
      </c>
      <c r="AC107" s="54">
        <v>7</v>
      </c>
      <c r="AD107" s="54">
        <v>7</v>
      </c>
      <c r="AE107" s="54">
        <v>7</v>
      </c>
      <c r="AF107" s="54">
        <v>7</v>
      </c>
      <c r="AG107" s="5">
        <f t="shared" si="17"/>
        <v>252</v>
      </c>
    </row>
    <row r="108" spans="1:33" ht="15.75" customHeight="1" x14ac:dyDescent="0.25">
      <c r="A108" s="78" t="s">
        <v>56</v>
      </c>
      <c r="B108" s="54">
        <v>10</v>
      </c>
      <c r="C108" s="54">
        <v>2</v>
      </c>
      <c r="D108" s="54">
        <v>16</v>
      </c>
      <c r="E108" s="54">
        <v>13</v>
      </c>
      <c r="F108" s="54">
        <v>8</v>
      </c>
      <c r="G108" s="54">
        <v>7</v>
      </c>
      <c r="H108" s="54">
        <v>7</v>
      </c>
      <c r="I108" s="54">
        <v>15</v>
      </c>
      <c r="J108" s="54">
        <v>7</v>
      </c>
      <c r="K108" s="54">
        <v>9</v>
      </c>
      <c r="L108" s="54">
        <v>5</v>
      </c>
      <c r="M108" s="54">
        <v>7</v>
      </c>
      <c r="N108" s="54">
        <v>10</v>
      </c>
      <c r="O108" s="54">
        <v>6</v>
      </c>
      <c r="P108" s="54">
        <v>10</v>
      </c>
      <c r="Q108" s="54">
        <v>7</v>
      </c>
      <c r="R108" s="54">
        <v>13</v>
      </c>
      <c r="S108" s="54">
        <v>11</v>
      </c>
      <c r="T108" s="54">
        <v>9</v>
      </c>
      <c r="U108" s="54">
        <v>11</v>
      </c>
      <c r="V108" s="54">
        <v>15</v>
      </c>
      <c r="W108" s="54">
        <v>8</v>
      </c>
      <c r="X108" s="54">
        <v>9</v>
      </c>
      <c r="Y108" s="54">
        <v>17</v>
      </c>
      <c r="Z108" s="54">
        <v>15</v>
      </c>
      <c r="AA108" s="54">
        <v>17</v>
      </c>
      <c r="AB108" s="54">
        <v>10</v>
      </c>
      <c r="AC108" s="54">
        <v>5</v>
      </c>
      <c r="AD108" s="54">
        <v>8</v>
      </c>
      <c r="AE108" s="54">
        <v>11</v>
      </c>
      <c r="AF108" s="54">
        <v>13</v>
      </c>
      <c r="AG108" s="5">
        <f t="shared" si="17"/>
        <v>311</v>
      </c>
    </row>
    <row r="109" spans="1:33" ht="15.75" customHeight="1" x14ac:dyDescent="0.25">
      <c r="A109" s="78" t="s">
        <v>57</v>
      </c>
      <c r="B109" s="54">
        <v>15</v>
      </c>
      <c r="C109" s="54">
        <v>3</v>
      </c>
      <c r="D109" s="54">
        <v>18</v>
      </c>
      <c r="E109" s="54">
        <v>18</v>
      </c>
      <c r="F109" s="54">
        <v>6</v>
      </c>
      <c r="G109" s="54">
        <v>5</v>
      </c>
      <c r="H109" s="54">
        <v>7</v>
      </c>
      <c r="I109" s="54">
        <v>10</v>
      </c>
      <c r="J109" s="54">
        <v>6</v>
      </c>
      <c r="K109" s="54">
        <v>11</v>
      </c>
      <c r="L109" s="54">
        <v>9</v>
      </c>
      <c r="M109" s="54">
        <v>9</v>
      </c>
      <c r="N109" s="54">
        <v>9</v>
      </c>
      <c r="O109" s="54">
        <v>6</v>
      </c>
      <c r="P109" s="54">
        <v>10</v>
      </c>
      <c r="Q109" s="54">
        <v>12</v>
      </c>
      <c r="R109" s="54">
        <v>15</v>
      </c>
      <c r="S109" s="54">
        <v>14</v>
      </c>
      <c r="T109" s="54">
        <v>5</v>
      </c>
      <c r="U109" s="54">
        <v>11</v>
      </c>
      <c r="V109" s="54">
        <v>18</v>
      </c>
      <c r="W109" s="54">
        <v>6</v>
      </c>
      <c r="X109" s="54">
        <v>9</v>
      </c>
      <c r="Y109" s="54">
        <v>16</v>
      </c>
      <c r="Z109" s="54">
        <v>8</v>
      </c>
      <c r="AA109" s="54">
        <v>9</v>
      </c>
      <c r="AB109" s="54">
        <v>12</v>
      </c>
      <c r="AC109" s="54">
        <v>9</v>
      </c>
      <c r="AD109" s="54">
        <v>11</v>
      </c>
      <c r="AE109" s="54">
        <v>7</v>
      </c>
      <c r="AF109" s="54">
        <v>14</v>
      </c>
      <c r="AG109" s="5">
        <f t="shared" si="17"/>
        <v>318</v>
      </c>
    </row>
    <row r="110" spans="1:33" ht="15.75" customHeight="1" x14ac:dyDescent="0.25">
      <c r="A110" s="78" t="s">
        <v>58</v>
      </c>
      <c r="B110" s="54">
        <v>6</v>
      </c>
      <c r="C110" s="54">
        <v>4</v>
      </c>
      <c r="D110" s="54">
        <v>10</v>
      </c>
      <c r="E110" s="54">
        <v>10</v>
      </c>
      <c r="F110" s="54">
        <v>6</v>
      </c>
      <c r="G110" s="54">
        <v>6</v>
      </c>
      <c r="H110" s="54">
        <v>7</v>
      </c>
      <c r="I110" s="54">
        <v>5</v>
      </c>
      <c r="J110" s="54">
        <v>11</v>
      </c>
      <c r="K110" s="54">
        <v>10</v>
      </c>
      <c r="L110" s="54">
        <v>9</v>
      </c>
      <c r="M110" s="54">
        <v>7</v>
      </c>
      <c r="N110" s="54">
        <v>7</v>
      </c>
      <c r="O110" s="54">
        <v>7</v>
      </c>
      <c r="P110" s="54">
        <v>6</v>
      </c>
      <c r="Q110" s="54">
        <v>7</v>
      </c>
      <c r="R110" s="54">
        <v>7</v>
      </c>
      <c r="S110" s="54">
        <v>14</v>
      </c>
      <c r="T110" s="54">
        <v>6</v>
      </c>
      <c r="U110" s="54">
        <v>13</v>
      </c>
      <c r="V110" s="54">
        <v>16</v>
      </c>
      <c r="W110" s="54">
        <v>12</v>
      </c>
      <c r="X110" s="54">
        <v>13</v>
      </c>
      <c r="Y110" s="54">
        <v>11</v>
      </c>
      <c r="Z110" s="54">
        <v>15</v>
      </c>
      <c r="AA110" s="54">
        <v>17</v>
      </c>
      <c r="AB110" s="54">
        <v>9</v>
      </c>
      <c r="AC110" s="54">
        <v>7</v>
      </c>
      <c r="AD110" s="54">
        <v>11</v>
      </c>
      <c r="AE110" s="54">
        <v>7</v>
      </c>
      <c r="AF110" s="54">
        <v>18</v>
      </c>
      <c r="AG110" s="5">
        <f t="shared" si="17"/>
        <v>294</v>
      </c>
    </row>
    <row r="111" spans="1:33" ht="15.75" customHeight="1" x14ac:dyDescent="0.25">
      <c r="A111" s="78" t="s">
        <v>59</v>
      </c>
      <c r="B111" s="54">
        <v>7</v>
      </c>
      <c r="C111" s="54">
        <v>5</v>
      </c>
      <c r="D111" s="54">
        <v>10</v>
      </c>
      <c r="E111" s="54">
        <v>11</v>
      </c>
      <c r="F111" s="54">
        <v>3</v>
      </c>
      <c r="G111" s="54">
        <v>8</v>
      </c>
      <c r="H111" s="54">
        <v>9</v>
      </c>
      <c r="I111" s="54">
        <v>5</v>
      </c>
      <c r="J111" s="54">
        <v>4</v>
      </c>
      <c r="K111" s="54">
        <v>15</v>
      </c>
      <c r="L111" s="54">
        <v>9</v>
      </c>
      <c r="M111" s="54">
        <v>5</v>
      </c>
      <c r="N111" s="54">
        <v>4</v>
      </c>
      <c r="O111" s="54">
        <v>6</v>
      </c>
      <c r="P111" s="54">
        <v>8</v>
      </c>
      <c r="Q111" s="54">
        <v>5</v>
      </c>
      <c r="R111" s="54">
        <v>12</v>
      </c>
      <c r="S111" s="54">
        <v>9</v>
      </c>
      <c r="T111" s="54">
        <v>8</v>
      </c>
      <c r="U111" s="54">
        <v>8</v>
      </c>
      <c r="V111" s="54">
        <v>11</v>
      </c>
      <c r="W111" s="54">
        <v>4</v>
      </c>
      <c r="X111" s="54">
        <v>4</v>
      </c>
      <c r="Y111" s="54">
        <v>15</v>
      </c>
      <c r="Z111" s="54">
        <v>7</v>
      </c>
      <c r="AA111" s="54">
        <v>7</v>
      </c>
      <c r="AB111" s="54">
        <v>7</v>
      </c>
      <c r="AC111" s="54">
        <v>4</v>
      </c>
      <c r="AD111" s="54">
        <v>5</v>
      </c>
      <c r="AE111" s="54">
        <v>6</v>
      </c>
      <c r="AF111" s="54">
        <v>11</v>
      </c>
      <c r="AG111" s="5">
        <f t="shared" si="17"/>
        <v>232</v>
      </c>
    </row>
    <row r="112" spans="1:33" ht="15.75" customHeight="1" x14ac:dyDescent="0.25">
      <c r="A112" s="78" t="s">
        <v>60</v>
      </c>
      <c r="B112" s="54">
        <v>8</v>
      </c>
      <c r="C112" s="54">
        <v>5</v>
      </c>
      <c r="D112" s="54">
        <v>12</v>
      </c>
      <c r="E112" s="54">
        <v>5</v>
      </c>
      <c r="F112" s="54">
        <v>4</v>
      </c>
      <c r="G112" s="54">
        <v>6</v>
      </c>
      <c r="H112" s="54">
        <v>5</v>
      </c>
      <c r="I112" s="54">
        <v>8</v>
      </c>
      <c r="J112" s="54">
        <v>6</v>
      </c>
      <c r="K112" s="54">
        <v>7</v>
      </c>
      <c r="L112" s="54">
        <v>6</v>
      </c>
      <c r="M112" s="54">
        <v>6</v>
      </c>
      <c r="N112" s="54">
        <v>6</v>
      </c>
      <c r="O112" s="54">
        <v>4</v>
      </c>
      <c r="P112" s="54">
        <v>3</v>
      </c>
      <c r="Q112" s="54">
        <v>7</v>
      </c>
      <c r="R112" s="54">
        <v>12</v>
      </c>
      <c r="S112" s="54">
        <v>14</v>
      </c>
      <c r="T112" s="54">
        <v>8</v>
      </c>
      <c r="U112" s="54">
        <v>6</v>
      </c>
      <c r="V112" s="54">
        <v>8</v>
      </c>
      <c r="W112" s="54">
        <v>1</v>
      </c>
      <c r="X112" s="54">
        <v>8</v>
      </c>
      <c r="Y112" s="54">
        <v>9</v>
      </c>
      <c r="Z112" s="54">
        <v>6</v>
      </c>
      <c r="AA112" s="54">
        <v>7</v>
      </c>
      <c r="AB112" s="54">
        <v>3</v>
      </c>
      <c r="AC112" s="54">
        <v>5</v>
      </c>
      <c r="AD112" s="54">
        <v>7</v>
      </c>
      <c r="AE112" s="54">
        <v>7</v>
      </c>
      <c r="AF112" s="54">
        <v>8</v>
      </c>
      <c r="AG112" s="5">
        <f t="shared" si="17"/>
        <v>207</v>
      </c>
    </row>
    <row r="113" spans="1:37" ht="15.75" customHeight="1" x14ac:dyDescent="0.25">
      <c r="A113" s="78" t="s">
        <v>61</v>
      </c>
      <c r="B113" s="54">
        <v>8</v>
      </c>
      <c r="C113" s="54">
        <v>6</v>
      </c>
      <c r="D113" s="54">
        <v>11</v>
      </c>
      <c r="E113" s="54">
        <v>7</v>
      </c>
      <c r="F113" s="54">
        <v>5</v>
      </c>
      <c r="G113" s="54">
        <v>5</v>
      </c>
      <c r="H113" s="54">
        <v>6</v>
      </c>
      <c r="I113" s="54">
        <v>8</v>
      </c>
      <c r="J113" s="54">
        <v>5</v>
      </c>
      <c r="K113" s="54">
        <v>10</v>
      </c>
      <c r="L113" s="54">
        <v>8</v>
      </c>
      <c r="M113" s="54">
        <v>2</v>
      </c>
      <c r="N113" s="54">
        <v>7</v>
      </c>
      <c r="O113" s="54">
        <v>9</v>
      </c>
      <c r="P113" s="54">
        <v>6</v>
      </c>
      <c r="Q113" s="54">
        <v>5</v>
      </c>
      <c r="R113" s="54">
        <v>9</v>
      </c>
      <c r="S113" s="54">
        <v>10</v>
      </c>
      <c r="T113" s="54">
        <v>6</v>
      </c>
      <c r="U113" s="54">
        <v>3</v>
      </c>
      <c r="V113" s="54">
        <v>10</v>
      </c>
      <c r="W113" s="54">
        <v>2</v>
      </c>
      <c r="X113" s="54">
        <v>6</v>
      </c>
      <c r="Y113" s="54">
        <v>5</v>
      </c>
      <c r="Z113" s="54">
        <v>5</v>
      </c>
      <c r="AA113" s="54">
        <v>3</v>
      </c>
      <c r="AB113" s="54">
        <v>3</v>
      </c>
      <c r="AC113" s="54">
        <v>4</v>
      </c>
      <c r="AD113" s="54">
        <v>6</v>
      </c>
      <c r="AE113" s="54">
        <v>4</v>
      </c>
      <c r="AF113" s="54">
        <v>3</v>
      </c>
      <c r="AG113" s="5">
        <f t="shared" si="17"/>
        <v>187</v>
      </c>
    </row>
    <row r="114" spans="1:37" ht="15.75" customHeight="1" x14ac:dyDescent="0.25">
      <c r="A114" s="78" t="s">
        <v>62</v>
      </c>
      <c r="B114" s="54">
        <v>6</v>
      </c>
      <c r="C114" s="54">
        <v>3</v>
      </c>
      <c r="D114" s="54">
        <v>7</v>
      </c>
      <c r="E114" s="54">
        <v>6</v>
      </c>
      <c r="F114" s="54">
        <v>7</v>
      </c>
      <c r="G114" s="54">
        <v>8</v>
      </c>
      <c r="H114" s="54">
        <v>4</v>
      </c>
      <c r="I114" s="54">
        <v>5</v>
      </c>
      <c r="J114" s="54">
        <v>4</v>
      </c>
      <c r="K114" s="54">
        <v>11</v>
      </c>
      <c r="L114" s="54">
        <v>11</v>
      </c>
      <c r="M114" s="54">
        <v>6</v>
      </c>
      <c r="N114" s="54">
        <v>3</v>
      </c>
      <c r="O114" s="54">
        <v>8</v>
      </c>
      <c r="P114" s="54">
        <v>10</v>
      </c>
      <c r="Q114" s="54">
        <v>7</v>
      </c>
      <c r="R114" s="54">
        <v>8</v>
      </c>
      <c r="S114" s="54">
        <v>14</v>
      </c>
      <c r="T114" s="54">
        <v>5</v>
      </c>
      <c r="U114" s="54">
        <v>7</v>
      </c>
      <c r="V114" s="54">
        <v>11</v>
      </c>
      <c r="W114" s="54">
        <v>6</v>
      </c>
      <c r="X114" s="54">
        <v>5</v>
      </c>
      <c r="Y114" s="54">
        <v>7</v>
      </c>
      <c r="Z114" s="54">
        <v>4</v>
      </c>
      <c r="AA114" s="54">
        <v>11</v>
      </c>
      <c r="AB114" s="54">
        <v>8</v>
      </c>
      <c r="AC114" s="54">
        <v>13</v>
      </c>
      <c r="AD114" s="54">
        <v>9</v>
      </c>
      <c r="AE114" s="54">
        <v>8</v>
      </c>
      <c r="AF114" s="54">
        <v>9</v>
      </c>
      <c r="AG114" s="5">
        <f t="shared" si="17"/>
        <v>231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51</v>
      </c>
      <c r="C116" s="20">
        <f t="shared" si="19"/>
        <v>30</v>
      </c>
      <c r="D116" s="20">
        <f t="shared" si="19"/>
        <v>48</v>
      </c>
      <c r="E116" s="20">
        <f t="shared" si="19"/>
        <v>48</v>
      </c>
      <c r="F116" s="20">
        <f t="shared" si="19"/>
        <v>27</v>
      </c>
      <c r="G116" s="20">
        <f t="shared" si="19"/>
        <v>32</v>
      </c>
      <c r="H116" s="20">
        <f t="shared" si="19"/>
        <v>20</v>
      </c>
      <c r="I116" s="20">
        <f t="shared" si="19"/>
        <v>25</v>
      </c>
      <c r="J116" s="20">
        <f t="shared" si="19"/>
        <v>42</v>
      </c>
      <c r="K116" s="20">
        <f t="shared" si="19"/>
        <v>36</v>
      </c>
      <c r="L116" s="20">
        <f t="shared" si="19"/>
        <v>42</v>
      </c>
      <c r="M116" s="20">
        <f t="shared" si="19"/>
        <v>54</v>
      </c>
      <c r="N116" s="20">
        <f t="shared" si="19"/>
        <v>39</v>
      </c>
      <c r="O116" s="20">
        <f t="shared" si="19"/>
        <v>32</v>
      </c>
      <c r="P116" s="20">
        <f t="shared" si="19"/>
        <v>45</v>
      </c>
      <c r="Q116" s="20">
        <f t="shared" si="19"/>
        <v>25</v>
      </c>
      <c r="R116" s="20">
        <f t="shared" si="19"/>
        <v>59</v>
      </c>
      <c r="S116" s="20">
        <f t="shared" si="19"/>
        <v>48</v>
      </c>
      <c r="T116" s="20">
        <f t="shared" si="19"/>
        <v>44</v>
      </c>
      <c r="U116" s="20">
        <f t="shared" si="19"/>
        <v>23</v>
      </c>
      <c r="V116" s="20">
        <f t="shared" si="19"/>
        <v>51</v>
      </c>
      <c r="W116" s="20">
        <f t="shared" si="19"/>
        <v>23</v>
      </c>
      <c r="X116" s="20">
        <f t="shared" si="19"/>
        <v>30</v>
      </c>
      <c r="Y116" s="20">
        <f t="shared" si="19"/>
        <v>41</v>
      </c>
      <c r="Z116" s="20">
        <f t="shared" si="19"/>
        <v>42</v>
      </c>
      <c r="AA116" s="20">
        <f t="shared" si="19"/>
        <v>57</v>
      </c>
      <c r="AB116" s="20">
        <f t="shared" si="19"/>
        <v>24</v>
      </c>
      <c r="AC116" s="20">
        <f t="shared" si="19"/>
        <v>25</v>
      </c>
      <c r="AD116" s="20">
        <f t="shared" si="19"/>
        <v>38</v>
      </c>
      <c r="AE116" s="20">
        <f t="shared" si="19"/>
        <v>31</v>
      </c>
      <c r="AF116" s="20">
        <f t="shared" si="19"/>
        <v>48</v>
      </c>
      <c r="AG116" s="5">
        <f t="shared" si="17"/>
        <v>1180</v>
      </c>
      <c r="AK116" s="84">
        <v>612</v>
      </c>
    </row>
    <row r="117" spans="1:37" ht="15.75" customHeight="1" x14ac:dyDescent="0.25">
      <c r="A117" s="85" t="s">
        <v>64</v>
      </c>
      <c r="B117" s="54">
        <v>38</v>
      </c>
      <c r="C117" s="54">
        <v>21</v>
      </c>
      <c r="D117" s="54">
        <v>40</v>
      </c>
      <c r="E117" s="54">
        <v>41</v>
      </c>
      <c r="F117" s="54">
        <v>23</v>
      </c>
      <c r="G117" s="54">
        <v>24</v>
      </c>
      <c r="H117" s="54">
        <v>14</v>
      </c>
      <c r="I117" s="54">
        <v>17</v>
      </c>
      <c r="J117" s="54">
        <v>33</v>
      </c>
      <c r="K117" s="54">
        <v>33</v>
      </c>
      <c r="L117" s="54">
        <v>39</v>
      </c>
      <c r="M117" s="54">
        <v>44</v>
      </c>
      <c r="N117" s="54">
        <v>29</v>
      </c>
      <c r="O117" s="54">
        <v>27</v>
      </c>
      <c r="P117" s="54">
        <v>39</v>
      </c>
      <c r="Q117" s="54">
        <v>23</v>
      </c>
      <c r="R117" s="54">
        <v>46</v>
      </c>
      <c r="S117" s="54">
        <v>39</v>
      </c>
      <c r="T117" s="54">
        <v>36</v>
      </c>
      <c r="U117" s="54">
        <v>19</v>
      </c>
      <c r="V117" s="54">
        <v>43</v>
      </c>
      <c r="W117" s="54">
        <v>16</v>
      </c>
      <c r="X117" s="54">
        <v>24</v>
      </c>
      <c r="Y117" s="54">
        <v>31</v>
      </c>
      <c r="Z117" s="54">
        <v>35</v>
      </c>
      <c r="AA117" s="54">
        <v>51</v>
      </c>
      <c r="AB117" s="54">
        <v>22</v>
      </c>
      <c r="AC117" s="54">
        <v>20</v>
      </c>
      <c r="AD117" s="54">
        <v>36</v>
      </c>
      <c r="AE117" s="54">
        <v>25</v>
      </c>
      <c r="AF117" s="54">
        <v>38</v>
      </c>
      <c r="AG117" s="5">
        <f t="shared" si="17"/>
        <v>966</v>
      </c>
      <c r="AK117" s="84">
        <v>613</v>
      </c>
    </row>
    <row r="118" spans="1:37" ht="15.75" customHeight="1" thickBot="1" x14ac:dyDescent="0.3">
      <c r="A118" s="86" t="s">
        <v>76</v>
      </c>
      <c r="B118" s="87">
        <v>13</v>
      </c>
      <c r="C118" s="87">
        <v>9</v>
      </c>
      <c r="D118" s="87">
        <v>8</v>
      </c>
      <c r="E118" s="87">
        <v>7</v>
      </c>
      <c r="F118" s="87">
        <v>4</v>
      </c>
      <c r="G118" s="87">
        <v>8</v>
      </c>
      <c r="H118" s="87">
        <v>6</v>
      </c>
      <c r="I118" s="87">
        <v>8</v>
      </c>
      <c r="J118" s="87">
        <v>9</v>
      </c>
      <c r="K118" s="87">
        <v>3</v>
      </c>
      <c r="L118" s="87">
        <v>3</v>
      </c>
      <c r="M118" s="87">
        <v>10</v>
      </c>
      <c r="N118" s="87">
        <v>10</v>
      </c>
      <c r="O118" s="87">
        <v>5</v>
      </c>
      <c r="P118" s="87">
        <v>6</v>
      </c>
      <c r="Q118" s="87">
        <v>2</v>
      </c>
      <c r="R118" s="87">
        <v>13</v>
      </c>
      <c r="S118" s="87">
        <v>9</v>
      </c>
      <c r="T118" s="87">
        <v>8</v>
      </c>
      <c r="U118" s="87">
        <v>4</v>
      </c>
      <c r="V118" s="87">
        <v>8</v>
      </c>
      <c r="W118" s="87">
        <v>7</v>
      </c>
      <c r="X118" s="87">
        <v>6</v>
      </c>
      <c r="Y118" s="87">
        <v>10</v>
      </c>
      <c r="Z118" s="87">
        <v>7</v>
      </c>
      <c r="AA118" s="87">
        <v>6</v>
      </c>
      <c r="AB118" s="87">
        <v>2</v>
      </c>
      <c r="AC118" s="87">
        <v>5</v>
      </c>
      <c r="AD118" s="87">
        <v>2</v>
      </c>
      <c r="AE118" s="87">
        <v>6</v>
      </c>
      <c r="AF118" s="87">
        <v>10</v>
      </c>
      <c r="AG118" s="5">
        <f t="shared" si="17"/>
        <v>214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165</v>
      </c>
      <c r="C119" s="20">
        <f t="shared" si="20"/>
        <v>105</v>
      </c>
      <c r="D119" s="20">
        <f t="shared" si="20"/>
        <v>178</v>
      </c>
      <c r="E119" s="20">
        <f t="shared" si="20"/>
        <v>198</v>
      </c>
      <c r="F119" s="20">
        <f t="shared" si="20"/>
        <v>117</v>
      </c>
      <c r="G119" s="20">
        <f t="shared" si="20"/>
        <v>113</v>
      </c>
      <c r="H119" s="20">
        <f t="shared" si="20"/>
        <v>112</v>
      </c>
      <c r="I119" s="20">
        <f t="shared" si="20"/>
        <v>127</v>
      </c>
      <c r="J119" s="20">
        <f t="shared" si="20"/>
        <v>135</v>
      </c>
      <c r="K119" s="20">
        <f t="shared" si="20"/>
        <v>169</v>
      </c>
      <c r="L119" s="20">
        <f t="shared" si="20"/>
        <v>169</v>
      </c>
      <c r="M119" s="20">
        <f t="shared" si="20"/>
        <v>131</v>
      </c>
      <c r="N119" s="20">
        <f t="shared" si="20"/>
        <v>134</v>
      </c>
      <c r="O119" s="20">
        <f t="shared" si="20"/>
        <v>133</v>
      </c>
      <c r="P119" s="20">
        <f t="shared" si="20"/>
        <v>126</v>
      </c>
      <c r="Q119" s="20">
        <f t="shared" si="20"/>
        <v>122</v>
      </c>
      <c r="R119" s="20">
        <f t="shared" si="20"/>
        <v>181</v>
      </c>
      <c r="S119" s="20">
        <f t="shared" si="20"/>
        <v>189</v>
      </c>
      <c r="T119" s="20">
        <f t="shared" si="20"/>
        <v>140</v>
      </c>
      <c r="U119" s="20">
        <f t="shared" si="20"/>
        <v>131</v>
      </c>
      <c r="V119" s="20">
        <f t="shared" si="20"/>
        <v>222</v>
      </c>
      <c r="W119" s="20">
        <f t="shared" si="20"/>
        <v>117</v>
      </c>
      <c r="X119" s="20">
        <f t="shared" si="20"/>
        <v>134</v>
      </c>
      <c r="Y119" s="20">
        <f t="shared" si="20"/>
        <v>169</v>
      </c>
      <c r="Z119" s="20">
        <f t="shared" si="20"/>
        <v>168</v>
      </c>
      <c r="AA119" s="20">
        <f t="shared" si="20"/>
        <v>147</v>
      </c>
      <c r="AB119" s="20">
        <f t="shared" si="20"/>
        <v>122</v>
      </c>
      <c r="AC119" s="20">
        <f t="shared" si="20"/>
        <v>118</v>
      </c>
      <c r="AD119" s="20">
        <f t="shared" si="20"/>
        <v>128</v>
      </c>
      <c r="AE119" s="20">
        <f t="shared" si="20"/>
        <v>113</v>
      </c>
      <c r="AF119" s="20">
        <f t="shared" si="20"/>
        <v>166</v>
      </c>
      <c r="AG119" s="7">
        <f t="shared" si="17"/>
        <v>4479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38</v>
      </c>
      <c r="C120" s="54">
        <v>19</v>
      </c>
      <c r="D120" s="54">
        <v>38</v>
      </c>
      <c r="E120" s="54">
        <v>40</v>
      </c>
      <c r="F120" s="54">
        <v>22</v>
      </c>
      <c r="G120" s="54">
        <v>20</v>
      </c>
      <c r="H120" s="54">
        <v>14</v>
      </c>
      <c r="I120" s="54">
        <v>16</v>
      </c>
      <c r="J120" s="54">
        <v>33</v>
      </c>
      <c r="K120" s="54">
        <v>33</v>
      </c>
      <c r="L120" s="54">
        <v>38</v>
      </c>
      <c r="M120" s="54">
        <v>36</v>
      </c>
      <c r="N120" s="54">
        <v>25</v>
      </c>
      <c r="O120" s="54">
        <v>25</v>
      </c>
      <c r="P120" s="54">
        <v>36</v>
      </c>
      <c r="Q120" s="54">
        <v>21</v>
      </c>
      <c r="R120" s="54">
        <v>45</v>
      </c>
      <c r="S120" s="54">
        <v>32</v>
      </c>
      <c r="T120" s="54">
        <v>35</v>
      </c>
      <c r="U120" s="54">
        <v>16</v>
      </c>
      <c r="V120" s="54">
        <v>42</v>
      </c>
      <c r="W120" s="54">
        <v>16</v>
      </c>
      <c r="X120" s="54">
        <v>24</v>
      </c>
      <c r="Y120" s="54">
        <v>30</v>
      </c>
      <c r="Z120" s="54">
        <v>35</v>
      </c>
      <c r="AA120" s="54">
        <v>46</v>
      </c>
      <c r="AB120" s="54">
        <v>19</v>
      </c>
      <c r="AC120" s="54">
        <v>20</v>
      </c>
      <c r="AD120" s="54">
        <v>34</v>
      </c>
      <c r="AE120" s="54">
        <v>23</v>
      </c>
      <c r="AF120" s="54">
        <v>37</v>
      </c>
      <c r="AG120" s="5">
        <f t="shared" si="17"/>
        <v>908</v>
      </c>
      <c r="AK120" s="88" t="s">
        <v>130</v>
      </c>
    </row>
    <row r="121" spans="1:37" ht="15.75" customHeight="1" x14ac:dyDescent="0.25">
      <c r="A121" s="85" t="s">
        <v>65</v>
      </c>
      <c r="B121" s="54">
        <v>4</v>
      </c>
      <c r="C121" s="54">
        <v>0</v>
      </c>
      <c r="D121" s="54">
        <v>4</v>
      </c>
      <c r="E121" s="54">
        <v>8</v>
      </c>
      <c r="F121" s="54">
        <v>4</v>
      </c>
      <c r="G121" s="54">
        <v>4</v>
      </c>
      <c r="H121" s="54">
        <v>3</v>
      </c>
      <c r="I121" s="54">
        <v>6</v>
      </c>
      <c r="J121" s="54">
        <v>1</v>
      </c>
      <c r="K121" s="54">
        <v>2</v>
      </c>
      <c r="L121" s="54">
        <v>6</v>
      </c>
      <c r="M121" s="54">
        <v>1</v>
      </c>
      <c r="N121" s="54">
        <v>2</v>
      </c>
      <c r="O121" s="54">
        <v>1</v>
      </c>
      <c r="P121" s="54">
        <v>1</v>
      </c>
      <c r="Q121" s="54">
        <v>8</v>
      </c>
      <c r="R121" s="54">
        <v>6</v>
      </c>
      <c r="S121" s="54">
        <v>3</v>
      </c>
      <c r="T121" s="54">
        <v>5</v>
      </c>
      <c r="U121" s="54">
        <v>3</v>
      </c>
      <c r="V121" s="54">
        <v>3</v>
      </c>
      <c r="W121" s="54">
        <v>1</v>
      </c>
      <c r="X121" s="54">
        <v>2</v>
      </c>
      <c r="Y121" s="54">
        <v>2</v>
      </c>
      <c r="Z121" s="54">
        <v>1</v>
      </c>
      <c r="AA121" s="54">
        <v>5</v>
      </c>
      <c r="AB121" s="54">
        <v>5</v>
      </c>
      <c r="AC121" s="54">
        <v>1</v>
      </c>
      <c r="AD121" s="54">
        <v>4</v>
      </c>
      <c r="AE121" s="54">
        <v>1</v>
      </c>
      <c r="AF121" s="54">
        <v>2</v>
      </c>
      <c r="AG121" s="5">
        <f t="shared" si="17"/>
        <v>99</v>
      </c>
      <c r="AK121" s="84" t="s">
        <v>131</v>
      </c>
    </row>
    <row r="122" spans="1:37" ht="15.75" customHeight="1" x14ac:dyDescent="0.25">
      <c r="A122" s="85" t="s">
        <v>66</v>
      </c>
      <c r="B122" s="54">
        <v>10</v>
      </c>
      <c r="C122" s="54">
        <v>2</v>
      </c>
      <c r="D122" s="54">
        <v>9</v>
      </c>
      <c r="E122" s="54">
        <v>19</v>
      </c>
      <c r="F122" s="54">
        <v>5</v>
      </c>
      <c r="G122" s="54">
        <v>6</v>
      </c>
      <c r="H122" s="54">
        <v>6</v>
      </c>
      <c r="I122" s="54">
        <v>3</v>
      </c>
      <c r="J122" s="54">
        <v>6</v>
      </c>
      <c r="K122" s="54">
        <v>12</v>
      </c>
      <c r="L122" s="54">
        <v>7</v>
      </c>
      <c r="M122" s="54">
        <v>15</v>
      </c>
      <c r="N122" s="54">
        <v>7</v>
      </c>
      <c r="O122" s="54">
        <v>5</v>
      </c>
      <c r="P122" s="54">
        <v>5</v>
      </c>
      <c r="Q122" s="54">
        <v>5</v>
      </c>
      <c r="R122" s="54">
        <v>8</v>
      </c>
      <c r="S122" s="54">
        <v>15</v>
      </c>
      <c r="T122" s="54">
        <v>5</v>
      </c>
      <c r="U122" s="54">
        <v>11</v>
      </c>
      <c r="V122" s="54">
        <v>12</v>
      </c>
      <c r="W122" s="54">
        <v>3</v>
      </c>
      <c r="X122" s="54">
        <v>4</v>
      </c>
      <c r="Y122" s="54">
        <v>12</v>
      </c>
      <c r="Z122" s="54">
        <v>12</v>
      </c>
      <c r="AA122" s="54">
        <v>9</v>
      </c>
      <c r="AB122" s="54">
        <v>4</v>
      </c>
      <c r="AC122" s="54">
        <v>5</v>
      </c>
      <c r="AD122" s="54">
        <v>5</v>
      </c>
      <c r="AE122" s="54">
        <v>9</v>
      </c>
      <c r="AF122" s="54">
        <v>7</v>
      </c>
      <c r="AG122" s="5">
        <f t="shared" si="17"/>
        <v>243</v>
      </c>
      <c r="AK122" s="88" t="s">
        <v>132</v>
      </c>
    </row>
    <row r="123" spans="1:37" ht="15.75" customHeight="1" x14ac:dyDescent="0.25">
      <c r="A123" s="85" t="s">
        <v>67</v>
      </c>
      <c r="B123" s="54">
        <v>9</v>
      </c>
      <c r="C123" s="54">
        <v>6</v>
      </c>
      <c r="D123" s="54">
        <v>6</v>
      </c>
      <c r="E123" s="54">
        <v>2</v>
      </c>
      <c r="F123" s="54">
        <v>9</v>
      </c>
      <c r="G123" s="54">
        <v>2</v>
      </c>
      <c r="H123" s="54">
        <v>4</v>
      </c>
      <c r="I123" s="54">
        <v>7</v>
      </c>
      <c r="J123" s="54">
        <v>4</v>
      </c>
      <c r="K123" s="54">
        <v>13</v>
      </c>
      <c r="L123" s="54">
        <v>8</v>
      </c>
      <c r="M123" s="54">
        <v>1</v>
      </c>
      <c r="N123" s="54">
        <v>3</v>
      </c>
      <c r="O123" s="54">
        <v>8</v>
      </c>
      <c r="P123" s="54">
        <v>3</v>
      </c>
      <c r="Q123" s="54">
        <v>5</v>
      </c>
      <c r="R123" s="54">
        <v>8</v>
      </c>
      <c r="S123" s="54">
        <v>7</v>
      </c>
      <c r="T123" s="54">
        <v>6</v>
      </c>
      <c r="U123" s="54">
        <v>4</v>
      </c>
      <c r="V123" s="54">
        <v>14</v>
      </c>
      <c r="W123" s="54">
        <v>4</v>
      </c>
      <c r="X123" s="54">
        <v>7</v>
      </c>
      <c r="Y123" s="54">
        <v>12</v>
      </c>
      <c r="Z123" s="54">
        <v>8</v>
      </c>
      <c r="AA123" s="54">
        <v>4</v>
      </c>
      <c r="AB123" s="54">
        <v>0</v>
      </c>
      <c r="AC123" s="54">
        <v>2</v>
      </c>
      <c r="AD123" s="54">
        <v>6</v>
      </c>
      <c r="AE123" s="54">
        <v>4</v>
      </c>
      <c r="AF123" s="54">
        <v>4</v>
      </c>
      <c r="AG123" s="5">
        <f t="shared" si="17"/>
        <v>180</v>
      </c>
      <c r="AK123" s="84" t="s">
        <v>133</v>
      </c>
    </row>
    <row r="124" spans="1:37" ht="15.75" customHeight="1" x14ac:dyDescent="0.25">
      <c r="A124" s="85" t="s">
        <v>68</v>
      </c>
      <c r="B124" s="54">
        <v>14</v>
      </c>
      <c r="C124" s="54">
        <v>2</v>
      </c>
      <c r="D124" s="54">
        <v>6</v>
      </c>
      <c r="E124" s="54">
        <v>18</v>
      </c>
      <c r="F124" s="54">
        <v>8</v>
      </c>
      <c r="G124" s="54">
        <v>8</v>
      </c>
      <c r="H124" s="54">
        <v>5</v>
      </c>
      <c r="I124" s="54">
        <v>6</v>
      </c>
      <c r="J124" s="54">
        <v>5</v>
      </c>
      <c r="K124" s="54">
        <v>8</v>
      </c>
      <c r="L124" s="54">
        <v>6</v>
      </c>
      <c r="M124" s="54">
        <v>5</v>
      </c>
      <c r="N124" s="54">
        <v>3</v>
      </c>
      <c r="O124" s="54">
        <v>2</v>
      </c>
      <c r="P124" s="54">
        <v>5</v>
      </c>
      <c r="Q124" s="54">
        <v>9</v>
      </c>
      <c r="R124" s="54">
        <v>13</v>
      </c>
      <c r="S124" s="54">
        <v>17</v>
      </c>
      <c r="T124" s="54">
        <v>8</v>
      </c>
      <c r="U124" s="54">
        <v>7</v>
      </c>
      <c r="V124" s="54">
        <v>17</v>
      </c>
      <c r="W124" s="54">
        <v>4</v>
      </c>
      <c r="X124" s="54">
        <v>10</v>
      </c>
      <c r="Y124" s="54">
        <v>11</v>
      </c>
      <c r="Z124" s="54">
        <v>12</v>
      </c>
      <c r="AA124" s="54">
        <v>6</v>
      </c>
      <c r="AB124" s="54">
        <v>8</v>
      </c>
      <c r="AC124" s="54">
        <v>7</v>
      </c>
      <c r="AD124" s="54">
        <v>9</v>
      </c>
      <c r="AE124" s="54">
        <v>4</v>
      </c>
      <c r="AF124" s="54">
        <v>11</v>
      </c>
      <c r="AG124" s="5">
        <f t="shared" si="17"/>
        <v>254</v>
      </c>
      <c r="AK124" s="88" t="s">
        <v>134</v>
      </c>
    </row>
    <row r="125" spans="1:37" ht="15.75" customHeight="1" x14ac:dyDescent="0.25">
      <c r="A125" s="85" t="s">
        <v>69</v>
      </c>
      <c r="B125" s="54">
        <v>66</v>
      </c>
      <c r="C125" s="54">
        <v>57</v>
      </c>
      <c r="D125" s="54">
        <v>90</v>
      </c>
      <c r="E125" s="54">
        <v>84</v>
      </c>
      <c r="F125" s="54">
        <v>58</v>
      </c>
      <c r="G125" s="54">
        <v>57</v>
      </c>
      <c r="H125" s="54">
        <v>62</v>
      </c>
      <c r="I125" s="54">
        <v>72</v>
      </c>
      <c r="J125" s="54">
        <v>60</v>
      </c>
      <c r="K125" s="54">
        <v>82</v>
      </c>
      <c r="L125" s="54">
        <v>83</v>
      </c>
      <c r="M125" s="54">
        <v>54</v>
      </c>
      <c r="N125" s="54">
        <v>76</v>
      </c>
      <c r="O125" s="54">
        <v>75</v>
      </c>
      <c r="P125" s="54">
        <v>58</v>
      </c>
      <c r="Q125" s="54">
        <v>66</v>
      </c>
      <c r="R125" s="54">
        <v>67</v>
      </c>
      <c r="S125" s="54">
        <v>87</v>
      </c>
      <c r="T125" s="54">
        <v>61</v>
      </c>
      <c r="U125" s="54">
        <v>76</v>
      </c>
      <c r="V125" s="54">
        <v>114</v>
      </c>
      <c r="W125" s="54">
        <v>71</v>
      </c>
      <c r="X125" s="54">
        <v>68</v>
      </c>
      <c r="Y125" s="54">
        <v>81</v>
      </c>
      <c r="Z125" s="54">
        <v>81</v>
      </c>
      <c r="AA125" s="54">
        <v>58</v>
      </c>
      <c r="AB125" s="54">
        <v>75</v>
      </c>
      <c r="AC125" s="54">
        <v>66</v>
      </c>
      <c r="AD125" s="54">
        <v>59</v>
      </c>
      <c r="AE125" s="54">
        <v>57</v>
      </c>
      <c r="AF125" s="54">
        <v>82</v>
      </c>
      <c r="AG125" s="5">
        <f t="shared" si="17"/>
        <v>2203</v>
      </c>
      <c r="AK125" s="88" t="s">
        <v>135</v>
      </c>
    </row>
    <row r="126" spans="1:37" ht="15.75" customHeight="1" x14ac:dyDescent="0.25">
      <c r="A126" s="85" t="s">
        <v>70</v>
      </c>
      <c r="B126" s="54">
        <v>2</v>
      </c>
      <c r="C126" s="54">
        <v>2</v>
      </c>
      <c r="D126" s="54">
        <v>2</v>
      </c>
      <c r="E126" s="54">
        <v>5</v>
      </c>
      <c r="F126" s="54">
        <v>3</v>
      </c>
      <c r="G126" s="54">
        <v>3</v>
      </c>
      <c r="H126" s="54">
        <v>2</v>
      </c>
      <c r="I126" s="54">
        <v>3</v>
      </c>
      <c r="J126" s="54">
        <v>3</v>
      </c>
      <c r="K126" s="54">
        <v>7</v>
      </c>
      <c r="L126" s="54">
        <v>6</v>
      </c>
      <c r="M126" s="54">
        <v>2</v>
      </c>
      <c r="N126" s="54">
        <v>2</v>
      </c>
      <c r="O126" s="54">
        <v>2</v>
      </c>
      <c r="P126" s="54">
        <v>2</v>
      </c>
      <c r="Q126" s="54">
        <v>2</v>
      </c>
      <c r="R126" s="54">
        <v>5</v>
      </c>
      <c r="S126" s="54">
        <v>5</v>
      </c>
      <c r="T126" s="54">
        <v>1</v>
      </c>
      <c r="U126" s="54">
        <v>2</v>
      </c>
      <c r="V126" s="54">
        <v>1</v>
      </c>
      <c r="W126" s="54">
        <v>3</v>
      </c>
      <c r="X126" s="54">
        <v>6</v>
      </c>
      <c r="Y126" s="54">
        <v>5</v>
      </c>
      <c r="Z126" s="54">
        <v>5</v>
      </c>
      <c r="AA126" s="54">
        <v>3</v>
      </c>
      <c r="AB126" s="54">
        <v>2</v>
      </c>
      <c r="AC126" s="54">
        <v>1</v>
      </c>
      <c r="AD126" s="54">
        <v>0</v>
      </c>
      <c r="AE126" s="54">
        <v>3</v>
      </c>
      <c r="AF126" s="54">
        <v>6</v>
      </c>
      <c r="AG126" s="5">
        <f t="shared" si="17"/>
        <v>96</v>
      </c>
      <c r="AK126" s="84" t="s">
        <v>136</v>
      </c>
    </row>
    <row r="127" spans="1:37" ht="15.75" customHeight="1" x14ac:dyDescent="0.25">
      <c r="A127" s="85" t="s">
        <v>71</v>
      </c>
      <c r="B127" s="54">
        <v>3</v>
      </c>
      <c r="C127" s="54">
        <v>0</v>
      </c>
      <c r="D127" s="54">
        <v>2</v>
      </c>
      <c r="E127" s="54">
        <v>1</v>
      </c>
      <c r="F127" s="54">
        <v>0</v>
      </c>
      <c r="G127" s="54">
        <v>3</v>
      </c>
      <c r="H127" s="54">
        <v>2</v>
      </c>
      <c r="I127" s="54">
        <v>1</v>
      </c>
      <c r="J127" s="54">
        <v>0</v>
      </c>
      <c r="K127" s="54">
        <v>1</v>
      </c>
      <c r="L127" s="54">
        <v>0</v>
      </c>
      <c r="M127" s="54">
        <v>1</v>
      </c>
      <c r="N127" s="54">
        <v>3</v>
      </c>
      <c r="O127" s="54">
        <v>3</v>
      </c>
      <c r="P127" s="54">
        <v>2</v>
      </c>
      <c r="Q127" s="54">
        <v>1</v>
      </c>
      <c r="R127" s="54">
        <v>1</v>
      </c>
      <c r="S127" s="54">
        <v>4</v>
      </c>
      <c r="T127" s="54">
        <v>2</v>
      </c>
      <c r="U127" s="54">
        <v>2</v>
      </c>
      <c r="V127" s="54">
        <v>2</v>
      </c>
      <c r="W127" s="54">
        <v>1</v>
      </c>
      <c r="X127" s="54">
        <v>0</v>
      </c>
      <c r="Y127" s="54">
        <v>0</v>
      </c>
      <c r="Z127" s="54">
        <v>0</v>
      </c>
      <c r="AA127" s="54">
        <v>1</v>
      </c>
      <c r="AB127" s="54">
        <v>0</v>
      </c>
      <c r="AC127" s="54">
        <v>0</v>
      </c>
      <c r="AD127" s="54">
        <v>1</v>
      </c>
      <c r="AE127" s="54">
        <v>1</v>
      </c>
      <c r="AF127" s="54">
        <v>1</v>
      </c>
      <c r="AG127" s="5">
        <f t="shared" si="17"/>
        <v>39</v>
      </c>
      <c r="AK127" s="88" t="s">
        <v>137</v>
      </c>
    </row>
    <row r="128" spans="1:37" ht="15.75" customHeight="1" x14ac:dyDescent="0.25">
      <c r="A128" s="56" t="s">
        <v>72</v>
      </c>
      <c r="B128" s="54">
        <v>0</v>
      </c>
      <c r="C128" s="54">
        <v>1</v>
      </c>
      <c r="D128" s="54">
        <v>1</v>
      </c>
      <c r="E128" s="54">
        <v>2</v>
      </c>
      <c r="F128" s="54">
        <v>0</v>
      </c>
      <c r="G128" s="54">
        <v>0</v>
      </c>
      <c r="H128" s="54">
        <v>0</v>
      </c>
      <c r="I128" s="54">
        <v>3</v>
      </c>
      <c r="J128" s="54">
        <v>3</v>
      </c>
      <c r="K128" s="54">
        <v>1</v>
      </c>
      <c r="L128" s="54">
        <v>4</v>
      </c>
      <c r="M128" s="54">
        <v>2</v>
      </c>
      <c r="N128" s="54">
        <v>3</v>
      </c>
      <c r="O128" s="54">
        <v>0</v>
      </c>
      <c r="P128" s="54">
        <v>1</v>
      </c>
      <c r="Q128" s="54">
        <v>1</v>
      </c>
      <c r="R128" s="54">
        <v>1</v>
      </c>
      <c r="S128" s="54">
        <v>2</v>
      </c>
      <c r="T128" s="54">
        <v>0</v>
      </c>
      <c r="U128" s="54">
        <v>0</v>
      </c>
      <c r="V128" s="54">
        <v>0</v>
      </c>
      <c r="W128" s="54">
        <v>2</v>
      </c>
      <c r="X128" s="54">
        <v>1</v>
      </c>
      <c r="Y128" s="54">
        <v>2</v>
      </c>
      <c r="Z128" s="54">
        <v>1</v>
      </c>
      <c r="AA128" s="54">
        <v>2</v>
      </c>
      <c r="AB128" s="54">
        <v>3</v>
      </c>
      <c r="AC128" s="54">
        <v>3</v>
      </c>
      <c r="AD128" s="54">
        <v>0</v>
      </c>
      <c r="AE128" s="54">
        <v>0</v>
      </c>
      <c r="AF128" s="54">
        <v>2</v>
      </c>
      <c r="AG128" s="5">
        <f t="shared" si="17"/>
        <v>41</v>
      </c>
      <c r="AK128" s="88" t="s">
        <v>138</v>
      </c>
    </row>
    <row r="129" spans="1:37" ht="15.75" customHeight="1" x14ac:dyDescent="0.25">
      <c r="A129" s="56" t="s">
        <v>73</v>
      </c>
      <c r="B129" s="54">
        <v>1</v>
      </c>
      <c r="C129" s="54">
        <v>2</v>
      </c>
      <c r="D129" s="54">
        <v>0</v>
      </c>
      <c r="E129" s="54">
        <v>1</v>
      </c>
      <c r="F129" s="54">
        <v>1</v>
      </c>
      <c r="G129" s="54">
        <v>1</v>
      </c>
      <c r="H129" s="54">
        <v>5</v>
      </c>
      <c r="I129" s="54">
        <v>2</v>
      </c>
      <c r="J129" s="54">
        <v>1</v>
      </c>
      <c r="K129" s="54">
        <v>1</v>
      </c>
      <c r="L129" s="54">
        <v>0</v>
      </c>
      <c r="M129" s="54">
        <v>1</v>
      </c>
      <c r="N129" s="54">
        <v>2</v>
      </c>
      <c r="O129" s="54">
        <v>1</v>
      </c>
      <c r="P129" s="54">
        <v>1</v>
      </c>
      <c r="Q129" s="54">
        <v>0</v>
      </c>
      <c r="R129" s="54">
        <v>3</v>
      </c>
      <c r="S129" s="54">
        <v>0</v>
      </c>
      <c r="T129" s="54">
        <v>3</v>
      </c>
      <c r="U129" s="54">
        <v>2</v>
      </c>
      <c r="V129" s="54">
        <v>0</v>
      </c>
      <c r="W129" s="54">
        <v>1</v>
      </c>
      <c r="X129" s="54">
        <v>2</v>
      </c>
      <c r="Y129" s="54">
        <v>0</v>
      </c>
      <c r="Z129" s="54">
        <v>1</v>
      </c>
      <c r="AA129" s="54">
        <v>0</v>
      </c>
      <c r="AB129" s="54">
        <v>1</v>
      </c>
      <c r="AC129" s="54">
        <v>3</v>
      </c>
      <c r="AD129" s="54">
        <v>1</v>
      </c>
      <c r="AE129" s="54">
        <v>1</v>
      </c>
      <c r="AF129" s="54">
        <v>3</v>
      </c>
      <c r="AG129" s="5">
        <f t="shared" si="17"/>
        <v>41</v>
      </c>
      <c r="AK129" s="84" t="s">
        <v>139</v>
      </c>
    </row>
    <row r="130" spans="1:37" ht="15.75" customHeight="1" x14ac:dyDescent="0.25">
      <c r="A130" s="56" t="s">
        <v>74</v>
      </c>
      <c r="B130" s="54">
        <v>1</v>
      </c>
      <c r="C130" s="54">
        <v>1</v>
      </c>
      <c r="D130" s="54">
        <v>0</v>
      </c>
      <c r="E130" s="54">
        <v>0</v>
      </c>
      <c r="F130" s="54">
        <v>0</v>
      </c>
      <c r="G130" s="54">
        <v>0</v>
      </c>
      <c r="H130" s="54">
        <v>0</v>
      </c>
      <c r="I130" s="54">
        <v>0</v>
      </c>
      <c r="J130" s="54">
        <v>1</v>
      </c>
      <c r="K130" s="54">
        <v>0</v>
      </c>
      <c r="L130" s="54">
        <v>2</v>
      </c>
      <c r="M130" s="54">
        <v>1</v>
      </c>
      <c r="N130" s="54">
        <v>0</v>
      </c>
      <c r="O130" s="54">
        <v>0</v>
      </c>
      <c r="P130" s="54">
        <v>0</v>
      </c>
      <c r="Q130" s="54">
        <v>1</v>
      </c>
      <c r="R130" s="54">
        <v>0</v>
      </c>
      <c r="S130" s="54">
        <v>1</v>
      </c>
      <c r="T130" s="54">
        <v>0</v>
      </c>
      <c r="U130" s="54">
        <v>0</v>
      </c>
      <c r="V130" s="54">
        <v>0</v>
      </c>
      <c r="W130" s="54">
        <v>0</v>
      </c>
      <c r="X130" s="54">
        <v>1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>
        <v>0</v>
      </c>
      <c r="AE130" s="54">
        <v>1</v>
      </c>
      <c r="AF130" s="54">
        <v>0</v>
      </c>
      <c r="AG130" s="5">
        <f t="shared" si="17"/>
        <v>10</v>
      </c>
      <c r="AK130" s="84" t="s">
        <v>140</v>
      </c>
    </row>
    <row r="131" spans="1:37" ht="15.75" customHeight="1" x14ac:dyDescent="0.25">
      <c r="A131" s="85" t="s">
        <v>75</v>
      </c>
      <c r="B131" s="54">
        <v>5</v>
      </c>
      <c r="C131" s="54">
        <v>3</v>
      </c>
      <c r="D131" s="54">
        <v>13</v>
      </c>
      <c r="E131" s="54">
        <v>11</v>
      </c>
      <c r="F131" s="54">
        <v>5</v>
      </c>
      <c r="G131" s="54">
        <v>4</v>
      </c>
      <c r="H131" s="54">
        <v>4</v>
      </c>
      <c r="I131" s="54">
        <v>1</v>
      </c>
      <c r="J131" s="54">
        <v>8</v>
      </c>
      <c r="K131" s="54">
        <v>5</v>
      </c>
      <c r="L131" s="54">
        <v>8</v>
      </c>
      <c r="M131" s="54">
        <v>6</v>
      </c>
      <c r="N131" s="54">
        <v>0</v>
      </c>
      <c r="O131" s="54">
        <v>6</v>
      </c>
      <c r="P131" s="54">
        <v>8</v>
      </c>
      <c r="Q131" s="54">
        <v>1</v>
      </c>
      <c r="R131" s="54">
        <v>14</v>
      </c>
      <c r="S131" s="54">
        <v>7</v>
      </c>
      <c r="T131" s="54">
        <v>6</v>
      </c>
      <c r="U131" s="54">
        <v>5</v>
      </c>
      <c r="V131" s="54">
        <v>10</v>
      </c>
      <c r="W131" s="54">
        <v>5</v>
      </c>
      <c r="X131" s="54">
        <v>5</v>
      </c>
      <c r="Y131" s="54">
        <v>9</v>
      </c>
      <c r="Z131" s="54">
        <v>5</v>
      </c>
      <c r="AA131" s="54">
        <v>6</v>
      </c>
      <c r="AB131" s="54">
        <v>3</v>
      </c>
      <c r="AC131" s="54">
        <v>5</v>
      </c>
      <c r="AD131" s="54">
        <v>7</v>
      </c>
      <c r="AE131" s="54">
        <v>3</v>
      </c>
      <c r="AF131" s="54">
        <v>3</v>
      </c>
      <c r="AG131" s="5">
        <f t="shared" si="17"/>
        <v>181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12</v>
      </c>
      <c r="C132" s="87">
        <v>10</v>
      </c>
      <c r="D132" s="87">
        <v>7</v>
      </c>
      <c r="E132" s="87">
        <v>7</v>
      </c>
      <c r="F132" s="87">
        <v>2</v>
      </c>
      <c r="G132" s="87">
        <v>5</v>
      </c>
      <c r="H132" s="87">
        <v>5</v>
      </c>
      <c r="I132" s="87">
        <v>7</v>
      </c>
      <c r="J132" s="87">
        <v>10</v>
      </c>
      <c r="K132" s="87">
        <v>4</v>
      </c>
      <c r="L132" s="87">
        <v>1</v>
      </c>
      <c r="M132" s="87">
        <v>6</v>
      </c>
      <c r="N132" s="87">
        <v>8</v>
      </c>
      <c r="O132" s="87">
        <v>5</v>
      </c>
      <c r="P132" s="87">
        <v>4</v>
      </c>
      <c r="Q132" s="87">
        <v>2</v>
      </c>
      <c r="R132" s="87">
        <v>10</v>
      </c>
      <c r="S132" s="87">
        <v>9</v>
      </c>
      <c r="T132" s="87">
        <v>8</v>
      </c>
      <c r="U132" s="87">
        <v>3</v>
      </c>
      <c r="V132" s="87">
        <v>7</v>
      </c>
      <c r="W132" s="87">
        <v>6</v>
      </c>
      <c r="X132" s="87">
        <v>4</v>
      </c>
      <c r="Y132" s="87">
        <v>5</v>
      </c>
      <c r="Z132" s="87">
        <v>7</v>
      </c>
      <c r="AA132" s="87">
        <v>7</v>
      </c>
      <c r="AB132" s="87">
        <v>2</v>
      </c>
      <c r="AC132" s="87">
        <v>5</v>
      </c>
      <c r="AD132" s="87">
        <v>2</v>
      </c>
      <c r="AE132" s="87">
        <v>6</v>
      </c>
      <c r="AF132" s="87">
        <v>8</v>
      </c>
      <c r="AG132" s="9">
        <f t="shared" si="17"/>
        <v>184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165</v>
      </c>
      <c r="C133" s="14">
        <f t="shared" si="21"/>
        <v>105</v>
      </c>
      <c r="D133" s="14">
        <f t="shared" si="21"/>
        <v>178</v>
      </c>
      <c r="E133" s="14">
        <f t="shared" si="21"/>
        <v>198</v>
      </c>
      <c r="F133" s="14">
        <f t="shared" si="21"/>
        <v>117</v>
      </c>
      <c r="G133" s="14">
        <f t="shared" si="21"/>
        <v>113</v>
      </c>
      <c r="H133" s="14">
        <f t="shared" si="21"/>
        <v>112</v>
      </c>
      <c r="I133" s="14">
        <f t="shared" si="21"/>
        <v>127</v>
      </c>
      <c r="J133" s="14">
        <f t="shared" si="21"/>
        <v>135</v>
      </c>
      <c r="K133" s="14">
        <f t="shared" si="21"/>
        <v>169</v>
      </c>
      <c r="L133" s="14">
        <f t="shared" si="21"/>
        <v>169</v>
      </c>
      <c r="M133" s="14">
        <f t="shared" si="21"/>
        <v>131</v>
      </c>
      <c r="N133" s="14">
        <f t="shared" si="21"/>
        <v>134</v>
      </c>
      <c r="O133" s="14">
        <f t="shared" si="21"/>
        <v>133</v>
      </c>
      <c r="P133" s="14">
        <f t="shared" si="21"/>
        <v>126</v>
      </c>
      <c r="Q133" s="14">
        <f t="shared" si="21"/>
        <v>122</v>
      </c>
      <c r="R133" s="14">
        <f t="shared" si="21"/>
        <v>181</v>
      </c>
      <c r="S133" s="14">
        <f t="shared" si="21"/>
        <v>189</v>
      </c>
      <c r="T133" s="14">
        <f t="shared" si="21"/>
        <v>140</v>
      </c>
      <c r="U133" s="14">
        <f t="shared" si="21"/>
        <v>131</v>
      </c>
      <c r="V133" s="14">
        <f t="shared" si="21"/>
        <v>222</v>
      </c>
      <c r="W133" s="14">
        <f t="shared" si="21"/>
        <v>117</v>
      </c>
      <c r="X133" s="14">
        <f t="shared" si="21"/>
        <v>134</v>
      </c>
      <c r="Y133" s="14">
        <f t="shared" si="21"/>
        <v>169</v>
      </c>
      <c r="Z133" s="14">
        <f t="shared" si="21"/>
        <v>168</v>
      </c>
      <c r="AA133" s="14">
        <f t="shared" si="21"/>
        <v>147</v>
      </c>
      <c r="AB133" s="14">
        <f t="shared" si="21"/>
        <v>122</v>
      </c>
      <c r="AC133" s="14">
        <f t="shared" si="21"/>
        <v>118</v>
      </c>
      <c r="AD133" s="14">
        <f t="shared" si="21"/>
        <v>128</v>
      </c>
      <c r="AE133" s="14">
        <f t="shared" si="21"/>
        <v>113</v>
      </c>
      <c r="AF133" s="14">
        <f t="shared" si="21"/>
        <v>166</v>
      </c>
      <c r="AG133" s="10">
        <f t="shared" si="17"/>
        <v>4479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3</v>
      </c>
      <c r="C134" s="22">
        <f t="shared" si="22"/>
        <v>7</v>
      </c>
      <c r="D134" s="22">
        <f t="shared" si="22"/>
        <v>6</v>
      </c>
      <c r="E134" s="22">
        <f t="shared" si="22"/>
        <v>5</v>
      </c>
      <c r="F134" s="22">
        <f t="shared" si="22"/>
        <v>3</v>
      </c>
      <c r="G134" s="22">
        <f t="shared" si="22"/>
        <v>17</v>
      </c>
      <c r="H134" s="22">
        <f t="shared" si="22"/>
        <v>6</v>
      </c>
      <c r="I134" s="22">
        <f t="shared" si="22"/>
        <v>9</v>
      </c>
      <c r="J134" s="22">
        <f t="shared" si="22"/>
        <v>4</v>
      </c>
      <c r="K134" s="22">
        <f t="shared" si="22"/>
        <v>2</v>
      </c>
      <c r="L134" s="22">
        <f t="shared" si="22"/>
        <v>5</v>
      </c>
      <c r="M134" s="22">
        <f t="shared" si="22"/>
        <v>25</v>
      </c>
      <c r="N134" s="22">
        <f t="shared" si="22"/>
        <v>24</v>
      </c>
      <c r="O134" s="22">
        <f t="shared" si="22"/>
        <v>10</v>
      </c>
      <c r="P134" s="22">
        <f t="shared" si="22"/>
        <v>16</v>
      </c>
      <c r="Q134" s="22">
        <f t="shared" si="22"/>
        <v>13</v>
      </c>
      <c r="R134" s="22">
        <f t="shared" si="22"/>
        <v>1</v>
      </c>
      <c r="S134" s="22">
        <f t="shared" si="22"/>
        <v>26</v>
      </c>
      <c r="T134" s="22">
        <f t="shared" si="22"/>
        <v>13</v>
      </c>
      <c r="U134" s="22">
        <f t="shared" si="22"/>
        <v>18</v>
      </c>
      <c r="V134" s="22">
        <f t="shared" si="22"/>
        <v>5</v>
      </c>
      <c r="W134" s="22">
        <f t="shared" si="22"/>
        <v>2</v>
      </c>
      <c r="X134" s="22">
        <f t="shared" si="22"/>
        <v>11</v>
      </c>
      <c r="Y134" s="22">
        <f t="shared" si="22"/>
        <v>8</v>
      </c>
      <c r="Z134" s="22">
        <f t="shared" si="22"/>
        <v>2</v>
      </c>
      <c r="AA134" s="22">
        <f t="shared" si="22"/>
        <v>16</v>
      </c>
      <c r="AB134" s="22">
        <f t="shared" si="22"/>
        <v>8</v>
      </c>
      <c r="AC134" s="22">
        <f t="shared" si="22"/>
        <v>2</v>
      </c>
      <c r="AD134" s="22">
        <f t="shared" si="22"/>
        <v>4</v>
      </c>
      <c r="AE134" s="22">
        <f t="shared" si="22"/>
        <v>4</v>
      </c>
      <c r="AF134" s="22">
        <f t="shared" si="22"/>
        <v>9</v>
      </c>
      <c r="AG134" s="23">
        <f t="shared" si="17"/>
        <v>284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1</v>
      </c>
      <c r="D135" s="1">
        <f t="shared" si="23"/>
        <v>4</v>
      </c>
      <c r="E135" s="1">
        <f t="shared" si="23"/>
        <v>0</v>
      </c>
      <c r="F135" s="1">
        <f t="shared" si="23"/>
        <v>0</v>
      </c>
      <c r="G135" s="1">
        <f t="shared" si="23"/>
        <v>1</v>
      </c>
      <c r="H135" s="1">
        <f t="shared" si="23"/>
        <v>0</v>
      </c>
      <c r="I135" s="1">
        <f t="shared" si="23"/>
        <v>1</v>
      </c>
      <c r="J135" s="1">
        <f t="shared" si="23"/>
        <v>0</v>
      </c>
      <c r="K135" s="1">
        <f t="shared" si="23"/>
        <v>1</v>
      </c>
      <c r="L135" s="1">
        <f t="shared" si="23"/>
        <v>1</v>
      </c>
      <c r="M135" s="1">
        <f t="shared" si="23"/>
        <v>0</v>
      </c>
      <c r="N135" s="1">
        <f t="shared" si="23"/>
        <v>2</v>
      </c>
      <c r="O135" s="1">
        <f t="shared" si="23"/>
        <v>1</v>
      </c>
      <c r="P135" s="1">
        <f t="shared" si="23"/>
        <v>0</v>
      </c>
      <c r="Q135" s="1">
        <f t="shared" si="23"/>
        <v>0</v>
      </c>
      <c r="R135" s="1">
        <f t="shared" si="23"/>
        <v>0</v>
      </c>
      <c r="S135" s="1">
        <f t="shared" si="23"/>
        <v>4</v>
      </c>
      <c r="T135" s="1">
        <f t="shared" si="23"/>
        <v>2</v>
      </c>
      <c r="U135" s="1">
        <f t="shared" si="23"/>
        <v>1</v>
      </c>
      <c r="V135" s="1">
        <f t="shared" si="23"/>
        <v>2</v>
      </c>
      <c r="W135" s="1">
        <f t="shared" si="23"/>
        <v>1</v>
      </c>
      <c r="X135" s="1">
        <f t="shared" si="23"/>
        <v>0</v>
      </c>
      <c r="Y135" s="1">
        <f t="shared" si="23"/>
        <v>0</v>
      </c>
      <c r="Z135" s="1">
        <f t="shared" si="23"/>
        <v>4</v>
      </c>
      <c r="AA135" s="1">
        <f t="shared" si="23"/>
        <v>0</v>
      </c>
      <c r="AB135" s="1">
        <f t="shared" si="23"/>
        <v>0</v>
      </c>
      <c r="AC135" s="1">
        <f t="shared" si="23"/>
        <v>1</v>
      </c>
      <c r="AD135" s="1">
        <f t="shared" si="23"/>
        <v>0</v>
      </c>
      <c r="AE135" s="1">
        <f t="shared" si="23"/>
        <v>0</v>
      </c>
      <c r="AF135" s="1">
        <f t="shared" si="23"/>
        <v>3</v>
      </c>
      <c r="AG135" s="2">
        <f t="shared" si="17"/>
        <v>30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1</v>
      </c>
      <c r="D136" s="91">
        <v>4</v>
      </c>
      <c r="E136" s="91">
        <v>0</v>
      </c>
      <c r="F136" s="91">
        <v>0</v>
      </c>
      <c r="G136" s="91">
        <v>1</v>
      </c>
      <c r="H136" s="91">
        <v>0</v>
      </c>
      <c r="I136" s="91">
        <v>0</v>
      </c>
      <c r="J136" s="91">
        <v>0</v>
      </c>
      <c r="K136" s="91">
        <v>1</v>
      </c>
      <c r="L136" s="91">
        <v>1</v>
      </c>
      <c r="M136" s="91">
        <v>0</v>
      </c>
      <c r="N136" s="91">
        <v>2</v>
      </c>
      <c r="O136" s="91">
        <v>1</v>
      </c>
      <c r="P136" s="91">
        <v>0</v>
      </c>
      <c r="Q136" s="91">
        <v>0</v>
      </c>
      <c r="R136" s="91">
        <v>0</v>
      </c>
      <c r="S136" s="91">
        <v>4</v>
      </c>
      <c r="T136" s="91">
        <v>2</v>
      </c>
      <c r="U136" s="91">
        <v>1</v>
      </c>
      <c r="V136" s="91">
        <v>2</v>
      </c>
      <c r="W136" s="91">
        <v>1</v>
      </c>
      <c r="X136" s="91">
        <v>0</v>
      </c>
      <c r="Y136" s="91">
        <v>0</v>
      </c>
      <c r="Z136" s="91">
        <v>4</v>
      </c>
      <c r="AA136" s="91">
        <v>0</v>
      </c>
      <c r="AB136" s="91">
        <v>0</v>
      </c>
      <c r="AC136" s="91">
        <v>1</v>
      </c>
      <c r="AD136" s="91">
        <v>0</v>
      </c>
      <c r="AE136" s="91">
        <v>0</v>
      </c>
      <c r="AF136" s="91">
        <v>3</v>
      </c>
      <c r="AG136" s="28">
        <f t="shared" si="17"/>
        <v>29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1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1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5</v>
      </c>
      <c r="C139" s="31">
        <f t="shared" si="24"/>
        <v>3</v>
      </c>
      <c r="D139" s="31">
        <f t="shared" si="24"/>
        <v>5</v>
      </c>
      <c r="E139" s="31">
        <f t="shared" si="24"/>
        <v>3</v>
      </c>
      <c r="F139" s="31">
        <f t="shared" si="24"/>
        <v>2</v>
      </c>
      <c r="G139" s="31">
        <f t="shared" si="24"/>
        <v>7</v>
      </c>
      <c r="H139" s="31">
        <f t="shared" si="24"/>
        <v>3</v>
      </c>
      <c r="I139" s="31">
        <f t="shared" si="24"/>
        <v>1</v>
      </c>
      <c r="J139" s="31">
        <f t="shared" si="24"/>
        <v>3</v>
      </c>
      <c r="K139" s="31">
        <f t="shared" si="24"/>
        <v>2</v>
      </c>
      <c r="L139" s="31">
        <f t="shared" si="24"/>
        <v>5</v>
      </c>
      <c r="M139" s="31">
        <f t="shared" si="24"/>
        <v>1</v>
      </c>
      <c r="N139" s="31">
        <f t="shared" si="24"/>
        <v>3</v>
      </c>
      <c r="O139" s="31">
        <f t="shared" si="24"/>
        <v>2</v>
      </c>
      <c r="P139" s="31">
        <f t="shared" si="24"/>
        <v>3</v>
      </c>
      <c r="Q139" s="31">
        <f t="shared" si="24"/>
        <v>2</v>
      </c>
      <c r="R139" s="31">
        <f t="shared" si="24"/>
        <v>8</v>
      </c>
      <c r="S139" s="31">
        <f t="shared" si="24"/>
        <v>4</v>
      </c>
      <c r="T139" s="31">
        <f t="shared" si="24"/>
        <v>1</v>
      </c>
      <c r="U139" s="31">
        <f t="shared" si="24"/>
        <v>6</v>
      </c>
      <c r="V139" s="31">
        <f t="shared" si="24"/>
        <v>8</v>
      </c>
      <c r="W139" s="31">
        <f t="shared" si="24"/>
        <v>1</v>
      </c>
      <c r="X139" s="31">
        <f t="shared" si="24"/>
        <v>4</v>
      </c>
      <c r="Y139" s="31">
        <f t="shared" si="24"/>
        <v>1</v>
      </c>
      <c r="Z139" s="31">
        <f t="shared" si="24"/>
        <v>3</v>
      </c>
      <c r="AA139" s="31">
        <f t="shared" si="24"/>
        <v>1</v>
      </c>
      <c r="AB139" s="31">
        <f t="shared" si="24"/>
        <v>3</v>
      </c>
      <c r="AC139" s="31">
        <f t="shared" si="24"/>
        <v>6</v>
      </c>
      <c r="AD139" s="31">
        <f t="shared" si="24"/>
        <v>4</v>
      </c>
      <c r="AE139" s="31">
        <f t="shared" si="24"/>
        <v>0</v>
      </c>
      <c r="AF139" s="31">
        <f t="shared" si="24"/>
        <v>4</v>
      </c>
      <c r="AG139" s="32">
        <f t="shared" si="17"/>
        <v>104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1</v>
      </c>
      <c r="C140" s="97">
        <v>0</v>
      </c>
      <c r="D140" s="97">
        <v>0</v>
      </c>
      <c r="E140" s="97">
        <v>0</v>
      </c>
      <c r="F140" s="97">
        <v>0</v>
      </c>
      <c r="G140" s="97">
        <v>0</v>
      </c>
      <c r="H140" s="97">
        <v>0</v>
      </c>
      <c r="I140" s="97">
        <v>0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97">
        <v>0</v>
      </c>
      <c r="P140" s="97">
        <v>0</v>
      </c>
      <c r="Q140" s="97">
        <v>0</v>
      </c>
      <c r="R140" s="97">
        <v>0</v>
      </c>
      <c r="S140" s="97">
        <v>0</v>
      </c>
      <c r="T140" s="97">
        <v>0</v>
      </c>
      <c r="U140" s="97">
        <v>0</v>
      </c>
      <c r="V140" s="97">
        <v>2</v>
      </c>
      <c r="W140" s="97">
        <v>0</v>
      </c>
      <c r="X140" s="97">
        <v>2</v>
      </c>
      <c r="Y140" s="97">
        <v>0</v>
      </c>
      <c r="Z140" s="97">
        <v>0</v>
      </c>
      <c r="AA140" s="97">
        <v>0</v>
      </c>
      <c r="AB140" s="97">
        <v>0</v>
      </c>
      <c r="AC140" s="97">
        <v>1</v>
      </c>
      <c r="AD140" s="97">
        <v>0</v>
      </c>
      <c r="AE140" s="97">
        <v>0</v>
      </c>
      <c r="AF140" s="97">
        <v>2</v>
      </c>
      <c r="AG140" s="33">
        <f t="shared" si="17"/>
        <v>8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4</v>
      </c>
      <c r="C141" s="98">
        <v>3</v>
      </c>
      <c r="D141" s="98">
        <v>5</v>
      </c>
      <c r="E141" s="98">
        <v>3</v>
      </c>
      <c r="F141" s="98">
        <v>2</v>
      </c>
      <c r="G141" s="98">
        <v>7</v>
      </c>
      <c r="H141" s="98">
        <v>3</v>
      </c>
      <c r="I141" s="98">
        <v>1</v>
      </c>
      <c r="J141" s="98">
        <v>3</v>
      </c>
      <c r="K141" s="98">
        <v>2</v>
      </c>
      <c r="L141" s="98">
        <v>5</v>
      </c>
      <c r="M141" s="98">
        <v>1</v>
      </c>
      <c r="N141" s="98">
        <v>3</v>
      </c>
      <c r="O141" s="98">
        <v>2</v>
      </c>
      <c r="P141" s="98">
        <v>3</v>
      </c>
      <c r="Q141" s="98">
        <v>2</v>
      </c>
      <c r="R141" s="98">
        <v>8</v>
      </c>
      <c r="S141" s="98">
        <v>4</v>
      </c>
      <c r="T141" s="98">
        <v>1</v>
      </c>
      <c r="U141" s="98">
        <v>6</v>
      </c>
      <c r="V141" s="98">
        <v>6</v>
      </c>
      <c r="W141" s="98">
        <v>1</v>
      </c>
      <c r="X141" s="98">
        <v>2</v>
      </c>
      <c r="Y141" s="98">
        <v>1</v>
      </c>
      <c r="Z141" s="98">
        <v>3</v>
      </c>
      <c r="AA141" s="98">
        <v>1</v>
      </c>
      <c r="AB141" s="98">
        <v>3</v>
      </c>
      <c r="AC141" s="98">
        <v>5</v>
      </c>
      <c r="AD141" s="98">
        <v>4</v>
      </c>
      <c r="AE141" s="98">
        <v>0</v>
      </c>
      <c r="AF141" s="98">
        <v>2</v>
      </c>
      <c r="AG141" s="34">
        <f t="shared" si="17"/>
        <v>96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>
        <v>0</v>
      </c>
      <c r="C143" s="102">
        <v>0</v>
      </c>
      <c r="D143" s="102">
        <v>0</v>
      </c>
      <c r="E143" s="102">
        <v>0</v>
      </c>
      <c r="F143" s="102">
        <v>2</v>
      </c>
      <c r="G143" s="102">
        <v>2</v>
      </c>
      <c r="H143" s="102">
        <v>3</v>
      </c>
      <c r="I143" s="102">
        <v>0</v>
      </c>
      <c r="J143" s="102">
        <v>1</v>
      </c>
      <c r="K143" s="102">
        <v>0</v>
      </c>
      <c r="L143" s="102">
        <v>2</v>
      </c>
      <c r="M143" s="102">
        <v>3</v>
      </c>
      <c r="N143" s="102">
        <v>1</v>
      </c>
      <c r="O143" s="102">
        <v>2</v>
      </c>
      <c r="P143" s="102">
        <v>0</v>
      </c>
      <c r="Q143" s="102">
        <v>2</v>
      </c>
      <c r="R143" s="102">
        <v>3</v>
      </c>
      <c r="S143" s="102">
        <v>2</v>
      </c>
      <c r="T143" s="102">
        <v>0</v>
      </c>
      <c r="U143" s="102">
        <v>1</v>
      </c>
      <c r="V143" s="102">
        <v>1</v>
      </c>
      <c r="W143" s="102">
        <v>3</v>
      </c>
      <c r="X143" s="102">
        <v>0</v>
      </c>
      <c r="Y143" s="102">
        <v>1</v>
      </c>
      <c r="Z143" s="102">
        <v>1</v>
      </c>
      <c r="AA143" s="102">
        <v>1</v>
      </c>
      <c r="AB143" s="102">
        <v>2</v>
      </c>
      <c r="AC143" s="102">
        <v>0</v>
      </c>
      <c r="AD143" s="102">
        <v>3</v>
      </c>
      <c r="AE143" s="102">
        <v>0</v>
      </c>
      <c r="AF143" s="102">
        <v>1</v>
      </c>
      <c r="AG143" s="36">
        <f t="shared" si="17"/>
        <v>37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43</v>
      </c>
      <c r="C144" s="37">
        <f t="shared" si="25"/>
        <v>34</v>
      </c>
      <c r="D144" s="37">
        <f t="shared" si="25"/>
        <v>48</v>
      </c>
      <c r="E144" s="37">
        <f t="shared" si="25"/>
        <v>78</v>
      </c>
      <c r="F144" s="37">
        <f t="shared" si="25"/>
        <v>41</v>
      </c>
      <c r="G144" s="37">
        <f t="shared" si="25"/>
        <v>26</v>
      </c>
      <c r="H144" s="37">
        <f t="shared" si="25"/>
        <v>33</v>
      </c>
      <c r="I144" s="37">
        <f t="shared" si="25"/>
        <v>32</v>
      </c>
      <c r="J144" s="37">
        <f t="shared" si="25"/>
        <v>31</v>
      </c>
      <c r="K144" s="37">
        <f t="shared" si="25"/>
        <v>57</v>
      </c>
      <c r="L144" s="37">
        <f t="shared" si="25"/>
        <v>49</v>
      </c>
      <c r="M144" s="37">
        <f t="shared" si="25"/>
        <v>51</v>
      </c>
      <c r="N144" s="37">
        <f t="shared" si="25"/>
        <v>44</v>
      </c>
      <c r="O144" s="37">
        <f t="shared" si="25"/>
        <v>42</v>
      </c>
      <c r="P144" s="37">
        <f t="shared" si="25"/>
        <v>51</v>
      </c>
      <c r="Q144" s="37">
        <f t="shared" si="25"/>
        <v>36</v>
      </c>
      <c r="R144" s="37">
        <f t="shared" si="25"/>
        <v>62</v>
      </c>
      <c r="S144" s="37">
        <f t="shared" si="25"/>
        <v>57</v>
      </c>
      <c r="T144" s="37">
        <f t="shared" si="25"/>
        <v>51</v>
      </c>
      <c r="U144" s="37">
        <f t="shared" si="25"/>
        <v>38</v>
      </c>
      <c r="V144" s="37">
        <f t="shared" si="25"/>
        <v>70</v>
      </c>
      <c r="W144" s="37">
        <f t="shared" si="25"/>
        <v>40</v>
      </c>
      <c r="X144" s="37">
        <f t="shared" si="25"/>
        <v>52</v>
      </c>
      <c r="Y144" s="37">
        <f t="shared" si="25"/>
        <v>54</v>
      </c>
      <c r="Z144" s="37">
        <f t="shared" si="25"/>
        <v>60</v>
      </c>
      <c r="AA144" s="37">
        <f t="shared" si="25"/>
        <v>57</v>
      </c>
      <c r="AB144" s="37">
        <f t="shared" si="25"/>
        <v>38</v>
      </c>
      <c r="AC144" s="37">
        <f t="shared" si="25"/>
        <v>42</v>
      </c>
      <c r="AD144" s="37">
        <f t="shared" si="25"/>
        <v>47</v>
      </c>
      <c r="AE144" s="37">
        <f t="shared" si="25"/>
        <v>23</v>
      </c>
      <c r="AF144" s="37">
        <f t="shared" si="25"/>
        <v>52</v>
      </c>
      <c r="AG144" s="24">
        <f t="shared" si="17"/>
        <v>1439</v>
      </c>
      <c r="AK144" s="84" t="s">
        <v>154</v>
      </c>
    </row>
    <row r="145" spans="1:37" ht="15.75" customHeight="1" x14ac:dyDescent="0.25">
      <c r="A145" s="104" t="s">
        <v>91</v>
      </c>
      <c r="B145" s="105">
        <v>1</v>
      </c>
      <c r="C145" s="105">
        <v>1</v>
      </c>
      <c r="D145" s="105">
        <v>1</v>
      </c>
      <c r="E145" s="105">
        <v>2</v>
      </c>
      <c r="F145" s="105">
        <v>1</v>
      </c>
      <c r="G145" s="105">
        <v>2</v>
      </c>
      <c r="H145" s="105">
        <v>1</v>
      </c>
      <c r="I145" s="105">
        <v>3</v>
      </c>
      <c r="J145" s="105">
        <v>2</v>
      </c>
      <c r="K145" s="105">
        <v>0</v>
      </c>
      <c r="L145" s="105">
        <v>2</v>
      </c>
      <c r="M145" s="105">
        <v>2</v>
      </c>
      <c r="N145" s="105">
        <v>4</v>
      </c>
      <c r="O145" s="105">
        <v>2</v>
      </c>
      <c r="P145" s="105">
        <v>2</v>
      </c>
      <c r="Q145" s="105">
        <v>1</v>
      </c>
      <c r="R145" s="105">
        <v>1</v>
      </c>
      <c r="S145" s="105">
        <v>1</v>
      </c>
      <c r="T145" s="105">
        <v>0</v>
      </c>
      <c r="U145" s="105">
        <v>1</v>
      </c>
      <c r="V145" s="105">
        <v>2</v>
      </c>
      <c r="W145" s="105">
        <v>1</v>
      </c>
      <c r="X145" s="105">
        <v>1</v>
      </c>
      <c r="Y145" s="105">
        <v>0</v>
      </c>
      <c r="Z145" s="105">
        <v>4</v>
      </c>
      <c r="AA145" s="105">
        <v>2</v>
      </c>
      <c r="AB145" s="105">
        <v>4</v>
      </c>
      <c r="AC145" s="105">
        <v>0</v>
      </c>
      <c r="AD145" s="105">
        <v>0</v>
      </c>
      <c r="AE145" s="105">
        <v>0</v>
      </c>
      <c r="AF145" s="105">
        <v>0</v>
      </c>
      <c r="AG145" s="38">
        <f t="shared" si="17"/>
        <v>44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2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2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2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2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37</v>
      </c>
      <c r="C149" s="108">
        <v>31</v>
      </c>
      <c r="D149" s="108">
        <v>47</v>
      </c>
      <c r="E149" s="108">
        <v>69</v>
      </c>
      <c r="F149" s="108">
        <v>40</v>
      </c>
      <c r="G149" s="108">
        <v>21</v>
      </c>
      <c r="H149" s="108">
        <v>30</v>
      </c>
      <c r="I149" s="108">
        <v>20</v>
      </c>
      <c r="J149" s="108">
        <v>26</v>
      </c>
      <c r="K149" s="108">
        <v>57</v>
      </c>
      <c r="L149" s="108">
        <v>47</v>
      </c>
      <c r="M149" s="108">
        <v>47</v>
      </c>
      <c r="N149" s="108">
        <v>36</v>
      </c>
      <c r="O149" s="108">
        <v>38</v>
      </c>
      <c r="P149" s="108">
        <v>45</v>
      </c>
      <c r="Q149" s="108">
        <v>33</v>
      </c>
      <c r="R149" s="108">
        <v>54</v>
      </c>
      <c r="S149" s="108">
        <v>53</v>
      </c>
      <c r="T149" s="108">
        <v>51</v>
      </c>
      <c r="U149" s="108">
        <v>34</v>
      </c>
      <c r="V149" s="108">
        <v>65</v>
      </c>
      <c r="W149" s="108">
        <v>36</v>
      </c>
      <c r="X149" s="108">
        <v>49</v>
      </c>
      <c r="Y149" s="108">
        <v>53</v>
      </c>
      <c r="Z149" s="108">
        <v>54</v>
      </c>
      <c r="AA149" s="108">
        <v>51</v>
      </c>
      <c r="AB149" s="108">
        <v>31</v>
      </c>
      <c r="AC149" s="108">
        <v>39</v>
      </c>
      <c r="AD149" s="108">
        <v>43</v>
      </c>
      <c r="AE149" s="108">
        <v>22</v>
      </c>
      <c r="AF149" s="108">
        <v>48</v>
      </c>
      <c r="AG149" s="39">
        <f t="shared" si="17"/>
        <v>1307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1</v>
      </c>
      <c r="C153" s="77">
        <v>0</v>
      </c>
      <c r="D153" s="77">
        <v>0</v>
      </c>
      <c r="E153" s="77">
        <v>1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2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3</v>
      </c>
      <c r="H154" s="77">
        <v>2</v>
      </c>
      <c r="I154" s="77">
        <v>5</v>
      </c>
      <c r="J154" s="77">
        <v>0</v>
      </c>
      <c r="K154" s="77">
        <v>0</v>
      </c>
      <c r="L154" s="77">
        <v>0</v>
      </c>
      <c r="M154" s="77">
        <v>1</v>
      </c>
      <c r="N154" s="77">
        <v>2</v>
      </c>
      <c r="O154" s="77">
        <v>1</v>
      </c>
      <c r="P154" s="77">
        <v>1</v>
      </c>
      <c r="Q154" s="77">
        <v>2</v>
      </c>
      <c r="R154" s="77">
        <v>0</v>
      </c>
      <c r="S154" s="77">
        <v>0</v>
      </c>
      <c r="T154" s="77">
        <v>0</v>
      </c>
      <c r="U154" s="77">
        <v>1</v>
      </c>
      <c r="V154" s="77">
        <v>0</v>
      </c>
      <c r="W154" s="77">
        <v>3</v>
      </c>
      <c r="X154" s="77">
        <v>0</v>
      </c>
      <c r="Y154" s="77">
        <v>0</v>
      </c>
      <c r="Z154" s="77">
        <v>0</v>
      </c>
      <c r="AA154" s="77">
        <v>4</v>
      </c>
      <c r="AB154" s="77">
        <v>1</v>
      </c>
      <c r="AC154" s="77">
        <v>3</v>
      </c>
      <c r="AD154" s="77">
        <v>2</v>
      </c>
      <c r="AE154" s="77">
        <v>0</v>
      </c>
      <c r="AF154" s="77">
        <v>0</v>
      </c>
      <c r="AG154" s="5">
        <f t="shared" si="17"/>
        <v>31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3</v>
      </c>
      <c r="C158" s="111">
        <v>1</v>
      </c>
      <c r="D158" s="111">
        <v>0</v>
      </c>
      <c r="E158" s="111">
        <v>5</v>
      </c>
      <c r="F158" s="111">
        <v>0</v>
      </c>
      <c r="G158" s="111">
        <v>0</v>
      </c>
      <c r="H158" s="111">
        <v>0</v>
      </c>
      <c r="I158" s="111">
        <v>3</v>
      </c>
      <c r="J158" s="111">
        <v>2</v>
      </c>
      <c r="K158" s="111">
        <v>0</v>
      </c>
      <c r="L158" s="111">
        <v>0</v>
      </c>
      <c r="M158" s="111">
        <v>1</v>
      </c>
      <c r="N158" s="111">
        <v>0</v>
      </c>
      <c r="O158" s="111">
        <v>0</v>
      </c>
      <c r="P158" s="111">
        <v>1</v>
      </c>
      <c r="Q158" s="111">
        <v>0</v>
      </c>
      <c r="R158" s="111">
        <v>4</v>
      </c>
      <c r="S158" s="111">
        <v>1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1</v>
      </c>
      <c r="AC158" s="111">
        <v>0</v>
      </c>
      <c r="AD158" s="111">
        <v>2</v>
      </c>
      <c r="AE158" s="111">
        <v>0</v>
      </c>
      <c r="AF158" s="111">
        <v>2</v>
      </c>
      <c r="AG158" s="40">
        <f t="shared" si="17"/>
        <v>26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1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1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1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1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1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26"/>
        <v>3</v>
      </c>
    </row>
    <row r="168" spans="1:34" ht="15.75" customHeight="1" x14ac:dyDescent="0.25">
      <c r="A168" s="76" t="s">
        <v>114</v>
      </c>
      <c r="B168" s="113">
        <v>1</v>
      </c>
      <c r="C168" s="113">
        <v>0</v>
      </c>
      <c r="D168" s="113">
        <v>0</v>
      </c>
      <c r="E168" s="113">
        <v>1</v>
      </c>
      <c r="F168" s="113">
        <v>0</v>
      </c>
      <c r="G168" s="113">
        <v>0</v>
      </c>
      <c r="H168" s="113">
        <v>0</v>
      </c>
      <c r="I168" s="113">
        <v>0</v>
      </c>
      <c r="J168" s="113">
        <v>0</v>
      </c>
      <c r="K168" s="113">
        <v>0</v>
      </c>
      <c r="L168" s="113">
        <v>0</v>
      </c>
      <c r="M168" s="113">
        <v>0</v>
      </c>
      <c r="N168" s="113">
        <v>2</v>
      </c>
      <c r="O168" s="113">
        <v>0</v>
      </c>
      <c r="P168" s="113">
        <v>2</v>
      </c>
      <c r="Q168" s="113">
        <v>0</v>
      </c>
      <c r="R168" s="113">
        <v>3</v>
      </c>
      <c r="S168" s="113">
        <v>1</v>
      </c>
      <c r="T168" s="113">
        <v>0</v>
      </c>
      <c r="U168" s="113">
        <v>1</v>
      </c>
      <c r="V168" s="113">
        <v>0</v>
      </c>
      <c r="W168" s="113">
        <v>0</v>
      </c>
      <c r="X168" s="113">
        <v>1</v>
      </c>
      <c r="Y168" s="113">
        <v>0</v>
      </c>
      <c r="Z168" s="113">
        <v>0</v>
      </c>
      <c r="AA168" s="113">
        <v>0</v>
      </c>
      <c r="AB168" s="113">
        <v>1</v>
      </c>
      <c r="AC168" s="113">
        <v>0</v>
      </c>
      <c r="AD168" s="113">
        <v>0</v>
      </c>
      <c r="AE168" s="113">
        <v>1</v>
      </c>
      <c r="AF168" s="113">
        <v>2</v>
      </c>
      <c r="AG168" s="5">
        <f t="shared" si="26"/>
        <v>16</v>
      </c>
    </row>
    <row r="169" spans="1:34" ht="15.75" customHeight="1" x14ac:dyDescent="0.25">
      <c r="A169" s="114" t="s">
        <v>115</v>
      </c>
      <c r="B169" s="113">
        <v>0</v>
      </c>
      <c r="C169" s="113">
        <v>1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1</v>
      </c>
      <c r="T169" s="113">
        <v>0</v>
      </c>
      <c r="U169" s="113">
        <v>1</v>
      </c>
      <c r="V169" s="113">
        <v>1</v>
      </c>
      <c r="W169" s="113">
        <v>0</v>
      </c>
      <c r="X169" s="113">
        <v>0</v>
      </c>
      <c r="Y169" s="113">
        <v>1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5">
        <f t="shared" si="26"/>
        <v>5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165</v>
      </c>
      <c r="C171" s="41">
        <f t="shared" si="27"/>
        <v>105</v>
      </c>
      <c r="D171" s="41">
        <f t="shared" si="27"/>
        <v>178</v>
      </c>
      <c r="E171" s="41">
        <f t="shared" si="27"/>
        <v>198</v>
      </c>
      <c r="F171" s="41">
        <f t="shared" si="27"/>
        <v>117</v>
      </c>
      <c r="G171" s="41">
        <f t="shared" si="27"/>
        <v>113</v>
      </c>
      <c r="H171" s="41">
        <f t="shared" si="27"/>
        <v>112</v>
      </c>
      <c r="I171" s="41">
        <f t="shared" si="27"/>
        <v>127</v>
      </c>
      <c r="J171" s="41">
        <f t="shared" si="27"/>
        <v>135</v>
      </c>
      <c r="K171" s="41">
        <f t="shared" si="27"/>
        <v>169</v>
      </c>
      <c r="L171" s="41">
        <f t="shared" si="27"/>
        <v>169</v>
      </c>
      <c r="M171" s="41">
        <f t="shared" si="27"/>
        <v>131</v>
      </c>
      <c r="N171" s="41">
        <f t="shared" si="27"/>
        <v>134</v>
      </c>
      <c r="O171" s="41">
        <f t="shared" si="27"/>
        <v>133</v>
      </c>
      <c r="P171" s="41">
        <f t="shared" si="27"/>
        <v>126</v>
      </c>
      <c r="Q171" s="41">
        <f t="shared" si="27"/>
        <v>122</v>
      </c>
      <c r="R171" s="41">
        <f t="shared" si="27"/>
        <v>181</v>
      </c>
      <c r="S171" s="41">
        <f t="shared" si="27"/>
        <v>189</v>
      </c>
      <c r="T171" s="41">
        <f t="shared" si="27"/>
        <v>140</v>
      </c>
      <c r="U171" s="41">
        <f t="shared" si="27"/>
        <v>131</v>
      </c>
      <c r="V171" s="41">
        <f t="shared" si="27"/>
        <v>222</v>
      </c>
      <c r="W171" s="41">
        <f t="shared" si="27"/>
        <v>117</v>
      </c>
      <c r="X171" s="41">
        <f t="shared" si="27"/>
        <v>134</v>
      </c>
      <c r="Y171" s="41">
        <f t="shared" si="27"/>
        <v>169</v>
      </c>
      <c r="Z171" s="41">
        <f t="shared" si="27"/>
        <v>168</v>
      </c>
      <c r="AA171" s="41">
        <f t="shared" si="27"/>
        <v>147</v>
      </c>
      <c r="AB171" s="41">
        <f t="shared" si="27"/>
        <v>122</v>
      </c>
      <c r="AC171" s="41">
        <f t="shared" si="27"/>
        <v>118</v>
      </c>
      <c r="AD171" s="41">
        <f t="shared" si="27"/>
        <v>128</v>
      </c>
      <c r="AE171" s="41">
        <f t="shared" si="27"/>
        <v>113</v>
      </c>
      <c r="AF171" s="41">
        <f t="shared" si="27"/>
        <v>166</v>
      </c>
      <c r="AG171" s="42">
        <f t="shared" si="26"/>
        <v>4479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1</v>
      </c>
      <c r="E172" s="118">
        <v>0</v>
      </c>
      <c r="F172" s="118">
        <v>0</v>
      </c>
      <c r="G172" s="118">
        <v>1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1</v>
      </c>
      <c r="N172" s="118">
        <v>0</v>
      </c>
      <c r="O172" s="118">
        <v>0</v>
      </c>
      <c r="P172" s="118">
        <v>0</v>
      </c>
      <c r="Q172" s="118">
        <v>0</v>
      </c>
      <c r="R172" s="118">
        <v>1</v>
      </c>
      <c r="S172" s="118">
        <v>0</v>
      </c>
      <c r="T172" s="118">
        <v>0</v>
      </c>
      <c r="U172" s="118">
        <v>0</v>
      </c>
      <c r="V172" s="118">
        <v>0</v>
      </c>
      <c r="W172" s="118">
        <v>1</v>
      </c>
      <c r="X172" s="118">
        <v>0</v>
      </c>
      <c r="Y172" s="118">
        <v>0</v>
      </c>
      <c r="Z172" s="118">
        <v>1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6</v>
      </c>
    </row>
    <row r="173" spans="1:34" ht="15.75" customHeight="1" x14ac:dyDescent="0.25">
      <c r="A173" s="119" t="s">
        <v>37</v>
      </c>
      <c r="B173" s="120">
        <v>0</v>
      </c>
      <c r="C173" s="120">
        <v>3</v>
      </c>
      <c r="D173" s="120">
        <v>1</v>
      </c>
      <c r="E173" s="120">
        <v>2</v>
      </c>
      <c r="F173" s="120">
        <v>2</v>
      </c>
      <c r="G173" s="120">
        <v>3</v>
      </c>
      <c r="H173" s="120">
        <v>2</v>
      </c>
      <c r="I173" s="120">
        <v>1</v>
      </c>
      <c r="J173" s="120">
        <v>0</v>
      </c>
      <c r="K173" s="120">
        <v>1</v>
      </c>
      <c r="L173" s="120">
        <v>0</v>
      </c>
      <c r="M173" s="120">
        <v>0</v>
      </c>
      <c r="N173" s="120">
        <v>1</v>
      </c>
      <c r="O173" s="120">
        <v>4</v>
      </c>
      <c r="P173" s="120">
        <v>3</v>
      </c>
      <c r="Q173" s="120">
        <v>0</v>
      </c>
      <c r="R173" s="120">
        <v>5</v>
      </c>
      <c r="S173" s="120">
        <v>1</v>
      </c>
      <c r="T173" s="120">
        <v>1</v>
      </c>
      <c r="U173" s="120">
        <v>0</v>
      </c>
      <c r="V173" s="120">
        <v>1</v>
      </c>
      <c r="W173" s="120">
        <v>1</v>
      </c>
      <c r="X173" s="120">
        <v>4</v>
      </c>
      <c r="Y173" s="120">
        <v>2</v>
      </c>
      <c r="Z173" s="120">
        <v>1</v>
      </c>
      <c r="AA173" s="120">
        <v>2</v>
      </c>
      <c r="AB173" s="120">
        <v>0</v>
      </c>
      <c r="AC173" s="120">
        <v>1</v>
      </c>
      <c r="AD173" s="120">
        <v>1</v>
      </c>
      <c r="AE173" s="120">
        <v>1</v>
      </c>
      <c r="AF173" s="120">
        <v>1</v>
      </c>
      <c r="AG173" s="44">
        <f t="shared" si="26"/>
        <v>45</v>
      </c>
    </row>
    <row r="174" spans="1:34" ht="15.75" customHeight="1" x14ac:dyDescent="0.25">
      <c r="A174" s="119" t="s">
        <v>38</v>
      </c>
      <c r="B174" s="120">
        <v>17</v>
      </c>
      <c r="C174" s="120">
        <v>19</v>
      </c>
      <c r="D174" s="120">
        <v>20</v>
      </c>
      <c r="E174" s="120">
        <v>23</v>
      </c>
      <c r="F174" s="120">
        <v>14</v>
      </c>
      <c r="G174" s="120">
        <v>22</v>
      </c>
      <c r="H174" s="120">
        <v>25</v>
      </c>
      <c r="I174" s="120">
        <v>26</v>
      </c>
      <c r="J174" s="120">
        <v>20</v>
      </c>
      <c r="K174" s="120">
        <v>18</v>
      </c>
      <c r="L174" s="120">
        <v>22</v>
      </c>
      <c r="M174" s="120">
        <v>25</v>
      </c>
      <c r="N174" s="120">
        <v>21</v>
      </c>
      <c r="O174" s="120">
        <v>14</v>
      </c>
      <c r="P174" s="120">
        <v>18</v>
      </c>
      <c r="Q174" s="120">
        <v>17</v>
      </c>
      <c r="R174" s="120">
        <v>20</v>
      </c>
      <c r="S174" s="120">
        <v>30</v>
      </c>
      <c r="T174" s="120">
        <v>18</v>
      </c>
      <c r="U174" s="120">
        <v>26</v>
      </c>
      <c r="V174" s="120">
        <v>25</v>
      </c>
      <c r="W174" s="120">
        <v>16</v>
      </c>
      <c r="X174" s="120">
        <v>13</v>
      </c>
      <c r="Y174" s="120">
        <v>24</v>
      </c>
      <c r="Z174" s="120">
        <v>11</v>
      </c>
      <c r="AA174" s="120">
        <v>33</v>
      </c>
      <c r="AB174" s="120">
        <v>21</v>
      </c>
      <c r="AC174" s="120">
        <v>17</v>
      </c>
      <c r="AD174" s="120">
        <v>14</v>
      </c>
      <c r="AE174" s="120">
        <v>15</v>
      </c>
      <c r="AF174" s="120">
        <v>19</v>
      </c>
      <c r="AG174" s="44">
        <f t="shared" si="26"/>
        <v>623</v>
      </c>
    </row>
    <row r="175" spans="1:34" ht="15.75" customHeight="1" x14ac:dyDescent="0.25">
      <c r="A175" s="119" t="s">
        <v>39</v>
      </c>
      <c r="B175" s="120">
        <v>114</v>
      </c>
      <c r="C175" s="120">
        <v>70</v>
      </c>
      <c r="D175" s="120">
        <v>128</v>
      </c>
      <c r="E175" s="120">
        <v>151</v>
      </c>
      <c r="F175" s="120">
        <v>90</v>
      </c>
      <c r="G175" s="120">
        <v>73</v>
      </c>
      <c r="H175" s="120">
        <v>65</v>
      </c>
      <c r="I175" s="120">
        <v>88</v>
      </c>
      <c r="J175" s="120">
        <v>94</v>
      </c>
      <c r="K175" s="120">
        <v>136</v>
      </c>
      <c r="L175" s="120">
        <v>133</v>
      </c>
      <c r="M175" s="120">
        <v>92</v>
      </c>
      <c r="N175" s="120">
        <v>97</v>
      </c>
      <c r="O175" s="120">
        <v>105</v>
      </c>
      <c r="P175" s="120">
        <v>100</v>
      </c>
      <c r="Q175" s="120">
        <v>94</v>
      </c>
      <c r="R175" s="120">
        <v>123</v>
      </c>
      <c r="S175" s="120">
        <v>147</v>
      </c>
      <c r="T175" s="120">
        <v>102</v>
      </c>
      <c r="U175" s="120">
        <v>96</v>
      </c>
      <c r="V175" s="120">
        <v>161</v>
      </c>
      <c r="W175" s="120">
        <v>86</v>
      </c>
      <c r="X175" s="120">
        <v>96</v>
      </c>
      <c r="Y175" s="120">
        <v>133</v>
      </c>
      <c r="Z175" s="120">
        <v>117</v>
      </c>
      <c r="AA175" s="120">
        <v>98</v>
      </c>
      <c r="AB175" s="120">
        <v>97</v>
      </c>
      <c r="AC175" s="120">
        <v>92</v>
      </c>
      <c r="AD175" s="120">
        <v>93</v>
      </c>
      <c r="AE175" s="120">
        <v>85</v>
      </c>
      <c r="AF175" s="120">
        <v>129</v>
      </c>
      <c r="AG175" s="44">
        <f t="shared" si="26"/>
        <v>3285</v>
      </c>
    </row>
    <row r="176" spans="1:34" ht="15.75" customHeight="1" thickBot="1" x14ac:dyDescent="0.3">
      <c r="A176" s="121" t="s">
        <v>40</v>
      </c>
      <c r="B176" s="122">
        <v>34</v>
      </c>
      <c r="C176" s="122">
        <v>13</v>
      </c>
      <c r="D176" s="122">
        <v>28</v>
      </c>
      <c r="E176" s="122">
        <v>22</v>
      </c>
      <c r="F176" s="122">
        <v>11</v>
      </c>
      <c r="G176" s="122">
        <v>14</v>
      </c>
      <c r="H176" s="122">
        <v>20</v>
      </c>
      <c r="I176" s="122">
        <v>12</v>
      </c>
      <c r="J176" s="122">
        <v>21</v>
      </c>
      <c r="K176" s="122">
        <v>14</v>
      </c>
      <c r="L176" s="122">
        <v>14</v>
      </c>
      <c r="M176" s="122">
        <v>13</v>
      </c>
      <c r="N176" s="122">
        <v>15</v>
      </c>
      <c r="O176" s="122">
        <v>10</v>
      </c>
      <c r="P176" s="122">
        <v>5</v>
      </c>
      <c r="Q176" s="122">
        <v>11</v>
      </c>
      <c r="R176" s="122">
        <v>32</v>
      </c>
      <c r="S176" s="122">
        <v>11</v>
      </c>
      <c r="T176" s="122">
        <v>19</v>
      </c>
      <c r="U176" s="122">
        <v>9</v>
      </c>
      <c r="V176" s="122">
        <v>35</v>
      </c>
      <c r="W176" s="122">
        <v>13</v>
      </c>
      <c r="X176" s="122">
        <v>21</v>
      </c>
      <c r="Y176" s="122">
        <v>10</v>
      </c>
      <c r="Z176" s="122">
        <v>38</v>
      </c>
      <c r="AA176" s="122">
        <v>14</v>
      </c>
      <c r="AB176" s="122">
        <v>4</v>
      </c>
      <c r="AC176" s="122">
        <v>8</v>
      </c>
      <c r="AD176" s="122">
        <v>20</v>
      </c>
      <c r="AE176" s="122">
        <v>12</v>
      </c>
      <c r="AF176" s="122">
        <v>17</v>
      </c>
      <c r="AG176" s="45">
        <f t="shared" si="26"/>
        <v>520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23" priority="3" operator="lessThan">
      <formula>0</formula>
    </cfRule>
  </conditionalFormatting>
  <conditionalFormatting sqref="AH171">
    <cfRule type="cellIs" dxfId="22" priority="2" operator="equal">
      <formula>"X"</formula>
    </cfRule>
  </conditionalFormatting>
  <conditionalFormatting sqref="AH1:AH1048576">
    <cfRule type="cellIs" dxfId="21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B37C330A-B094-4902-BE63-0C4DC712EB99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A27E-273D-43AD-808C-A77BDB6DE573}">
  <sheetPr codeName="Hoja28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180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195</v>
      </c>
      <c r="C3" s="1">
        <f t="shared" si="1"/>
        <v>131</v>
      </c>
      <c r="D3" s="1">
        <f t="shared" si="1"/>
        <v>129</v>
      </c>
      <c r="E3" s="1">
        <f t="shared" si="1"/>
        <v>128</v>
      </c>
      <c r="F3" s="1">
        <f t="shared" si="1"/>
        <v>130</v>
      </c>
      <c r="G3" s="1">
        <f t="shared" si="1"/>
        <v>114</v>
      </c>
      <c r="H3" s="1">
        <f t="shared" si="1"/>
        <v>184</v>
      </c>
      <c r="I3" s="1">
        <f t="shared" si="1"/>
        <v>167</v>
      </c>
      <c r="J3" s="1">
        <f t="shared" si="1"/>
        <v>146</v>
      </c>
      <c r="K3" s="1">
        <f t="shared" si="1"/>
        <v>122</v>
      </c>
      <c r="L3" s="1">
        <f t="shared" si="1"/>
        <v>118</v>
      </c>
      <c r="M3" s="1">
        <f t="shared" si="1"/>
        <v>86</v>
      </c>
      <c r="N3" s="1">
        <f t="shared" si="1"/>
        <v>120</v>
      </c>
      <c r="O3" s="1">
        <f t="shared" si="1"/>
        <v>148</v>
      </c>
      <c r="P3" s="1">
        <f t="shared" si="1"/>
        <v>140</v>
      </c>
      <c r="Q3" s="1">
        <f t="shared" si="1"/>
        <v>135</v>
      </c>
      <c r="R3" s="1">
        <f t="shared" si="1"/>
        <v>132</v>
      </c>
      <c r="S3" s="1">
        <f t="shared" si="1"/>
        <v>123</v>
      </c>
      <c r="T3" s="1">
        <f t="shared" si="1"/>
        <v>98</v>
      </c>
      <c r="U3" s="1">
        <f t="shared" si="1"/>
        <v>188</v>
      </c>
      <c r="V3" s="1">
        <f t="shared" si="1"/>
        <v>168</v>
      </c>
      <c r="W3" s="1">
        <f t="shared" si="1"/>
        <v>162</v>
      </c>
      <c r="X3" s="1">
        <f t="shared" si="1"/>
        <v>115</v>
      </c>
      <c r="Y3" s="1">
        <f t="shared" si="1"/>
        <v>128</v>
      </c>
      <c r="Z3" s="1">
        <f t="shared" si="1"/>
        <v>120</v>
      </c>
      <c r="AA3" s="1">
        <f t="shared" si="1"/>
        <v>106</v>
      </c>
      <c r="AB3" s="1">
        <f t="shared" si="1"/>
        <v>109</v>
      </c>
      <c r="AC3" s="1">
        <f t="shared" si="1"/>
        <v>148</v>
      </c>
      <c r="AD3" s="1">
        <f t="shared" si="1"/>
        <v>143</v>
      </c>
      <c r="AE3" s="1">
        <f t="shared" si="1"/>
        <v>94</v>
      </c>
      <c r="AF3" s="1">
        <f t="shared" si="1"/>
        <v>0</v>
      </c>
      <c r="AG3" s="2">
        <f t="shared" ref="AG3:AG66" si="2">SUM(B3:AF3)</f>
        <v>4027</v>
      </c>
    </row>
    <row r="4" spans="1:33" ht="18.75" x14ac:dyDescent="0.25">
      <c r="A4" s="53" t="s">
        <v>2</v>
      </c>
      <c r="B4" s="54">
        <v>2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4</v>
      </c>
      <c r="I4" s="55">
        <v>5</v>
      </c>
      <c r="J4" s="55">
        <v>0</v>
      </c>
      <c r="K4" s="55">
        <v>0</v>
      </c>
      <c r="L4" s="55">
        <v>0</v>
      </c>
      <c r="M4" s="55">
        <v>0</v>
      </c>
      <c r="N4" s="55">
        <v>0</v>
      </c>
      <c r="O4" s="55">
        <v>8</v>
      </c>
      <c r="P4" s="55">
        <v>1</v>
      </c>
      <c r="Q4" s="55">
        <v>0</v>
      </c>
      <c r="R4" s="55">
        <v>0</v>
      </c>
      <c r="S4" s="55">
        <v>0</v>
      </c>
      <c r="T4" s="55">
        <v>0</v>
      </c>
      <c r="U4" s="55">
        <v>2</v>
      </c>
      <c r="V4" s="55">
        <v>3</v>
      </c>
      <c r="W4" s="55">
        <v>4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8</v>
      </c>
      <c r="AD4" s="55">
        <v>2</v>
      </c>
      <c r="AE4" s="55">
        <v>0</v>
      </c>
      <c r="AF4" s="55"/>
      <c r="AG4" s="4">
        <f t="shared" si="2"/>
        <v>39</v>
      </c>
    </row>
    <row r="5" spans="1:33" ht="18.75" x14ac:dyDescent="0.25">
      <c r="A5" s="56" t="s">
        <v>3</v>
      </c>
      <c r="B5" s="54">
        <v>8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11</v>
      </c>
      <c r="I5" s="54">
        <v>3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12</v>
      </c>
      <c r="P5" s="54">
        <v>2</v>
      </c>
      <c r="Q5" s="54">
        <v>0</v>
      </c>
      <c r="R5" s="54">
        <v>0</v>
      </c>
      <c r="S5" s="54">
        <v>0</v>
      </c>
      <c r="T5" s="54">
        <v>0</v>
      </c>
      <c r="U5" s="54">
        <v>11</v>
      </c>
      <c r="V5" s="54">
        <v>14</v>
      </c>
      <c r="W5" s="54">
        <v>8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10</v>
      </c>
      <c r="AD5" s="54">
        <v>2</v>
      </c>
      <c r="AE5" s="54">
        <v>0</v>
      </c>
      <c r="AF5" s="54"/>
      <c r="AG5" s="5">
        <f t="shared" si="2"/>
        <v>81</v>
      </c>
    </row>
    <row r="6" spans="1:33" ht="18.75" x14ac:dyDescent="0.25">
      <c r="A6" s="56" t="s">
        <v>4</v>
      </c>
      <c r="B6" s="54">
        <v>17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9</v>
      </c>
      <c r="I6" s="54">
        <v>9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16</v>
      </c>
      <c r="P6" s="54">
        <v>7</v>
      </c>
      <c r="Q6" s="54">
        <v>0</v>
      </c>
      <c r="R6" s="54">
        <v>0</v>
      </c>
      <c r="S6" s="54">
        <v>0</v>
      </c>
      <c r="T6" s="54">
        <v>0</v>
      </c>
      <c r="U6" s="54">
        <v>5</v>
      </c>
      <c r="V6" s="54">
        <v>17</v>
      </c>
      <c r="W6" s="54">
        <v>6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7</v>
      </c>
      <c r="AD6" s="54">
        <v>7</v>
      </c>
      <c r="AE6" s="54">
        <v>0</v>
      </c>
      <c r="AF6" s="54"/>
      <c r="AG6" s="5">
        <f t="shared" si="2"/>
        <v>100</v>
      </c>
    </row>
    <row r="7" spans="1:33" ht="18.75" x14ac:dyDescent="0.25">
      <c r="A7" s="56" t="s">
        <v>5</v>
      </c>
      <c r="B7" s="54">
        <v>22</v>
      </c>
      <c r="C7" s="54">
        <v>0</v>
      </c>
      <c r="D7" s="54">
        <v>0</v>
      </c>
      <c r="E7" s="54">
        <v>0</v>
      </c>
      <c r="F7" s="54">
        <v>0</v>
      </c>
      <c r="G7" s="54">
        <v>0</v>
      </c>
      <c r="H7" s="54">
        <v>19</v>
      </c>
      <c r="I7" s="54">
        <v>10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14</v>
      </c>
      <c r="P7" s="54">
        <v>11</v>
      </c>
      <c r="Q7" s="54">
        <v>0</v>
      </c>
      <c r="R7" s="54">
        <v>0</v>
      </c>
      <c r="S7" s="54">
        <v>0</v>
      </c>
      <c r="T7" s="54">
        <v>0</v>
      </c>
      <c r="U7" s="54">
        <v>24</v>
      </c>
      <c r="V7" s="54">
        <v>20</v>
      </c>
      <c r="W7" s="54">
        <v>16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12</v>
      </c>
      <c r="AD7" s="54">
        <v>13</v>
      </c>
      <c r="AE7" s="54">
        <v>0</v>
      </c>
      <c r="AF7" s="54"/>
      <c r="AG7" s="5">
        <f t="shared" si="2"/>
        <v>161</v>
      </c>
    </row>
    <row r="8" spans="1:33" ht="18.75" x14ac:dyDescent="0.25">
      <c r="A8" s="56" t="s">
        <v>6</v>
      </c>
      <c r="B8" s="54">
        <v>18</v>
      </c>
      <c r="C8" s="54">
        <v>0</v>
      </c>
      <c r="D8" s="54">
        <v>0</v>
      </c>
      <c r="E8" s="54">
        <v>0</v>
      </c>
      <c r="F8" s="54">
        <v>0</v>
      </c>
      <c r="G8" s="54">
        <v>0</v>
      </c>
      <c r="H8" s="54">
        <v>12</v>
      </c>
      <c r="I8" s="54">
        <v>13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9</v>
      </c>
      <c r="P8" s="54">
        <v>9</v>
      </c>
      <c r="Q8" s="54">
        <v>0</v>
      </c>
      <c r="R8" s="54">
        <v>0</v>
      </c>
      <c r="S8" s="54">
        <v>0</v>
      </c>
      <c r="T8" s="54">
        <v>0</v>
      </c>
      <c r="U8" s="54">
        <v>13</v>
      </c>
      <c r="V8" s="54">
        <v>13</v>
      </c>
      <c r="W8" s="54">
        <v>15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16</v>
      </c>
      <c r="AD8" s="54">
        <v>12</v>
      </c>
      <c r="AE8" s="54">
        <v>0</v>
      </c>
      <c r="AF8" s="54"/>
      <c r="AG8" s="5">
        <f t="shared" si="2"/>
        <v>130</v>
      </c>
    </row>
    <row r="9" spans="1:33" ht="18.75" x14ac:dyDescent="0.25">
      <c r="A9" s="56" t="s">
        <v>7</v>
      </c>
      <c r="B9" s="54">
        <v>14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16</v>
      </c>
      <c r="I9" s="54">
        <v>11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3</v>
      </c>
      <c r="P9" s="54">
        <v>14</v>
      </c>
      <c r="Q9" s="54">
        <v>0</v>
      </c>
      <c r="R9" s="54">
        <v>0</v>
      </c>
      <c r="S9" s="54">
        <v>0</v>
      </c>
      <c r="T9" s="54">
        <v>0</v>
      </c>
      <c r="U9" s="54">
        <v>13</v>
      </c>
      <c r="V9" s="54">
        <v>9</v>
      </c>
      <c r="W9" s="54">
        <v>14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12</v>
      </c>
      <c r="AD9" s="54">
        <v>12</v>
      </c>
      <c r="AE9" s="54">
        <v>0</v>
      </c>
      <c r="AF9" s="54"/>
      <c r="AG9" s="5">
        <f t="shared" si="2"/>
        <v>118</v>
      </c>
    </row>
    <row r="10" spans="1:33" ht="18.75" x14ac:dyDescent="0.25">
      <c r="A10" s="56" t="s">
        <v>8</v>
      </c>
      <c r="B10" s="54">
        <v>8</v>
      </c>
      <c r="C10" s="54">
        <v>0</v>
      </c>
      <c r="D10" s="54">
        <v>0</v>
      </c>
      <c r="E10" s="54">
        <v>0</v>
      </c>
      <c r="F10" s="54">
        <v>0</v>
      </c>
      <c r="G10" s="54">
        <v>0</v>
      </c>
      <c r="H10" s="54">
        <v>9</v>
      </c>
      <c r="I10" s="54">
        <v>17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8</v>
      </c>
      <c r="P10" s="54">
        <v>8</v>
      </c>
      <c r="Q10" s="54">
        <v>0</v>
      </c>
      <c r="R10" s="54">
        <v>0</v>
      </c>
      <c r="S10" s="54">
        <v>0</v>
      </c>
      <c r="T10" s="54">
        <v>0</v>
      </c>
      <c r="U10" s="54">
        <v>15</v>
      </c>
      <c r="V10" s="54">
        <v>11</v>
      </c>
      <c r="W10" s="54">
        <v>11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12</v>
      </c>
      <c r="AD10" s="54">
        <v>9</v>
      </c>
      <c r="AE10" s="54">
        <v>0</v>
      </c>
      <c r="AF10" s="54"/>
      <c r="AG10" s="5">
        <f t="shared" si="2"/>
        <v>108</v>
      </c>
    </row>
    <row r="11" spans="1:33" ht="18.75" x14ac:dyDescent="0.25">
      <c r="A11" s="56" t="s">
        <v>9</v>
      </c>
      <c r="B11" s="54">
        <v>12</v>
      </c>
      <c r="C11" s="54">
        <v>0</v>
      </c>
      <c r="D11" s="54">
        <v>0</v>
      </c>
      <c r="E11" s="54">
        <v>0</v>
      </c>
      <c r="F11" s="54">
        <v>0</v>
      </c>
      <c r="G11" s="54">
        <v>10</v>
      </c>
      <c r="H11" s="54">
        <v>10</v>
      </c>
      <c r="I11" s="54">
        <v>16</v>
      </c>
      <c r="J11" s="54">
        <v>0</v>
      </c>
      <c r="K11" s="54">
        <v>0</v>
      </c>
      <c r="L11" s="54">
        <v>0</v>
      </c>
      <c r="M11" s="54">
        <v>0</v>
      </c>
      <c r="N11" s="54">
        <v>4</v>
      </c>
      <c r="O11" s="54">
        <v>17</v>
      </c>
      <c r="P11" s="54">
        <v>7</v>
      </c>
      <c r="Q11" s="54">
        <v>0</v>
      </c>
      <c r="R11" s="54">
        <v>0</v>
      </c>
      <c r="S11" s="54">
        <v>0</v>
      </c>
      <c r="T11" s="54">
        <v>0</v>
      </c>
      <c r="U11" s="54">
        <v>15</v>
      </c>
      <c r="V11" s="54">
        <v>11</v>
      </c>
      <c r="W11" s="54">
        <v>15</v>
      </c>
      <c r="X11" s="54">
        <v>0</v>
      </c>
      <c r="Y11" s="54">
        <v>0</v>
      </c>
      <c r="Z11" s="54">
        <v>0</v>
      </c>
      <c r="AA11" s="54">
        <v>0</v>
      </c>
      <c r="AB11" s="54">
        <v>13</v>
      </c>
      <c r="AC11" s="54">
        <v>7</v>
      </c>
      <c r="AD11" s="54">
        <v>15</v>
      </c>
      <c r="AE11" s="54">
        <v>0</v>
      </c>
      <c r="AF11" s="54"/>
      <c r="AG11" s="5">
        <f t="shared" si="2"/>
        <v>152</v>
      </c>
    </row>
    <row r="12" spans="1:33" ht="18.75" x14ac:dyDescent="0.25">
      <c r="A12" s="56" t="s">
        <v>10</v>
      </c>
      <c r="B12" s="54">
        <v>14</v>
      </c>
      <c r="C12" s="54">
        <v>2</v>
      </c>
      <c r="D12" s="54">
        <v>4</v>
      </c>
      <c r="E12" s="54">
        <v>3</v>
      </c>
      <c r="F12" s="54">
        <v>5</v>
      </c>
      <c r="G12" s="54">
        <v>33</v>
      </c>
      <c r="H12" s="54">
        <v>22</v>
      </c>
      <c r="I12" s="54">
        <v>17</v>
      </c>
      <c r="J12" s="54">
        <v>1</v>
      </c>
      <c r="K12" s="54">
        <v>2</v>
      </c>
      <c r="L12" s="54">
        <v>2</v>
      </c>
      <c r="M12" s="54">
        <v>2</v>
      </c>
      <c r="N12" s="54">
        <v>30</v>
      </c>
      <c r="O12" s="54">
        <v>15</v>
      </c>
      <c r="P12" s="54">
        <v>10</v>
      </c>
      <c r="Q12" s="54">
        <v>2</v>
      </c>
      <c r="R12" s="54">
        <v>4</v>
      </c>
      <c r="S12" s="54">
        <v>3</v>
      </c>
      <c r="T12" s="54">
        <v>5</v>
      </c>
      <c r="U12" s="54">
        <v>16</v>
      </c>
      <c r="V12" s="54">
        <v>20</v>
      </c>
      <c r="W12" s="54">
        <v>13</v>
      </c>
      <c r="X12" s="54">
        <v>9</v>
      </c>
      <c r="Y12" s="54">
        <v>6</v>
      </c>
      <c r="Z12" s="54">
        <v>11</v>
      </c>
      <c r="AA12" s="54">
        <v>12</v>
      </c>
      <c r="AB12" s="54">
        <v>27</v>
      </c>
      <c r="AC12" s="54">
        <v>21</v>
      </c>
      <c r="AD12" s="54">
        <v>15</v>
      </c>
      <c r="AE12" s="54">
        <v>4</v>
      </c>
      <c r="AF12" s="54"/>
      <c r="AG12" s="5">
        <f t="shared" si="2"/>
        <v>330</v>
      </c>
    </row>
    <row r="13" spans="1:33" ht="18.75" x14ac:dyDescent="0.25">
      <c r="A13" s="56" t="s">
        <v>11</v>
      </c>
      <c r="B13" s="54">
        <v>18</v>
      </c>
      <c r="C13" s="54">
        <v>61</v>
      </c>
      <c r="D13" s="54">
        <v>58</v>
      </c>
      <c r="E13" s="54">
        <v>58</v>
      </c>
      <c r="F13" s="54">
        <v>63</v>
      </c>
      <c r="G13" s="54">
        <v>20</v>
      </c>
      <c r="H13" s="54">
        <v>13</v>
      </c>
      <c r="I13" s="54">
        <v>12</v>
      </c>
      <c r="J13" s="54">
        <v>67</v>
      </c>
      <c r="K13" s="54">
        <v>59</v>
      </c>
      <c r="L13" s="54">
        <v>60</v>
      </c>
      <c r="M13" s="54">
        <v>36</v>
      </c>
      <c r="N13" s="54">
        <v>25</v>
      </c>
      <c r="O13" s="54">
        <v>8</v>
      </c>
      <c r="P13" s="54">
        <v>17</v>
      </c>
      <c r="Q13" s="54">
        <v>54</v>
      </c>
      <c r="R13" s="54">
        <v>66</v>
      </c>
      <c r="S13" s="54">
        <v>58</v>
      </c>
      <c r="T13" s="54">
        <v>31</v>
      </c>
      <c r="U13" s="54">
        <v>21</v>
      </c>
      <c r="V13" s="54">
        <v>12</v>
      </c>
      <c r="W13" s="54">
        <v>11</v>
      </c>
      <c r="X13" s="54">
        <v>53</v>
      </c>
      <c r="Y13" s="54">
        <v>58</v>
      </c>
      <c r="Z13" s="54">
        <v>55</v>
      </c>
      <c r="AA13" s="54">
        <v>33</v>
      </c>
      <c r="AB13" s="54">
        <v>15</v>
      </c>
      <c r="AC13" s="54">
        <v>5</v>
      </c>
      <c r="AD13" s="54">
        <v>13</v>
      </c>
      <c r="AE13" s="54">
        <v>40</v>
      </c>
      <c r="AF13" s="54"/>
      <c r="AG13" s="5">
        <f t="shared" si="2"/>
        <v>1100</v>
      </c>
    </row>
    <row r="14" spans="1:33" ht="18.75" x14ac:dyDescent="0.25">
      <c r="A14" s="56" t="s">
        <v>12</v>
      </c>
      <c r="B14" s="54">
        <v>13</v>
      </c>
      <c r="C14" s="54">
        <v>13</v>
      </c>
      <c r="D14" s="54">
        <v>23</v>
      </c>
      <c r="E14" s="54">
        <v>15</v>
      </c>
      <c r="F14" s="54">
        <v>17</v>
      </c>
      <c r="G14" s="54">
        <v>17</v>
      </c>
      <c r="H14" s="54">
        <v>11</v>
      </c>
      <c r="I14" s="54">
        <v>9</v>
      </c>
      <c r="J14" s="54">
        <v>17</v>
      </c>
      <c r="K14" s="54">
        <v>19</v>
      </c>
      <c r="L14" s="54">
        <v>16</v>
      </c>
      <c r="M14" s="54">
        <v>6</v>
      </c>
      <c r="N14" s="54">
        <v>12</v>
      </c>
      <c r="O14" s="54">
        <v>5</v>
      </c>
      <c r="P14" s="54">
        <v>12</v>
      </c>
      <c r="Q14" s="54">
        <v>20</v>
      </c>
      <c r="R14" s="54">
        <v>12</v>
      </c>
      <c r="S14" s="54">
        <v>12</v>
      </c>
      <c r="T14" s="54">
        <v>12</v>
      </c>
      <c r="U14" s="54">
        <v>15</v>
      </c>
      <c r="V14" s="54">
        <v>9</v>
      </c>
      <c r="W14" s="54">
        <v>10</v>
      </c>
      <c r="X14" s="54">
        <v>12</v>
      </c>
      <c r="Y14" s="54">
        <v>7</v>
      </c>
      <c r="Z14" s="54">
        <v>10</v>
      </c>
      <c r="AA14" s="54">
        <v>14</v>
      </c>
      <c r="AB14" s="54">
        <v>13</v>
      </c>
      <c r="AC14" s="54">
        <v>4</v>
      </c>
      <c r="AD14" s="54">
        <v>11</v>
      </c>
      <c r="AE14" s="54">
        <v>11</v>
      </c>
      <c r="AF14" s="54"/>
      <c r="AG14" s="5">
        <f t="shared" si="2"/>
        <v>377</v>
      </c>
    </row>
    <row r="15" spans="1:33" ht="18.75" x14ac:dyDescent="0.25">
      <c r="A15" s="56" t="s">
        <v>13</v>
      </c>
      <c r="B15" s="54">
        <v>8</v>
      </c>
      <c r="C15" s="54">
        <v>9</v>
      </c>
      <c r="D15" s="54">
        <v>6</v>
      </c>
      <c r="E15" s="54">
        <v>12</v>
      </c>
      <c r="F15" s="54">
        <v>10</v>
      </c>
      <c r="G15" s="54">
        <v>5</v>
      </c>
      <c r="H15" s="54">
        <v>5</v>
      </c>
      <c r="I15" s="54">
        <v>8</v>
      </c>
      <c r="J15" s="54">
        <v>15</v>
      </c>
      <c r="K15" s="54">
        <v>6</v>
      </c>
      <c r="L15" s="54">
        <v>6</v>
      </c>
      <c r="M15" s="54">
        <v>9</v>
      </c>
      <c r="N15" s="54">
        <v>16</v>
      </c>
      <c r="O15" s="54">
        <v>5</v>
      </c>
      <c r="P15" s="54">
        <v>9</v>
      </c>
      <c r="Q15" s="54">
        <v>16</v>
      </c>
      <c r="R15" s="54">
        <v>14</v>
      </c>
      <c r="S15" s="54">
        <v>9</v>
      </c>
      <c r="T15" s="54">
        <v>7</v>
      </c>
      <c r="U15" s="54">
        <v>8</v>
      </c>
      <c r="V15" s="54">
        <v>4</v>
      </c>
      <c r="W15" s="54">
        <v>6</v>
      </c>
      <c r="X15" s="54">
        <v>13</v>
      </c>
      <c r="Y15" s="54">
        <v>12</v>
      </c>
      <c r="Z15" s="54">
        <v>9</v>
      </c>
      <c r="AA15" s="54">
        <v>7</v>
      </c>
      <c r="AB15" s="54">
        <v>10</v>
      </c>
      <c r="AC15" s="54">
        <v>5</v>
      </c>
      <c r="AD15" s="54">
        <v>7</v>
      </c>
      <c r="AE15" s="54">
        <v>7</v>
      </c>
      <c r="AF15" s="54"/>
      <c r="AG15" s="5">
        <f t="shared" si="2"/>
        <v>263</v>
      </c>
    </row>
    <row r="16" spans="1:33" ht="18.75" x14ac:dyDescent="0.25">
      <c r="A16" s="56" t="s">
        <v>14</v>
      </c>
      <c r="B16" s="54">
        <v>10</v>
      </c>
      <c r="C16" s="54">
        <v>13</v>
      </c>
      <c r="D16" s="54">
        <v>11</v>
      </c>
      <c r="E16" s="54">
        <v>12</v>
      </c>
      <c r="F16" s="54">
        <v>6</v>
      </c>
      <c r="G16" s="54">
        <v>6</v>
      </c>
      <c r="H16" s="54">
        <v>9</v>
      </c>
      <c r="I16" s="54">
        <v>10</v>
      </c>
      <c r="J16" s="54">
        <v>13</v>
      </c>
      <c r="K16" s="54">
        <v>13</v>
      </c>
      <c r="L16" s="54">
        <v>9</v>
      </c>
      <c r="M16" s="54">
        <v>7</v>
      </c>
      <c r="N16" s="54">
        <v>8</v>
      </c>
      <c r="O16" s="54">
        <v>6</v>
      </c>
      <c r="P16" s="54">
        <v>8</v>
      </c>
      <c r="Q16" s="54">
        <v>8</v>
      </c>
      <c r="R16" s="54">
        <v>7</v>
      </c>
      <c r="S16" s="54">
        <v>8</v>
      </c>
      <c r="T16" s="54">
        <v>11</v>
      </c>
      <c r="U16" s="54">
        <v>2</v>
      </c>
      <c r="V16" s="54">
        <v>4</v>
      </c>
      <c r="W16" s="54">
        <v>7</v>
      </c>
      <c r="X16" s="54">
        <v>4</v>
      </c>
      <c r="Y16" s="54">
        <v>11</v>
      </c>
      <c r="Z16" s="54">
        <v>6</v>
      </c>
      <c r="AA16" s="54">
        <v>6</v>
      </c>
      <c r="AB16" s="54">
        <v>6</v>
      </c>
      <c r="AC16" s="54">
        <v>6</v>
      </c>
      <c r="AD16" s="54">
        <v>10</v>
      </c>
      <c r="AE16" s="54">
        <v>10</v>
      </c>
      <c r="AF16" s="54"/>
      <c r="AG16" s="5">
        <f t="shared" si="2"/>
        <v>247</v>
      </c>
    </row>
    <row r="17" spans="1:33" ht="18.75" x14ac:dyDescent="0.25">
      <c r="A17" s="56" t="s">
        <v>15</v>
      </c>
      <c r="B17" s="54">
        <v>7</v>
      </c>
      <c r="C17" s="54">
        <v>8</v>
      </c>
      <c r="D17" s="54">
        <v>6</v>
      </c>
      <c r="E17" s="54">
        <v>4</v>
      </c>
      <c r="F17" s="54">
        <v>4</v>
      </c>
      <c r="G17" s="54">
        <v>10</v>
      </c>
      <c r="H17" s="54">
        <v>7</v>
      </c>
      <c r="I17" s="54">
        <v>8</v>
      </c>
      <c r="J17" s="54">
        <v>13</v>
      </c>
      <c r="K17" s="54">
        <v>7</v>
      </c>
      <c r="L17" s="54">
        <v>6</v>
      </c>
      <c r="M17" s="54">
        <v>6</v>
      </c>
      <c r="N17" s="54">
        <v>8</v>
      </c>
      <c r="O17" s="54">
        <v>5</v>
      </c>
      <c r="P17" s="54">
        <v>4</v>
      </c>
      <c r="Q17" s="54">
        <v>9</v>
      </c>
      <c r="R17" s="54">
        <v>9</v>
      </c>
      <c r="S17" s="54">
        <v>11</v>
      </c>
      <c r="T17" s="54">
        <v>8</v>
      </c>
      <c r="U17" s="54">
        <v>5</v>
      </c>
      <c r="V17" s="54">
        <v>3</v>
      </c>
      <c r="W17" s="54">
        <v>8</v>
      </c>
      <c r="X17" s="54">
        <v>9</v>
      </c>
      <c r="Y17" s="54">
        <v>6</v>
      </c>
      <c r="Z17" s="54">
        <v>8</v>
      </c>
      <c r="AA17" s="54">
        <v>8</v>
      </c>
      <c r="AB17" s="54">
        <v>9</v>
      </c>
      <c r="AC17" s="54">
        <v>7</v>
      </c>
      <c r="AD17" s="54">
        <v>4</v>
      </c>
      <c r="AE17" s="54">
        <v>5</v>
      </c>
      <c r="AF17" s="54"/>
      <c r="AG17" s="5">
        <f t="shared" si="2"/>
        <v>212</v>
      </c>
    </row>
    <row r="18" spans="1:33" ht="18.75" x14ac:dyDescent="0.25">
      <c r="A18" s="56" t="s">
        <v>16</v>
      </c>
      <c r="B18" s="54">
        <v>7</v>
      </c>
      <c r="C18" s="54">
        <v>4</v>
      </c>
      <c r="D18" s="54">
        <v>6</v>
      </c>
      <c r="E18" s="54">
        <v>7</v>
      </c>
      <c r="F18" s="54">
        <v>7</v>
      </c>
      <c r="G18" s="54">
        <v>6</v>
      </c>
      <c r="H18" s="54">
        <v>6</v>
      </c>
      <c r="I18" s="54">
        <v>9</v>
      </c>
      <c r="J18" s="54">
        <v>4</v>
      </c>
      <c r="K18" s="54">
        <v>5</v>
      </c>
      <c r="L18" s="54">
        <v>8</v>
      </c>
      <c r="M18" s="54">
        <v>7</v>
      </c>
      <c r="N18" s="54">
        <v>9</v>
      </c>
      <c r="O18" s="54">
        <v>8</v>
      </c>
      <c r="P18" s="54">
        <v>11</v>
      </c>
      <c r="Q18" s="54">
        <v>7</v>
      </c>
      <c r="R18" s="54">
        <v>4</v>
      </c>
      <c r="S18" s="54">
        <v>9</v>
      </c>
      <c r="T18" s="54">
        <v>4</v>
      </c>
      <c r="U18" s="54">
        <v>3</v>
      </c>
      <c r="V18" s="54">
        <v>3</v>
      </c>
      <c r="W18" s="54">
        <v>7</v>
      </c>
      <c r="X18" s="54">
        <v>7</v>
      </c>
      <c r="Y18" s="54">
        <v>7</v>
      </c>
      <c r="Z18" s="54">
        <v>7</v>
      </c>
      <c r="AA18" s="54">
        <v>8</v>
      </c>
      <c r="AB18" s="54">
        <v>3</v>
      </c>
      <c r="AC18" s="54">
        <v>1</v>
      </c>
      <c r="AD18" s="54">
        <v>3</v>
      </c>
      <c r="AE18" s="54">
        <v>6</v>
      </c>
      <c r="AF18" s="54"/>
      <c r="AG18" s="5">
        <f t="shared" si="2"/>
        <v>183</v>
      </c>
    </row>
    <row r="19" spans="1:33" ht="18.75" x14ac:dyDescent="0.25">
      <c r="A19" s="56" t="s">
        <v>17</v>
      </c>
      <c r="B19" s="54">
        <v>6</v>
      </c>
      <c r="C19" s="54">
        <v>6</v>
      </c>
      <c r="D19" s="54">
        <v>6</v>
      </c>
      <c r="E19" s="54">
        <v>5</v>
      </c>
      <c r="F19" s="54">
        <v>6</v>
      </c>
      <c r="G19" s="54">
        <v>3</v>
      </c>
      <c r="H19" s="54">
        <v>5</v>
      </c>
      <c r="I19" s="54">
        <v>3</v>
      </c>
      <c r="J19" s="54">
        <v>7</v>
      </c>
      <c r="K19" s="54">
        <v>5</v>
      </c>
      <c r="L19" s="54">
        <v>7</v>
      </c>
      <c r="M19" s="54">
        <v>6</v>
      </c>
      <c r="N19" s="54">
        <v>4</v>
      </c>
      <c r="O19" s="54">
        <v>2</v>
      </c>
      <c r="P19" s="54">
        <v>4</v>
      </c>
      <c r="Q19" s="54">
        <v>4</v>
      </c>
      <c r="R19" s="54">
        <v>2</v>
      </c>
      <c r="S19" s="54">
        <v>3</v>
      </c>
      <c r="T19" s="54">
        <v>4</v>
      </c>
      <c r="U19" s="54">
        <v>2</v>
      </c>
      <c r="V19" s="54">
        <v>3</v>
      </c>
      <c r="W19" s="54">
        <v>4</v>
      </c>
      <c r="X19" s="54">
        <v>2</v>
      </c>
      <c r="Y19" s="54">
        <v>7</v>
      </c>
      <c r="Z19" s="54">
        <v>2</v>
      </c>
      <c r="AA19" s="54">
        <v>8</v>
      </c>
      <c r="AB19" s="54">
        <v>0</v>
      </c>
      <c r="AC19" s="54">
        <v>6</v>
      </c>
      <c r="AD19" s="54">
        <v>1</v>
      </c>
      <c r="AE19" s="54">
        <v>4</v>
      </c>
      <c r="AF19" s="54"/>
      <c r="AG19" s="5">
        <f t="shared" si="2"/>
        <v>127</v>
      </c>
    </row>
    <row r="20" spans="1:33" ht="18.75" x14ac:dyDescent="0.25">
      <c r="A20" s="56" t="s">
        <v>18</v>
      </c>
      <c r="B20" s="54">
        <v>1</v>
      </c>
      <c r="C20" s="54">
        <v>6</v>
      </c>
      <c r="D20" s="54">
        <v>4</v>
      </c>
      <c r="E20" s="54">
        <v>2</v>
      </c>
      <c r="F20" s="54">
        <v>4</v>
      </c>
      <c r="G20" s="54">
        <v>4</v>
      </c>
      <c r="H20" s="54">
        <v>3</v>
      </c>
      <c r="I20" s="54">
        <v>4</v>
      </c>
      <c r="J20" s="54">
        <v>5</v>
      </c>
      <c r="K20" s="54">
        <v>3</v>
      </c>
      <c r="L20" s="54">
        <v>1</v>
      </c>
      <c r="M20" s="54">
        <v>1</v>
      </c>
      <c r="N20" s="54">
        <v>1</v>
      </c>
      <c r="O20" s="54">
        <v>3</v>
      </c>
      <c r="P20" s="54">
        <v>1</v>
      </c>
      <c r="Q20" s="54">
        <v>4</v>
      </c>
      <c r="R20" s="54">
        <v>3</v>
      </c>
      <c r="S20" s="54">
        <v>3</v>
      </c>
      <c r="T20" s="54">
        <v>2</v>
      </c>
      <c r="U20" s="54">
        <v>2</v>
      </c>
      <c r="V20" s="54">
        <v>3</v>
      </c>
      <c r="W20" s="54">
        <v>2</v>
      </c>
      <c r="X20" s="54">
        <v>0</v>
      </c>
      <c r="Y20" s="54">
        <v>5</v>
      </c>
      <c r="Z20" s="54">
        <v>4</v>
      </c>
      <c r="AA20" s="54">
        <v>4</v>
      </c>
      <c r="AB20" s="54">
        <v>3</v>
      </c>
      <c r="AC20" s="54">
        <v>2</v>
      </c>
      <c r="AD20" s="54">
        <v>1</v>
      </c>
      <c r="AE20" s="54">
        <v>1</v>
      </c>
      <c r="AF20" s="54"/>
      <c r="AG20" s="5">
        <f t="shared" si="2"/>
        <v>82</v>
      </c>
    </row>
    <row r="21" spans="1:33" ht="15.75" customHeight="1" x14ac:dyDescent="0.25">
      <c r="A21" s="56" t="s">
        <v>19</v>
      </c>
      <c r="B21" s="54">
        <v>4</v>
      </c>
      <c r="C21" s="54">
        <v>4</v>
      </c>
      <c r="D21" s="54">
        <v>0</v>
      </c>
      <c r="E21" s="54">
        <v>2</v>
      </c>
      <c r="F21" s="54">
        <v>4</v>
      </c>
      <c r="G21" s="54">
        <v>0</v>
      </c>
      <c r="H21" s="54">
        <v>5</v>
      </c>
      <c r="I21" s="54">
        <v>1</v>
      </c>
      <c r="J21" s="54">
        <v>2</v>
      </c>
      <c r="K21" s="54">
        <v>0</v>
      </c>
      <c r="L21" s="54">
        <v>2</v>
      </c>
      <c r="M21" s="54">
        <v>2</v>
      </c>
      <c r="N21" s="54">
        <v>0</v>
      </c>
      <c r="O21" s="54">
        <v>2</v>
      </c>
      <c r="P21" s="54">
        <v>1</v>
      </c>
      <c r="Q21" s="54">
        <v>3</v>
      </c>
      <c r="R21" s="54">
        <v>3</v>
      </c>
      <c r="S21" s="54">
        <v>0</v>
      </c>
      <c r="T21" s="54">
        <v>2</v>
      </c>
      <c r="U21" s="54">
        <v>3</v>
      </c>
      <c r="V21" s="54">
        <v>2</v>
      </c>
      <c r="W21" s="54">
        <v>0</v>
      </c>
      <c r="X21" s="54">
        <v>1</v>
      </c>
      <c r="Y21" s="54">
        <v>3</v>
      </c>
      <c r="Z21" s="54">
        <v>3</v>
      </c>
      <c r="AA21" s="54">
        <v>2</v>
      </c>
      <c r="AB21" s="54">
        <v>4</v>
      </c>
      <c r="AC21" s="54">
        <v>0</v>
      </c>
      <c r="AD21" s="54">
        <v>1</v>
      </c>
      <c r="AE21" s="54">
        <v>1</v>
      </c>
      <c r="AF21" s="54"/>
      <c r="AG21" s="5">
        <f t="shared" si="2"/>
        <v>57</v>
      </c>
    </row>
    <row r="22" spans="1:33" ht="15.75" customHeight="1" x14ac:dyDescent="0.25">
      <c r="A22" s="56" t="s">
        <v>20</v>
      </c>
      <c r="B22" s="54">
        <v>0</v>
      </c>
      <c r="C22" s="54">
        <v>1</v>
      </c>
      <c r="D22" s="54">
        <v>2</v>
      </c>
      <c r="E22" s="54">
        <v>3</v>
      </c>
      <c r="F22" s="54">
        <v>2</v>
      </c>
      <c r="G22" s="54">
        <v>0</v>
      </c>
      <c r="H22" s="54">
        <v>2</v>
      </c>
      <c r="I22" s="54">
        <v>0</v>
      </c>
      <c r="J22" s="54">
        <v>0</v>
      </c>
      <c r="K22" s="54">
        <v>1</v>
      </c>
      <c r="L22" s="54">
        <v>1</v>
      </c>
      <c r="M22" s="54">
        <v>2</v>
      </c>
      <c r="N22" s="54">
        <v>2</v>
      </c>
      <c r="O22" s="54">
        <v>1</v>
      </c>
      <c r="P22" s="54">
        <v>1</v>
      </c>
      <c r="Q22" s="54">
        <v>2</v>
      </c>
      <c r="R22" s="54">
        <v>3</v>
      </c>
      <c r="S22" s="54">
        <v>3</v>
      </c>
      <c r="T22" s="54">
        <v>4</v>
      </c>
      <c r="U22" s="54">
        <v>2</v>
      </c>
      <c r="V22" s="54">
        <v>1</v>
      </c>
      <c r="W22" s="54">
        <v>1</v>
      </c>
      <c r="X22" s="54">
        <v>0</v>
      </c>
      <c r="Y22" s="54">
        <v>2</v>
      </c>
      <c r="Z22" s="54">
        <v>3</v>
      </c>
      <c r="AA22" s="54">
        <v>0</v>
      </c>
      <c r="AB22" s="54">
        <v>1</v>
      </c>
      <c r="AC22" s="54">
        <v>1</v>
      </c>
      <c r="AD22" s="54">
        <v>1</v>
      </c>
      <c r="AE22" s="54">
        <v>2</v>
      </c>
      <c r="AF22" s="54"/>
      <c r="AG22" s="5">
        <f t="shared" si="2"/>
        <v>44</v>
      </c>
    </row>
    <row r="23" spans="1:33" ht="15.75" customHeight="1" x14ac:dyDescent="0.25">
      <c r="A23" s="56" t="s">
        <v>21</v>
      </c>
      <c r="B23" s="54">
        <v>1</v>
      </c>
      <c r="C23" s="54">
        <v>2</v>
      </c>
      <c r="D23" s="54">
        <v>0</v>
      </c>
      <c r="E23" s="54">
        <v>1</v>
      </c>
      <c r="F23" s="54">
        <v>0</v>
      </c>
      <c r="G23" s="54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1</v>
      </c>
      <c r="N23" s="54">
        <v>0</v>
      </c>
      <c r="O23" s="54">
        <v>0</v>
      </c>
      <c r="P23" s="54">
        <v>2</v>
      </c>
      <c r="Q23" s="54">
        <v>2</v>
      </c>
      <c r="R23" s="54">
        <v>2</v>
      </c>
      <c r="S23" s="54">
        <v>1</v>
      </c>
      <c r="T23" s="54">
        <v>1</v>
      </c>
      <c r="U23" s="54">
        <v>5</v>
      </c>
      <c r="V23" s="54">
        <v>2</v>
      </c>
      <c r="W23" s="54">
        <v>1</v>
      </c>
      <c r="X23" s="54">
        <v>1</v>
      </c>
      <c r="Y23" s="54">
        <v>1</v>
      </c>
      <c r="Z23" s="54">
        <v>0</v>
      </c>
      <c r="AA23" s="54">
        <v>0</v>
      </c>
      <c r="AB23" s="54">
        <v>0</v>
      </c>
      <c r="AC23" s="54">
        <v>1</v>
      </c>
      <c r="AD23" s="54">
        <v>1</v>
      </c>
      <c r="AE23" s="54">
        <v>0</v>
      </c>
      <c r="AF23" s="54"/>
      <c r="AG23" s="5">
        <f t="shared" si="2"/>
        <v>25</v>
      </c>
    </row>
    <row r="24" spans="1:33" ht="15.75" customHeight="1" x14ac:dyDescent="0.25">
      <c r="A24" s="56" t="s">
        <v>22</v>
      </c>
      <c r="B24" s="54">
        <v>0</v>
      </c>
      <c r="C24" s="54">
        <v>0</v>
      </c>
      <c r="D24" s="54">
        <v>0</v>
      </c>
      <c r="E24" s="54">
        <v>2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1</v>
      </c>
      <c r="L24" s="54">
        <v>0</v>
      </c>
      <c r="M24" s="54">
        <v>1</v>
      </c>
      <c r="N24" s="54">
        <v>1</v>
      </c>
      <c r="O24" s="54">
        <v>1</v>
      </c>
      <c r="P24" s="54">
        <v>0</v>
      </c>
      <c r="Q24" s="54">
        <v>1</v>
      </c>
      <c r="R24" s="54">
        <v>0</v>
      </c>
      <c r="S24" s="54">
        <v>1</v>
      </c>
      <c r="T24" s="54">
        <v>3</v>
      </c>
      <c r="U24" s="54">
        <v>0</v>
      </c>
      <c r="V24" s="54">
        <v>1</v>
      </c>
      <c r="W24" s="54">
        <v>1</v>
      </c>
      <c r="X24" s="54">
        <v>3</v>
      </c>
      <c r="Y24" s="54">
        <v>0</v>
      </c>
      <c r="Z24" s="54">
        <v>1</v>
      </c>
      <c r="AA24" s="54">
        <v>0</v>
      </c>
      <c r="AB24" s="54">
        <v>0</v>
      </c>
      <c r="AC24" s="54">
        <v>2</v>
      </c>
      <c r="AD24" s="54">
        <v>1</v>
      </c>
      <c r="AE24" s="54">
        <v>1</v>
      </c>
      <c r="AF24" s="54"/>
      <c r="AG24" s="5">
        <f t="shared" si="2"/>
        <v>21</v>
      </c>
    </row>
    <row r="25" spans="1:33" ht="15.75" customHeight="1" x14ac:dyDescent="0.25">
      <c r="A25" s="56" t="s">
        <v>23</v>
      </c>
      <c r="B25" s="54">
        <v>2</v>
      </c>
      <c r="C25" s="54">
        <v>2</v>
      </c>
      <c r="D25" s="54">
        <v>3</v>
      </c>
      <c r="E25" s="54">
        <v>2</v>
      </c>
      <c r="F25" s="54">
        <v>1</v>
      </c>
      <c r="G25" s="54">
        <v>0</v>
      </c>
      <c r="H25" s="54">
        <v>3</v>
      </c>
      <c r="I25" s="54">
        <v>1</v>
      </c>
      <c r="J25" s="54">
        <v>1</v>
      </c>
      <c r="K25" s="54">
        <v>1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1</v>
      </c>
      <c r="R25" s="54">
        <v>2</v>
      </c>
      <c r="S25" s="54">
        <v>1</v>
      </c>
      <c r="T25" s="54">
        <v>1</v>
      </c>
      <c r="U25" s="54">
        <v>0</v>
      </c>
      <c r="V25" s="54">
        <v>1</v>
      </c>
      <c r="W25" s="54">
        <v>0</v>
      </c>
      <c r="X25" s="54">
        <v>0</v>
      </c>
      <c r="Y25" s="54">
        <v>2</v>
      </c>
      <c r="Z25" s="54">
        <v>1</v>
      </c>
      <c r="AA25" s="54">
        <v>1</v>
      </c>
      <c r="AB25" s="54">
        <v>3</v>
      </c>
      <c r="AC25" s="54">
        <v>1</v>
      </c>
      <c r="AD25" s="54">
        <v>0</v>
      </c>
      <c r="AE25" s="54">
        <v>1</v>
      </c>
      <c r="AF25" s="54"/>
      <c r="AG25" s="5">
        <f t="shared" si="2"/>
        <v>31</v>
      </c>
    </row>
    <row r="26" spans="1:33" ht="15.75" customHeight="1" x14ac:dyDescent="0.25">
      <c r="A26" s="56" t="s">
        <v>24</v>
      </c>
      <c r="B26" s="54">
        <v>1</v>
      </c>
      <c r="C26" s="54">
        <v>0</v>
      </c>
      <c r="D26" s="54">
        <v>0</v>
      </c>
      <c r="E26" s="54">
        <v>0</v>
      </c>
      <c r="F26" s="54">
        <v>1</v>
      </c>
      <c r="G26" s="54">
        <v>0</v>
      </c>
      <c r="H26" s="54">
        <v>0</v>
      </c>
      <c r="I26" s="54">
        <v>0</v>
      </c>
      <c r="J26" s="54">
        <v>1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1</v>
      </c>
      <c r="Q26" s="54">
        <v>2</v>
      </c>
      <c r="R26" s="54">
        <v>1</v>
      </c>
      <c r="S26" s="54">
        <v>1</v>
      </c>
      <c r="T26" s="54">
        <v>3</v>
      </c>
      <c r="U26" s="54">
        <v>1</v>
      </c>
      <c r="V26" s="54">
        <v>1</v>
      </c>
      <c r="W26" s="54">
        <v>0</v>
      </c>
      <c r="X26" s="54">
        <v>1</v>
      </c>
      <c r="Y26" s="54">
        <v>1</v>
      </c>
      <c r="Z26" s="54">
        <v>0</v>
      </c>
      <c r="AA26" s="54">
        <v>2</v>
      </c>
      <c r="AB26" s="54">
        <v>2</v>
      </c>
      <c r="AC26" s="54">
        <v>0</v>
      </c>
      <c r="AD26" s="54">
        <v>1</v>
      </c>
      <c r="AE26" s="54">
        <v>1</v>
      </c>
      <c r="AF26" s="54"/>
      <c r="AG26" s="5">
        <f t="shared" si="2"/>
        <v>21</v>
      </c>
    </row>
    <row r="27" spans="1:33" ht="15.75" customHeight="1" thickBot="1" x14ac:dyDescent="0.3">
      <c r="A27" s="57" t="s">
        <v>25</v>
      </c>
      <c r="B27" s="58">
        <v>2</v>
      </c>
      <c r="C27" s="58">
        <v>0</v>
      </c>
      <c r="D27" s="58">
        <v>0</v>
      </c>
      <c r="E27" s="58">
        <v>0</v>
      </c>
      <c r="F27" s="58">
        <v>0</v>
      </c>
      <c r="G27" s="58">
        <v>0</v>
      </c>
      <c r="H27" s="58">
        <v>3</v>
      </c>
      <c r="I27" s="58">
        <v>1</v>
      </c>
      <c r="J27" s="58">
        <v>0</v>
      </c>
      <c r="K27" s="58">
        <v>0</v>
      </c>
      <c r="L27" s="58">
        <v>0</v>
      </c>
      <c r="M27" s="58">
        <v>0</v>
      </c>
      <c r="N27" s="58">
        <v>0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5</v>
      </c>
      <c r="V27" s="58">
        <v>1</v>
      </c>
      <c r="W27" s="58">
        <v>2</v>
      </c>
      <c r="X27" s="58">
        <v>0</v>
      </c>
      <c r="Y27" s="58">
        <v>0</v>
      </c>
      <c r="Z27" s="58">
        <v>0</v>
      </c>
      <c r="AA27" s="58">
        <v>1</v>
      </c>
      <c r="AB27" s="58">
        <v>0</v>
      </c>
      <c r="AC27" s="58">
        <v>2</v>
      </c>
      <c r="AD27" s="58">
        <v>1</v>
      </c>
      <c r="AE27" s="58">
        <v>0</v>
      </c>
      <c r="AF27" s="58"/>
      <c r="AG27" s="5">
        <f t="shared" si="2"/>
        <v>18</v>
      </c>
    </row>
    <row r="28" spans="1:33" ht="15.75" customHeight="1" x14ac:dyDescent="0.25">
      <c r="A28" s="59" t="s">
        <v>26</v>
      </c>
      <c r="B28" s="6">
        <f t="shared" ref="B28:AF28" si="3">SUM(B29:B52)</f>
        <v>176</v>
      </c>
      <c r="C28" s="6">
        <f t="shared" si="3"/>
        <v>123</v>
      </c>
      <c r="D28" s="6">
        <f t="shared" si="3"/>
        <v>118</v>
      </c>
      <c r="E28" s="6">
        <f t="shared" si="3"/>
        <v>124</v>
      </c>
      <c r="F28" s="6">
        <f t="shared" si="3"/>
        <v>125</v>
      </c>
      <c r="G28" s="6">
        <f t="shared" si="3"/>
        <v>103</v>
      </c>
      <c r="H28" s="6">
        <f t="shared" si="3"/>
        <v>174</v>
      </c>
      <c r="I28" s="6">
        <f t="shared" si="3"/>
        <v>157</v>
      </c>
      <c r="J28" s="6">
        <f t="shared" si="3"/>
        <v>140</v>
      </c>
      <c r="K28" s="6">
        <f t="shared" si="3"/>
        <v>113</v>
      </c>
      <c r="L28" s="6">
        <f t="shared" si="3"/>
        <v>105</v>
      </c>
      <c r="M28" s="6">
        <f t="shared" si="3"/>
        <v>86</v>
      </c>
      <c r="N28" s="6">
        <f t="shared" si="3"/>
        <v>117</v>
      </c>
      <c r="O28" s="6">
        <f t="shared" si="3"/>
        <v>146</v>
      </c>
      <c r="P28" s="6">
        <f t="shared" si="3"/>
        <v>140</v>
      </c>
      <c r="Q28" s="6">
        <f t="shared" si="3"/>
        <v>125</v>
      </c>
      <c r="R28" s="6">
        <f t="shared" si="3"/>
        <v>121</v>
      </c>
      <c r="S28" s="6">
        <f t="shared" si="3"/>
        <v>114</v>
      </c>
      <c r="T28" s="6">
        <f t="shared" si="3"/>
        <v>98</v>
      </c>
      <c r="U28" s="6">
        <f t="shared" si="3"/>
        <v>183</v>
      </c>
      <c r="V28" s="6">
        <f t="shared" si="3"/>
        <v>161</v>
      </c>
      <c r="W28" s="6">
        <f t="shared" si="3"/>
        <v>155</v>
      </c>
      <c r="X28" s="6">
        <f t="shared" si="3"/>
        <v>107</v>
      </c>
      <c r="Y28" s="6">
        <f t="shared" si="3"/>
        <v>122</v>
      </c>
      <c r="Z28" s="6">
        <f t="shared" si="3"/>
        <v>110</v>
      </c>
      <c r="AA28" s="6">
        <f t="shared" si="3"/>
        <v>100</v>
      </c>
      <c r="AB28" s="6">
        <f t="shared" si="3"/>
        <v>101</v>
      </c>
      <c r="AC28" s="6">
        <f t="shared" si="3"/>
        <v>146</v>
      </c>
      <c r="AD28" s="6">
        <f t="shared" si="3"/>
        <v>139</v>
      </c>
      <c r="AE28" s="6">
        <f t="shared" si="3"/>
        <v>92</v>
      </c>
      <c r="AF28" s="6">
        <f t="shared" si="3"/>
        <v>0</v>
      </c>
      <c r="AG28" s="7">
        <f t="shared" si="2"/>
        <v>3821</v>
      </c>
    </row>
    <row r="29" spans="1:33" ht="15.75" customHeight="1" x14ac:dyDescent="0.25">
      <c r="A29" s="53" t="s">
        <v>2</v>
      </c>
      <c r="B29" s="54">
        <v>3</v>
      </c>
      <c r="C29" s="55">
        <v>0</v>
      </c>
      <c r="D29" s="55">
        <v>0</v>
      </c>
      <c r="E29" s="55">
        <v>0</v>
      </c>
      <c r="F29" s="55">
        <v>0</v>
      </c>
      <c r="G29" s="55">
        <v>0</v>
      </c>
      <c r="H29" s="55">
        <v>6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5">
        <v>0</v>
      </c>
      <c r="O29" s="55">
        <v>3</v>
      </c>
      <c r="P29" s="55">
        <v>0</v>
      </c>
      <c r="Q29" s="55">
        <v>0</v>
      </c>
      <c r="R29" s="55">
        <v>0</v>
      </c>
      <c r="S29" s="55">
        <v>0</v>
      </c>
      <c r="T29" s="55">
        <v>0</v>
      </c>
      <c r="U29" s="55">
        <v>6</v>
      </c>
      <c r="V29" s="55">
        <v>1</v>
      </c>
      <c r="W29" s="55">
        <v>1</v>
      </c>
      <c r="X29" s="55">
        <v>0</v>
      </c>
      <c r="Y29" s="55">
        <v>0</v>
      </c>
      <c r="Z29" s="55">
        <v>0</v>
      </c>
      <c r="AA29" s="55">
        <v>0</v>
      </c>
      <c r="AB29" s="55">
        <v>0</v>
      </c>
      <c r="AC29" s="55">
        <v>5</v>
      </c>
      <c r="AD29" s="54">
        <v>0</v>
      </c>
      <c r="AE29" s="54">
        <v>0</v>
      </c>
      <c r="AF29" s="54"/>
      <c r="AG29" s="5">
        <f t="shared" si="2"/>
        <v>25</v>
      </c>
    </row>
    <row r="30" spans="1:33" ht="15.75" customHeight="1" x14ac:dyDescent="0.25">
      <c r="A30" s="56" t="s">
        <v>3</v>
      </c>
      <c r="B30" s="54">
        <v>4</v>
      </c>
      <c r="C30" s="54">
        <v>0</v>
      </c>
      <c r="D30" s="54">
        <v>0</v>
      </c>
      <c r="E30" s="54">
        <v>0</v>
      </c>
      <c r="F30" s="54">
        <v>0</v>
      </c>
      <c r="G30" s="54">
        <v>0</v>
      </c>
      <c r="H30" s="54">
        <v>8</v>
      </c>
      <c r="I30" s="54">
        <v>5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7</v>
      </c>
      <c r="P30" s="54">
        <v>1</v>
      </c>
      <c r="Q30" s="54">
        <v>0</v>
      </c>
      <c r="R30" s="54">
        <v>0</v>
      </c>
      <c r="S30" s="54">
        <v>0</v>
      </c>
      <c r="T30" s="54">
        <v>0</v>
      </c>
      <c r="U30" s="54">
        <v>6</v>
      </c>
      <c r="V30" s="54">
        <v>10</v>
      </c>
      <c r="W30" s="54">
        <v>8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7</v>
      </c>
      <c r="AD30" s="54">
        <v>4</v>
      </c>
      <c r="AE30" s="54">
        <v>0</v>
      </c>
      <c r="AF30" s="54"/>
      <c r="AG30" s="5">
        <f t="shared" si="2"/>
        <v>60</v>
      </c>
    </row>
    <row r="31" spans="1:33" ht="15.75" customHeight="1" x14ac:dyDescent="0.25">
      <c r="A31" s="56" t="s">
        <v>4</v>
      </c>
      <c r="B31" s="54">
        <v>14</v>
      </c>
      <c r="C31" s="54">
        <v>0</v>
      </c>
      <c r="D31" s="54">
        <v>0</v>
      </c>
      <c r="E31" s="54">
        <v>0</v>
      </c>
      <c r="F31" s="54">
        <v>0</v>
      </c>
      <c r="G31" s="54">
        <v>0</v>
      </c>
      <c r="H31" s="54">
        <v>8</v>
      </c>
      <c r="I31" s="54">
        <v>7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11</v>
      </c>
      <c r="P31" s="54">
        <v>6</v>
      </c>
      <c r="Q31" s="54">
        <v>0</v>
      </c>
      <c r="R31" s="54">
        <v>0</v>
      </c>
      <c r="S31" s="54">
        <v>0</v>
      </c>
      <c r="T31" s="54">
        <v>0</v>
      </c>
      <c r="U31" s="54">
        <v>6</v>
      </c>
      <c r="V31" s="54">
        <v>9</v>
      </c>
      <c r="W31" s="54">
        <v>8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7</v>
      </c>
      <c r="AD31" s="54">
        <v>4</v>
      </c>
      <c r="AE31" s="54">
        <v>0</v>
      </c>
      <c r="AF31" s="54"/>
      <c r="AG31" s="5">
        <f t="shared" si="2"/>
        <v>80</v>
      </c>
    </row>
    <row r="32" spans="1:33" ht="15.75" customHeight="1" x14ac:dyDescent="0.25">
      <c r="A32" s="56" t="s">
        <v>5</v>
      </c>
      <c r="B32" s="54">
        <v>5</v>
      </c>
      <c r="C32" s="54">
        <v>0</v>
      </c>
      <c r="D32" s="54">
        <v>0</v>
      </c>
      <c r="E32" s="54">
        <v>0</v>
      </c>
      <c r="F32" s="54">
        <v>0</v>
      </c>
      <c r="G32" s="54">
        <v>0</v>
      </c>
      <c r="H32" s="54">
        <v>11</v>
      </c>
      <c r="I32" s="54">
        <v>9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15</v>
      </c>
      <c r="P32" s="54">
        <v>13</v>
      </c>
      <c r="Q32" s="54">
        <v>0</v>
      </c>
      <c r="R32" s="54">
        <v>0</v>
      </c>
      <c r="S32" s="54">
        <v>0</v>
      </c>
      <c r="T32" s="54">
        <v>0</v>
      </c>
      <c r="U32" s="54">
        <v>15</v>
      </c>
      <c r="V32" s="54">
        <v>9</v>
      </c>
      <c r="W32" s="54">
        <v>12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9</v>
      </c>
      <c r="AD32" s="54">
        <v>9</v>
      </c>
      <c r="AE32" s="54">
        <v>0</v>
      </c>
      <c r="AF32" s="54"/>
      <c r="AG32" s="5">
        <f t="shared" si="2"/>
        <v>107</v>
      </c>
    </row>
    <row r="33" spans="1:33" ht="15.75" customHeight="1" x14ac:dyDescent="0.25">
      <c r="A33" s="56" t="s">
        <v>6</v>
      </c>
      <c r="B33" s="54">
        <v>15</v>
      </c>
      <c r="C33" s="54">
        <v>0</v>
      </c>
      <c r="D33" s="54">
        <v>0</v>
      </c>
      <c r="E33" s="54">
        <v>0</v>
      </c>
      <c r="F33" s="54">
        <v>0</v>
      </c>
      <c r="G33" s="54">
        <v>0</v>
      </c>
      <c r="H33" s="54">
        <v>13</v>
      </c>
      <c r="I33" s="54">
        <v>9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8</v>
      </c>
      <c r="P33" s="54">
        <v>9</v>
      </c>
      <c r="Q33" s="54">
        <v>0</v>
      </c>
      <c r="R33" s="54">
        <v>0</v>
      </c>
      <c r="S33" s="54">
        <v>0</v>
      </c>
      <c r="T33" s="54">
        <v>0</v>
      </c>
      <c r="U33" s="54">
        <v>13</v>
      </c>
      <c r="V33" s="54">
        <v>10</v>
      </c>
      <c r="W33" s="54">
        <v>9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10</v>
      </c>
      <c r="AD33" s="54">
        <v>9</v>
      </c>
      <c r="AE33" s="54">
        <v>0</v>
      </c>
      <c r="AF33" s="54"/>
      <c r="AG33" s="5">
        <f t="shared" si="2"/>
        <v>105</v>
      </c>
    </row>
    <row r="34" spans="1:33" ht="15.75" customHeight="1" x14ac:dyDescent="0.25">
      <c r="A34" s="56" t="s">
        <v>7</v>
      </c>
      <c r="B34" s="54">
        <v>13</v>
      </c>
      <c r="C34" s="54">
        <v>0</v>
      </c>
      <c r="D34" s="54">
        <v>0</v>
      </c>
      <c r="E34" s="54">
        <v>0</v>
      </c>
      <c r="F34" s="54">
        <v>0</v>
      </c>
      <c r="G34" s="54">
        <v>0</v>
      </c>
      <c r="H34" s="54">
        <v>9</v>
      </c>
      <c r="I34" s="54">
        <v>7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7</v>
      </c>
      <c r="P34" s="54">
        <v>6</v>
      </c>
      <c r="Q34" s="54">
        <v>0</v>
      </c>
      <c r="R34" s="54">
        <v>0</v>
      </c>
      <c r="S34" s="54">
        <v>0</v>
      </c>
      <c r="T34" s="54">
        <v>0</v>
      </c>
      <c r="U34" s="54">
        <v>5</v>
      </c>
      <c r="V34" s="54">
        <v>12</v>
      </c>
      <c r="W34" s="54">
        <v>7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9</v>
      </c>
      <c r="AD34" s="54">
        <v>11</v>
      </c>
      <c r="AE34" s="54">
        <v>0</v>
      </c>
      <c r="AF34" s="54"/>
      <c r="AG34" s="5">
        <f t="shared" si="2"/>
        <v>86</v>
      </c>
    </row>
    <row r="35" spans="1:33" ht="15.75" customHeight="1" x14ac:dyDescent="0.25">
      <c r="A35" s="56" t="s">
        <v>8</v>
      </c>
      <c r="B35" s="54">
        <v>2</v>
      </c>
      <c r="C35" s="54">
        <v>0</v>
      </c>
      <c r="D35" s="54">
        <v>0</v>
      </c>
      <c r="E35" s="54">
        <v>0</v>
      </c>
      <c r="F35" s="54">
        <v>0</v>
      </c>
      <c r="G35" s="54">
        <v>0</v>
      </c>
      <c r="H35" s="54">
        <v>12</v>
      </c>
      <c r="I35" s="54">
        <v>6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16</v>
      </c>
      <c r="P35" s="54">
        <v>11</v>
      </c>
      <c r="Q35" s="54">
        <v>0</v>
      </c>
      <c r="R35" s="54">
        <v>0</v>
      </c>
      <c r="S35" s="54">
        <v>0</v>
      </c>
      <c r="T35" s="54">
        <v>0</v>
      </c>
      <c r="U35" s="54">
        <v>17</v>
      </c>
      <c r="V35" s="54">
        <v>10</v>
      </c>
      <c r="W35" s="54">
        <v>13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10</v>
      </c>
      <c r="AD35" s="54">
        <v>8</v>
      </c>
      <c r="AE35" s="54">
        <v>0</v>
      </c>
      <c r="AF35" s="54"/>
      <c r="AG35" s="5">
        <f t="shared" si="2"/>
        <v>105</v>
      </c>
    </row>
    <row r="36" spans="1:33" ht="15.75" customHeight="1" x14ac:dyDescent="0.25">
      <c r="A36" s="56" t="s">
        <v>9</v>
      </c>
      <c r="B36" s="54">
        <v>7</v>
      </c>
      <c r="C36" s="54">
        <v>0</v>
      </c>
      <c r="D36" s="54">
        <v>0</v>
      </c>
      <c r="E36" s="54">
        <v>0</v>
      </c>
      <c r="F36" s="54">
        <v>0</v>
      </c>
      <c r="G36" s="54">
        <v>0</v>
      </c>
      <c r="H36" s="54">
        <v>10</v>
      </c>
      <c r="I36" s="54">
        <v>5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14</v>
      </c>
      <c r="P36" s="54">
        <v>4</v>
      </c>
      <c r="Q36" s="54">
        <v>0</v>
      </c>
      <c r="R36" s="54">
        <v>0</v>
      </c>
      <c r="S36" s="54">
        <v>0</v>
      </c>
      <c r="T36" s="54">
        <v>0</v>
      </c>
      <c r="U36" s="54">
        <v>15</v>
      </c>
      <c r="V36" s="54">
        <v>15</v>
      </c>
      <c r="W36" s="54">
        <v>8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12</v>
      </c>
      <c r="AD36" s="54">
        <v>12</v>
      </c>
      <c r="AE36" s="54">
        <v>0</v>
      </c>
      <c r="AF36" s="54"/>
      <c r="AG36" s="5">
        <f t="shared" si="2"/>
        <v>102</v>
      </c>
    </row>
    <row r="37" spans="1:33" ht="15.75" customHeight="1" x14ac:dyDescent="0.25">
      <c r="A37" s="56" t="s">
        <v>10</v>
      </c>
      <c r="B37" s="54">
        <v>15</v>
      </c>
      <c r="C37" s="54">
        <v>0</v>
      </c>
      <c r="D37" s="54">
        <v>0</v>
      </c>
      <c r="E37" s="54">
        <v>0</v>
      </c>
      <c r="F37" s="54">
        <v>0</v>
      </c>
      <c r="G37" s="54">
        <v>3</v>
      </c>
      <c r="H37" s="54">
        <v>10</v>
      </c>
      <c r="I37" s="54">
        <v>10</v>
      </c>
      <c r="J37" s="54">
        <v>0</v>
      </c>
      <c r="K37" s="54">
        <v>0</v>
      </c>
      <c r="L37" s="54">
        <v>0</v>
      </c>
      <c r="M37" s="54">
        <v>0</v>
      </c>
      <c r="N37" s="54">
        <v>6</v>
      </c>
      <c r="O37" s="54">
        <v>15</v>
      </c>
      <c r="P37" s="54">
        <v>14</v>
      </c>
      <c r="Q37" s="54">
        <v>0</v>
      </c>
      <c r="R37" s="54">
        <v>0</v>
      </c>
      <c r="S37" s="54">
        <v>0</v>
      </c>
      <c r="T37" s="54">
        <v>0</v>
      </c>
      <c r="U37" s="54">
        <v>15</v>
      </c>
      <c r="V37" s="54">
        <v>14</v>
      </c>
      <c r="W37" s="54">
        <v>13</v>
      </c>
      <c r="X37" s="54">
        <v>0</v>
      </c>
      <c r="Y37" s="54">
        <v>0</v>
      </c>
      <c r="Z37" s="54">
        <v>0</v>
      </c>
      <c r="AA37" s="54">
        <v>0</v>
      </c>
      <c r="AB37" s="54">
        <v>6</v>
      </c>
      <c r="AC37" s="54">
        <v>8</v>
      </c>
      <c r="AD37" s="54">
        <v>12</v>
      </c>
      <c r="AE37" s="54">
        <v>0</v>
      </c>
      <c r="AF37" s="54"/>
      <c r="AG37" s="5">
        <f t="shared" si="2"/>
        <v>141</v>
      </c>
    </row>
    <row r="38" spans="1:33" ht="15.75" customHeight="1" x14ac:dyDescent="0.25">
      <c r="A38" s="56" t="s">
        <v>11</v>
      </c>
      <c r="B38" s="54">
        <v>18</v>
      </c>
      <c r="C38" s="54">
        <v>9</v>
      </c>
      <c r="D38" s="54">
        <v>9</v>
      </c>
      <c r="E38" s="54">
        <v>12</v>
      </c>
      <c r="F38" s="54">
        <v>0</v>
      </c>
      <c r="G38" s="54">
        <v>13</v>
      </c>
      <c r="H38" s="54">
        <v>9</v>
      </c>
      <c r="I38" s="54">
        <v>22</v>
      </c>
      <c r="J38" s="54">
        <v>16</v>
      </c>
      <c r="K38" s="54">
        <v>8</v>
      </c>
      <c r="L38" s="54">
        <v>5</v>
      </c>
      <c r="M38" s="54">
        <v>8</v>
      </c>
      <c r="N38" s="54">
        <v>17</v>
      </c>
      <c r="O38" s="54">
        <v>9</v>
      </c>
      <c r="P38" s="54">
        <v>15</v>
      </c>
      <c r="Q38" s="54">
        <v>13</v>
      </c>
      <c r="R38" s="54">
        <v>8</v>
      </c>
      <c r="S38" s="54">
        <v>6</v>
      </c>
      <c r="T38" s="54">
        <v>2</v>
      </c>
      <c r="U38" s="54">
        <v>17</v>
      </c>
      <c r="V38" s="54">
        <v>10</v>
      </c>
      <c r="W38" s="54">
        <v>11</v>
      </c>
      <c r="X38" s="54">
        <v>13</v>
      </c>
      <c r="Y38" s="54">
        <v>9</v>
      </c>
      <c r="Z38" s="54">
        <v>6</v>
      </c>
      <c r="AA38" s="54">
        <v>7</v>
      </c>
      <c r="AB38" s="54">
        <v>8</v>
      </c>
      <c r="AC38" s="54">
        <v>12</v>
      </c>
      <c r="AD38" s="54">
        <v>20</v>
      </c>
      <c r="AE38" s="54">
        <v>7</v>
      </c>
      <c r="AF38" s="54"/>
      <c r="AG38" s="5">
        <f t="shared" si="2"/>
        <v>319</v>
      </c>
    </row>
    <row r="39" spans="1:33" ht="15.75" customHeight="1" x14ac:dyDescent="0.25">
      <c r="A39" s="56" t="s">
        <v>12</v>
      </c>
      <c r="B39" s="54">
        <v>18</v>
      </c>
      <c r="C39" s="54">
        <v>18</v>
      </c>
      <c r="D39" s="54">
        <v>15</v>
      </c>
      <c r="E39" s="54">
        <v>26</v>
      </c>
      <c r="F39" s="54">
        <v>33</v>
      </c>
      <c r="G39" s="54">
        <v>14</v>
      </c>
      <c r="H39" s="54">
        <v>15</v>
      </c>
      <c r="I39" s="54">
        <v>17</v>
      </c>
      <c r="J39" s="54">
        <v>17</v>
      </c>
      <c r="K39" s="54">
        <v>21</v>
      </c>
      <c r="L39" s="54">
        <v>16</v>
      </c>
      <c r="M39" s="54">
        <v>16</v>
      </c>
      <c r="N39" s="54">
        <v>18</v>
      </c>
      <c r="O39" s="54">
        <v>7</v>
      </c>
      <c r="P39" s="54">
        <v>14</v>
      </c>
      <c r="Q39" s="54">
        <v>19</v>
      </c>
      <c r="R39" s="54">
        <v>17</v>
      </c>
      <c r="S39" s="54">
        <v>18</v>
      </c>
      <c r="T39" s="54">
        <v>28</v>
      </c>
      <c r="U39" s="54">
        <v>13</v>
      </c>
      <c r="V39" s="54">
        <v>15</v>
      </c>
      <c r="W39" s="54">
        <v>14</v>
      </c>
      <c r="X39" s="54">
        <v>25</v>
      </c>
      <c r="Y39" s="54">
        <v>25</v>
      </c>
      <c r="Z39" s="54">
        <v>14</v>
      </c>
      <c r="AA39" s="54">
        <v>26</v>
      </c>
      <c r="AB39" s="54">
        <v>23</v>
      </c>
      <c r="AC39" s="54">
        <v>18</v>
      </c>
      <c r="AD39" s="54">
        <v>13</v>
      </c>
      <c r="AE39" s="54">
        <v>16</v>
      </c>
      <c r="AF39" s="54"/>
      <c r="AG39" s="5">
        <f t="shared" si="2"/>
        <v>549</v>
      </c>
    </row>
    <row r="40" spans="1:33" ht="15.75" customHeight="1" x14ac:dyDescent="0.25">
      <c r="A40" s="56" t="s">
        <v>13</v>
      </c>
      <c r="B40" s="54">
        <v>14</v>
      </c>
      <c r="C40" s="54">
        <v>17</v>
      </c>
      <c r="D40" s="54">
        <v>22</v>
      </c>
      <c r="E40" s="54">
        <v>18</v>
      </c>
      <c r="F40" s="54">
        <v>25</v>
      </c>
      <c r="G40" s="54">
        <v>15</v>
      </c>
      <c r="H40" s="54">
        <v>12</v>
      </c>
      <c r="I40" s="54">
        <v>18</v>
      </c>
      <c r="J40" s="54">
        <v>29</v>
      </c>
      <c r="K40" s="54">
        <v>25</v>
      </c>
      <c r="L40" s="54">
        <v>28</v>
      </c>
      <c r="M40" s="54">
        <v>20</v>
      </c>
      <c r="N40" s="54">
        <v>23</v>
      </c>
      <c r="O40" s="54">
        <v>5</v>
      </c>
      <c r="P40" s="54">
        <v>8</v>
      </c>
      <c r="Q40" s="54">
        <v>16</v>
      </c>
      <c r="R40" s="54">
        <v>23</v>
      </c>
      <c r="S40" s="54">
        <v>15</v>
      </c>
      <c r="T40" s="54">
        <v>20</v>
      </c>
      <c r="U40" s="54">
        <v>13</v>
      </c>
      <c r="V40" s="54">
        <v>10</v>
      </c>
      <c r="W40" s="54">
        <v>13</v>
      </c>
      <c r="X40" s="54">
        <v>12</v>
      </c>
      <c r="Y40" s="54">
        <v>22</v>
      </c>
      <c r="Z40" s="54">
        <v>18</v>
      </c>
      <c r="AA40" s="54">
        <v>10</v>
      </c>
      <c r="AB40" s="54">
        <v>20</v>
      </c>
      <c r="AC40" s="54">
        <v>8</v>
      </c>
      <c r="AD40" s="54">
        <v>11</v>
      </c>
      <c r="AE40" s="54">
        <v>18</v>
      </c>
      <c r="AF40" s="54"/>
      <c r="AG40" s="5">
        <f t="shared" si="2"/>
        <v>508</v>
      </c>
    </row>
    <row r="41" spans="1:33" ht="15.75" customHeight="1" x14ac:dyDescent="0.25">
      <c r="A41" s="56" t="s">
        <v>14</v>
      </c>
      <c r="B41" s="54">
        <v>15</v>
      </c>
      <c r="C41" s="54">
        <v>16</v>
      </c>
      <c r="D41" s="54">
        <v>16</v>
      </c>
      <c r="E41" s="54">
        <v>20</v>
      </c>
      <c r="F41" s="54">
        <v>14</v>
      </c>
      <c r="G41" s="54">
        <v>16</v>
      </c>
      <c r="H41" s="54">
        <v>10</v>
      </c>
      <c r="I41" s="54">
        <v>9</v>
      </c>
      <c r="J41" s="54">
        <v>21</v>
      </c>
      <c r="K41" s="54">
        <v>20</v>
      </c>
      <c r="L41" s="54">
        <v>17</v>
      </c>
      <c r="M41" s="54">
        <v>15</v>
      </c>
      <c r="N41" s="54">
        <v>23</v>
      </c>
      <c r="O41" s="54">
        <v>4</v>
      </c>
      <c r="P41" s="54">
        <v>7</v>
      </c>
      <c r="Q41" s="54">
        <v>19</v>
      </c>
      <c r="R41" s="54">
        <v>16</v>
      </c>
      <c r="S41" s="54">
        <v>21</v>
      </c>
      <c r="T41" s="54">
        <v>10</v>
      </c>
      <c r="U41" s="54">
        <v>9</v>
      </c>
      <c r="V41" s="54">
        <v>14</v>
      </c>
      <c r="W41" s="54">
        <v>11</v>
      </c>
      <c r="X41" s="54">
        <v>21</v>
      </c>
      <c r="Y41" s="54">
        <v>19</v>
      </c>
      <c r="Z41" s="54">
        <v>20</v>
      </c>
      <c r="AA41" s="54">
        <v>13</v>
      </c>
      <c r="AB41" s="54">
        <v>17</v>
      </c>
      <c r="AC41" s="54">
        <v>6</v>
      </c>
      <c r="AD41" s="54">
        <v>9</v>
      </c>
      <c r="AE41" s="54">
        <v>25</v>
      </c>
      <c r="AF41" s="54"/>
      <c r="AG41" s="5">
        <f t="shared" si="2"/>
        <v>453</v>
      </c>
    </row>
    <row r="42" spans="1:33" ht="15.75" customHeight="1" x14ac:dyDescent="0.25">
      <c r="A42" s="56" t="s">
        <v>15</v>
      </c>
      <c r="B42" s="54">
        <v>8</v>
      </c>
      <c r="C42" s="54">
        <v>21</v>
      </c>
      <c r="D42" s="54">
        <v>14</v>
      </c>
      <c r="E42" s="54">
        <v>16</v>
      </c>
      <c r="F42" s="54">
        <v>11</v>
      </c>
      <c r="G42" s="54">
        <v>13</v>
      </c>
      <c r="H42" s="54">
        <v>7</v>
      </c>
      <c r="I42" s="54">
        <v>12</v>
      </c>
      <c r="J42" s="54">
        <v>14</v>
      </c>
      <c r="K42" s="54">
        <v>9</v>
      </c>
      <c r="L42" s="54">
        <v>16</v>
      </c>
      <c r="M42" s="54">
        <v>6</v>
      </c>
      <c r="N42" s="54">
        <v>8</v>
      </c>
      <c r="O42" s="54">
        <v>3</v>
      </c>
      <c r="P42" s="54">
        <v>10</v>
      </c>
      <c r="Q42" s="54">
        <v>6</v>
      </c>
      <c r="R42" s="54">
        <v>9</v>
      </c>
      <c r="S42" s="54">
        <v>22</v>
      </c>
      <c r="T42" s="54">
        <v>11</v>
      </c>
      <c r="U42" s="54">
        <v>13</v>
      </c>
      <c r="V42" s="54">
        <v>2</v>
      </c>
      <c r="W42" s="54">
        <v>8</v>
      </c>
      <c r="X42" s="54">
        <v>19</v>
      </c>
      <c r="Y42" s="54">
        <v>14</v>
      </c>
      <c r="Z42" s="54">
        <v>13</v>
      </c>
      <c r="AA42" s="54">
        <v>12</v>
      </c>
      <c r="AB42" s="54">
        <v>8</v>
      </c>
      <c r="AC42" s="54">
        <v>6</v>
      </c>
      <c r="AD42" s="54">
        <v>7</v>
      </c>
      <c r="AE42" s="54">
        <v>7</v>
      </c>
      <c r="AF42" s="54"/>
      <c r="AG42" s="5">
        <f t="shared" si="2"/>
        <v>325</v>
      </c>
    </row>
    <row r="43" spans="1:33" ht="15.75" customHeight="1" x14ac:dyDescent="0.25">
      <c r="A43" s="56" t="s">
        <v>16</v>
      </c>
      <c r="B43" s="54">
        <v>10</v>
      </c>
      <c r="C43" s="54">
        <v>8</v>
      </c>
      <c r="D43" s="54">
        <v>11</v>
      </c>
      <c r="E43" s="54">
        <v>12</v>
      </c>
      <c r="F43" s="54">
        <v>13</v>
      </c>
      <c r="G43" s="54">
        <v>9</v>
      </c>
      <c r="H43" s="54">
        <v>6</v>
      </c>
      <c r="I43" s="54">
        <v>5</v>
      </c>
      <c r="J43" s="54">
        <v>9</v>
      </c>
      <c r="K43" s="54">
        <v>14</v>
      </c>
      <c r="L43" s="54">
        <v>9</v>
      </c>
      <c r="M43" s="54">
        <v>6</v>
      </c>
      <c r="N43" s="54">
        <v>10</v>
      </c>
      <c r="O43" s="54">
        <v>7</v>
      </c>
      <c r="P43" s="54">
        <v>7</v>
      </c>
      <c r="Q43" s="54">
        <v>13</v>
      </c>
      <c r="R43" s="54">
        <v>14</v>
      </c>
      <c r="S43" s="54">
        <v>13</v>
      </c>
      <c r="T43" s="54">
        <v>5</v>
      </c>
      <c r="U43" s="54">
        <v>2</v>
      </c>
      <c r="V43" s="54">
        <v>3</v>
      </c>
      <c r="W43" s="54">
        <v>6</v>
      </c>
      <c r="X43" s="54">
        <v>5</v>
      </c>
      <c r="Y43" s="54">
        <v>6</v>
      </c>
      <c r="Z43" s="54">
        <v>17</v>
      </c>
      <c r="AA43" s="54">
        <v>6</v>
      </c>
      <c r="AB43" s="54">
        <v>7</v>
      </c>
      <c r="AC43" s="54">
        <v>3</v>
      </c>
      <c r="AD43" s="54">
        <v>3</v>
      </c>
      <c r="AE43" s="54">
        <v>4</v>
      </c>
      <c r="AF43" s="54"/>
      <c r="AG43" s="5">
        <f t="shared" si="2"/>
        <v>243</v>
      </c>
    </row>
    <row r="44" spans="1:33" ht="15.75" customHeight="1" x14ac:dyDescent="0.25">
      <c r="A44" s="56" t="s">
        <v>17</v>
      </c>
      <c r="B44" s="54">
        <v>1</v>
      </c>
      <c r="C44" s="54">
        <v>0</v>
      </c>
      <c r="D44" s="54">
        <v>7</v>
      </c>
      <c r="E44" s="54">
        <v>4</v>
      </c>
      <c r="F44" s="54">
        <v>5</v>
      </c>
      <c r="G44" s="54">
        <v>7</v>
      </c>
      <c r="H44" s="54">
        <v>8</v>
      </c>
      <c r="I44" s="54">
        <v>9</v>
      </c>
      <c r="J44" s="54">
        <v>9</v>
      </c>
      <c r="K44" s="54">
        <v>8</v>
      </c>
      <c r="L44" s="54">
        <v>4</v>
      </c>
      <c r="M44" s="54">
        <v>4</v>
      </c>
      <c r="N44" s="54">
        <v>5</v>
      </c>
      <c r="O44" s="54">
        <v>7</v>
      </c>
      <c r="P44" s="54">
        <v>8</v>
      </c>
      <c r="Q44" s="54">
        <v>4</v>
      </c>
      <c r="R44" s="54">
        <v>6</v>
      </c>
      <c r="S44" s="54">
        <v>5</v>
      </c>
      <c r="T44" s="54">
        <v>3</v>
      </c>
      <c r="U44" s="54">
        <v>3</v>
      </c>
      <c r="V44" s="54">
        <v>4</v>
      </c>
      <c r="W44" s="54">
        <v>7</v>
      </c>
      <c r="X44" s="54">
        <v>5</v>
      </c>
      <c r="Y44" s="54">
        <v>11</v>
      </c>
      <c r="Z44" s="54">
        <v>9</v>
      </c>
      <c r="AA44" s="54">
        <v>3</v>
      </c>
      <c r="AB44" s="54">
        <v>0</v>
      </c>
      <c r="AC44" s="54">
        <v>5</v>
      </c>
      <c r="AD44" s="54">
        <v>2</v>
      </c>
      <c r="AE44" s="54">
        <v>6</v>
      </c>
      <c r="AF44" s="54"/>
      <c r="AG44" s="5">
        <f t="shared" si="2"/>
        <v>159</v>
      </c>
    </row>
    <row r="45" spans="1:33" ht="15.75" customHeight="1" x14ac:dyDescent="0.25">
      <c r="A45" s="56" t="s">
        <v>18</v>
      </c>
      <c r="B45" s="54">
        <v>5</v>
      </c>
      <c r="C45" s="54">
        <v>12</v>
      </c>
      <c r="D45" s="54">
        <v>5</v>
      </c>
      <c r="E45" s="54">
        <v>4</v>
      </c>
      <c r="F45" s="54">
        <v>6</v>
      </c>
      <c r="G45" s="54">
        <v>8</v>
      </c>
      <c r="H45" s="54">
        <v>6</v>
      </c>
      <c r="I45" s="54">
        <v>0</v>
      </c>
      <c r="J45" s="54">
        <v>8</v>
      </c>
      <c r="K45" s="54">
        <v>2</v>
      </c>
      <c r="L45" s="54">
        <v>6</v>
      </c>
      <c r="M45" s="54">
        <v>5</v>
      </c>
      <c r="N45" s="54">
        <v>4</v>
      </c>
      <c r="O45" s="54">
        <v>4</v>
      </c>
      <c r="P45" s="54">
        <v>2</v>
      </c>
      <c r="Q45" s="54">
        <v>8</v>
      </c>
      <c r="R45" s="54">
        <v>8</v>
      </c>
      <c r="S45" s="54">
        <v>4</v>
      </c>
      <c r="T45" s="54">
        <v>4</v>
      </c>
      <c r="U45" s="54">
        <v>2</v>
      </c>
      <c r="V45" s="54">
        <v>4</v>
      </c>
      <c r="W45" s="54">
        <v>2</v>
      </c>
      <c r="X45" s="54">
        <v>1</v>
      </c>
      <c r="Y45" s="54">
        <v>3</v>
      </c>
      <c r="Z45" s="54">
        <v>3</v>
      </c>
      <c r="AA45" s="54">
        <v>9</v>
      </c>
      <c r="AB45" s="54">
        <v>0</v>
      </c>
      <c r="AC45" s="54">
        <v>3</v>
      </c>
      <c r="AD45" s="54">
        <v>1</v>
      </c>
      <c r="AE45" s="54">
        <v>3</v>
      </c>
      <c r="AF45" s="54"/>
      <c r="AG45" s="5">
        <f t="shared" si="2"/>
        <v>132</v>
      </c>
    </row>
    <row r="46" spans="1:33" ht="15.75" customHeight="1" x14ac:dyDescent="0.25">
      <c r="A46" s="56" t="s">
        <v>19</v>
      </c>
      <c r="B46" s="54">
        <v>2</v>
      </c>
      <c r="C46" s="54">
        <v>7</v>
      </c>
      <c r="D46" s="54">
        <v>4</v>
      </c>
      <c r="E46" s="54">
        <v>2</v>
      </c>
      <c r="F46" s="54">
        <v>14</v>
      </c>
      <c r="G46" s="54">
        <v>5</v>
      </c>
      <c r="H46" s="54">
        <v>6</v>
      </c>
      <c r="I46" s="54">
        <v>3</v>
      </c>
      <c r="J46" s="54">
        <v>14</v>
      </c>
      <c r="K46" s="54">
        <v>3</v>
      </c>
      <c r="L46" s="54">
        <v>3</v>
      </c>
      <c r="M46" s="54">
        <v>2</v>
      </c>
      <c r="N46" s="54">
        <v>0</v>
      </c>
      <c r="O46" s="54">
        <v>1</v>
      </c>
      <c r="P46" s="54">
        <v>0</v>
      </c>
      <c r="Q46" s="54">
        <v>10</v>
      </c>
      <c r="R46" s="54">
        <v>9</v>
      </c>
      <c r="S46" s="54">
        <v>0</v>
      </c>
      <c r="T46" s="54">
        <v>2</v>
      </c>
      <c r="U46" s="54">
        <v>3</v>
      </c>
      <c r="V46" s="54">
        <v>2</v>
      </c>
      <c r="W46" s="54">
        <v>0</v>
      </c>
      <c r="X46" s="54">
        <v>1</v>
      </c>
      <c r="Y46" s="54">
        <v>7</v>
      </c>
      <c r="Z46" s="54">
        <v>3</v>
      </c>
      <c r="AA46" s="54">
        <v>8</v>
      </c>
      <c r="AB46" s="54">
        <v>1</v>
      </c>
      <c r="AC46" s="54">
        <v>1</v>
      </c>
      <c r="AD46" s="54">
        <v>1</v>
      </c>
      <c r="AE46" s="54">
        <v>1</v>
      </c>
      <c r="AF46" s="54"/>
      <c r="AG46" s="5">
        <f t="shared" si="2"/>
        <v>115</v>
      </c>
    </row>
    <row r="47" spans="1:33" ht="15.75" customHeight="1" x14ac:dyDescent="0.25">
      <c r="A47" s="56" t="s">
        <v>20</v>
      </c>
      <c r="B47" s="54">
        <v>3</v>
      </c>
      <c r="C47" s="54">
        <v>8</v>
      </c>
      <c r="D47" s="54">
        <v>10</v>
      </c>
      <c r="E47" s="54">
        <v>1</v>
      </c>
      <c r="F47" s="54">
        <v>2</v>
      </c>
      <c r="G47" s="54">
        <v>0</v>
      </c>
      <c r="H47" s="54">
        <v>5</v>
      </c>
      <c r="I47" s="54">
        <v>2</v>
      </c>
      <c r="J47" s="54">
        <v>1</v>
      </c>
      <c r="K47" s="54">
        <v>1</v>
      </c>
      <c r="L47" s="54">
        <v>1</v>
      </c>
      <c r="M47" s="54">
        <v>2</v>
      </c>
      <c r="N47" s="54">
        <v>2</v>
      </c>
      <c r="O47" s="54">
        <v>2</v>
      </c>
      <c r="P47" s="54">
        <v>2</v>
      </c>
      <c r="Q47" s="54">
        <v>10</v>
      </c>
      <c r="R47" s="54">
        <v>4</v>
      </c>
      <c r="S47" s="54">
        <v>5</v>
      </c>
      <c r="T47" s="54">
        <v>4</v>
      </c>
      <c r="U47" s="54">
        <v>1</v>
      </c>
      <c r="V47" s="54">
        <v>1</v>
      </c>
      <c r="W47" s="54">
        <v>1</v>
      </c>
      <c r="X47" s="54">
        <v>0</v>
      </c>
      <c r="Y47" s="54">
        <v>2</v>
      </c>
      <c r="Z47" s="54">
        <v>5</v>
      </c>
      <c r="AA47" s="54">
        <v>1</v>
      </c>
      <c r="AB47" s="54">
        <v>5</v>
      </c>
      <c r="AC47" s="54">
        <v>1</v>
      </c>
      <c r="AD47" s="54">
        <v>1</v>
      </c>
      <c r="AE47" s="54">
        <v>2</v>
      </c>
      <c r="AF47" s="54"/>
      <c r="AG47" s="5">
        <f t="shared" si="2"/>
        <v>85</v>
      </c>
    </row>
    <row r="48" spans="1:33" ht="15.75" customHeight="1" x14ac:dyDescent="0.25">
      <c r="A48" s="56" t="s">
        <v>21</v>
      </c>
      <c r="B48" s="54">
        <v>1</v>
      </c>
      <c r="C48" s="54">
        <v>4</v>
      </c>
      <c r="D48" s="54">
        <v>2</v>
      </c>
      <c r="E48" s="54">
        <v>5</v>
      </c>
      <c r="F48" s="54">
        <v>0</v>
      </c>
      <c r="G48" s="54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2</v>
      </c>
      <c r="Q48" s="54">
        <v>3</v>
      </c>
      <c r="R48" s="54">
        <v>4</v>
      </c>
      <c r="S48" s="54">
        <v>1</v>
      </c>
      <c r="T48" s="54">
        <v>0</v>
      </c>
      <c r="U48" s="54">
        <v>4</v>
      </c>
      <c r="V48" s="54">
        <v>2</v>
      </c>
      <c r="W48" s="54">
        <v>0</v>
      </c>
      <c r="X48" s="54">
        <v>1</v>
      </c>
      <c r="Y48" s="54">
        <v>1</v>
      </c>
      <c r="Z48" s="54">
        <v>0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54"/>
      <c r="AG48" s="5">
        <f t="shared" si="2"/>
        <v>30</v>
      </c>
    </row>
    <row r="49" spans="1:33" ht="15.75" customHeight="1" x14ac:dyDescent="0.25">
      <c r="A49" s="56" t="s">
        <v>22</v>
      </c>
      <c r="B49" s="54">
        <v>0</v>
      </c>
      <c r="C49" s="54">
        <v>1</v>
      </c>
      <c r="D49" s="54">
        <v>0</v>
      </c>
      <c r="E49" s="54">
        <v>2</v>
      </c>
      <c r="F49" s="54">
        <v>0</v>
      </c>
      <c r="G49" s="54">
        <v>0</v>
      </c>
      <c r="H49" s="54">
        <v>0</v>
      </c>
      <c r="I49" s="54">
        <v>0</v>
      </c>
      <c r="J49" s="54">
        <v>0</v>
      </c>
      <c r="K49" s="54">
        <v>1</v>
      </c>
      <c r="L49" s="54">
        <v>0</v>
      </c>
      <c r="M49" s="54">
        <v>2</v>
      </c>
      <c r="N49" s="54">
        <v>1</v>
      </c>
      <c r="O49" s="54">
        <v>1</v>
      </c>
      <c r="P49" s="54">
        <v>0</v>
      </c>
      <c r="Q49" s="54">
        <v>1</v>
      </c>
      <c r="R49" s="54">
        <v>1</v>
      </c>
      <c r="S49" s="54">
        <v>2</v>
      </c>
      <c r="T49" s="54">
        <v>4</v>
      </c>
      <c r="U49" s="54">
        <v>3</v>
      </c>
      <c r="V49" s="54">
        <v>1</v>
      </c>
      <c r="W49" s="54">
        <v>2</v>
      </c>
      <c r="X49" s="54">
        <v>0</v>
      </c>
      <c r="Y49" s="54">
        <v>0</v>
      </c>
      <c r="Z49" s="54">
        <v>0</v>
      </c>
      <c r="AA49" s="54">
        <v>0</v>
      </c>
      <c r="AB49" s="54">
        <v>1</v>
      </c>
      <c r="AC49" s="54">
        <v>2</v>
      </c>
      <c r="AD49" s="54">
        <v>0</v>
      </c>
      <c r="AE49" s="54">
        <v>1</v>
      </c>
      <c r="AF49" s="54"/>
      <c r="AG49" s="5">
        <f t="shared" si="2"/>
        <v>26</v>
      </c>
    </row>
    <row r="50" spans="1:33" ht="15.75" customHeight="1" x14ac:dyDescent="0.25">
      <c r="A50" s="56" t="s">
        <v>23</v>
      </c>
      <c r="B50" s="54">
        <v>1</v>
      </c>
      <c r="C50" s="54">
        <v>1</v>
      </c>
      <c r="D50" s="54">
        <v>1</v>
      </c>
      <c r="E50" s="54">
        <v>2</v>
      </c>
      <c r="F50" s="54">
        <v>1</v>
      </c>
      <c r="G50" s="54">
        <v>0</v>
      </c>
      <c r="H50" s="54">
        <v>3</v>
      </c>
      <c r="I50" s="54">
        <v>1</v>
      </c>
      <c r="J50" s="54">
        <v>0</v>
      </c>
      <c r="K50" s="54">
        <v>1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1</v>
      </c>
      <c r="R50" s="54">
        <v>0</v>
      </c>
      <c r="S50" s="54">
        <v>0</v>
      </c>
      <c r="T50" s="54">
        <v>0</v>
      </c>
      <c r="U50" s="54">
        <v>0</v>
      </c>
      <c r="V50" s="54">
        <v>0</v>
      </c>
      <c r="W50" s="54">
        <v>0</v>
      </c>
      <c r="X50" s="54">
        <v>3</v>
      </c>
      <c r="Y50" s="54">
        <v>1</v>
      </c>
      <c r="Z50" s="54">
        <v>2</v>
      </c>
      <c r="AA50" s="54">
        <v>0</v>
      </c>
      <c r="AB50" s="54">
        <v>2</v>
      </c>
      <c r="AC50" s="54">
        <v>2</v>
      </c>
      <c r="AD50" s="54">
        <v>1</v>
      </c>
      <c r="AE50" s="54">
        <v>0</v>
      </c>
      <c r="AF50" s="54"/>
      <c r="AG50" s="5">
        <f t="shared" si="2"/>
        <v>23</v>
      </c>
    </row>
    <row r="51" spans="1:33" ht="15.75" customHeight="1" x14ac:dyDescent="0.25">
      <c r="A51" s="56" t="s">
        <v>24</v>
      </c>
      <c r="B51" s="54">
        <v>2</v>
      </c>
      <c r="C51" s="54">
        <v>1</v>
      </c>
      <c r="D51" s="54">
        <v>2</v>
      </c>
      <c r="E51" s="54">
        <v>0</v>
      </c>
      <c r="F51" s="54">
        <v>1</v>
      </c>
      <c r="G51" s="54">
        <v>0</v>
      </c>
      <c r="H51" s="54">
        <v>0</v>
      </c>
      <c r="I51" s="54">
        <v>0</v>
      </c>
      <c r="J51" s="54">
        <v>2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1</v>
      </c>
      <c r="Q51" s="54">
        <v>2</v>
      </c>
      <c r="R51" s="54">
        <v>2</v>
      </c>
      <c r="S51" s="54">
        <v>1</v>
      </c>
      <c r="T51" s="54">
        <v>2</v>
      </c>
      <c r="U51" s="54">
        <v>1</v>
      </c>
      <c r="V51" s="54">
        <v>1</v>
      </c>
      <c r="W51" s="54">
        <v>0</v>
      </c>
      <c r="X51" s="54">
        <v>1</v>
      </c>
      <c r="Y51" s="54">
        <v>2</v>
      </c>
      <c r="Z51" s="54">
        <v>0</v>
      </c>
      <c r="AA51" s="54">
        <v>1</v>
      </c>
      <c r="AB51" s="54">
        <v>2</v>
      </c>
      <c r="AC51" s="54">
        <v>0</v>
      </c>
      <c r="AD51" s="54">
        <v>1</v>
      </c>
      <c r="AE51" s="54">
        <v>1</v>
      </c>
      <c r="AF51" s="54"/>
      <c r="AG51" s="5">
        <f t="shared" si="2"/>
        <v>26</v>
      </c>
    </row>
    <row r="52" spans="1:33" ht="15.75" customHeight="1" thickBot="1" x14ac:dyDescent="0.3">
      <c r="A52" s="57" t="s">
        <v>25</v>
      </c>
      <c r="B52" s="58">
        <v>0</v>
      </c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1</v>
      </c>
      <c r="J52" s="58">
        <v>0</v>
      </c>
      <c r="K52" s="58">
        <v>0</v>
      </c>
      <c r="L52" s="58">
        <v>0</v>
      </c>
      <c r="M52" s="58">
        <v>0</v>
      </c>
      <c r="N52" s="58">
        <v>0</v>
      </c>
      <c r="O52" s="58">
        <v>0</v>
      </c>
      <c r="P52" s="58">
        <v>0</v>
      </c>
      <c r="Q52" s="58">
        <v>0</v>
      </c>
      <c r="R52" s="58">
        <v>0</v>
      </c>
      <c r="S52" s="58">
        <v>1</v>
      </c>
      <c r="T52" s="58">
        <v>3</v>
      </c>
      <c r="U52" s="58">
        <v>1</v>
      </c>
      <c r="V52" s="58">
        <v>2</v>
      </c>
      <c r="W52" s="58">
        <v>1</v>
      </c>
      <c r="X52" s="58">
        <v>0</v>
      </c>
      <c r="Y52" s="58">
        <v>0</v>
      </c>
      <c r="Z52" s="58">
        <v>0</v>
      </c>
      <c r="AA52" s="58">
        <v>4</v>
      </c>
      <c r="AB52" s="58">
        <v>1</v>
      </c>
      <c r="AC52" s="58">
        <v>2</v>
      </c>
      <c r="AD52" s="60">
        <v>0</v>
      </c>
      <c r="AE52" s="60">
        <v>1</v>
      </c>
      <c r="AF52" s="60"/>
      <c r="AG52" s="9">
        <f t="shared" si="2"/>
        <v>17</v>
      </c>
    </row>
    <row r="53" spans="1:33" ht="15.75" customHeight="1" thickBot="1" x14ac:dyDescent="0.3">
      <c r="A53" s="52" t="s">
        <v>27</v>
      </c>
      <c r="B53" s="1">
        <f t="shared" ref="B53:AF53" si="4">SUM(B54:B77)</f>
        <v>19</v>
      </c>
      <c r="C53" s="1">
        <f t="shared" si="4"/>
        <v>8</v>
      </c>
      <c r="D53" s="1">
        <f t="shared" si="4"/>
        <v>11</v>
      </c>
      <c r="E53" s="1">
        <f t="shared" si="4"/>
        <v>4</v>
      </c>
      <c r="F53" s="1">
        <f t="shared" si="4"/>
        <v>5</v>
      </c>
      <c r="G53" s="1">
        <f t="shared" si="4"/>
        <v>11</v>
      </c>
      <c r="H53" s="1">
        <f t="shared" si="4"/>
        <v>10</v>
      </c>
      <c r="I53" s="1">
        <f t="shared" si="4"/>
        <v>10</v>
      </c>
      <c r="J53" s="1">
        <f t="shared" si="4"/>
        <v>6</v>
      </c>
      <c r="K53" s="1">
        <f t="shared" si="4"/>
        <v>9</v>
      </c>
      <c r="L53" s="1">
        <f t="shared" si="4"/>
        <v>13</v>
      </c>
      <c r="M53" s="1">
        <f t="shared" si="4"/>
        <v>0</v>
      </c>
      <c r="N53" s="1">
        <f t="shared" si="4"/>
        <v>3</v>
      </c>
      <c r="O53" s="1">
        <f t="shared" si="4"/>
        <v>2</v>
      </c>
      <c r="P53" s="1">
        <f t="shared" si="4"/>
        <v>0</v>
      </c>
      <c r="Q53" s="1">
        <f t="shared" si="4"/>
        <v>10</v>
      </c>
      <c r="R53" s="1">
        <f t="shared" si="4"/>
        <v>11</v>
      </c>
      <c r="S53" s="1">
        <f t="shared" si="4"/>
        <v>9</v>
      </c>
      <c r="T53" s="1">
        <f t="shared" si="4"/>
        <v>0</v>
      </c>
      <c r="U53" s="1">
        <f t="shared" si="4"/>
        <v>5</v>
      </c>
      <c r="V53" s="1">
        <f t="shared" si="4"/>
        <v>7</v>
      </c>
      <c r="W53" s="1">
        <f t="shared" si="4"/>
        <v>7</v>
      </c>
      <c r="X53" s="1">
        <f t="shared" si="4"/>
        <v>8</v>
      </c>
      <c r="Y53" s="1">
        <f t="shared" si="4"/>
        <v>6</v>
      </c>
      <c r="Z53" s="1">
        <f t="shared" si="4"/>
        <v>10</v>
      </c>
      <c r="AA53" s="1">
        <f t="shared" si="4"/>
        <v>6</v>
      </c>
      <c r="AB53" s="1">
        <f t="shared" si="4"/>
        <v>8</v>
      </c>
      <c r="AC53" s="1">
        <f t="shared" si="4"/>
        <v>2</v>
      </c>
      <c r="AD53" s="1">
        <f t="shared" si="4"/>
        <v>4</v>
      </c>
      <c r="AE53" s="1">
        <f t="shared" si="4"/>
        <v>2</v>
      </c>
      <c r="AF53" s="1">
        <f t="shared" si="4"/>
        <v>0</v>
      </c>
      <c r="AG53" s="10">
        <f t="shared" si="2"/>
        <v>206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/>
      <c r="AG54" s="4">
        <f t="shared" si="2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/>
      <c r="AG55" s="5">
        <f t="shared" si="2"/>
        <v>0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/>
      <c r="AG56" s="5">
        <f t="shared" si="2"/>
        <v>0</v>
      </c>
    </row>
    <row r="57" spans="1:33" ht="15.75" customHeight="1" x14ac:dyDescent="0.25">
      <c r="A57" s="56" t="s">
        <v>5</v>
      </c>
      <c r="B57" s="54">
        <v>1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1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/>
      <c r="AG57" s="5">
        <f t="shared" si="2"/>
        <v>2</v>
      </c>
    </row>
    <row r="58" spans="1:33" ht="15.75" customHeight="1" x14ac:dyDescent="0.25">
      <c r="A58" s="56" t="s">
        <v>6</v>
      </c>
      <c r="B58" s="54">
        <v>1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1</v>
      </c>
      <c r="I58" s="54">
        <v>1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/>
      <c r="AG58" s="5">
        <f t="shared" si="2"/>
        <v>3</v>
      </c>
    </row>
    <row r="59" spans="1:33" ht="15.75" customHeight="1" x14ac:dyDescent="0.25">
      <c r="A59" s="56" t="s">
        <v>7</v>
      </c>
      <c r="B59" s="54">
        <v>1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/>
      <c r="AG59" s="5">
        <f t="shared" si="2"/>
        <v>1</v>
      </c>
    </row>
    <row r="60" spans="1:33" ht="15.75" customHeight="1" x14ac:dyDescent="0.25">
      <c r="A60" s="56" t="s">
        <v>8</v>
      </c>
      <c r="B60" s="54">
        <v>1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1</v>
      </c>
      <c r="AD60" s="54">
        <v>1</v>
      </c>
      <c r="AE60" s="54">
        <v>0</v>
      </c>
      <c r="AF60" s="54"/>
      <c r="AG60" s="5">
        <f t="shared" si="2"/>
        <v>3</v>
      </c>
    </row>
    <row r="61" spans="1:33" ht="15.75" customHeight="1" x14ac:dyDescent="0.25">
      <c r="A61" s="56" t="s">
        <v>9</v>
      </c>
      <c r="B61" s="54">
        <v>4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1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2</v>
      </c>
      <c r="V61" s="54">
        <v>1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54"/>
      <c r="AG61" s="5">
        <f t="shared" si="2"/>
        <v>8</v>
      </c>
    </row>
    <row r="62" spans="1:33" ht="15.75" customHeight="1" x14ac:dyDescent="0.25">
      <c r="A62" s="56" t="s">
        <v>10</v>
      </c>
      <c r="B62" s="54">
        <v>2</v>
      </c>
      <c r="C62" s="54">
        <v>0</v>
      </c>
      <c r="D62" s="54">
        <v>0</v>
      </c>
      <c r="E62" s="54">
        <v>0</v>
      </c>
      <c r="F62" s="54">
        <v>0</v>
      </c>
      <c r="G62" s="54">
        <v>1</v>
      </c>
      <c r="H62" s="54">
        <v>1</v>
      </c>
      <c r="I62" s="54">
        <v>5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2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1</v>
      </c>
      <c r="AE62" s="54">
        <v>0</v>
      </c>
      <c r="AF62" s="54"/>
      <c r="AG62" s="5">
        <f t="shared" si="2"/>
        <v>12</v>
      </c>
    </row>
    <row r="63" spans="1:33" ht="15.75" customHeight="1" x14ac:dyDescent="0.25">
      <c r="A63" s="56" t="s">
        <v>11</v>
      </c>
      <c r="B63" s="54">
        <v>3</v>
      </c>
      <c r="C63" s="54">
        <v>2</v>
      </c>
      <c r="D63" s="54">
        <v>0</v>
      </c>
      <c r="E63" s="54">
        <v>0</v>
      </c>
      <c r="F63" s="54">
        <v>0</v>
      </c>
      <c r="G63" s="54">
        <v>0</v>
      </c>
      <c r="H63" s="54">
        <v>0</v>
      </c>
      <c r="I63" s="54">
        <v>0</v>
      </c>
      <c r="J63" s="54">
        <v>1</v>
      </c>
      <c r="K63" s="54">
        <v>1</v>
      </c>
      <c r="L63" s="54">
        <v>1</v>
      </c>
      <c r="M63" s="54">
        <v>0</v>
      </c>
      <c r="N63" s="54">
        <v>1</v>
      </c>
      <c r="O63" s="54">
        <v>1</v>
      </c>
      <c r="P63" s="54">
        <v>0</v>
      </c>
      <c r="Q63" s="54">
        <v>3</v>
      </c>
      <c r="R63" s="54">
        <v>0</v>
      </c>
      <c r="S63" s="54">
        <v>1</v>
      </c>
      <c r="T63" s="54">
        <v>0</v>
      </c>
      <c r="U63" s="54">
        <v>0</v>
      </c>
      <c r="V63" s="54">
        <v>1</v>
      </c>
      <c r="W63" s="54">
        <v>0</v>
      </c>
      <c r="X63" s="54">
        <v>1</v>
      </c>
      <c r="Y63" s="54">
        <v>1</v>
      </c>
      <c r="Z63" s="54">
        <v>0</v>
      </c>
      <c r="AA63" s="54">
        <v>2</v>
      </c>
      <c r="AB63" s="54">
        <v>1</v>
      </c>
      <c r="AC63" s="54">
        <v>1</v>
      </c>
      <c r="AD63" s="54">
        <v>0</v>
      </c>
      <c r="AE63" s="54">
        <v>0</v>
      </c>
      <c r="AF63" s="54"/>
      <c r="AG63" s="5">
        <f t="shared" si="2"/>
        <v>21</v>
      </c>
    </row>
    <row r="64" spans="1:33" ht="15.75" customHeight="1" x14ac:dyDescent="0.25">
      <c r="A64" s="56" t="s">
        <v>12</v>
      </c>
      <c r="B64" s="54">
        <v>1</v>
      </c>
      <c r="C64" s="54">
        <v>1</v>
      </c>
      <c r="D64" s="54">
        <v>4</v>
      </c>
      <c r="E64" s="54">
        <v>1</v>
      </c>
      <c r="F64" s="54">
        <v>0</v>
      </c>
      <c r="G64" s="54">
        <v>0</v>
      </c>
      <c r="H64" s="54">
        <v>0</v>
      </c>
      <c r="I64" s="54">
        <v>2</v>
      </c>
      <c r="J64" s="54">
        <v>1</v>
      </c>
      <c r="K64" s="54">
        <v>2</v>
      </c>
      <c r="L64" s="54">
        <v>3</v>
      </c>
      <c r="M64" s="54">
        <v>0</v>
      </c>
      <c r="N64" s="54">
        <v>1</v>
      </c>
      <c r="O64" s="54">
        <v>0</v>
      </c>
      <c r="P64" s="54">
        <v>0</v>
      </c>
      <c r="Q64" s="54">
        <v>0</v>
      </c>
      <c r="R64" s="54">
        <v>0</v>
      </c>
      <c r="S64" s="54">
        <v>3</v>
      </c>
      <c r="T64" s="54">
        <v>0</v>
      </c>
      <c r="U64" s="54">
        <v>1</v>
      </c>
      <c r="V64" s="54">
        <v>2</v>
      </c>
      <c r="W64" s="54">
        <v>3</v>
      </c>
      <c r="X64" s="54">
        <v>0</v>
      </c>
      <c r="Y64" s="54">
        <v>0</v>
      </c>
      <c r="Z64" s="54">
        <v>3</v>
      </c>
      <c r="AA64" s="54">
        <v>0</v>
      </c>
      <c r="AB64" s="54">
        <v>3</v>
      </c>
      <c r="AC64" s="54">
        <v>0</v>
      </c>
      <c r="AD64" s="54">
        <v>1</v>
      </c>
      <c r="AE64" s="54">
        <v>2</v>
      </c>
      <c r="AF64" s="54"/>
      <c r="AG64" s="5">
        <f t="shared" si="2"/>
        <v>34</v>
      </c>
    </row>
    <row r="65" spans="1:33" ht="15.75" customHeight="1" x14ac:dyDescent="0.25">
      <c r="A65" s="56" t="s">
        <v>13</v>
      </c>
      <c r="B65" s="54">
        <v>2</v>
      </c>
      <c r="C65" s="54">
        <v>0</v>
      </c>
      <c r="D65" s="54">
        <v>0</v>
      </c>
      <c r="E65" s="54">
        <v>0</v>
      </c>
      <c r="F65" s="54">
        <v>0</v>
      </c>
      <c r="G65" s="54">
        <v>3</v>
      </c>
      <c r="H65" s="54">
        <v>1</v>
      </c>
      <c r="I65" s="54">
        <v>1</v>
      </c>
      <c r="J65" s="54">
        <v>0</v>
      </c>
      <c r="K65" s="54">
        <v>0</v>
      </c>
      <c r="L65" s="54">
        <v>4</v>
      </c>
      <c r="M65" s="54">
        <v>0</v>
      </c>
      <c r="N65" s="54">
        <v>1</v>
      </c>
      <c r="O65" s="54">
        <v>0</v>
      </c>
      <c r="P65" s="54">
        <v>0</v>
      </c>
      <c r="Q65" s="54">
        <v>3</v>
      </c>
      <c r="R65" s="54">
        <v>2</v>
      </c>
      <c r="S65" s="54">
        <v>0</v>
      </c>
      <c r="T65" s="54">
        <v>0</v>
      </c>
      <c r="U65" s="54">
        <v>1</v>
      </c>
      <c r="V65" s="54">
        <v>2</v>
      </c>
      <c r="W65" s="54">
        <v>1</v>
      </c>
      <c r="X65" s="54">
        <v>1</v>
      </c>
      <c r="Y65" s="54">
        <v>3</v>
      </c>
      <c r="Z65" s="54">
        <v>1</v>
      </c>
      <c r="AA65" s="54">
        <v>1</v>
      </c>
      <c r="AB65" s="54">
        <v>2</v>
      </c>
      <c r="AC65" s="54">
        <v>0</v>
      </c>
      <c r="AD65" s="54">
        <v>0</v>
      </c>
      <c r="AE65" s="54">
        <v>0</v>
      </c>
      <c r="AF65" s="54"/>
      <c r="AG65" s="5">
        <f t="shared" si="2"/>
        <v>29</v>
      </c>
    </row>
    <row r="66" spans="1:33" ht="15.75" customHeight="1" x14ac:dyDescent="0.25">
      <c r="A66" s="56" t="s">
        <v>14</v>
      </c>
      <c r="B66" s="54">
        <v>2</v>
      </c>
      <c r="C66" s="54">
        <v>0</v>
      </c>
      <c r="D66" s="54">
        <v>1</v>
      </c>
      <c r="E66" s="54">
        <v>1</v>
      </c>
      <c r="F66" s="54">
        <v>0</v>
      </c>
      <c r="G66" s="54">
        <v>1</v>
      </c>
      <c r="H66" s="54">
        <v>1</v>
      </c>
      <c r="I66" s="54">
        <v>0</v>
      </c>
      <c r="J66" s="54">
        <v>3</v>
      </c>
      <c r="K66" s="54">
        <v>5</v>
      </c>
      <c r="L66" s="54">
        <v>4</v>
      </c>
      <c r="M66" s="54">
        <v>0</v>
      </c>
      <c r="N66" s="54">
        <v>0</v>
      </c>
      <c r="O66" s="54">
        <v>1</v>
      </c>
      <c r="P66" s="54">
        <v>0</v>
      </c>
      <c r="Q66" s="54">
        <v>2</v>
      </c>
      <c r="R66" s="54">
        <v>1</v>
      </c>
      <c r="S66" s="54">
        <v>2</v>
      </c>
      <c r="T66" s="54">
        <v>0</v>
      </c>
      <c r="U66" s="54">
        <v>0</v>
      </c>
      <c r="V66" s="54">
        <v>0</v>
      </c>
      <c r="W66" s="54">
        <v>0</v>
      </c>
      <c r="X66" s="54">
        <v>4</v>
      </c>
      <c r="Y66" s="54">
        <v>1</v>
      </c>
      <c r="Z66" s="54">
        <v>0</v>
      </c>
      <c r="AA66" s="54">
        <v>1</v>
      </c>
      <c r="AB66" s="54">
        <v>1</v>
      </c>
      <c r="AC66" s="54">
        <v>0</v>
      </c>
      <c r="AD66" s="54">
        <v>0</v>
      </c>
      <c r="AE66" s="54">
        <v>0</v>
      </c>
      <c r="AF66" s="54"/>
      <c r="AG66" s="5">
        <f t="shared" si="2"/>
        <v>31</v>
      </c>
    </row>
    <row r="67" spans="1:33" ht="15.75" customHeight="1" x14ac:dyDescent="0.25">
      <c r="A67" s="56" t="s">
        <v>15</v>
      </c>
      <c r="B67" s="54">
        <v>1</v>
      </c>
      <c r="C67" s="54">
        <v>1</v>
      </c>
      <c r="D67" s="54">
        <v>0</v>
      </c>
      <c r="E67" s="54">
        <v>1</v>
      </c>
      <c r="F67" s="54">
        <v>3</v>
      </c>
      <c r="G67" s="54">
        <v>2</v>
      </c>
      <c r="H67" s="54">
        <v>0</v>
      </c>
      <c r="I67" s="54">
        <v>0</v>
      </c>
      <c r="J67" s="54">
        <v>1</v>
      </c>
      <c r="K67" s="54">
        <v>0</v>
      </c>
      <c r="L67" s="54">
        <v>1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54">
        <v>2</v>
      </c>
      <c r="T67" s="54">
        <v>0</v>
      </c>
      <c r="U67" s="54">
        <v>1</v>
      </c>
      <c r="V67" s="54">
        <v>0</v>
      </c>
      <c r="W67" s="54">
        <v>1</v>
      </c>
      <c r="X67" s="54">
        <v>2</v>
      </c>
      <c r="Y67" s="54">
        <v>1</v>
      </c>
      <c r="Z67" s="54">
        <v>1</v>
      </c>
      <c r="AA67" s="54">
        <v>1</v>
      </c>
      <c r="AB67" s="54">
        <v>0</v>
      </c>
      <c r="AC67" s="54">
        <v>0</v>
      </c>
      <c r="AD67" s="54">
        <v>0</v>
      </c>
      <c r="AE67" s="54">
        <v>0</v>
      </c>
      <c r="AF67" s="54"/>
      <c r="AG67" s="5">
        <f t="shared" ref="AG67:AG98" si="5">SUM(B67:AF67)</f>
        <v>19</v>
      </c>
    </row>
    <row r="68" spans="1:33" ht="15.75" customHeight="1" x14ac:dyDescent="0.25">
      <c r="A68" s="56" t="s">
        <v>16</v>
      </c>
      <c r="B68" s="54">
        <v>0</v>
      </c>
      <c r="C68" s="54">
        <v>1</v>
      </c>
      <c r="D68" s="54">
        <v>5</v>
      </c>
      <c r="E68" s="54">
        <v>1</v>
      </c>
      <c r="F68" s="54">
        <v>1</v>
      </c>
      <c r="G68" s="54">
        <v>4</v>
      </c>
      <c r="H68" s="54">
        <v>0</v>
      </c>
      <c r="I68" s="54">
        <v>0</v>
      </c>
      <c r="J68" s="54">
        <v>0</v>
      </c>
      <c r="K68" s="54">
        <v>1</v>
      </c>
      <c r="L68" s="54">
        <v>0</v>
      </c>
      <c r="M68" s="54">
        <v>0</v>
      </c>
      <c r="N68" s="54">
        <v>0</v>
      </c>
      <c r="O68" s="54">
        <v>0</v>
      </c>
      <c r="P68" s="54">
        <v>0</v>
      </c>
      <c r="Q68" s="54">
        <v>0</v>
      </c>
      <c r="R68" s="54">
        <v>5</v>
      </c>
      <c r="S68" s="54">
        <v>1</v>
      </c>
      <c r="T68" s="54">
        <v>0</v>
      </c>
      <c r="U68" s="54">
        <v>0</v>
      </c>
      <c r="V68" s="54">
        <v>0</v>
      </c>
      <c r="W68" s="54">
        <v>0</v>
      </c>
      <c r="X68" s="54">
        <v>0</v>
      </c>
      <c r="Y68" s="54">
        <v>0</v>
      </c>
      <c r="Z68" s="54">
        <v>3</v>
      </c>
      <c r="AA68" s="54">
        <v>0</v>
      </c>
      <c r="AB68" s="54">
        <v>0</v>
      </c>
      <c r="AC68" s="54">
        <v>0</v>
      </c>
      <c r="AD68" s="54">
        <v>0</v>
      </c>
      <c r="AE68" s="54">
        <v>0</v>
      </c>
      <c r="AF68" s="54"/>
      <c r="AG68" s="5">
        <f t="shared" si="5"/>
        <v>22</v>
      </c>
    </row>
    <row r="69" spans="1:33" ht="15.75" customHeight="1" x14ac:dyDescent="0.25">
      <c r="A69" s="56" t="s">
        <v>17</v>
      </c>
      <c r="B69" s="54">
        <v>0</v>
      </c>
      <c r="C69" s="54">
        <v>0</v>
      </c>
      <c r="D69" s="54">
        <v>0</v>
      </c>
      <c r="E69" s="54">
        <v>0</v>
      </c>
      <c r="F69" s="54">
        <v>0</v>
      </c>
      <c r="G69" s="54">
        <v>0</v>
      </c>
      <c r="H69" s="54">
        <v>0</v>
      </c>
      <c r="I69" s="54">
        <v>0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  <c r="S69" s="54">
        <v>0</v>
      </c>
      <c r="T69" s="54">
        <v>0</v>
      </c>
      <c r="U69" s="54">
        <v>0</v>
      </c>
      <c r="V69" s="54">
        <v>0</v>
      </c>
      <c r="W69" s="54">
        <v>0</v>
      </c>
      <c r="X69" s="54">
        <v>0</v>
      </c>
      <c r="Y69" s="54">
        <v>0</v>
      </c>
      <c r="Z69" s="54">
        <v>2</v>
      </c>
      <c r="AA69" s="54">
        <v>0</v>
      </c>
      <c r="AB69" s="54">
        <v>0</v>
      </c>
      <c r="AC69" s="54">
        <v>0</v>
      </c>
      <c r="AD69" s="54">
        <v>0</v>
      </c>
      <c r="AE69" s="54">
        <v>0</v>
      </c>
      <c r="AF69" s="54"/>
      <c r="AG69" s="5">
        <f t="shared" si="5"/>
        <v>3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0</v>
      </c>
      <c r="E70" s="54">
        <v>0</v>
      </c>
      <c r="F70" s="54">
        <v>1</v>
      </c>
      <c r="G70" s="54">
        <v>0</v>
      </c>
      <c r="H70" s="54">
        <v>4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0</v>
      </c>
      <c r="Y70" s="54">
        <v>0</v>
      </c>
      <c r="Z70" s="54">
        <v>0</v>
      </c>
      <c r="AA70" s="54">
        <v>0</v>
      </c>
      <c r="AB70" s="54">
        <v>0</v>
      </c>
      <c r="AC70" s="54">
        <v>0</v>
      </c>
      <c r="AD70" s="55">
        <v>0</v>
      </c>
      <c r="AE70" s="55">
        <v>0</v>
      </c>
      <c r="AF70" s="55"/>
      <c r="AG70" s="5">
        <f t="shared" si="5"/>
        <v>6</v>
      </c>
    </row>
    <row r="71" spans="1:33" ht="15.75" customHeight="1" x14ac:dyDescent="0.25">
      <c r="A71" s="56" t="s">
        <v>19</v>
      </c>
      <c r="B71" s="54">
        <v>0</v>
      </c>
      <c r="C71" s="54">
        <v>1</v>
      </c>
      <c r="D71" s="54">
        <v>0</v>
      </c>
      <c r="E71" s="54">
        <v>0</v>
      </c>
      <c r="F71" s="54">
        <v>0</v>
      </c>
      <c r="G71" s="54">
        <v>0</v>
      </c>
      <c r="H71" s="54">
        <v>2</v>
      </c>
      <c r="I71" s="54">
        <v>0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2</v>
      </c>
      <c r="R71" s="54">
        <v>0</v>
      </c>
      <c r="S71" s="54">
        <v>0</v>
      </c>
      <c r="T71" s="54">
        <v>0</v>
      </c>
      <c r="U71" s="54">
        <v>0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>
        <v>0</v>
      </c>
      <c r="AE71" s="55">
        <v>0</v>
      </c>
      <c r="AF71" s="55"/>
      <c r="AG71" s="5">
        <f t="shared" si="5"/>
        <v>5</v>
      </c>
    </row>
    <row r="72" spans="1:33" ht="15.75" customHeight="1" x14ac:dyDescent="0.25">
      <c r="A72" s="56" t="s">
        <v>20</v>
      </c>
      <c r="B72" s="54">
        <v>0</v>
      </c>
      <c r="C72" s="54">
        <v>2</v>
      </c>
      <c r="D72" s="54">
        <v>1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1</v>
      </c>
      <c r="AC72" s="54">
        <v>0</v>
      </c>
      <c r="AD72" s="55">
        <v>0</v>
      </c>
      <c r="AE72" s="55">
        <v>0</v>
      </c>
      <c r="AF72" s="55"/>
      <c r="AG72" s="5">
        <f t="shared" si="5"/>
        <v>4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/>
      <c r="AG73" s="5">
        <f t="shared" si="5"/>
        <v>0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/>
      <c r="AG74" s="5">
        <f t="shared" si="5"/>
        <v>0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1</v>
      </c>
      <c r="AB75" s="54">
        <v>0</v>
      </c>
      <c r="AC75" s="54">
        <v>0</v>
      </c>
      <c r="AD75" s="55">
        <v>0</v>
      </c>
      <c r="AE75" s="55">
        <v>0</v>
      </c>
      <c r="AF75" s="55"/>
      <c r="AG75" s="5">
        <f t="shared" si="5"/>
        <v>2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1</v>
      </c>
      <c r="AE76" s="55">
        <v>0</v>
      </c>
      <c r="AF76" s="55"/>
      <c r="AG76" s="5">
        <f t="shared" si="5"/>
        <v>1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/>
      <c r="AD77" s="62">
        <v>0</v>
      </c>
      <c r="AE77" s="62">
        <v>0</v>
      </c>
      <c r="AF77" s="62"/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195</v>
      </c>
      <c r="C78" s="11">
        <f t="shared" si="6"/>
        <v>131</v>
      </c>
      <c r="D78" s="11">
        <f t="shared" si="6"/>
        <v>129</v>
      </c>
      <c r="E78" s="11">
        <f t="shared" si="6"/>
        <v>128</v>
      </c>
      <c r="F78" s="11">
        <f t="shared" si="6"/>
        <v>130</v>
      </c>
      <c r="G78" s="11">
        <f t="shared" si="6"/>
        <v>114</v>
      </c>
      <c r="H78" s="11">
        <f t="shared" si="6"/>
        <v>184</v>
      </c>
      <c r="I78" s="11">
        <f t="shared" si="6"/>
        <v>167</v>
      </c>
      <c r="J78" s="11">
        <f t="shared" si="6"/>
        <v>146</v>
      </c>
      <c r="K78" s="11">
        <f t="shared" si="6"/>
        <v>122</v>
      </c>
      <c r="L78" s="11">
        <f t="shared" si="6"/>
        <v>118</v>
      </c>
      <c r="M78" s="11">
        <f t="shared" si="6"/>
        <v>86</v>
      </c>
      <c r="N78" s="11">
        <f t="shared" si="6"/>
        <v>120</v>
      </c>
      <c r="O78" s="11">
        <f t="shared" si="6"/>
        <v>148</v>
      </c>
      <c r="P78" s="11">
        <f t="shared" si="6"/>
        <v>140</v>
      </c>
      <c r="Q78" s="11">
        <f t="shared" si="6"/>
        <v>135</v>
      </c>
      <c r="R78" s="11">
        <f t="shared" si="6"/>
        <v>132</v>
      </c>
      <c r="S78" s="11">
        <f t="shared" si="6"/>
        <v>123</v>
      </c>
      <c r="T78" s="11">
        <f t="shared" si="6"/>
        <v>98</v>
      </c>
      <c r="U78" s="11">
        <f t="shared" si="6"/>
        <v>188</v>
      </c>
      <c r="V78" s="11">
        <f t="shared" si="6"/>
        <v>168</v>
      </c>
      <c r="W78" s="11">
        <f t="shared" si="6"/>
        <v>162</v>
      </c>
      <c r="X78" s="11">
        <f t="shared" si="6"/>
        <v>115</v>
      </c>
      <c r="Y78" s="11">
        <f t="shared" si="6"/>
        <v>128</v>
      </c>
      <c r="Z78" s="11">
        <f t="shared" si="6"/>
        <v>120</v>
      </c>
      <c r="AA78" s="11">
        <f t="shared" si="6"/>
        <v>106</v>
      </c>
      <c r="AB78" s="11">
        <f t="shared" si="6"/>
        <v>109</v>
      </c>
      <c r="AC78" s="11">
        <f t="shared" si="6"/>
        <v>148</v>
      </c>
      <c r="AD78" s="11">
        <f t="shared" si="6"/>
        <v>143</v>
      </c>
      <c r="AE78" s="11">
        <f t="shared" si="6"/>
        <v>94</v>
      </c>
      <c r="AF78" s="11">
        <f t="shared" si="6"/>
        <v>0</v>
      </c>
      <c r="AG78" s="10">
        <f t="shared" si="5"/>
        <v>4027</v>
      </c>
    </row>
    <row r="79" spans="1:33" ht="19.5" customHeight="1" x14ac:dyDescent="0.25">
      <c r="A79" s="64" t="s">
        <v>29</v>
      </c>
      <c r="B79" s="3">
        <f t="shared" ref="B79" si="7">SUM(B4:B27)-B80</f>
        <v>195</v>
      </c>
      <c r="C79" s="3">
        <f t="shared" ref="C79" si="8">SUM(C4:C27)-C80</f>
        <v>131</v>
      </c>
      <c r="D79" s="3">
        <f t="shared" ref="D79:AF79" si="9">SUM(D4:D27)-D80</f>
        <v>129</v>
      </c>
      <c r="E79" s="3">
        <f t="shared" si="9"/>
        <v>128</v>
      </c>
      <c r="F79" s="3">
        <f t="shared" si="9"/>
        <v>130</v>
      </c>
      <c r="G79" s="3">
        <f t="shared" si="9"/>
        <v>114</v>
      </c>
      <c r="H79" s="3">
        <f t="shared" si="9"/>
        <v>184</v>
      </c>
      <c r="I79" s="3">
        <f t="shared" si="9"/>
        <v>167</v>
      </c>
      <c r="J79" s="3">
        <f t="shared" si="9"/>
        <v>146</v>
      </c>
      <c r="K79" s="3">
        <f t="shared" si="9"/>
        <v>122</v>
      </c>
      <c r="L79" s="3">
        <f t="shared" si="9"/>
        <v>118</v>
      </c>
      <c r="M79" s="3">
        <f t="shared" si="9"/>
        <v>86</v>
      </c>
      <c r="N79" s="3">
        <f t="shared" si="9"/>
        <v>120</v>
      </c>
      <c r="O79" s="3">
        <f t="shared" si="9"/>
        <v>148</v>
      </c>
      <c r="P79" s="3">
        <f t="shared" si="9"/>
        <v>140</v>
      </c>
      <c r="Q79" s="3">
        <f t="shared" si="9"/>
        <v>135</v>
      </c>
      <c r="R79" s="3">
        <f t="shared" si="9"/>
        <v>132</v>
      </c>
      <c r="S79" s="3">
        <f t="shared" si="9"/>
        <v>123</v>
      </c>
      <c r="T79" s="3">
        <f t="shared" si="9"/>
        <v>98</v>
      </c>
      <c r="U79" s="3">
        <f t="shared" si="9"/>
        <v>188</v>
      </c>
      <c r="V79" s="3">
        <f t="shared" si="9"/>
        <v>168</v>
      </c>
      <c r="W79" s="3">
        <f t="shared" si="9"/>
        <v>162</v>
      </c>
      <c r="X79" s="3">
        <f t="shared" si="9"/>
        <v>115</v>
      </c>
      <c r="Y79" s="3">
        <f t="shared" si="9"/>
        <v>128</v>
      </c>
      <c r="Z79" s="3">
        <f t="shared" si="9"/>
        <v>120</v>
      </c>
      <c r="AA79" s="3">
        <f t="shared" si="9"/>
        <v>106</v>
      </c>
      <c r="AB79" s="3">
        <f t="shared" si="9"/>
        <v>109</v>
      </c>
      <c r="AC79" s="3">
        <f t="shared" si="9"/>
        <v>148</v>
      </c>
      <c r="AD79" s="3">
        <f t="shared" si="9"/>
        <v>143</v>
      </c>
      <c r="AE79" s="3">
        <f t="shared" si="9"/>
        <v>94</v>
      </c>
      <c r="AF79" s="3">
        <f t="shared" si="9"/>
        <v>0</v>
      </c>
      <c r="AG79" s="4">
        <f t="shared" si="5"/>
        <v>4027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19</v>
      </c>
      <c r="C81" s="12">
        <f t="shared" si="10"/>
        <v>8</v>
      </c>
      <c r="D81" s="12">
        <f t="shared" si="10"/>
        <v>11</v>
      </c>
      <c r="E81" s="12">
        <f t="shared" si="10"/>
        <v>4</v>
      </c>
      <c r="F81" s="12">
        <f t="shared" si="10"/>
        <v>5</v>
      </c>
      <c r="G81" s="12">
        <f t="shared" si="10"/>
        <v>11</v>
      </c>
      <c r="H81" s="12">
        <f t="shared" si="10"/>
        <v>10</v>
      </c>
      <c r="I81" s="12">
        <f t="shared" si="10"/>
        <v>10</v>
      </c>
      <c r="J81" s="12">
        <f t="shared" si="10"/>
        <v>6</v>
      </c>
      <c r="K81" s="12">
        <f t="shared" si="10"/>
        <v>9</v>
      </c>
      <c r="L81" s="12">
        <f t="shared" si="10"/>
        <v>13</v>
      </c>
      <c r="M81" s="12">
        <f t="shared" si="10"/>
        <v>0</v>
      </c>
      <c r="N81" s="12">
        <f t="shared" si="10"/>
        <v>3</v>
      </c>
      <c r="O81" s="12">
        <f t="shared" si="10"/>
        <v>2</v>
      </c>
      <c r="P81" s="12">
        <f t="shared" si="10"/>
        <v>0</v>
      </c>
      <c r="Q81" s="12">
        <f t="shared" si="10"/>
        <v>10</v>
      </c>
      <c r="R81" s="12">
        <f t="shared" si="10"/>
        <v>11</v>
      </c>
      <c r="S81" s="12">
        <f t="shared" si="10"/>
        <v>9</v>
      </c>
      <c r="T81" s="12">
        <f t="shared" si="10"/>
        <v>0</v>
      </c>
      <c r="U81" s="12">
        <f t="shared" si="10"/>
        <v>5</v>
      </c>
      <c r="V81" s="12">
        <f t="shared" si="10"/>
        <v>7</v>
      </c>
      <c r="W81" s="12">
        <f t="shared" si="10"/>
        <v>7</v>
      </c>
      <c r="X81" s="12">
        <f t="shared" si="10"/>
        <v>8</v>
      </c>
      <c r="Y81" s="12">
        <f t="shared" si="10"/>
        <v>6</v>
      </c>
      <c r="Z81" s="12">
        <f t="shared" si="10"/>
        <v>10</v>
      </c>
      <c r="AA81" s="12">
        <f t="shared" si="10"/>
        <v>6</v>
      </c>
      <c r="AB81" s="12">
        <f t="shared" si="10"/>
        <v>8</v>
      </c>
      <c r="AC81" s="12">
        <f t="shared" si="10"/>
        <v>2</v>
      </c>
      <c r="AD81" s="12">
        <f t="shared" si="10"/>
        <v>4</v>
      </c>
      <c r="AE81" s="12">
        <f t="shared" si="10"/>
        <v>2</v>
      </c>
      <c r="AF81" s="12">
        <f t="shared" si="10"/>
        <v>0</v>
      </c>
      <c r="AG81" s="10">
        <f t="shared" si="5"/>
        <v>206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10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1</v>
      </c>
      <c r="H82" s="3">
        <f t="shared" si="11"/>
        <v>2</v>
      </c>
      <c r="I82" s="3">
        <f t="shared" si="11"/>
        <v>7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2</v>
      </c>
      <c r="V82" s="3">
        <f t="shared" si="11"/>
        <v>2</v>
      </c>
      <c r="W82" s="3">
        <f t="shared" si="11"/>
        <v>2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1</v>
      </c>
      <c r="AD82" s="3">
        <f t="shared" si="11"/>
        <v>2</v>
      </c>
      <c r="AE82" s="3">
        <f t="shared" si="11"/>
        <v>0</v>
      </c>
      <c r="AF82" s="3">
        <f t="shared" si="11"/>
        <v>0</v>
      </c>
      <c r="AG82" s="4">
        <f t="shared" si="5"/>
        <v>29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9</v>
      </c>
      <c r="C83" s="8">
        <f t="shared" si="12"/>
        <v>8</v>
      </c>
      <c r="D83" s="8">
        <f t="shared" si="12"/>
        <v>11</v>
      </c>
      <c r="E83" s="8">
        <f t="shared" si="12"/>
        <v>4</v>
      </c>
      <c r="F83" s="8">
        <f t="shared" si="12"/>
        <v>5</v>
      </c>
      <c r="G83" s="8">
        <f t="shared" si="12"/>
        <v>10</v>
      </c>
      <c r="H83" s="8">
        <f t="shared" si="12"/>
        <v>8</v>
      </c>
      <c r="I83" s="8">
        <f t="shared" si="12"/>
        <v>3</v>
      </c>
      <c r="J83" s="8">
        <f t="shared" si="12"/>
        <v>6</v>
      </c>
      <c r="K83" s="8">
        <f t="shared" si="12"/>
        <v>9</v>
      </c>
      <c r="L83" s="8">
        <f t="shared" si="12"/>
        <v>13</v>
      </c>
      <c r="M83" s="8">
        <f t="shared" si="12"/>
        <v>0</v>
      </c>
      <c r="N83" s="8">
        <f t="shared" si="12"/>
        <v>3</v>
      </c>
      <c r="O83" s="8">
        <f t="shared" si="12"/>
        <v>2</v>
      </c>
      <c r="P83" s="8">
        <f t="shared" si="12"/>
        <v>0</v>
      </c>
      <c r="Q83" s="8">
        <f t="shared" si="12"/>
        <v>10</v>
      </c>
      <c r="R83" s="8">
        <f t="shared" si="12"/>
        <v>11</v>
      </c>
      <c r="S83" s="8">
        <f t="shared" si="12"/>
        <v>9</v>
      </c>
      <c r="T83" s="8">
        <f t="shared" si="12"/>
        <v>0</v>
      </c>
      <c r="U83" s="8">
        <f t="shared" si="12"/>
        <v>3</v>
      </c>
      <c r="V83" s="8">
        <f t="shared" si="12"/>
        <v>5</v>
      </c>
      <c r="W83" s="8">
        <f t="shared" si="12"/>
        <v>5</v>
      </c>
      <c r="X83" s="8">
        <f t="shared" si="12"/>
        <v>8</v>
      </c>
      <c r="Y83" s="8">
        <f t="shared" si="12"/>
        <v>6</v>
      </c>
      <c r="Z83" s="8">
        <f t="shared" si="12"/>
        <v>10</v>
      </c>
      <c r="AA83" s="8">
        <f t="shared" si="12"/>
        <v>6</v>
      </c>
      <c r="AB83" s="8">
        <f t="shared" si="12"/>
        <v>8</v>
      </c>
      <c r="AC83" s="8">
        <f t="shared" si="12"/>
        <v>1</v>
      </c>
      <c r="AD83" s="8">
        <f t="shared" si="12"/>
        <v>2</v>
      </c>
      <c r="AE83" s="8">
        <f t="shared" si="12"/>
        <v>2</v>
      </c>
      <c r="AF83" s="8">
        <f t="shared" si="12"/>
        <v>0</v>
      </c>
      <c r="AG83" s="5">
        <f t="shared" si="5"/>
        <v>177</v>
      </c>
    </row>
    <row r="84" spans="1:34" ht="15.75" customHeight="1" thickBot="1" x14ac:dyDescent="0.3">
      <c r="A84" s="67" t="s">
        <v>32</v>
      </c>
      <c r="B84" s="14">
        <f t="shared" ref="B84:AF84" si="13">SUM(B85:B86)</f>
        <v>19</v>
      </c>
      <c r="C84" s="14">
        <f t="shared" si="13"/>
        <v>8</v>
      </c>
      <c r="D84" s="14">
        <f t="shared" si="13"/>
        <v>11</v>
      </c>
      <c r="E84" s="14">
        <f t="shared" si="13"/>
        <v>4</v>
      </c>
      <c r="F84" s="14">
        <f t="shared" si="13"/>
        <v>5</v>
      </c>
      <c r="G84" s="14">
        <f t="shared" si="13"/>
        <v>11</v>
      </c>
      <c r="H84" s="14">
        <f t="shared" si="13"/>
        <v>10</v>
      </c>
      <c r="I84" s="14">
        <f t="shared" si="13"/>
        <v>10</v>
      </c>
      <c r="J84" s="14">
        <f t="shared" si="13"/>
        <v>6</v>
      </c>
      <c r="K84" s="14">
        <f t="shared" si="13"/>
        <v>9</v>
      </c>
      <c r="L84" s="14">
        <f t="shared" si="13"/>
        <v>13</v>
      </c>
      <c r="M84" s="14">
        <f t="shared" si="13"/>
        <v>0</v>
      </c>
      <c r="N84" s="14">
        <f t="shared" si="13"/>
        <v>3</v>
      </c>
      <c r="O84" s="14">
        <f t="shared" si="13"/>
        <v>2</v>
      </c>
      <c r="P84" s="14">
        <f t="shared" si="13"/>
        <v>0</v>
      </c>
      <c r="Q84" s="14">
        <f t="shared" si="13"/>
        <v>10</v>
      </c>
      <c r="R84" s="14">
        <f t="shared" si="13"/>
        <v>11</v>
      </c>
      <c r="S84" s="14">
        <f t="shared" si="13"/>
        <v>9</v>
      </c>
      <c r="T84" s="14">
        <f t="shared" si="13"/>
        <v>0</v>
      </c>
      <c r="U84" s="14">
        <f t="shared" si="13"/>
        <v>5</v>
      </c>
      <c r="V84" s="14">
        <f t="shared" si="13"/>
        <v>7</v>
      </c>
      <c r="W84" s="14">
        <f t="shared" si="13"/>
        <v>7</v>
      </c>
      <c r="X84" s="14">
        <f t="shared" si="13"/>
        <v>8</v>
      </c>
      <c r="Y84" s="14">
        <f t="shared" si="13"/>
        <v>6</v>
      </c>
      <c r="Z84" s="14">
        <f t="shared" si="13"/>
        <v>10</v>
      </c>
      <c r="AA84" s="14">
        <f t="shared" si="13"/>
        <v>6</v>
      </c>
      <c r="AB84" s="14">
        <f t="shared" si="13"/>
        <v>8</v>
      </c>
      <c r="AC84" s="14">
        <f t="shared" si="13"/>
        <v>2</v>
      </c>
      <c r="AD84" s="14">
        <f t="shared" si="13"/>
        <v>4</v>
      </c>
      <c r="AE84" s="14">
        <f t="shared" si="13"/>
        <v>2</v>
      </c>
      <c r="AF84" s="14">
        <f t="shared" si="13"/>
        <v>0</v>
      </c>
      <c r="AG84" s="15">
        <f t="shared" si="5"/>
        <v>206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3</v>
      </c>
      <c r="C85" s="69">
        <v>1</v>
      </c>
      <c r="D85" s="69">
        <v>6</v>
      </c>
      <c r="E85" s="69">
        <v>1</v>
      </c>
      <c r="F85" s="69">
        <v>1</v>
      </c>
      <c r="G85" s="69">
        <v>2</v>
      </c>
      <c r="H85" s="69">
        <v>0</v>
      </c>
      <c r="I85" s="69">
        <v>0</v>
      </c>
      <c r="J85" s="69">
        <v>2</v>
      </c>
      <c r="K85" s="69">
        <v>2</v>
      </c>
      <c r="L85" s="69">
        <v>2</v>
      </c>
      <c r="M85" s="69">
        <v>0</v>
      </c>
      <c r="N85" s="69">
        <v>0</v>
      </c>
      <c r="O85" s="69">
        <v>1</v>
      </c>
      <c r="P85" s="69">
        <v>0</v>
      </c>
      <c r="Q85" s="69">
        <v>5</v>
      </c>
      <c r="R85" s="69">
        <v>2</v>
      </c>
      <c r="S85" s="69">
        <v>3</v>
      </c>
      <c r="T85" s="69">
        <v>0</v>
      </c>
      <c r="U85" s="69">
        <v>1</v>
      </c>
      <c r="V85" s="69">
        <v>2</v>
      </c>
      <c r="W85" s="69">
        <v>1</v>
      </c>
      <c r="X85" s="69">
        <v>1</v>
      </c>
      <c r="Y85" s="69">
        <v>2</v>
      </c>
      <c r="Z85" s="69">
        <v>0</v>
      </c>
      <c r="AA85" s="69">
        <v>0</v>
      </c>
      <c r="AB85" s="69">
        <v>1</v>
      </c>
      <c r="AC85" s="69">
        <v>0</v>
      </c>
      <c r="AD85" s="69">
        <v>1</v>
      </c>
      <c r="AE85" s="69">
        <v>0</v>
      </c>
      <c r="AF85" s="69"/>
      <c r="AG85" s="16">
        <f t="shared" si="5"/>
        <v>40</v>
      </c>
    </row>
    <row r="86" spans="1:34" ht="15.75" customHeight="1" thickBot="1" x14ac:dyDescent="0.3">
      <c r="A86" s="70" t="s">
        <v>34</v>
      </c>
      <c r="B86" s="71">
        <v>16</v>
      </c>
      <c r="C86" s="71">
        <v>7</v>
      </c>
      <c r="D86" s="71">
        <v>5</v>
      </c>
      <c r="E86" s="71">
        <v>3</v>
      </c>
      <c r="F86" s="71">
        <v>4</v>
      </c>
      <c r="G86" s="71">
        <v>9</v>
      </c>
      <c r="H86" s="71">
        <v>10</v>
      </c>
      <c r="I86" s="71">
        <v>10</v>
      </c>
      <c r="J86" s="71">
        <v>4</v>
      </c>
      <c r="K86" s="71">
        <v>7</v>
      </c>
      <c r="L86" s="71">
        <v>11</v>
      </c>
      <c r="M86" s="71">
        <v>0</v>
      </c>
      <c r="N86" s="71">
        <v>3</v>
      </c>
      <c r="O86" s="71">
        <v>1</v>
      </c>
      <c r="P86" s="71">
        <v>0</v>
      </c>
      <c r="Q86" s="71">
        <v>5</v>
      </c>
      <c r="R86" s="71">
        <v>9</v>
      </c>
      <c r="S86" s="71">
        <v>6</v>
      </c>
      <c r="T86" s="71">
        <v>0</v>
      </c>
      <c r="U86" s="71">
        <v>4</v>
      </c>
      <c r="V86" s="71">
        <v>5</v>
      </c>
      <c r="W86" s="71">
        <v>6</v>
      </c>
      <c r="X86" s="71">
        <v>7</v>
      </c>
      <c r="Y86" s="71">
        <v>4</v>
      </c>
      <c r="Z86" s="71">
        <v>10</v>
      </c>
      <c r="AA86" s="71">
        <v>6</v>
      </c>
      <c r="AB86" s="71">
        <v>7</v>
      </c>
      <c r="AC86" s="71">
        <v>2</v>
      </c>
      <c r="AD86" s="71">
        <v>3</v>
      </c>
      <c r="AE86" s="71">
        <v>2</v>
      </c>
      <c r="AF86" s="71"/>
      <c r="AG86" s="17">
        <f t="shared" si="5"/>
        <v>166</v>
      </c>
    </row>
    <row r="87" spans="1:34" ht="15.75" customHeight="1" thickBot="1" x14ac:dyDescent="0.3">
      <c r="A87" s="72" t="s">
        <v>35</v>
      </c>
      <c r="B87" s="18">
        <f t="shared" ref="B87:AF87" si="14">SUM(B88:B92)</f>
        <v>19</v>
      </c>
      <c r="C87" s="18">
        <f t="shared" si="14"/>
        <v>8</v>
      </c>
      <c r="D87" s="18">
        <f t="shared" si="14"/>
        <v>11</v>
      </c>
      <c r="E87" s="18">
        <f t="shared" si="14"/>
        <v>4</v>
      </c>
      <c r="F87" s="18">
        <f t="shared" si="14"/>
        <v>5</v>
      </c>
      <c r="G87" s="18">
        <f t="shared" si="14"/>
        <v>11</v>
      </c>
      <c r="H87" s="18">
        <f t="shared" si="14"/>
        <v>10</v>
      </c>
      <c r="I87" s="18">
        <f t="shared" si="14"/>
        <v>10</v>
      </c>
      <c r="J87" s="18">
        <f t="shared" si="14"/>
        <v>6</v>
      </c>
      <c r="K87" s="18">
        <f t="shared" si="14"/>
        <v>9</v>
      </c>
      <c r="L87" s="18">
        <f t="shared" si="14"/>
        <v>13</v>
      </c>
      <c r="M87" s="18">
        <f t="shared" si="14"/>
        <v>0</v>
      </c>
      <c r="N87" s="18">
        <f t="shared" si="14"/>
        <v>3</v>
      </c>
      <c r="O87" s="18">
        <f t="shared" si="14"/>
        <v>2</v>
      </c>
      <c r="P87" s="18">
        <f t="shared" si="14"/>
        <v>0</v>
      </c>
      <c r="Q87" s="18">
        <f t="shared" si="14"/>
        <v>10</v>
      </c>
      <c r="R87" s="18">
        <f t="shared" si="14"/>
        <v>11</v>
      </c>
      <c r="S87" s="18">
        <f t="shared" si="14"/>
        <v>9</v>
      </c>
      <c r="T87" s="18">
        <f t="shared" si="14"/>
        <v>0</v>
      </c>
      <c r="U87" s="18">
        <f t="shared" si="14"/>
        <v>5</v>
      </c>
      <c r="V87" s="18">
        <f t="shared" si="14"/>
        <v>7</v>
      </c>
      <c r="W87" s="18">
        <f t="shared" si="14"/>
        <v>7</v>
      </c>
      <c r="X87" s="18">
        <f t="shared" si="14"/>
        <v>8</v>
      </c>
      <c r="Y87" s="18">
        <f t="shared" si="14"/>
        <v>6</v>
      </c>
      <c r="Z87" s="18">
        <f t="shared" si="14"/>
        <v>10</v>
      </c>
      <c r="AA87" s="18">
        <f t="shared" si="14"/>
        <v>6</v>
      </c>
      <c r="AB87" s="18">
        <f t="shared" si="14"/>
        <v>8</v>
      </c>
      <c r="AC87" s="18">
        <f t="shared" si="14"/>
        <v>2</v>
      </c>
      <c r="AD87" s="18">
        <f t="shared" si="14"/>
        <v>4</v>
      </c>
      <c r="AE87" s="18">
        <f t="shared" si="14"/>
        <v>2</v>
      </c>
      <c r="AF87" s="18">
        <f t="shared" si="14"/>
        <v>0</v>
      </c>
      <c r="AG87" s="19">
        <f t="shared" si="5"/>
        <v>206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5</v>
      </c>
      <c r="C88" s="60">
        <v>2</v>
      </c>
      <c r="D88" s="60">
        <v>3</v>
      </c>
      <c r="E88" s="60">
        <v>3</v>
      </c>
      <c r="F88" s="60">
        <v>1</v>
      </c>
      <c r="G88" s="60">
        <v>3</v>
      </c>
      <c r="H88" s="60">
        <v>3</v>
      </c>
      <c r="I88" s="60">
        <v>2</v>
      </c>
      <c r="J88" s="60">
        <v>4</v>
      </c>
      <c r="K88" s="60">
        <v>4</v>
      </c>
      <c r="L88" s="60">
        <v>5</v>
      </c>
      <c r="M88" s="60">
        <v>0</v>
      </c>
      <c r="N88" s="60">
        <v>3</v>
      </c>
      <c r="O88" s="60">
        <v>2</v>
      </c>
      <c r="P88" s="60">
        <v>0</v>
      </c>
      <c r="Q88" s="60">
        <v>5</v>
      </c>
      <c r="R88" s="60">
        <v>1</v>
      </c>
      <c r="S88" s="60">
        <v>4</v>
      </c>
      <c r="T88" s="60">
        <v>0</v>
      </c>
      <c r="U88" s="60">
        <v>0</v>
      </c>
      <c r="V88" s="60">
        <v>3</v>
      </c>
      <c r="W88" s="60">
        <v>1</v>
      </c>
      <c r="X88" s="60">
        <v>2</v>
      </c>
      <c r="Y88" s="60">
        <v>4</v>
      </c>
      <c r="Z88" s="60">
        <v>2</v>
      </c>
      <c r="AA88" s="60">
        <v>2</v>
      </c>
      <c r="AB88" s="60">
        <v>2</v>
      </c>
      <c r="AC88" s="60">
        <v>2</v>
      </c>
      <c r="AD88" s="60">
        <v>3</v>
      </c>
      <c r="AE88" s="60">
        <v>2</v>
      </c>
      <c r="AF88" s="60"/>
      <c r="AG88" s="4">
        <f t="shared" si="5"/>
        <v>73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/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2</v>
      </c>
      <c r="E90" s="60">
        <v>0</v>
      </c>
      <c r="F90" s="60">
        <v>0</v>
      </c>
      <c r="G90" s="60">
        <v>1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1</v>
      </c>
      <c r="R90" s="60">
        <v>2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2</v>
      </c>
      <c r="AA90" s="60">
        <v>1</v>
      </c>
      <c r="AB90" s="60">
        <v>0</v>
      </c>
      <c r="AC90" s="60">
        <v>0</v>
      </c>
      <c r="AD90" s="60">
        <v>0</v>
      </c>
      <c r="AE90" s="60">
        <v>0</v>
      </c>
      <c r="AF90" s="60"/>
      <c r="AG90" s="5">
        <f t="shared" si="5"/>
        <v>9</v>
      </c>
    </row>
    <row r="91" spans="1:34" ht="15.75" customHeight="1" x14ac:dyDescent="0.25">
      <c r="A91" s="74" t="s">
        <v>39</v>
      </c>
      <c r="B91" s="60">
        <v>9</v>
      </c>
      <c r="C91" s="60">
        <v>5</v>
      </c>
      <c r="D91" s="60">
        <v>6</v>
      </c>
      <c r="E91" s="60">
        <v>1</v>
      </c>
      <c r="F91" s="60">
        <v>4</v>
      </c>
      <c r="G91" s="60">
        <v>7</v>
      </c>
      <c r="H91" s="60">
        <v>5</v>
      </c>
      <c r="I91" s="60">
        <v>8</v>
      </c>
      <c r="J91" s="60">
        <v>1</v>
      </c>
      <c r="K91" s="60">
        <v>2</v>
      </c>
      <c r="L91" s="60">
        <v>8</v>
      </c>
      <c r="M91" s="60">
        <v>0</v>
      </c>
      <c r="N91" s="60">
        <v>0</v>
      </c>
      <c r="O91" s="60">
        <v>0</v>
      </c>
      <c r="P91" s="60">
        <v>0</v>
      </c>
      <c r="Q91" s="60">
        <v>4</v>
      </c>
      <c r="R91" s="60">
        <v>7</v>
      </c>
      <c r="S91" s="60">
        <v>5</v>
      </c>
      <c r="T91" s="60">
        <v>0</v>
      </c>
      <c r="U91" s="60">
        <v>4</v>
      </c>
      <c r="V91" s="60">
        <v>2</v>
      </c>
      <c r="W91" s="60">
        <v>4</v>
      </c>
      <c r="X91" s="60">
        <v>3</v>
      </c>
      <c r="Y91" s="60">
        <v>1</v>
      </c>
      <c r="Z91" s="60">
        <v>5</v>
      </c>
      <c r="AA91" s="60">
        <v>3</v>
      </c>
      <c r="AB91" s="60">
        <v>3</v>
      </c>
      <c r="AC91" s="60">
        <v>0</v>
      </c>
      <c r="AD91" s="60">
        <v>1</v>
      </c>
      <c r="AE91" s="60">
        <v>0</v>
      </c>
      <c r="AF91" s="60"/>
      <c r="AG91" s="5">
        <f t="shared" si="5"/>
        <v>98</v>
      </c>
    </row>
    <row r="92" spans="1:34" ht="15.75" customHeight="1" thickBot="1" x14ac:dyDescent="0.3">
      <c r="A92" s="74" t="s">
        <v>40</v>
      </c>
      <c r="B92" s="60">
        <v>5</v>
      </c>
      <c r="C92" s="60">
        <v>1</v>
      </c>
      <c r="D92" s="60">
        <v>0</v>
      </c>
      <c r="E92" s="60">
        <v>0</v>
      </c>
      <c r="F92" s="60">
        <v>0</v>
      </c>
      <c r="G92" s="60">
        <v>0</v>
      </c>
      <c r="H92" s="60">
        <v>2</v>
      </c>
      <c r="I92" s="60">
        <v>0</v>
      </c>
      <c r="J92" s="60">
        <v>1</v>
      </c>
      <c r="K92" s="60">
        <v>3</v>
      </c>
      <c r="L92" s="60">
        <v>0</v>
      </c>
      <c r="M92" s="60">
        <v>0</v>
      </c>
      <c r="N92" s="60">
        <v>0</v>
      </c>
      <c r="O92" s="60">
        <v>0</v>
      </c>
      <c r="P92" s="60">
        <v>0</v>
      </c>
      <c r="Q92" s="60">
        <v>0</v>
      </c>
      <c r="R92" s="60">
        <v>1</v>
      </c>
      <c r="S92" s="60">
        <v>0</v>
      </c>
      <c r="T92" s="60">
        <v>0</v>
      </c>
      <c r="U92" s="60">
        <v>1</v>
      </c>
      <c r="V92" s="60">
        <v>2</v>
      </c>
      <c r="W92" s="60">
        <v>2</v>
      </c>
      <c r="X92" s="60">
        <v>3</v>
      </c>
      <c r="Y92" s="60">
        <v>1</v>
      </c>
      <c r="Z92" s="60">
        <v>1</v>
      </c>
      <c r="AA92" s="60">
        <v>0</v>
      </c>
      <c r="AB92" s="60">
        <v>3</v>
      </c>
      <c r="AC92" s="60">
        <v>0</v>
      </c>
      <c r="AD92" s="60">
        <v>0</v>
      </c>
      <c r="AE92" s="60">
        <v>0</v>
      </c>
      <c r="AF92" s="60"/>
      <c r="AG92" s="5">
        <f t="shared" si="5"/>
        <v>26</v>
      </c>
    </row>
    <row r="93" spans="1:34" ht="15.75" customHeight="1" x14ac:dyDescent="0.25">
      <c r="A93" s="75" t="s">
        <v>41</v>
      </c>
      <c r="B93" s="20">
        <f t="shared" ref="B93:AF93" si="15">+B94+B100</f>
        <v>176</v>
      </c>
      <c r="C93" s="20">
        <f t="shared" si="15"/>
        <v>123</v>
      </c>
      <c r="D93" s="20">
        <f t="shared" si="15"/>
        <v>118</v>
      </c>
      <c r="E93" s="20">
        <f t="shared" si="15"/>
        <v>124</v>
      </c>
      <c r="F93" s="20">
        <f t="shared" si="15"/>
        <v>125</v>
      </c>
      <c r="G93" s="20">
        <f t="shared" si="15"/>
        <v>103</v>
      </c>
      <c r="H93" s="20">
        <f t="shared" si="15"/>
        <v>174</v>
      </c>
      <c r="I93" s="20">
        <f t="shared" si="15"/>
        <v>157</v>
      </c>
      <c r="J93" s="20">
        <f t="shared" si="15"/>
        <v>140</v>
      </c>
      <c r="K93" s="20">
        <f t="shared" si="15"/>
        <v>113</v>
      </c>
      <c r="L93" s="20">
        <f t="shared" si="15"/>
        <v>105</v>
      </c>
      <c r="M93" s="20">
        <f t="shared" si="15"/>
        <v>86</v>
      </c>
      <c r="N93" s="20">
        <f t="shared" si="15"/>
        <v>117</v>
      </c>
      <c r="O93" s="20">
        <f t="shared" si="15"/>
        <v>146</v>
      </c>
      <c r="P93" s="20">
        <f t="shared" si="15"/>
        <v>140</v>
      </c>
      <c r="Q93" s="20">
        <f t="shared" si="15"/>
        <v>125</v>
      </c>
      <c r="R93" s="20">
        <f t="shared" si="15"/>
        <v>121</v>
      </c>
      <c r="S93" s="20">
        <f t="shared" si="15"/>
        <v>114</v>
      </c>
      <c r="T93" s="20">
        <f t="shared" si="15"/>
        <v>98</v>
      </c>
      <c r="U93" s="20">
        <f t="shared" si="15"/>
        <v>183</v>
      </c>
      <c r="V93" s="20">
        <f t="shared" si="15"/>
        <v>161</v>
      </c>
      <c r="W93" s="20">
        <f t="shared" si="15"/>
        <v>155</v>
      </c>
      <c r="X93" s="20">
        <f t="shared" si="15"/>
        <v>107</v>
      </c>
      <c r="Y93" s="20">
        <f t="shared" si="15"/>
        <v>122</v>
      </c>
      <c r="Z93" s="20">
        <f t="shared" si="15"/>
        <v>110</v>
      </c>
      <c r="AA93" s="20">
        <f t="shared" si="15"/>
        <v>100</v>
      </c>
      <c r="AB93" s="20">
        <f t="shared" si="15"/>
        <v>101</v>
      </c>
      <c r="AC93" s="20">
        <f t="shared" si="15"/>
        <v>146</v>
      </c>
      <c r="AD93" s="20">
        <f t="shared" si="15"/>
        <v>139</v>
      </c>
      <c r="AE93" s="20">
        <f t="shared" si="15"/>
        <v>92</v>
      </c>
      <c r="AF93" s="20">
        <f t="shared" si="15"/>
        <v>0</v>
      </c>
      <c r="AG93" s="5">
        <f t="shared" si="5"/>
        <v>3821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26</v>
      </c>
      <c r="C94" s="21">
        <f t="shared" si="16"/>
        <v>13</v>
      </c>
      <c r="D94" s="21">
        <f t="shared" si="16"/>
        <v>17</v>
      </c>
      <c r="E94" s="21">
        <f t="shared" si="16"/>
        <v>13</v>
      </c>
      <c r="F94" s="21">
        <f t="shared" si="16"/>
        <v>12</v>
      </c>
      <c r="G94" s="21">
        <f t="shared" si="16"/>
        <v>17</v>
      </c>
      <c r="H94" s="21">
        <f t="shared" si="16"/>
        <v>27</v>
      </c>
      <c r="I94" s="21">
        <f t="shared" si="16"/>
        <v>19</v>
      </c>
      <c r="J94" s="21">
        <f t="shared" si="16"/>
        <v>26</v>
      </c>
      <c r="K94" s="21">
        <f t="shared" si="16"/>
        <v>10</v>
      </c>
      <c r="L94" s="21">
        <f t="shared" si="16"/>
        <v>19</v>
      </c>
      <c r="M94" s="21">
        <f t="shared" si="16"/>
        <v>12</v>
      </c>
      <c r="N94" s="21">
        <f t="shared" si="16"/>
        <v>9</v>
      </c>
      <c r="O94" s="21">
        <f t="shared" si="16"/>
        <v>21</v>
      </c>
      <c r="P94" s="21">
        <f t="shared" si="16"/>
        <v>21</v>
      </c>
      <c r="Q94" s="21">
        <f t="shared" si="16"/>
        <v>16</v>
      </c>
      <c r="R94" s="21">
        <f t="shared" si="16"/>
        <v>17</v>
      </c>
      <c r="S94" s="21">
        <f t="shared" si="16"/>
        <v>18</v>
      </c>
      <c r="T94" s="21">
        <f t="shared" si="16"/>
        <v>7</v>
      </c>
      <c r="U94" s="21">
        <f t="shared" si="16"/>
        <v>32</v>
      </c>
      <c r="V94" s="21">
        <f t="shared" si="16"/>
        <v>25</v>
      </c>
      <c r="W94" s="21">
        <f t="shared" si="16"/>
        <v>22</v>
      </c>
      <c r="X94" s="21">
        <f t="shared" si="16"/>
        <v>14</v>
      </c>
      <c r="Y94" s="21">
        <f t="shared" si="16"/>
        <v>15</v>
      </c>
      <c r="Z94" s="21">
        <f t="shared" si="16"/>
        <v>15</v>
      </c>
      <c r="AA94" s="21">
        <f t="shared" si="16"/>
        <v>14</v>
      </c>
      <c r="AB94" s="21">
        <f t="shared" si="16"/>
        <v>13</v>
      </c>
      <c r="AC94" s="21">
        <f t="shared" si="16"/>
        <v>12</v>
      </c>
      <c r="AD94" s="21">
        <f t="shared" si="16"/>
        <v>13</v>
      </c>
      <c r="AE94" s="21">
        <f t="shared" si="16"/>
        <v>8</v>
      </c>
      <c r="AF94" s="21">
        <f t="shared" si="16"/>
        <v>0</v>
      </c>
      <c r="AG94" s="5">
        <f t="shared" si="5"/>
        <v>503</v>
      </c>
    </row>
    <row r="95" spans="1:34" ht="15.75" customHeight="1" x14ac:dyDescent="0.25">
      <c r="A95" s="78" t="s">
        <v>43</v>
      </c>
      <c r="B95" s="54">
        <v>0</v>
      </c>
      <c r="C95" s="54">
        <v>0</v>
      </c>
      <c r="D95" s="54">
        <v>0</v>
      </c>
      <c r="E95" s="54">
        <v>0</v>
      </c>
      <c r="F95" s="54">
        <v>1</v>
      </c>
      <c r="G95" s="54">
        <v>1</v>
      </c>
      <c r="H95" s="54">
        <v>0</v>
      </c>
      <c r="I95" s="54">
        <v>0</v>
      </c>
      <c r="J95" s="54">
        <v>1</v>
      </c>
      <c r="K95" s="54">
        <v>1</v>
      </c>
      <c r="L95" s="54">
        <v>0</v>
      </c>
      <c r="M95" s="54">
        <v>0</v>
      </c>
      <c r="N95" s="54">
        <v>1</v>
      </c>
      <c r="O95" s="54">
        <v>1</v>
      </c>
      <c r="P95" s="54">
        <v>2</v>
      </c>
      <c r="Q95" s="54">
        <v>0</v>
      </c>
      <c r="R95" s="54">
        <v>0</v>
      </c>
      <c r="S95" s="54">
        <v>1</v>
      </c>
      <c r="T95" s="54">
        <v>0</v>
      </c>
      <c r="U95" s="54">
        <v>2</v>
      </c>
      <c r="V95" s="54">
        <v>1</v>
      </c>
      <c r="W95" s="54">
        <v>0</v>
      </c>
      <c r="X95" s="54">
        <v>0</v>
      </c>
      <c r="Y95" s="54">
        <v>2</v>
      </c>
      <c r="Z95" s="54">
        <v>0</v>
      </c>
      <c r="AA95" s="54">
        <v>0</v>
      </c>
      <c r="AB95" s="54">
        <v>0</v>
      </c>
      <c r="AC95" s="54">
        <v>0</v>
      </c>
      <c r="AD95" s="54">
        <v>0</v>
      </c>
      <c r="AE95" s="54">
        <v>0</v>
      </c>
      <c r="AF95" s="54"/>
      <c r="AG95" s="5">
        <f t="shared" si="5"/>
        <v>14</v>
      </c>
    </row>
    <row r="96" spans="1:34" ht="15.75" customHeight="1" x14ac:dyDescent="0.25">
      <c r="A96" s="79" t="s">
        <v>44</v>
      </c>
      <c r="B96" s="54">
        <v>1</v>
      </c>
      <c r="C96" s="54">
        <v>0</v>
      </c>
      <c r="D96" s="54">
        <v>2</v>
      </c>
      <c r="E96" s="54">
        <v>0</v>
      </c>
      <c r="F96" s="54">
        <v>1</v>
      </c>
      <c r="G96" s="54">
        <v>0</v>
      </c>
      <c r="H96" s="54">
        <v>0</v>
      </c>
      <c r="I96" s="54">
        <v>0</v>
      </c>
      <c r="J96" s="54">
        <v>2</v>
      </c>
      <c r="K96" s="54">
        <v>0</v>
      </c>
      <c r="L96" s="54">
        <v>1</v>
      </c>
      <c r="M96" s="54">
        <v>0</v>
      </c>
      <c r="N96" s="54">
        <v>0</v>
      </c>
      <c r="O96" s="54">
        <v>4</v>
      </c>
      <c r="P96" s="54">
        <v>2</v>
      </c>
      <c r="Q96" s="54">
        <v>2</v>
      </c>
      <c r="R96" s="54">
        <v>0</v>
      </c>
      <c r="S96" s="54">
        <v>0</v>
      </c>
      <c r="T96" s="54">
        <v>2</v>
      </c>
      <c r="U96" s="54">
        <v>1</v>
      </c>
      <c r="V96" s="54">
        <v>2</v>
      </c>
      <c r="W96" s="54">
        <v>0</v>
      </c>
      <c r="X96" s="54">
        <v>2</v>
      </c>
      <c r="Y96" s="54">
        <v>2</v>
      </c>
      <c r="Z96" s="54">
        <v>0</v>
      </c>
      <c r="AA96" s="54">
        <v>1</v>
      </c>
      <c r="AB96" s="54">
        <v>2</v>
      </c>
      <c r="AC96" s="54">
        <v>1</v>
      </c>
      <c r="AD96" s="54">
        <v>2</v>
      </c>
      <c r="AE96" s="54">
        <v>1</v>
      </c>
      <c r="AF96" s="54"/>
      <c r="AG96" s="5">
        <f t="shared" si="5"/>
        <v>31</v>
      </c>
    </row>
    <row r="97" spans="1:33" ht="15.75" customHeight="1" x14ac:dyDescent="0.25">
      <c r="A97" s="80" t="s">
        <v>45</v>
      </c>
      <c r="B97" s="54">
        <v>2</v>
      </c>
      <c r="C97" s="54">
        <v>3</v>
      </c>
      <c r="D97" s="54">
        <v>1</v>
      </c>
      <c r="E97" s="54">
        <v>1</v>
      </c>
      <c r="F97" s="54">
        <v>4</v>
      </c>
      <c r="G97" s="54">
        <v>5</v>
      </c>
      <c r="H97" s="54">
        <v>6</v>
      </c>
      <c r="I97" s="54">
        <v>4</v>
      </c>
      <c r="J97" s="54">
        <v>4</v>
      </c>
      <c r="K97" s="54">
        <v>2</v>
      </c>
      <c r="L97" s="54">
        <v>2</v>
      </c>
      <c r="M97" s="54">
        <v>2</v>
      </c>
      <c r="N97" s="54">
        <v>3</v>
      </c>
      <c r="O97" s="54">
        <v>6</v>
      </c>
      <c r="P97" s="54">
        <v>1</v>
      </c>
      <c r="Q97" s="54">
        <v>4</v>
      </c>
      <c r="R97" s="54">
        <v>4</v>
      </c>
      <c r="S97" s="54">
        <v>7</v>
      </c>
      <c r="T97" s="54">
        <v>0</v>
      </c>
      <c r="U97" s="54">
        <v>9</v>
      </c>
      <c r="V97" s="54">
        <v>6</v>
      </c>
      <c r="W97" s="54">
        <v>6</v>
      </c>
      <c r="X97" s="54">
        <v>3</v>
      </c>
      <c r="Y97" s="54">
        <v>1</v>
      </c>
      <c r="Z97" s="54">
        <v>5</v>
      </c>
      <c r="AA97" s="54">
        <v>6</v>
      </c>
      <c r="AB97" s="54">
        <v>3</v>
      </c>
      <c r="AC97" s="54">
        <v>3</v>
      </c>
      <c r="AD97" s="54">
        <v>5</v>
      </c>
      <c r="AE97" s="54">
        <v>3</v>
      </c>
      <c r="AF97" s="54"/>
      <c r="AG97" s="5">
        <f t="shared" si="5"/>
        <v>111</v>
      </c>
    </row>
    <row r="98" spans="1:33" ht="15.75" customHeight="1" x14ac:dyDescent="0.25">
      <c r="A98" s="81" t="s">
        <v>46</v>
      </c>
      <c r="B98" s="54">
        <v>11</v>
      </c>
      <c r="C98" s="54">
        <v>5</v>
      </c>
      <c r="D98" s="54">
        <v>9</v>
      </c>
      <c r="E98" s="54">
        <v>5</v>
      </c>
      <c r="F98" s="54">
        <v>3</v>
      </c>
      <c r="G98" s="54">
        <v>5</v>
      </c>
      <c r="H98" s="54">
        <v>16</v>
      </c>
      <c r="I98" s="54">
        <v>8</v>
      </c>
      <c r="J98" s="54">
        <v>13</v>
      </c>
      <c r="K98" s="54">
        <v>6</v>
      </c>
      <c r="L98" s="54">
        <v>7</v>
      </c>
      <c r="M98" s="54">
        <v>4</v>
      </c>
      <c r="N98" s="54">
        <v>1</v>
      </c>
      <c r="O98" s="54">
        <v>7</v>
      </c>
      <c r="P98" s="54">
        <v>5</v>
      </c>
      <c r="Q98" s="54">
        <v>5</v>
      </c>
      <c r="R98" s="54">
        <v>8</v>
      </c>
      <c r="S98" s="54">
        <v>7</v>
      </c>
      <c r="T98" s="54">
        <v>2</v>
      </c>
      <c r="U98" s="54">
        <v>9</v>
      </c>
      <c r="V98" s="54">
        <v>14</v>
      </c>
      <c r="W98" s="54">
        <v>10</v>
      </c>
      <c r="X98" s="54">
        <v>5</v>
      </c>
      <c r="Y98" s="54">
        <v>6</v>
      </c>
      <c r="Z98" s="54">
        <v>7</v>
      </c>
      <c r="AA98" s="54">
        <v>6</v>
      </c>
      <c r="AB98" s="54">
        <v>5</v>
      </c>
      <c r="AC98" s="54">
        <v>4</v>
      </c>
      <c r="AD98" s="54">
        <v>3</v>
      </c>
      <c r="AE98" s="54">
        <v>3</v>
      </c>
      <c r="AF98" s="54"/>
      <c r="AG98" s="5">
        <f t="shared" si="5"/>
        <v>199</v>
      </c>
    </row>
    <row r="99" spans="1:33" ht="15.75" customHeight="1" x14ac:dyDescent="0.25">
      <c r="A99" s="82" t="s">
        <v>47</v>
      </c>
      <c r="B99" s="54">
        <v>12</v>
      </c>
      <c r="C99" s="54">
        <v>5</v>
      </c>
      <c r="D99" s="54">
        <v>5</v>
      </c>
      <c r="E99" s="54">
        <v>7</v>
      </c>
      <c r="F99" s="54">
        <v>3</v>
      </c>
      <c r="G99" s="54">
        <v>6</v>
      </c>
      <c r="H99" s="54">
        <v>5</v>
      </c>
      <c r="I99" s="54">
        <v>7</v>
      </c>
      <c r="J99" s="54">
        <v>6</v>
      </c>
      <c r="K99" s="54">
        <v>1</v>
      </c>
      <c r="L99" s="54">
        <v>9</v>
      </c>
      <c r="M99" s="54">
        <v>6</v>
      </c>
      <c r="N99" s="54">
        <v>4</v>
      </c>
      <c r="O99" s="54">
        <v>3</v>
      </c>
      <c r="P99" s="54">
        <v>11</v>
      </c>
      <c r="Q99" s="54">
        <v>5</v>
      </c>
      <c r="R99" s="54">
        <v>5</v>
      </c>
      <c r="S99" s="54">
        <v>3</v>
      </c>
      <c r="T99" s="54">
        <v>3</v>
      </c>
      <c r="U99" s="54">
        <v>11</v>
      </c>
      <c r="V99" s="54">
        <v>2</v>
      </c>
      <c r="W99" s="54">
        <v>6</v>
      </c>
      <c r="X99" s="54">
        <v>4</v>
      </c>
      <c r="Y99" s="54">
        <v>4</v>
      </c>
      <c r="Z99" s="54">
        <v>3</v>
      </c>
      <c r="AA99" s="54">
        <v>1</v>
      </c>
      <c r="AB99" s="54">
        <v>3</v>
      </c>
      <c r="AC99" s="54">
        <v>4</v>
      </c>
      <c r="AD99" s="54">
        <v>3</v>
      </c>
      <c r="AE99" s="54">
        <v>1</v>
      </c>
      <c r="AF99" s="54"/>
      <c r="AG99" s="5">
        <f t="shared" ref="AG99:AG162" si="17">SUM(B99:AF99)</f>
        <v>148</v>
      </c>
    </row>
    <row r="100" spans="1:33" ht="15.75" customHeight="1" x14ac:dyDescent="0.25">
      <c r="A100" s="76" t="s">
        <v>48</v>
      </c>
      <c r="B100" s="21">
        <f t="shared" ref="B100:AF100" si="18">SUM(B101:B115)</f>
        <v>150</v>
      </c>
      <c r="C100" s="21">
        <f t="shared" si="18"/>
        <v>110</v>
      </c>
      <c r="D100" s="21">
        <f t="shared" si="18"/>
        <v>101</v>
      </c>
      <c r="E100" s="21">
        <f t="shared" si="18"/>
        <v>111</v>
      </c>
      <c r="F100" s="21">
        <f t="shared" si="18"/>
        <v>113</v>
      </c>
      <c r="G100" s="21">
        <f t="shared" si="18"/>
        <v>86</v>
      </c>
      <c r="H100" s="21">
        <f t="shared" si="18"/>
        <v>147</v>
      </c>
      <c r="I100" s="21">
        <f t="shared" si="18"/>
        <v>138</v>
      </c>
      <c r="J100" s="21">
        <f t="shared" si="18"/>
        <v>114</v>
      </c>
      <c r="K100" s="21">
        <f t="shared" si="18"/>
        <v>103</v>
      </c>
      <c r="L100" s="21">
        <f t="shared" si="18"/>
        <v>86</v>
      </c>
      <c r="M100" s="21">
        <f t="shared" si="18"/>
        <v>74</v>
      </c>
      <c r="N100" s="21">
        <f t="shared" si="18"/>
        <v>108</v>
      </c>
      <c r="O100" s="21">
        <f t="shared" si="18"/>
        <v>125</v>
      </c>
      <c r="P100" s="21">
        <f t="shared" si="18"/>
        <v>119</v>
      </c>
      <c r="Q100" s="21">
        <f t="shared" si="18"/>
        <v>109</v>
      </c>
      <c r="R100" s="21">
        <f t="shared" si="18"/>
        <v>104</v>
      </c>
      <c r="S100" s="21">
        <f t="shared" si="18"/>
        <v>96</v>
      </c>
      <c r="T100" s="21">
        <f t="shared" si="18"/>
        <v>91</v>
      </c>
      <c r="U100" s="21">
        <f t="shared" si="18"/>
        <v>151</v>
      </c>
      <c r="V100" s="21">
        <f t="shared" si="18"/>
        <v>136</v>
      </c>
      <c r="W100" s="21">
        <f t="shared" si="18"/>
        <v>133</v>
      </c>
      <c r="X100" s="21">
        <f t="shared" si="18"/>
        <v>93</v>
      </c>
      <c r="Y100" s="21">
        <f t="shared" si="18"/>
        <v>107</v>
      </c>
      <c r="Z100" s="21">
        <f t="shared" si="18"/>
        <v>95</v>
      </c>
      <c r="AA100" s="21">
        <f t="shared" si="18"/>
        <v>86</v>
      </c>
      <c r="AB100" s="21">
        <f t="shared" si="18"/>
        <v>88</v>
      </c>
      <c r="AC100" s="21">
        <f t="shared" si="18"/>
        <v>134</v>
      </c>
      <c r="AD100" s="21">
        <f t="shared" si="18"/>
        <v>126</v>
      </c>
      <c r="AE100" s="21">
        <f t="shared" si="18"/>
        <v>84</v>
      </c>
      <c r="AF100" s="21">
        <f t="shared" si="18"/>
        <v>0</v>
      </c>
      <c r="AG100" s="5">
        <f t="shared" si="17"/>
        <v>3318</v>
      </c>
    </row>
    <row r="101" spans="1:33" ht="15.75" customHeight="1" x14ac:dyDescent="0.25">
      <c r="A101" s="82" t="s">
        <v>49</v>
      </c>
      <c r="B101" s="54">
        <v>13</v>
      </c>
      <c r="C101" s="54">
        <v>15</v>
      </c>
      <c r="D101" s="54">
        <v>13</v>
      </c>
      <c r="E101" s="54">
        <v>11</v>
      </c>
      <c r="F101" s="54">
        <v>12</v>
      </c>
      <c r="G101" s="54">
        <v>6</v>
      </c>
      <c r="H101" s="54">
        <v>14</v>
      </c>
      <c r="I101" s="54">
        <v>9</v>
      </c>
      <c r="J101" s="54">
        <v>7</v>
      </c>
      <c r="K101" s="54">
        <v>4</v>
      </c>
      <c r="L101" s="54">
        <v>8</v>
      </c>
      <c r="M101" s="54">
        <v>7</v>
      </c>
      <c r="N101" s="54">
        <v>9</v>
      </c>
      <c r="O101" s="54">
        <v>7</v>
      </c>
      <c r="P101" s="54">
        <v>3</v>
      </c>
      <c r="Q101" s="54">
        <v>8</v>
      </c>
      <c r="R101" s="54">
        <v>5</v>
      </c>
      <c r="S101" s="54">
        <v>5</v>
      </c>
      <c r="T101" s="54">
        <v>1</v>
      </c>
      <c r="U101" s="54">
        <v>5</v>
      </c>
      <c r="V101" s="54">
        <v>3</v>
      </c>
      <c r="W101" s="54">
        <v>7</v>
      </c>
      <c r="X101" s="54">
        <v>4</v>
      </c>
      <c r="Y101" s="54">
        <v>8</v>
      </c>
      <c r="Z101" s="54">
        <v>5</v>
      </c>
      <c r="AA101" s="54">
        <v>6</v>
      </c>
      <c r="AB101" s="54">
        <v>8</v>
      </c>
      <c r="AC101" s="54">
        <v>7</v>
      </c>
      <c r="AD101" s="54">
        <v>7</v>
      </c>
      <c r="AE101" s="54">
        <v>4</v>
      </c>
      <c r="AF101" s="54"/>
      <c r="AG101" s="5">
        <f t="shared" si="17"/>
        <v>221</v>
      </c>
    </row>
    <row r="102" spans="1:33" ht="15.75" customHeight="1" x14ac:dyDescent="0.25">
      <c r="A102" s="82" t="s">
        <v>50</v>
      </c>
      <c r="B102" s="54">
        <v>13</v>
      </c>
      <c r="C102" s="54">
        <v>10</v>
      </c>
      <c r="D102" s="54">
        <v>3</v>
      </c>
      <c r="E102" s="54">
        <v>4</v>
      </c>
      <c r="F102" s="54">
        <v>6</v>
      </c>
      <c r="G102" s="54">
        <v>8</v>
      </c>
      <c r="H102" s="54">
        <v>10</v>
      </c>
      <c r="I102" s="54">
        <v>6</v>
      </c>
      <c r="J102" s="54">
        <v>5</v>
      </c>
      <c r="K102" s="54">
        <v>16</v>
      </c>
      <c r="L102" s="54">
        <v>7</v>
      </c>
      <c r="M102" s="54">
        <v>9</v>
      </c>
      <c r="N102" s="54">
        <v>8</v>
      </c>
      <c r="O102" s="54">
        <v>6</v>
      </c>
      <c r="P102" s="54">
        <v>12</v>
      </c>
      <c r="Q102" s="54">
        <v>13</v>
      </c>
      <c r="R102" s="54">
        <v>4</v>
      </c>
      <c r="S102" s="54">
        <v>11</v>
      </c>
      <c r="T102" s="54">
        <v>11</v>
      </c>
      <c r="U102" s="54">
        <v>14</v>
      </c>
      <c r="V102" s="54">
        <v>6</v>
      </c>
      <c r="W102" s="54">
        <v>7</v>
      </c>
      <c r="X102" s="54">
        <v>6</v>
      </c>
      <c r="Y102" s="54">
        <v>7</v>
      </c>
      <c r="Z102" s="54">
        <v>4</v>
      </c>
      <c r="AA102" s="54">
        <v>4</v>
      </c>
      <c r="AB102" s="54">
        <v>9</v>
      </c>
      <c r="AC102" s="54">
        <v>11</v>
      </c>
      <c r="AD102" s="54">
        <v>8</v>
      </c>
      <c r="AE102" s="54">
        <v>3</v>
      </c>
      <c r="AF102" s="54"/>
      <c r="AG102" s="5">
        <f t="shared" si="17"/>
        <v>241</v>
      </c>
    </row>
    <row r="103" spans="1:33" ht="15.75" customHeight="1" x14ac:dyDescent="0.25">
      <c r="A103" s="78" t="s">
        <v>51</v>
      </c>
      <c r="B103" s="54">
        <v>15</v>
      </c>
      <c r="C103" s="54">
        <v>6</v>
      </c>
      <c r="D103" s="54">
        <v>13</v>
      </c>
      <c r="E103" s="54">
        <v>9</v>
      </c>
      <c r="F103" s="54">
        <v>9</v>
      </c>
      <c r="G103" s="54">
        <v>6</v>
      </c>
      <c r="H103" s="54">
        <v>9</v>
      </c>
      <c r="I103" s="54">
        <v>17</v>
      </c>
      <c r="J103" s="54">
        <v>13</v>
      </c>
      <c r="K103" s="54">
        <v>11</v>
      </c>
      <c r="L103" s="54">
        <v>6</v>
      </c>
      <c r="M103" s="54">
        <v>6</v>
      </c>
      <c r="N103" s="54">
        <v>5</v>
      </c>
      <c r="O103" s="54">
        <v>11</v>
      </c>
      <c r="P103" s="54">
        <v>11</v>
      </c>
      <c r="Q103" s="54">
        <v>6</v>
      </c>
      <c r="R103" s="54">
        <v>7</v>
      </c>
      <c r="S103" s="54">
        <v>8</v>
      </c>
      <c r="T103" s="54">
        <v>7</v>
      </c>
      <c r="U103" s="54">
        <v>13</v>
      </c>
      <c r="V103" s="54">
        <v>11</v>
      </c>
      <c r="W103" s="54">
        <v>6</v>
      </c>
      <c r="X103" s="54">
        <v>14</v>
      </c>
      <c r="Y103" s="54">
        <v>6</v>
      </c>
      <c r="Z103" s="54">
        <v>3</v>
      </c>
      <c r="AA103" s="54">
        <v>12</v>
      </c>
      <c r="AB103" s="54">
        <v>4</v>
      </c>
      <c r="AC103" s="54">
        <v>10</v>
      </c>
      <c r="AD103" s="54">
        <v>11</v>
      </c>
      <c r="AE103" s="54">
        <v>12</v>
      </c>
      <c r="AF103" s="54"/>
      <c r="AG103" s="5">
        <f t="shared" si="17"/>
        <v>277</v>
      </c>
    </row>
    <row r="104" spans="1:33" ht="15.75" customHeight="1" x14ac:dyDescent="0.25">
      <c r="A104" s="78" t="s">
        <v>52</v>
      </c>
      <c r="B104" s="54">
        <v>7</v>
      </c>
      <c r="C104" s="54">
        <v>11</v>
      </c>
      <c r="D104" s="54">
        <v>3</v>
      </c>
      <c r="E104" s="54">
        <v>10</v>
      </c>
      <c r="F104" s="54">
        <v>6</v>
      </c>
      <c r="G104" s="54">
        <v>7</v>
      </c>
      <c r="H104" s="54">
        <v>10</v>
      </c>
      <c r="I104" s="54">
        <v>13</v>
      </c>
      <c r="J104" s="54">
        <v>8</v>
      </c>
      <c r="K104" s="54">
        <v>4</v>
      </c>
      <c r="L104" s="54">
        <v>9</v>
      </c>
      <c r="M104" s="54">
        <v>8</v>
      </c>
      <c r="N104" s="54">
        <v>9</v>
      </c>
      <c r="O104" s="54">
        <v>13</v>
      </c>
      <c r="P104" s="54">
        <v>4</v>
      </c>
      <c r="Q104" s="54">
        <v>6</v>
      </c>
      <c r="R104" s="54">
        <v>10</v>
      </c>
      <c r="S104" s="54">
        <v>12</v>
      </c>
      <c r="T104" s="54">
        <v>11</v>
      </c>
      <c r="U104" s="54">
        <v>14</v>
      </c>
      <c r="V104" s="54">
        <v>9</v>
      </c>
      <c r="W104" s="54">
        <v>5</v>
      </c>
      <c r="X104" s="54">
        <v>11</v>
      </c>
      <c r="Y104" s="54">
        <v>9</v>
      </c>
      <c r="Z104" s="54">
        <v>6</v>
      </c>
      <c r="AA104" s="54">
        <v>7</v>
      </c>
      <c r="AB104" s="54">
        <v>6</v>
      </c>
      <c r="AC104" s="54">
        <v>11</v>
      </c>
      <c r="AD104" s="54">
        <v>9</v>
      </c>
      <c r="AE104" s="54">
        <v>7</v>
      </c>
      <c r="AF104" s="54"/>
      <c r="AG104" s="5">
        <f t="shared" si="17"/>
        <v>255</v>
      </c>
    </row>
    <row r="105" spans="1:33" ht="15.75" customHeight="1" x14ac:dyDescent="0.25">
      <c r="A105" s="78" t="s">
        <v>53</v>
      </c>
      <c r="B105" s="54">
        <v>15</v>
      </c>
      <c r="C105" s="54">
        <v>9</v>
      </c>
      <c r="D105" s="54">
        <v>7</v>
      </c>
      <c r="E105" s="54">
        <v>8</v>
      </c>
      <c r="F105" s="54">
        <v>9</v>
      </c>
      <c r="G105" s="54">
        <v>4</v>
      </c>
      <c r="H105" s="54">
        <v>14</v>
      </c>
      <c r="I105" s="54">
        <v>14</v>
      </c>
      <c r="J105" s="54">
        <v>6</v>
      </c>
      <c r="K105" s="54">
        <v>3</v>
      </c>
      <c r="L105" s="54">
        <v>5</v>
      </c>
      <c r="M105" s="54">
        <v>8</v>
      </c>
      <c r="N105" s="54">
        <v>12</v>
      </c>
      <c r="O105" s="54">
        <v>10</v>
      </c>
      <c r="P105" s="54">
        <v>6</v>
      </c>
      <c r="Q105" s="54">
        <v>3</v>
      </c>
      <c r="R105" s="54">
        <v>13</v>
      </c>
      <c r="S105" s="54">
        <v>10</v>
      </c>
      <c r="T105" s="54">
        <v>8</v>
      </c>
      <c r="U105" s="54">
        <v>14</v>
      </c>
      <c r="V105" s="54">
        <v>8</v>
      </c>
      <c r="W105" s="54">
        <v>10</v>
      </c>
      <c r="X105" s="54">
        <v>2</v>
      </c>
      <c r="Y105" s="54">
        <v>11</v>
      </c>
      <c r="Z105" s="54">
        <v>7</v>
      </c>
      <c r="AA105" s="54">
        <v>4</v>
      </c>
      <c r="AB105" s="54">
        <v>4</v>
      </c>
      <c r="AC105" s="54">
        <v>13</v>
      </c>
      <c r="AD105" s="54">
        <v>10</v>
      </c>
      <c r="AE105" s="54">
        <v>5</v>
      </c>
      <c r="AF105" s="54"/>
      <c r="AG105" s="5">
        <f t="shared" si="17"/>
        <v>252</v>
      </c>
    </row>
    <row r="106" spans="1:33" ht="15.75" customHeight="1" x14ac:dyDescent="0.25">
      <c r="A106" s="78" t="s">
        <v>54</v>
      </c>
      <c r="B106" s="54">
        <v>11</v>
      </c>
      <c r="C106" s="54">
        <v>4</v>
      </c>
      <c r="D106" s="54">
        <v>4</v>
      </c>
      <c r="E106" s="54">
        <v>7</v>
      </c>
      <c r="F106" s="54">
        <v>11</v>
      </c>
      <c r="G106" s="54">
        <v>8</v>
      </c>
      <c r="H106" s="54">
        <v>6</v>
      </c>
      <c r="I106" s="54">
        <v>9</v>
      </c>
      <c r="J106" s="54">
        <v>12</v>
      </c>
      <c r="K106" s="54">
        <v>12</v>
      </c>
      <c r="L106" s="54">
        <v>9</v>
      </c>
      <c r="M106" s="54">
        <v>3</v>
      </c>
      <c r="N106" s="54">
        <v>10</v>
      </c>
      <c r="O106" s="54">
        <v>6</v>
      </c>
      <c r="P106" s="54">
        <v>11</v>
      </c>
      <c r="Q106" s="54">
        <v>6</v>
      </c>
      <c r="R106" s="54">
        <v>5</v>
      </c>
      <c r="S106" s="54">
        <v>8</v>
      </c>
      <c r="T106" s="54">
        <v>7</v>
      </c>
      <c r="U106" s="54">
        <v>7</v>
      </c>
      <c r="V106" s="54">
        <v>9</v>
      </c>
      <c r="W106" s="54">
        <v>12</v>
      </c>
      <c r="X106" s="54">
        <v>4</v>
      </c>
      <c r="Y106" s="54">
        <v>7</v>
      </c>
      <c r="Z106" s="54">
        <v>7</v>
      </c>
      <c r="AA106" s="54">
        <v>1</v>
      </c>
      <c r="AB106" s="54">
        <v>6</v>
      </c>
      <c r="AC106" s="54">
        <v>3</v>
      </c>
      <c r="AD106" s="54">
        <v>10</v>
      </c>
      <c r="AE106" s="54">
        <v>6</v>
      </c>
      <c r="AF106" s="54"/>
      <c r="AG106" s="5">
        <f t="shared" si="17"/>
        <v>221</v>
      </c>
    </row>
    <row r="107" spans="1:33" ht="15.75" customHeight="1" x14ac:dyDescent="0.25">
      <c r="A107" s="78" t="s">
        <v>55</v>
      </c>
      <c r="B107" s="54">
        <v>10</v>
      </c>
      <c r="C107" s="54">
        <v>7</v>
      </c>
      <c r="D107" s="54">
        <v>7</v>
      </c>
      <c r="E107" s="54">
        <v>11</v>
      </c>
      <c r="F107" s="54">
        <v>9</v>
      </c>
      <c r="G107" s="54">
        <v>4</v>
      </c>
      <c r="H107" s="54">
        <v>14</v>
      </c>
      <c r="I107" s="54">
        <v>11</v>
      </c>
      <c r="J107" s="54">
        <v>5</v>
      </c>
      <c r="K107" s="54">
        <v>11</v>
      </c>
      <c r="L107" s="54">
        <v>6</v>
      </c>
      <c r="M107" s="54">
        <v>5</v>
      </c>
      <c r="N107" s="54">
        <v>5</v>
      </c>
      <c r="O107" s="54">
        <v>10</v>
      </c>
      <c r="P107" s="54">
        <v>14</v>
      </c>
      <c r="Q107" s="54">
        <v>7</v>
      </c>
      <c r="R107" s="54">
        <v>2</v>
      </c>
      <c r="S107" s="54">
        <v>9</v>
      </c>
      <c r="T107" s="54">
        <v>4</v>
      </c>
      <c r="U107" s="54">
        <v>8</v>
      </c>
      <c r="V107" s="54">
        <v>10</v>
      </c>
      <c r="W107" s="54">
        <v>7</v>
      </c>
      <c r="X107" s="54">
        <v>6</v>
      </c>
      <c r="Y107" s="54">
        <v>11</v>
      </c>
      <c r="Z107" s="54">
        <v>2</v>
      </c>
      <c r="AA107" s="54">
        <v>3</v>
      </c>
      <c r="AB107" s="54">
        <v>5</v>
      </c>
      <c r="AC107" s="54">
        <v>9</v>
      </c>
      <c r="AD107" s="54">
        <v>9</v>
      </c>
      <c r="AE107" s="54">
        <v>1</v>
      </c>
      <c r="AF107" s="54"/>
      <c r="AG107" s="5">
        <f t="shared" si="17"/>
        <v>222</v>
      </c>
    </row>
    <row r="108" spans="1:33" ht="15.75" customHeight="1" x14ac:dyDescent="0.25">
      <c r="A108" s="78" t="s">
        <v>56</v>
      </c>
      <c r="B108" s="54">
        <v>9</v>
      </c>
      <c r="C108" s="54">
        <v>10</v>
      </c>
      <c r="D108" s="54">
        <v>16</v>
      </c>
      <c r="E108" s="54">
        <v>6</v>
      </c>
      <c r="F108" s="54">
        <v>3</v>
      </c>
      <c r="G108" s="54">
        <v>8</v>
      </c>
      <c r="H108" s="54">
        <v>16</v>
      </c>
      <c r="I108" s="54">
        <v>15</v>
      </c>
      <c r="J108" s="54">
        <v>11</v>
      </c>
      <c r="K108" s="54">
        <v>4</v>
      </c>
      <c r="L108" s="54">
        <v>3</v>
      </c>
      <c r="M108" s="54">
        <v>5</v>
      </c>
      <c r="N108" s="54">
        <v>13</v>
      </c>
      <c r="O108" s="54">
        <v>12</v>
      </c>
      <c r="P108" s="54">
        <v>13</v>
      </c>
      <c r="Q108" s="54">
        <v>13</v>
      </c>
      <c r="R108" s="54">
        <v>8</v>
      </c>
      <c r="S108" s="54">
        <v>2</v>
      </c>
      <c r="T108" s="54">
        <v>8</v>
      </c>
      <c r="U108" s="54">
        <v>12</v>
      </c>
      <c r="V108" s="54">
        <v>10</v>
      </c>
      <c r="W108" s="54">
        <v>9</v>
      </c>
      <c r="X108" s="54">
        <v>7</v>
      </c>
      <c r="Y108" s="54">
        <v>8</v>
      </c>
      <c r="Z108" s="54">
        <v>8</v>
      </c>
      <c r="AA108" s="54">
        <v>10</v>
      </c>
      <c r="AB108" s="54">
        <v>13</v>
      </c>
      <c r="AC108" s="54">
        <v>11</v>
      </c>
      <c r="AD108" s="54">
        <v>9</v>
      </c>
      <c r="AE108" s="54">
        <v>7</v>
      </c>
      <c r="AF108" s="54"/>
      <c r="AG108" s="5">
        <f t="shared" si="17"/>
        <v>279</v>
      </c>
    </row>
    <row r="109" spans="1:33" ht="15.75" customHeight="1" x14ac:dyDescent="0.25">
      <c r="A109" s="78" t="s">
        <v>57</v>
      </c>
      <c r="B109" s="54">
        <v>12</v>
      </c>
      <c r="C109" s="54">
        <v>11</v>
      </c>
      <c r="D109" s="54">
        <v>3</v>
      </c>
      <c r="E109" s="54">
        <v>7</v>
      </c>
      <c r="F109" s="54">
        <v>11</v>
      </c>
      <c r="G109" s="54">
        <v>6</v>
      </c>
      <c r="H109" s="54">
        <v>13</v>
      </c>
      <c r="I109" s="54">
        <v>7</v>
      </c>
      <c r="J109" s="54">
        <v>10</v>
      </c>
      <c r="K109" s="54">
        <v>1</v>
      </c>
      <c r="L109" s="54">
        <v>8</v>
      </c>
      <c r="M109" s="54">
        <v>6</v>
      </c>
      <c r="N109" s="54">
        <v>7</v>
      </c>
      <c r="O109" s="54">
        <v>8</v>
      </c>
      <c r="P109" s="54">
        <v>16</v>
      </c>
      <c r="Q109" s="54">
        <v>14</v>
      </c>
      <c r="R109" s="54">
        <v>15</v>
      </c>
      <c r="S109" s="54">
        <v>7</v>
      </c>
      <c r="T109" s="54">
        <v>6</v>
      </c>
      <c r="U109" s="54">
        <v>10</v>
      </c>
      <c r="V109" s="54">
        <v>12</v>
      </c>
      <c r="W109" s="54">
        <v>16</v>
      </c>
      <c r="X109" s="54">
        <v>7</v>
      </c>
      <c r="Y109" s="54">
        <v>7</v>
      </c>
      <c r="Z109" s="54">
        <v>7</v>
      </c>
      <c r="AA109" s="54">
        <v>5</v>
      </c>
      <c r="AB109" s="54">
        <v>4</v>
      </c>
      <c r="AC109" s="54">
        <v>11</v>
      </c>
      <c r="AD109" s="54">
        <v>14</v>
      </c>
      <c r="AE109" s="54">
        <v>7</v>
      </c>
      <c r="AF109" s="54"/>
      <c r="AG109" s="5">
        <f t="shared" si="17"/>
        <v>268</v>
      </c>
    </row>
    <row r="110" spans="1:33" ht="15.75" customHeight="1" x14ac:dyDescent="0.25">
      <c r="A110" s="78" t="s">
        <v>58</v>
      </c>
      <c r="B110" s="54">
        <v>10</v>
      </c>
      <c r="C110" s="54">
        <v>10</v>
      </c>
      <c r="D110" s="54">
        <v>5</v>
      </c>
      <c r="E110" s="54">
        <v>8</v>
      </c>
      <c r="F110" s="54">
        <v>10</v>
      </c>
      <c r="G110" s="54">
        <v>4</v>
      </c>
      <c r="H110" s="54">
        <v>10</v>
      </c>
      <c r="I110" s="54">
        <v>14</v>
      </c>
      <c r="J110" s="54">
        <v>9</v>
      </c>
      <c r="K110" s="54">
        <v>13</v>
      </c>
      <c r="L110" s="54">
        <v>6</v>
      </c>
      <c r="M110" s="54">
        <v>5</v>
      </c>
      <c r="N110" s="54">
        <v>8</v>
      </c>
      <c r="O110" s="54">
        <v>13</v>
      </c>
      <c r="P110" s="54">
        <v>6</v>
      </c>
      <c r="Q110" s="54">
        <v>8</v>
      </c>
      <c r="R110" s="54">
        <v>7</v>
      </c>
      <c r="S110" s="54">
        <v>8</v>
      </c>
      <c r="T110" s="54">
        <v>9</v>
      </c>
      <c r="U110" s="54">
        <v>20</v>
      </c>
      <c r="V110" s="54">
        <v>17</v>
      </c>
      <c r="W110" s="54">
        <v>16</v>
      </c>
      <c r="X110" s="54">
        <v>7</v>
      </c>
      <c r="Y110" s="54">
        <v>10</v>
      </c>
      <c r="Z110" s="54">
        <v>12</v>
      </c>
      <c r="AA110" s="54">
        <v>5</v>
      </c>
      <c r="AB110" s="54">
        <v>5</v>
      </c>
      <c r="AC110" s="54">
        <v>6</v>
      </c>
      <c r="AD110" s="54">
        <v>10</v>
      </c>
      <c r="AE110" s="54">
        <v>6</v>
      </c>
      <c r="AF110" s="54"/>
      <c r="AG110" s="5">
        <f t="shared" si="17"/>
        <v>277</v>
      </c>
    </row>
    <row r="111" spans="1:33" ht="15.75" customHeight="1" x14ac:dyDescent="0.25">
      <c r="A111" s="78" t="s">
        <v>59</v>
      </c>
      <c r="B111" s="54">
        <v>5</v>
      </c>
      <c r="C111" s="54">
        <v>3</v>
      </c>
      <c r="D111" s="54">
        <v>7</v>
      </c>
      <c r="E111" s="54">
        <v>6</v>
      </c>
      <c r="F111" s="54">
        <v>8</v>
      </c>
      <c r="G111" s="54">
        <v>6</v>
      </c>
      <c r="H111" s="54">
        <v>10</v>
      </c>
      <c r="I111" s="54">
        <v>4</v>
      </c>
      <c r="J111" s="54">
        <v>12</v>
      </c>
      <c r="K111" s="54">
        <v>8</v>
      </c>
      <c r="L111" s="54">
        <v>4</v>
      </c>
      <c r="M111" s="54">
        <v>4</v>
      </c>
      <c r="N111" s="54">
        <v>8</v>
      </c>
      <c r="O111" s="54">
        <v>8</v>
      </c>
      <c r="P111" s="54">
        <v>5</v>
      </c>
      <c r="Q111" s="54">
        <v>7</v>
      </c>
      <c r="R111" s="54">
        <v>11</v>
      </c>
      <c r="S111" s="54">
        <v>4</v>
      </c>
      <c r="T111" s="54">
        <v>9</v>
      </c>
      <c r="U111" s="54">
        <v>6</v>
      </c>
      <c r="V111" s="54">
        <v>13</v>
      </c>
      <c r="W111" s="54">
        <v>10</v>
      </c>
      <c r="X111" s="54">
        <v>6</v>
      </c>
      <c r="Y111" s="54">
        <v>4</v>
      </c>
      <c r="Z111" s="54">
        <v>8</v>
      </c>
      <c r="AA111" s="54">
        <v>7</v>
      </c>
      <c r="AB111" s="54">
        <v>3</v>
      </c>
      <c r="AC111" s="54">
        <v>12</v>
      </c>
      <c r="AD111" s="54">
        <v>7</v>
      </c>
      <c r="AE111" s="54">
        <v>6</v>
      </c>
      <c r="AF111" s="54"/>
      <c r="AG111" s="5">
        <f t="shared" si="17"/>
        <v>211</v>
      </c>
    </row>
    <row r="112" spans="1:33" ht="15.75" customHeight="1" x14ac:dyDescent="0.25">
      <c r="A112" s="78" t="s">
        <v>60</v>
      </c>
      <c r="B112" s="54">
        <v>12</v>
      </c>
      <c r="C112" s="54">
        <v>6</v>
      </c>
      <c r="D112" s="54">
        <v>7</v>
      </c>
      <c r="E112" s="54">
        <v>11</v>
      </c>
      <c r="F112" s="54">
        <v>7</v>
      </c>
      <c r="G112" s="54">
        <v>10</v>
      </c>
      <c r="H112" s="54">
        <v>5</v>
      </c>
      <c r="I112" s="54">
        <v>9</v>
      </c>
      <c r="J112" s="54">
        <v>13</v>
      </c>
      <c r="K112" s="54">
        <v>10</v>
      </c>
      <c r="L112" s="54">
        <v>8</v>
      </c>
      <c r="M112" s="54">
        <v>4</v>
      </c>
      <c r="N112" s="54">
        <v>6</v>
      </c>
      <c r="O112" s="54">
        <v>7</v>
      </c>
      <c r="P112" s="54">
        <v>7</v>
      </c>
      <c r="Q112" s="54">
        <v>7</v>
      </c>
      <c r="R112" s="54">
        <v>6</v>
      </c>
      <c r="S112" s="54">
        <v>6</v>
      </c>
      <c r="T112" s="54">
        <v>4</v>
      </c>
      <c r="U112" s="54">
        <v>10</v>
      </c>
      <c r="V112" s="54">
        <v>13</v>
      </c>
      <c r="W112" s="54">
        <v>10</v>
      </c>
      <c r="X112" s="54">
        <v>9</v>
      </c>
      <c r="Y112" s="54">
        <v>10</v>
      </c>
      <c r="Z112" s="54">
        <v>10</v>
      </c>
      <c r="AA112" s="54">
        <v>6</v>
      </c>
      <c r="AB112" s="54">
        <v>9</v>
      </c>
      <c r="AC112" s="54">
        <v>8</v>
      </c>
      <c r="AD112" s="54">
        <v>8</v>
      </c>
      <c r="AE112" s="54">
        <v>7</v>
      </c>
      <c r="AF112" s="54"/>
      <c r="AG112" s="5">
        <f t="shared" si="17"/>
        <v>245</v>
      </c>
    </row>
    <row r="113" spans="1:37" ht="15.75" customHeight="1" x14ac:dyDescent="0.25">
      <c r="A113" s="78" t="s">
        <v>61</v>
      </c>
      <c r="B113" s="54">
        <v>6</v>
      </c>
      <c r="C113" s="54">
        <v>1</v>
      </c>
      <c r="D113" s="54">
        <v>7</v>
      </c>
      <c r="E113" s="54">
        <v>5</v>
      </c>
      <c r="F113" s="54">
        <v>3</v>
      </c>
      <c r="G113" s="54">
        <v>4</v>
      </c>
      <c r="H113" s="54">
        <v>2</v>
      </c>
      <c r="I113" s="54">
        <v>3</v>
      </c>
      <c r="J113" s="54">
        <v>3</v>
      </c>
      <c r="K113" s="54">
        <v>3</v>
      </c>
      <c r="L113" s="54">
        <v>2</v>
      </c>
      <c r="M113" s="54">
        <v>2</v>
      </c>
      <c r="N113" s="54">
        <v>5</v>
      </c>
      <c r="O113" s="54">
        <v>4</v>
      </c>
      <c r="P113" s="54">
        <v>0</v>
      </c>
      <c r="Q113" s="54">
        <v>3</v>
      </c>
      <c r="R113" s="54">
        <v>5</v>
      </c>
      <c r="S113" s="54">
        <v>1</v>
      </c>
      <c r="T113" s="54">
        <v>2</v>
      </c>
      <c r="U113" s="54">
        <v>9</v>
      </c>
      <c r="V113" s="54">
        <v>4</v>
      </c>
      <c r="W113" s="54">
        <v>4</v>
      </c>
      <c r="X113" s="54">
        <v>3</v>
      </c>
      <c r="Y113" s="54">
        <v>4</v>
      </c>
      <c r="Z113" s="54">
        <v>5</v>
      </c>
      <c r="AA113" s="54">
        <v>3</v>
      </c>
      <c r="AB113" s="54">
        <v>3</v>
      </c>
      <c r="AC113" s="54">
        <v>5</v>
      </c>
      <c r="AD113" s="54">
        <v>7</v>
      </c>
      <c r="AE113" s="54">
        <v>6</v>
      </c>
      <c r="AF113" s="54"/>
      <c r="AG113" s="5">
        <f t="shared" si="17"/>
        <v>114</v>
      </c>
    </row>
    <row r="114" spans="1:37" ht="15.75" customHeight="1" x14ac:dyDescent="0.25">
      <c r="A114" s="78" t="s">
        <v>62</v>
      </c>
      <c r="B114" s="54">
        <v>12</v>
      </c>
      <c r="C114" s="54">
        <v>7</v>
      </c>
      <c r="D114" s="54">
        <v>6</v>
      </c>
      <c r="E114" s="54">
        <v>8</v>
      </c>
      <c r="F114" s="54">
        <v>9</v>
      </c>
      <c r="G114" s="54">
        <v>5</v>
      </c>
      <c r="H114" s="54">
        <v>14</v>
      </c>
      <c r="I114" s="54">
        <v>7</v>
      </c>
      <c r="J114" s="54">
        <v>0</v>
      </c>
      <c r="K114" s="54">
        <v>3</v>
      </c>
      <c r="L114" s="54">
        <v>5</v>
      </c>
      <c r="M114" s="54">
        <v>2</v>
      </c>
      <c r="N114" s="54">
        <v>3</v>
      </c>
      <c r="O114" s="54">
        <v>10</v>
      </c>
      <c r="P114" s="54">
        <v>11</v>
      </c>
      <c r="Q114" s="54">
        <v>8</v>
      </c>
      <c r="R114" s="54">
        <v>6</v>
      </c>
      <c r="S114" s="54">
        <v>5</v>
      </c>
      <c r="T114" s="54">
        <v>4</v>
      </c>
      <c r="U114" s="54">
        <v>9</v>
      </c>
      <c r="V114" s="54">
        <v>11</v>
      </c>
      <c r="W114" s="54">
        <v>14</v>
      </c>
      <c r="X114" s="54">
        <v>7</v>
      </c>
      <c r="Y114" s="54">
        <v>5</v>
      </c>
      <c r="Z114" s="54">
        <v>11</v>
      </c>
      <c r="AA114" s="54">
        <v>13</v>
      </c>
      <c r="AB114" s="54">
        <v>9</v>
      </c>
      <c r="AC114" s="54">
        <v>17</v>
      </c>
      <c r="AD114" s="54">
        <v>7</v>
      </c>
      <c r="AE114" s="54">
        <v>7</v>
      </c>
      <c r="AF114" s="54"/>
      <c r="AG114" s="5">
        <f t="shared" si="17"/>
        <v>235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48</v>
      </c>
      <c r="C116" s="20">
        <f t="shared" si="19"/>
        <v>44</v>
      </c>
      <c r="D116" s="20">
        <f t="shared" si="19"/>
        <v>29</v>
      </c>
      <c r="E116" s="20">
        <f t="shared" si="19"/>
        <v>26</v>
      </c>
      <c r="F116" s="20">
        <f t="shared" si="19"/>
        <v>24</v>
      </c>
      <c r="G116" s="20">
        <f t="shared" si="19"/>
        <v>33</v>
      </c>
      <c r="H116" s="20">
        <f t="shared" si="19"/>
        <v>45</v>
      </c>
      <c r="I116" s="20">
        <f t="shared" si="19"/>
        <v>23</v>
      </c>
      <c r="J116" s="20">
        <f t="shared" si="19"/>
        <v>34</v>
      </c>
      <c r="K116" s="20">
        <f t="shared" si="19"/>
        <v>20</v>
      </c>
      <c r="L116" s="20">
        <f t="shared" si="19"/>
        <v>22</v>
      </c>
      <c r="M116" s="20">
        <f t="shared" si="19"/>
        <v>19</v>
      </c>
      <c r="N116" s="20">
        <f t="shared" si="19"/>
        <v>29</v>
      </c>
      <c r="O116" s="20">
        <f t="shared" si="19"/>
        <v>42</v>
      </c>
      <c r="P116" s="20">
        <f t="shared" si="19"/>
        <v>44</v>
      </c>
      <c r="Q116" s="20">
        <f t="shared" si="19"/>
        <v>40</v>
      </c>
      <c r="R116" s="20">
        <f t="shared" si="19"/>
        <v>37</v>
      </c>
      <c r="S116" s="20">
        <f t="shared" si="19"/>
        <v>26</v>
      </c>
      <c r="T116" s="20">
        <f t="shared" si="19"/>
        <v>24</v>
      </c>
      <c r="U116" s="20">
        <f t="shared" si="19"/>
        <v>54</v>
      </c>
      <c r="V116" s="20">
        <f t="shared" si="19"/>
        <v>43</v>
      </c>
      <c r="W116" s="20">
        <f t="shared" si="19"/>
        <v>51</v>
      </c>
      <c r="X116" s="20">
        <f t="shared" si="19"/>
        <v>29</v>
      </c>
      <c r="Y116" s="20">
        <f t="shared" si="19"/>
        <v>41</v>
      </c>
      <c r="Z116" s="20">
        <f t="shared" si="19"/>
        <v>43</v>
      </c>
      <c r="AA116" s="20">
        <f t="shared" si="19"/>
        <v>32</v>
      </c>
      <c r="AB116" s="20">
        <f t="shared" si="19"/>
        <v>28</v>
      </c>
      <c r="AC116" s="20">
        <f t="shared" si="19"/>
        <v>44</v>
      </c>
      <c r="AD116" s="20">
        <f t="shared" si="19"/>
        <v>42</v>
      </c>
      <c r="AE116" s="20">
        <f t="shared" si="19"/>
        <v>36</v>
      </c>
      <c r="AF116" s="20">
        <f t="shared" si="19"/>
        <v>0</v>
      </c>
      <c r="AG116" s="5">
        <f t="shared" si="17"/>
        <v>1052</v>
      </c>
      <c r="AK116" s="84">
        <v>612</v>
      </c>
    </row>
    <row r="117" spans="1:37" ht="15.75" customHeight="1" x14ac:dyDescent="0.25">
      <c r="A117" s="85" t="s">
        <v>64</v>
      </c>
      <c r="B117" s="54">
        <v>42</v>
      </c>
      <c r="C117" s="54">
        <v>35</v>
      </c>
      <c r="D117" s="54">
        <v>25</v>
      </c>
      <c r="E117" s="54">
        <v>22</v>
      </c>
      <c r="F117" s="54">
        <v>20</v>
      </c>
      <c r="G117" s="54">
        <v>31</v>
      </c>
      <c r="H117" s="54">
        <v>32</v>
      </c>
      <c r="I117" s="54">
        <v>14</v>
      </c>
      <c r="J117" s="54">
        <v>29</v>
      </c>
      <c r="K117" s="54">
        <v>18</v>
      </c>
      <c r="L117" s="54">
        <v>21</v>
      </c>
      <c r="M117" s="54">
        <v>15</v>
      </c>
      <c r="N117" s="54">
        <v>26</v>
      </c>
      <c r="O117" s="54">
        <v>32</v>
      </c>
      <c r="P117" s="54">
        <v>35</v>
      </c>
      <c r="Q117" s="54">
        <v>30</v>
      </c>
      <c r="R117" s="54">
        <v>34</v>
      </c>
      <c r="S117" s="54">
        <v>24</v>
      </c>
      <c r="T117" s="54">
        <v>19</v>
      </c>
      <c r="U117" s="54">
        <v>49</v>
      </c>
      <c r="V117" s="54">
        <v>33</v>
      </c>
      <c r="W117" s="54">
        <v>41</v>
      </c>
      <c r="X117" s="54">
        <v>23</v>
      </c>
      <c r="Y117" s="54">
        <v>30</v>
      </c>
      <c r="Z117" s="54">
        <v>34</v>
      </c>
      <c r="AA117" s="54">
        <v>28</v>
      </c>
      <c r="AB117" s="54">
        <v>21</v>
      </c>
      <c r="AC117" s="54">
        <v>35</v>
      </c>
      <c r="AD117" s="54">
        <v>30</v>
      </c>
      <c r="AE117" s="54">
        <v>25</v>
      </c>
      <c r="AF117" s="54"/>
      <c r="AG117" s="5">
        <f t="shared" si="17"/>
        <v>853</v>
      </c>
      <c r="AK117" s="84">
        <v>613</v>
      </c>
    </row>
    <row r="118" spans="1:37" ht="15.75" customHeight="1" thickBot="1" x14ac:dyDescent="0.3">
      <c r="A118" s="86" t="s">
        <v>76</v>
      </c>
      <c r="B118" s="87">
        <v>6</v>
      </c>
      <c r="C118" s="87">
        <v>9</v>
      </c>
      <c r="D118" s="87">
        <v>4</v>
      </c>
      <c r="E118" s="87">
        <v>4</v>
      </c>
      <c r="F118" s="87">
        <v>4</v>
      </c>
      <c r="G118" s="87">
        <v>2</v>
      </c>
      <c r="H118" s="87">
        <v>13</v>
      </c>
      <c r="I118" s="87">
        <v>9</v>
      </c>
      <c r="J118" s="87">
        <v>5</v>
      </c>
      <c r="K118" s="87">
        <v>2</v>
      </c>
      <c r="L118" s="87">
        <v>1</v>
      </c>
      <c r="M118" s="87">
        <v>4</v>
      </c>
      <c r="N118" s="87">
        <v>3</v>
      </c>
      <c r="O118" s="87">
        <v>10</v>
      </c>
      <c r="P118" s="87">
        <v>9</v>
      </c>
      <c r="Q118" s="87">
        <v>10</v>
      </c>
      <c r="R118" s="87">
        <v>3</v>
      </c>
      <c r="S118" s="87">
        <v>2</v>
      </c>
      <c r="T118" s="87">
        <v>5</v>
      </c>
      <c r="U118" s="87">
        <v>5</v>
      </c>
      <c r="V118" s="87">
        <v>10</v>
      </c>
      <c r="W118" s="87">
        <v>10</v>
      </c>
      <c r="X118" s="87">
        <v>6</v>
      </c>
      <c r="Y118" s="87">
        <v>11</v>
      </c>
      <c r="Z118" s="87">
        <v>9</v>
      </c>
      <c r="AA118" s="87">
        <v>4</v>
      </c>
      <c r="AB118" s="87">
        <v>7</v>
      </c>
      <c r="AC118" s="87">
        <v>9</v>
      </c>
      <c r="AD118" s="87">
        <v>12</v>
      </c>
      <c r="AE118" s="87">
        <v>11</v>
      </c>
      <c r="AF118" s="87"/>
      <c r="AG118" s="5">
        <f t="shared" si="17"/>
        <v>199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176</v>
      </c>
      <c r="C119" s="20">
        <f t="shared" si="20"/>
        <v>123</v>
      </c>
      <c r="D119" s="20">
        <f t="shared" si="20"/>
        <v>118</v>
      </c>
      <c r="E119" s="20">
        <f t="shared" si="20"/>
        <v>124</v>
      </c>
      <c r="F119" s="20">
        <f t="shared" si="20"/>
        <v>125</v>
      </c>
      <c r="G119" s="20">
        <f t="shared" si="20"/>
        <v>103</v>
      </c>
      <c r="H119" s="20">
        <f t="shared" si="20"/>
        <v>174</v>
      </c>
      <c r="I119" s="20">
        <f t="shared" si="20"/>
        <v>157</v>
      </c>
      <c r="J119" s="20">
        <f t="shared" si="20"/>
        <v>140</v>
      </c>
      <c r="K119" s="20">
        <f t="shared" si="20"/>
        <v>113</v>
      </c>
      <c r="L119" s="20">
        <f t="shared" si="20"/>
        <v>105</v>
      </c>
      <c r="M119" s="20">
        <f t="shared" si="20"/>
        <v>86</v>
      </c>
      <c r="N119" s="20">
        <f t="shared" si="20"/>
        <v>117</v>
      </c>
      <c r="O119" s="20">
        <f t="shared" si="20"/>
        <v>146</v>
      </c>
      <c r="P119" s="20">
        <f t="shared" si="20"/>
        <v>140</v>
      </c>
      <c r="Q119" s="20">
        <f t="shared" si="20"/>
        <v>125</v>
      </c>
      <c r="R119" s="20">
        <f t="shared" si="20"/>
        <v>121</v>
      </c>
      <c r="S119" s="20">
        <f t="shared" si="20"/>
        <v>114</v>
      </c>
      <c r="T119" s="20">
        <f t="shared" si="20"/>
        <v>98</v>
      </c>
      <c r="U119" s="20">
        <f t="shared" si="20"/>
        <v>183</v>
      </c>
      <c r="V119" s="20">
        <f t="shared" si="20"/>
        <v>161</v>
      </c>
      <c r="W119" s="20">
        <f t="shared" si="20"/>
        <v>155</v>
      </c>
      <c r="X119" s="20">
        <f t="shared" si="20"/>
        <v>107</v>
      </c>
      <c r="Y119" s="20">
        <f t="shared" si="20"/>
        <v>122</v>
      </c>
      <c r="Z119" s="20">
        <f t="shared" si="20"/>
        <v>110</v>
      </c>
      <c r="AA119" s="20">
        <f t="shared" si="20"/>
        <v>100</v>
      </c>
      <c r="AB119" s="20">
        <f t="shared" si="20"/>
        <v>101</v>
      </c>
      <c r="AC119" s="20">
        <f t="shared" si="20"/>
        <v>146</v>
      </c>
      <c r="AD119" s="20">
        <f t="shared" si="20"/>
        <v>139</v>
      </c>
      <c r="AE119" s="20">
        <f t="shared" si="20"/>
        <v>92</v>
      </c>
      <c r="AF119" s="20">
        <f t="shared" si="20"/>
        <v>0</v>
      </c>
      <c r="AG119" s="7">
        <f t="shared" si="17"/>
        <v>3821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36</v>
      </c>
      <c r="C120" s="54">
        <v>33</v>
      </c>
      <c r="D120" s="54">
        <v>23</v>
      </c>
      <c r="E120" s="54">
        <v>22</v>
      </c>
      <c r="F120" s="54">
        <v>20</v>
      </c>
      <c r="G120" s="54">
        <v>28</v>
      </c>
      <c r="H120" s="54">
        <v>31</v>
      </c>
      <c r="I120" s="54">
        <v>14</v>
      </c>
      <c r="J120" s="54">
        <v>28</v>
      </c>
      <c r="K120" s="54">
        <v>17</v>
      </c>
      <c r="L120" s="54">
        <v>16</v>
      </c>
      <c r="M120" s="54">
        <v>15</v>
      </c>
      <c r="N120" s="54">
        <v>25</v>
      </c>
      <c r="O120" s="54">
        <v>31</v>
      </c>
      <c r="P120" s="54">
        <v>35</v>
      </c>
      <c r="Q120" s="54">
        <v>28</v>
      </c>
      <c r="R120" s="54">
        <v>32</v>
      </c>
      <c r="S120" s="54">
        <v>23</v>
      </c>
      <c r="T120" s="54">
        <v>19</v>
      </c>
      <c r="U120" s="54">
        <v>48</v>
      </c>
      <c r="V120" s="54">
        <v>32</v>
      </c>
      <c r="W120" s="54">
        <v>38</v>
      </c>
      <c r="X120" s="54">
        <v>22</v>
      </c>
      <c r="Y120" s="54">
        <v>30</v>
      </c>
      <c r="Z120" s="54">
        <v>30</v>
      </c>
      <c r="AA120" s="54">
        <v>26</v>
      </c>
      <c r="AB120" s="54">
        <v>18</v>
      </c>
      <c r="AC120" s="54">
        <v>35</v>
      </c>
      <c r="AD120" s="54">
        <v>29</v>
      </c>
      <c r="AE120" s="54">
        <v>25</v>
      </c>
      <c r="AF120" s="54"/>
      <c r="AG120" s="5">
        <f t="shared" si="17"/>
        <v>809</v>
      </c>
      <c r="AK120" s="88" t="s">
        <v>130</v>
      </c>
    </row>
    <row r="121" spans="1:37" ht="15.75" customHeight="1" x14ac:dyDescent="0.25">
      <c r="A121" s="85" t="s">
        <v>65</v>
      </c>
      <c r="B121" s="54">
        <v>6</v>
      </c>
      <c r="C121" s="54">
        <v>3</v>
      </c>
      <c r="D121" s="54">
        <v>3</v>
      </c>
      <c r="E121" s="54">
        <v>1</v>
      </c>
      <c r="F121" s="54">
        <v>1</v>
      </c>
      <c r="G121" s="54">
        <v>3</v>
      </c>
      <c r="H121" s="54">
        <v>4</v>
      </c>
      <c r="I121" s="54">
        <v>1</v>
      </c>
      <c r="J121" s="54">
        <v>6</v>
      </c>
      <c r="K121" s="54">
        <v>4</v>
      </c>
      <c r="L121" s="54">
        <v>3</v>
      </c>
      <c r="M121" s="54">
        <v>3</v>
      </c>
      <c r="N121" s="54">
        <v>2</v>
      </c>
      <c r="O121" s="54">
        <v>4</v>
      </c>
      <c r="P121" s="54">
        <v>3</v>
      </c>
      <c r="Q121" s="54">
        <v>1</v>
      </c>
      <c r="R121" s="54">
        <v>2</v>
      </c>
      <c r="S121" s="54">
        <v>1</v>
      </c>
      <c r="T121" s="54">
        <v>4</v>
      </c>
      <c r="U121" s="54">
        <v>4</v>
      </c>
      <c r="V121" s="54">
        <v>2</v>
      </c>
      <c r="W121" s="54">
        <v>5</v>
      </c>
      <c r="X121" s="54">
        <v>1</v>
      </c>
      <c r="Y121" s="54">
        <v>5</v>
      </c>
      <c r="Z121" s="54">
        <v>0</v>
      </c>
      <c r="AA121" s="54">
        <v>2</v>
      </c>
      <c r="AB121" s="54">
        <v>3</v>
      </c>
      <c r="AC121" s="54">
        <v>5</v>
      </c>
      <c r="AD121" s="54">
        <v>5</v>
      </c>
      <c r="AE121" s="54">
        <v>4</v>
      </c>
      <c r="AF121" s="54"/>
      <c r="AG121" s="5">
        <f t="shared" si="17"/>
        <v>91</v>
      </c>
      <c r="AK121" s="84" t="s">
        <v>131</v>
      </c>
    </row>
    <row r="122" spans="1:37" ht="15.75" customHeight="1" x14ac:dyDescent="0.25">
      <c r="A122" s="85" t="s">
        <v>66</v>
      </c>
      <c r="B122" s="54">
        <v>8</v>
      </c>
      <c r="C122" s="54">
        <v>5</v>
      </c>
      <c r="D122" s="54">
        <v>6</v>
      </c>
      <c r="E122" s="54">
        <v>2</v>
      </c>
      <c r="F122" s="54">
        <v>2</v>
      </c>
      <c r="G122" s="54">
        <v>1</v>
      </c>
      <c r="H122" s="54">
        <v>7</v>
      </c>
      <c r="I122" s="54">
        <v>6</v>
      </c>
      <c r="J122" s="54">
        <v>14</v>
      </c>
      <c r="K122" s="54">
        <v>3</v>
      </c>
      <c r="L122" s="54">
        <v>3</v>
      </c>
      <c r="M122" s="54">
        <v>2</v>
      </c>
      <c r="N122" s="54">
        <v>9</v>
      </c>
      <c r="O122" s="54">
        <v>9</v>
      </c>
      <c r="P122" s="54">
        <v>10</v>
      </c>
      <c r="Q122" s="54">
        <v>6</v>
      </c>
      <c r="R122" s="54">
        <v>11</v>
      </c>
      <c r="S122" s="54">
        <v>7</v>
      </c>
      <c r="T122" s="54">
        <v>4</v>
      </c>
      <c r="U122" s="54">
        <v>8</v>
      </c>
      <c r="V122" s="54">
        <v>9</v>
      </c>
      <c r="W122" s="54">
        <v>9</v>
      </c>
      <c r="X122" s="54">
        <v>5</v>
      </c>
      <c r="Y122" s="54">
        <v>5</v>
      </c>
      <c r="Z122" s="54">
        <v>11</v>
      </c>
      <c r="AA122" s="54">
        <v>5</v>
      </c>
      <c r="AB122" s="54">
        <v>1</v>
      </c>
      <c r="AC122" s="54">
        <v>5</v>
      </c>
      <c r="AD122" s="54">
        <v>7</v>
      </c>
      <c r="AE122" s="54">
        <v>3</v>
      </c>
      <c r="AF122" s="54"/>
      <c r="AG122" s="5">
        <f t="shared" si="17"/>
        <v>183</v>
      </c>
      <c r="AK122" s="88" t="s">
        <v>132</v>
      </c>
    </row>
    <row r="123" spans="1:37" ht="15.75" customHeight="1" x14ac:dyDescent="0.25">
      <c r="A123" s="85" t="s">
        <v>67</v>
      </c>
      <c r="B123" s="54">
        <v>12</v>
      </c>
      <c r="C123" s="54">
        <v>7</v>
      </c>
      <c r="D123" s="54">
        <v>6</v>
      </c>
      <c r="E123" s="54">
        <v>8</v>
      </c>
      <c r="F123" s="54">
        <v>7</v>
      </c>
      <c r="G123" s="54">
        <v>4</v>
      </c>
      <c r="H123" s="54">
        <v>6</v>
      </c>
      <c r="I123" s="54">
        <v>6</v>
      </c>
      <c r="J123" s="54">
        <v>2</v>
      </c>
      <c r="K123" s="54">
        <v>4</v>
      </c>
      <c r="L123" s="54">
        <v>3</v>
      </c>
      <c r="M123" s="54">
        <v>2</v>
      </c>
      <c r="N123" s="54">
        <v>7</v>
      </c>
      <c r="O123" s="54">
        <v>2</v>
      </c>
      <c r="P123" s="54">
        <v>5</v>
      </c>
      <c r="Q123" s="54">
        <v>2</v>
      </c>
      <c r="R123" s="54">
        <v>2</v>
      </c>
      <c r="S123" s="54">
        <v>6</v>
      </c>
      <c r="T123" s="54">
        <v>3</v>
      </c>
      <c r="U123" s="54">
        <v>9</v>
      </c>
      <c r="V123" s="54">
        <v>5</v>
      </c>
      <c r="W123" s="54">
        <v>6</v>
      </c>
      <c r="X123" s="54">
        <v>6</v>
      </c>
      <c r="Y123" s="54">
        <v>9</v>
      </c>
      <c r="Z123" s="54">
        <v>7</v>
      </c>
      <c r="AA123" s="54">
        <v>2</v>
      </c>
      <c r="AB123" s="54">
        <v>7</v>
      </c>
      <c r="AC123" s="54">
        <v>3</v>
      </c>
      <c r="AD123" s="54">
        <v>6</v>
      </c>
      <c r="AE123" s="54">
        <v>3</v>
      </c>
      <c r="AF123" s="54"/>
      <c r="AG123" s="5">
        <f t="shared" si="17"/>
        <v>157</v>
      </c>
      <c r="AK123" s="84" t="s">
        <v>133</v>
      </c>
    </row>
    <row r="124" spans="1:37" ht="15.75" customHeight="1" x14ac:dyDescent="0.25">
      <c r="A124" s="85" t="s">
        <v>68</v>
      </c>
      <c r="B124" s="54">
        <v>14</v>
      </c>
      <c r="C124" s="54">
        <v>5</v>
      </c>
      <c r="D124" s="54">
        <v>6</v>
      </c>
      <c r="E124" s="54">
        <v>4</v>
      </c>
      <c r="F124" s="54">
        <v>9</v>
      </c>
      <c r="G124" s="54">
        <v>3</v>
      </c>
      <c r="H124" s="54">
        <v>11</v>
      </c>
      <c r="I124" s="54">
        <v>9</v>
      </c>
      <c r="J124" s="54">
        <v>10</v>
      </c>
      <c r="K124" s="54">
        <v>7</v>
      </c>
      <c r="L124" s="54">
        <v>4</v>
      </c>
      <c r="M124" s="54">
        <v>4</v>
      </c>
      <c r="N124" s="54">
        <v>9</v>
      </c>
      <c r="O124" s="54">
        <v>3</v>
      </c>
      <c r="P124" s="54">
        <v>6</v>
      </c>
      <c r="Q124" s="54">
        <v>11</v>
      </c>
      <c r="R124" s="54">
        <v>5</v>
      </c>
      <c r="S124" s="54">
        <v>6</v>
      </c>
      <c r="T124" s="54">
        <v>5</v>
      </c>
      <c r="U124" s="54">
        <v>8</v>
      </c>
      <c r="V124" s="54">
        <v>9</v>
      </c>
      <c r="W124" s="54">
        <v>19</v>
      </c>
      <c r="X124" s="54">
        <v>6</v>
      </c>
      <c r="Y124" s="54">
        <v>9</v>
      </c>
      <c r="Z124" s="54">
        <v>3</v>
      </c>
      <c r="AA124" s="54">
        <v>4</v>
      </c>
      <c r="AB124" s="54">
        <v>6</v>
      </c>
      <c r="AC124" s="54">
        <v>6</v>
      </c>
      <c r="AD124" s="54">
        <v>17</v>
      </c>
      <c r="AE124" s="54">
        <v>3</v>
      </c>
      <c r="AF124" s="54"/>
      <c r="AG124" s="5">
        <f t="shared" si="17"/>
        <v>221</v>
      </c>
      <c r="AK124" s="88" t="s">
        <v>134</v>
      </c>
    </row>
    <row r="125" spans="1:37" ht="15.75" customHeight="1" x14ac:dyDescent="0.25">
      <c r="A125" s="85" t="s">
        <v>69</v>
      </c>
      <c r="B125" s="54">
        <v>88</v>
      </c>
      <c r="C125" s="54">
        <v>52</v>
      </c>
      <c r="D125" s="54">
        <v>62</v>
      </c>
      <c r="E125" s="54">
        <v>74</v>
      </c>
      <c r="F125" s="54">
        <v>72</v>
      </c>
      <c r="G125" s="54">
        <v>50</v>
      </c>
      <c r="H125" s="54">
        <v>83</v>
      </c>
      <c r="I125" s="54">
        <v>103</v>
      </c>
      <c r="J125" s="54">
        <v>60</v>
      </c>
      <c r="K125" s="54">
        <v>64</v>
      </c>
      <c r="L125" s="54">
        <v>68</v>
      </c>
      <c r="M125" s="54">
        <v>46</v>
      </c>
      <c r="N125" s="54">
        <v>57</v>
      </c>
      <c r="O125" s="54">
        <v>74</v>
      </c>
      <c r="P125" s="54">
        <v>61</v>
      </c>
      <c r="Q125" s="54">
        <v>63</v>
      </c>
      <c r="R125" s="54">
        <v>54</v>
      </c>
      <c r="S125" s="54">
        <v>65</v>
      </c>
      <c r="T125" s="54">
        <v>50</v>
      </c>
      <c r="U125" s="54">
        <v>76</v>
      </c>
      <c r="V125" s="54">
        <v>84</v>
      </c>
      <c r="W125" s="54">
        <v>58</v>
      </c>
      <c r="X125" s="54">
        <v>47</v>
      </c>
      <c r="Y125" s="54">
        <v>43</v>
      </c>
      <c r="Z125" s="54">
        <v>44</v>
      </c>
      <c r="AA125" s="54">
        <v>49</v>
      </c>
      <c r="AB125" s="54">
        <v>44</v>
      </c>
      <c r="AC125" s="54">
        <v>70</v>
      </c>
      <c r="AD125" s="54">
        <v>54</v>
      </c>
      <c r="AE125" s="54">
        <v>38</v>
      </c>
      <c r="AF125" s="54"/>
      <c r="AG125" s="5">
        <f t="shared" si="17"/>
        <v>1853</v>
      </c>
      <c r="AK125" s="88" t="s">
        <v>135</v>
      </c>
    </row>
    <row r="126" spans="1:37" ht="15.75" customHeight="1" x14ac:dyDescent="0.25">
      <c r="A126" s="85" t="s">
        <v>70</v>
      </c>
      <c r="B126" s="54">
        <v>3</v>
      </c>
      <c r="C126" s="54">
        <v>3</v>
      </c>
      <c r="D126" s="54">
        <v>4</v>
      </c>
      <c r="E126" s="54">
        <v>2</v>
      </c>
      <c r="F126" s="54">
        <v>4</v>
      </c>
      <c r="G126" s="54">
        <v>5</v>
      </c>
      <c r="H126" s="54">
        <v>3</v>
      </c>
      <c r="I126" s="54">
        <v>3</v>
      </c>
      <c r="J126" s="54">
        <v>8</v>
      </c>
      <c r="K126" s="54">
        <v>3</v>
      </c>
      <c r="L126" s="54">
        <v>2</v>
      </c>
      <c r="M126" s="54">
        <v>4</v>
      </c>
      <c r="N126" s="54">
        <v>1</v>
      </c>
      <c r="O126" s="54">
        <v>3</v>
      </c>
      <c r="P126" s="54">
        <v>1</v>
      </c>
      <c r="Q126" s="54">
        <v>2</v>
      </c>
      <c r="R126" s="54">
        <v>4</v>
      </c>
      <c r="S126" s="54">
        <v>0</v>
      </c>
      <c r="T126" s="54">
        <v>1</v>
      </c>
      <c r="U126" s="54">
        <v>5</v>
      </c>
      <c r="V126" s="54">
        <v>1</v>
      </c>
      <c r="W126" s="54">
        <v>2</v>
      </c>
      <c r="X126" s="54">
        <v>3</v>
      </c>
      <c r="Y126" s="54">
        <v>1</v>
      </c>
      <c r="Z126" s="54">
        <v>1</v>
      </c>
      <c r="AA126" s="54">
        <v>1</v>
      </c>
      <c r="AB126" s="54">
        <v>1</v>
      </c>
      <c r="AC126" s="54">
        <v>2</v>
      </c>
      <c r="AD126" s="54">
        <v>0</v>
      </c>
      <c r="AE126" s="54">
        <v>0</v>
      </c>
      <c r="AF126" s="54"/>
      <c r="AG126" s="5">
        <f t="shared" si="17"/>
        <v>73</v>
      </c>
      <c r="AK126" s="84" t="s">
        <v>136</v>
      </c>
    </row>
    <row r="127" spans="1:37" ht="15.75" customHeight="1" x14ac:dyDescent="0.25">
      <c r="A127" s="85" t="s">
        <v>71</v>
      </c>
      <c r="B127" s="54">
        <v>0</v>
      </c>
      <c r="C127" s="54">
        <v>0</v>
      </c>
      <c r="D127" s="54">
        <v>1</v>
      </c>
      <c r="E127" s="54">
        <v>2</v>
      </c>
      <c r="F127" s="54">
        <v>0</v>
      </c>
      <c r="G127" s="54">
        <v>0</v>
      </c>
      <c r="H127" s="54">
        <v>3</v>
      </c>
      <c r="I127" s="54">
        <v>0</v>
      </c>
      <c r="J127" s="54">
        <v>0</v>
      </c>
      <c r="K127" s="54">
        <v>1</v>
      </c>
      <c r="L127" s="54">
        <v>0</v>
      </c>
      <c r="M127" s="54">
        <v>4</v>
      </c>
      <c r="N127" s="54">
        <v>1</v>
      </c>
      <c r="O127" s="54">
        <v>1</v>
      </c>
      <c r="P127" s="54">
        <v>1</v>
      </c>
      <c r="Q127" s="54">
        <v>2</v>
      </c>
      <c r="R127" s="54">
        <v>2</v>
      </c>
      <c r="S127" s="54">
        <v>1</v>
      </c>
      <c r="T127" s="54">
        <v>1</v>
      </c>
      <c r="U127" s="54">
        <v>4</v>
      </c>
      <c r="V127" s="54">
        <v>1</v>
      </c>
      <c r="W127" s="54">
        <v>2</v>
      </c>
      <c r="X127" s="54">
        <v>1</v>
      </c>
      <c r="Y127" s="54">
        <v>2</v>
      </c>
      <c r="Z127" s="54">
        <v>1</v>
      </c>
      <c r="AA127" s="54">
        <v>0</v>
      </c>
      <c r="AB127" s="54">
        <v>2</v>
      </c>
      <c r="AC127" s="54">
        <v>3</v>
      </c>
      <c r="AD127" s="54">
        <v>2</v>
      </c>
      <c r="AE127" s="54">
        <v>0</v>
      </c>
      <c r="AF127" s="54"/>
      <c r="AG127" s="5">
        <f t="shared" si="17"/>
        <v>38</v>
      </c>
      <c r="AK127" s="88" t="s">
        <v>137</v>
      </c>
    </row>
    <row r="128" spans="1:37" ht="15.75" customHeight="1" x14ac:dyDescent="0.25">
      <c r="A128" s="56" t="s">
        <v>72</v>
      </c>
      <c r="B128" s="54">
        <v>0</v>
      </c>
      <c r="C128" s="54">
        <v>1</v>
      </c>
      <c r="D128" s="54">
        <v>0</v>
      </c>
      <c r="E128" s="54">
        <v>1</v>
      </c>
      <c r="F128" s="54">
        <v>0</v>
      </c>
      <c r="G128" s="54">
        <v>3</v>
      </c>
      <c r="H128" s="54">
        <v>2</v>
      </c>
      <c r="I128" s="54">
        <v>1</v>
      </c>
      <c r="J128" s="54">
        <v>0</v>
      </c>
      <c r="K128" s="54">
        <v>2</v>
      </c>
      <c r="L128" s="54">
        <v>1</v>
      </c>
      <c r="M128" s="54">
        <v>0</v>
      </c>
      <c r="N128" s="54">
        <v>1</v>
      </c>
      <c r="O128" s="54">
        <v>0</v>
      </c>
      <c r="P128" s="54">
        <v>2</v>
      </c>
      <c r="Q128" s="54">
        <v>0</v>
      </c>
      <c r="R128" s="54">
        <v>2</v>
      </c>
      <c r="S128" s="54">
        <v>0</v>
      </c>
      <c r="T128" s="54">
        <v>1</v>
      </c>
      <c r="U128" s="54">
        <v>4</v>
      </c>
      <c r="V128" s="54">
        <v>1</v>
      </c>
      <c r="W128" s="54">
        <v>1</v>
      </c>
      <c r="X128" s="54">
        <v>3</v>
      </c>
      <c r="Y128" s="54">
        <v>1</v>
      </c>
      <c r="Z128" s="54">
        <v>0</v>
      </c>
      <c r="AA128" s="54">
        <v>1</v>
      </c>
      <c r="AB128" s="54">
        <v>2</v>
      </c>
      <c r="AC128" s="54">
        <v>2</v>
      </c>
      <c r="AD128" s="54">
        <v>2</v>
      </c>
      <c r="AE128" s="54">
        <v>2</v>
      </c>
      <c r="AF128" s="54"/>
      <c r="AG128" s="5">
        <f t="shared" si="17"/>
        <v>36</v>
      </c>
      <c r="AK128" s="88" t="s">
        <v>138</v>
      </c>
    </row>
    <row r="129" spans="1:37" ht="15.75" customHeight="1" x14ac:dyDescent="0.25">
      <c r="A129" s="56" t="s">
        <v>73</v>
      </c>
      <c r="B129" s="54">
        <v>0</v>
      </c>
      <c r="C129" s="54">
        <v>1</v>
      </c>
      <c r="D129" s="54">
        <v>2</v>
      </c>
      <c r="E129" s="54">
        <v>2</v>
      </c>
      <c r="F129" s="54">
        <v>1</v>
      </c>
      <c r="G129" s="54">
        <v>1</v>
      </c>
      <c r="H129" s="54">
        <v>1</v>
      </c>
      <c r="I129" s="54">
        <v>0</v>
      </c>
      <c r="J129" s="54">
        <v>2</v>
      </c>
      <c r="K129" s="54">
        <v>1</v>
      </c>
      <c r="L129" s="54">
        <v>1</v>
      </c>
      <c r="M129" s="54">
        <v>1</v>
      </c>
      <c r="N129" s="54">
        <v>1</v>
      </c>
      <c r="O129" s="54">
        <v>4</v>
      </c>
      <c r="P129" s="54">
        <v>0</v>
      </c>
      <c r="Q129" s="54">
        <v>0</v>
      </c>
      <c r="R129" s="54">
        <v>0</v>
      </c>
      <c r="S129" s="54">
        <v>0</v>
      </c>
      <c r="T129" s="54">
        <v>1</v>
      </c>
      <c r="U129" s="54">
        <v>2</v>
      </c>
      <c r="V129" s="54">
        <v>1</v>
      </c>
      <c r="W129" s="54">
        <v>0</v>
      </c>
      <c r="X129" s="54">
        <v>3</v>
      </c>
      <c r="Y129" s="54">
        <v>0</v>
      </c>
      <c r="Z129" s="54">
        <v>1</v>
      </c>
      <c r="AA129" s="54">
        <v>0</v>
      </c>
      <c r="AB129" s="54">
        <v>0</v>
      </c>
      <c r="AC129" s="54">
        <v>0</v>
      </c>
      <c r="AD129" s="54">
        <v>1</v>
      </c>
      <c r="AE129" s="54">
        <v>0</v>
      </c>
      <c r="AF129" s="54"/>
      <c r="AG129" s="5">
        <f t="shared" si="17"/>
        <v>27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0</v>
      </c>
      <c r="D130" s="54">
        <v>0</v>
      </c>
      <c r="E130" s="54">
        <v>0</v>
      </c>
      <c r="F130" s="54">
        <v>0</v>
      </c>
      <c r="G130" s="54">
        <v>0</v>
      </c>
      <c r="H130" s="54">
        <v>0</v>
      </c>
      <c r="I130" s="54">
        <v>0</v>
      </c>
      <c r="J130" s="54">
        <v>0</v>
      </c>
      <c r="K130" s="54">
        <v>0</v>
      </c>
      <c r="L130" s="54">
        <v>0</v>
      </c>
      <c r="M130" s="54">
        <v>0</v>
      </c>
      <c r="N130" s="54">
        <v>0</v>
      </c>
      <c r="O130" s="54">
        <v>0</v>
      </c>
      <c r="P130" s="54">
        <v>1</v>
      </c>
      <c r="Q130" s="54">
        <v>0</v>
      </c>
      <c r="R130" s="54">
        <v>1</v>
      </c>
      <c r="S130" s="54">
        <v>1</v>
      </c>
      <c r="T130" s="54">
        <v>0</v>
      </c>
      <c r="U130" s="54">
        <v>0</v>
      </c>
      <c r="V130" s="54">
        <v>0</v>
      </c>
      <c r="W130" s="54">
        <v>0</v>
      </c>
      <c r="X130" s="54">
        <v>0</v>
      </c>
      <c r="Y130" s="54">
        <v>1</v>
      </c>
      <c r="Z130" s="54">
        <v>0</v>
      </c>
      <c r="AA130" s="54">
        <v>0</v>
      </c>
      <c r="AB130" s="54">
        <v>0</v>
      </c>
      <c r="AC130" s="54">
        <v>0</v>
      </c>
      <c r="AD130" s="54">
        <v>0</v>
      </c>
      <c r="AE130" s="54">
        <v>0</v>
      </c>
      <c r="AF130" s="54"/>
      <c r="AG130" s="5">
        <f t="shared" si="17"/>
        <v>4</v>
      </c>
      <c r="AK130" s="84" t="s">
        <v>140</v>
      </c>
    </row>
    <row r="131" spans="1:37" ht="15.75" customHeight="1" x14ac:dyDescent="0.25">
      <c r="A131" s="85" t="s">
        <v>75</v>
      </c>
      <c r="B131" s="54">
        <v>3</v>
      </c>
      <c r="C131" s="54">
        <v>3</v>
      </c>
      <c r="D131" s="54">
        <v>3</v>
      </c>
      <c r="E131" s="54">
        <v>4</v>
      </c>
      <c r="F131" s="54">
        <v>7</v>
      </c>
      <c r="G131" s="54">
        <v>3</v>
      </c>
      <c r="H131" s="54">
        <v>12</v>
      </c>
      <c r="I131" s="54">
        <v>7</v>
      </c>
      <c r="J131" s="54">
        <v>6</v>
      </c>
      <c r="K131" s="54">
        <v>5</v>
      </c>
      <c r="L131" s="54">
        <v>2</v>
      </c>
      <c r="M131" s="54">
        <v>1</v>
      </c>
      <c r="N131" s="54">
        <v>2</v>
      </c>
      <c r="O131" s="54">
        <v>7</v>
      </c>
      <c r="P131" s="54">
        <v>7</v>
      </c>
      <c r="Q131" s="54">
        <v>3</v>
      </c>
      <c r="R131" s="54">
        <v>4</v>
      </c>
      <c r="S131" s="54">
        <v>2</v>
      </c>
      <c r="T131" s="54">
        <v>4</v>
      </c>
      <c r="U131" s="54">
        <v>12</v>
      </c>
      <c r="V131" s="54">
        <v>6</v>
      </c>
      <c r="W131" s="54">
        <v>6</v>
      </c>
      <c r="X131" s="54">
        <v>6</v>
      </c>
      <c r="Y131" s="54">
        <v>4</v>
      </c>
      <c r="Z131" s="54">
        <v>4</v>
      </c>
      <c r="AA131" s="54">
        <v>6</v>
      </c>
      <c r="AB131" s="54">
        <v>10</v>
      </c>
      <c r="AC131" s="54">
        <v>6</v>
      </c>
      <c r="AD131" s="54">
        <v>4</v>
      </c>
      <c r="AE131" s="54">
        <v>5</v>
      </c>
      <c r="AF131" s="54"/>
      <c r="AG131" s="5">
        <f t="shared" si="17"/>
        <v>154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6</v>
      </c>
      <c r="C132" s="87">
        <v>10</v>
      </c>
      <c r="D132" s="87">
        <v>2</v>
      </c>
      <c r="E132" s="87">
        <v>2</v>
      </c>
      <c r="F132" s="87">
        <v>2</v>
      </c>
      <c r="G132" s="87">
        <v>2</v>
      </c>
      <c r="H132" s="87">
        <v>11</v>
      </c>
      <c r="I132" s="87">
        <v>7</v>
      </c>
      <c r="J132" s="87">
        <v>4</v>
      </c>
      <c r="K132" s="87">
        <v>2</v>
      </c>
      <c r="L132" s="87">
        <v>2</v>
      </c>
      <c r="M132" s="87">
        <v>4</v>
      </c>
      <c r="N132" s="87">
        <v>2</v>
      </c>
      <c r="O132" s="87">
        <v>8</v>
      </c>
      <c r="P132" s="87">
        <v>8</v>
      </c>
      <c r="Q132" s="87">
        <v>7</v>
      </c>
      <c r="R132" s="87">
        <v>2</v>
      </c>
      <c r="S132" s="87">
        <v>2</v>
      </c>
      <c r="T132" s="87">
        <v>5</v>
      </c>
      <c r="U132" s="87">
        <v>3</v>
      </c>
      <c r="V132" s="87">
        <v>10</v>
      </c>
      <c r="W132" s="87">
        <v>9</v>
      </c>
      <c r="X132" s="87">
        <v>4</v>
      </c>
      <c r="Y132" s="87">
        <v>12</v>
      </c>
      <c r="Z132" s="87">
        <v>8</v>
      </c>
      <c r="AA132" s="87">
        <v>4</v>
      </c>
      <c r="AB132" s="87">
        <v>7</v>
      </c>
      <c r="AC132" s="87">
        <v>9</v>
      </c>
      <c r="AD132" s="87">
        <v>12</v>
      </c>
      <c r="AE132" s="87">
        <v>9</v>
      </c>
      <c r="AF132" s="87"/>
      <c r="AG132" s="9">
        <f t="shared" si="17"/>
        <v>175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176</v>
      </c>
      <c r="C133" s="14">
        <f t="shared" si="21"/>
        <v>123</v>
      </c>
      <c r="D133" s="14">
        <f t="shared" si="21"/>
        <v>118</v>
      </c>
      <c r="E133" s="14">
        <f t="shared" si="21"/>
        <v>124</v>
      </c>
      <c r="F133" s="14">
        <f t="shared" si="21"/>
        <v>125</v>
      </c>
      <c r="G133" s="14">
        <f t="shared" si="21"/>
        <v>103</v>
      </c>
      <c r="H133" s="14">
        <f t="shared" si="21"/>
        <v>174</v>
      </c>
      <c r="I133" s="14">
        <f t="shared" si="21"/>
        <v>157</v>
      </c>
      <c r="J133" s="14">
        <f t="shared" si="21"/>
        <v>140</v>
      </c>
      <c r="K133" s="14">
        <f t="shared" si="21"/>
        <v>113</v>
      </c>
      <c r="L133" s="14">
        <f t="shared" si="21"/>
        <v>105</v>
      </c>
      <c r="M133" s="14">
        <f t="shared" si="21"/>
        <v>86</v>
      </c>
      <c r="N133" s="14">
        <f t="shared" si="21"/>
        <v>117</v>
      </c>
      <c r="O133" s="14">
        <f t="shared" si="21"/>
        <v>146</v>
      </c>
      <c r="P133" s="14">
        <f t="shared" si="21"/>
        <v>140</v>
      </c>
      <c r="Q133" s="14">
        <f t="shared" si="21"/>
        <v>125</v>
      </c>
      <c r="R133" s="14">
        <f t="shared" si="21"/>
        <v>121</v>
      </c>
      <c r="S133" s="14">
        <f t="shared" si="21"/>
        <v>114</v>
      </c>
      <c r="T133" s="14">
        <f t="shared" si="21"/>
        <v>98</v>
      </c>
      <c r="U133" s="14">
        <f t="shared" si="21"/>
        <v>183</v>
      </c>
      <c r="V133" s="14">
        <f t="shared" si="21"/>
        <v>161</v>
      </c>
      <c r="W133" s="14">
        <f t="shared" si="21"/>
        <v>155</v>
      </c>
      <c r="X133" s="14">
        <f t="shared" si="21"/>
        <v>107</v>
      </c>
      <c r="Y133" s="14">
        <f t="shared" si="21"/>
        <v>122</v>
      </c>
      <c r="Z133" s="14">
        <f t="shared" si="21"/>
        <v>110</v>
      </c>
      <c r="AA133" s="14">
        <f t="shared" si="21"/>
        <v>100</v>
      </c>
      <c r="AB133" s="14">
        <f t="shared" si="21"/>
        <v>101</v>
      </c>
      <c r="AC133" s="14">
        <f t="shared" si="21"/>
        <v>146</v>
      </c>
      <c r="AD133" s="14">
        <f t="shared" si="21"/>
        <v>139</v>
      </c>
      <c r="AE133" s="14">
        <f t="shared" si="21"/>
        <v>92</v>
      </c>
      <c r="AF133" s="14">
        <f t="shared" si="21"/>
        <v>0</v>
      </c>
      <c r="AG133" s="10">
        <f t="shared" si="17"/>
        <v>3821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19</v>
      </c>
      <c r="C134" s="22">
        <f t="shared" si="22"/>
        <v>8</v>
      </c>
      <c r="D134" s="22">
        <f t="shared" si="22"/>
        <v>11</v>
      </c>
      <c r="E134" s="22">
        <f t="shared" si="22"/>
        <v>4</v>
      </c>
      <c r="F134" s="22">
        <f t="shared" si="22"/>
        <v>5</v>
      </c>
      <c r="G134" s="22">
        <f t="shared" si="22"/>
        <v>11</v>
      </c>
      <c r="H134" s="22">
        <f t="shared" si="22"/>
        <v>10</v>
      </c>
      <c r="I134" s="22">
        <f t="shared" si="22"/>
        <v>10</v>
      </c>
      <c r="J134" s="22">
        <f t="shared" si="22"/>
        <v>6</v>
      </c>
      <c r="K134" s="22">
        <f t="shared" si="22"/>
        <v>9</v>
      </c>
      <c r="L134" s="22">
        <f t="shared" si="22"/>
        <v>13</v>
      </c>
      <c r="M134" s="22">
        <f t="shared" si="22"/>
        <v>0</v>
      </c>
      <c r="N134" s="22">
        <f t="shared" si="22"/>
        <v>3</v>
      </c>
      <c r="O134" s="22">
        <f t="shared" si="22"/>
        <v>2</v>
      </c>
      <c r="P134" s="22">
        <f t="shared" si="22"/>
        <v>0</v>
      </c>
      <c r="Q134" s="22">
        <f t="shared" si="22"/>
        <v>10</v>
      </c>
      <c r="R134" s="22">
        <f t="shared" si="22"/>
        <v>11</v>
      </c>
      <c r="S134" s="22">
        <f t="shared" si="22"/>
        <v>9</v>
      </c>
      <c r="T134" s="22">
        <f t="shared" si="22"/>
        <v>0</v>
      </c>
      <c r="U134" s="22">
        <f t="shared" si="22"/>
        <v>5</v>
      </c>
      <c r="V134" s="22">
        <f t="shared" si="22"/>
        <v>7</v>
      </c>
      <c r="W134" s="22">
        <f t="shared" si="22"/>
        <v>7</v>
      </c>
      <c r="X134" s="22">
        <f t="shared" si="22"/>
        <v>8</v>
      </c>
      <c r="Y134" s="22">
        <f t="shared" si="22"/>
        <v>6</v>
      </c>
      <c r="Z134" s="22">
        <f t="shared" si="22"/>
        <v>10</v>
      </c>
      <c r="AA134" s="22">
        <f t="shared" si="22"/>
        <v>6</v>
      </c>
      <c r="AB134" s="22">
        <f t="shared" si="22"/>
        <v>8</v>
      </c>
      <c r="AC134" s="22">
        <f t="shared" si="22"/>
        <v>2</v>
      </c>
      <c r="AD134" s="22">
        <f t="shared" si="22"/>
        <v>4</v>
      </c>
      <c r="AE134" s="22">
        <f t="shared" si="22"/>
        <v>2</v>
      </c>
      <c r="AF134" s="22">
        <f t="shared" si="22"/>
        <v>0</v>
      </c>
      <c r="AG134" s="23">
        <f t="shared" si="17"/>
        <v>206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1</v>
      </c>
      <c r="C135" s="1">
        <f t="shared" si="23"/>
        <v>0</v>
      </c>
      <c r="D135" s="1">
        <f t="shared" si="23"/>
        <v>2</v>
      </c>
      <c r="E135" s="1">
        <f t="shared" si="23"/>
        <v>0</v>
      </c>
      <c r="F135" s="1">
        <f t="shared" si="23"/>
        <v>0</v>
      </c>
      <c r="G135" s="1">
        <f t="shared" si="23"/>
        <v>2</v>
      </c>
      <c r="H135" s="1">
        <f t="shared" si="23"/>
        <v>1</v>
      </c>
      <c r="I135" s="1">
        <f t="shared" si="23"/>
        <v>0</v>
      </c>
      <c r="J135" s="1">
        <f t="shared" si="23"/>
        <v>0</v>
      </c>
      <c r="K135" s="1">
        <f t="shared" si="23"/>
        <v>1</v>
      </c>
      <c r="L135" s="1">
        <f t="shared" si="23"/>
        <v>0</v>
      </c>
      <c r="M135" s="1">
        <f t="shared" si="23"/>
        <v>1</v>
      </c>
      <c r="N135" s="1">
        <f t="shared" si="23"/>
        <v>1</v>
      </c>
      <c r="O135" s="1">
        <f t="shared" si="23"/>
        <v>1</v>
      </c>
      <c r="P135" s="1">
        <f t="shared" si="23"/>
        <v>1</v>
      </c>
      <c r="Q135" s="1">
        <f t="shared" si="23"/>
        <v>0</v>
      </c>
      <c r="R135" s="1">
        <f t="shared" si="23"/>
        <v>1</v>
      </c>
      <c r="S135" s="1">
        <f t="shared" si="23"/>
        <v>2</v>
      </c>
      <c r="T135" s="1">
        <f t="shared" si="23"/>
        <v>0</v>
      </c>
      <c r="U135" s="1">
        <f t="shared" si="23"/>
        <v>0</v>
      </c>
      <c r="V135" s="1">
        <f t="shared" si="23"/>
        <v>3</v>
      </c>
      <c r="W135" s="1">
        <f t="shared" si="23"/>
        <v>2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1</v>
      </c>
      <c r="AD135" s="1">
        <f t="shared" si="23"/>
        <v>0</v>
      </c>
      <c r="AE135" s="1">
        <f t="shared" si="23"/>
        <v>1</v>
      </c>
      <c r="AF135" s="1">
        <f t="shared" si="23"/>
        <v>0</v>
      </c>
      <c r="AG135" s="2">
        <f t="shared" si="17"/>
        <v>21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1</v>
      </c>
      <c r="C136" s="91">
        <v>0</v>
      </c>
      <c r="D136" s="91">
        <v>2</v>
      </c>
      <c r="E136" s="91">
        <v>0</v>
      </c>
      <c r="F136" s="91">
        <v>0</v>
      </c>
      <c r="G136" s="91">
        <v>2</v>
      </c>
      <c r="H136" s="91">
        <v>1</v>
      </c>
      <c r="I136" s="91">
        <v>0</v>
      </c>
      <c r="J136" s="91">
        <v>0</v>
      </c>
      <c r="K136" s="91">
        <v>1</v>
      </c>
      <c r="L136" s="91">
        <v>0</v>
      </c>
      <c r="M136" s="91">
        <v>1</v>
      </c>
      <c r="N136" s="91">
        <v>1</v>
      </c>
      <c r="O136" s="91">
        <v>1</v>
      </c>
      <c r="P136" s="91">
        <v>1</v>
      </c>
      <c r="Q136" s="91">
        <v>0</v>
      </c>
      <c r="R136" s="91">
        <v>1</v>
      </c>
      <c r="S136" s="91">
        <v>2</v>
      </c>
      <c r="T136" s="91">
        <v>0</v>
      </c>
      <c r="U136" s="91">
        <v>0</v>
      </c>
      <c r="V136" s="91">
        <v>3</v>
      </c>
      <c r="W136" s="91">
        <v>1</v>
      </c>
      <c r="X136" s="91">
        <v>0</v>
      </c>
      <c r="Y136" s="91">
        <v>0</v>
      </c>
      <c r="Z136" s="91">
        <v>0</v>
      </c>
      <c r="AA136" s="91">
        <v>0</v>
      </c>
      <c r="AB136" s="91">
        <v>0</v>
      </c>
      <c r="AC136" s="91">
        <v>1</v>
      </c>
      <c r="AD136" s="91">
        <v>0</v>
      </c>
      <c r="AE136" s="91">
        <v>1</v>
      </c>
      <c r="AF136" s="91"/>
      <c r="AG136" s="28">
        <f t="shared" si="17"/>
        <v>20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1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/>
      <c r="AG137" s="29">
        <f t="shared" si="17"/>
        <v>1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/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0</v>
      </c>
      <c r="C139" s="31">
        <f t="shared" si="24"/>
        <v>3</v>
      </c>
      <c r="D139" s="31">
        <f t="shared" si="24"/>
        <v>2</v>
      </c>
      <c r="E139" s="31">
        <f t="shared" si="24"/>
        <v>7</v>
      </c>
      <c r="F139" s="31">
        <f t="shared" si="24"/>
        <v>1</v>
      </c>
      <c r="G139" s="31">
        <f t="shared" si="24"/>
        <v>3</v>
      </c>
      <c r="H139" s="31">
        <f t="shared" si="24"/>
        <v>10</v>
      </c>
      <c r="I139" s="31">
        <f t="shared" si="24"/>
        <v>4</v>
      </c>
      <c r="J139" s="31">
        <f t="shared" si="24"/>
        <v>0</v>
      </c>
      <c r="K139" s="31">
        <f t="shared" si="24"/>
        <v>0</v>
      </c>
      <c r="L139" s="31">
        <f t="shared" si="24"/>
        <v>2</v>
      </c>
      <c r="M139" s="31">
        <f t="shared" si="24"/>
        <v>3</v>
      </c>
      <c r="N139" s="31">
        <f t="shared" si="24"/>
        <v>3</v>
      </c>
      <c r="O139" s="31">
        <f t="shared" si="24"/>
        <v>9</v>
      </c>
      <c r="P139" s="31">
        <f t="shared" si="24"/>
        <v>1</v>
      </c>
      <c r="Q139" s="31">
        <f t="shared" si="24"/>
        <v>0</v>
      </c>
      <c r="R139" s="31">
        <f t="shared" si="24"/>
        <v>5</v>
      </c>
      <c r="S139" s="31">
        <f t="shared" si="24"/>
        <v>5</v>
      </c>
      <c r="T139" s="31">
        <f t="shared" si="24"/>
        <v>3</v>
      </c>
      <c r="U139" s="31">
        <f t="shared" si="24"/>
        <v>4</v>
      </c>
      <c r="V139" s="31">
        <f t="shared" si="24"/>
        <v>4</v>
      </c>
      <c r="W139" s="31">
        <f t="shared" si="24"/>
        <v>3</v>
      </c>
      <c r="X139" s="31">
        <f t="shared" si="24"/>
        <v>0</v>
      </c>
      <c r="Y139" s="31">
        <f t="shared" si="24"/>
        <v>5</v>
      </c>
      <c r="Z139" s="31">
        <f t="shared" si="24"/>
        <v>3</v>
      </c>
      <c r="AA139" s="31">
        <f t="shared" si="24"/>
        <v>0</v>
      </c>
      <c r="AB139" s="31">
        <f t="shared" si="24"/>
        <v>1</v>
      </c>
      <c r="AC139" s="31">
        <f t="shared" si="24"/>
        <v>3</v>
      </c>
      <c r="AD139" s="31">
        <f t="shared" si="24"/>
        <v>1</v>
      </c>
      <c r="AE139" s="31">
        <f t="shared" si="24"/>
        <v>2</v>
      </c>
      <c r="AF139" s="31">
        <f t="shared" si="24"/>
        <v>0</v>
      </c>
      <c r="AG139" s="32">
        <f t="shared" si="17"/>
        <v>87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0</v>
      </c>
      <c r="E140" s="97">
        <v>0</v>
      </c>
      <c r="F140" s="97">
        <v>0</v>
      </c>
      <c r="G140" s="97">
        <v>0</v>
      </c>
      <c r="H140" s="97">
        <v>1</v>
      </c>
      <c r="I140" s="97">
        <v>0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97">
        <v>2</v>
      </c>
      <c r="P140" s="97">
        <v>0</v>
      </c>
      <c r="Q140" s="97">
        <v>0</v>
      </c>
      <c r="R140" s="97">
        <v>0</v>
      </c>
      <c r="S140" s="97">
        <v>1</v>
      </c>
      <c r="T140" s="97">
        <v>1</v>
      </c>
      <c r="U140" s="97">
        <v>1</v>
      </c>
      <c r="V140" s="97">
        <v>1</v>
      </c>
      <c r="W140" s="97">
        <v>1</v>
      </c>
      <c r="X140" s="97">
        <v>0</v>
      </c>
      <c r="Y140" s="97">
        <v>0</v>
      </c>
      <c r="Z140" s="97">
        <v>1</v>
      </c>
      <c r="AA140" s="97">
        <v>0</v>
      </c>
      <c r="AB140" s="97">
        <v>0</v>
      </c>
      <c r="AC140" s="97">
        <v>1</v>
      </c>
      <c r="AD140" s="97">
        <v>0</v>
      </c>
      <c r="AE140" s="97">
        <v>0</v>
      </c>
      <c r="AF140" s="97"/>
      <c r="AG140" s="33">
        <f t="shared" si="17"/>
        <v>10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0</v>
      </c>
      <c r="C141" s="98">
        <v>3</v>
      </c>
      <c r="D141" s="98">
        <v>2</v>
      </c>
      <c r="E141" s="98">
        <v>7</v>
      </c>
      <c r="F141" s="98">
        <v>1</v>
      </c>
      <c r="G141" s="98">
        <v>3</v>
      </c>
      <c r="H141" s="98">
        <v>9</v>
      </c>
      <c r="I141" s="98">
        <v>4</v>
      </c>
      <c r="J141" s="98">
        <v>0</v>
      </c>
      <c r="K141" s="98">
        <v>0</v>
      </c>
      <c r="L141" s="98">
        <v>2</v>
      </c>
      <c r="M141" s="98">
        <v>3</v>
      </c>
      <c r="N141" s="98">
        <v>3</v>
      </c>
      <c r="O141" s="98">
        <v>7</v>
      </c>
      <c r="P141" s="98">
        <v>1</v>
      </c>
      <c r="Q141" s="98">
        <v>0</v>
      </c>
      <c r="R141" s="98">
        <v>5</v>
      </c>
      <c r="S141" s="98">
        <v>4</v>
      </c>
      <c r="T141" s="98">
        <v>2</v>
      </c>
      <c r="U141" s="98">
        <v>3</v>
      </c>
      <c r="V141" s="98">
        <v>3</v>
      </c>
      <c r="W141" s="98">
        <v>2</v>
      </c>
      <c r="X141" s="98">
        <v>0</v>
      </c>
      <c r="Y141" s="98">
        <v>5</v>
      </c>
      <c r="Z141" s="98">
        <v>2</v>
      </c>
      <c r="AA141" s="98">
        <v>0</v>
      </c>
      <c r="AB141" s="98">
        <v>1</v>
      </c>
      <c r="AC141" s="98">
        <v>2</v>
      </c>
      <c r="AD141" s="98">
        <v>1</v>
      </c>
      <c r="AE141" s="98">
        <v>2</v>
      </c>
      <c r="AF141" s="98"/>
      <c r="AG141" s="34">
        <f t="shared" si="17"/>
        <v>77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>
        <v>2</v>
      </c>
      <c r="C143" s="102">
        <v>0</v>
      </c>
      <c r="D143" s="102">
        <v>2</v>
      </c>
      <c r="E143" s="102">
        <v>1</v>
      </c>
      <c r="F143" s="102">
        <v>3</v>
      </c>
      <c r="G143" s="102">
        <v>2</v>
      </c>
      <c r="H143" s="102">
        <v>2</v>
      </c>
      <c r="I143" s="102">
        <v>1</v>
      </c>
      <c r="J143" s="102">
        <v>1</v>
      </c>
      <c r="K143" s="102">
        <v>4</v>
      </c>
      <c r="L143" s="102">
        <v>0</v>
      </c>
      <c r="M143" s="102">
        <v>0</v>
      </c>
      <c r="N143" s="102">
        <v>3</v>
      </c>
      <c r="O143" s="102">
        <v>1</v>
      </c>
      <c r="P143" s="102">
        <v>3</v>
      </c>
      <c r="Q143" s="102">
        <v>4</v>
      </c>
      <c r="R143" s="102">
        <v>4</v>
      </c>
      <c r="S143" s="102">
        <v>2</v>
      </c>
      <c r="T143" s="102">
        <v>3</v>
      </c>
      <c r="U143" s="102">
        <v>4</v>
      </c>
      <c r="V143" s="102">
        <v>4</v>
      </c>
      <c r="W143" s="102">
        <v>1</v>
      </c>
      <c r="X143" s="102">
        <v>0</v>
      </c>
      <c r="Y143" s="102">
        <v>4</v>
      </c>
      <c r="Z143" s="102">
        <v>3</v>
      </c>
      <c r="AA143" s="102">
        <v>3</v>
      </c>
      <c r="AB143" s="102">
        <v>4</v>
      </c>
      <c r="AC143" s="102">
        <v>2</v>
      </c>
      <c r="AD143" s="102">
        <v>1</v>
      </c>
      <c r="AE143" s="102">
        <v>2</v>
      </c>
      <c r="AF143" s="102">
        <v>0</v>
      </c>
      <c r="AG143" s="36">
        <f t="shared" si="17"/>
        <v>66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57</v>
      </c>
      <c r="C144" s="37">
        <f t="shared" si="25"/>
        <v>35</v>
      </c>
      <c r="D144" s="37">
        <f t="shared" si="25"/>
        <v>38</v>
      </c>
      <c r="E144" s="37">
        <f t="shared" si="25"/>
        <v>34</v>
      </c>
      <c r="F144" s="37">
        <f t="shared" si="25"/>
        <v>49</v>
      </c>
      <c r="G144" s="37">
        <f t="shared" si="25"/>
        <v>32</v>
      </c>
      <c r="H144" s="37">
        <f t="shared" si="25"/>
        <v>58</v>
      </c>
      <c r="I144" s="37">
        <f t="shared" si="25"/>
        <v>52</v>
      </c>
      <c r="J144" s="37">
        <f t="shared" si="25"/>
        <v>55</v>
      </c>
      <c r="K144" s="37">
        <f t="shared" si="25"/>
        <v>40</v>
      </c>
      <c r="L144" s="37">
        <f t="shared" si="25"/>
        <v>30</v>
      </c>
      <c r="M144" s="37">
        <f t="shared" si="25"/>
        <v>19</v>
      </c>
      <c r="N144" s="37">
        <f t="shared" si="25"/>
        <v>27</v>
      </c>
      <c r="O144" s="37">
        <f t="shared" si="25"/>
        <v>48</v>
      </c>
      <c r="P144" s="37">
        <f t="shared" si="25"/>
        <v>23</v>
      </c>
      <c r="Q144" s="37">
        <f t="shared" si="25"/>
        <v>46</v>
      </c>
      <c r="R144" s="37">
        <f t="shared" si="25"/>
        <v>37</v>
      </c>
      <c r="S144" s="37">
        <f t="shared" si="25"/>
        <v>28</v>
      </c>
      <c r="T144" s="37">
        <f t="shared" si="25"/>
        <v>25</v>
      </c>
      <c r="U144" s="37">
        <f t="shared" si="25"/>
        <v>64</v>
      </c>
      <c r="V144" s="37">
        <f t="shared" si="25"/>
        <v>43</v>
      </c>
      <c r="W144" s="37">
        <f t="shared" si="25"/>
        <v>45</v>
      </c>
      <c r="X144" s="37">
        <f t="shared" si="25"/>
        <v>42</v>
      </c>
      <c r="Y144" s="37">
        <f t="shared" si="25"/>
        <v>38</v>
      </c>
      <c r="Z144" s="37">
        <f t="shared" si="25"/>
        <v>30</v>
      </c>
      <c r="AA144" s="37">
        <f t="shared" si="25"/>
        <v>23</v>
      </c>
      <c r="AB144" s="37">
        <f t="shared" si="25"/>
        <v>25</v>
      </c>
      <c r="AC144" s="37">
        <f t="shared" si="25"/>
        <v>39</v>
      </c>
      <c r="AD144" s="37">
        <f t="shared" si="25"/>
        <v>35</v>
      </c>
      <c r="AE144" s="37">
        <f t="shared" si="25"/>
        <v>21</v>
      </c>
      <c r="AF144" s="37">
        <f t="shared" si="25"/>
        <v>0</v>
      </c>
      <c r="AG144" s="24">
        <f t="shared" si="17"/>
        <v>1138</v>
      </c>
      <c r="AK144" s="84" t="s">
        <v>154</v>
      </c>
    </row>
    <row r="145" spans="1:37" ht="15.75" customHeight="1" x14ac:dyDescent="0.25">
      <c r="A145" s="104" t="s">
        <v>91</v>
      </c>
      <c r="B145" s="105">
        <v>0</v>
      </c>
      <c r="C145" s="105">
        <v>3</v>
      </c>
      <c r="D145" s="105">
        <v>1</v>
      </c>
      <c r="E145" s="105">
        <v>1</v>
      </c>
      <c r="F145" s="105">
        <v>2</v>
      </c>
      <c r="G145" s="105">
        <v>2</v>
      </c>
      <c r="H145" s="105">
        <v>0</v>
      </c>
      <c r="I145" s="105">
        <v>4</v>
      </c>
      <c r="J145" s="105">
        <v>0</v>
      </c>
      <c r="K145" s="105">
        <v>2</v>
      </c>
      <c r="L145" s="105">
        <v>0</v>
      </c>
      <c r="M145" s="105">
        <v>0</v>
      </c>
      <c r="N145" s="105">
        <v>1</v>
      </c>
      <c r="O145" s="105">
        <v>1</v>
      </c>
      <c r="P145" s="105">
        <v>0</v>
      </c>
      <c r="Q145" s="105">
        <v>2</v>
      </c>
      <c r="R145" s="105">
        <v>0</v>
      </c>
      <c r="S145" s="105">
        <v>1</v>
      </c>
      <c r="T145" s="105">
        <v>0</v>
      </c>
      <c r="U145" s="105">
        <v>3</v>
      </c>
      <c r="V145" s="105">
        <v>0</v>
      </c>
      <c r="W145" s="105">
        <v>2</v>
      </c>
      <c r="X145" s="105">
        <v>1</v>
      </c>
      <c r="Y145" s="105">
        <v>0</v>
      </c>
      <c r="Z145" s="105">
        <v>2</v>
      </c>
      <c r="AA145" s="105">
        <v>1</v>
      </c>
      <c r="AB145" s="105">
        <v>1</v>
      </c>
      <c r="AC145" s="105">
        <v>1</v>
      </c>
      <c r="AD145" s="105">
        <v>4</v>
      </c>
      <c r="AE145" s="105">
        <v>0</v>
      </c>
      <c r="AF145" s="105"/>
      <c r="AG145" s="38">
        <f t="shared" si="17"/>
        <v>35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4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/>
      <c r="AG146" s="5">
        <f t="shared" si="17"/>
        <v>4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1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/>
      <c r="AG147" s="5">
        <f t="shared" si="17"/>
        <v>1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/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55</v>
      </c>
      <c r="C149" s="108">
        <v>32</v>
      </c>
      <c r="D149" s="108">
        <v>35</v>
      </c>
      <c r="E149" s="108">
        <v>29</v>
      </c>
      <c r="F149" s="108">
        <v>41</v>
      </c>
      <c r="G149" s="108">
        <v>19</v>
      </c>
      <c r="H149" s="108">
        <v>57</v>
      </c>
      <c r="I149" s="108">
        <v>44</v>
      </c>
      <c r="J149" s="108">
        <v>53</v>
      </c>
      <c r="K149" s="108">
        <v>37</v>
      </c>
      <c r="L149" s="108">
        <v>25</v>
      </c>
      <c r="M149" s="108">
        <v>17</v>
      </c>
      <c r="N149" s="108">
        <v>21</v>
      </c>
      <c r="O149" s="108">
        <v>45</v>
      </c>
      <c r="P149" s="108">
        <v>23</v>
      </c>
      <c r="Q149" s="108">
        <v>43</v>
      </c>
      <c r="R149" s="108">
        <v>35</v>
      </c>
      <c r="S149" s="108">
        <v>26</v>
      </c>
      <c r="T149" s="108">
        <v>23</v>
      </c>
      <c r="U149" s="108">
        <v>56</v>
      </c>
      <c r="V149" s="108">
        <v>43</v>
      </c>
      <c r="W149" s="108">
        <v>40</v>
      </c>
      <c r="X149" s="108">
        <v>41</v>
      </c>
      <c r="Y149" s="108">
        <v>35</v>
      </c>
      <c r="Z149" s="108">
        <v>26</v>
      </c>
      <c r="AA149" s="108">
        <v>22</v>
      </c>
      <c r="AB149" s="108">
        <v>19</v>
      </c>
      <c r="AC149" s="108">
        <v>33</v>
      </c>
      <c r="AD149" s="108">
        <v>31</v>
      </c>
      <c r="AE149" s="108">
        <v>21</v>
      </c>
      <c r="AF149" s="108"/>
      <c r="AG149" s="39">
        <f t="shared" si="17"/>
        <v>1027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>
        <v>0</v>
      </c>
      <c r="AC150" s="77">
        <v>0</v>
      </c>
      <c r="AD150" s="77">
        <v>0</v>
      </c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>
        <v>0</v>
      </c>
      <c r="AC151" s="77">
        <v>0</v>
      </c>
      <c r="AD151" s="77">
        <v>0</v>
      </c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>
        <v>0</v>
      </c>
      <c r="AC152" s="77">
        <v>0</v>
      </c>
      <c r="AD152" s="77">
        <v>0</v>
      </c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2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/>
      <c r="AG153" s="5">
        <f t="shared" si="17"/>
        <v>2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0</v>
      </c>
      <c r="E154" s="77">
        <v>2</v>
      </c>
      <c r="F154" s="77">
        <v>1</v>
      </c>
      <c r="G154" s="77">
        <v>0</v>
      </c>
      <c r="H154" s="77">
        <v>0</v>
      </c>
      <c r="I154" s="77">
        <v>0</v>
      </c>
      <c r="J154" s="77">
        <v>2</v>
      </c>
      <c r="K154" s="77">
        <v>0</v>
      </c>
      <c r="L154" s="77">
        <v>3</v>
      </c>
      <c r="M154" s="77">
        <v>2</v>
      </c>
      <c r="N154" s="77">
        <v>0</v>
      </c>
      <c r="O154" s="77">
        <v>0</v>
      </c>
      <c r="P154" s="77">
        <v>0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0</v>
      </c>
      <c r="W154" s="77">
        <v>0</v>
      </c>
      <c r="X154" s="77">
        <v>0</v>
      </c>
      <c r="Y154" s="77">
        <v>1</v>
      </c>
      <c r="Z154" s="77">
        <v>0</v>
      </c>
      <c r="AA154" s="77">
        <v>0</v>
      </c>
      <c r="AB154" s="77">
        <v>0</v>
      </c>
      <c r="AC154" s="77">
        <v>0</v>
      </c>
      <c r="AD154" s="77">
        <v>0</v>
      </c>
      <c r="AE154" s="77">
        <v>0</v>
      </c>
      <c r="AF154" s="77"/>
      <c r="AG154" s="5">
        <f t="shared" si="17"/>
        <v>11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>
        <v>0</v>
      </c>
      <c r="AC155" s="77">
        <v>0</v>
      </c>
      <c r="AD155" s="77">
        <v>0</v>
      </c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>
        <v>0</v>
      </c>
      <c r="AC156" s="77">
        <v>0</v>
      </c>
      <c r="AD156" s="77">
        <v>0</v>
      </c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>
        <v>0</v>
      </c>
      <c r="AC157" s="77">
        <v>0</v>
      </c>
      <c r="AD157" s="77">
        <v>0</v>
      </c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2</v>
      </c>
      <c r="C158" s="111">
        <v>0</v>
      </c>
      <c r="D158" s="111">
        <v>2</v>
      </c>
      <c r="E158" s="111">
        <v>1</v>
      </c>
      <c r="F158" s="111">
        <v>2</v>
      </c>
      <c r="G158" s="111">
        <v>7</v>
      </c>
      <c r="H158" s="111">
        <v>1</v>
      </c>
      <c r="I158" s="111">
        <v>0</v>
      </c>
      <c r="J158" s="111">
        <v>0</v>
      </c>
      <c r="K158" s="111">
        <v>1</v>
      </c>
      <c r="L158" s="111">
        <v>0</v>
      </c>
      <c r="M158" s="111">
        <v>0</v>
      </c>
      <c r="N158" s="111">
        <v>5</v>
      </c>
      <c r="O158" s="111">
        <v>2</v>
      </c>
      <c r="P158" s="111">
        <v>0</v>
      </c>
      <c r="Q158" s="111">
        <v>0</v>
      </c>
      <c r="R158" s="111">
        <v>0</v>
      </c>
      <c r="S158" s="111">
        <v>1</v>
      </c>
      <c r="T158" s="111">
        <v>0</v>
      </c>
      <c r="U158" s="111">
        <v>4</v>
      </c>
      <c r="V158" s="111">
        <v>0</v>
      </c>
      <c r="W158" s="111">
        <v>1</v>
      </c>
      <c r="X158" s="111">
        <v>0</v>
      </c>
      <c r="Y158" s="111">
        <v>0</v>
      </c>
      <c r="Z158" s="111">
        <v>0</v>
      </c>
      <c r="AA158" s="111">
        <v>0</v>
      </c>
      <c r="AB158" s="111">
        <v>3</v>
      </c>
      <c r="AC158" s="111">
        <v>4</v>
      </c>
      <c r="AD158" s="111">
        <v>0</v>
      </c>
      <c r="AE158" s="111">
        <v>0</v>
      </c>
      <c r="AF158" s="111"/>
      <c r="AG158" s="40">
        <f t="shared" si="17"/>
        <v>36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>
        <v>0</v>
      </c>
      <c r="AC159" s="77">
        <v>0</v>
      </c>
      <c r="AD159" s="77">
        <v>0</v>
      </c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>
        <v>0</v>
      </c>
      <c r="AC160" s="77">
        <v>0</v>
      </c>
      <c r="AD160" s="77">
        <v>0</v>
      </c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>
        <v>0</v>
      </c>
      <c r="AC161" s="77">
        <v>0</v>
      </c>
      <c r="AD161" s="77">
        <v>0</v>
      </c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1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/>
      <c r="AG162" s="5">
        <f t="shared" si="17"/>
        <v>1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>
        <v>0</v>
      </c>
      <c r="AC164" s="77">
        <v>0</v>
      </c>
      <c r="AD164" s="77">
        <v>0</v>
      </c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/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>
        <v>0</v>
      </c>
      <c r="AC166" s="77">
        <v>0</v>
      </c>
      <c r="AD166" s="77">
        <v>0</v>
      </c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1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1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1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/>
      <c r="AG167" s="5">
        <f t="shared" si="26"/>
        <v>3</v>
      </c>
    </row>
    <row r="168" spans="1:34" ht="15.75" customHeight="1" x14ac:dyDescent="0.25">
      <c r="A168" s="76" t="s">
        <v>114</v>
      </c>
      <c r="B168" s="113">
        <v>0</v>
      </c>
      <c r="C168" s="113">
        <v>0</v>
      </c>
      <c r="D168" s="113">
        <v>0</v>
      </c>
      <c r="E168" s="113">
        <v>1</v>
      </c>
      <c r="F168" s="113">
        <v>1</v>
      </c>
      <c r="G168" s="113">
        <v>4</v>
      </c>
      <c r="H168" s="113">
        <v>0</v>
      </c>
      <c r="I168" s="113">
        <v>0</v>
      </c>
      <c r="J168" s="113">
        <v>0</v>
      </c>
      <c r="K168" s="113">
        <v>0</v>
      </c>
      <c r="L168" s="113">
        <v>1</v>
      </c>
      <c r="M168" s="113">
        <v>0</v>
      </c>
      <c r="N168" s="113">
        <v>0</v>
      </c>
      <c r="O168" s="113">
        <v>0</v>
      </c>
      <c r="P168" s="113">
        <v>0</v>
      </c>
      <c r="Q168" s="113">
        <v>0</v>
      </c>
      <c r="R168" s="113">
        <v>1</v>
      </c>
      <c r="S168" s="113">
        <v>0</v>
      </c>
      <c r="T168" s="113">
        <v>1</v>
      </c>
      <c r="U168" s="113">
        <v>1</v>
      </c>
      <c r="V168" s="113">
        <v>0</v>
      </c>
      <c r="W168" s="113">
        <v>0</v>
      </c>
      <c r="X168" s="113">
        <v>0</v>
      </c>
      <c r="Y168" s="113">
        <v>1</v>
      </c>
      <c r="Z168" s="113">
        <v>2</v>
      </c>
      <c r="AA168" s="113">
        <v>0</v>
      </c>
      <c r="AB168" s="113">
        <v>2</v>
      </c>
      <c r="AC168" s="113">
        <v>1</v>
      </c>
      <c r="AD168" s="113">
        <v>0</v>
      </c>
      <c r="AE168" s="113">
        <v>0</v>
      </c>
      <c r="AF168" s="113"/>
      <c r="AG168" s="5">
        <f t="shared" si="26"/>
        <v>16</v>
      </c>
    </row>
    <row r="169" spans="1:34" ht="15.75" customHeight="1" x14ac:dyDescent="0.25">
      <c r="A169" s="114" t="s">
        <v>115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1</v>
      </c>
      <c r="U169" s="113">
        <v>0</v>
      </c>
      <c r="V169" s="113">
        <v>0</v>
      </c>
      <c r="W169" s="113">
        <v>0</v>
      </c>
      <c r="X169" s="113">
        <v>0</v>
      </c>
      <c r="Y169" s="113">
        <v>1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/>
      <c r="AG169" s="5">
        <f t="shared" si="26"/>
        <v>2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>
        <v>0</v>
      </c>
      <c r="AC170" s="113">
        <v>0</v>
      </c>
      <c r="AD170" s="113">
        <v>0</v>
      </c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176</v>
      </c>
      <c r="C171" s="41">
        <f t="shared" si="27"/>
        <v>123</v>
      </c>
      <c r="D171" s="41">
        <f t="shared" si="27"/>
        <v>118</v>
      </c>
      <c r="E171" s="41">
        <f t="shared" si="27"/>
        <v>124</v>
      </c>
      <c r="F171" s="41">
        <f t="shared" si="27"/>
        <v>125</v>
      </c>
      <c r="G171" s="41">
        <f t="shared" si="27"/>
        <v>103</v>
      </c>
      <c r="H171" s="41">
        <f t="shared" si="27"/>
        <v>174</v>
      </c>
      <c r="I171" s="41">
        <f t="shared" si="27"/>
        <v>157</v>
      </c>
      <c r="J171" s="41">
        <f t="shared" si="27"/>
        <v>140</v>
      </c>
      <c r="K171" s="41">
        <f t="shared" si="27"/>
        <v>113</v>
      </c>
      <c r="L171" s="41">
        <f t="shared" si="27"/>
        <v>105</v>
      </c>
      <c r="M171" s="41">
        <f t="shared" si="27"/>
        <v>86</v>
      </c>
      <c r="N171" s="41">
        <f t="shared" si="27"/>
        <v>117</v>
      </c>
      <c r="O171" s="41">
        <f t="shared" si="27"/>
        <v>146</v>
      </c>
      <c r="P171" s="41">
        <f t="shared" si="27"/>
        <v>140</v>
      </c>
      <c r="Q171" s="41">
        <f t="shared" si="27"/>
        <v>125</v>
      </c>
      <c r="R171" s="41">
        <f t="shared" si="27"/>
        <v>121</v>
      </c>
      <c r="S171" s="41">
        <f t="shared" si="27"/>
        <v>114</v>
      </c>
      <c r="T171" s="41">
        <f t="shared" si="27"/>
        <v>98</v>
      </c>
      <c r="U171" s="41">
        <f t="shared" si="27"/>
        <v>183</v>
      </c>
      <c r="V171" s="41">
        <f t="shared" si="27"/>
        <v>161</v>
      </c>
      <c r="W171" s="41">
        <f t="shared" si="27"/>
        <v>155</v>
      </c>
      <c r="X171" s="41">
        <f t="shared" si="27"/>
        <v>107</v>
      </c>
      <c r="Y171" s="41">
        <f t="shared" si="27"/>
        <v>122</v>
      </c>
      <c r="Z171" s="41">
        <f t="shared" si="27"/>
        <v>110</v>
      </c>
      <c r="AA171" s="41">
        <f t="shared" si="27"/>
        <v>100</v>
      </c>
      <c r="AB171" s="41">
        <f t="shared" si="27"/>
        <v>101</v>
      </c>
      <c r="AC171" s="41">
        <f t="shared" si="27"/>
        <v>146</v>
      </c>
      <c r="AD171" s="41">
        <f t="shared" si="27"/>
        <v>139</v>
      </c>
      <c r="AE171" s="41">
        <f t="shared" si="27"/>
        <v>92</v>
      </c>
      <c r="AF171" s="41">
        <f t="shared" si="27"/>
        <v>0</v>
      </c>
      <c r="AG171" s="42">
        <f t="shared" si="26"/>
        <v>3821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1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1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/>
      <c r="AG172" s="43">
        <f t="shared" si="26"/>
        <v>2</v>
      </c>
    </row>
    <row r="173" spans="1:34" ht="15.75" customHeight="1" x14ac:dyDescent="0.25">
      <c r="A173" s="119" t="s">
        <v>37</v>
      </c>
      <c r="B173" s="120">
        <v>1</v>
      </c>
      <c r="C173" s="120">
        <v>1</v>
      </c>
      <c r="D173" s="120">
        <v>0</v>
      </c>
      <c r="E173" s="120">
        <v>3</v>
      </c>
      <c r="F173" s="120">
        <v>1</v>
      </c>
      <c r="G173" s="120">
        <v>2</v>
      </c>
      <c r="H173" s="120">
        <v>0</v>
      </c>
      <c r="I173" s="120">
        <v>1</v>
      </c>
      <c r="J173" s="120">
        <v>3</v>
      </c>
      <c r="K173" s="120">
        <v>2</v>
      </c>
      <c r="L173" s="120">
        <v>2</v>
      </c>
      <c r="M173" s="120">
        <v>1</v>
      </c>
      <c r="N173" s="120">
        <v>2</v>
      </c>
      <c r="O173" s="120">
        <v>3</v>
      </c>
      <c r="P173" s="120">
        <v>1</v>
      </c>
      <c r="Q173" s="120">
        <v>2</v>
      </c>
      <c r="R173" s="120">
        <v>0</v>
      </c>
      <c r="S173" s="120">
        <v>1</v>
      </c>
      <c r="T173" s="120">
        <v>0</v>
      </c>
      <c r="U173" s="120">
        <v>4</v>
      </c>
      <c r="V173" s="120">
        <v>2</v>
      </c>
      <c r="W173" s="120">
        <v>1</v>
      </c>
      <c r="X173" s="120">
        <v>2</v>
      </c>
      <c r="Y173" s="120">
        <v>2</v>
      </c>
      <c r="Z173" s="120">
        <v>0</v>
      </c>
      <c r="AA173" s="120">
        <v>3</v>
      </c>
      <c r="AB173" s="120">
        <v>1</v>
      </c>
      <c r="AC173" s="120">
        <v>0</v>
      </c>
      <c r="AD173" s="120">
        <v>4</v>
      </c>
      <c r="AE173" s="120">
        <v>1</v>
      </c>
      <c r="AF173" s="120"/>
      <c r="AG173" s="44">
        <f t="shared" si="26"/>
        <v>46</v>
      </c>
    </row>
    <row r="174" spans="1:34" ht="15.75" customHeight="1" x14ac:dyDescent="0.25">
      <c r="A174" s="119" t="s">
        <v>38</v>
      </c>
      <c r="B174" s="120">
        <v>23</v>
      </c>
      <c r="C174" s="120">
        <v>21</v>
      </c>
      <c r="D174" s="120">
        <v>17</v>
      </c>
      <c r="E174" s="120">
        <v>13</v>
      </c>
      <c r="F174" s="120">
        <v>20</v>
      </c>
      <c r="G174" s="120">
        <v>26</v>
      </c>
      <c r="H174" s="120">
        <v>19</v>
      </c>
      <c r="I174" s="120">
        <v>16</v>
      </c>
      <c r="J174" s="120">
        <v>21</v>
      </c>
      <c r="K174" s="120">
        <v>16</v>
      </c>
      <c r="L174" s="120">
        <v>17</v>
      </c>
      <c r="M174" s="120">
        <v>8</v>
      </c>
      <c r="N174" s="120">
        <v>23</v>
      </c>
      <c r="O174" s="120">
        <v>13</v>
      </c>
      <c r="P174" s="120">
        <v>20</v>
      </c>
      <c r="Q174" s="120">
        <v>25</v>
      </c>
      <c r="R174" s="120">
        <v>31</v>
      </c>
      <c r="S174" s="120">
        <v>16</v>
      </c>
      <c r="T174" s="120">
        <v>7</v>
      </c>
      <c r="U174" s="120">
        <v>25</v>
      </c>
      <c r="V174" s="120">
        <v>24</v>
      </c>
      <c r="W174" s="120">
        <v>14</v>
      </c>
      <c r="X174" s="120">
        <v>14</v>
      </c>
      <c r="Y174" s="120">
        <v>8</v>
      </c>
      <c r="Z174" s="120">
        <v>18</v>
      </c>
      <c r="AA174" s="120">
        <v>8</v>
      </c>
      <c r="AB174" s="120">
        <v>9</v>
      </c>
      <c r="AC174" s="120">
        <v>13</v>
      </c>
      <c r="AD174" s="120">
        <v>14</v>
      </c>
      <c r="AE174" s="120">
        <v>10</v>
      </c>
      <c r="AF174" s="120"/>
      <c r="AG174" s="44">
        <f t="shared" si="26"/>
        <v>509</v>
      </c>
    </row>
    <row r="175" spans="1:34" ht="15.75" customHeight="1" x14ac:dyDescent="0.25">
      <c r="A175" s="119" t="s">
        <v>39</v>
      </c>
      <c r="B175" s="120">
        <v>133</v>
      </c>
      <c r="C175" s="120">
        <v>90</v>
      </c>
      <c r="D175" s="120">
        <v>99</v>
      </c>
      <c r="E175" s="120">
        <v>90</v>
      </c>
      <c r="F175" s="120">
        <v>98</v>
      </c>
      <c r="G175" s="120">
        <v>70</v>
      </c>
      <c r="H175" s="120">
        <v>141</v>
      </c>
      <c r="I175" s="120">
        <v>121</v>
      </c>
      <c r="J175" s="120">
        <v>103</v>
      </c>
      <c r="K175" s="120">
        <v>77</v>
      </c>
      <c r="L175" s="120">
        <v>80</v>
      </c>
      <c r="M175" s="120">
        <v>58</v>
      </c>
      <c r="N175" s="120">
        <v>78</v>
      </c>
      <c r="O175" s="120">
        <v>127</v>
      </c>
      <c r="P175" s="120">
        <v>103</v>
      </c>
      <c r="Q175" s="120">
        <v>90</v>
      </c>
      <c r="R175" s="120">
        <v>82</v>
      </c>
      <c r="S175" s="120">
        <v>83</v>
      </c>
      <c r="T175" s="120">
        <v>70</v>
      </c>
      <c r="U175" s="120">
        <v>126</v>
      </c>
      <c r="V175" s="120">
        <v>122</v>
      </c>
      <c r="W175" s="120">
        <v>114</v>
      </c>
      <c r="X175" s="120">
        <v>63</v>
      </c>
      <c r="Y175" s="120">
        <v>94</v>
      </c>
      <c r="Z175" s="120">
        <v>82</v>
      </c>
      <c r="AA175" s="120">
        <v>77</v>
      </c>
      <c r="AB175" s="120">
        <v>80</v>
      </c>
      <c r="AC175" s="120">
        <v>93</v>
      </c>
      <c r="AD175" s="120">
        <v>98</v>
      </c>
      <c r="AE175" s="120">
        <v>75</v>
      </c>
      <c r="AF175" s="120"/>
      <c r="AG175" s="44">
        <f t="shared" si="26"/>
        <v>2817</v>
      </c>
    </row>
    <row r="176" spans="1:34" ht="15.75" customHeight="1" thickBot="1" x14ac:dyDescent="0.3">
      <c r="A176" s="121" t="s">
        <v>40</v>
      </c>
      <c r="B176" s="122">
        <v>19</v>
      </c>
      <c r="C176" s="122">
        <v>11</v>
      </c>
      <c r="D176" s="122">
        <v>2</v>
      </c>
      <c r="E176" s="122">
        <v>17</v>
      </c>
      <c r="F176" s="122">
        <v>6</v>
      </c>
      <c r="G176" s="122">
        <v>5</v>
      </c>
      <c r="H176" s="122">
        <v>14</v>
      </c>
      <c r="I176" s="122">
        <v>19</v>
      </c>
      <c r="J176" s="122">
        <v>13</v>
      </c>
      <c r="K176" s="122">
        <v>18</v>
      </c>
      <c r="L176" s="122">
        <v>6</v>
      </c>
      <c r="M176" s="122">
        <v>19</v>
      </c>
      <c r="N176" s="122">
        <v>14</v>
      </c>
      <c r="O176" s="122">
        <v>3</v>
      </c>
      <c r="P176" s="122">
        <v>16</v>
      </c>
      <c r="Q176" s="122">
        <v>7</v>
      </c>
      <c r="R176" s="122">
        <v>8</v>
      </c>
      <c r="S176" s="122">
        <v>14</v>
      </c>
      <c r="T176" s="122">
        <v>21</v>
      </c>
      <c r="U176" s="122">
        <v>28</v>
      </c>
      <c r="V176" s="122">
        <v>13</v>
      </c>
      <c r="W176" s="122">
        <v>26</v>
      </c>
      <c r="X176" s="122">
        <v>28</v>
      </c>
      <c r="Y176" s="122">
        <v>18</v>
      </c>
      <c r="Z176" s="122">
        <v>10</v>
      </c>
      <c r="AA176" s="122">
        <v>12</v>
      </c>
      <c r="AB176" s="122">
        <v>11</v>
      </c>
      <c r="AC176" s="122">
        <v>40</v>
      </c>
      <c r="AD176" s="122">
        <v>23</v>
      </c>
      <c r="AE176" s="122">
        <v>6</v>
      </c>
      <c r="AF176" s="122"/>
      <c r="AG176" s="45">
        <f t="shared" si="26"/>
        <v>447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20" priority="3" operator="lessThan">
      <formula>0</formula>
    </cfRule>
  </conditionalFormatting>
  <conditionalFormatting sqref="AH171">
    <cfRule type="cellIs" dxfId="19" priority="2" operator="equal">
      <formula>"X"</formula>
    </cfRule>
  </conditionalFormatting>
  <conditionalFormatting sqref="AH1:AH1048576">
    <cfRule type="cellIs" dxfId="18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59D43EB1-B768-4825-89B7-51D917F27044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49323-B3BC-49E3-9F3A-F2B3ECEEF5B3}">
  <sheetPr codeName="Hoja29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169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115</v>
      </c>
      <c r="C3" s="1">
        <f t="shared" si="1"/>
        <v>113</v>
      </c>
      <c r="D3" s="1">
        <f t="shared" si="1"/>
        <v>112</v>
      </c>
      <c r="E3" s="1">
        <f t="shared" si="1"/>
        <v>101</v>
      </c>
      <c r="F3" s="1">
        <f t="shared" si="1"/>
        <v>143</v>
      </c>
      <c r="G3" s="1">
        <f t="shared" si="1"/>
        <v>147</v>
      </c>
      <c r="H3" s="1">
        <f t="shared" si="1"/>
        <v>135</v>
      </c>
      <c r="I3" s="1">
        <f t="shared" si="1"/>
        <v>120</v>
      </c>
      <c r="J3" s="1">
        <f t="shared" si="1"/>
        <v>122</v>
      </c>
      <c r="K3" s="1">
        <f t="shared" si="1"/>
        <v>99</v>
      </c>
      <c r="L3" s="1">
        <f t="shared" si="1"/>
        <v>119</v>
      </c>
      <c r="M3" s="1">
        <f t="shared" si="1"/>
        <v>169</v>
      </c>
      <c r="N3" s="1">
        <f t="shared" si="1"/>
        <v>162</v>
      </c>
      <c r="O3" s="1">
        <f t="shared" si="1"/>
        <v>125</v>
      </c>
      <c r="P3" s="1">
        <f t="shared" si="1"/>
        <v>103</v>
      </c>
      <c r="Q3" s="1">
        <f t="shared" si="1"/>
        <v>178</v>
      </c>
      <c r="R3" s="1">
        <f t="shared" si="1"/>
        <v>125</v>
      </c>
      <c r="S3" s="1">
        <f t="shared" si="1"/>
        <v>117</v>
      </c>
      <c r="T3" s="1">
        <f t="shared" si="1"/>
        <v>161</v>
      </c>
      <c r="U3" s="1">
        <f t="shared" si="1"/>
        <v>161</v>
      </c>
      <c r="V3" s="1">
        <f t="shared" si="1"/>
        <v>151</v>
      </c>
      <c r="W3" s="1">
        <f t="shared" si="1"/>
        <v>132</v>
      </c>
      <c r="X3" s="1">
        <f t="shared" si="1"/>
        <v>130</v>
      </c>
      <c r="Y3" s="1">
        <f t="shared" si="1"/>
        <v>106</v>
      </c>
      <c r="Z3" s="1">
        <f t="shared" si="1"/>
        <v>99</v>
      </c>
      <c r="AA3" s="1">
        <f t="shared" si="1"/>
        <v>182</v>
      </c>
      <c r="AB3" s="1">
        <f t="shared" si="1"/>
        <v>150</v>
      </c>
      <c r="AC3" s="1">
        <f t="shared" si="1"/>
        <v>126</v>
      </c>
      <c r="AD3" s="1">
        <f t="shared" si="1"/>
        <v>131</v>
      </c>
      <c r="AE3" s="1">
        <f t="shared" si="1"/>
        <v>106</v>
      </c>
      <c r="AF3" s="1">
        <f t="shared" si="1"/>
        <v>111</v>
      </c>
      <c r="AG3" s="2">
        <f t="shared" ref="AG3:AG66" si="2">SUM(B3:AF3)</f>
        <v>4051</v>
      </c>
    </row>
    <row r="4" spans="1:33" ht="18.75" x14ac:dyDescent="0.25">
      <c r="A4" s="53" t="s">
        <v>2</v>
      </c>
      <c r="B4" s="54">
        <v>0</v>
      </c>
      <c r="C4" s="55">
        <v>0</v>
      </c>
      <c r="D4" s="55">
        <v>0</v>
      </c>
      <c r="E4" s="55">
        <v>0</v>
      </c>
      <c r="F4" s="55">
        <v>7</v>
      </c>
      <c r="G4" s="55">
        <v>4</v>
      </c>
      <c r="H4" s="55">
        <v>0</v>
      </c>
      <c r="I4" s="55">
        <v>0</v>
      </c>
      <c r="J4" s="55">
        <v>0</v>
      </c>
      <c r="K4" s="55">
        <v>0</v>
      </c>
      <c r="L4" s="55">
        <v>0</v>
      </c>
      <c r="M4" s="55">
        <v>3</v>
      </c>
      <c r="N4" s="55">
        <v>4</v>
      </c>
      <c r="O4" s="55">
        <v>0</v>
      </c>
      <c r="P4" s="55">
        <v>0</v>
      </c>
      <c r="Q4" s="55">
        <v>6</v>
      </c>
      <c r="R4" s="55">
        <v>0</v>
      </c>
      <c r="S4" s="55">
        <v>0</v>
      </c>
      <c r="T4" s="55">
        <v>5</v>
      </c>
      <c r="U4" s="55">
        <v>4</v>
      </c>
      <c r="V4" s="55">
        <v>0</v>
      </c>
      <c r="W4" s="55">
        <v>0</v>
      </c>
      <c r="X4" s="55">
        <v>0</v>
      </c>
      <c r="Y4" s="55">
        <v>0</v>
      </c>
      <c r="Z4" s="55">
        <v>0</v>
      </c>
      <c r="AA4" s="55">
        <v>7</v>
      </c>
      <c r="AB4" s="55">
        <v>5</v>
      </c>
      <c r="AC4" s="55">
        <v>0</v>
      </c>
      <c r="AD4" s="55">
        <v>0</v>
      </c>
      <c r="AE4" s="55">
        <v>0</v>
      </c>
      <c r="AF4" s="55">
        <v>0</v>
      </c>
      <c r="AG4" s="4">
        <f t="shared" si="2"/>
        <v>45</v>
      </c>
    </row>
    <row r="5" spans="1:33" ht="18.75" x14ac:dyDescent="0.25">
      <c r="A5" s="56" t="s">
        <v>3</v>
      </c>
      <c r="B5" s="54">
        <v>0</v>
      </c>
      <c r="C5" s="54">
        <v>0</v>
      </c>
      <c r="D5" s="54">
        <v>0</v>
      </c>
      <c r="E5" s="54">
        <v>0</v>
      </c>
      <c r="F5" s="54">
        <v>6</v>
      </c>
      <c r="G5" s="54">
        <v>2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16</v>
      </c>
      <c r="N5" s="54">
        <v>8</v>
      </c>
      <c r="O5" s="54">
        <v>0</v>
      </c>
      <c r="P5" s="54">
        <v>0</v>
      </c>
      <c r="Q5" s="54">
        <v>9</v>
      </c>
      <c r="R5" s="54">
        <v>0</v>
      </c>
      <c r="S5" s="54">
        <v>0</v>
      </c>
      <c r="T5" s="54">
        <v>11</v>
      </c>
      <c r="U5" s="54">
        <v>9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11</v>
      </c>
      <c r="AB5" s="54">
        <v>9</v>
      </c>
      <c r="AC5" s="54">
        <v>0</v>
      </c>
      <c r="AD5" s="54">
        <v>0</v>
      </c>
      <c r="AE5" s="54">
        <v>0</v>
      </c>
      <c r="AF5" s="54">
        <v>0</v>
      </c>
      <c r="AG5" s="5">
        <f t="shared" si="2"/>
        <v>81</v>
      </c>
    </row>
    <row r="6" spans="1:33" ht="18.75" x14ac:dyDescent="0.25">
      <c r="A6" s="56" t="s">
        <v>4</v>
      </c>
      <c r="B6" s="54">
        <v>0</v>
      </c>
      <c r="C6" s="54">
        <v>0</v>
      </c>
      <c r="D6" s="54">
        <v>0</v>
      </c>
      <c r="E6" s="54">
        <v>0</v>
      </c>
      <c r="F6" s="54">
        <v>8</v>
      </c>
      <c r="G6" s="54">
        <v>11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8</v>
      </c>
      <c r="N6" s="54">
        <v>6</v>
      </c>
      <c r="O6" s="54">
        <v>0</v>
      </c>
      <c r="P6" s="54">
        <v>0</v>
      </c>
      <c r="Q6" s="54">
        <v>6</v>
      </c>
      <c r="R6" s="54">
        <v>0</v>
      </c>
      <c r="S6" s="54">
        <v>0</v>
      </c>
      <c r="T6" s="54">
        <v>13</v>
      </c>
      <c r="U6" s="54">
        <v>7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12</v>
      </c>
      <c r="AB6" s="54">
        <v>9</v>
      </c>
      <c r="AC6" s="54">
        <v>0</v>
      </c>
      <c r="AD6" s="54">
        <v>0</v>
      </c>
      <c r="AE6" s="54">
        <v>0</v>
      </c>
      <c r="AF6" s="54">
        <v>0</v>
      </c>
      <c r="AG6" s="5">
        <f t="shared" si="2"/>
        <v>80</v>
      </c>
    </row>
    <row r="7" spans="1:33" ht="18.75" x14ac:dyDescent="0.25">
      <c r="A7" s="56" t="s">
        <v>5</v>
      </c>
      <c r="B7" s="54">
        <v>0</v>
      </c>
      <c r="C7" s="54">
        <v>0</v>
      </c>
      <c r="D7" s="54">
        <v>0</v>
      </c>
      <c r="E7" s="54">
        <v>0</v>
      </c>
      <c r="F7" s="54">
        <v>11</v>
      </c>
      <c r="G7" s="54">
        <v>15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13</v>
      </c>
      <c r="N7" s="54">
        <v>15</v>
      </c>
      <c r="O7" s="54">
        <v>0</v>
      </c>
      <c r="P7" s="54">
        <v>0</v>
      </c>
      <c r="Q7" s="54">
        <v>11</v>
      </c>
      <c r="R7" s="54">
        <v>0</v>
      </c>
      <c r="S7" s="54">
        <v>0</v>
      </c>
      <c r="T7" s="54">
        <v>15</v>
      </c>
      <c r="U7" s="54">
        <v>8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20</v>
      </c>
      <c r="AB7" s="54">
        <v>12</v>
      </c>
      <c r="AC7" s="54">
        <v>0</v>
      </c>
      <c r="AD7" s="54">
        <v>0</v>
      </c>
      <c r="AE7" s="54">
        <v>0</v>
      </c>
      <c r="AF7" s="54">
        <v>0</v>
      </c>
      <c r="AG7" s="5">
        <f t="shared" si="2"/>
        <v>120</v>
      </c>
    </row>
    <row r="8" spans="1:33" ht="18.75" x14ac:dyDescent="0.25">
      <c r="A8" s="56" t="s">
        <v>6</v>
      </c>
      <c r="B8" s="54">
        <v>0</v>
      </c>
      <c r="C8" s="54">
        <v>0</v>
      </c>
      <c r="D8" s="54">
        <v>0</v>
      </c>
      <c r="E8" s="54">
        <v>0</v>
      </c>
      <c r="F8" s="54">
        <v>14</v>
      </c>
      <c r="G8" s="54">
        <v>13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13</v>
      </c>
      <c r="N8" s="54">
        <v>11</v>
      </c>
      <c r="O8" s="54">
        <v>0</v>
      </c>
      <c r="P8" s="54">
        <v>0</v>
      </c>
      <c r="Q8" s="54">
        <v>14</v>
      </c>
      <c r="R8" s="54">
        <v>0</v>
      </c>
      <c r="S8" s="54">
        <v>0</v>
      </c>
      <c r="T8" s="54">
        <v>14</v>
      </c>
      <c r="U8" s="54">
        <v>17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16</v>
      </c>
      <c r="AB8" s="54">
        <v>13</v>
      </c>
      <c r="AC8" s="54">
        <v>0</v>
      </c>
      <c r="AD8" s="54">
        <v>0</v>
      </c>
      <c r="AE8" s="54">
        <v>0</v>
      </c>
      <c r="AF8" s="54">
        <v>0</v>
      </c>
      <c r="AG8" s="5">
        <f t="shared" si="2"/>
        <v>125</v>
      </c>
    </row>
    <row r="9" spans="1:33" ht="18.75" x14ac:dyDescent="0.25">
      <c r="A9" s="56" t="s">
        <v>7</v>
      </c>
      <c r="B9" s="54">
        <v>0</v>
      </c>
      <c r="C9" s="54">
        <v>0</v>
      </c>
      <c r="D9" s="54">
        <v>0</v>
      </c>
      <c r="E9" s="54">
        <v>0</v>
      </c>
      <c r="F9" s="54">
        <v>14</v>
      </c>
      <c r="G9" s="54">
        <v>13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54">
        <v>11</v>
      </c>
      <c r="N9" s="54">
        <v>17</v>
      </c>
      <c r="O9" s="54">
        <v>0</v>
      </c>
      <c r="P9" s="54">
        <v>0</v>
      </c>
      <c r="Q9" s="54">
        <v>9</v>
      </c>
      <c r="R9" s="54">
        <v>0</v>
      </c>
      <c r="S9" s="54">
        <v>0</v>
      </c>
      <c r="T9" s="54">
        <v>10</v>
      </c>
      <c r="U9" s="54">
        <v>7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12</v>
      </c>
      <c r="AB9" s="54">
        <v>7</v>
      </c>
      <c r="AC9" s="54">
        <v>0</v>
      </c>
      <c r="AD9" s="54">
        <v>0</v>
      </c>
      <c r="AE9" s="54">
        <v>0</v>
      </c>
      <c r="AF9" s="54">
        <v>0</v>
      </c>
      <c r="AG9" s="5">
        <f t="shared" si="2"/>
        <v>100</v>
      </c>
    </row>
    <row r="10" spans="1:33" ht="18.75" x14ac:dyDescent="0.25">
      <c r="A10" s="56" t="s">
        <v>8</v>
      </c>
      <c r="B10" s="54">
        <v>0</v>
      </c>
      <c r="C10" s="54">
        <v>0</v>
      </c>
      <c r="D10" s="54">
        <v>0</v>
      </c>
      <c r="E10" s="54">
        <v>0</v>
      </c>
      <c r="F10" s="54">
        <v>7</v>
      </c>
      <c r="G10" s="54">
        <v>15</v>
      </c>
      <c r="H10" s="54">
        <v>0</v>
      </c>
      <c r="I10" s="54">
        <v>0</v>
      </c>
      <c r="J10" s="54">
        <v>0</v>
      </c>
      <c r="K10" s="54">
        <v>0</v>
      </c>
      <c r="L10" s="54">
        <v>0</v>
      </c>
      <c r="M10" s="54">
        <v>7</v>
      </c>
      <c r="N10" s="54">
        <v>10</v>
      </c>
      <c r="O10" s="54">
        <v>0</v>
      </c>
      <c r="P10" s="54">
        <v>0</v>
      </c>
      <c r="Q10" s="54">
        <v>11</v>
      </c>
      <c r="R10" s="54">
        <v>0</v>
      </c>
      <c r="S10" s="54">
        <v>0</v>
      </c>
      <c r="T10" s="54">
        <v>10</v>
      </c>
      <c r="U10" s="54">
        <v>9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9</v>
      </c>
      <c r="AB10" s="54">
        <v>8</v>
      </c>
      <c r="AC10" s="54">
        <v>0</v>
      </c>
      <c r="AD10" s="54">
        <v>0</v>
      </c>
      <c r="AE10" s="54">
        <v>0</v>
      </c>
      <c r="AF10" s="54">
        <v>0</v>
      </c>
      <c r="AG10" s="5">
        <f t="shared" si="2"/>
        <v>86</v>
      </c>
    </row>
    <row r="11" spans="1:33" ht="18.75" x14ac:dyDescent="0.25">
      <c r="A11" s="56" t="s">
        <v>9</v>
      </c>
      <c r="B11" s="54">
        <v>0</v>
      </c>
      <c r="C11" s="54">
        <v>0</v>
      </c>
      <c r="D11" s="54">
        <v>0</v>
      </c>
      <c r="E11" s="54">
        <v>5</v>
      </c>
      <c r="F11" s="54">
        <v>11</v>
      </c>
      <c r="G11" s="54">
        <v>10</v>
      </c>
      <c r="H11" s="54">
        <v>0</v>
      </c>
      <c r="I11" s="54">
        <v>0</v>
      </c>
      <c r="J11" s="54">
        <v>0</v>
      </c>
      <c r="K11" s="54">
        <v>0</v>
      </c>
      <c r="L11" s="54">
        <v>4</v>
      </c>
      <c r="M11" s="54">
        <v>13</v>
      </c>
      <c r="N11" s="54">
        <v>12</v>
      </c>
      <c r="O11" s="54">
        <v>0</v>
      </c>
      <c r="P11" s="54">
        <v>0</v>
      </c>
      <c r="Q11" s="54">
        <v>9</v>
      </c>
      <c r="R11" s="54">
        <v>0</v>
      </c>
      <c r="S11" s="54">
        <v>1</v>
      </c>
      <c r="T11" s="54">
        <v>15</v>
      </c>
      <c r="U11" s="54">
        <v>7</v>
      </c>
      <c r="V11" s="54">
        <v>0</v>
      </c>
      <c r="W11" s="54">
        <v>0</v>
      </c>
      <c r="X11" s="54">
        <v>0</v>
      </c>
      <c r="Y11" s="54">
        <v>0</v>
      </c>
      <c r="Z11" s="54">
        <v>4</v>
      </c>
      <c r="AA11" s="54">
        <v>14</v>
      </c>
      <c r="AB11" s="54">
        <v>20</v>
      </c>
      <c r="AC11" s="54">
        <v>0</v>
      </c>
      <c r="AD11" s="54">
        <v>0</v>
      </c>
      <c r="AE11" s="54">
        <v>0</v>
      </c>
      <c r="AF11" s="54">
        <v>0</v>
      </c>
      <c r="AG11" s="5">
        <f t="shared" si="2"/>
        <v>125</v>
      </c>
    </row>
    <row r="12" spans="1:33" ht="18.75" x14ac:dyDescent="0.25">
      <c r="A12" s="56" t="s">
        <v>10</v>
      </c>
      <c r="B12" s="54">
        <v>8</v>
      </c>
      <c r="C12" s="54">
        <v>12</v>
      </c>
      <c r="D12" s="54">
        <v>7</v>
      </c>
      <c r="E12" s="54">
        <v>39</v>
      </c>
      <c r="F12" s="54">
        <v>12</v>
      </c>
      <c r="G12" s="54">
        <v>13</v>
      </c>
      <c r="H12" s="54">
        <v>0</v>
      </c>
      <c r="I12" s="54">
        <v>8</v>
      </c>
      <c r="J12" s="54">
        <v>9</v>
      </c>
      <c r="K12" s="54">
        <v>5</v>
      </c>
      <c r="L12" s="54">
        <v>42</v>
      </c>
      <c r="M12" s="54">
        <v>10</v>
      </c>
      <c r="N12" s="54">
        <v>11</v>
      </c>
      <c r="O12" s="54">
        <v>1</v>
      </c>
      <c r="P12" s="54">
        <v>7</v>
      </c>
      <c r="Q12" s="54">
        <v>25</v>
      </c>
      <c r="R12" s="54">
        <v>5</v>
      </c>
      <c r="S12" s="54">
        <v>32</v>
      </c>
      <c r="T12" s="54">
        <v>10</v>
      </c>
      <c r="U12" s="54">
        <v>18</v>
      </c>
      <c r="V12" s="54">
        <v>6</v>
      </c>
      <c r="W12" s="54">
        <v>9</v>
      </c>
      <c r="X12" s="54">
        <v>9</v>
      </c>
      <c r="Y12" s="54">
        <v>10</v>
      </c>
      <c r="Z12" s="54">
        <v>28</v>
      </c>
      <c r="AA12" s="54">
        <v>13</v>
      </c>
      <c r="AB12" s="54">
        <v>10</v>
      </c>
      <c r="AC12" s="54">
        <v>0</v>
      </c>
      <c r="AD12" s="54">
        <v>6</v>
      </c>
      <c r="AE12" s="54">
        <v>2</v>
      </c>
      <c r="AF12" s="54">
        <v>13</v>
      </c>
      <c r="AG12" s="5">
        <f t="shared" si="2"/>
        <v>380</v>
      </c>
    </row>
    <row r="13" spans="1:33" ht="18.75" x14ac:dyDescent="0.25">
      <c r="A13" s="56" t="s">
        <v>11</v>
      </c>
      <c r="B13" s="54">
        <v>45</v>
      </c>
      <c r="C13" s="54">
        <v>41</v>
      </c>
      <c r="D13" s="54">
        <v>47</v>
      </c>
      <c r="E13" s="54">
        <v>14</v>
      </c>
      <c r="F13" s="54">
        <v>10</v>
      </c>
      <c r="G13" s="54">
        <v>8</v>
      </c>
      <c r="H13" s="54">
        <v>65</v>
      </c>
      <c r="I13" s="54">
        <v>62</v>
      </c>
      <c r="J13" s="54">
        <v>43</v>
      </c>
      <c r="K13" s="54">
        <v>43</v>
      </c>
      <c r="L13" s="54">
        <v>20</v>
      </c>
      <c r="M13" s="54">
        <v>21</v>
      </c>
      <c r="N13" s="54">
        <v>19</v>
      </c>
      <c r="O13" s="54">
        <v>69</v>
      </c>
      <c r="P13" s="54">
        <v>46</v>
      </c>
      <c r="Q13" s="54">
        <v>19</v>
      </c>
      <c r="R13" s="54">
        <v>57</v>
      </c>
      <c r="S13" s="54">
        <v>19</v>
      </c>
      <c r="T13" s="54">
        <v>9</v>
      </c>
      <c r="U13" s="54">
        <v>15</v>
      </c>
      <c r="V13" s="54">
        <v>65</v>
      </c>
      <c r="W13" s="54">
        <v>55</v>
      </c>
      <c r="X13" s="54">
        <v>49</v>
      </c>
      <c r="Y13" s="54">
        <v>46</v>
      </c>
      <c r="Z13" s="54">
        <v>9</v>
      </c>
      <c r="AA13" s="54">
        <v>12</v>
      </c>
      <c r="AB13" s="54">
        <v>14</v>
      </c>
      <c r="AC13" s="54">
        <v>56</v>
      </c>
      <c r="AD13" s="54">
        <v>54</v>
      </c>
      <c r="AE13" s="54">
        <v>37</v>
      </c>
      <c r="AF13" s="54">
        <v>43</v>
      </c>
      <c r="AG13" s="5">
        <f t="shared" si="2"/>
        <v>1112</v>
      </c>
    </row>
    <row r="14" spans="1:33" ht="18.75" x14ac:dyDescent="0.25">
      <c r="A14" s="56" t="s">
        <v>12</v>
      </c>
      <c r="B14" s="54">
        <v>15</v>
      </c>
      <c r="C14" s="54">
        <v>22</v>
      </c>
      <c r="D14" s="54">
        <v>11</v>
      </c>
      <c r="E14" s="54">
        <v>11</v>
      </c>
      <c r="F14" s="54">
        <v>9</v>
      </c>
      <c r="G14" s="54">
        <v>7</v>
      </c>
      <c r="H14" s="54">
        <v>18</v>
      </c>
      <c r="I14" s="54">
        <v>10</v>
      </c>
      <c r="J14" s="54">
        <v>16</v>
      </c>
      <c r="K14" s="54">
        <v>14</v>
      </c>
      <c r="L14" s="54">
        <v>14</v>
      </c>
      <c r="M14" s="54">
        <v>11</v>
      </c>
      <c r="N14" s="54">
        <v>8</v>
      </c>
      <c r="O14" s="54">
        <v>14</v>
      </c>
      <c r="P14" s="54">
        <v>14</v>
      </c>
      <c r="Q14" s="54">
        <v>8</v>
      </c>
      <c r="R14" s="54">
        <v>14</v>
      </c>
      <c r="S14" s="54">
        <v>14</v>
      </c>
      <c r="T14" s="54">
        <v>15</v>
      </c>
      <c r="U14" s="54">
        <v>10</v>
      </c>
      <c r="V14" s="54">
        <v>18</v>
      </c>
      <c r="W14" s="54">
        <v>23</v>
      </c>
      <c r="X14" s="54">
        <v>23</v>
      </c>
      <c r="Y14" s="54">
        <v>6</v>
      </c>
      <c r="Z14" s="54">
        <v>10</v>
      </c>
      <c r="AA14" s="54">
        <v>14</v>
      </c>
      <c r="AB14" s="54">
        <v>9</v>
      </c>
      <c r="AC14" s="54">
        <v>14</v>
      </c>
      <c r="AD14" s="54">
        <v>24</v>
      </c>
      <c r="AE14" s="54">
        <v>10</v>
      </c>
      <c r="AF14" s="54">
        <v>6</v>
      </c>
      <c r="AG14" s="5">
        <f t="shared" si="2"/>
        <v>412</v>
      </c>
    </row>
    <row r="15" spans="1:33" ht="18.75" x14ac:dyDescent="0.25">
      <c r="A15" s="56" t="s">
        <v>13</v>
      </c>
      <c r="B15" s="54">
        <v>10</v>
      </c>
      <c r="C15" s="54">
        <v>13</v>
      </c>
      <c r="D15" s="54">
        <v>4</v>
      </c>
      <c r="E15" s="54">
        <v>6</v>
      </c>
      <c r="F15" s="54">
        <v>2</v>
      </c>
      <c r="G15" s="54">
        <v>7</v>
      </c>
      <c r="H15" s="54">
        <v>18</v>
      </c>
      <c r="I15" s="54">
        <v>6</v>
      </c>
      <c r="J15" s="54">
        <v>7</v>
      </c>
      <c r="K15" s="54">
        <v>5</v>
      </c>
      <c r="L15" s="54">
        <v>7</v>
      </c>
      <c r="M15" s="54">
        <v>10</v>
      </c>
      <c r="N15" s="54">
        <v>11</v>
      </c>
      <c r="O15" s="54">
        <v>8</v>
      </c>
      <c r="P15" s="54">
        <v>11</v>
      </c>
      <c r="Q15" s="54">
        <v>8</v>
      </c>
      <c r="R15" s="54">
        <v>12</v>
      </c>
      <c r="S15" s="54">
        <v>14</v>
      </c>
      <c r="T15" s="54">
        <v>6</v>
      </c>
      <c r="U15" s="54">
        <v>8</v>
      </c>
      <c r="V15" s="54">
        <v>22</v>
      </c>
      <c r="W15" s="54">
        <v>6</v>
      </c>
      <c r="X15" s="54">
        <v>10</v>
      </c>
      <c r="Y15" s="54">
        <v>7</v>
      </c>
      <c r="Z15" s="54">
        <v>7</v>
      </c>
      <c r="AA15" s="54">
        <v>7</v>
      </c>
      <c r="AB15" s="54">
        <v>3</v>
      </c>
      <c r="AC15" s="54">
        <v>14</v>
      </c>
      <c r="AD15" s="54">
        <v>11</v>
      </c>
      <c r="AE15" s="54">
        <v>15</v>
      </c>
      <c r="AF15" s="54">
        <v>11</v>
      </c>
      <c r="AG15" s="5">
        <f t="shared" si="2"/>
        <v>286</v>
      </c>
    </row>
    <row r="16" spans="1:33" ht="18.75" x14ac:dyDescent="0.25">
      <c r="A16" s="56" t="s">
        <v>14</v>
      </c>
      <c r="B16" s="54">
        <v>9</v>
      </c>
      <c r="C16" s="54">
        <v>9</v>
      </c>
      <c r="D16" s="54">
        <v>10</v>
      </c>
      <c r="E16" s="54">
        <v>11</v>
      </c>
      <c r="F16" s="54">
        <v>6</v>
      </c>
      <c r="G16" s="54">
        <v>3</v>
      </c>
      <c r="H16" s="54">
        <v>9</v>
      </c>
      <c r="I16" s="54">
        <v>14</v>
      </c>
      <c r="J16" s="54">
        <v>13</v>
      </c>
      <c r="K16" s="54">
        <v>6</v>
      </c>
      <c r="L16" s="54">
        <v>5</v>
      </c>
      <c r="M16" s="54">
        <v>8</v>
      </c>
      <c r="N16" s="54">
        <v>5</v>
      </c>
      <c r="O16" s="54">
        <v>8</v>
      </c>
      <c r="P16" s="54">
        <v>5</v>
      </c>
      <c r="Q16" s="54">
        <v>9</v>
      </c>
      <c r="R16" s="54">
        <v>7</v>
      </c>
      <c r="S16" s="54">
        <v>10</v>
      </c>
      <c r="T16" s="54">
        <v>3</v>
      </c>
      <c r="U16" s="54">
        <v>12</v>
      </c>
      <c r="V16" s="54">
        <v>5</v>
      </c>
      <c r="W16" s="54">
        <v>11</v>
      </c>
      <c r="X16" s="54">
        <v>11</v>
      </c>
      <c r="Y16" s="54">
        <v>12</v>
      </c>
      <c r="Z16" s="54">
        <v>10</v>
      </c>
      <c r="AA16" s="54">
        <v>6</v>
      </c>
      <c r="AB16" s="54">
        <v>5</v>
      </c>
      <c r="AC16" s="54">
        <v>12</v>
      </c>
      <c r="AD16" s="54">
        <v>10</v>
      </c>
      <c r="AE16" s="54">
        <v>7</v>
      </c>
      <c r="AF16" s="54">
        <v>4</v>
      </c>
      <c r="AG16" s="5">
        <f t="shared" si="2"/>
        <v>255</v>
      </c>
    </row>
    <row r="17" spans="1:33" ht="18.75" x14ac:dyDescent="0.25">
      <c r="A17" s="56" t="s">
        <v>15</v>
      </c>
      <c r="B17" s="54">
        <v>8</v>
      </c>
      <c r="C17" s="54">
        <v>4</v>
      </c>
      <c r="D17" s="54">
        <v>7</v>
      </c>
      <c r="E17" s="54">
        <v>2</v>
      </c>
      <c r="F17" s="54">
        <v>5</v>
      </c>
      <c r="G17" s="54">
        <v>6</v>
      </c>
      <c r="H17" s="54">
        <v>9</v>
      </c>
      <c r="I17" s="54">
        <v>6</v>
      </c>
      <c r="J17" s="54">
        <v>15</v>
      </c>
      <c r="K17" s="54">
        <v>9</v>
      </c>
      <c r="L17" s="54">
        <v>4</v>
      </c>
      <c r="M17" s="54">
        <v>5</v>
      </c>
      <c r="N17" s="54">
        <v>3</v>
      </c>
      <c r="O17" s="54">
        <v>9</v>
      </c>
      <c r="P17" s="54">
        <v>5</v>
      </c>
      <c r="Q17" s="54">
        <v>8</v>
      </c>
      <c r="R17" s="54">
        <v>9</v>
      </c>
      <c r="S17" s="54">
        <v>7</v>
      </c>
      <c r="T17" s="54">
        <v>2</v>
      </c>
      <c r="U17" s="54">
        <v>10</v>
      </c>
      <c r="V17" s="54">
        <v>9</v>
      </c>
      <c r="W17" s="54">
        <v>5</v>
      </c>
      <c r="X17" s="54">
        <v>7</v>
      </c>
      <c r="Y17" s="54">
        <v>5</v>
      </c>
      <c r="Z17" s="54">
        <v>6</v>
      </c>
      <c r="AA17" s="54">
        <v>2</v>
      </c>
      <c r="AB17" s="54">
        <v>4</v>
      </c>
      <c r="AC17" s="54">
        <v>9</v>
      </c>
      <c r="AD17" s="54">
        <v>8</v>
      </c>
      <c r="AE17" s="54">
        <v>14</v>
      </c>
      <c r="AF17" s="54">
        <v>11</v>
      </c>
      <c r="AG17" s="5">
        <f t="shared" si="2"/>
        <v>213</v>
      </c>
    </row>
    <row r="18" spans="1:33" ht="18.75" x14ac:dyDescent="0.25">
      <c r="A18" s="56" t="s">
        <v>16</v>
      </c>
      <c r="B18" s="54">
        <v>10</v>
      </c>
      <c r="C18" s="54">
        <v>3</v>
      </c>
      <c r="D18" s="54">
        <v>6</v>
      </c>
      <c r="E18" s="54">
        <v>4</v>
      </c>
      <c r="F18" s="54">
        <v>8</v>
      </c>
      <c r="G18" s="54">
        <v>3</v>
      </c>
      <c r="H18" s="54">
        <v>4</v>
      </c>
      <c r="I18" s="54">
        <v>4</v>
      </c>
      <c r="J18" s="54">
        <v>5</v>
      </c>
      <c r="K18" s="54">
        <v>5</v>
      </c>
      <c r="L18" s="54">
        <v>2</v>
      </c>
      <c r="M18" s="54">
        <v>5</v>
      </c>
      <c r="N18" s="54">
        <v>6</v>
      </c>
      <c r="O18" s="54">
        <v>7</v>
      </c>
      <c r="P18" s="54">
        <v>4</v>
      </c>
      <c r="Q18" s="54">
        <v>7</v>
      </c>
      <c r="R18" s="54">
        <v>6</v>
      </c>
      <c r="S18" s="54">
        <v>4</v>
      </c>
      <c r="T18" s="54">
        <v>2</v>
      </c>
      <c r="U18" s="54">
        <v>6</v>
      </c>
      <c r="V18" s="54">
        <v>6</v>
      </c>
      <c r="W18" s="54">
        <v>8</v>
      </c>
      <c r="X18" s="54">
        <v>7</v>
      </c>
      <c r="Y18" s="54">
        <v>7</v>
      </c>
      <c r="Z18" s="54">
        <v>3</v>
      </c>
      <c r="AA18" s="54">
        <v>2</v>
      </c>
      <c r="AB18" s="54">
        <v>3</v>
      </c>
      <c r="AC18" s="54">
        <v>7</v>
      </c>
      <c r="AD18" s="54">
        <v>7</v>
      </c>
      <c r="AE18" s="54">
        <v>5</v>
      </c>
      <c r="AF18" s="54">
        <v>7</v>
      </c>
      <c r="AG18" s="5">
        <f t="shared" si="2"/>
        <v>163</v>
      </c>
    </row>
    <row r="19" spans="1:33" ht="18.75" x14ac:dyDescent="0.25">
      <c r="A19" s="56" t="s">
        <v>17</v>
      </c>
      <c r="B19" s="54">
        <v>5</v>
      </c>
      <c r="C19" s="54">
        <v>2</v>
      </c>
      <c r="D19" s="54">
        <v>7</v>
      </c>
      <c r="E19" s="54">
        <v>0</v>
      </c>
      <c r="F19" s="54">
        <v>3</v>
      </c>
      <c r="G19" s="54">
        <v>5</v>
      </c>
      <c r="H19" s="54">
        <v>3</v>
      </c>
      <c r="I19" s="54">
        <v>5</v>
      </c>
      <c r="J19" s="54">
        <v>5</v>
      </c>
      <c r="K19" s="54">
        <v>3</v>
      </c>
      <c r="L19" s="54">
        <v>5</v>
      </c>
      <c r="M19" s="54">
        <v>5</v>
      </c>
      <c r="N19" s="54">
        <v>1</v>
      </c>
      <c r="O19" s="54">
        <v>2</v>
      </c>
      <c r="P19" s="54">
        <v>3</v>
      </c>
      <c r="Q19" s="54">
        <v>5</v>
      </c>
      <c r="R19" s="54">
        <v>5</v>
      </c>
      <c r="S19" s="54">
        <v>5</v>
      </c>
      <c r="T19" s="54">
        <v>3</v>
      </c>
      <c r="U19" s="54">
        <v>2</v>
      </c>
      <c r="V19" s="54">
        <v>8</v>
      </c>
      <c r="W19" s="54">
        <v>7</v>
      </c>
      <c r="X19" s="54">
        <v>5</v>
      </c>
      <c r="Y19" s="54">
        <v>2</v>
      </c>
      <c r="Z19" s="54">
        <v>5</v>
      </c>
      <c r="AA19" s="54">
        <v>5</v>
      </c>
      <c r="AB19" s="54">
        <v>4</v>
      </c>
      <c r="AC19" s="54">
        <v>7</v>
      </c>
      <c r="AD19" s="54">
        <v>5</v>
      </c>
      <c r="AE19" s="54">
        <v>7</v>
      </c>
      <c r="AF19" s="54">
        <v>6</v>
      </c>
      <c r="AG19" s="5">
        <f t="shared" si="2"/>
        <v>135</v>
      </c>
    </row>
    <row r="20" spans="1:33" ht="18.75" x14ac:dyDescent="0.25">
      <c r="A20" s="56" t="s">
        <v>18</v>
      </c>
      <c r="B20" s="54">
        <v>3</v>
      </c>
      <c r="C20" s="54">
        <v>1</v>
      </c>
      <c r="D20" s="54">
        <v>5</v>
      </c>
      <c r="E20" s="54">
        <v>2</v>
      </c>
      <c r="F20" s="54">
        <v>2</v>
      </c>
      <c r="G20" s="54">
        <v>1</v>
      </c>
      <c r="H20" s="54">
        <v>1</v>
      </c>
      <c r="I20" s="54">
        <v>0</v>
      </c>
      <c r="J20" s="54">
        <v>1</v>
      </c>
      <c r="K20" s="54">
        <v>1</v>
      </c>
      <c r="L20" s="54">
        <v>5</v>
      </c>
      <c r="M20" s="54">
        <v>5</v>
      </c>
      <c r="N20" s="54">
        <v>2</v>
      </c>
      <c r="O20" s="54">
        <v>3</v>
      </c>
      <c r="P20" s="54">
        <v>0</v>
      </c>
      <c r="Q20" s="54">
        <v>3</v>
      </c>
      <c r="R20" s="54">
        <v>4</v>
      </c>
      <c r="S20" s="54">
        <v>4</v>
      </c>
      <c r="T20" s="54">
        <v>4</v>
      </c>
      <c r="U20" s="54">
        <v>0</v>
      </c>
      <c r="V20" s="54">
        <v>1</v>
      </c>
      <c r="W20" s="54">
        <v>2</v>
      </c>
      <c r="X20" s="54">
        <v>1</v>
      </c>
      <c r="Y20" s="54">
        <v>2</v>
      </c>
      <c r="Z20" s="54">
        <v>9</v>
      </c>
      <c r="AA20" s="54">
        <v>7</v>
      </c>
      <c r="AB20" s="54">
        <v>6</v>
      </c>
      <c r="AC20" s="54">
        <v>1</v>
      </c>
      <c r="AD20" s="54">
        <v>3</v>
      </c>
      <c r="AE20" s="54">
        <v>3</v>
      </c>
      <c r="AF20" s="54">
        <v>4</v>
      </c>
      <c r="AG20" s="5">
        <f t="shared" si="2"/>
        <v>86</v>
      </c>
    </row>
    <row r="21" spans="1:33" ht="15.75" customHeight="1" x14ac:dyDescent="0.25">
      <c r="A21" s="56" t="s">
        <v>19</v>
      </c>
      <c r="B21" s="54">
        <v>0</v>
      </c>
      <c r="C21" s="54">
        <v>2</v>
      </c>
      <c r="D21" s="54">
        <v>4</v>
      </c>
      <c r="E21" s="54">
        <v>2</v>
      </c>
      <c r="F21" s="54">
        <v>1</v>
      </c>
      <c r="G21" s="54">
        <v>4</v>
      </c>
      <c r="H21" s="54">
        <v>1</v>
      </c>
      <c r="I21" s="54">
        <v>1</v>
      </c>
      <c r="J21" s="54">
        <v>2</v>
      </c>
      <c r="K21" s="54">
        <v>2</v>
      </c>
      <c r="L21" s="54">
        <v>3</v>
      </c>
      <c r="M21" s="54">
        <v>0</v>
      </c>
      <c r="N21" s="54">
        <v>1</v>
      </c>
      <c r="O21" s="54">
        <v>2</v>
      </c>
      <c r="P21" s="54">
        <v>3</v>
      </c>
      <c r="Q21" s="54">
        <v>1</v>
      </c>
      <c r="R21" s="54">
        <v>0</v>
      </c>
      <c r="S21" s="54">
        <v>1</v>
      </c>
      <c r="T21" s="54">
        <v>4</v>
      </c>
      <c r="U21" s="54">
        <v>2</v>
      </c>
      <c r="V21" s="54">
        <v>2</v>
      </c>
      <c r="W21" s="54">
        <v>2</v>
      </c>
      <c r="X21" s="54">
        <v>2</v>
      </c>
      <c r="Y21" s="54">
        <v>3</v>
      </c>
      <c r="Z21" s="54">
        <v>1</v>
      </c>
      <c r="AA21" s="54">
        <v>3</v>
      </c>
      <c r="AB21" s="54">
        <v>0</v>
      </c>
      <c r="AC21" s="54">
        <v>4</v>
      </c>
      <c r="AD21" s="54">
        <v>2</v>
      </c>
      <c r="AE21" s="54">
        <v>0</v>
      </c>
      <c r="AF21" s="54">
        <v>2</v>
      </c>
      <c r="AG21" s="5">
        <f t="shared" si="2"/>
        <v>57</v>
      </c>
    </row>
    <row r="22" spans="1:33" ht="15.75" customHeight="1" x14ac:dyDescent="0.25">
      <c r="A22" s="56" t="s">
        <v>20</v>
      </c>
      <c r="B22" s="54">
        <v>0</v>
      </c>
      <c r="C22" s="54">
        <v>1</v>
      </c>
      <c r="D22" s="54">
        <v>0</v>
      </c>
      <c r="E22" s="54">
        <v>2</v>
      </c>
      <c r="F22" s="54">
        <v>2</v>
      </c>
      <c r="G22" s="54">
        <v>1</v>
      </c>
      <c r="H22" s="54">
        <v>0</v>
      </c>
      <c r="I22" s="54">
        <v>0</v>
      </c>
      <c r="J22" s="54">
        <v>3</v>
      </c>
      <c r="K22" s="54">
        <v>2</v>
      </c>
      <c r="L22" s="54">
        <v>1</v>
      </c>
      <c r="M22" s="54">
        <v>0</v>
      </c>
      <c r="N22" s="54">
        <v>3</v>
      </c>
      <c r="O22" s="54">
        <v>0</v>
      </c>
      <c r="P22" s="54">
        <v>2</v>
      </c>
      <c r="Q22" s="54">
        <v>2</v>
      </c>
      <c r="R22" s="54">
        <v>4</v>
      </c>
      <c r="S22" s="54">
        <v>1</v>
      </c>
      <c r="T22" s="54">
        <v>0</v>
      </c>
      <c r="U22" s="54">
        <v>0</v>
      </c>
      <c r="V22" s="54">
        <v>5</v>
      </c>
      <c r="W22" s="54">
        <v>2</v>
      </c>
      <c r="X22" s="54">
        <v>1</v>
      </c>
      <c r="Y22" s="54">
        <v>0</v>
      </c>
      <c r="Z22" s="54">
        <v>1</v>
      </c>
      <c r="AA22" s="54">
        <v>5</v>
      </c>
      <c r="AB22" s="54">
        <v>1</v>
      </c>
      <c r="AC22" s="54">
        <v>1</v>
      </c>
      <c r="AD22" s="54">
        <v>0</v>
      </c>
      <c r="AE22" s="54">
        <v>0</v>
      </c>
      <c r="AF22" s="54">
        <v>0</v>
      </c>
      <c r="AG22" s="5">
        <f t="shared" si="2"/>
        <v>40</v>
      </c>
    </row>
    <row r="23" spans="1:33" ht="15.75" customHeight="1" x14ac:dyDescent="0.25">
      <c r="A23" s="56" t="s">
        <v>21</v>
      </c>
      <c r="B23" s="54">
        <v>0</v>
      </c>
      <c r="C23" s="54">
        <v>0</v>
      </c>
      <c r="D23" s="54">
        <v>2</v>
      </c>
      <c r="E23" s="54">
        <v>3</v>
      </c>
      <c r="F23" s="54">
        <v>1</v>
      </c>
      <c r="G23" s="54">
        <v>4</v>
      </c>
      <c r="H23" s="54">
        <v>2</v>
      </c>
      <c r="I23" s="54">
        <v>2</v>
      </c>
      <c r="J23" s="54">
        <v>1</v>
      </c>
      <c r="K23" s="54">
        <v>1</v>
      </c>
      <c r="L23" s="54">
        <v>3</v>
      </c>
      <c r="M23" s="54">
        <v>0</v>
      </c>
      <c r="N23" s="54">
        <v>0</v>
      </c>
      <c r="O23" s="54">
        <v>0</v>
      </c>
      <c r="P23" s="54">
        <v>2</v>
      </c>
      <c r="Q23" s="54">
        <v>1</v>
      </c>
      <c r="R23" s="54">
        <v>1</v>
      </c>
      <c r="S23" s="54">
        <v>0</v>
      </c>
      <c r="T23" s="54">
        <v>1</v>
      </c>
      <c r="U23" s="54">
        <v>3</v>
      </c>
      <c r="V23" s="54">
        <v>3</v>
      </c>
      <c r="W23" s="54">
        <v>1</v>
      </c>
      <c r="X23" s="54">
        <v>1</v>
      </c>
      <c r="Y23" s="54">
        <v>1</v>
      </c>
      <c r="Z23" s="54">
        <v>2</v>
      </c>
      <c r="AA23" s="54">
        <v>2</v>
      </c>
      <c r="AB23" s="54">
        <v>3</v>
      </c>
      <c r="AC23" s="54">
        <v>0</v>
      </c>
      <c r="AD23" s="54">
        <v>0</v>
      </c>
      <c r="AE23" s="54">
        <v>2</v>
      </c>
      <c r="AF23" s="54">
        <v>2</v>
      </c>
      <c r="AG23" s="5">
        <f t="shared" si="2"/>
        <v>44</v>
      </c>
    </row>
    <row r="24" spans="1:33" ht="15.75" customHeight="1" x14ac:dyDescent="0.25">
      <c r="A24" s="56" t="s">
        <v>22</v>
      </c>
      <c r="B24" s="54">
        <v>0</v>
      </c>
      <c r="C24" s="54">
        <v>1</v>
      </c>
      <c r="D24" s="54">
        <v>0</v>
      </c>
      <c r="E24" s="54">
        <v>0</v>
      </c>
      <c r="F24" s="54">
        <v>0</v>
      </c>
      <c r="G24" s="54">
        <v>0</v>
      </c>
      <c r="H24" s="54">
        <v>1</v>
      </c>
      <c r="I24" s="54">
        <v>2</v>
      </c>
      <c r="J24" s="54">
        <v>1</v>
      </c>
      <c r="K24" s="54">
        <v>1</v>
      </c>
      <c r="L24" s="54">
        <v>2</v>
      </c>
      <c r="M24" s="54">
        <v>1</v>
      </c>
      <c r="N24" s="54">
        <v>1</v>
      </c>
      <c r="O24" s="54">
        <v>1</v>
      </c>
      <c r="P24" s="54">
        <v>1</v>
      </c>
      <c r="Q24" s="54">
        <v>3</v>
      </c>
      <c r="R24" s="54">
        <v>0</v>
      </c>
      <c r="S24" s="54">
        <v>0</v>
      </c>
      <c r="T24" s="54">
        <v>0</v>
      </c>
      <c r="U24" s="54">
        <v>1</v>
      </c>
      <c r="V24" s="54">
        <v>0</v>
      </c>
      <c r="W24" s="54">
        <v>0</v>
      </c>
      <c r="X24" s="54">
        <v>0</v>
      </c>
      <c r="Y24" s="54">
        <v>3</v>
      </c>
      <c r="Z24" s="54">
        <v>0</v>
      </c>
      <c r="AA24" s="54">
        <v>0</v>
      </c>
      <c r="AB24" s="54">
        <v>1</v>
      </c>
      <c r="AC24" s="54">
        <v>1</v>
      </c>
      <c r="AD24" s="54">
        <v>0</v>
      </c>
      <c r="AE24" s="54">
        <v>1</v>
      </c>
      <c r="AF24" s="54">
        <v>1</v>
      </c>
      <c r="AG24" s="5">
        <f t="shared" si="2"/>
        <v>23</v>
      </c>
    </row>
    <row r="25" spans="1:33" ht="15.75" customHeight="1" x14ac:dyDescent="0.25">
      <c r="A25" s="56" t="s">
        <v>23</v>
      </c>
      <c r="B25" s="54">
        <v>2</v>
      </c>
      <c r="C25" s="54">
        <v>2</v>
      </c>
      <c r="D25" s="54">
        <v>2</v>
      </c>
      <c r="E25" s="54">
        <v>0</v>
      </c>
      <c r="F25" s="54">
        <v>0</v>
      </c>
      <c r="G25" s="54">
        <v>1</v>
      </c>
      <c r="H25" s="54">
        <v>2</v>
      </c>
      <c r="I25" s="54">
        <v>0</v>
      </c>
      <c r="J25" s="54">
        <v>1</v>
      </c>
      <c r="K25" s="54">
        <v>0</v>
      </c>
      <c r="L25" s="54">
        <v>0</v>
      </c>
      <c r="M25" s="54">
        <v>0</v>
      </c>
      <c r="N25" s="54">
        <v>1</v>
      </c>
      <c r="O25" s="54">
        <v>0</v>
      </c>
      <c r="P25" s="54">
        <v>0</v>
      </c>
      <c r="Q25" s="54">
        <v>2</v>
      </c>
      <c r="R25" s="54">
        <v>1</v>
      </c>
      <c r="S25" s="54">
        <v>1</v>
      </c>
      <c r="T25" s="54">
        <v>1</v>
      </c>
      <c r="U25" s="54">
        <v>0</v>
      </c>
      <c r="V25" s="54">
        <v>1</v>
      </c>
      <c r="W25" s="54">
        <v>1</v>
      </c>
      <c r="X25" s="54">
        <v>1</v>
      </c>
      <c r="Y25" s="54">
        <v>0</v>
      </c>
      <c r="Z25" s="54">
        <v>1</v>
      </c>
      <c r="AA25" s="54">
        <v>3</v>
      </c>
      <c r="AB25" s="54">
        <v>2</v>
      </c>
      <c r="AC25" s="54">
        <v>0</v>
      </c>
      <c r="AD25" s="54">
        <v>0</v>
      </c>
      <c r="AE25" s="54">
        <v>2</v>
      </c>
      <c r="AF25" s="54">
        <v>0</v>
      </c>
      <c r="AG25" s="5">
        <f t="shared" si="2"/>
        <v>27</v>
      </c>
    </row>
    <row r="26" spans="1:33" ht="15.75" customHeight="1" x14ac:dyDescent="0.25">
      <c r="A26" s="56" t="s">
        <v>24</v>
      </c>
      <c r="B26" s="54">
        <v>0</v>
      </c>
      <c r="C26" s="54">
        <v>0</v>
      </c>
      <c r="D26" s="54">
        <v>0</v>
      </c>
      <c r="E26" s="54">
        <v>0</v>
      </c>
      <c r="F26" s="54">
        <v>3</v>
      </c>
      <c r="G26" s="54">
        <v>1</v>
      </c>
      <c r="H26" s="54">
        <v>2</v>
      </c>
      <c r="I26" s="54">
        <v>0</v>
      </c>
      <c r="J26" s="54">
        <v>0</v>
      </c>
      <c r="K26" s="54">
        <v>2</v>
      </c>
      <c r="L26" s="54">
        <v>2</v>
      </c>
      <c r="M26" s="54">
        <v>0</v>
      </c>
      <c r="N26" s="54">
        <v>3</v>
      </c>
      <c r="O26" s="54">
        <v>1</v>
      </c>
      <c r="P26" s="54">
        <v>0</v>
      </c>
      <c r="Q26" s="54">
        <v>2</v>
      </c>
      <c r="R26" s="54">
        <v>0</v>
      </c>
      <c r="S26" s="54">
        <v>2</v>
      </c>
      <c r="T26" s="54">
        <v>1</v>
      </c>
      <c r="U26" s="54">
        <v>0</v>
      </c>
      <c r="V26" s="54">
        <v>0</v>
      </c>
      <c r="W26" s="54">
        <v>0</v>
      </c>
      <c r="X26" s="54">
        <v>3</v>
      </c>
      <c r="Y26" s="54">
        <v>1</v>
      </c>
      <c r="Z26" s="54">
        <v>3</v>
      </c>
      <c r="AA26" s="54">
        <v>0</v>
      </c>
      <c r="AB26" s="54">
        <v>0</v>
      </c>
      <c r="AC26" s="54">
        <v>0</v>
      </c>
      <c r="AD26" s="54">
        <v>1</v>
      </c>
      <c r="AE26" s="54">
        <v>1</v>
      </c>
      <c r="AF26" s="54">
        <v>1</v>
      </c>
      <c r="AG26" s="5">
        <f t="shared" si="2"/>
        <v>29</v>
      </c>
    </row>
    <row r="27" spans="1:33" ht="15.75" customHeight="1" thickBot="1" x14ac:dyDescent="0.3">
      <c r="A27" s="57" t="s">
        <v>25</v>
      </c>
      <c r="B27" s="58">
        <v>0</v>
      </c>
      <c r="C27" s="58">
        <v>0</v>
      </c>
      <c r="D27" s="58">
        <v>0</v>
      </c>
      <c r="E27" s="58">
        <v>0</v>
      </c>
      <c r="F27" s="58">
        <v>1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0</v>
      </c>
      <c r="M27" s="58">
        <v>4</v>
      </c>
      <c r="N27" s="58">
        <v>4</v>
      </c>
      <c r="O27" s="58">
        <v>0</v>
      </c>
      <c r="P27" s="58">
        <v>0</v>
      </c>
      <c r="Q27" s="58">
        <v>0</v>
      </c>
      <c r="R27" s="58">
        <v>0</v>
      </c>
      <c r="S27" s="58">
        <v>2</v>
      </c>
      <c r="T27" s="58">
        <v>7</v>
      </c>
      <c r="U27" s="58">
        <v>6</v>
      </c>
      <c r="V27" s="58">
        <v>0</v>
      </c>
      <c r="W27" s="58">
        <v>0</v>
      </c>
      <c r="X27" s="58">
        <v>0</v>
      </c>
      <c r="Y27" s="58">
        <v>1</v>
      </c>
      <c r="Z27" s="58">
        <v>0</v>
      </c>
      <c r="AA27" s="58">
        <v>0</v>
      </c>
      <c r="AB27" s="58">
        <v>2</v>
      </c>
      <c r="AC27" s="58">
        <v>0</v>
      </c>
      <c r="AD27" s="58">
        <v>0</v>
      </c>
      <c r="AE27" s="58">
        <v>0</v>
      </c>
      <c r="AF27" s="58">
        <v>0</v>
      </c>
      <c r="AG27" s="5">
        <f t="shared" si="2"/>
        <v>27</v>
      </c>
    </row>
    <row r="28" spans="1:33" ht="15.75" customHeight="1" x14ac:dyDescent="0.25">
      <c r="A28" s="59" t="s">
        <v>26</v>
      </c>
      <c r="B28" s="6">
        <f t="shared" ref="B28:AF28" si="3">SUM(B29:B52)</f>
        <v>109</v>
      </c>
      <c r="C28" s="6">
        <f t="shared" si="3"/>
        <v>107</v>
      </c>
      <c r="D28" s="6">
        <f t="shared" si="3"/>
        <v>111</v>
      </c>
      <c r="E28" s="6">
        <f t="shared" si="3"/>
        <v>93</v>
      </c>
      <c r="F28" s="6">
        <f t="shared" si="3"/>
        <v>140</v>
      </c>
      <c r="G28" s="6">
        <f t="shared" si="3"/>
        <v>144</v>
      </c>
      <c r="H28" s="6">
        <f t="shared" si="3"/>
        <v>126</v>
      </c>
      <c r="I28" s="6">
        <f t="shared" si="3"/>
        <v>107</v>
      </c>
      <c r="J28" s="6">
        <f t="shared" si="3"/>
        <v>117</v>
      </c>
      <c r="K28" s="6">
        <f t="shared" si="3"/>
        <v>97</v>
      </c>
      <c r="L28" s="6">
        <f t="shared" si="3"/>
        <v>115</v>
      </c>
      <c r="M28" s="6">
        <f t="shared" si="3"/>
        <v>164</v>
      </c>
      <c r="N28" s="6">
        <f t="shared" si="3"/>
        <v>152</v>
      </c>
      <c r="O28" s="6">
        <f t="shared" si="3"/>
        <v>113</v>
      </c>
      <c r="P28" s="6">
        <f t="shared" si="3"/>
        <v>98</v>
      </c>
      <c r="Q28" s="6">
        <f t="shared" si="3"/>
        <v>174</v>
      </c>
      <c r="R28" s="6">
        <f t="shared" si="3"/>
        <v>117</v>
      </c>
      <c r="S28" s="6">
        <f t="shared" si="3"/>
        <v>113</v>
      </c>
      <c r="T28" s="6">
        <f t="shared" si="3"/>
        <v>156</v>
      </c>
      <c r="U28" s="6">
        <f t="shared" si="3"/>
        <v>158</v>
      </c>
      <c r="V28" s="6">
        <f t="shared" si="3"/>
        <v>138</v>
      </c>
      <c r="W28" s="6">
        <f t="shared" si="3"/>
        <v>116</v>
      </c>
      <c r="X28" s="6">
        <f t="shared" si="3"/>
        <v>126</v>
      </c>
      <c r="Y28" s="6">
        <f t="shared" si="3"/>
        <v>102</v>
      </c>
      <c r="Z28" s="6">
        <f t="shared" si="3"/>
        <v>96</v>
      </c>
      <c r="AA28" s="6">
        <f t="shared" si="3"/>
        <v>171</v>
      </c>
      <c r="AB28" s="6">
        <f t="shared" si="3"/>
        <v>142</v>
      </c>
      <c r="AC28" s="6">
        <f t="shared" si="3"/>
        <v>122</v>
      </c>
      <c r="AD28" s="6">
        <f t="shared" si="3"/>
        <v>120</v>
      </c>
      <c r="AE28" s="6">
        <f t="shared" si="3"/>
        <v>105</v>
      </c>
      <c r="AF28" s="6">
        <f t="shared" si="3"/>
        <v>104</v>
      </c>
      <c r="AG28" s="7">
        <f t="shared" si="2"/>
        <v>3853</v>
      </c>
    </row>
    <row r="29" spans="1:33" ht="15.75" customHeight="1" x14ac:dyDescent="0.25">
      <c r="A29" s="53" t="s">
        <v>2</v>
      </c>
      <c r="B29" s="54">
        <v>0</v>
      </c>
      <c r="C29" s="55">
        <v>0</v>
      </c>
      <c r="D29" s="55">
        <v>0</v>
      </c>
      <c r="E29" s="55">
        <v>0</v>
      </c>
      <c r="F29" s="55">
        <v>4</v>
      </c>
      <c r="G29" s="55">
        <v>1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6</v>
      </c>
      <c r="N29" s="55">
        <v>3</v>
      </c>
      <c r="O29" s="55">
        <v>0</v>
      </c>
      <c r="P29" s="55">
        <v>0</v>
      </c>
      <c r="Q29" s="55">
        <v>2</v>
      </c>
      <c r="R29" s="55">
        <v>0</v>
      </c>
      <c r="S29" s="55">
        <v>0</v>
      </c>
      <c r="T29" s="55">
        <v>1</v>
      </c>
      <c r="U29" s="55">
        <v>4</v>
      </c>
      <c r="V29" s="55">
        <v>0</v>
      </c>
      <c r="W29" s="55">
        <v>0</v>
      </c>
      <c r="X29" s="55">
        <v>0</v>
      </c>
      <c r="Y29" s="55">
        <v>0</v>
      </c>
      <c r="Z29" s="55">
        <v>0</v>
      </c>
      <c r="AA29" s="55">
        <v>5</v>
      </c>
      <c r="AB29" s="55">
        <v>2</v>
      </c>
      <c r="AC29" s="55">
        <v>0</v>
      </c>
      <c r="AD29" s="54">
        <v>0</v>
      </c>
      <c r="AE29" s="54">
        <v>0</v>
      </c>
      <c r="AF29" s="54">
        <v>0</v>
      </c>
      <c r="AG29" s="5">
        <f t="shared" si="2"/>
        <v>28</v>
      </c>
    </row>
    <row r="30" spans="1:33" ht="15.75" customHeight="1" x14ac:dyDescent="0.25">
      <c r="A30" s="56" t="s">
        <v>3</v>
      </c>
      <c r="B30" s="54">
        <v>0</v>
      </c>
      <c r="C30" s="54">
        <v>0</v>
      </c>
      <c r="D30" s="54">
        <v>0</v>
      </c>
      <c r="E30" s="54">
        <v>0</v>
      </c>
      <c r="F30" s="54">
        <v>8</v>
      </c>
      <c r="G30" s="54">
        <v>5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8</v>
      </c>
      <c r="N30" s="54">
        <v>6</v>
      </c>
      <c r="O30" s="54">
        <v>0</v>
      </c>
      <c r="P30" s="54">
        <v>0</v>
      </c>
      <c r="Q30" s="54">
        <v>9</v>
      </c>
      <c r="R30" s="54">
        <v>0</v>
      </c>
      <c r="S30" s="54">
        <v>0</v>
      </c>
      <c r="T30" s="54">
        <v>14</v>
      </c>
      <c r="U30" s="54">
        <v>7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5</v>
      </c>
      <c r="AB30" s="54">
        <v>7</v>
      </c>
      <c r="AC30" s="54">
        <v>0</v>
      </c>
      <c r="AD30" s="54">
        <v>0</v>
      </c>
      <c r="AE30" s="54">
        <v>0</v>
      </c>
      <c r="AF30" s="54">
        <v>0</v>
      </c>
      <c r="AG30" s="5">
        <f t="shared" si="2"/>
        <v>69</v>
      </c>
    </row>
    <row r="31" spans="1:33" ht="15.75" customHeight="1" x14ac:dyDescent="0.25">
      <c r="A31" s="56" t="s">
        <v>4</v>
      </c>
      <c r="B31" s="54">
        <v>0</v>
      </c>
      <c r="C31" s="54">
        <v>0</v>
      </c>
      <c r="D31" s="54">
        <v>0</v>
      </c>
      <c r="E31" s="54">
        <v>0</v>
      </c>
      <c r="F31" s="54">
        <v>9</v>
      </c>
      <c r="G31" s="54">
        <v>5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14</v>
      </c>
      <c r="N31" s="54">
        <v>9</v>
      </c>
      <c r="O31" s="54">
        <v>0</v>
      </c>
      <c r="P31" s="54">
        <v>0</v>
      </c>
      <c r="Q31" s="54">
        <v>8</v>
      </c>
      <c r="R31" s="54">
        <v>0</v>
      </c>
      <c r="S31" s="54">
        <v>0</v>
      </c>
      <c r="T31" s="54">
        <v>4</v>
      </c>
      <c r="U31" s="54">
        <v>8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5</v>
      </c>
      <c r="AB31" s="54">
        <v>8</v>
      </c>
      <c r="AC31" s="54">
        <v>0</v>
      </c>
      <c r="AD31" s="54">
        <v>0</v>
      </c>
      <c r="AE31" s="54">
        <v>0</v>
      </c>
      <c r="AF31" s="54">
        <v>0</v>
      </c>
      <c r="AG31" s="5">
        <f t="shared" si="2"/>
        <v>70</v>
      </c>
    </row>
    <row r="32" spans="1:33" ht="15.75" customHeight="1" x14ac:dyDescent="0.25">
      <c r="A32" s="56" t="s">
        <v>5</v>
      </c>
      <c r="B32" s="54">
        <v>0</v>
      </c>
      <c r="C32" s="54">
        <v>0</v>
      </c>
      <c r="D32" s="54">
        <v>0</v>
      </c>
      <c r="E32" s="54">
        <v>0</v>
      </c>
      <c r="F32" s="54">
        <v>8</v>
      </c>
      <c r="G32" s="54">
        <v>11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3</v>
      </c>
      <c r="N32" s="54">
        <v>6</v>
      </c>
      <c r="O32" s="54">
        <v>0</v>
      </c>
      <c r="P32" s="54">
        <v>0</v>
      </c>
      <c r="Q32" s="54">
        <v>6</v>
      </c>
      <c r="R32" s="54">
        <v>0</v>
      </c>
      <c r="S32" s="54">
        <v>0</v>
      </c>
      <c r="T32" s="54">
        <v>12</v>
      </c>
      <c r="U32" s="54">
        <v>11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10</v>
      </c>
      <c r="AB32" s="54">
        <v>11</v>
      </c>
      <c r="AC32" s="54">
        <v>0</v>
      </c>
      <c r="AD32" s="54">
        <v>0</v>
      </c>
      <c r="AE32" s="54">
        <v>0</v>
      </c>
      <c r="AF32" s="54">
        <v>0</v>
      </c>
      <c r="AG32" s="5">
        <f t="shared" si="2"/>
        <v>78</v>
      </c>
    </row>
    <row r="33" spans="1:33" ht="15.75" customHeight="1" x14ac:dyDescent="0.25">
      <c r="A33" s="56" t="s">
        <v>6</v>
      </c>
      <c r="B33" s="54">
        <v>0</v>
      </c>
      <c r="C33" s="54">
        <v>0</v>
      </c>
      <c r="D33" s="54">
        <v>0</v>
      </c>
      <c r="E33" s="54">
        <v>0</v>
      </c>
      <c r="F33" s="54">
        <v>13</v>
      </c>
      <c r="G33" s="54">
        <v>8</v>
      </c>
      <c r="H33" s="54">
        <v>0</v>
      </c>
      <c r="I33" s="54">
        <v>0</v>
      </c>
      <c r="J33" s="54">
        <v>0</v>
      </c>
      <c r="K33" s="54">
        <v>0</v>
      </c>
      <c r="L33" s="54">
        <v>0</v>
      </c>
      <c r="M33" s="54">
        <v>11</v>
      </c>
      <c r="N33" s="54">
        <v>9</v>
      </c>
      <c r="O33" s="54">
        <v>0</v>
      </c>
      <c r="P33" s="54">
        <v>0</v>
      </c>
      <c r="Q33" s="54">
        <v>13</v>
      </c>
      <c r="R33" s="54">
        <v>0</v>
      </c>
      <c r="S33" s="54">
        <v>0</v>
      </c>
      <c r="T33" s="54">
        <v>13</v>
      </c>
      <c r="U33" s="54">
        <v>11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12</v>
      </c>
      <c r="AB33" s="54">
        <v>7</v>
      </c>
      <c r="AC33" s="54">
        <v>0</v>
      </c>
      <c r="AD33" s="54">
        <v>0</v>
      </c>
      <c r="AE33" s="54">
        <v>0</v>
      </c>
      <c r="AF33" s="54">
        <v>0</v>
      </c>
      <c r="AG33" s="5">
        <f t="shared" si="2"/>
        <v>97</v>
      </c>
    </row>
    <row r="34" spans="1:33" ht="15.75" customHeight="1" x14ac:dyDescent="0.25">
      <c r="A34" s="56" t="s">
        <v>7</v>
      </c>
      <c r="B34" s="54">
        <v>0</v>
      </c>
      <c r="C34" s="54">
        <v>0</v>
      </c>
      <c r="D34" s="54">
        <v>0</v>
      </c>
      <c r="E34" s="54">
        <v>0</v>
      </c>
      <c r="F34" s="54">
        <v>13</v>
      </c>
      <c r="G34" s="54">
        <v>11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10</v>
      </c>
      <c r="N34" s="54">
        <v>7</v>
      </c>
      <c r="O34" s="54">
        <v>0</v>
      </c>
      <c r="P34" s="54">
        <v>0</v>
      </c>
      <c r="Q34" s="54">
        <v>12</v>
      </c>
      <c r="R34" s="54">
        <v>0</v>
      </c>
      <c r="S34" s="54">
        <v>0</v>
      </c>
      <c r="T34" s="54">
        <v>9</v>
      </c>
      <c r="U34" s="54">
        <v>9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17</v>
      </c>
      <c r="AB34" s="54">
        <v>6</v>
      </c>
      <c r="AC34" s="54">
        <v>0</v>
      </c>
      <c r="AD34" s="54">
        <v>0</v>
      </c>
      <c r="AE34" s="54">
        <v>0</v>
      </c>
      <c r="AF34" s="54">
        <v>0</v>
      </c>
      <c r="AG34" s="5">
        <f t="shared" si="2"/>
        <v>94</v>
      </c>
    </row>
    <row r="35" spans="1:33" ht="15.75" customHeight="1" x14ac:dyDescent="0.25">
      <c r="A35" s="56" t="s">
        <v>8</v>
      </c>
      <c r="B35" s="54">
        <v>0</v>
      </c>
      <c r="C35" s="54">
        <v>0</v>
      </c>
      <c r="D35" s="54">
        <v>0</v>
      </c>
      <c r="E35" s="54">
        <v>0</v>
      </c>
      <c r="F35" s="54">
        <v>5</v>
      </c>
      <c r="G35" s="54">
        <v>12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10</v>
      </c>
      <c r="N35" s="54">
        <v>8</v>
      </c>
      <c r="O35" s="54">
        <v>0</v>
      </c>
      <c r="P35" s="54">
        <v>0</v>
      </c>
      <c r="Q35" s="54">
        <v>10</v>
      </c>
      <c r="R35" s="54">
        <v>0</v>
      </c>
      <c r="S35" s="54">
        <v>0</v>
      </c>
      <c r="T35" s="54">
        <v>9</v>
      </c>
      <c r="U35" s="54">
        <v>9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14</v>
      </c>
      <c r="AB35" s="54">
        <v>5</v>
      </c>
      <c r="AC35" s="54">
        <v>0</v>
      </c>
      <c r="AD35" s="54">
        <v>0</v>
      </c>
      <c r="AE35" s="54">
        <v>0</v>
      </c>
      <c r="AF35" s="54">
        <v>0</v>
      </c>
      <c r="AG35" s="5">
        <f t="shared" si="2"/>
        <v>82</v>
      </c>
    </row>
    <row r="36" spans="1:33" ht="15.75" customHeight="1" x14ac:dyDescent="0.25">
      <c r="A36" s="56" t="s">
        <v>9</v>
      </c>
      <c r="B36" s="54">
        <v>0</v>
      </c>
      <c r="C36" s="54">
        <v>0</v>
      </c>
      <c r="D36" s="54">
        <v>0</v>
      </c>
      <c r="E36" s="54">
        <v>0</v>
      </c>
      <c r="F36" s="54">
        <v>8</v>
      </c>
      <c r="G36" s="54">
        <v>14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11</v>
      </c>
      <c r="N36" s="54">
        <v>6</v>
      </c>
      <c r="O36" s="54">
        <v>0</v>
      </c>
      <c r="P36" s="54">
        <v>0</v>
      </c>
      <c r="Q36" s="54">
        <v>14</v>
      </c>
      <c r="R36" s="54">
        <v>0</v>
      </c>
      <c r="S36" s="54">
        <v>0</v>
      </c>
      <c r="T36" s="54">
        <v>19</v>
      </c>
      <c r="U36" s="54">
        <v>7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4</v>
      </c>
      <c r="AB36" s="54">
        <v>10</v>
      </c>
      <c r="AC36" s="54">
        <v>0</v>
      </c>
      <c r="AD36" s="54">
        <v>0</v>
      </c>
      <c r="AE36" s="54">
        <v>0</v>
      </c>
      <c r="AF36" s="54">
        <v>0</v>
      </c>
      <c r="AG36" s="5">
        <f t="shared" si="2"/>
        <v>93</v>
      </c>
    </row>
    <row r="37" spans="1:33" ht="15.75" customHeight="1" x14ac:dyDescent="0.25">
      <c r="A37" s="56" t="s">
        <v>10</v>
      </c>
      <c r="B37" s="54">
        <v>0</v>
      </c>
      <c r="C37" s="54">
        <v>0</v>
      </c>
      <c r="D37" s="54">
        <v>0</v>
      </c>
      <c r="E37" s="54">
        <v>5</v>
      </c>
      <c r="F37" s="54">
        <v>12</v>
      </c>
      <c r="G37" s="54">
        <v>20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19</v>
      </c>
      <c r="N37" s="54">
        <v>12</v>
      </c>
      <c r="O37" s="54">
        <v>0</v>
      </c>
      <c r="P37" s="54">
        <v>0</v>
      </c>
      <c r="Q37" s="54">
        <v>11</v>
      </c>
      <c r="R37" s="54">
        <v>0</v>
      </c>
      <c r="S37" s="54">
        <v>0</v>
      </c>
      <c r="T37" s="54">
        <v>17</v>
      </c>
      <c r="U37" s="54">
        <v>17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3</v>
      </c>
      <c r="AB37" s="54">
        <v>12</v>
      </c>
      <c r="AC37" s="54">
        <v>0</v>
      </c>
      <c r="AD37" s="54">
        <v>0</v>
      </c>
      <c r="AE37" s="54">
        <v>0</v>
      </c>
      <c r="AF37" s="54">
        <v>0</v>
      </c>
      <c r="AG37" s="5">
        <f t="shared" si="2"/>
        <v>128</v>
      </c>
    </row>
    <row r="38" spans="1:33" ht="15.75" customHeight="1" x14ac:dyDescent="0.25">
      <c r="A38" s="56" t="s">
        <v>11</v>
      </c>
      <c r="B38" s="54">
        <v>10</v>
      </c>
      <c r="C38" s="54">
        <v>0</v>
      </c>
      <c r="D38" s="54">
        <v>13</v>
      </c>
      <c r="E38" s="54">
        <v>9</v>
      </c>
      <c r="F38" s="54">
        <v>9</v>
      </c>
      <c r="G38" s="54">
        <v>13</v>
      </c>
      <c r="H38" s="54">
        <v>16</v>
      </c>
      <c r="I38" s="54">
        <v>10</v>
      </c>
      <c r="J38" s="54">
        <v>10</v>
      </c>
      <c r="K38" s="54">
        <v>8</v>
      </c>
      <c r="L38" s="54">
        <v>9</v>
      </c>
      <c r="M38" s="54">
        <v>9</v>
      </c>
      <c r="N38" s="54">
        <v>15</v>
      </c>
      <c r="O38" s="54">
        <v>9</v>
      </c>
      <c r="P38" s="54">
        <v>13</v>
      </c>
      <c r="Q38" s="54">
        <v>13</v>
      </c>
      <c r="R38" s="54">
        <v>9</v>
      </c>
      <c r="S38" s="54">
        <v>8</v>
      </c>
      <c r="T38" s="54">
        <v>13</v>
      </c>
      <c r="U38" s="54">
        <v>13</v>
      </c>
      <c r="V38" s="54">
        <v>18</v>
      </c>
      <c r="W38" s="54">
        <v>9</v>
      </c>
      <c r="X38" s="54">
        <v>11</v>
      </c>
      <c r="Y38" s="54">
        <v>12</v>
      </c>
      <c r="Z38" s="54">
        <v>7</v>
      </c>
      <c r="AA38" s="54">
        <v>5</v>
      </c>
      <c r="AB38" s="54">
        <v>16</v>
      </c>
      <c r="AC38" s="54">
        <v>15</v>
      </c>
      <c r="AD38" s="54">
        <v>11</v>
      </c>
      <c r="AE38" s="54">
        <v>7</v>
      </c>
      <c r="AF38" s="54">
        <v>5</v>
      </c>
      <c r="AG38" s="5">
        <f t="shared" si="2"/>
        <v>325</v>
      </c>
    </row>
    <row r="39" spans="1:33" ht="15.75" customHeight="1" x14ac:dyDescent="0.25">
      <c r="A39" s="56" t="s">
        <v>12</v>
      </c>
      <c r="B39" s="54">
        <v>21</v>
      </c>
      <c r="C39" s="54">
        <v>18</v>
      </c>
      <c r="D39" s="54">
        <v>26</v>
      </c>
      <c r="E39" s="54">
        <v>15</v>
      </c>
      <c r="F39" s="54">
        <v>12</v>
      </c>
      <c r="G39" s="54">
        <v>6</v>
      </c>
      <c r="H39" s="54">
        <v>18</v>
      </c>
      <c r="I39" s="54">
        <v>19</v>
      </c>
      <c r="J39" s="54">
        <v>19</v>
      </c>
      <c r="K39" s="54">
        <v>27</v>
      </c>
      <c r="L39" s="54">
        <v>13</v>
      </c>
      <c r="M39" s="54">
        <v>14</v>
      </c>
      <c r="N39" s="54">
        <v>18</v>
      </c>
      <c r="O39" s="54">
        <v>14</v>
      </c>
      <c r="P39" s="54">
        <v>22</v>
      </c>
      <c r="Q39" s="54">
        <v>13</v>
      </c>
      <c r="R39" s="54">
        <v>18</v>
      </c>
      <c r="S39" s="54">
        <v>19</v>
      </c>
      <c r="T39" s="54">
        <v>14</v>
      </c>
      <c r="U39" s="54">
        <v>11</v>
      </c>
      <c r="V39" s="54">
        <v>18</v>
      </c>
      <c r="W39" s="54">
        <v>15</v>
      </c>
      <c r="X39" s="54">
        <v>21</v>
      </c>
      <c r="Y39" s="54">
        <v>25</v>
      </c>
      <c r="Z39" s="54">
        <v>27</v>
      </c>
      <c r="AA39" s="54">
        <v>11</v>
      </c>
      <c r="AB39" s="54">
        <v>13</v>
      </c>
      <c r="AC39" s="54">
        <v>19</v>
      </c>
      <c r="AD39" s="54">
        <v>24</v>
      </c>
      <c r="AE39" s="54">
        <v>24</v>
      </c>
      <c r="AF39" s="54">
        <v>25</v>
      </c>
      <c r="AG39" s="5">
        <f t="shared" si="2"/>
        <v>559</v>
      </c>
    </row>
    <row r="40" spans="1:33" ht="15.75" customHeight="1" x14ac:dyDescent="0.25">
      <c r="A40" s="56" t="s">
        <v>13</v>
      </c>
      <c r="B40" s="54">
        <v>23</v>
      </c>
      <c r="C40" s="54">
        <v>23</v>
      </c>
      <c r="D40" s="54">
        <v>19</v>
      </c>
      <c r="E40" s="54">
        <v>24</v>
      </c>
      <c r="F40" s="54">
        <v>8</v>
      </c>
      <c r="G40" s="54">
        <v>8</v>
      </c>
      <c r="H40" s="54">
        <v>16</v>
      </c>
      <c r="I40" s="54">
        <v>17</v>
      </c>
      <c r="J40" s="54">
        <v>20</v>
      </c>
      <c r="K40" s="54">
        <v>19</v>
      </c>
      <c r="L40" s="54">
        <v>24</v>
      </c>
      <c r="M40" s="54">
        <v>11</v>
      </c>
      <c r="N40" s="54">
        <v>12</v>
      </c>
      <c r="O40" s="54">
        <v>20</v>
      </c>
      <c r="P40" s="54">
        <v>19</v>
      </c>
      <c r="Q40" s="54">
        <v>13</v>
      </c>
      <c r="R40" s="54">
        <v>19</v>
      </c>
      <c r="S40" s="54">
        <v>19</v>
      </c>
      <c r="T40" s="54">
        <v>8</v>
      </c>
      <c r="U40" s="54">
        <v>11</v>
      </c>
      <c r="V40" s="54">
        <v>19</v>
      </c>
      <c r="W40" s="54">
        <v>19</v>
      </c>
      <c r="X40" s="54">
        <v>25</v>
      </c>
      <c r="Y40" s="54">
        <v>23</v>
      </c>
      <c r="Z40" s="54">
        <v>14</v>
      </c>
      <c r="AA40" s="54">
        <v>17</v>
      </c>
      <c r="AB40" s="54">
        <v>13</v>
      </c>
      <c r="AC40" s="54">
        <v>26</v>
      </c>
      <c r="AD40" s="54">
        <v>19</v>
      </c>
      <c r="AE40" s="54">
        <v>19</v>
      </c>
      <c r="AF40" s="54">
        <v>20</v>
      </c>
      <c r="AG40" s="5">
        <f t="shared" si="2"/>
        <v>547</v>
      </c>
    </row>
    <row r="41" spans="1:33" ht="15.75" customHeight="1" x14ac:dyDescent="0.25">
      <c r="A41" s="56" t="s">
        <v>14</v>
      </c>
      <c r="B41" s="54">
        <v>17</v>
      </c>
      <c r="C41" s="54">
        <v>15</v>
      </c>
      <c r="D41" s="54">
        <v>14</v>
      </c>
      <c r="E41" s="54">
        <v>15</v>
      </c>
      <c r="F41" s="54">
        <v>4</v>
      </c>
      <c r="G41" s="54">
        <v>5</v>
      </c>
      <c r="H41" s="54">
        <v>20</v>
      </c>
      <c r="I41" s="54">
        <v>18</v>
      </c>
      <c r="J41" s="54">
        <v>22</v>
      </c>
      <c r="K41" s="54">
        <v>12</v>
      </c>
      <c r="L41" s="54">
        <v>30</v>
      </c>
      <c r="M41" s="54">
        <v>8</v>
      </c>
      <c r="N41" s="54">
        <v>10</v>
      </c>
      <c r="O41" s="54">
        <v>10</v>
      </c>
      <c r="P41" s="54">
        <v>18</v>
      </c>
      <c r="Q41" s="54">
        <v>13</v>
      </c>
      <c r="R41" s="54">
        <v>21</v>
      </c>
      <c r="S41" s="54">
        <v>28</v>
      </c>
      <c r="T41" s="54">
        <v>3</v>
      </c>
      <c r="U41" s="54">
        <v>10</v>
      </c>
      <c r="V41" s="54">
        <v>19</v>
      </c>
      <c r="W41" s="54">
        <v>16</v>
      </c>
      <c r="X41" s="54">
        <v>25</v>
      </c>
      <c r="Y41" s="54">
        <v>12</v>
      </c>
      <c r="Z41" s="54">
        <v>12</v>
      </c>
      <c r="AA41" s="54">
        <v>11</v>
      </c>
      <c r="AB41" s="54">
        <v>7</v>
      </c>
      <c r="AC41" s="54">
        <v>16</v>
      </c>
      <c r="AD41" s="54">
        <v>19</v>
      </c>
      <c r="AE41" s="54">
        <v>17</v>
      </c>
      <c r="AF41" s="54">
        <v>16</v>
      </c>
      <c r="AG41" s="5">
        <f t="shared" si="2"/>
        <v>463</v>
      </c>
    </row>
    <row r="42" spans="1:33" ht="15.75" customHeight="1" x14ac:dyDescent="0.25">
      <c r="A42" s="56" t="s">
        <v>15</v>
      </c>
      <c r="B42" s="54">
        <v>14</v>
      </c>
      <c r="C42" s="54">
        <v>18</v>
      </c>
      <c r="D42" s="54">
        <v>9</v>
      </c>
      <c r="E42" s="54">
        <v>12</v>
      </c>
      <c r="F42" s="54">
        <v>4</v>
      </c>
      <c r="G42" s="54">
        <v>5</v>
      </c>
      <c r="H42" s="54">
        <v>19</v>
      </c>
      <c r="I42" s="54">
        <v>6</v>
      </c>
      <c r="J42" s="54">
        <v>15</v>
      </c>
      <c r="K42" s="54">
        <v>10</v>
      </c>
      <c r="L42" s="54">
        <v>10</v>
      </c>
      <c r="M42" s="54">
        <v>7</v>
      </c>
      <c r="N42" s="54">
        <v>10</v>
      </c>
      <c r="O42" s="54">
        <v>8</v>
      </c>
      <c r="P42" s="54">
        <v>8</v>
      </c>
      <c r="Q42" s="54">
        <v>8</v>
      </c>
      <c r="R42" s="54">
        <v>15</v>
      </c>
      <c r="S42" s="54">
        <v>11</v>
      </c>
      <c r="T42" s="54">
        <v>2</v>
      </c>
      <c r="U42" s="54">
        <v>10</v>
      </c>
      <c r="V42" s="54">
        <v>16</v>
      </c>
      <c r="W42" s="54">
        <v>17</v>
      </c>
      <c r="X42" s="54">
        <v>19</v>
      </c>
      <c r="Y42" s="54">
        <v>8</v>
      </c>
      <c r="Z42" s="54">
        <v>8</v>
      </c>
      <c r="AA42" s="54">
        <v>7</v>
      </c>
      <c r="AB42" s="54">
        <v>5</v>
      </c>
      <c r="AC42" s="54">
        <v>16</v>
      </c>
      <c r="AD42" s="54">
        <v>14</v>
      </c>
      <c r="AE42" s="54">
        <v>10</v>
      </c>
      <c r="AF42" s="54">
        <v>9</v>
      </c>
      <c r="AG42" s="5">
        <f t="shared" si="2"/>
        <v>330</v>
      </c>
    </row>
    <row r="43" spans="1:33" ht="15.75" customHeight="1" x14ac:dyDescent="0.25">
      <c r="A43" s="56" t="s">
        <v>16</v>
      </c>
      <c r="B43" s="54">
        <v>12</v>
      </c>
      <c r="C43" s="54">
        <v>21</v>
      </c>
      <c r="D43" s="54">
        <v>10</v>
      </c>
      <c r="E43" s="54">
        <v>4</v>
      </c>
      <c r="F43" s="54">
        <v>7</v>
      </c>
      <c r="G43" s="54">
        <v>4</v>
      </c>
      <c r="H43" s="54">
        <v>9</v>
      </c>
      <c r="I43" s="54">
        <v>7</v>
      </c>
      <c r="J43" s="54">
        <v>11</v>
      </c>
      <c r="K43" s="54">
        <v>6</v>
      </c>
      <c r="L43" s="54">
        <v>3</v>
      </c>
      <c r="M43" s="54">
        <v>8</v>
      </c>
      <c r="N43" s="54">
        <v>4</v>
      </c>
      <c r="O43" s="54">
        <v>8</v>
      </c>
      <c r="P43" s="54">
        <v>3</v>
      </c>
      <c r="Q43" s="54">
        <v>7</v>
      </c>
      <c r="R43" s="54">
        <v>11</v>
      </c>
      <c r="S43" s="54">
        <v>6</v>
      </c>
      <c r="T43" s="54">
        <v>2</v>
      </c>
      <c r="U43" s="54">
        <v>7</v>
      </c>
      <c r="V43" s="54">
        <v>10</v>
      </c>
      <c r="W43" s="54">
        <v>15</v>
      </c>
      <c r="X43" s="54">
        <v>8</v>
      </c>
      <c r="Y43" s="54">
        <v>6</v>
      </c>
      <c r="Z43" s="54">
        <v>3</v>
      </c>
      <c r="AA43" s="54">
        <v>10</v>
      </c>
      <c r="AB43" s="54">
        <v>3</v>
      </c>
      <c r="AC43" s="54">
        <v>9</v>
      </c>
      <c r="AD43" s="54">
        <v>14</v>
      </c>
      <c r="AE43" s="54">
        <v>12</v>
      </c>
      <c r="AF43" s="54">
        <v>8</v>
      </c>
      <c r="AG43" s="5">
        <f t="shared" si="2"/>
        <v>248</v>
      </c>
    </row>
    <row r="44" spans="1:33" ht="15.75" customHeight="1" x14ac:dyDescent="0.25">
      <c r="A44" s="56" t="s">
        <v>17</v>
      </c>
      <c r="B44" s="54">
        <v>7</v>
      </c>
      <c r="C44" s="54">
        <v>2</v>
      </c>
      <c r="D44" s="54">
        <v>3</v>
      </c>
      <c r="E44" s="54">
        <v>1</v>
      </c>
      <c r="F44" s="54">
        <v>5</v>
      </c>
      <c r="G44" s="54">
        <v>3</v>
      </c>
      <c r="H44" s="54">
        <v>7</v>
      </c>
      <c r="I44" s="54">
        <v>8</v>
      </c>
      <c r="J44" s="54">
        <v>3</v>
      </c>
      <c r="K44" s="54">
        <v>5</v>
      </c>
      <c r="L44" s="54">
        <v>3</v>
      </c>
      <c r="M44" s="54">
        <v>3</v>
      </c>
      <c r="N44" s="54">
        <v>4</v>
      </c>
      <c r="O44" s="54">
        <v>5</v>
      </c>
      <c r="P44" s="54">
        <v>6</v>
      </c>
      <c r="Q44" s="54">
        <v>8</v>
      </c>
      <c r="R44" s="54">
        <v>10</v>
      </c>
      <c r="S44" s="54">
        <v>5</v>
      </c>
      <c r="T44" s="54">
        <v>3</v>
      </c>
      <c r="U44" s="54">
        <v>5</v>
      </c>
      <c r="V44" s="54">
        <v>10</v>
      </c>
      <c r="W44" s="54">
        <v>9</v>
      </c>
      <c r="X44" s="54">
        <v>5</v>
      </c>
      <c r="Y44" s="54">
        <v>4</v>
      </c>
      <c r="Z44" s="54">
        <v>4</v>
      </c>
      <c r="AA44" s="54">
        <v>5</v>
      </c>
      <c r="AB44" s="54">
        <v>1</v>
      </c>
      <c r="AC44" s="54">
        <v>7</v>
      </c>
      <c r="AD44" s="54">
        <v>8</v>
      </c>
      <c r="AE44" s="54">
        <v>6</v>
      </c>
      <c r="AF44" s="54">
        <v>5</v>
      </c>
      <c r="AG44" s="5">
        <f t="shared" si="2"/>
        <v>160</v>
      </c>
    </row>
    <row r="45" spans="1:33" ht="15.75" customHeight="1" x14ac:dyDescent="0.25">
      <c r="A45" s="56" t="s">
        <v>18</v>
      </c>
      <c r="B45" s="54">
        <v>3</v>
      </c>
      <c r="C45" s="54">
        <v>4</v>
      </c>
      <c r="D45" s="54">
        <v>5</v>
      </c>
      <c r="E45" s="54">
        <v>0</v>
      </c>
      <c r="F45" s="54">
        <v>3</v>
      </c>
      <c r="G45" s="54">
        <v>2</v>
      </c>
      <c r="H45" s="54">
        <v>5</v>
      </c>
      <c r="I45" s="54">
        <v>3</v>
      </c>
      <c r="J45" s="54">
        <v>6</v>
      </c>
      <c r="K45" s="54">
        <v>1</v>
      </c>
      <c r="L45" s="54">
        <v>4</v>
      </c>
      <c r="M45" s="54">
        <v>10</v>
      </c>
      <c r="N45" s="54">
        <v>1</v>
      </c>
      <c r="O45" s="54">
        <v>15</v>
      </c>
      <c r="P45" s="54">
        <v>0</v>
      </c>
      <c r="Q45" s="54">
        <v>3</v>
      </c>
      <c r="R45" s="54">
        <v>6</v>
      </c>
      <c r="S45" s="54">
        <v>2</v>
      </c>
      <c r="T45" s="54">
        <v>5</v>
      </c>
      <c r="U45" s="54">
        <v>0</v>
      </c>
      <c r="V45" s="54">
        <v>6</v>
      </c>
      <c r="W45" s="54">
        <v>6</v>
      </c>
      <c r="X45" s="54">
        <v>3</v>
      </c>
      <c r="Y45" s="54">
        <v>2</v>
      </c>
      <c r="Z45" s="54">
        <v>8</v>
      </c>
      <c r="AA45" s="54">
        <v>13</v>
      </c>
      <c r="AB45" s="54">
        <v>3</v>
      </c>
      <c r="AC45" s="54">
        <v>7</v>
      </c>
      <c r="AD45" s="54">
        <v>5</v>
      </c>
      <c r="AE45" s="54">
        <v>3</v>
      </c>
      <c r="AF45" s="54">
        <v>9</v>
      </c>
      <c r="AG45" s="5">
        <f t="shared" si="2"/>
        <v>143</v>
      </c>
    </row>
    <row r="46" spans="1:33" ht="15.75" customHeight="1" x14ac:dyDescent="0.25">
      <c r="A46" s="56" t="s">
        <v>19</v>
      </c>
      <c r="B46" s="54">
        <v>0</v>
      </c>
      <c r="C46" s="54">
        <v>2</v>
      </c>
      <c r="D46" s="54">
        <v>4</v>
      </c>
      <c r="E46" s="54">
        <v>3</v>
      </c>
      <c r="F46" s="54">
        <v>1</v>
      </c>
      <c r="G46" s="54">
        <v>4</v>
      </c>
      <c r="H46" s="54">
        <v>9</v>
      </c>
      <c r="I46" s="54">
        <v>7</v>
      </c>
      <c r="J46" s="54">
        <v>2</v>
      </c>
      <c r="K46" s="54">
        <v>3</v>
      </c>
      <c r="L46" s="54">
        <v>5</v>
      </c>
      <c r="M46" s="54">
        <v>0</v>
      </c>
      <c r="N46" s="54">
        <v>2</v>
      </c>
      <c r="O46" s="54">
        <v>9</v>
      </c>
      <c r="P46" s="54">
        <v>0</v>
      </c>
      <c r="Q46" s="54">
        <v>0</v>
      </c>
      <c r="R46" s="54">
        <v>3</v>
      </c>
      <c r="S46" s="54">
        <v>3</v>
      </c>
      <c r="T46" s="54">
        <v>3</v>
      </c>
      <c r="U46" s="54">
        <v>0</v>
      </c>
      <c r="V46" s="54">
        <v>10</v>
      </c>
      <c r="W46" s="54">
        <v>2</v>
      </c>
      <c r="X46" s="54">
        <v>2</v>
      </c>
      <c r="Y46" s="54">
        <v>3</v>
      </c>
      <c r="Z46" s="54">
        <v>6</v>
      </c>
      <c r="AA46" s="54">
        <v>5</v>
      </c>
      <c r="AB46" s="54">
        <v>4</v>
      </c>
      <c r="AC46" s="54">
        <v>3</v>
      </c>
      <c r="AD46" s="54">
        <v>3</v>
      </c>
      <c r="AE46" s="54">
        <v>1</v>
      </c>
      <c r="AF46" s="54">
        <v>3</v>
      </c>
      <c r="AG46" s="5">
        <f t="shared" si="2"/>
        <v>102</v>
      </c>
    </row>
    <row r="47" spans="1:33" ht="15.75" customHeight="1" x14ac:dyDescent="0.25">
      <c r="A47" s="56" t="s">
        <v>20</v>
      </c>
      <c r="B47" s="54">
        <v>0</v>
      </c>
      <c r="C47" s="54">
        <v>0</v>
      </c>
      <c r="D47" s="54">
        <v>4</v>
      </c>
      <c r="E47" s="54">
        <v>2</v>
      </c>
      <c r="F47" s="54">
        <v>2</v>
      </c>
      <c r="G47" s="54">
        <v>1</v>
      </c>
      <c r="H47" s="54">
        <v>0</v>
      </c>
      <c r="I47" s="54">
        <v>7</v>
      </c>
      <c r="J47" s="54">
        <v>1</v>
      </c>
      <c r="K47" s="54">
        <v>2</v>
      </c>
      <c r="L47" s="54">
        <v>2</v>
      </c>
      <c r="M47" s="54">
        <v>0</v>
      </c>
      <c r="N47" s="54">
        <v>1</v>
      </c>
      <c r="O47" s="54">
        <v>7</v>
      </c>
      <c r="P47" s="54">
        <v>1</v>
      </c>
      <c r="Q47" s="54">
        <v>2</v>
      </c>
      <c r="R47" s="54">
        <v>2</v>
      </c>
      <c r="S47" s="54">
        <v>2</v>
      </c>
      <c r="T47" s="54">
        <v>1</v>
      </c>
      <c r="U47" s="54">
        <v>2</v>
      </c>
      <c r="V47" s="54">
        <v>8</v>
      </c>
      <c r="W47" s="54">
        <v>4</v>
      </c>
      <c r="X47" s="54">
        <v>2</v>
      </c>
      <c r="Y47" s="54">
        <v>1</v>
      </c>
      <c r="Z47" s="54">
        <v>0</v>
      </c>
      <c r="AA47" s="54">
        <v>5</v>
      </c>
      <c r="AB47" s="54">
        <v>2</v>
      </c>
      <c r="AC47" s="54">
        <v>3</v>
      </c>
      <c r="AD47" s="54">
        <v>1</v>
      </c>
      <c r="AE47" s="54">
        <v>0</v>
      </c>
      <c r="AF47" s="54">
        <v>0</v>
      </c>
      <c r="AG47" s="5">
        <f t="shared" si="2"/>
        <v>65</v>
      </c>
    </row>
    <row r="48" spans="1:33" ht="15.75" customHeight="1" x14ac:dyDescent="0.25">
      <c r="A48" s="56" t="s">
        <v>21</v>
      </c>
      <c r="B48" s="54">
        <v>0</v>
      </c>
      <c r="C48" s="54">
        <v>1</v>
      </c>
      <c r="D48" s="54">
        <v>2</v>
      </c>
      <c r="E48" s="54">
        <v>3</v>
      </c>
      <c r="F48" s="54">
        <v>2</v>
      </c>
      <c r="G48" s="54">
        <v>3</v>
      </c>
      <c r="H48" s="54">
        <v>2</v>
      </c>
      <c r="I48" s="54">
        <v>2</v>
      </c>
      <c r="J48" s="54">
        <v>6</v>
      </c>
      <c r="K48" s="54">
        <v>1</v>
      </c>
      <c r="L48" s="54">
        <v>3</v>
      </c>
      <c r="M48" s="54">
        <v>0</v>
      </c>
      <c r="N48" s="54">
        <v>2</v>
      </c>
      <c r="O48" s="54">
        <v>6</v>
      </c>
      <c r="P48" s="54">
        <v>5</v>
      </c>
      <c r="Q48" s="54">
        <v>2</v>
      </c>
      <c r="R48" s="54">
        <v>2</v>
      </c>
      <c r="S48" s="54">
        <v>1</v>
      </c>
      <c r="T48" s="54">
        <v>1</v>
      </c>
      <c r="U48" s="54">
        <v>2</v>
      </c>
      <c r="V48" s="54">
        <v>3</v>
      </c>
      <c r="W48" s="54">
        <v>3</v>
      </c>
      <c r="X48" s="54">
        <v>1</v>
      </c>
      <c r="Y48" s="54">
        <v>1</v>
      </c>
      <c r="Z48" s="54">
        <v>3</v>
      </c>
      <c r="AA48" s="54">
        <v>2</v>
      </c>
      <c r="AB48" s="54">
        <v>2</v>
      </c>
      <c r="AC48" s="54">
        <v>0</v>
      </c>
      <c r="AD48" s="54">
        <v>0</v>
      </c>
      <c r="AE48" s="54">
        <v>1</v>
      </c>
      <c r="AF48" s="54">
        <v>2</v>
      </c>
      <c r="AG48" s="5">
        <f t="shared" si="2"/>
        <v>64</v>
      </c>
    </row>
    <row r="49" spans="1:33" ht="15.75" customHeight="1" x14ac:dyDescent="0.25">
      <c r="A49" s="56" t="s">
        <v>22</v>
      </c>
      <c r="B49" s="54">
        <v>0</v>
      </c>
      <c r="C49" s="54">
        <v>1</v>
      </c>
      <c r="D49" s="54">
        <v>0</v>
      </c>
      <c r="E49" s="54">
        <v>0</v>
      </c>
      <c r="F49" s="54">
        <v>0</v>
      </c>
      <c r="G49" s="54">
        <v>1</v>
      </c>
      <c r="H49" s="54">
        <v>0</v>
      </c>
      <c r="I49" s="54">
        <v>3</v>
      </c>
      <c r="J49" s="54">
        <v>1</v>
      </c>
      <c r="K49" s="54">
        <v>1</v>
      </c>
      <c r="L49" s="54">
        <v>2</v>
      </c>
      <c r="M49" s="54">
        <v>1</v>
      </c>
      <c r="N49" s="54">
        <v>1</v>
      </c>
      <c r="O49" s="54">
        <v>1</v>
      </c>
      <c r="P49" s="54">
        <v>1</v>
      </c>
      <c r="Q49" s="54">
        <v>2</v>
      </c>
      <c r="R49" s="54">
        <v>0</v>
      </c>
      <c r="S49" s="54">
        <v>0</v>
      </c>
      <c r="T49" s="54">
        <v>0</v>
      </c>
      <c r="U49" s="54">
        <v>2</v>
      </c>
      <c r="V49" s="54">
        <v>0</v>
      </c>
      <c r="W49" s="54">
        <v>0</v>
      </c>
      <c r="X49" s="54">
        <v>0</v>
      </c>
      <c r="Y49" s="54">
        <v>2</v>
      </c>
      <c r="Z49" s="54">
        <v>0</v>
      </c>
      <c r="AA49" s="54">
        <v>2</v>
      </c>
      <c r="AB49" s="54">
        <v>1</v>
      </c>
      <c r="AC49" s="54">
        <v>0</v>
      </c>
      <c r="AD49" s="54">
        <v>0</v>
      </c>
      <c r="AE49" s="54">
        <v>2</v>
      </c>
      <c r="AF49" s="54">
        <v>1</v>
      </c>
      <c r="AG49" s="5">
        <f t="shared" si="2"/>
        <v>25</v>
      </c>
    </row>
    <row r="50" spans="1:33" ht="15.75" customHeight="1" x14ac:dyDescent="0.25">
      <c r="A50" s="56" t="s">
        <v>23</v>
      </c>
      <c r="B50" s="54">
        <v>1</v>
      </c>
      <c r="C50" s="54">
        <v>1</v>
      </c>
      <c r="D50" s="54">
        <v>2</v>
      </c>
      <c r="E50" s="54">
        <v>0</v>
      </c>
      <c r="F50" s="54">
        <v>0</v>
      </c>
      <c r="G50" s="54">
        <v>1</v>
      </c>
      <c r="H50" s="54">
        <v>3</v>
      </c>
      <c r="I50" s="54">
        <v>0</v>
      </c>
      <c r="J50" s="54">
        <v>0</v>
      </c>
      <c r="K50" s="54">
        <v>0</v>
      </c>
      <c r="L50" s="54">
        <v>1</v>
      </c>
      <c r="M50" s="54">
        <v>0</v>
      </c>
      <c r="N50" s="54">
        <v>1</v>
      </c>
      <c r="O50" s="54">
        <v>0</v>
      </c>
      <c r="P50" s="54">
        <v>2</v>
      </c>
      <c r="Q50" s="54">
        <v>2</v>
      </c>
      <c r="R50" s="54">
        <v>1</v>
      </c>
      <c r="S50" s="54">
        <v>0</v>
      </c>
      <c r="T50" s="54">
        <v>1</v>
      </c>
      <c r="U50" s="54">
        <v>0</v>
      </c>
      <c r="V50" s="54">
        <v>1</v>
      </c>
      <c r="W50" s="54">
        <v>1</v>
      </c>
      <c r="X50" s="54">
        <v>1</v>
      </c>
      <c r="Y50" s="54">
        <v>1</v>
      </c>
      <c r="Z50" s="54">
        <v>1</v>
      </c>
      <c r="AA50" s="54">
        <v>2</v>
      </c>
      <c r="AB50" s="54">
        <v>2</v>
      </c>
      <c r="AC50" s="54">
        <v>1</v>
      </c>
      <c r="AD50" s="54">
        <v>0</v>
      </c>
      <c r="AE50" s="54">
        <v>2</v>
      </c>
      <c r="AF50" s="54">
        <v>0</v>
      </c>
      <c r="AG50" s="5">
        <f t="shared" si="2"/>
        <v>28</v>
      </c>
    </row>
    <row r="51" spans="1:33" ht="15.75" customHeight="1" x14ac:dyDescent="0.25">
      <c r="A51" s="56" t="s">
        <v>24</v>
      </c>
      <c r="B51" s="54">
        <v>1</v>
      </c>
      <c r="C51" s="54">
        <v>1</v>
      </c>
      <c r="D51" s="54">
        <v>0</v>
      </c>
      <c r="E51" s="54">
        <v>0</v>
      </c>
      <c r="F51" s="54">
        <v>1</v>
      </c>
      <c r="G51" s="54">
        <v>1</v>
      </c>
      <c r="H51" s="54">
        <v>2</v>
      </c>
      <c r="I51" s="54">
        <v>0</v>
      </c>
      <c r="J51" s="54">
        <v>1</v>
      </c>
      <c r="K51" s="54">
        <v>2</v>
      </c>
      <c r="L51" s="54">
        <v>6</v>
      </c>
      <c r="M51" s="54">
        <v>0</v>
      </c>
      <c r="N51" s="54">
        <v>3</v>
      </c>
      <c r="O51" s="54">
        <v>1</v>
      </c>
      <c r="P51" s="54">
        <v>0</v>
      </c>
      <c r="Q51" s="54">
        <v>3</v>
      </c>
      <c r="R51" s="54">
        <v>0</v>
      </c>
      <c r="S51" s="54">
        <v>1</v>
      </c>
      <c r="T51" s="54">
        <v>0</v>
      </c>
      <c r="U51" s="54">
        <v>0</v>
      </c>
      <c r="V51" s="54">
        <v>0</v>
      </c>
      <c r="W51" s="54">
        <v>0</v>
      </c>
      <c r="X51" s="54">
        <v>2</v>
      </c>
      <c r="Y51" s="54">
        <v>1</v>
      </c>
      <c r="Z51" s="54">
        <v>3</v>
      </c>
      <c r="AA51" s="54">
        <v>1</v>
      </c>
      <c r="AB51" s="54">
        <v>1</v>
      </c>
      <c r="AC51" s="54">
        <v>0</v>
      </c>
      <c r="AD51" s="54">
        <v>0</v>
      </c>
      <c r="AE51" s="54">
        <v>0</v>
      </c>
      <c r="AF51" s="54">
        <v>1</v>
      </c>
      <c r="AG51" s="5">
        <f t="shared" si="2"/>
        <v>32</v>
      </c>
    </row>
    <row r="52" spans="1:33" ht="15.75" customHeight="1" thickBot="1" x14ac:dyDescent="0.3">
      <c r="A52" s="57" t="s">
        <v>25</v>
      </c>
      <c r="B52" s="58">
        <v>0</v>
      </c>
      <c r="C52" s="58">
        <v>0</v>
      </c>
      <c r="D52" s="58">
        <v>0</v>
      </c>
      <c r="E52" s="58">
        <v>0</v>
      </c>
      <c r="F52" s="58">
        <v>2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0</v>
      </c>
      <c r="M52" s="58">
        <v>1</v>
      </c>
      <c r="N52" s="58">
        <v>2</v>
      </c>
      <c r="O52" s="58">
        <v>0</v>
      </c>
      <c r="P52" s="58">
        <v>0</v>
      </c>
      <c r="Q52" s="58">
        <v>0</v>
      </c>
      <c r="R52" s="58">
        <v>0</v>
      </c>
      <c r="S52" s="58">
        <v>8</v>
      </c>
      <c r="T52" s="58">
        <v>2</v>
      </c>
      <c r="U52" s="58">
        <v>2</v>
      </c>
      <c r="V52" s="58">
        <v>0</v>
      </c>
      <c r="W52" s="58">
        <v>0</v>
      </c>
      <c r="X52" s="58">
        <v>1</v>
      </c>
      <c r="Y52" s="58">
        <v>1</v>
      </c>
      <c r="Z52" s="58">
        <v>0</v>
      </c>
      <c r="AA52" s="58">
        <v>0</v>
      </c>
      <c r="AB52" s="58">
        <v>1</v>
      </c>
      <c r="AC52" s="58">
        <v>0</v>
      </c>
      <c r="AD52" s="60">
        <v>2</v>
      </c>
      <c r="AE52" s="60">
        <v>1</v>
      </c>
      <c r="AF52" s="60">
        <v>0</v>
      </c>
      <c r="AG52" s="9">
        <f t="shared" si="2"/>
        <v>23</v>
      </c>
    </row>
    <row r="53" spans="1:33" ht="15.75" customHeight="1" thickBot="1" x14ac:dyDescent="0.3">
      <c r="A53" s="52" t="s">
        <v>27</v>
      </c>
      <c r="B53" s="1">
        <f t="shared" ref="B53:AF53" si="4">SUM(B54:B77)</f>
        <v>6</v>
      </c>
      <c r="C53" s="1">
        <f t="shared" si="4"/>
        <v>6</v>
      </c>
      <c r="D53" s="1">
        <f t="shared" si="4"/>
        <v>1</v>
      </c>
      <c r="E53" s="1">
        <f t="shared" si="4"/>
        <v>8</v>
      </c>
      <c r="F53" s="1">
        <f t="shared" si="4"/>
        <v>3</v>
      </c>
      <c r="G53" s="1">
        <f t="shared" si="4"/>
        <v>3</v>
      </c>
      <c r="H53" s="1">
        <f t="shared" si="4"/>
        <v>9</v>
      </c>
      <c r="I53" s="1">
        <f t="shared" si="4"/>
        <v>13</v>
      </c>
      <c r="J53" s="1">
        <f t="shared" si="4"/>
        <v>5</v>
      </c>
      <c r="K53" s="1">
        <f t="shared" si="4"/>
        <v>2</v>
      </c>
      <c r="L53" s="1">
        <f t="shared" si="4"/>
        <v>4</v>
      </c>
      <c r="M53" s="1">
        <f t="shared" si="4"/>
        <v>5</v>
      </c>
      <c r="N53" s="1">
        <f t="shared" si="4"/>
        <v>10</v>
      </c>
      <c r="O53" s="1">
        <f t="shared" si="4"/>
        <v>12</v>
      </c>
      <c r="P53" s="1">
        <f t="shared" si="4"/>
        <v>5</v>
      </c>
      <c r="Q53" s="1">
        <f t="shared" si="4"/>
        <v>4</v>
      </c>
      <c r="R53" s="1">
        <f t="shared" si="4"/>
        <v>8</v>
      </c>
      <c r="S53" s="1">
        <f t="shared" si="4"/>
        <v>4</v>
      </c>
      <c r="T53" s="1">
        <f t="shared" si="4"/>
        <v>5</v>
      </c>
      <c r="U53" s="1">
        <f t="shared" si="4"/>
        <v>3</v>
      </c>
      <c r="V53" s="1">
        <f t="shared" si="4"/>
        <v>13</v>
      </c>
      <c r="W53" s="1">
        <f t="shared" si="4"/>
        <v>16</v>
      </c>
      <c r="X53" s="1">
        <f t="shared" si="4"/>
        <v>4</v>
      </c>
      <c r="Y53" s="1">
        <f t="shared" si="4"/>
        <v>4</v>
      </c>
      <c r="Z53" s="1">
        <f t="shared" si="4"/>
        <v>3</v>
      </c>
      <c r="AA53" s="1">
        <f t="shared" si="4"/>
        <v>11</v>
      </c>
      <c r="AB53" s="1">
        <f t="shared" si="4"/>
        <v>8</v>
      </c>
      <c r="AC53" s="1">
        <f t="shared" si="4"/>
        <v>4</v>
      </c>
      <c r="AD53" s="1">
        <f t="shared" si="4"/>
        <v>11</v>
      </c>
      <c r="AE53" s="1">
        <f t="shared" si="4"/>
        <v>1</v>
      </c>
      <c r="AF53" s="1">
        <f t="shared" si="4"/>
        <v>7</v>
      </c>
      <c r="AG53" s="10">
        <f t="shared" si="2"/>
        <v>198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0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1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1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1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3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1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1</v>
      </c>
      <c r="N57" s="54">
        <v>1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3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0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1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1</v>
      </c>
      <c r="AC59" s="54">
        <v>0</v>
      </c>
      <c r="AD59" s="54">
        <v>0</v>
      </c>
      <c r="AE59" s="54">
        <v>0</v>
      </c>
      <c r="AF59" s="54">
        <v>0</v>
      </c>
      <c r="AG59" s="5">
        <f t="shared" si="2"/>
        <v>2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0</v>
      </c>
      <c r="F60" s="54">
        <v>1</v>
      </c>
      <c r="G60" s="54">
        <v>1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2</v>
      </c>
      <c r="U60" s="54">
        <v>2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2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2"/>
        <v>8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1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1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">
        <f t="shared" si="2"/>
        <v>2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0</v>
      </c>
      <c r="F62" s="54">
        <v>1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2</v>
      </c>
      <c r="O62" s="54">
        <v>0</v>
      </c>
      <c r="P62" s="54">
        <v>0</v>
      </c>
      <c r="Q62" s="54">
        <v>2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1</v>
      </c>
      <c r="AA62" s="54">
        <v>0</v>
      </c>
      <c r="AB62" s="54">
        <v>0</v>
      </c>
      <c r="AC62" s="54">
        <v>0</v>
      </c>
      <c r="AD62" s="54">
        <v>0</v>
      </c>
      <c r="AE62" s="54">
        <v>0</v>
      </c>
      <c r="AF62" s="54">
        <v>0</v>
      </c>
      <c r="AG62" s="5">
        <f t="shared" si="2"/>
        <v>6</v>
      </c>
    </row>
    <row r="63" spans="1:33" ht="15.75" customHeight="1" x14ac:dyDescent="0.25">
      <c r="A63" s="56" t="s">
        <v>11</v>
      </c>
      <c r="B63" s="54">
        <v>0</v>
      </c>
      <c r="C63" s="54">
        <v>0</v>
      </c>
      <c r="D63" s="54">
        <v>0</v>
      </c>
      <c r="E63" s="54">
        <v>1</v>
      </c>
      <c r="F63" s="54">
        <v>0</v>
      </c>
      <c r="G63" s="54">
        <v>0</v>
      </c>
      <c r="H63" s="54">
        <v>0</v>
      </c>
      <c r="I63" s="54">
        <v>1</v>
      </c>
      <c r="J63" s="54">
        <v>1</v>
      </c>
      <c r="K63" s="54">
        <v>0</v>
      </c>
      <c r="L63" s="54">
        <v>0</v>
      </c>
      <c r="M63" s="54">
        <v>0</v>
      </c>
      <c r="N63" s="54">
        <v>2</v>
      </c>
      <c r="O63" s="54">
        <v>0</v>
      </c>
      <c r="P63" s="54">
        <v>1</v>
      </c>
      <c r="Q63" s="54">
        <v>0</v>
      </c>
      <c r="R63" s="54">
        <v>1</v>
      </c>
      <c r="S63" s="54">
        <v>1</v>
      </c>
      <c r="T63" s="54">
        <v>0</v>
      </c>
      <c r="U63" s="54">
        <v>0</v>
      </c>
      <c r="V63" s="54">
        <v>0</v>
      </c>
      <c r="W63" s="54">
        <v>0</v>
      </c>
      <c r="X63" s="54">
        <v>0</v>
      </c>
      <c r="Y63" s="54">
        <v>3</v>
      </c>
      <c r="Z63" s="54">
        <v>0</v>
      </c>
      <c r="AA63" s="54">
        <v>3</v>
      </c>
      <c r="AB63" s="54">
        <v>1</v>
      </c>
      <c r="AC63" s="54">
        <v>0</v>
      </c>
      <c r="AD63" s="54">
        <v>0</v>
      </c>
      <c r="AE63" s="54">
        <v>0</v>
      </c>
      <c r="AF63" s="54">
        <v>0</v>
      </c>
      <c r="AG63" s="5">
        <f t="shared" si="2"/>
        <v>15</v>
      </c>
    </row>
    <row r="64" spans="1:33" ht="15.75" customHeight="1" x14ac:dyDescent="0.25">
      <c r="A64" s="56" t="s">
        <v>12</v>
      </c>
      <c r="B64" s="54">
        <v>2</v>
      </c>
      <c r="C64" s="54">
        <v>0</v>
      </c>
      <c r="D64" s="54">
        <v>0</v>
      </c>
      <c r="E64" s="54">
        <v>1</v>
      </c>
      <c r="F64" s="54">
        <v>0</v>
      </c>
      <c r="G64" s="54">
        <v>0</v>
      </c>
      <c r="H64" s="54">
        <v>0</v>
      </c>
      <c r="I64" s="54">
        <v>0</v>
      </c>
      <c r="J64" s="54">
        <v>0</v>
      </c>
      <c r="K64" s="54">
        <v>0</v>
      </c>
      <c r="L64" s="54">
        <v>0</v>
      </c>
      <c r="M64" s="54">
        <v>0</v>
      </c>
      <c r="N64" s="54">
        <v>2</v>
      </c>
      <c r="O64" s="54">
        <v>1</v>
      </c>
      <c r="P64" s="54">
        <v>0</v>
      </c>
      <c r="Q64" s="54">
        <v>1</v>
      </c>
      <c r="R64" s="54">
        <v>1</v>
      </c>
      <c r="S64" s="54">
        <v>0</v>
      </c>
      <c r="T64" s="54">
        <v>1</v>
      </c>
      <c r="U64" s="54">
        <v>0</v>
      </c>
      <c r="V64" s="54">
        <v>2</v>
      </c>
      <c r="W64" s="54">
        <v>2</v>
      </c>
      <c r="X64" s="54">
        <v>2</v>
      </c>
      <c r="Y64" s="54">
        <v>0</v>
      </c>
      <c r="Z64" s="54">
        <v>1</v>
      </c>
      <c r="AA64" s="54">
        <v>0</v>
      </c>
      <c r="AB64" s="54">
        <v>1</v>
      </c>
      <c r="AC64" s="54">
        <v>1</v>
      </c>
      <c r="AD64" s="54">
        <v>2</v>
      </c>
      <c r="AE64" s="54">
        <v>0</v>
      </c>
      <c r="AF64" s="54">
        <v>1</v>
      </c>
      <c r="AG64" s="5">
        <f t="shared" si="2"/>
        <v>21</v>
      </c>
    </row>
    <row r="65" spans="1:33" ht="15.75" customHeight="1" x14ac:dyDescent="0.25">
      <c r="A65" s="56" t="s">
        <v>13</v>
      </c>
      <c r="B65" s="54">
        <v>1</v>
      </c>
      <c r="C65" s="54">
        <v>2</v>
      </c>
      <c r="D65" s="54">
        <v>0</v>
      </c>
      <c r="E65" s="54">
        <v>5</v>
      </c>
      <c r="F65" s="54">
        <v>0</v>
      </c>
      <c r="G65" s="54">
        <v>0</v>
      </c>
      <c r="H65" s="54">
        <v>3</v>
      </c>
      <c r="I65" s="54">
        <v>1</v>
      </c>
      <c r="J65" s="54">
        <v>1</v>
      </c>
      <c r="K65" s="54">
        <v>0</v>
      </c>
      <c r="L65" s="54">
        <v>0</v>
      </c>
      <c r="M65" s="54">
        <v>0</v>
      </c>
      <c r="N65" s="54">
        <v>0</v>
      </c>
      <c r="O65" s="54">
        <v>1</v>
      </c>
      <c r="P65" s="54">
        <v>0</v>
      </c>
      <c r="Q65" s="54">
        <v>0</v>
      </c>
      <c r="R65" s="54">
        <v>2</v>
      </c>
      <c r="S65" s="54">
        <v>2</v>
      </c>
      <c r="T65" s="54">
        <v>1</v>
      </c>
      <c r="U65" s="54">
        <v>0</v>
      </c>
      <c r="V65" s="54">
        <v>1</v>
      </c>
      <c r="W65" s="54">
        <v>2</v>
      </c>
      <c r="X65" s="54">
        <v>0</v>
      </c>
      <c r="Y65" s="54">
        <v>1</v>
      </c>
      <c r="Z65" s="54">
        <v>1</v>
      </c>
      <c r="AA65" s="54">
        <v>1</v>
      </c>
      <c r="AB65" s="54">
        <v>1</v>
      </c>
      <c r="AC65" s="54">
        <v>0</v>
      </c>
      <c r="AD65" s="54">
        <v>1</v>
      </c>
      <c r="AE65" s="54">
        <v>0</v>
      </c>
      <c r="AF65" s="54">
        <v>2</v>
      </c>
      <c r="AG65" s="5">
        <f t="shared" si="2"/>
        <v>29</v>
      </c>
    </row>
    <row r="66" spans="1:33" ht="15.75" customHeight="1" x14ac:dyDescent="0.25">
      <c r="A66" s="56" t="s">
        <v>14</v>
      </c>
      <c r="B66" s="54">
        <v>3</v>
      </c>
      <c r="C66" s="54">
        <v>1</v>
      </c>
      <c r="D66" s="54">
        <v>0</v>
      </c>
      <c r="E66" s="54">
        <v>0</v>
      </c>
      <c r="F66" s="54">
        <v>0</v>
      </c>
      <c r="G66" s="54">
        <v>0</v>
      </c>
      <c r="H66" s="54">
        <v>2</v>
      </c>
      <c r="I66" s="54">
        <v>3</v>
      </c>
      <c r="J66" s="54">
        <v>1</v>
      </c>
      <c r="K66" s="54">
        <v>1</v>
      </c>
      <c r="L66" s="54">
        <v>3</v>
      </c>
      <c r="M66" s="54">
        <v>1</v>
      </c>
      <c r="N66" s="54">
        <v>1</v>
      </c>
      <c r="O66" s="54">
        <v>2</v>
      </c>
      <c r="P66" s="54">
        <v>4</v>
      </c>
      <c r="Q66" s="54">
        <v>0</v>
      </c>
      <c r="R66" s="54">
        <v>1</v>
      </c>
      <c r="S66" s="54">
        <v>1</v>
      </c>
      <c r="T66" s="54">
        <v>0</v>
      </c>
      <c r="U66" s="54">
        <v>0</v>
      </c>
      <c r="V66" s="54">
        <v>1</v>
      </c>
      <c r="W66" s="54">
        <v>2</v>
      </c>
      <c r="X66" s="54">
        <v>1</v>
      </c>
      <c r="Y66" s="54">
        <v>0</v>
      </c>
      <c r="Z66" s="54">
        <v>0</v>
      </c>
      <c r="AA66" s="54">
        <v>1</v>
      </c>
      <c r="AB66" s="54">
        <v>1</v>
      </c>
      <c r="AC66" s="54">
        <v>2</v>
      </c>
      <c r="AD66" s="54">
        <v>6</v>
      </c>
      <c r="AE66" s="54">
        <v>1</v>
      </c>
      <c r="AF66" s="54">
        <v>3</v>
      </c>
      <c r="AG66" s="5">
        <f t="shared" si="2"/>
        <v>42</v>
      </c>
    </row>
    <row r="67" spans="1:33" ht="15.75" customHeight="1" x14ac:dyDescent="0.25">
      <c r="A67" s="56" t="s">
        <v>15</v>
      </c>
      <c r="B67" s="54">
        <v>0</v>
      </c>
      <c r="C67" s="54">
        <v>1</v>
      </c>
      <c r="D67" s="54">
        <v>0</v>
      </c>
      <c r="E67" s="54">
        <v>0</v>
      </c>
      <c r="F67" s="54">
        <v>0</v>
      </c>
      <c r="G67" s="54">
        <v>0</v>
      </c>
      <c r="H67" s="54">
        <v>1</v>
      </c>
      <c r="I67" s="54">
        <v>1</v>
      </c>
      <c r="J67" s="54">
        <v>0</v>
      </c>
      <c r="K67" s="54">
        <v>0</v>
      </c>
      <c r="L67" s="54">
        <v>1</v>
      </c>
      <c r="M67" s="54">
        <v>0</v>
      </c>
      <c r="N67" s="54">
        <v>1</v>
      </c>
      <c r="O67" s="54">
        <v>7</v>
      </c>
      <c r="P67" s="54">
        <v>0</v>
      </c>
      <c r="Q67" s="54">
        <v>0</v>
      </c>
      <c r="R67" s="54">
        <v>1</v>
      </c>
      <c r="S67" s="54">
        <v>0</v>
      </c>
      <c r="T67" s="54">
        <v>0</v>
      </c>
      <c r="U67" s="54">
        <v>0</v>
      </c>
      <c r="V67" s="54">
        <v>4</v>
      </c>
      <c r="W67" s="54">
        <v>6</v>
      </c>
      <c r="X67" s="54">
        <v>0</v>
      </c>
      <c r="Y67" s="54">
        <v>0</v>
      </c>
      <c r="Z67" s="54">
        <v>0</v>
      </c>
      <c r="AA67" s="54">
        <v>3</v>
      </c>
      <c r="AB67" s="54">
        <v>0</v>
      </c>
      <c r="AC67" s="54">
        <v>1</v>
      </c>
      <c r="AD67" s="54">
        <v>0</v>
      </c>
      <c r="AE67" s="54">
        <v>0</v>
      </c>
      <c r="AF67" s="54">
        <v>1</v>
      </c>
      <c r="AG67" s="5">
        <f t="shared" ref="AG67:AG98" si="5">SUM(B67:AF67)</f>
        <v>28</v>
      </c>
    </row>
    <row r="68" spans="1:33" ht="15.75" customHeight="1" x14ac:dyDescent="0.25">
      <c r="A68" s="56" t="s">
        <v>16</v>
      </c>
      <c r="B68" s="54">
        <v>0</v>
      </c>
      <c r="C68" s="54">
        <v>2</v>
      </c>
      <c r="D68" s="54">
        <v>0</v>
      </c>
      <c r="E68" s="54">
        <v>0</v>
      </c>
      <c r="F68" s="54">
        <v>0</v>
      </c>
      <c r="G68" s="54">
        <v>0</v>
      </c>
      <c r="H68" s="54">
        <v>3</v>
      </c>
      <c r="I68" s="54">
        <v>0</v>
      </c>
      <c r="J68" s="54">
        <v>0</v>
      </c>
      <c r="K68" s="54">
        <v>0</v>
      </c>
      <c r="L68" s="54">
        <v>0</v>
      </c>
      <c r="M68" s="54">
        <v>1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  <c r="S68" s="54">
        <v>0</v>
      </c>
      <c r="T68" s="54">
        <v>0</v>
      </c>
      <c r="U68" s="54">
        <v>0</v>
      </c>
      <c r="V68" s="54">
        <v>0</v>
      </c>
      <c r="W68" s="54">
        <v>2</v>
      </c>
      <c r="X68" s="54">
        <v>1</v>
      </c>
      <c r="Y68" s="54">
        <v>0</v>
      </c>
      <c r="Z68" s="54">
        <v>0</v>
      </c>
      <c r="AA68" s="54">
        <v>1</v>
      </c>
      <c r="AB68" s="54">
        <v>0</v>
      </c>
      <c r="AC68" s="54">
        <v>0</v>
      </c>
      <c r="AD68" s="54">
        <v>2</v>
      </c>
      <c r="AE68" s="54">
        <v>0</v>
      </c>
      <c r="AF68" s="54">
        <v>0</v>
      </c>
      <c r="AG68" s="5">
        <f t="shared" si="5"/>
        <v>13</v>
      </c>
    </row>
    <row r="69" spans="1:33" ht="15.75" customHeight="1" x14ac:dyDescent="0.25">
      <c r="A69" s="56" t="s">
        <v>17</v>
      </c>
      <c r="B69" s="54">
        <v>0</v>
      </c>
      <c r="C69" s="54">
        <v>0</v>
      </c>
      <c r="D69" s="54">
        <v>0</v>
      </c>
      <c r="E69" s="54">
        <v>0</v>
      </c>
      <c r="F69" s="54">
        <v>0</v>
      </c>
      <c r="G69" s="54">
        <v>0</v>
      </c>
      <c r="H69" s="54">
        <v>0</v>
      </c>
      <c r="I69" s="54">
        <v>0</v>
      </c>
      <c r="J69" s="54">
        <v>0</v>
      </c>
      <c r="K69" s="54">
        <v>1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1</v>
      </c>
      <c r="V69" s="54">
        <v>0</v>
      </c>
      <c r="W69" s="54">
        <v>2</v>
      </c>
      <c r="X69" s="54">
        <v>0</v>
      </c>
      <c r="Y69" s="54">
        <v>0</v>
      </c>
      <c r="Z69" s="54">
        <v>0</v>
      </c>
      <c r="AA69" s="54">
        <v>0</v>
      </c>
      <c r="AB69" s="54">
        <v>0</v>
      </c>
      <c r="AC69" s="54">
        <v>0</v>
      </c>
      <c r="AD69" s="54">
        <v>0</v>
      </c>
      <c r="AE69" s="54">
        <v>0</v>
      </c>
      <c r="AF69" s="54">
        <v>0</v>
      </c>
      <c r="AG69" s="5">
        <f t="shared" si="5"/>
        <v>4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0</v>
      </c>
      <c r="E70" s="54">
        <v>0</v>
      </c>
      <c r="F70" s="54">
        <v>0</v>
      </c>
      <c r="G70" s="54">
        <v>0</v>
      </c>
      <c r="H70" s="54">
        <v>0</v>
      </c>
      <c r="I70" s="54">
        <v>0</v>
      </c>
      <c r="J70" s="54">
        <v>2</v>
      </c>
      <c r="K70" s="54">
        <v>0</v>
      </c>
      <c r="L70" s="54">
        <v>0</v>
      </c>
      <c r="M70" s="54">
        <v>2</v>
      </c>
      <c r="N70" s="54">
        <v>0</v>
      </c>
      <c r="O70" s="54">
        <v>0</v>
      </c>
      <c r="P70" s="54">
        <v>0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3</v>
      </c>
      <c r="W70" s="54">
        <v>0</v>
      </c>
      <c r="X70" s="54">
        <v>0</v>
      </c>
      <c r="Y70" s="54">
        <v>0</v>
      </c>
      <c r="Z70" s="54">
        <v>0</v>
      </c>
      <c r="AA70" s="54">
        <v>0</v>
      </c>
      <c r="AB70" s="54">
        <v>1</v>
      </c>
      <c r="AC70" s="54">
        <v>0</v>
      </c>
      <c r="AD70" s="55">
        <v>0</v>
      </c>
      <c r="AE70" s="55">
        <v>0</v>
      </c>
      <c r="AF70" s="55">
        <v>0</v>
      </c>
      <c r="AG70" s="5">
        <f t="shared" si="5"/>
        <v>8</v>
      </c>
    </row>
    <row r="71" spans="1:33" ht="15.75" customHeight="1" x14ac:dyDescent="0.25">
      <c r="A71" s="56" t="s">
        <v>19</v>
      </c>
      <c r="B71" s="54">
        <v>0</v>
      </c>
      <c r="C71" s="54">
        <v>0</v>
      </c>
      <c r="D71" s="54">
        <v>0</v>
      </c>
      <c r="E71" s="54">
        <v>0</v>
      </c>
      <c r="F71" s="54">
        <v>0</v>
      </c>
      <c r="G71" s="54">
        <v>1</v>
      </c>
      <c r="H71" s="54">
        <v>0</v>
      </c>
      <c r="I71" s="54">
        <v>4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1</v>
      </c>
      <c r="P71" s="54">
        <v>0</v>
      </c>
      <c r="Q71" s="54">
        <v>0</v>
      </c>
      <c r="R71" s="54">
        <v>0</v>
      </c>
      <c r="S71" s="54">
        <v>0</v>
      </c>
      <c r="T71" s="54">
        <v>0</v>
      </c>
      <c r="U71" s="54">
        <v>0</v>
      </c>
      <c r="V71" s="54">
        <v>2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>
        <v>0</v>
      </c>
      <c r="AE71" s="55">
        <v>0</v>
      </c>
      <c r="AF71" s="55">
        <v>0</v>
      </c>
      <c r="AG71" s="5">
        <f t="shared" si="5"/>
        <v>8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1</v>
      </c>
      <c r="E72" s="54">
        <v>0</v>
      </c>
      <c r="F72" s="54">
        <v>0</v>
      </c>
      <c r="G72" s="54">
        <v>0</v>
      </c>
      <c r="H72" s="54">
        <v>0</v>
      </c>
      <c r="I72" s="54">
        <v>3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5">
        <v>0</v>
      </c>
      <c r="AE72" s="55">
        <v>0</v>
      </c>
      <c r="AF72" s="55">
        <v>0</v>
      </c>
      <c r="AG72" s="5">
        <f t="shared" si="5"/>
        <v>5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1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1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0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0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115</v>
      </c>
      <c r="C78" s="11">
        <f t="shared" si="6"/>
        <v>113</v>
      </c>
      <c r="D78" s="11">
        <f t="shared" si="6"/>
        <v>112</v>
      </c>
      <c r="E78" s="11">
        <f t="shared" si="6"/>
        <v>101</v>
      </c>
      <c r="F78" s="11">
        <f t="shared" si="6"/>
        <v>143</v>
      </c>
      <c r="G78" s="11">
        <f t="shared" si="6"/>
        <v>147</v>
      </c>
      <c r="H78" s="11">
        <f t="shared" si="6"/>
        <v>135</v>
      </c>
      <c r="I78" s="11">
        <f t="shared" si="6"/>
        <v>120</v>
      </c>
      <c r="J78" s="11">
        <f t="shared" si="6"/>
        <v>122</v>
      </c>
      <c r="K78" s="11">
        <f t="shared" si="6"/>
        <v>99</v>
      </c>
      <c r="L78" s="11">
        <f t="shared" si="6"/>
        <v>119</v>
      </c>
      <c r="M78" s="11">
        <f t="shared" si="6"/>
        <v>169</v>
      </c>
      <c r="N78" s="11">
        <f t="shared" si="6"/>
        <v>162</v>
      </c>
      <c r="O78" s="11">
        <f t="shared" si="6"/>
        <v>125</v>
      </c>
      <c r="P78" s="11">
        <f t="shared" si="6"/>
        <v>103</v>
      </c>
      <c r="Q78" s="11">
        <f t="shared" si="6"/>
        <v>178</v>
      </c>
      <c r="R78" s="11">
        <f t="shared" si="6"/>
        <v>125</v>
      </c>
      <c r="S78" s="11">
        <f t="shared" si="6"/>
        <v>117</v>
      </c>
      <c r="T78" s="11">
        <f t="shared" si="6"/>
        <v>161</v>
      </c>
      <c r="U78" s="11">
        <f t="shared" si="6"/>
        <v>161</v>
      </c>
      <c r="V78" s="11">
        <f t="shared" si="6"/>
        <v>151</v>
      </c>
      <c r="W78" s="11">
        <f t="shared" si="6"/>
        <v>132</v>
      </c>
      <c r="X78" s="11">
        <f t="shared" si="6"/>
        <v>130</v>
      </c>
      <c r="Y78" s="11">
        <f t="shared" si="6"/>
        <v>106</v>
      </c>
      <c r="Z78" s="11">
        <f t="shared" si="6"/>
        <v>99</v>
      </c>
      <c r="AA78" s="11">
        <f t="shared" si="6"/>
        <v>182</v>
      </c>
      <c r="AB78" s="11">
        <f t="shared" si="6"/>
        <v>150</v>
      </c>
      <c r="AC78" s="11">
        <f t="shared" si="6"/>
        <v>126</v>
      </c>
      <c r="AD78" s="11">
        <f t="shared" si="6"/>
        <v>131</v>
      </c>
      <c r="AE78" s="11">
        <f t="shared" si="6"/>
        <v>106</v>
      </c>
      <c r="AF78" s="11">
        <f t="shared" si="6"/>
        <v>111</v>
      </c>
      <c r="AG78" s="10">
        <f t="shared" si="5"/>
        <v>4051</v>
      </c>
    </row>
    <row r="79" spans="1:33" ht="19.5" customHeight="1" x14ac:dyDescent="0.25">
      <c r="A79" s="64" t="s">
        <v>29</v>
      </c>
      <c r="B79" s="3">
        <f t="shared" ref="B79" si="7">SUM(B4:B27)-B80</f>
        <v>115</v>
      </c>
      <c r="C79" s="3">
        <f t="shared" ref="C79" si="8">SUM(C4:C27)-C80</f>
        <v>113</v>
      </c>
      <c r="D79" s="3">
        <f t="shared" ref="D79:AF79" si="9">SUM(D4:D27)-D80</f>
        <v>112</v>
      </c>
      <c r="E79" s="3">
        <f t="shared" si="9"/>
        <v>101</v>
      </c>
      <c r="F79" s="3">
        <f t="shared" si="9"/>
        <v>143</v>
      </c>
      <c r="G79" s="3">
        <f t="shared" si="9"/>
        <v>147</v>
      </c>
      <c r="H79" s="3">
        <f t="shared" si="9"/>
        <v>135</v>
      </c>
      <c r="I79" s="3">
        <f t="shared" si="9"/>
        <v>120</v>
      </c>
      <c r="J79" s="3">
        <f t="shared" si="9"/>
        <v>122</v>
      </c>
      <c r="K79" s="3">
        <f t="shared" si="9"/>
        <v>99</v>
      </c>
      <c r="L79" s="3">
        <f t="shared" si="9"/>
        <v>119</v>
      </c>
      <c r="M79" s="3">
        <f t="shared" si="9"/>
        <v>169</v>
      </c>
      <c r="N79" s="3">
        <f t="shared" si="9"/>
        <v>162</v>
      </c>
      <c r="O79" s="3">
        <f t="shared" si="9"/>
        <v>125</v>
      </c>
      <c r="P79" s="3">
        <f t="shared" si="9"/>
        <v>103</v>
      </c>
      <c r="Q79" s="3">
        <f t="shared" si="9"/>
        <v>178</v>
      </c>
      <c r="R79" s="3">
        <f t="shared" si="9"/>
        <v>125</v>
      </c>
      <c r="S79" s="3">
        <f t="shared" si="9"/>
        <v>117</v>
      </c>
      <c r="T79" s="3">
        <f t="shared" si="9"/>
        <v>161</v>
      </c>
      <c r="U79" s="3">
        <f t="shared" si="9"/>
        <v>161</v>
      </c>
      <c r="V79" s="3">
        <f t="shared" si="9"/>
        <v>151</v>
      </c>
      <c r="W79" s="3">
        <f t="shared" si="9"/>
        <v>132</v>
      </c>
      <c r="X79" s="3">
        <f t="shared" si="9"/>
        <v>130</v>
      </c>
      <c r="Y79" s="3">
        <f t="shared" si="9"/>
        <v>106</v>
      </c>
      <c r="Z79" s="3">
        <f t="shared" si="9"/>
        <v>99</v>
      </c>
      <c r="AA79" s="3">
        <f t="shared" si="9"/>
        <v>182</v>
      </c>
      <c r="AB79" s="3">
        <f t="shared" si="9"/>
        <v>150</v>
      </c>
      <c r="AC79" s="3">
        <f t="shared" si="9"/>
        <v>126</v>
      </c>
      <c r="AD79" s="3">
        <f t="shared" si="9"/>
        <v>131</v>
      </c>
      <c r="AE79" s="3">
        <f t="shared" si="9"/>
        <v>106</v>
      </c>
      <c r="AF79" s="3">
        <f t="shared" si="9"/>
        <v>111</v>
      </c>
      <c r="AG79" s="4">
        <f t="shared" si="5"/>
        <v>4051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6</v>
      </c>
      <c r="C81" s="12">
        <f t="shared" si="10"/>
        <v>6</v>
      </c>
      <c r="D81" s="12">
        <f t="shared" si="10"/>
        <v>1</v>
      </c>
      <c r="E81" s="12">
        <f t="shared" si="10"/>
        <v>8</v>
      </c>
      <c r="F81" s="12">
        <f t="shared" si="10"/>
        <v>3</v>
      </c>
      <c r="G81" s="12">
        <f t="shared" si="10"/>
        <v>3</v>
      </c>
      <c r="H81" s="12">
        <f t="shared" si="10"/>
        <v>9</v>
      </c>
      <c r="I81" s="12">
        <f t="shared" si="10"/>
        <v>13</v>
      </c>
      <c r="J81" s="12">
        <f t="shared" si="10"/>
        <v>5</v>
      </c>
      <c r="K81" s="12">
        <f t="shared" si="10"/>
        <v>2</v>
      </c>
      <c r="L81" s="12">
        <f t="shared" si="10"/>
        <v>4</v>
      </c>
      <c r="M81" s="12">
        <f t="shared" si="10"/>
        <v>5</v>
      </c>
      <c r="N81" s="12">
        <f t="shared" si="10"/>
        <v>10</v>
      </c>
      <c r="O81" s="12">
        <f t="shared" si="10"/>
        <v>12</v>
      </c>
      <c r="P81" s="12">
        <f t="shared" si="10"/>
        <v>5</v>
      </c>
      <c r="Q81" s="12">
        <f t="shared" si="10"/>
        <v>4</v>
      </c>
      <c r="R81" s="12">
        <f t="shared" si="10"/>
        <v>8</v>
      </c>
      <c r="S81" s="12">
        <f t="shared" si="10"/>
        <v>4</v>
      </c>
      <c r="T81" s="12">
        <f t="shared" si="10"/>
        <v>5</v>
      </c>
      <c r="U81" s="12">
        <f t="shared" si="10"/>
        <v>3</v>
      </c>
      <c r="V81" s="12">
        <f t="shared" si="10"/>
        <v>13</v>
      </c>
      <c r="W81" s="12">
        <f t="shared" si="10"/>
        <v>16</v>
      </c>
      <c r="X81" s="12">
        <f t="shared" si="10"/>
        <v>4</v>
      </c>
      <c r="Y81" s="12">
        <f t="shared" si="10"/>
        <v>4</v>
      </c>
      <c r="Z81" s="12">
        <f t="shared" si="10"/>
        <v>3</v>
      </c>
      <c r="AA81" s="12">
        <f t="shared" si="10"/>
        <v>11</v>
      </c>
      <c r="AB81" s="12">
        <f t="shared" si="10"/>
        <v>8</v>
      </c>
      <c r="AC81" s="12">
        <f t="shared" si="10"/>
        <v>4</v>
      </c>
      <c r="AD81" s="12">
        <f t="shared" si="10"/>
        <v>11</v>
      </c>
      <c r="AE81" s="12">
        <f t="shared" si="10"/>
        <v>1</v>
      </c>
      <c r="AF81" s="12">
        <f t="shared" si="10"/>
        <v>7</v>
      </c>
      <c r="AG81" s="10">
        <f t="shared" si="5"/>
        <v>198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3</v>
      </c>
      <c r="G82" s="3">
        <f t="shared" si="11"/>
        <v>2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1</v>
      </c>
      <c r="N82" s="3">
        <f t="shared" si="11"/>
        <v>4</v>
      </c>
      <c r="O82" s="3">
        <f t="shared" si="11"/>
        <v>0</v>
      </c>
      <c r="P82" s="3">
        <f t="shared" si="11"/>
        <v>0</v>
      </c>
      <c r="Q82" s="3">
        <f t="shared" si="11"/>
        <v>3</v>
      </c>
      <c r="R82" s="3">
        <f t="shared" si="11"/>
        <v>0</v>
      </c>
      <c r="S82" s="3">
        <f t="shared" si="11"/>
        <v>0</v>
      </c>
      <c r="T82" s="3">
        <f t="shared" si="11"/>
        <v>3</v>
      </c>
      <c r="U82" s="3">
        <f t="shared" si="11"/>
        <v>2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1</v>
      </c>
      <c r="AA82" s="3">
        <f t="shared" si="11"/>
        <v>2</v>
      </c>
      <c r="AB82" s="3">
        <f t="shared" si="11"/>
        <v>3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24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6</v>
      </c>
      <c r="C83" s="8">
        <f t="shared" si="12"/>
        <v>6</v>
      </c>
      <c r="D83" s="8">
        <f t="shared" si="12"/>
        <v>1</v>
      </c>
      <c r="E83" s="8">
        <f t="shared" si="12"/>
        <v>8</v>
      </c>
      <c r="F83" s="8">
        <f t="shared" si="12"/>
        <v>0</v>
      </c>
      <c r="G83" s="8">
        <f t="shared" si="12"/>
        <v>1</v>
      </c>
      <c r="H83" s="8">
        <f t="shared" si="12"/>
        <v>9</v>
      </c>
      <c r="I83" s="8">
        <f t="shared" si="12"/>
        <v>13</v>
      </c>
      <c r="J83" s="8">
        <f t="shared" si="12"/>
        <v>5</v>
      </c>
      <c r="K83" s="8">
        <f t="shared" si="12"/>
        <v>2</v>
      </c>
      <c r="L83" s="8">
        <f t="shared" si="12"/>
        <v>4</v>
      </c>
      <c r="M83" s="8">
        <f t="shared" si="12"/>
        <v>4</v>
      </c>
      <c r="N83" s="8">
        <f t="shared" si="12"/>
        <v>6</v>
      </c>
      <c r="O83" s="8">
        <f t="shared" si="12"/>
        <v>12</v>
      </c>
      <c r="P83" s="8">
        <f t="shared" si="12"/>
        <v>5</v>
      </c>
      <c r="Q83" s="8">
        <f t="shared" si="12"/>
        <v>1</v>
      </c>
      <c r="R83" s="8">
        <f t="shared" si="12"/>
        <v>8</v>
      </c>
      <c r="S83" s="8">
        <f t="shared" si="12"/>
        <v>4</v>
      </c>
      <c r="T83" s="8">
        <f t="shared" si="12"/>
        <v>2</v>
      </c>
      <c r="U83" s="8">
        <f t="shared" si="12"/>
        <v>1</v>
      </c>
      <c r="V83" s="8">
        <f t="shared" si="12"/>
        <v>13</v>
      </c>
      <c r="W83" s="8">
        <f t="shared" si="12"/>
        <v>16</v>
      </c>
      <c r="X83" s="8">
        <f t="shared" si="12"/>
        <v>4</v>
      </c>
      <c r="Y83" s="8">
        <f t="shared" si="12"/>
        <v>4</v>
      </c>
      <c r="Z83" s="8">
        <f t="shared" si="12"/>
        <v>2</v>
      </c>
      <c r="AA83" s="8">
        <f t="shared" si="12"/>
        <v>9</v>
      </c>
      <c r="AB83" s="8">
        <f t="shared" si="12"/>
        <v>5</v>
      </c>
      <c r="AC83" s="8">
        <f t="shared" si="12"/>
        <v>4</v>
      </c>
      <c r="AD83" s="8">
        <f t="shared" si="12"/>
        <v>11</v>
      </c>
      <c r="AE83" s="8">
        <f t="shared" si="12"/>
        <v>1</v>
      </c>
      <c r="AF83" s="8">
        <f t="shared" si="12"/>
        <v>7</v>
      </c>
      <c r="AG83" s="5">
        <f t="shared" si="5"/>
        <v>174</v>
      </c>
    </row>
    <row r="84" spans="1:34" ht="15.75" customHeight="1" thickBot="1" x14ac:dyDescent="0.3">
      <c r="A84" s="67" t="s">
        <v>32</v>
      </c>
      <c r="B84" s="14">
        <f t="shared" ref="B84:AF84" si="13">SUM(B85:B86)</f>
        <v>6</v>
      </c>
      <c r="C84" s="14">
        <f t="shared" si="13"/>
        <v>6</v>
      </c>
      <c r="D84" s="14">
        <f t="shared" si="13"/>
        <v>1</v>
      </c>
      <c r="E84" s="14">
        <f t="shared" si="13"/>
        <v>8</v>
      </c>
      <c r="F84" s="14">
        <f t="shared" si="13"/>
        <v>3</v>
      </c>
      <c r="G84" s="14">
        <f t="shared" si="13"/>
        <v>3</v>
      </c>
      <c r="H84" s="14">
        <f t="shared" si="13"/>
        <v>9</v>
      </c>
      <c r="I84" s="14">
        <f t="shared" si="13"/>
        <v>13</v>
      </c>
      <c r="J84" s="14">
        <f t="shared" si="13"/>
        <v>5</v>
      </c>
      <c r="K84" s="14">
        <f t="shared" si="13"/>
        <v>2</v>
      </c>
      <c r="L84" s="14">
        <f t="shared" si="13"/>
        <v>4</v>
      </c>
      <c r="M84" s="14">
        <f t="shared" si="13"/>
        <v>5</v>
      </c>
      <c r="N84" s="14">
        <f t="shared" si="13"/>
        <v>10</v>
      </c>
      <c r="O84" s="14">
        <f t="shared" si="13"/>
        <v>12</v>
      </c>
      <c r="P84" s="14">
        <f t="shared" si="13"/>
        <v>5</v>
      </c>
      <c r="Q84" s="14">
        <f t="shared" si="13"/>
        <v>4</v>
      </c>
      <c r="R84" s="14">
        <f t="shared" si="13"/>
        <v>8</v>
      </c>
      <c r="S84" s="14">
        <f t="shared" si="13"/>
        <v>4</v>
      </c>
      <c r="T84" s="14">
        <f t="shared" si="13"/>
        <v>5</v>
      </c>
      <c r="U84" s="14">
        <f t="shared" si="13"/>
        <v>3</v>
      </c>
      <c r="V84" s="14">
        <f t="shared" si="13"/>
        <v>13</v>
      </c>
      <c r="W84" s="14">
        <f t="shared" si="13"/>
        <v>16</v>
      </c>
      <c r="X84" s="14">
        <f t="shared" si="13"/>
        <v>4</v>
      </c>
      <c r="Y84" s="14">
        <f t="shared" si="13"/>
        <v>4</v>
      </c>
      <c r="Z84" s="14">
        <f t="shared" si="13"/>
        <v>3</v>
      </c>
      <c r="AA84" s="14">
        <f t="shared" si="13"/>
        <v>11</v>
      </c>
      <c r="AB84" s="14">
        <f t="shared" si="13"/>
        <v>8</v>
      </c>
      <c r="AC84" s="14">
        <f t="shared" si="13"/>
        <v>4</v>
      </c>
      <c r="AD84" s="14">
        <f t="shared" si="13"/>
        <v>11</v>
      </c>
      <c r="AE84" s="14">
        <f t="shared" si="13"/>
        <v>1</v>
      </c>
      <c r="AF84" s="14">
        <f t="shared" si="13"/>
        <v>7</v>
      </c>
      <c r="AG84" s="15">
        <f t="shared" si="5"/>
        <v>198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1</v>
      </c>
      <c r="C85" s="69">
        <v>0</v>
      </c>
      <c r="D85" s="69">
        <v>0</v>
      </c>
      <c r="E85" s="69">
        <v>0</v>
      </c>
      <c r="F85" s="69">
        <v>0</v>
      </c>
      <c r="G85" s="69">
        <v>0</v>
      </c>
      <c r="H85" s="69">
        <v>0</v>
      </c>
      <c r="I85" s="69">
        <v>3</v>
      </c>
      <c r="J85" s="69">
        <v>1</v>
      </c>
      <c r="K85" s="69">
        <v>0</v>
      </c>
      <c r="L85" s="69">
        <v>0</v>
      </c>
      <c r="M85" s="69">
        <v>0</v>
      </c>
      <c r="N85" s="69">
        <v>0</v>
      </c>
      <c r="O85" s="69">
        <v>3</v>
      </c>
      <c r="P85" s="69">
        <v>1</v>
      </c>
      <c r="Q85" s="69">
        <v>1</v>
      </c>
      <c r="R85" s="69">
        <v>2</v>
      </c>
      <c r="S85" s="69">
        <v>0</v>
      </c>
      <c r="T85" s="69">
        <v>2</v>
      </c>
      <c r="U85" s="69">
        <v>0</v>
      </c>
      <c r="V85" s="69">
        <v>2</v>
      </c>
      <c r="W85" s="69">
        <v>5</v>
      </c>
      <c r="X85" s="69">
        <v>2</v>
      </c>
      <c r="Y85" s="69">
        <v>1</v>
      </c>
      <c r="Z85" s="69">
        <v>0</v>
      </c>
      <c r="AA85" s="69">
        <v>2</v>
      </c>
      <c r="AB85" s="69">
        <v>0</v>
      </c>
      <c r="AC85" s="69">
        <v>1</v>
      </c>
      <c r="AD85" s="69">
        <v>4</v>
      </c>
      <c r="AE85" s="69">
        <v>0</v>
      </c>
      <c r="AF85" s="69">
        <v>3</v>
      </c>
      <c r="AG85" s="16">
        <f t="shared" si="5"/>
        <v>34</v>
      </c>
    </row>
    <row r="86" spans="1:34" ht="15.75" customHeight="1" thickBot="1" x14ac:dyDescent="0.3">
      <c r="A86" s="70" t="s">
        <v>34</v>
      </c>
      <c r="B86" s="71">
        <v>5</v>
      </c>
      <c r="C86" s="71">
        <v>6</v>
      </c>
      <c r="D86" s="71">
        <v>1</v>
      </c>
      <c r="E86" s="71">
        <v>8</v>
      </c>
      <c r="F86" s="71">
        <v>3</v>
      </c>
      <c r="G86" s="71">
        <v>3</v>
      </c>
      <c r="H86" s="71">
        <v>9</v>
      </c>
      <c r="I86" s="71">
        <v>10</v>
      </c>
      <c r="J86" s="71">
        <v>4</v>
      </c>
      <c r="K86" s="71">
        <v>2</v>
      </c>
      <c r="L86" s="71">
        <v>4</v>
      </c>
      <c r="M86" s="71">
        <v>5</v>
      </c>
      <c r="N86" s="71">
        <v>10</v>
      </c>
      <c r="O86" s="71">
        <v>9</v>
      </c>
      <c r="P86" s="71">
        <v>4</v>
      </c>
      <c r="Q86" s="71">
        <v>3</v>
      </c>
      <c r="R86" s="71">
        <v>6</v>
      </c>
      <c r="S86" s="71">
        <v>4</v>
      </c>
      <c r="T86" s="71">
        <v>3</v>
      </c>
      <c r="U86" s="71">
        <v>3</v>
      </c>
      <c r="V86" s="71">
        <v>11</v>
      </c>
      <c r="W86" s="71">
        <v>11</v>
      </c>
      <c r="X86" s="71">
        <v>2</v>
      </c>
      <c r="Y86" s="71">
        <v>3</v>
      </c>
      <c r="Z86" s="71">
        <v>3</v>
      </c>
      <c r="AA86" s="71">
        <v>9</v>
      </c>
      <c r="AB86" s="71">
        <v>8</v>
      </c>
      <c r="AC86" s="71">
        <v>3</v>
      </c>
      <c r="AD86" s="71">
        <v>7</v>
      </c>
      <c r="AE86" s="71">
        <v>1</v>
      </c>
      <c r="AF86" s="71">
        <v>4</v>
      </c>
      <c r="AG86" s="17">
        <f t="shared" si="5"/>
        <v>164</v>
      </c>
    </row>
    <row r="87" spans="1:34" ht="15.75" customHeight="1" thickBot="1" x14ac:dyDescent="0.3">
      <c r="A87" s="72" t="s">
        <v>35</v>
      </c>
      <c r="B87" s="18">
        <f t="shared" ref="B87:AF87" si="14">SUM(B88:B92)</f>
        <v>6</v>
      </c>
      <c r="C87" s="18">
        <f t="shared" si="14"/>
        <v>6</v>
      </c>
      <c r="D87" s="18">
        <f t="shared" si="14"/>
        <v>1</v>
      </c>
      <c r="E87" s="18">
        <f t="shared" si="14"/>
        <v>8</v>
      </c>
      <c r="F87" s="18">
        <f t="shared" si="14"/>
        <v>3</v>
      </c>
      <c r="G87" s="18">
        <f t="shared" si="14"/>
        <v>3</v>
      </c>
      <c r="H87" s="18">
        <f t="shared" si="14"/>
        <v>9</v>
      </c>
      <c r="I87" s="18">
        <f t="shared" si="14"/>
        <v>13</v>
      </c>
      <c r="J87" s="18">
        <f t="shared" si="14"/>
        <v>5</v>
      </c>
      <c r="K87" s="18">
        <f t="shared" si="14"/>
        <v>2</v>
      </c>
      <c r="L87" s="18">
        <f t="shared" si="14"/>
        <v>4</v>
      </c>
      <c r="M87" s="18">
        <f t="shared" si="14"/>
        <v>5</v>
      </c>
      <c r="N87" s="18">
        <f t="shared" si="14"/>
        <v>10</v>
      </c>
      <c r="O87" s="18">
        <f t="shared" si="14"/>
        <v>12</v>
      </c>
      <c r="P87" s="18">
        <f t="shared" si="14"/>
        <v>5</v>
      </c>
      <c r="Q87" s="18">
        <f t="shared" si="14"/>
        <v>4</v>
      </c>
      <c r="R87" s="18">
        <f t="shared" si="14"/>
        <v>8</v>
      </c>
      <c r="S87" s="18">
        <f t="shared" si="14"/>
        <v>4</v>
      </c>
      <c r="T87" s="18">
        <f t="shared" si="14"/>
        <v>5</v>
      </c>
      <c r="U87" s="18">
        <f t="shared" si="14"/>
        <v>3</v>
      </c>
      <c r="V87" s="18">
        <f t="shared" si="14"/>
        <v>13</v>
      </c>
      <c r="W87" s="18">
        <f t="shared" si="14"/>
        <v>16</v>
      </c>
      <c r="X87" s="18">
        <f t="shared" si="14"/>
        <v>4</v>
      </c>
      <c r="Y87" s="18">
        <f t="shared" si="14"/>
        <v>4</v>
      </c>
      <c r="Z87" s="18">
        <f t="shared" si="14"/>
        <v>3</v>
      </c>
      <c r="AA87" s="18">
        <f t="shared" si="14"/>
        <v>11</v>
      </c>
      <c r="AB87" s="18">
        <f t="shared" si="14"/>
        <v>8</v>
      </c>
      <c r="AC87" s="18">
        <f t="shared" si="14"/>
        <v>4</v>
      </c>
      <c r="AD87" s="18">
        <f t="shared" si="14"/>
        <v>11</v>
      </c>
      <c r="AE87" s="18">
        <f t="shared" si="14"/>
        <v>1</v>
      </c>
      <c r="AF87" s="18">
        <f t="shared" si="14"/>
        <v>7</v>
      </c>
      <c r="AG87" s="19">
        <f t="shared" si="5"/>
        <v>198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3</v>
      </c>
      <c r="C88" s="60">
        <v>1</v>
      </c>
      <c r="D88" s="60">
        <v>1</v>
      </c>
      <c r="E88" s="60">
        <v>3</v>
      </c>
      <c r="F88" s="60">
        <v>3</v>
      </c>
      <c r="G88" s="60">
        <v>3</v>
      </c>
      <c r="H88" s="60">
        <v>5</v>
      </c>
      <c r="I88" s="60">
        <v>2</v>
      </c>
      <c r="J88" s="60">
        <v>2</v>
      </c>
      <c r="K88" s="60">
        <v>0</v>
      </c>
      <c r="L88" s="60">
        <v>0</v>
      </c>
      <c r="M88" s="60">
        <v>3</v>
      </c>
      <c r="N88" s="60">
        <v>3</v>
      </c>
      <c r="O88" s="60">
        <v>4</v>
      </c>
      <c r="P88" s="60">
        <v>2</v>
      </c>
      <c r="Q88" s="60">
        <v>4</v>
      </c>
      <c r="R88" s="60">
        <v>4</v>
      </c>
      <c r="S88" s="60">
        <v>0</v>
      </c>
      <c r="T88" s="60">
        <v>2</v>
      </c>
      <c r="U88" s="60">
        <v>1</v>
      </c>
      <c r="V88" s="60">
        <v>5</v>
      </c>
      <c r="W88" s="60">
        <v>3</v>
      </c>
      <c r="X88" s="60">
        <v>1</v>
      </c>
      <c r="Y88" s="60">
        <v>3</v>
      </c>
      <c r="Z88" s="60">
        <v>2</v>
      </c>
      <c r="AA88" s="60">
        <v>2</v>
      </c>
      <c r="AB88" s="60">
        <v>3</v>
      </c>
      <c r="AC88" s="60">
        <v>0</v>
      </c>
      <c r="AD88" s="60">
        <v>4</v>
      </c>
      <c r="AE88" s="60">
        <v>0</v>
      </c>
      <c r="AF88" s="60">
        <v>2</v>
      </c>
      <c r="AG88" s="4">
        <f t="shared" si="5"/>
        <v>71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1</v>
      </c>
      <c r="AD89" s="60">
        <v>0</v>
      </c>
      <c r="AE89" s="60">
        <v>0</v>
      </c>
      <c r="AF89" s="60">
        <v>0</v>
      </c>
      <c r="AG89" s="5">
        <f t="shared" si="5"/>
        <v>1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1</v>
      </c>
      <c r="P90" s="60">
        <v>0</v>
      </c>
      <c r="Q90" s="60">
        <v>0</v>
      </c>
      <c r="R90" s="60">
        <v>1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>
        <v>0</v>
      </c>
      <c r="AG90" s="5">
        <f t="shared" si="5"/>
        <v>2</v>
      </c>
    </row>
    <row r="91" spans="1:34" ht="15.75" customHeight="1" x14ac:dyDescent="0.25">
      <c r="A91" s="74" t="s">
        <v>39</v>
      </c>
      <c r="B91" s="60">
        <v>3</v>
      </c>
      <c r="C91" s="60">
        <v>5</v>
      </c>
      <c r="D91" s="60">
        <v>0</v>
      </c>
      <c r="E91" s="60">
        <v>5</v>
      </c>
      <c r="F91" s="60">
        <v>0</v>
      </c>
      <c r="G91" s="60">
        <v>0</v>
      </c>
      <c r="H91" s="60">
        <v>3</v>
      </c>
      <c r="I91" s="60">
        <v>11</v>
      </c>
      <c r="J91" s="60">
        <v>3</v>
      </c>
      <c r="K91" s="60">
        <v>2</v>
      </c>
      <c r="L91" s="60">
        <v>4</v>
      </c>
      <c r="M91" s="60">
        <v>1</v>
      </c>
      <c r="N91" s="60">
        <v>1</v>
      </c>
      <c r="O91" s="60">
        <v>7</v>
      </c>
      <c r="P91" s="60">
        <v>3</v>
      </c>
      <c r="Q91" s="60">
        <v>0</v>
      </c>
      <c r="R91" s="60">
        <v>2</v>
      </c>
      <c r="S91" s="60">
        <v>3</v>
      </c>
      <c r="T91" s="60">
        <v>3</v>
      </c>
      <c r="U91" s="60">
        <v>0</v>
      </c>
      <c r="V91" s="60">
        <v>8</v>
      </c>
      <c r="W91" s="60">
        <v>10</v>
      </c>
      <c r="X91" s="60">
        <v>1</v>
      </c>
      <c r="Y91" s="60">
        <v>1</v>
      </c>
      <c r="Z91" s="60">
        <v>0</v>
      </c>
      <c r="AA91" s="60">
        <v>9</v>
      </c>
      <c r="AB91" s="60">
        <v>4</v>
      </c>
      <c r="AC91" s="60">
        <v>1</v>
      </c>
      <c r="AD91" s="60">
        <v>4</v>
      </c>
      <c r="AE91" s="60">
        <v>0</v>
      </c>
      <c r="AF91" s="60">
        <v>1</v>
      </c>
      <c r="AG91" s="5">
        <f t="shared" si="5"/>
        <v>95</v>
      </c>
    </row>
    <row r="92" spans="1:34" ht="15.75" customHeight="1" thickBot="1" x14ac:dyDescent="0.3">
      <c r="A92" s="74" t="s">
        <v>40</v>
      </c>
      <c r="B92" s="60">
        <v>0</v>
      </c>
      <c r="C92" s="60">
        <v>0</v>
      </c>
      <c r="D92" s="60">
        <v>0</v>
      </c>
      <c r="E92" s="60">
        <v>0</v>
      </c>
      <c r="F92" s="60">
        <v>0</v>
      </c>
      <c r="G92" s="60">
        <v>0</v>
      </c>
      <c r="H92" s="60">
        <v>1</v>
      </c>
      <c r="I92" s="60">
        <v>0</v>
      </c>
      <c r="J92" s="60">
        <v>0</v>
      </c>
      <c r="K92" s="60">
        <v>0</v>
      </c>
      <c r="L92" s="60">
        <v>0</v>
      </c>
      <c r="M92" s="60">
        <v>1</v>
      </c>
      <c r="N92" s="60">
        <v>6</v>
      </c>
      <c r="O92" s="60">
        <v>0</v>
      </c>
      <c r="P92" s="60">
        <v>0</v>
      </c>
      <c r="Q92" s="60">
        <v>0</v>
      </c>
      <c r="R92" s="60">
        <v>1</v>
      </c>
      <c r="S92" s="60">
        <v>1</v>
      </c>
      <c r="T92" s="60">
        <v>0</v>
      </c>
      <c r="U92" s="60">
        <v>2</v>
      </c>
      <c r="V92" s="60">
        <v>0</v>
      </c>
      <c r="W92" s="60">
        <v>3</v>
      </c>
      <c r="X92" s="60">
        <v>2</v>
      </c>
      <c r="Y92" s="60">
        <v>0</v>
      </c>
      <c r="Z92" s="60">
        <v>1</v>
      </c>
      <c r="AA92" s="60">
        <v>0</v>
      </c>
      <c r="AB92" s="60">
        <v>1</v>
      </c>
      <c r="AC92" s="60">
        <v>2</v>
      </c>
      <c r="AD92" s="60">
        <v>3</v>
      </c>
      <c r="AE92" s="60">
        <v>1</v>
      </c>
      <c r="AF92" s="60">
        <v>4</v>
      </c>
      <c r="AG92" s="5">
        <f t="shared" si="5"/>
        <v>29</v>
      </c>
    </row>
    <row r="93" spans="1:34" ht="15.75" customHeight="1" x14ac:dyDescent="0.25">
      <c r="A93" s="75" t="s">
        <v>41</v>
      </c>
      <c r="B93" s="20">
        <f t="shared" ref="B93:AF93" si="15">+B94+B100</f>
        <v>109</v>
      </c>
      <c r="C93" s="20">
        <f t="shared" si="15"/>
        <v>107</v>
      </c>
      <c r="D93" s="20">
        <f t="shared" si="15"/>
        <v>111</v>
      </c>
      <c r="E93" s="20">
        <f t="shared" si="15"/>
        <v>93</v>
      </c>
      <c r="F93" s="20">
        <f t="shared" si="15"/>
        <v>140</v>
      </c>
      <c r="G93" s="20">
        <f t="shared" si="15"/>
        <v>144</v>
      </c>
      <c r="H93" s="20">
        <f t="shared" si="15"/>
        <v>126</v>
      </c>
      <c r="I93" s="20">
        <f t="shared" si="15"/>
        <v>107</v>
      </c>
      <c r="J93" s="20">
        <f t="shared" si="15"/>
        <v>117</v>
      </c>
      <c r="K93" s="20">
        <f t="shared" si="15"/>
        <v>97</v>
      </c>
      <c r="L93" s="20">
        <f t="shared" si="15"/>
        <v>115</v>
      </c>
      <c r="M93" s="20">
        <f t="shared" si="15"/>
        <v>164</v>
      </c>
      <c r="N93" s="20">
        <f t="shared" si="15"/>
        <v>152</v>
      </c>
      <c r="O93" s="20">
        <f t="shared" si="15"/>
        <v>113</v>
      </c>
      <c r="P93" s="20">
        <f t="shared" si="15"/>
        <v>98</v>
      </c>
      <c r="Q93" s="20">
        <f t="shared" si="15"/>
        <v>174</v>
      </c>
      <c r="R93" s="20">
        <f t="shared" si="15"/>
        <v>117</v>
      </c>
      <c r="S93" s="20">
        <f t="shared" si="15"/>
        <v>113</v>
      </c>
      <c r="T93" s="20">
        <f t="shared" si="15"/>
        <v>156</v>
      </c>
      <c r="U93" s="20">
        <f t="shared" si="15"/>
        <v>158</v>
      </c>
      <c r="V93" s="20">
        <f t="shared" si="15"/>
        <v>138</v>
      </c>
      <c r="W93" s="20">
        <f t="shared" si="15"/>
        <v>116</v>
      </c>
      <c r="X93" s="20">
        <f t="shared" si="15"/>
        <v>126</v>
      </c>
      <c r="Y93" s="20">
        <f t="shared" si="15"/>
        <v>102</v>
      </c>
      <c r="Z93" s="20">
        <f t="shared" si="15"/>
        <v>96</v>
      </c>
      <c r="AA93" s="20">
        <f t="shared" si="15"/>
        <v>171</v>
      </c>
      <c r="AB93" s="20">
        <f t="shared" si="15"/>
        <v>142</v>
      </c>
      <c r="AC93" s="20">
        <f t="shared" si="15"/>
        <v>122</v>
      </c>
      <c r="AD93" s="20">
        <f t="shared" si="15"/>
        <v>120</v>
      </c>
      <c r="AE93" s="20">
        <f t="shared" si="15"/>
        <v>105</v>
      </c>
      <c r="AF93" s="20">
        <f t="shared" si="15"/>
        <v>104</v>
      </c>
      <c r="AG93" s="5">
        <f t="shared" si="5"/>
        <v>3853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9</v>
      </c>
      <c r="C94" s="21">
        <f t="shared" si="16"/>
        <v>12</v>
      </c>
      <c r="D94" s="21">
        <f t="shared" si="16"/>
        <v>11</v>
      </c>
      <c r="E94" s="21">
        <f t="shared" si="16"/>
        <v>10</v>
      </c>
      <c r="F94" s="21">
        <f t="shared" si="16"/>
        <v>8</v>
      </c>
      <c r="G94" s="21">
        <f t="shared" si="16"/>
        <v>17</v>
      </c>
      <c r="H94" s="21">
        <f t="shared" si="16"/>
        <v>10</v>
      </c>
      <c r="I94" s="21">
        <f t="shared" si="16"/>
        <v>15</v>
      </c>
      <c r="J94" s="21">
        <f t="shared" si="16"/>
        <v>14</v>
      </c>
      <c r="K94" s="21">
        <f t="shared" si="16"/>
        <v>11</v>
      </c>
      <c r="L94" s="21">
        <f t="shared" si="16"/>
        <v>10</v>
      </c>
      <c r="M94" s="21">
        <f t="shared" si="16"/>
        <v>16</v>
      </c>
      <c r="N94" s="21">
        <f t="shared" si="16"/>
        <v>18</v>
      </c>
      <c r="O94" s="21">
        <f t="shared" si="16"/>
        <v>9</v>
      </c>
      <c r="P94" s="21">
        <f t="shared" si="16"/>
        <v>5</v>
      </c>
      <c r="Q94" s="21">
        <f t="shared" si="16"/>
        <v>21</v>
      </c>
      <c r="R94" s="21">
        <f t="shared" si="16"/>
        <v>14</v>
      </c>
      <c r="S94" s="21">
        <f t="shared" si="16"/>
        <v>12</v>
      </c>
      <c r="T94" s="21">
        <f t="shared" si="16"/>
        <v>25</v>
      </c>
      <c r="U94" s="21">
        <f t="shared" si="16"/>
        <v>21</v>
      </c>
      <c r="V94" s="21">
        <f t="shared" si="16"/>
        <v>21</v>
      </c>
      <c r="W94" s="21">
        <f t="shared" si="16"/>
        <v>19</v>
      </c>
      <c r="X94" s="21">
        <f t="shared" si="16"/>
        <v>26</v>
      </c>
      <c r="Y94" s="21">
        <f t="shared" si="16"/>
        <v>17</v>
      </c>
      <c r="Z94" s="21">
        <f t="shared" si="16"/>
        <v>13</v>
      </c>
      <c r="AA94" s="21">
        <f t="shared" si="16"/>
        <v>26</v>
      </c>
      <c r="AB94" s="21">
        <f t="shared" si="16"/>
        <v>37</v>
      </c>
      <c r="AC94" s="21">
        <f t="shared" si="16"/>
        <v>23</v>
      </c>
      <c r="AD94" s="21">
        <f t="shared" si="16"/>
        <v>23</v>
      </c>
      <c r="AE94" s="21">
        <f t="shared" si="16"/>
        <v>13</v>
      </c>
      <c r="AF94" s="21">
        <f t="shared" si="16"/>
        <v>18</v>
      </c>
      <c r="AG94" s="5">
        <f t="shared" si="5"/>
        <v>504</v>
      </c>
    </row>
    <row r="95" spans="1:34" ht="15.75" customHeight="1" x14ac:dyDescent="0.25">
      <c r="A95" s="78" t="s">
        <v>43</v>
      </c>
      <c r="B95" s="54">
        <v>0</v>
      </c>
      <c r="C95" s="54">
        <v>0</v>
      </c>
      <c r="D95" s="54">
        <v>0</v>
      </c>
      <c r="E95" s="54">
        <v>0</v>
      </c>
      <c r="F95" s="54">
        <v>0</v>
      </c>
      <c r="G95" s="54">
        <v>0</v>
      </c>
      <c r="H95" s="54">
        <v>1</v>
      </c>
      <c r="I95" s="54">
        <v>0</v>
      </c>
      <c r="J95" s="54">
        <v>1</v>
      </c>
      <c r="K95" s="54">
        <v>2</v>
      </c>
      <c r="L95" s="54">
        <v>0</v>
      </c>
      <c r="M95" s="54">
        <v>1</v>
      </c>
      <c r="N95" s="54">
        <v>0</v>
      </c>
      <c r="O95" s="54">
        <v>0</v>
      </c>
      <c r="P95" s="54">
        <v>0</v>
      </c>
      <c r="Q95" s="54">
        <v>0</v>
      </c>
      <c r="R95" s="54">
        <v>0</v>
      </c>
      <c r="S95" s="54">
        <v>0</v>
      </c>
      <c r="T95" s="54">
        <v>1</v>
      </c>
      <c r="U95" s="54">
        <v>0</v>
      </c>
      <c r="V95" s="54">
        <v>2</v>
      </c>
      <c r="W95" s="54">
        <v>0</v>
      </c>
      <c r="X95" s="54">
        <v>0</v>
      </c>
      <c r="Y95" s="54">
        <v>0</v>
      </c>
      <c r="Z95" s="54">
        <v>0</v>
      </c>
      <c r="AA95" s="54">
        <v>0</v>
      </c>
      <c r="AB95" s="54">
        <v>2</v>
      </c>
      <c r="AC95" s="54">
        <v>1</v>
      </c>
      <c r="AD95" s="54">
        <v>0</v>
      </c>
      <c r="AE95" s="54">
        <v>0</v>
      </c>
      <c r="AF95" s="54">
        <v>1</v>
      </c>
      <c r="AG95" s="5">
        <f t="shared" si="5"/>
        <v>12</v>
      </c>
    </row>
    <row r="96" spans="1:34" ht="15.75" customHeight="1" x14ac:dyDescent="0.25">
      <c r="A96" s="79" t="s">
        <v>44</v>
      </c>
      <c r="B96" s="54">
        <v>2</v>
      </c>
      <c r="C96" s="54">
        <v>1</v>
      </c>
      <c r="D96" s="54">
        <v>1</v>
      </c>
      <c r="E96" s="54">
        <v>0</v>
      </c>
      <c r="F96" s="54">
        <v>0</v>
      </c>
      <c r="G96" s="54">
        <v>0</v>
      </c>
      <c r="H96" s="54">
        <v>0</v>
      </c>
      <c r="I96" s="54">
        <v>0</v>
      </c>
      <c r="J96" s="54">
        <v>0</v>
      </c>
      <c r="K96" s="54">
        <v>0</v>
      </c>
      <c r="L96" s="54">
        <v>2</v>
      </c>
      <c r="M96" s="54">
        <v>1</v>
      </c>
      <c r="N96" s="54">
        <v>1</v>
      </c>
      <c r="O96" s="54">
        <v>0</v>
      </c>
      <c r="P96" s="54">
        <v>0</v>
      </c>
      <c r="Q96" s="54">
        <v>1</v>
      </c>
      <c r="R96" s="54">
        <v>0</v>
      </c>
      <c r="S96" s="54">
        <v>2</v>
      </c>
      <c r="T96" s="54">
        <v>2</v>
      </c>
      <c r="U96" s="54">
        <v>2</v>
      </c>
      <c r="V96" s="54">
        <v>2</v>
      </c>
      <c r="W96" s="54">
        <v>3</v>
      </c>
      <c r="X96" s="54">
        <v>1</v>
      </c>
      <c r="Y96" s="54">
        <v>1</v>
      </c>
      <c r="Z96" s="54">
        <v>1</v>
      </c>
      <c r="AA96" s="54">
        <v>1</v>
      </c>
      <c r="AB96" s="54">
        <v>5</v>
      </c>
      <c r="AC96" s="54">
        <v>1</v>
      </c>
      <c r="AD96" s="54">
        <v>2</v>
      </c>
      <c r="AE96" s="54">
        <v>1</v>
      </c>
      <c r="AF96" s="54">
        <v>0</v>
      </c>
      <c r="AG96" s="5">
        <f t="shared" si="5"/>
        <v>33</v>
      </c>
    </row>
    <row r="97" spans="1:33" ht="15.75" customHeight="1" x14ac:dyDescent="0.25">
      <c r="A97" s="80" t="s">
        <v>45</v>
      </c>
      <c r="B97" s="54">
        <v>0</v>
      </c>
      <c r="C97" s="54">
        <v>3</v>
      </c>
      <c r="D97" s="54">
        <v>3</v>
      </c>
      <c r="E97" s="54">
        <v>2</v>
      </c>
      <c r="F97" s="54">
        <v>3</v>
      </c>
      <c r="G97" s="54">
        <v>2</v>
      </c>
      <c r="H97" s="54">
        <v>1</v>
      </c>
      <c r="I97" s="54">
        <v>4</v>
      </c>
      <c r="J97" s="54">
        <v>2</v>
      </c>
      <c r="K97" s="54">
        <v>0</v>
      </c>
      <c r="L97" s="54">
        <v>2</v>
      </c>
      <c r="M97" s="54">
        <v>1</v>
      </c>
      <c r="N97" s="54">
        <v>8</v>
      </c>
      <c r="O97" s="54">
        <v>4</v>
      </c>
      <c r="P97" s="54">
        <v>1</v>
      </c>
      <c r="Q97" s="54">
        <v>5</v>
      </c>
      <c r="R97" s="54">
        <v>2</v>
      </c>
      <c r="S97" s="54">
        <v>1</v>
      </c>
      <c r="T97" s="54">
        <v>5</v>
      </c>
      <c r="U97" s="54">
        <v>4</v>
      </c>
      <c r="V97" s="54">
        <v>4</v>
      </c>
      <c r="W97" s="54">
        <v>3</v>
      </c>
      <c r="X97" s="54">
        <v>3</v>
      </c>
      <c r="Y97" s="54">
        <v>6</v>
      </c>
      <c r="Z97" s="54">
        <v>2</v>
      </c>
      <c r="AA97" s="54">
        <v>9</v>
      </c>
      <c r="AB97" s="54">
        <v>3</v>
      </c>
      <c r="AC97" s="54">
        <v>4</v>
      </c>
      <c r="AD97" s="54">
        <v>4</v>
      </c>
      <c r="AE97" s="54">
        <v>2</v>
      </c>
      <c r="AF97" s="54">
        <v>1</v>
      </c>
      <c r="AG97" s="5">
        <f t="shared" si="5"/>
        <v>94</v>
      </c>
    </row>
    <row r="98" spans="1:33" ht="15.75" customHeight="1" x14ac:dyDescent="0.25">
      <c r="A98" s="81" t="s">
        <v>46</v>
      </c>
      <c r="B98" s="54">
        <v>5</v>
      </c>
      <c r="C98" s="54">
        <v>5</v>
      </c>
      <c r="D98" s="54">
        <v>2</v>
      </c>
      <c r="E98" s="54">
        <v>4</v>
      </c>
      <c r="F98" s="54">
        <v>2</v>
      </c>
      <c r="G98" s="54">
        <v>7</v>
      </c>
      <c r="H98" s="54">
        <v>5</v>
      </c>
      <c r="I98" s="54">
        <v>4</v>
      </c>
      <c r="J98" s="54">
        <v>6</v>
      </c>
      <c r="K98" s="54">
        <v>5</v>
      </c>
      <c r="L98" s="54">
        <v>4</v>
      </c>
      <c r="M98" s="54">
        <v>6</v>
      </c>
      <c r="N98" s="54">
        <v>5</v>
      </c>
      <c r="O98" s="54">
        <v>1</v>
      </c>
      <c r="P98" s="54">
        <v>1</v>
      </c>
      <c r="Q98" s="54">
        <v>9</v>
      </c>
      <c r="R98" s="54">
        <v>9</v>
      </c>
      <c r="S98" s="54">
        <v>6</v>
      </c>
      <c r="T98" s="54">
        <v>7</v>
      </c>
      <c r="U98" s="54">
        <v>8</v>
      </c>
      <c r="V98" s="54">
        <v>5</v>
      </c>
      <c r="W98" s="54">
        <v>3</v>
      </c>
      <c r="X98" s="54">
        <v>8</v>
      </c>
      <c r="Y98" s="54">
        <v>8</v>
      </c>
      <c r="Z98" s="54">
        <v>4</v>
      </c>
      <c r="AA98" s="54">
        <v>10</v>
      </c>
      <c r="AB98" s="54">
        <v>19</v>
      </c>
      <c r="AC98" s="54">
        <v>10</v>
      </c>
      <c r="AD98" s="54">
        <v>6</v>
      </c>
      <c r="AE98" s="54">
        <v>5</v>
      </c>
      <c r="AF98" s="54">
        <v>10</v>
      </c>
      <c r="AG98" s="5">
        <f t="shared" si="5"/>
        <v>189</v>
      </c>
    </row>
    <row r="99" spans="1:33" ht="15.75" customHeight="1" x14ac:dyDescent="0.25">
      <c r="A99" s="82" t="s">
        <v>47</v>
      </c>
      <c r="B99" s="54">
        <v>2</v>
      </c>
      <c r="C99" s="54">
        <v>3</v>
      </c>
      <c r="D99" s="54">
        <v>5</v>
      </c>
      <c r="E99" s="54">
        <v>4</v>
      </c>
      <c r="F99" s="54">
        <v>3</v>
      </c>
      <c r="G99" s="54">
        <v>8</v>
      </c>
      <c r="H99" s="54">
        <v>3</v>
      </c>
      <c r="I99" s="54">
        <v>7</v>
      </c>
      <c r="J99" s="54">
        <v>5</v>
      </c>
      <c r="K99" s="54">
        <v>4</v>
      </c>
      <c r="L99" s="54">
        <v>2</v>
      </c>
      <c r="M99" s="54">
        <v>7</v>
      </c>
      <c r="N99" s="54">
        <v>4</v>
      </c>
      <c r="O99" s="54">
        <v>4</v>
      </c>
      <c r="P99" s="54">
        <v>3</v>
      </c>
      <c r="Q99" s="54">
        <v>6</v>
      </c>
      <c r="R99" s="54">
        <v>3</v>
      </c>
      <c r="S99" s="54">
        <v>3</v>
      </c>
      <c r="T99" s="54">
        <v>10</v>
      </c>
      <c r="U99" s="54">
        <v>7</v>
      </c>
      <c r="V99" s="54">
        <v>8</v>
      </c>
      <c r="W99" s="54">
        <v>10</v>
      </c>
      <c r="X99" s="54">
        <v>14</v>
      </c>
      <c r="Y99" s="54">
        <v>2</v>
      </c>
      <c r="Z99" s="54">
        <v>6</v>
      </c>
      <c r="AA99" s="54">
        <v>6</v>
      </c>
      <c r="AB99" s="54">
        <v>8</v>
      </c>
      <c r="AC99" s="54">
        <v>7</v>
      </c>
      <c r="AD99" s="54">
        <v>11</v>
      </c>
      <c r="AE99" s="54">
        <v>5</v>
      </c>
      <c r="AF99" s="54">
        <v>6</v>
      </c>
      <c r="AG99" s="5">
        <f t="shared" ref="AG99:AG162" si="17">SUM(B99:AF99)</f>
        <v>176</v>
      </c>
    </row>
    <row r="100" spans="1:33" ht="15.75" customHeight="1" x14ac:dyDescent="0.25">
      <c r="A100" s="76" t="s">
        <v>48</v>
      </c>
      <c r="B100" s="21">
        <f t="shared" ref="B100:AF100" si="18">SUM(B101:B115)</f>
        <v>100</v>
      </c>
      <c r="C100" s="21">
        <f t="shared" si="18"/>
        <v>95</v>
      </c>
      <c r="D100" s="21">
        <f t="shared" si="18"/>
        <v>100</v>
      </c>
      <c r="E100" s="21">
        <f t="shared" si="18"/>
        <v>83</v>
      </c>
      <c r="F100" s="21">
        <f t="shared" si="18"/>
        <v>132</v>
      </c>
      <c r="G100" s="21">
        <f t="shared" si="18"/>
        <v>127</v>
      </c>
      <c r="H100" s="21">
        <f t="shared" si="18"/>
        <v>116</v>
      </c>
      <c r="I100" s="21">
        <f t="shared" si="18"/>
        <v>92</v>
      </c>
      <c r="J100" s="21">
        <f t="shared" si="18"/>
        <v>103</v>
      </c>
      <c r="K100" s="21">
        <f t="shared" si="18"/>
        <v>86</v>
      </c>
      <c r="L100" s="21">
        <f t="shared" si="18"/>
        <v>105</v>
      </c>
      <c r="M100" s="21">
        <f t="shared" si="18"/>
        <v>148</v>
      </c>
      <c r="N100" s="21">
        <f t="shared" si="18"/>
        <v>134</v>
      </c>
      <c r="O100" s="21">
        <f t="shared" si="18"/>
        <v>104</v>
      </c>
      <c r="P100" s="21">
        <f t="shared" si="18"/>
        <v>93</v>
      </c>
      <c r="Q100" s="21">
        <f t="shared" si="18"/>
        <v>153</v>
      </c>
      <c r="R100" s="21">
        <f t="shared" si="18"/>
        <v>103</v>
      </c>
      <c r="S100" s="21">
        <f t="shared" si="18"/>
        <v>101</v>
      </c>
      <c r="T100" s="21">
        <f t="shared" si="18"/>
        <v>131</v>
      </c>
      <c r="U100" s="21">
        <f t="shared" si="18"/>
        <v>137</v>
      </c>
      <c r="V100" s="21">
        <f t="shared" si="18"/>
        <v>117</v>
      </c>
      <c r="W100" s="21">
        <f t="shared" si="18"/>
        <v>97</v>
      </c>
      <c r="X100" s="21">
        <f t="shared" si="18"/>
        <v>100</v>
      </c>
      <c r="Y100" s="21">
        <f t="shared" si="18"/>
        <v>85</v>
      </c>
      <c r="Z100" s="21">
        <f t="shared" si="18"/>
        <v>83</v>
      </c>
      <c r="AA100" s="21">
        <f t="shared" si="18"/>
        <v>145</v>
      </c>
      <c r="AB100" s="21">
        <f t="shared" si="18"/>
        <v>105</v>
      </c>
      <c r="AC100" s="21">
        <f t="shared" si="18"/>
        <v>99</v>
      </c>
      <c r="AD100" s="21">
        <f t="shared" si="18"/>
        <v>97</v>
      </c>
      <c r="AE100" s="21">
        <f t="shared" si="18"/>
        <v>92</v>
      </c>
      <c r="AF100" s="21">
        <f t="shared" si="18"/>
        <v>86</v>
      </c>
      <c r="AG100" s="5">
        <f t="shared" si="17"/>
        <v>3349</v>
      </c>
    </row>
    <row r="101" spans="1:33" ht="15.75" customHeight="1" x14ac:dyDescent="0.25">
      <c r="A101" s="82" t="s">
        <v>49</v>
      </c>
      <c r="B101" s="54">
        <v>14</v>
      </c>
      <c r="C101" s="54">
        <v>5</v>
      </c>
      <c r="D101" s="54">
        <v>6</v>
      </c>
      <c r="E101" s="54">
        <v>2</v>
      </c>
      <c r="F101" s="54">
        <v>9</v>
      </c>
      <c r="G101" s="54">
        <v>7</v>
      </c>
      <c r="H101" s="54">
        <v>3</v>
      </c>
      <c r="I101" s="54">
        <v>11</v>
      </c>
      <c r="J101" s="54">
        <v>13</v>
      </c>
      <c r="K101" s="54">
        <v>5</v>
      </c>
      <c r="L101" s="54">
        <v>6</v>
      </c>
      <c r="M101" s="54">
        <v>9</v>
      </c>
      <c r="N101" s="54">
        <v>12</v>
      </c>
      <c r="O101" s="54">
        <v>11</v>
      </c>
      <c r="P101" s="54">
        <v>9</v>
      </c>
      <c r="Q101" s="54">
        <v>14</v>
      </c>
      <c r="R101" s="54">
        <v>6</v>
      </c>
      <c r="S101" s="54">
        <v>9</v>
      </c>
      <c r="T101" s="54">
        <v>3</v>
      </c>
      <c r="U101" s="54">
        <v>10</v>
      </c>
      <c r="V101" s="54">
        <v>13</v>
      </c>
      <c r="W101" s="54">
        <v>12</v>
      </c>
      <c r="X101" s="54">
        <v>11</v>
      </c>
      <c r="Y101" s="54">
        <v>7</v>
      </c>
      <c r="Z101" s="54">
        <v>8</v>
      </c>
      <c r="AA101" s="54">
        <v>10</v>
      </c>
      <c r="AB101" s="54">
        <v>2</v>
      </c>
      <c r="AC101" s="54">
        <v>13</v>
      </c>
      <c r="AD101" s="54">
        <v>14</v>
      </c>
      <c r="AE101" s="54">
        <v>14</v>
      </c>
      <c r="AF101" s="54">
        <v>5</v>
      </c>
      <c r="AG101" s="5">
        <f t="shared" si="17"/>
        <v>273</v>
      </c>
    </row>
    <row r="102" spans="1:33" ht="15.75" customHeight="1" x14ac:dyDescent="0.25">
      <c r="A102" s="82" t="s">
        <v>50</v>
      </c>
      <c r="B102" s="54">
        <v>13</v>
      </c>
      <c r="C102" s="54">
        <v>8</v>
      </c>
      <c r="D102" s="54">
        <v>8</v>
      </c>
      <c r="E102" s="54">
        <v>6</v>
      </c>
      <c r="F102" s="54">
        <v>8</v>
      </c>
      <c r="G102" s="54">
        <v>9</v>
      </c>
      <c r="H102" s="54">
        <v>8</v>
      </c>
      <c r="I102" s="54">
        <v>6</v>
      </c>
      <c r="J102" s="54">
        <v>8</v>
      </c>
      <c r="K102" s="54">
        <v>5</v>
      </c>
      <c r="L102" s="54">
        <v>13</v>
      </c>
      <c r="M102" s="54">
        <v>13</v>
      </c>
      <c r="N102" s="54">
        <v>12</v>
      </c>
      <c r="O102" s="54">
        <v>14</v>
      </c>
      <c r="P102" s="54">
        <v>6</v>
      </c>
      <c r="Q102" s="54">
        <v>11</v>
      </c>
      <c r="R102" s="54">
        <v>13</v>
      </c>
      <c r="S102" s="54">
        <v>9</v>
      </c>
      <c r="T102" s="54">
        <v>8</v>
      </c>
      <c r="U102" s="54">
        <v>11</v>
      </c>
      <c r="V102" s="54">
        <v>9</v>
      </c>
      <c r="W102" s="54">
        <v>5</v>
      </c>
      <c r="X102" s="54">
        <v>5</v>
      </c>
      <c r="Y102" s="54">
        <v>6</v>
      </c>
      <c r="Z102" s="54">
        <v>7</v>
      </c>
      <c r="AA102" s="54">
        <v>10</v>
      </c>
      <c r="AB102" s="54">
        <v>12</v>
      </c>
      <c r="AC102" s="54">
        <v>15</v>
      </c>
      <c r="AD102" s="54">
        <v>6</v>
      </c>
      <c r="AE102" s="54">
        <v>8</v>
      </c>
      <c r="AF102" s="54">
        <v>13</v>
      </c>
      <c r="AG102" s="5">
        <f t="shared" si="17"/>
        <v>285</v>
      </c>
    </row>
    <row r="103" spans="1:33" ht="15.75" customHeight="1" x14ac:dyDescent="0.25">
      <c r="A103" s="78" t="s">
        <v>51</v>
      </c>
      <c r="B103" s="54">
        <v>7</v>
      </c>
      <c r="C103" s="54">
        <v>6</v>
      </c>
      <c r="D103" s="54">
        <v>9</v>
      </c>
      <c r="E103" s="54">
        <v>8</v>
      </c>
      <c r="F103" s="54">
        <v>12</v>
      </c>
      <c r="G103" s="54">
        <v>7</v>
      </c>
      <c r="H103" s="54">
        <v>11</v>
      </c>
      <c r="I103" s="54">
        <v>5</v>
      </c>
      <c r="J103" s="54">
        <v>4</v>
      </c>
      <c r="K103" s="54">
        <v>9</v>
      </c>
      <c r="L103" s="54">
        <v>5</v>
      </c>
      <c r="M103" s="54">
        <v>12</v>
      </c>
      <c r="N103" s="54">
        <v>9</v>
      </c>
      <c r="O103" s="54">
        <v>7</v>
      </c>
      <c r="P103" s="54">
        <v>6</v>
      </c>
      <c r="Q103" s="54">
        <v>11</v>
      </c>
      <c r="R103" s="54">
        <v>7</v>
      </c>
      <c r="S103" s="54">
        <v>10</v>
      </c>
      <c r="T103" s="54">
        <v>7</v>
      </c>
      <c r="U103" s="54">
        <v>7</v>
      </c>
      <c r="V103" s="54">
        <v>11</v>
      </c>
      <c r="W103" s="54">
        <v>9</v>
      </c>
      <c r="X103" s="54">
        <v>7</v>
      </c>
      <c r="Y103" s="54">
        <v>11</v>
      </c>
      <c r="Z103" s="54">
        <v>8</v>
      </c>
      <c r="AA103" s="54">
        <v>8</v>
      </c>
      <c r="AB103" s="54">
        <v>8</v>
      </c>
      <c r="AC103" s="54">
        <v>6</v>
      </c>
      <c r="AD103" s="54">
        <v>4</v>
      </c>
      <c r="AE103" s="54">
        <v>9</v>
      </c>
      <c r="AF103" s="54">
        <v>4</v>
      </c>
      <c r="AG103" s="5">
        <f t="shared" si="17"/>
        <v>244</v>
      </c>
    </row>
    <row r="104" spans="1:33" ht="15.75" customHeight="1" x14ac:dyDescent="0.25">
      <c r="A104" s="78" t="s">
        <v>52</v>
      </c>
      <c r="B104" s="54">
        <v>8</v>
      </c>
      <c r="C104" s="54">
        <v>10</v>
      </c>
      <c r="D104" s="54">
        <v>4</v>
      </c>
      <c r="E104" s="54">
        <v>5</v>
      </c>
      <c r="F104" s="54">
        <v>7</v>
      </c>
      <c r="G104" s="54">
        <v>9</v>
      </c>
      <c r="H104" s="54">
        <v>5</v>
      </c>
      <c r="I104" s="54">
        <v>7</v>
      </c>
      <c r="J104" s="54">
        <v>7</v>
      </c>
      <c r="K104" s="54">
        <v>4</v>
      </c>
      <c r="L104" s="54">
        <v>9</v>
      </c>
      <c r="M104" s="54">
        <v>5</v>
      </c>
      <c r="N104" s="54">
        <v>11</v>
      </c>
      <c r="O104" s="54">
        <v>5</v>
      </c>
      <c r="P104" s="54">
        <v>10</v>
      </c>
      <c r="Q104" s="54">
        <v>7</v>
      </c>
      <c r="R104" s="54">
        <v>4</v>
      </c>
      <c r="S104" s="54">
        <v>1</v>
      </c>
      <c r="T104" s="54">
        <v>9</v>
      </c>
      <c r="U104" s="54">
        <v>9</v>
      </c>
      <c r="V104" s="54">
        <v>8</v>
      </c>
      <c r="W104" s="54">
        <v>4</v>
      </c>
      <c r="X104" s="54">
        <v>11</v>
      </c>
      <c r="Y104" s="54">
        <v>10</v>
      </c>
      <c r="Z104" s="54">
        <v>3</v>
      </c>
      <c r="AA104" s="54">
        <v>11</v>
      </c>
      <c r="AB104" s="54">
        <v>4</v>
      </c>
      <c r="AC104" s="54">
        <v>3</v>
      </c>
      <c r="AD104" s="54">
        <v>5</v>
      </c>
      <c r="AE104" s="54">
        <v>7</v>
      </c>
      <c r="AF104" s="54">
        <v>7</v>
      </c>
      <c r="AG104" s="5">
        <f t="shared" si="17"/>
        <v>209</v>
      </c>
    </row>
    <row r="105" spans="1:33" ht="15.75" customHeight="1" x14ac:dyDescent="0.25">
      <c r="A105" s="78" t="s">
        <v>53</v>
      </c>
      <c r="B105" s="54">
        <v>13</v>
      </c>
      <c r="C105" s="54">
        <v>11</v>
      </c>
      <c r="D105" s="54">
        <v>12</v>
      </c>
      <c r="E105" s="54">
        <v>6</v>
      </c>
      <c r="F105" s="54">
        <v>9</v>
      </c>
      <c r="G105" s="54">
        <v>11</v>
      </c>
      <c r="H105" s="54">
        <v>9</v>
      </c>
      <c r="I105" s="54">
        <v>1</v>
      </c>
      <c r="J105" s="54">
        <v>7</v>
      </c>
      <c r="K105" s="54">
        <v>7</v>
      </c>
      <c r="L105" s="54">
        <v>6</v>
      </c>
      <c r="M105" s="54">
        <v>10</v>
      </c>
      <c r="N105" s="54">
        <v>13</v>
      </c>
      <c r="O105" s="54">
        <v>6</v>
      </c>
      <c r="P105" s="54">
        <v>11</v>
      </c>
      <c r="Q105" s="54">
        <v>19</v>
      </c>
      <c r="R105" s="54">
        <v>7</v>
      </c>
      <c r="S105" s="54">
        <v>8</v>
      </c>
      <c r="T105" s="54">
        <v>10</v>
      </c>
      <c r="U105" s="54">
        <v>15</v>
      </c>
      <c r="V105" s="54">
        <v>10</v>
      </c>
      <c r="W105" s="54">
        <v>8</v>
      </c>
      <c r="X105" s="54">
        <v>8</v>
      </c>
      <c r="Y105" s="54">
        <v>3</v>
      </c>
      <c r="Z105" s="54">
        <v>11</v>
      </c>
      <c r="AA105" s="54">
        <v>12</v>
      </c>
      <c r="AB105" s="54">
        <v>11</v>
      </c>
      <c r="AC105" s="54">
        <v>9</v>
      </c>
      <c r="AD105" s="54">
        <v>8</v>
      </c>
      <c r="AE105" s="54">
        <v>7</v>
      </c>
      <c r="AF105" s="54">
        <v>4</v>
      </c>
      <c r="AG105" s="5">
        <f t="shared" si="17"/>
        <v>282</v>
      </c>
    </row>
    <row r="106" spans="1:33" ht="15.75" customHeight="1" x14ac:dyDescent="0.25">
      <c r="A106" s="78" t="s">
        <v>54</v>
      </c>
      <c r="B106" s="54">
        <v>5</v>
      </c>
      <c r="C106" s="54">
        <v>6</v>
      </c>
      <c r="D106" s="54">
        <v>7</v>
      </c>
      <c r="E106" s="54">
        <v>5</v>
      </c>
      <c r="F106" s="54">
        <v>10</v>
      </c>
      <c r="G106" s="54">
        <v>10</v>
      </c>
      <c r="H106" s="54">
        <v>12</v>
      </c>
      <c r="I106" s="54">
        <v>6</v>
      </c>
      <c r="J106" s="54">
        <v>5</v>
      </c>
      <c r="K106" s="54">
        <v>4</v>
      </c>
      <c r="L106" s="54">
        <v>5</v>
      </c>
      <c r="M106" s="54">
        <v>8</v>
      </c>
      <c r="N106" s="54">
        <v>8</v>
      </c>
      <c r="O106" s="54">
        <v>3</v>
      </c>
      <c r="P106" s="54">
        <v>2</v>
      </c>
      <c r="Q106" s="54">
        <v>11</v>
      </c>
      <c r="R106" s="54">
        <v>6</v>
      </c>
      <c r="S106" s="54">
        <v>7</v>
      </c>
      <c r="T106" s="54">
        <v>13</v>
      </c>
      <c r="U106" s="54">
        <v>10</v>
      </c>
      <c r="V106" s="54">
        <v>7</v>
      </c>
      <c r="W106" s="54">
        <v>9</v>
      </c>
      <c r="X106" s="54">
        <v>7</v>
      </c>
      <c r="Y106" s="54">
        <v>5</v>
      </c>
      <c r="Z106" s="54">
        <v>6</v>
      </c>
      <c r="AA106" s="54">
        <v>9</v>
      </c>
      <c r="AB106" s="54">
        <v>7</v>
      </c>
      <c r="AC106" s="54">
        <v>5</v>
      </c>
      <c r="AD106" s="54">
        <v>2</v>
      </c>
      <c r="AE106" s="54">
        <v>9</v>
      </c>
      <c r="AF106" s="54">
        <v>3</v>
      </c>
      <c r="AG106" s="5">
        <f t="shared" si="17"/>
        <v>212</v>
      </c>
    </row>
    <row r="107" spans="1:33" ht="15.75" customHeight="1" x14ac:dyDescent="0.25">
      <c r="A107" s="78" t="s">
        <v>55</v>
      </c>
      <c r="B107" s="54">
        <v>5</v>
      </c>
      <c r="C107" s="54">
        <v>8</v>
      </c>
      <c r="D107" s="54">
        <v>11</v>
      </c>
      <c r="E107" s="54">
        <v>7</v>
      </c>
      <c r="F107" s="54">
        <v>10</v>
      </c>
      <c r="G107" s="54">
        <v>11</v>
      </c>
      <c r="H107" s="54">
        <v>9</v>
      </c>
      <c r="I107" s="54">
        <v>7</v>
      </c>
      <c r="J107" s="54">
        <v>13</v>
      </c>
      <c r="K107" s="54">
        <v>4</v>
      </c>
      <c r="L107" s="54">
        <v>3</v>
      </c>
      <c r="M107" s="54">
        <v>13</v>
      </c>
      <c r="N107" s="54">
        <v>5</v>
      </c>
      <c r="O107" s="54">
        <v>8</v>
      </c>
      <c r="P107" s="54">
        <v>9</v>
      </c>
      <c r="Q107" s="54">
        <v>12</v>
      </c>
      <c r="R107" s="54">
        <v>6</v>
      </c>
      <c r="S107" s="54">
        <v>7</v>
      </c>
      <c r="T107" s="54">
        <v>10</v>
      </c>
      <c r="U107" s="54">
        <v>3</v>
      </c>
      <c r="V107" s="54">
        <v>6</v>
      </c>
      <c r="W107" s="54">
        <v>8</v>
      </c>
      <c r="X107" s="54">
        <v>5</v>
      </c>
      <c r="Y107" s="54">
        <v>7</v>
      </c>
      <c r="Z107" s="54">
        <v>8</v>
      </c>
      <c r="AA107" s="54">
        <v>10</v>
      </c>
      <c r="AB107" s="54">
        <v>8</v>
      </c>
      <c r="AC107" s="54">
        <v>6</v>
      </c>
      <c r="AD107" s="54">
        <v>10</v>
      </c>
      <c r="AE107" s="54">
        <v>7</v>
      </c>
      <c r="AF107" s="54">
        <v>6</v>
      </c>
      <c r="AG107" s="5">
        <f t="shared" si="17"/>
        <v>242</v>
      </c>
    </row>
    <row r="108" spans="1:33" ht="15.75" customHeight="1" x14ac:dyDescent="0.25">
      <c r="A108" s="78" t="s">
        <v>56</v>
      </c>
      <c r="B108" s="54">
        <v>3</v>
      </c>
      <c r="C108" s="54">
        <v>5</v>
      </c>
      <c r="D108" s="54">
        <v>8</v>
      </c>
      <c r="E108" s="54">
        <v>8</v>
      </c>
      <c r="F108" s="54">
        <v>12</v>
      </c>
      <c r="G108" s="54">
        <v>10</v>
      </c>
      <c r="H108" s="54">
        <v>13</v>
      </c>
      <c r="I108" s="54">
        <v>13</v>
      </c>
      <c r="J108" s="54">
        <v>6</v>
      </c>
      <c r="K108" s="54">
        <v>5</v>
      </c>
      <c r="L108" s="54">
        <v>13</v>
      </c>
      <c r="M108" s="54">
        <v>14</v>
      </c>
      <c r="N108" s="54">
        <v>13</v>
      </c>
      <c r="O108" s="54">
        <v>9</v>
      </c>
      <c r="P108" s="54">
        <v>8</v>
      </c>
      <c r="Q108" s="54">
        <v>13</v>
      </c>
      <c r="R108" s="54">
        <v>12</v>
      </c>
      <c r="S108" s="54">
        <v>16</v>
      </c>
      <c r="T108" s="54">
        <v>15</v>
      </c>
      <c r="U108" s="54">
        <v>12</v>
      </c>
      <c r="V108" s="54">
        <v>8</v>
      </c>
      <c r="W108" s="54">
        <v>4</v>
      </c>
      <c r="X108" s="54">
        <v>8</v>
      </c>
      <c r="Y108" s="54">
        <v>10</v>
      </c>
      <c r="Z108" s="54">
        <v>4</v>
      </c>
      <c r="AA108" s="54">
        <v>11</v>
      </c>
      <c r="AB108" s="54">
        <v>4</v>
      </c>
      <c r="AC108" s="54">
        <v>11</v>
      </c>
      <c r="AD108" s="54">
        <v>5</v>
      </c>
      <c r="AE108" s="54">
        <v>5</v>
      </c>
      <c r="AF108" s="54">
        <v>6</v>
      </c>
      <c r="AG108" s="5">
        <f t="shared" si="17"/>
        <v>284</v>
      </c>
    </row>
    <row r="109" spans="1:33" ht="15.75" customHeight="1" x14ac:dyDescent="0.25">
      <c r="A109" s="78" t="s">
        <v>57</v>
      </c>
      <c r="B109" s="54">
        <v>5</v>
      </c>
      <c r="C109" s="54">
        <v>6</v>
      </c>
      <c r="D109" s="54">
        <v>6</v>
      </c>
      <c r="E109" s="54">
        <v>5</v>
      </c>
      <c r="F109" s="54">
        <v>12</v>
      </c>
      <c r="G109" s="54">
        <v>20</v>
      </c>
      <c r="H109" s="54">
        <v>5</v>
      </c>
      <c r="I109" s="54">
        <v>6</v>
      </c>
      <c r="J109" s="54">
        <v>9</v>
      </c>
      <c r="K109" s="54">
        <v>6</v>
      </c>
      <c r="L109" s="54">
        <v>12</v>
      </c>
      <c r="M109" s="54">
        <v>13</v>
      </c>
      <c r="N109" s="54">
        <v>5</v>
      </c>
      <c r="O109" s="54">
        <v>9</v>
      </c>
      <c r="P109" s="54">
        <v>9</v>
      </c>
      <c r="Q109" s="54">
        <v>16</v>
      </c>
      <c r="R109" s="54">
        <v>9</v>
      </c>
      <c r="S109" s="54">
        <v>8</v>
      </c>
      <c r="T109" s="54">
        <v>11</v>
      </c>
      <c r="U109" s="54">
        <v>15</v>
      </c>
      <c r="V109" s="54">
        <v>7</v>
      </c>
      <c r="W109" s="54">
        <v>9</v>
      </c>
      <c r="X109" s="54">
        <v>5</v>
      </c>
      <c r="Y109" s="54">
        <v>2</v>
      </c>
      <c r="Z109" s="54">
        <v>2</v>
      </c>
      <c r="AA109" s="54">
        <v>17</v>
      </c>
      <c r="AB109" s="54">
        <v>14</v>
      </c>
      <c r="AC109" s="54">
        <v>6</v>
      </c>
      <c r="AD109" s="54">
        <v>6</v>
      </c>
      <c r="AE109" s="54">
        <v>6</v>
      </c>
      <c r="AF109" s="54">
        <v>5</v>
      </c>
      <c r="AG109" s="5">
        <f t="shared" si="17"/>
        <v>266</v>
      </c>
    </row>
    <row r="110" spans="1:33" ht="15.75" customHeight="1" x14ac:dyDescent="0.25">
      <c r="A110" s="78" t="s">
        <v>58</v>
      </c>
      <c r="B110" s="54">
        <v>5</v>
      </c>
      <c r="C110" s="54">
        <v>4</v>
      </c>
      <c r="D110" s="54">
        <v>11</v>
      </c>
      <c r="E110" s="54">
        <v>8</v>
      </c>
      <c r="F110" s="54">
        <v>7</v>
      </c>
      <c r="G110" s="54">
        <v>10</v>
      </c>
      <c r="H110" s="54">
        <v>11</v>
      </c>
      <c r="I110" s="54">
        <v>5</v>
      </c>
      <c r="J110" s="54">
        <v>4</v>
      </c>
      <c r="K110" s="54">
        <v>6</v>
      </c>
      <c r="L110" s="54">
        <v>6</v>
      </c>
      <c r="M110" s="54">
        <v>11</v>
      </c>
      <c r="N110" s="54">
        <v>8</v>
      </c>
      <c r="O110" s="54">
        <v>9</v>
      </c>
      <c r="P110" s="54">
        <v>8</v>
      </c>
      <c r="Q110" s="54">
        <v>11</v>
      </c>
      <c r="R110" s="54">
        <v>8</v>
      </c>
      <c r="S110" s="54">
        <v>4</v>
      </c>
      <c r="T110" s="54">
        <v>15</v>
      </c>
      <c r="U110" s="54">
        <v>9</v>
      </c>
      <c r="V110" s="54">
        <v>10</v>
      </c>
      <c r="W110" s="54">
        <v>7</v>
      </c>
      <c r="X110" s="54">
        <v>4</v>
      </c>
      <c r="Y110" s="54">
        <v>4</v>
      </c>
      <c r="Z110" s="54">
        <v>5</v>
      </c>
      <c r="AA110" s="54">
        <v>16</v>
      </c>
      <c r="AB110" s="54">
        <v>9</v>
      </c>
      <c r="AC110" s="54">
        <v>6</v>
      </c>
      <c r="AD110" s="54">
        <v>13</v>
      </c>
      <c r="AE110" s="54">
        <v>5</v>
      </c>
      <c r="AF110" s="54">
        <v>11</v>
      </c>
      <c r="AG110" s="5">
        <f t="shared" si="17"/>
        <v>250</v>
      </c>
    </row>
    <row r="111" spans="1:33" ht="15.75" customHeight="1" x14ac:dyDescent="0.25">
      <c r="A111" s="78" t="s">
        <v>59</v>
      </c>
      <c r="B111" s="54">
        <v>5</v>
      </c>
      <c r="C111" s="54">
        <v>7</v>
      </c>
      <c r="D111" s="54">
        <v>6</v>
      </c>
      <c r="E111" s="54">
        <v>4</v>
      </c>
      <c r="F111" s="54">
        <v>20</v>
      </c>
      <c r="G111" s="54">
        <v>4</v>
      </c>
      <c r="H111" s="54">
        <v>8</v>
      </c>
      <c r="I111" s="54">
        <v>6</v>
      </c>
      <c r="J111" s="54">
        <v>6</v>
      </c>
      <c r="K111" s="54">
        <v>7</v>
      </c>
      <c r="L111" s="54">
        <v>4</v>
      </c>
      <c r="M111" s="54">
        <v>10</v>
      </c>
      <c r="N111" s="54">
        <v>11</v>
      </c>
      <c r="O111" s="54">
        <v>3</v>
      </c>
      <c r="P111" s="54">
        <v>3</v>
      </c>
      <c r="Q111" s="54">
        <v>6</v>
      </c>
      <c r="R111" s="54">
        <v>6</v>
      </c>
      <c r="S111" s="54">
        <v>5</v>
      </c>
      <c r="T111" s="54">
        <v>7</v>
      </c>
      <c r="U111" s="54">
        <v>5</v>
      </c>
      <c r="V111" s="54">
        <v>9</v>
      </c>
      <c r="W111" s="54">
        <v>2</v>
      </c>
      <c r="X111" s="54">
        <v>9</v>
      </c>
      <c r="Y111" s="54">
        <v>5</v>
      </c>
      <c r="Z111" s="54">
        <v>4</v>
      </c>
      <c r="AA111" s="54">
        <v>10</v>
      </c>
      <c r="AB111" s="54">
        <v>7</v>
      </c>
      <c r="AC111" s="54">
        <v>5</v>
      </c>
      <c r="AD111" s="54">
        <v>5</v>
      </c>
      <c r="AE111" s="54">
        <v>0</v>
      </c>
      <c r="AF111" s="54">
        <v>6</v>
      </c>
      <c r="AG111" s="5">
        <f t="shared" si="17"/>
        <v>195</v>
      </c>
    </row>
    <row r="112" spans="1:33" ht="15.75" customHeight="1" x14ac:dyDescent="0.25">
      <c r="A112" s="78" t="s">
        <v>60</v>
      </c>
      <c r="B112" s="54">
        <v>7</v>
      </c>
      <c r="C112" s="54">
        <v>5</v>
      </c>
      <c r="D112" s="54">
        <v>4</v>
      </c>
      <c r="E112" s="54">
        <v>3</v>
      </c>
      <c r="F112" s="54">
        <v>6</v>
      </c>
      <c r="G112" s="54">
        <v>3</v>
      </c>
      <c r="H112" s="54">
        <v>5</v>
      </c>
      <c r="I112" s="54">
        <v>7</v>
      </c>
      <c r="J112" s="54">
        <v>7</v>
      </c>
      <c r="K112" s="54">
        <v>12</v>
      </c>
      <c r="L112" s="54">
        <v>7</v>
      </c>
      <c r="M112" s="54">
        <v>9</v>
      </c>
      <c r="N112" s="54">
        <v>7</v>
      </c>
      <c r="O112" s="54">
        <v>7</v>
      </c>
      <c r="P112" s="54">
        <v>4</v>
      </c>
      <c r="Q112" s="54">
        <v>3</v>
      </c>
      <c r="R112" s="54">
        <v>4</v>
      </c>
      <c r="S112" s="54">
        <v>7</v>
      </c>
      <c r="T112" s="54">
        <v>10</v>
      </c>
      <c r="U112" s="54">
        <v>10</v>
      </c>
      <c r="V112" s="54">
        <v>7</v>
      </c>
      <c r="W112" s="54">
        <v>5</v>
      </c>
      <c r="X112" s="54">
        <v>8</v>
      </c>
      <c r="Y112" s="54">
        <v>3</v>
      </c>
      <c r="Z112" s="54">
        <v>4</v>
      </c>
      <c r="AA112" s="54">
        <v>11</v>
      </c>
      <c r="AB112" s="54">
        <v>3</v>
      </c>
      <c r="AC112" s="54">
        <v>4</v>
      </c>
      <c r="AD112" s="54">
        <v>10</v>
      </c>
      <c r="AE112" s="54">
        <v>8</v>
      </c>
      <c r="AF112" s="54">
        <v>4</v>
      </c>
      <c r="AG112" s="5">
        <f t="shared" si="17"/>
        <v>194</v>
      </c>
    </row>
    <row r="113" spans="1:37" ht="15.75" customHeight="1" x14ac:dyDescent="0.25">
      <c r="A113" s="78" t="s">
        <v>61</v>
      </c>
      <c r="B113" s="54">
        <v>5</v>
      </c>
      <c r="C113" s="54">
        <v>6</v>
      </c>
      <c r="D113" s="54">
        <v>5</v>
      </c>
      <c r="E113" s="54">
        <v>8</v>
      </c>
      <c r="F113" s="54">
        <v>7</v>
      </c>
      <c r="G113" s="54">
        <v>5</v>
      </c>
      <c r="H113" s="54">
        <v>5</v>
      </c>
      <c r="I113" s="54">
        <v>4</v>
      </c>
      <c r="J113" s="54">
        <v>7</v>
      </c>
      <c r="K113" s="54">
        <v>4</v>
      </c>
      <c r="L113" s="54">
        <v>6</v>
      </c>
      <c r="M113" s="54">
        <v>5</v>
      </c>
      <c r="N113" s="54">
        <v>5</v>
      </c>
      <c r="O113" s="54">
        <v>4</v>
      </c>
      <c r="P113" s="54">
        <v>2</v>
      </c>
      <c r="Q113" s="54">
        <v>8</v>
      </c>
      <c r="R113" s="54">
        <v>7</v>
      </c>
      <c r="S113" s="54">
        <v>2</v>
      </c>
      <c r="T113" s="54">
        <v>9</v>
      </c>
      <c r="U113" s="54">
        <v>8</v>
      </c>
      <c r="V113" s="54">
        <v>6</v>
      </c>
      <c r="W113" s="54">
        <v>6</v>
      </c>
      <c r="X113" s="54">
        <v>5</v>
      </c>
      <c r="Y113" s="54">
        <v>8</v>
      </c>
      <c r="Z113" s="54">
        <v>5</v>
      </c>
      <c r="AA113" s="54">
        <v>8</v>
      </c>
      <c r="AB113" s="54">
        <v>7</v>
      </c>
      <c r="AC113" s="54">
        <v>1</v>
      </c>
      <c r="AD113" s="54">
        <v>5</v>
      </c>
      <c r="AE113" s="54">
        <v>2</v>
      </c>
      <c r="AF113" s="54">
        <v>6</v>
      </c>
      <c r="AG113" s="5">
        <f t="shared" si="17"/>
        <v>171</v>
      </c>
    </row>
    <row r="114" spans="1:37" ht="15.75" customHeight="1" x14ac:dyDescent="0.25">
      <c r="A114" s="78" t="s">
        <v>62</v>
      </c>
      <c r="B114" s="54">
        <v>5</v>
      </c>
      <c r="C114" s="54">
        <v>8</v>
      </c>
      <c r="D114" s="54">
        <v>3</v>
      </c>
      <c r="E114" s="54">
        <v>8</v>
      </c>
      <c r="F114" s="54">
        <v>3</v>
      </c>
      <c r="G114" s="54">
        <v>11</v>
      </c>
      <c r="H114" s="54">
        <v>12</v>
      </c>
      <c r="I114" s="54">
        <v>8</v>
      </c>
      <c r="J114" s="54">
        <v>7</v>
      </c>
      <c r="K114" s="54">
        <v>8</v>
      </c>
      <c r="L114" s="54">
        <v>10</v>
      </c>
      <c r="M114" s="54">
        <v>16</v>
      </c>
      <c r="N114" s="54">
        <v>15</v>
      </c>
      <c r="O114" s="54">
        <v>9</v>
      </c>
      <c r="P114" s="54">
        <v>6</v>
      </c>
      <c r="Q114" s="54">
        <v>11</v>
      </c>
      <c r="R114" s="54">
        <v>8</v>
      </c>
      <c r="S114" s="54">
        <v>8</v>
      </c>
      <c r="T114" s="54">
        <v>4</v>
      </c>
      <c r="U114" s="54">
        <v>13</v>
      </c>
      <c r="V114" s="54">
        <v>6</v>
      </c>
      <c r="W114" s="54">
        <v>9</v>
      </c>
      <c r="X114" s="54">
        <v>7</v>
      </c>
      <c r="Y114" s="54">
        <v>4</v>
      </c>
      <c r="Z114" s="54">
        <v>8</v>
      </c>
      <c r="AA114" s="54">
        <v>2</v>
      </c>
      <c r="AB114" s="54">
        <v>9</v>
      </c>
      <c r="AC114" s="54">
        <v>9</v>
      </c>
      <c r="AD114" s="54">
        <v>4</v>
      </c>
      <c r="AE114" s="54">
        <v>5</v>
      </c>
      <c r="AF114" s="54">
        <v>6</v>
      </c>
      <c r="AG114" s="5">
        <f t="shared" si="17"/>
        <v>242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29</v>
      </c>
      <c r="C116" s="20">
        <f t="shared" si="19"/>
        <v>29</v>
      </c>
      <c r="D116" s="20">
        <f t="shared" si="19"/>
        <v>26</v>
      </c>
      <c r="E116" s="20">
        <f t="shared" si="19"/>
        <v>28</v>
      </c>
      <c r="F116" s="20">
        <f t="shared" si="19"/>
        <v>32</v>
      </c>
      <c r="G116" s="20">
        <f t="shared" si="19"/>
        <v>44</v>
      </c>
      <c r="H116" s="20">
        <f t="shared" si="19"/>
        <v>37</v>
      </c>
      <c r="I116" s="20">
        <f t="shared" si="19"/>
        <v>23</v>
      </c>
      <c r="J116" s="20">
        <f t="shared" si="19"/>
        <v>21</v>
      </c>
      <c r="K116" s="20">
        <f t="shared" si="19"/>
        <v>25</v>
      </c>
      <c r="L116" s="20">
        <f t="shared" si="19"/>
        <v>29</v>
      </c>
      <c r="M116" s="20">
        <f t="shared" si="19"/>
        <v>46</v>
      </c>
      <c r="N116" s="20">
        <f t="shared" si="19"/>
        <v>42</v>
      </c>
      <c r="O116" s="20">
        <f t="shared" si="19"/>
        <v>52</v>
      </c>
      <c r="P116" s="20">
        <f t="shared" si="19"/>
        <v>29</v>
      </c>
      <c r="Q116" s="20">
        <f t="shared" si="19"/>
        <v>55</v>
      </c>
      <c r="R116" s="20">
        <f t="shared" si="19"/>
        <v>31</v>
      </c>
      <c r="S116" s="20">
        <f t="shared" si="19"/>
        <v>28</v>
      </c>
      <c r="T116" s="20">
        <f t="shared" si="19"/>
        <v>38</v>
      </c>
      <c r="U116" s="20">
        <f t="shared" si="19"/>
        <v>36</v>
      </c>
      <c r="V116" s="20">
        <f t="shared" si="19"/>
        <v>41</v>
      </c>
      <c r="W116" s="20">
        <f t="shared" si="19"/>
        <v>34</v>
      </c>
      <c r="X116" s="20">
        <f t="shared" si="19"/>
        <v>37</v>
      </c>
      <c r="Y116" s="20">
        <f t="shared" si="19"/>
        <v>31</v>
      </c>
      <c r="Z116" s="20">
        <f t="shared" si="19"/>
        <v>27</v>
      </c>
      <c r="AA116" s="20">
        <f t="shared" si="19"/>
        <v>46</v>
      </c>
      <c r="AB116" s="20">
        <f t="shared" si="19"/>
        <v>32</v>
      </c>
      <c r="AC116" s="20">
        <f t="shared" si="19"/>
        <v>39</v>
      </c>
      <c r="AD116" s="20">
        <f t="shared" si="19"/>
        <v>34</v>
      </c>
      <c r="AE116" s="20">
        <f t="shared" si="19"/>
        <v>30</v>
      </c>
      <c r="AF116" s="20">
        <f t="shared" si="19"/>
        <v>23</v>
      </c>
      <c r="AG116" s="5">
        <f t="shared" si="17"/>
        <v>1054</v>
      </c>
      <c r="AK116" s="84">
        <v>612</v>
      </c>
    </row>
    <row r="117" spans="1:37" ht="15.75" customHeight="1" x14ac:dyDescent="0.25">
      <c r="A117" s="85" t="s">
        <v>64</v>
      </c>
      <c r="B117" s="54">
        <v>22</v>
      </c>
      <c r="C117" s="54">
        <v>23</v>
      </c>
      <c r="D117" s="54">
        <v>23</v>
      </c>
      <c r="E117" s="54">
        <v>22</v>
      </c>
      <c r="F117" s="54">
        <v>24</v>
      </c>
      <c r="G117" s="54">
        <v>37</v>
      </c>
      <c r="H117" s="54">
        <v>33</v>
      </c>
      <c r="I117" s="54">
        <v>16</v>
      </c>
      <c r="J117" s="54">
        <v>18</v>
      </c>
      <c r="K117" s="54">
        <v>22</v>
      </c>
      <c r="L117" s="54">
        <v>25</v>
      </c>
      <c r="M117" s="54">
        <v>36</v>
      </c>
      <c r="N117" s="54">
        <v>30</v>
      </c>
      <c r="O117" s="54">
        <v>40</v>
      </c>
      <c r="P117" s="54">
        <v>23</v>
      </c>
      <c r="Q117" s="54">
        <v>48</v>
      </c>
      <c r="R117" s="54">
        <v>26</v>
      </c>
      <c r="S117" s="54">
        <v>22</v>
      </c>
      <c r="T117" s="54">
        <v>33</v>
      </c>
      <c r="U117" s="54">
        <v>28</v>
      </c>
      <c r="V117" s="54">
        <v>28</v>
      </c>
      <c r="W117" s="54">
        <v>28</v>
      </c>
      <c r="X117" s="54">
        <v>32</v>
      </c>
      <c r="Y117" s="54">
        <v>28</v>
      </c>
      <c r="Z117" s="54">
        <v>24</v>
      </c>
      <c r="AA117" s="54">
        <v>41</v>
      </c>
      <c r="AB117" s="54">
        <v>29</v>
      </c>
      <c r="AC117" s="54">
        <v>33</v>
      </c>
      <c r="AD117" s="54">
        <v>32</v>
      </c>
      <c r="AE117" s="54">
        <v>23</v>
      </c>
      <c r="AF117" s="54">
        <v>19</v>
      </c>
      <c r="AG117" s="5">
        <f t="shared" si="17"/>
        <v>868</v>
      </c>
      <c r="AK117" s="84">
        <v>613</v>
      </c>
    </row>
    <row r="118" spans="1:37" ht="15.75" customHeight="1" thickBot="1" x14ac:dyDescent="0.3">
      <c r="A118" s="86" t="s">
        <v>76</v>
      </c>
      <c r="B118" s="87">
        <v>7</v>
      </c>
      <c r="C118" s="87">
        <v>6</v>
      </c>
      <c r="D118" s="87">
        <v>3</v>
      </c>
      <c r="E118" s="87">
        <v>6</v>
      </c>
      <c r="F118" s="87">
        <v>8</v>
      </c>
      <c r="G118" s="87">
        <v>7</v>
      </c>
      <c r="H118" s="87">
        <v>4</v>
      </c>
      <c r="I118" s="87">
        <v>7</v>
      </c>
      <c r="J118" s="87">
        <v>3</v>
      </c>
      <c r="K118" s="87">
        <v>3</v>
      </c>
      <c r="L118" s="87">
        <v>4</v>
      </c>
      <c r="M118" s="87">
        <v>10</v>
      </c>
      <c r="N118" s="87">
        <v>12</v>
      </c>
      <c r="O118" s="87">
        <v>12</v>
      </c>
      <c r="P118" s="87">
        <v>6</v>
      </c>
      <c r="Q118" s="87">
        <v>7</v>
      </c>
      <c r="R118" s="87">
        <v>5</v>
      </c>
      <c r="S118" s="87">
        <v>6</v>
      </c>
      <c r="T118" s="87">
        <v>5</v>
      </c>
      <c r="U118" s="87">
        <v>8</v>
      </c>
      <c r="V118" s="87">
        <v>13</v>
      </c>
      <c r="W118" s="87">
        <v>6</v>
      </c>
      <c r="X118" s="87">
        <v>5</v>
      </c>
      <c r="Y118" s="87">
        <v>3</v>
      </c>
      <c r="Z118" s="87">
        <v>3</v>
      </c>
      <c r="AA118" s="87">
        <v>5</v>
      </c>
      <c r="AB118" s="87">
        <v>3</v>
      </c>
      <c r="AC118" s="87">
        <v>6</v>
      </c>
      <c r="AD118" s="87">
        <v>2</v>
      </c>
      <c r="AE118" s="87">
        <v>7</v>
      </c>
      <c r="AF118" s="87">
        <v>4</v>
      </c>
      <c r="AG118" s="5">
        <f t="shared" si="17"/>
        <v>186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109</v>
      </c>
      <c r="C119" s="20">
        <f t="shared" si="20"/>
        <v>107</v>
      </c>
      <c r="D119" s="20">
        <f t="shared" si="20"/>
        <v>111</v>
      </c>
      <c r="E119" s="20">
        <f t="shared" si="20"/>
        <v>93</v>
      </c>
      <c r="F119" s="20">
        <f t="shared" si="20"/>
        <v>140</v>
      </c>
      <c r="G119" s="20">
        <f t="shared" si="20"/>
        <v>144</v>
      </c>
      <c r="H119" s="20">
        <f t="shared" si="20"/>
        <v>126</v>
      </c>
      <c r="I119" s="20">
        <f t="shared" si="20"/>
        <v>107</v>
      </c>
      <c r="J119" s="20">
        <f t="shared" si="20"/>
        <v>117</v>
      </c>
      <c r="K119" s="20">
        <f t="shared" si="20"/>
        <v>97</v>
      </c>
      <c r="L119" s="20">
        <f t="shared" si="20"/>
        <v>115</v>
      </c>
      <c r="M119" s="20">
        <f t="shared" si="20"/>
        <v>164</v>
      </c>
      <c r="N119" s="20">
        <f t="shared" si="20"/>
        <v>152</v>
      </c>
      <c r="O119" s="20">
        <f t="shared" si="20"/>
        <v>113</v>
      </c>
      <c r="P119" s="20">
        <f t="shared" si="20"/>
        <v>98</v>
      </c>
      <c r="Q119" s="20">
        <f t="shared" si="20"/>
        <v>174</v>
      </c>
      <c r="R119" s="20">
        <f t="shared" si="20"/>
        <v>117</v>
      </c>
      <c r="S119" s="20">
        <f t="shared" si="20"/>
        <v>113</v>
      </c>
      <c r="T119" s="20">
        <f t="shared" si="20"/>
        <v>156</v>
      </c>
      <c r="U119" s="20">
        <f t="shared" si="20"/>
        <v>158</v>
      </c>
      <c r="V119" s="20">
        <f t="shared" si="20"/>
        <v>138</v>
      </c>
      <c r="W119" s="20">
        <f t="shared" si="20"/>
        <v>116</v>
      </c>
      <c r="X119" s="20">
        <f t="shared" si="20"/>
        <v>126</v>
      </c>
      <c r="Y119" s="20">
        <f t="shared" si="20"/>
        <v>102</v>
      </c>
      <c r="Z119" s="20">
        <f t="shared" si="20"/>
        <v>96</v>
      </c>
      <c r="AA119" s="20">
        <f t="shared" si="20"/>
        <v>171</v>
      </c>
      <c r="AB119" s="20">
        <f t="shared" si="20"/>
        <v>142</v>
      </c>
      <c r="AC119" s="20">
        <f t="shared" si="20"/>
        <v>122</v>
      </c>
      <c r="AD119" s="20">
        <f t="shared" si="20"/>
        <v>120</v>
      </c>
      <c r="AE119" s="20">
        <f t="shared" si="20"/>
        <v>105</v>
      </c>
      <c r="AF119" s="20">
        <f t="shared" si="20"/>
        <v>104</v>
      </c>
      <c r="AG119" s="7">
        <f t="shared" si="17"/>
        <v>3853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21</v>
      </c>
      <c r="C120" s="54">
        <v>23</v>
      </c>
      <c r="D120" s="54">
        <v>23</v>
      </c>
      <c r="E120" s="54">
        <v>22</v>
      </c>
      <c r="F120" s="54">
        <v>23</v>
      </c>
      <c r="G120" s="54">
        <v>37</v>
      </c>
      <c r="H120" s="54">
        <v>32</v>
      </c>
      <c r="I120" s="54">
        <v>15</v>
      </c>
      <c r="J120" s="54">
        <v>18</v>
      </c>
      <c r="K120" s="54">
        <v>22</v>
      </c>
      <c r="L120" s="54">
        <v>24</v>
      </c>
      <c r="M120" s="54">
        <v>36</v>
      </c>
      <c r="N120" s="54">
        <v>28</v>
      </c>
      <c r="O120" s="54">
        <v>37</v>
      </c>
      <c r="P120" s="54">
        <v>21</v>
      </c>
      <c r="Q120" s="54">
        <v>48</v>
      </c>
      <c r="R120" s="54">
        <v>24</v>
      </c>
      <c r="S120" s="54">
        <v>22</v>
      </c>
      <c r="T120" s="54">
        <v>32</v>
      </c>
      <c r="U120" s="54">
        <v>28</v>
      </c>
      <c r="V120" s="54">
        <v>27</v>
      </c>
      <c r="W120" s="54">
        <v>24</v>
      </c>
      <c r="X120" s="54">
        <v>31</v>
      </c>
      <c r="Y120" s="54">
        <v>28</v>
      </c>
      <c r="Z120" s="54">
        <v>23</v>
      </c>
      <c r="AA120" s="54">
        <v>39</v>
      </c>
      <c r="AB120" s="54">
        <v>28</v>
      </c>
      <c r="AC120" s="54">
        <v>32</v>
      </c>
      <c r="AD120" s="54">
        <v>29</v>
      </c>
      <c r="AE120" s="54">
        <v>22</v>
      </c>
      <c r="AF120" s="54">
        <v>18</v>
      </c>
      <c r="AG120" s="5">
        <f t="shared" si="17"/>
        <v>837</v>
      </c>
      <c r="AK120" s="88" t="s">
        <v>130</v>
      </c>
    </row>
    <row r="121" spans="1:37" ht="15.75" customHeight="1" x14ac:dyDescent="0.25">
      <c r="A121" s="85" t="s">
        <v>65</v>
      </c>
      <c r="B121" s="54">
        <v>3</v>
      </c>
      <c r="C121" s="54">
        <v>7</v>
      </c>
      <c r="D121" s="54">
        <v>2</v>
      </c>
      <c r="E121" s="54">
        <v>4</v>
      </c>
      <c r="F121" s="54">
        <v>2</v>
      </c>
      <c r="G121" s="54">
        <v>5</v>
      </c>
      <c r="H121" s="54">
        <v>4</v>
      </c>
      <c r="I121" s="54">
        <v>5</v>
      </c>
      <c r="J121" s="54">
        <v>5</v>
      </c>
      <c r="K121" s="54">
        <v>3</v>
      </c>
      <c r="L121" s="54">
        <v>3</v>
      </c>
      <c r="M121" s="54">
        <v>5</v>
      </c>
      <c r="N121" s="54">
        <v>3</v>
      </c>
      <c r="O121" s="54">
        <v>6</v>
      </c>
      <c r="P121" s="54">
        <v>1</v>
      </c>
      <c r="Q121" s="54">
        <v>1</v>
      </c>
      <c r="R121" s="54">
        <v>3</v>
      </c>
      <c r="S121" s="54">
        <v>2</v>
      </c>
      <c r="T121" s="54">
        <v>3</v>
      </c>
      <c r="U121" s="54">
        <v>1</v>
      </c>
      <c r="V121" s="54">
        <v>2</v>
      </c>
      <c r="W121" s="54">
        <v>1</v>
      </c>
      <c r="X121" s="54">
        <v>3</v>
      </c>
      <c r="Y121" s="54">
        <v>0</v>
      </c>
      <c r="Z121" s="54">
        <v>0</v>
      </c>
      <c r="AA121" s="54">
        <v>4</v>
      </c>
      <c r="AB121" s="54">
        <v>1</v>
      </c>
      <c r="AC121" s="54">
        <v>7</v>
      </c>
      <c r="AD121" s="54">
        <v>1</v>
      </c>
      <c r="AE121" s="54">
        <v>0</v>
      </c>
      <c r="AF121" s="54">
        <v>5</v>
      </c>
      <c r="AG121" s="5">
        <f t="shared" si="17"/>
        <v>92</v>
      </c>
      <c r="AK121" s="84" t="s">
        <v>131</v>
      </c>
    </row>
    <row r="122" spans="1:37" ht="15.75" customHeight="1" x14ac:dyDescent="0.25">
      <c r="A122" s="85" t="s">
        <v>66</v>
      </c>
      <c r="B122" s="54">
        <v>5</v>
      </c>
      <c r="C122" s="54">
        <v>6</v>
      </c>
      <c r="D122" s="54">
        <v>7</v>
      </c>
      <c r="E122" s="54">
        <v>8</v>
      </c>
      <c r="F122" s="54">
        <v>12</v>
      </c>
      <c r="G122" s="54">
        <v>9</v>
      </c>
      <c r="H122" s="54">
        <v>7</v>
      </c>
      <c r="I122" s="54">
        <v>7</v>
      </c>
      <c r="J122" s="54">
        <v>9</v>
      </c>
      <c r="K122" s="54">
        <v>4</v>
      </c>
      <c r="L122" s="54">
        <v>5</v>
      </c>
      <c r="M122" s="54">
        <v>6</v>
      </c>
      <c r="N122" s="54">
        <v>3</v>
      </c>
      <c r="O122" s="54">
        <v>6</v>
      </c>
      <c r="P122" s="54">
        <v>3</v>
      </c>
      <c r="Q122" s="54">
        <v>8</v>
      </c>
      <c r="R122" s="54">
        <v>4</v>
      </c>
      <c r="S122" s="54">
        <v>5</v>
      </c>
      <c r="T122" s="54">
        <v>10</v>
      </c>
      <c r="U122" s="54">
        <v>3</v>
      </c>
      <c r="V122" s="54">
        <v>11</v>
      </c>
      <c r="W122" s="54">
        <v>7</v>
      </c>
      <c r="X122" s="54">
        <v>6</v>
      </c>
      <c r="Y122" s="54">
        <v>3</v>
      </c>
      <c r="Z122" s="54">
        <v>6</v>
      </c>
      <c r="AA122" s="54">
        <v>11</v>
      </c>
      <c r="AB122" s="54">
        <v>7</v>
      </c>
      <c r="AC122" s="54">
        <v>6</v>
      </c>
      <c r="AD122" s="54">
        <v>8</v>
      </c>
      <c r="AE122" s="54">
        <v>5</v>
      </c>
      <c r="AF122" s="54">
        <v>6</v>
      </c>
      <c r="AG122" s="5">
        <f t="shared" si="17"/>
        <v>203</v>
      </c>
      <c r="AK122" s="88" t="s">
        <v>132</v>
      </c>
    </row>
    <row r="123" spans="1:37" ht="15.75" customHeight="1" x14ac:dyDescent="0.25">
      <c r="A123" s="85" t="s">
        <v>67</v>
      </c>
      <c r="B123" s="54">
        <v>1</v>
      </c>
      <c r="C123" s="54">
        <v>7</v>
      </c>
      <c r="D123" s="54">
        <v>4</v>
      </c>
      <c r="E123" s="54">
        <v>3</v>
      </c>
      <c r="F123" s="54">
        <v>7</v>
      </c>
      <c r="G123" s="54">
        <v>6</v>
      </c>
      <c r="H123" s="54">
        <v>4</v>
      </c>
      <c r="I123" s="54">
        <v>6</v>
      </c>
      <c r="J123" s="54">
        <v>2</v>
      </c>
      <c r="K123" s="54">
        <v>8</v>
      </c>
      <c r="L123" s="54">
        <v>8</v>
      </c>
      <c r="M123" s="54">
        <v>11</v>
      </c>
      <c r="N123" s="54">
        <v>13</v>
      </c>
      <c r="O123" s="54">
        <v>2</v>
      </c>
      <c r="P123" s="54">
        <v>5</v>
      </c>
      <c r="Q123" s="54">
        <v>4</v>
      </c>
      <c r="R123" s="54">
        <v>5</v>
      </c>
      <c r="S123" s="54">
        <v>5</v>
      </c>
      <c r="T123" s="54">
        <v>5</v>
      </c>
      <c r="U123" s="54">
        <v>5</v>
      </c>
      <c r="V123" s="54">
        <v>4</v>
      </c>
      <c r="W123" s="54">
        <v>4</v>
      </c>
      <c r="X123" s="54">
        <v>9</v>
      </c>
      <c r="Y123" s="54">
        <v>5</v>
      </c>
      <c r="Z123" s="54">
        <v>3</v>
      </c>
      <c r="AA123" s="54">
        <v>10</v>
      </c>
      <c r="AB123" s="54">
        <v>5</v>
      </c>
      <c r="AC123" s="54">
        <v>2</v>
      </c>
      <c r="AD123" s="54">
        <v>5</v>
      </c>
      <c r="AE123" s="54">
        <v>2</v>
      </c>
      <c r="AF123" s="54">
        <v>3</v>
      </c>
      <c r="AG123" s="5">
        <f t="shared" si="17"/>
        <v>163</v>
      </c>
      <c r="AK123" s="84" t="s">
        <v>133</v>
      </c>
    </row>
    <row r="124" spans="1:37" ht="15.75" customHeight="1" x14ac:dyDescent="0.25">
      <c r="A124" s="85" t="s">
        <v>68</v>
      </c>
      <c r="B124" s="54">
        <v>6</v>
      </c>
      <c r="C124" s="54">
        <v>3</v>
      </c>
      <c r="D124" s="54">
        <v>7</v>
      </c>
      <c r="E124" s="54">
        <v>5</v>
      </c>
      <c r="F124" s="54">
        <v>7</v>
      </c>
      <c r="G124" s="54">
        <v>15</v>
      </c>
      <c r="H124" s="54">
        <v>10</v>
      </c>
      <c r="I124" s="54">
        <v>3</v>
      </c>
      <c r="J124" s="54">
        <v>11</v>
      </c>
      <c r="K124" s="54">
        <v>7</v>
      </c>
      <c r="L124" s="54">
        <v>6</v>
      </c>
      <c r="M124" s="54">
        <v>5</v>
      </c>
      <c r="N124" s="54">
        <v>6</v>
      </c>
      <c r="O124" s="54">
        <v>9</v>
      </c>
      <c r="P124" s="54">
        <v>7</v>
      </c>
      <c r="Q124" s="54">
        <v>6</v>
      </c>
      <c r="R124" s="54">
        <v>8</v>
      </c>
      <c r="S124" s="54">
        <v>6</v>
      </c>
      <c r="T124" s="54">
        <v>14</v>
      </c>
      <c r="U124" s="54">
        <v>5</v>
      </c>
      <c r="V124" s="54">
        <v>9</v>
      </c>
      <c r="W124" s="54">
        <v>6</v>
      </c>
      <c r="X124" s="54">
        <v>11</v>
      </c>
      <c r="Y124" s="54">
        <v>2</v>
      </c>
      <c r="Z124" s="54">
        <v>9</v>
      </c>
      <c r="AA124" s="54">
        <v>11</v>
      </c>
      <c r="AB124" s="54">
        <v>13</v>
      </c>
      <c r="AC124" s="54">
        <v>6</v>
      </c>
      <c r="AD124" s="54">
        <v>4</v>
      </c>
      <c r="AE124" s="54">
        <v>8</v>
      </c>
      <c r="AF124" s="54">
        <v>9</v>
      </c>
      <c r="AG124" s="5">
        <f t="shared" si="17"/>
        <v>234</v>
      </c>
      <c r="AK124" s="88" t="s">
        <v>134</v>
      </c>
    </row>
    <row r="125" spans="1:37" ht="15.75" customHeight="1" x14ac:dyDescent="0.25">
      <c r="A125" s="85" t="s">
        <v>69</v>
      </c>
      <c r="B125" s="54">
        <v>52</v>
      </c>
      <c r="C125" s="54">
        <v>43</v>
      </c>
      <c r="D125" s="54">
        <v>49</v>
      </c>
      <c r="E125" s="54">
        <v>41</v>
      </c>
      <c r="F125" s="54">
        <v>71</v>
      </c>
      <c r="G125" s="54">
        <v>51</v>
      </c>
      <c r="H125" s="54">
        <v>52</v>
      </c>
      <c r="I125" s="54">
        <v>55</v>
      </c>
      <c r="J125" s="54">
        <v>57</v>
      </c>
      <c r="K125" s="54">
        <v>40</v>
      </c>
      <c r="L125" s="54">
        <v>58</v>
      </c>
      <c r="M125" s="54">
        <v>83</v>
      </c>
      <c r="N125" s="54">
        <v>82</v>
      </c>
      <c r="O125" s="54">
        <v>37</v>
      </c>
      <c r="P125" s="54">
        <v>50</v>
      </c>
      <c r="Q125" s="54">
        <v>88</v>
      </c>
      <c r="R125" s="54">
        <v>60</v>
      </c>
      <c r="S125" s="54">
        <v>58</v>
      </c>
      <c r="T125" s="54">
        <v>74</v>
      </c>
      <c r="U125" s="54">
        <v>97</v>
      </c>
      <c r="V125" s="54">
        <v>62</v>
      </c>
      <c r="W125" s="54">
        <v>63</v>
      </c>
      <c r="X125" s="54">
        <v>54</v>
      </c>
      <c r="Y125" s="54">
        <v>53</v>
      </c>
      <c r="Z125" s="54">
        <v>43</v>
      </c>
      <c r="AA125" s="54">
        <v>79</v>
      </c>
      <c r="AB125" s="54">
        <v>72</v>
      </c>
      <c r="AC125" s="54">
        <v>53</v>
      </c>
      <c r="AD125" s="54">
        <v>64</v>
      </c>
      <c r="AE125" s="54">
        <v>51</v>
      </c>
      <c r="AF125" s="54">
        <v>51</v>
      </c>
      <c r="AG125" s="5">
        <f t="shared" si="17"/>
        <v>1843</v>
      </c>
      <c r="AK125" s="88" t="s">
        <v>135</v>
      </c>
    </row>
    <row r="126" spans="1:37" ht="15.75" customHeight="1" x14ac:dyDescent="0.25">
      <c r="A126" s="85" t="s">
        <v>70</v>
      </c>
      <c r="B126" s="54">
        <v>2</v>
      </c>
      <c r="C126" s="54">
        <v>1</v>
      </c>
      <c r="D126" s="54">
        <v>2</v>
      </c>
      <c r="E126" s="54">
        <v>0</v>
      </c>
      <c r="F126" s="54">
        <v>2</v>
      </c>
      <c r="G126" s="54">
        <v>2</v>
      </c>
      <c r="H126" s="54">
        <v>4</v>
      </c>
      <c r="I126" s="54">
        <v>2</v>
      </c>
      <c r="J126" s="54">
        <v>6</v>
      </c>
      <c r="K126" s="54">
        <v>2</v>
      </c>
      <c r="L126" s="54">
        <v>0</v>
      </c>
      <c r="M126" s="54">
        <v>1</v>
      </c>
      <c r="N126" s="54">
        <v>1</v>
      </c>
      <c r="O126" s="54">
        <v>0</v>
      </c>
      <c r="P126" s="54">
        <v>0</v>
      </c>
      <c r="Q126" s="54">
        <v>3</v>
      </c>
      <c r="R126" s="54">
        <v>3</v>
      </c>
      <c r="S126" s="54">
        <v>1</v>
      </c>
      <c r="T126" s="54">
        <v>2</v>
      </c>
      <c r="U126" s="54">
        <v>4</v>
      </c>
      <c r="V126" s="54">
        <v>1</v>
      </c>
      <c r="W126" s="54">
        <v>2</v>
      </c>
      <c r="X126" s="54">
        <v>2</v>
      </c>
      <c r="Y126" s="54">
        <v>2</v>
      </c>
      <c r="Z126" s="54">
        <v>1</v>
      </c>
      <c r="AA126" s="54">
        <v>3</v>
      </c>
      <c r="AB126" s="54">
        <v>2</v>
      </c>
      <c r="AC126" s="54">
        <v>2</v>
      </c>
      <c r="AD126" s="54">
        <v>1</v>
      </c>
      <c r="AE126" s="54">
        <v>1</v>
      </c>
      <c r="AF126" s="54">
        <v>1</v>
      </c>
      <c r="AG126" s="5">
        <f t="shared" si="17"/>
        <v>56</v>
      </c>
      <c r="AK126" s="84" t="s">
        <v>136</v>
      </c>
    </row>
    <row r="127" spans="1:37" ht="15.75" customHeight="1" x14ac:dyDescent="0.25">
      <c r="A127" s="85" t="s">
        <v>71</v>
      </c>
      <c r="B127" s="54">
        <v>2</v>
      </c>
      <c r="C127" s="54">
        <v>3</v>
      </c>
      <c r="D127" s="54">
        <v>3</v>
      </c>
      <c r="E127" s="54">
        <v>0</v>
      </c>
      <c r="F127" s="54">
        <v>0</v>
      </c>
      <c r="G127" s="54">
        <v>2</v>
      </c>
      <c r="H127" s="54">
        <v>0</v>
      </c>
      <c r="I127" s="54">
        <v>0</v>
      </c>
      <c r="J127" s="54">
        <v>0</v>
      </c>
      <c r="K127" s="54">
        <v>2</v>
      </c>
      <c r="L127" s="54">
        <v>0</v>
      </c>
      <c r="M127" s="54">
        <v>0</v>
      </c>
      <c r="N127" s="54">
        <v>1</v>
      </c>
      <c r="O127" s="54">
        <v>0</v>
      </c>
      <c r="P127" s="54">
        <v>1</v>
      </c>
      <c r="Q127" s="54">
        <v>2</v>
      </c>
      <c r="R127" s="54">
        <v>2</v>
      </c>
      <c r="S127" s="54">
        <v>0</v>
      </c>
      <c r="T127" s="54">
        <v>3</v>
      </c>
      <c r="U127" s="54">
        <v>1</v>
      </c>
      <c r="V127" s="54">
        <v>1</v>
      </c>
      <c r="W127" s="54">
        <v>1</v>
      </c>
      <c r="X127" s="54">
        <v>1</v>
      </c>
      <c r="Y127" s="54">
        <v>1</v>
      </c>
      <c r="Z127" s="54">
        <v>1</v>
      </c>
      <c r="AA127" s="54">
        <v>2</v>
      </c>
      <c r="AB127" s="54">
        <v>1</v>
      </c>
      <c r="AC127" s="54">
        <v>0</v>
      </c>
      <c r="AD127" s="54">
        <v>0</v>
      </c>
      <c r="AE127" s="54">
        <v>1</v>
      </c>
      <c r="AF127" s="54">
        <v>2</v>
      </c>
      <c r="AG127" s="5">
        <f t="shared" si="17"/>
        <v>33</v>
      </c>
      <c r="AK127" s="88" t="s">
        <v>137</v>
      </c>
    </row>
    <row r="128" spans="1:37" ht="15.75" customHeight="1" x14ac:dyDescent="0.25">
      <c r="A128" s="56" t="s">
        <v>72</v>
      </c>
      <c r="B128" s="54">
        <v>4</v>
      </c>
      <c r="C128" s="54">
        <v>2</v>
      </c>
      <c r="D128" s="54">
        <v>3</v>
      </c>
      <c r="E128" s="54">
        <v>1</v>
      </c>
      <c r="F128" s="54">
        <v>2</v>
      </c>
      <c r="G128" s="54">
        <v>6</v>
      </c>
      <c r="H128" s="54">
        <v>2</v>
      </c>
      <c r="I128" s="54">
        <v>3</v>
      </c>
      <c r="J128" s="54">
        <v>1</v>
      </c>
      <c r="K128" s="54">
        <v>2</v>
      </c>
      <c r="L128" s="54">
        <v>2</v>
      </c>
      <c r="M128" s="54">
        <v>0</v>
      </c>
      <c r="N128" s="54">
        <v>1</v>
      </c>
      <c r="O128" s="54">
        <v>0</v>
      </c>
      <c r="P128" s="54">
        <v>1</v>
      </c>
      <c r="Q128" s="54">
        <v>2</v>
      </c>
      <c r="R128" s="54">
        <v>3</v>
      </c>
      <c r="S128" s="54">
        <v>4</v>
      </c>
      <c r="T128" s="54">
        <v>0</v>
      </c>
      <c r="U128" s="54">
        <v>2</v>
      </c>
      <c r="V128" s="54">
        <v>1</v>
      </c>
      <c r="W128" s="54">
        <v>0</v>
      </c>
      <c r="X128" s="54">
        <v>1</v>
      </c>
      <c r="Y128" s="54">
        <v>1</v>
      </c>
      <c r="Z128" s="54">
        <v>1</v>
      </c>
      <c r="AA128" s="54">
        <v>2</v>
      </c>
      <c r="AB128" s="54">
        <v>1</v>
      </c>
      <c r="AC128" s="54">
        <v>2</v>
      </c>
      <c r="AD128" s="54">
        <v>3</v>
      </c>
      <c r="AE128" s="54">
        <v>1</v>
      </c>
      <c r="AF128" s="54">
        <v>2</v>
      </c>
      <c r="AG128" s="5">
        <f t="shared" si="17"/>
        <v>56</v>
      </c>
      <c r="AK128" s="88" t="s">
        <v>138</v>
      </c>
    </row>
    <row r="129" spans="1:37" ht="15.75" customHeight="1" x14ac:dyDescent="0.25">
      <c r="A129" s="56" t="s">
        <v>73</v>
      </c>
      <c r="B129" s="54">
        <v>1</v>
      </c>
      <c r="C129" s="54">
        <v>0</v>
      </c>
      <c r="D129" s="54">
        <v>0</v>
      </c>
      <c r="E129" s="54">
        <v>1</v>
      </c>
      <c r="F129" s="54">
        <v>2</v>
      </c>
      <c r="G129" s="54">
        <v>0</v>
      </c>
      <c r="H129" s="54">
        <v>1</v>
      </c>
      <c r="I129" s="54">
        <v>1</v>
      </c>
      <c r="J129" s="54">
        <v>2</v>
      </c>
      <c r="K129" s="54">
        <v>0</v>
      </c>
      <c r="L129" s="54">
        <v>2</v>
      </c>
      <c r="M129" s="54">
        <v>2</v>
      </c>
      <c r="N129" s="54">
        <v>0</v>
      </c>
      <c r="O129" s="54">
        <v>1</v>
      </c>
      <c r="P129" s="54">
        <v>2</v>
      </c>
      <c r="Q129" s="54">
        <v>0</v>
      </c>
      <c r="R129" s="54">
        <v>0</v>
      </c>
      <c r="S129" s="54">
        <v>0</v>
      </c>
      <c r="T129" s="54">
        <v>0</v>
      </c>
      <c r="U129" s="54">
        <v>1</v>
      </c>
      <c r="V129" s="54">
        <v>0</v>
      </c>
      <c r="W129" s="54">
        <v>0</v>
      </c>
      <c r="X129" s="54">
        <v>1</v>
      </c>
      <c r="Y129" s="54">
        <v>1</v>
      </c>
      <c r="Z129" s="54">
        <v>0</v>
      </c>
      <c r="AA129" s="54">
        <v>1</v>
      </c>
      <c r="AB129" s="54">
        <v>0</v>
      </c>
      <c r="AC129" s="54">
        <v>1</v>
      </c>
      <c r="AD129" s="54">
        <v>0</v>
      </c>
      <c r="AE129" s="54">
        <v>2</v>
      </c>
      <c r="AF129" s="54">
        <v>0</v>
      </c>
      <c r="AG129" s="5">
        <f t="shared" si="17"/>
        <v>22</v>
      </c>
      <c r="AK129" s="84" t="s">
        <v>139</v>
      </c>
    </row>
    <row r="130" spans="1:37" ht="15.75" customHeight="1" x14ac:dyDescent="0.25">
      <c r="A130" s="56" t="s">
        <v>74</v>
      </c>
      <c r="B130" s="54">
        <v>1</v>
      </c>
      <c r="C130" s="54">
        <v>1</v>
      </c>
      <c r="D130" s="54">
        <v>1</v>
      </c>
      <c r="E130" s="54">
        <v>0</v>
      </c>
      <c r="F130" s="54">
        <v>0</v>
      </c>
      <c r="G130" s="54">
        <v>0</v>
      </c>
      <c r="H130" s="54">
        <v>0</v>
      </c>
      <c r="I130" s="54">
        <v>0</v>
      </c>
      <c r="J130" s="54">
        <v>1</v>
      </c>
      <c r="K130" s="54">
        <v>1</v>
      </c>
      <c r="L130" s="54">
        <v>0</v>
      </c>
      <c r="M130" s="54">
        <v>0</v>
      </c>
      <c r="N130" s="54">
        <v>0</v>
      </c>
      <c r="O130" s="54">
        <v>0</v>
      </c>
      <c r="P130" s="54">
        <v>0</v>
      </c>
      <c r="Q130" s="54">
        <v>1</v>
      </c>
      <c r="R130" s="54">
        <v>0</v>
      </c>
      <c r="S130" s="54">
        <v>0</v>
      </c>
      <c r="T130" s="54">
        <v>2</v>
      </c>
      <c r="U130" s="54">
        <v>1</v>
      </c>
      <c r="V130" s="54">
        <v>2</v>
      </c>
      <c r="W130" s="54">
        <v>0</v>
      </c>
      <c r="X130" s="54">
        <v>0</v>
      </c>
      <c r="Y130" s="54">
        <v>0</v>
      </c>
      <c r="Z130" s="54">
        <v>0</v>
      </c>
      <c r="AA130" s="54">
        <v>1</v>
      </c>
      <c r="AB130" s="54">
        <v>0</v>
      </c>
      <c r="AC130" s="54">
        <v>0</v>
      </c>
      <c r="AD130" s="54">
        <v>0</v>
      </c>
      <c r="AE130" s="54">
        <v>0</v>
      </c>
      <c r="AF130" s="54">
        <v>0</v>
      </c>
      <c r="AG130" s="5">
        <f t="shared" si="17"/>
        <v>12</v>
      </c>
      <c r="AK130" s="84" t="s">
        <v>140</v>
      </c>
    </row>
    <row r="131" spans="1:37" ht="15.75" customHeight="1" x14ac:dyDescent="0.25">
      <c r="A131" s="85" t="s">
        <v>75</v>
      </c>
      <c r="B131" s="54">
        <v>4</v>
      </c>
      <c r="C131" s="54">
        <v>5</v>
      </c>
      <c r="D131" s="54">
        <v>7</v>
      </c>
      <c r="E131" s="54">
        <v>4</v>
      </c>
      <c r="F131" s="54">
        <v>5</v>
      </c>
      <c r="G131" s="54">
        <v>6</v>
      </c>
      <c r="H131" s="54">
        <v>6</v>
      </c>
      <c r="I131" s="54">
        <v>5</v>
      </c>
      <c r="J131" s="54">
        <v>2</v>
      </c>
      <c r="K131" s="54">
        <v>5</v>
      </c>
      <c r="L131" s="54">
        <v>5</v>
      </c>
      <c r="M131" s="54">
        <v>7</v>
      </c>
      <c r="N131" s="54">
        <v>4</v>
      </c>
      <c r="O131" s="54">
        <v>5</v>
      </c>
      <c r="P131" s="54">
        <v>4</v>
      </c>
      <c r="Q131" s="54">
        <v>3</v>
      </c>
      <c r="R131" s="54">
        <v>0</v>
      </c>
      <c r="S131" s="54">
        <v>6</v>
      </c>
      <c r="T131" s="54">
        <v>7</v>
      </c>
      <c r="U131" s="54">
        <v>2</v>
      </c>
      <c r="V131" s="54">
        <v>7</v>
      </c>
      <c r="W131" s="54">
        <v>2</v>
      </c>
      <c r="X131" s="54">
        <v>2</v>
      </c>
      <c r="Y131" s="54">
        <v>3</v>
      </c>
      <c r="Z131" s="54">
        <v>5</v>
      </c>
      <c r="AA131" s="54">
        <v>4</v>
      </c>
      <c r="AB131" s="54">
        <v>9</v>
      </c>
      <c r="AC131" s="54">
        <v>5</v>
      </c>
      <c r="AD131" s="54">
        <v>4</v>
      </c>
      <c r="AE131" s="54">
        <v>5</v>
      </c>
      <c r="AF131" s="54">
        <v>3</v>
      </c>
      <c r="AG131" s="5">
        <f t="shared" si="17"/>
        <v>141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7</v>
      </c>
      <c r="C132" s="87">
        <v>6</v>
      </c>
      <c r="D132" s="87">
        <v>3</v>
      </c>
      <c r="E132" s="87">
        <v>4</v>
      </c>
      <c r="F132" s="87">
        <v>7</v>
      </c>
      <c r="G132" s="87">
        <v>5</v>
      </c>
      <c r="H132" s="87">
        <v>4</v>
      </c>
      <c r="I132" s="87">
        <v>5</v>
      </c>
      <c r="J132" s="87">
        <v>3</v>
      </c>
      <c r="K132" s="87">
        <v>1</v>
      </c>
      <c r="L132" s="87">
        <v>2</v>
      </c>
      <c r="M132" s="87">
        <v>8</v>
      </c>
      <c r="N132" s="87">
        <v>10</v>
      </c>
      <c r="O132" s="87">
        <v>10</v>
      </c>
      <c r="P132" s="87">
        <v>3</v>
      </c>
      <c r="Q132" s="87">
        <v>8</v>
      </c>
      <c r="R132" s="87">
        <v>5</v>
      </c>
      <c r="S132" s="87">
        <v>4</v>
      </c>
      <c r="T132" s="87">
        <v>4</v>
      </c>
      <c r="U132" s="87">
        <v>8</v>
      </c>
      <c r="V132" s="87">
        <v>11</v>
      </c>
      <c r="W132" s="87">
        <v>6</v>
      </c>
      <c r="X132" s="87">
        <v>5</v>
      </c>
      <c r="Y132" s="87">
        <v>3</v>
      </c>
      <c r="Z132" s="87">
        <v>4</v>
      </c>
      <c r="AA132" s="87">
        <v>4</v>
      </c>
      <c r="AB132" s="87">
        <v>3</v>
      </c>
      <c r="AC132" s="87">
        <v>6</v>
      </c>
      <c r="AD132" s="87">
        <v>1</v>
      </c>
      <c r="AE132" s="87">
        <v>7</v>
      </c>
      <c r="AF132" s="87">
        <v>4</v>
      </c>
      <c r="AG132" s="9">
        <f t="shared" si="17"/>
        <v>161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109</v>
      </c>
      <c r="C133" s="14">
        <f t="shared" si="21"/>
        <v>107</v>
      </c>
      <c r="D133" s="14">
        <f t="shared" si="21"/>
        <v>111</v>
      </c>
      <c r="E133" s="14">
        <f t="shared" si="21"/>
        <v>93</v>
      </c>
      <c r="F133" s="14">
        <f t="shared" si="21"/>
        <v>140</v>
      </c>
      <c r="G133" s="14">
        <f t="shared" si="21"/>
        <v>144</v>
      </c>
      <c r="H133" s="14">
        <f t="shared" si="21"/>
        <v>126</v>
      </c>
      <c r="I133" s="14">
        <f t="shared" si="21"/>
        <v>107</v>
      </c>
      <c r="J133" s="14">
        <f t="shared" si="21"/>
        <v>117</v>
      </c>
      <c r="K133" s="14">
        <f t="shared" si="21"/>
        <v>97</v>
      </c>
      <c r="L133" s="14">
        <f t="shared" si="21"/>
        <v>115</v>
      </c>
      <c r="M133" s="14">
        <f t="shared" si="21"/>
        <v>164</v>
      </c>
      <c r="N133" s="14">
        <f t="shared" si="21"/>
        <v>152</v>
      </c>
      <c r="O133" s="14">
        <f t="shared" si="21"/>
        <v>113</v>
      </c>
      <c r="P133" s="14">
        <f t="shared" si="21"/>
        <v>98</v>
      </c>
      <c r="Q133" s="14">
        <f t="shared" si="21"/>
        <v>174</v>
      </c>
      <c r="R133" s="14">
        <f t="shared" si="21"/>
        <v>117</v>
      </c>
      <c r="S133" s="14">
        <f t="shared" si="21"/>
        <v>113</v>
      </c>
      <c r="T133" s="14">
        <f t="shared" si="21"/>
        <v>156</v>
      </c>
      <c r="U133" s="14">
        <f t="shared" si="21"/>
        <v>158</v>
      </c>
      <c r="V133" s="14">
        <f t="shared" si="21"/>
        <v>138</v>
      </c>
      <c r="W133" s="14">
        <f t="shared" si="21"/>
        <v>116</v>
      </c>
      <c r="X133" s="14">
        <f t="shared" si="21"/>
        <v>126</v>
      </c>
      <c r="Y133" s="14">
        <f t="shared" si="21"/>
        <v>102</v>
      </c>
      <c r="Z133" s="14">
        <f t="shared" si="21"/>
        <v>96</v>
      </c>
      <c r="AA133" s="14">
        <f t="shared" si="21"/>
        <v>171</v>
      </c>
      <c r="AB133" s="14">
        <f t="shared" si="21"/>
        <v>142</v>
      </c>
      <c r="AC133" s="14">
        <f t="shared" si="21"/>
        <v>122</v>
      </c>
      <c r="AD133" s="14">
        <f t="shared" si="21"/>
        <v>120</v>
      </c>
      <c r="AE133" s="14">
        <f t="shared" si="21"/>
        <v>105</v>
      </c>
      <c r="AF133" s="14">
        <f t="shared" si="21"/>
        <v>104</v>
      </c>
      <c r="AG133" s="10">
        <f t="shared" si="17"/>
        <v>3853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6</v>
      </c>
      <c r="C134" s="22">
        <f t="shared" si="22"/>
        <v>6</v>
      </c>
      <c r="D134" s="22">
        <f t="shared" si="22"/>
        <v>1</v>
      </c>
      <c r="E134" s="22">
        <f t="shared" si="22"/>
        <v>8</v>
      </c>
      <c r="F134" s="22">
        <f t="shared" si="22"/>
        <v>3</v>
      </c>
      <c r="G134" s="22">
        <f t="shared" si="22"/>
        <v>3</v>
      </c>
      <c r="H134" s="22">
        <f t="shared" si="22"/>
        <v>9</v>
      </c>
      <c r="I134" s="22">
        <f t="shared" si="22"/>
        <v>13</v>
      </c>
      <c r="J134" s="22">
        <f t="shared" si="22"/>
        <v>5</v>
      </c>
      <c r="K134" s="22">
        <f t="shared" si="22"/>
        <v>2</v>
      </c>
      <c r="L134" s="22">
        <f t="shared" si="22"/>
        <v>4</v>
      </c>
      <c r="M134" s="22">
        <f t="shared" si="22"/>
        <v>5</v>
      </c>
      <c r="N134" s="22">
        <f t="shared" si="22"/>
        <v>10</v>
      </c>
      <c r="O134" s="22">
        <f t="shared" si="22"/>
        <v>12</v>
      </c>
      <c r="P134" s="22">
        <f t="shared" si="22"/>
        <v>5</v>
      </c>
      <c r="Q134" s="22">
        <f t="shared" si="22"/>
        <v>4</v>
      </c>
      <c r="R134" s="22">
        <f t="shared" si="22"/>
        <v>8</v>
      </c>
      <c r="S134" s="22">
        <f t="shared" si="22"/>
        <v>4</v>
      </c>
      <c r="T134" s="22">
        <f t="shared" si="22"/>
        <v>5</v>
      </c>
      <c r="U134" s="22">
        <f t="shared" si="22"/>
        <v>3</v>
      </c>
      <c r="V134" s="22">
        <f t="shared" si="22"/>
        <v>13</v>
      </c>
      <c r="W134" s="22">
        <f t="shared" si="22"/>
        <v>16</v>
      </c>
      <c r="X134" s="22">
        <f t="shared" si="22"/>
        <v>4</v>
      </c>
      <c r="Y134" s="22">
        <f t="shared" si="22"/>
        <v>4</v>
      </c>
      <c r="Z134" s="22">
        <f t="shared" si="22"/>
        <v>3</v>
      </c>
      <c r="AA134" s="22">
        <f t="shared" si="22"/>
        <v>11</v>
      </c>
      <c r="AB134" s="22">
        <f t="shared" si="22"/>
        <v>8</v>
      </c>
      <c r="AC134" s="22">
        <f t="shared" si="22"/>
        <v>4</v>
      </c>
      <c r="AD134" s="22">
        <f t="shared" si="22"/>
        <v>11</v>
      </c>
      <c r="AE134" s="22">
        <f t="shared" si="22"/>
        <v>1</v>
      </c>
      <c r="AF134" s="22">
        <f t="shared" si="22"/>
        <v>7</v>
      </c>
      <c r="AG134" s="23">
        <f t="shared" si="17"/>
        <v>198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1</v>
      </c>
      <c r="D135" s="1">
        <f t="shared" si="23"/>
        <v>0</v>
      </c>
      <c r="E135" s="1">
        <f t="shared" si="23"/>
        <v>0</v>
      </c>
      <c r="F135" s="1">
        <f t="shared" si="23"/>
        <v>0</v>
      </c>
      <c r="G135" s="1">
        <f t="shared" si="23"/>
        <v>1</v>
      </c>
      <c r="H135" s="1">
        <f t="shared" si="23"/>
        <v>0</v>
      </c>
      <c r="I135" s="1">
        <f t="shared" si="23"/>
        <v>0</v>
      </c>
      <c r="J135" s="1">
        <f t="shared" si="23"/>
        <v>1</v>
      </c>
      <c r="K135" s="1">
        <f t="shared" si="23"/>
        <v>0</v>
      </c>
      <c r="L135" s="1">
        <f t="shared" si="23"/>
        <v>0</v>
      </c>
      <c r="M135" s="1">
        <f t="shared" si="23"/>
        <v>2</v>
      </c>
      <c r="N135" s="1">
        <f t="shared" si="23"/>
        <v>0</v>
      </c>
      <c r="O135" s="1">
        <f t="shared" si="23"/>
        <v>0</v>
      </c>
      <c r="P135" s="1">
        <f t="shared" si="23"/>
        <v>0</v>
      </c>
      <c r="Q135" s="1">
        <f t="shared" si="23"/>
        <v>2</v>
      </c>
      <c r="R135" s="1">
        <f t="shared" si="23"/>
        <v>1</v>
      </c>
      <c r="S135" s="1">
        <f t="shared" si="23"/>
        <v>0</v>
      </c>
      <c r="T135" s="1">
        <f t="shared" si="23"/>
        <v>5</v>
      </c>
      <c r="U135" s="1">
        <f t="shared" si="23"/>
        <v>2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1</v>
      </c>
      <c r="AB135" s="1">
        <f t="shared" si="23"/>
        <v>1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17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1</v>
      </c>
      <c r="D136" s="91">
        <v>0</v>
      </c>
      <c r="E136" s="91">
        <v>0</v>
      </c>
      <c r="F136" s="91">
        <v>0</v>
      </c>
      <c r="G136" s="91">
        <v>1</v>
      </c>
      <c r="H136" s="91">
        <v>0</v>
      </c>
      <c r="I136" s="91">
        <v>0</v>
      </c>
      <c r="J136" s="91">
        <v>1</v>
      </c>
      <c r="K136" s="91">
        <v>0</v>
      </c>
      <c r="L136" s="91">
        <v>0</v>
      </c>
      <c r="M136" s="91">
        <v>2</v>
      </c>
      <c r="N136" s="91">
        <v>0</v>
      </c>
      <c r="O136" s="91">
        <v>0</v>
      </c>
      <c r="P136" s="91">
        <v>0</v>
      </c>
      <c r="Q136" s="91">
        <v>2</v>
      </c>
      <c r="R136" s="91">
        <v>1</v>
      </c>
      <c r="S136" s="91">
        <v>0</v>
      </c>
      <c r="T136" s="91">
        <v>5</v>
      </c>
      <c r="U136" s="91">
        <v>2</v>
      </c>
      <c r="V136" s="91">
        <v>0</v>
      </c>
      <c r="W136" s="91">
        <v>0</v>
      </c>
      <c r="X136" s="91">
        <v>0</v>
      </c>
      <c r="Y136" s="91">
        <v>0</v>
      </c>
      <c r="Z136" s="91">
        <v>0</v>
      </c>
      <c r="AA136" s="91">
        <v>1</v>
      </c>
      <c r="AB136" s="91">
        <v>1</v>
      </c>
      <c r="AC136" s="91">
        <v>0</v>
      </c>
      <c r="AD136" s="91">
        <v>0</v>
      </c>
      <c r="AE136" s="91">
        <v>0</v>
      </c>
      <c r="AF136" s="91">
        <v>0</v>
      </c>
      <c r="AG136" s="28">
        <f t="shared" si="17"/>
        <v>17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2</v>
      </c>
      <c r="C139" s="31">
        <f t="shared" si="24"/>
        <v>8</v>
      </c>
      <c r="D139" s="31">
        <f t="shared" si="24"/>
        <v>1</v>
      </c>
      <c r="E139" s="31">
        <f t="shared" si="24"/>
        <v>2</v>
      </c>
      <c r="F139" s="31">
        <f t="shared" si="24"/>
        <v>5</v>
      </c>
      <c r="G139" s="31">
        <f t="shared" si="24"/>
        <v>2</v>
      </c>
      <c r="H139" s="31">
        <f t="shared" si="24"/>
        <v>1</v>
      </c>
      <c r="I139" s="31">
        <f t="shared" si="24"/>
        <v>3</v>
      </c>
      <c r="J139" s="31">
        <f t="shared" si="24"/>
        <v>7</v>
      </c>
      <c r="K139" s="31">
        <f t="shared" si="24"/>
        <v>0</v>
      </c>
      <c r="L139" s="31">
        <f t="shared" si="24"/>
        <v>4</v>
      </c>
      <c r="M139" s="31">
        <f t="shared" si="24"/>
        <v>3</v>
      </c>
      <c r="N139" s="31">
        <f t="shared" si="24"/>
        <v>11</v>
      </c>
      <c r="O139" s="31">
        <f t="shared" si="24"/>
        <v>1</v>
      </c>
      <c r="P139" s="31">
        <f t="shared" si="24"/>
        <v>5</v>
      </c>
      <c r="Q139" s="31">
        <f t="shared" si="24"/>
        <v>5</v>
      </c>
      <c r="R139" s="31">
        <f t="shared" si="24"/>
        <v>2</v>
      </c>
      <c r="S139" s="31">
        <f t="shared" si="24"/>
        <v>3</v>
      </c>
      <c r="T139" s="31">
        <f t="shared" si="24"/>
        <v>2</v>
      </c>
      <c r="U139" s="31">
        <f t="shared" si="24"/>
        <v>1</v>
      </c>
      <c r="V139" s="31">
        <f t="shared" si="24"/>
        <v>2</v>
      </c>
      <c r="W139" s="31">
        <f t="shared" si="24"/>
        <v>5</v>
      </c>
      <c r="X139" s="31">
        <f t="shared" si="24"/>
        <v>5</v>
      </c>
      <c r="Y139" s="31">
        <f t="shared" si="24"/>
        <v>2</v>
      </c>
      <c r="Z139" s="31">
        <f t="shared" si="24"/>
        <v>3</v>
      </c>
      <c r="AA139" s="31">
        <f t="shared" si="24"/>
        <v>2</v>
      </c>
      <c r="AB139" s="31">
        <f t="shared" si="24"/>
        <v>3</v>
      </c>
      <c r="AC139" s="31">
        <f t="shared" si="24"/>
        <v>1</v>
      </c>
      <c r="AD139" s="31">
        <f t="shared" si="24"/>
        <v>2</v>
      </c>
      <c r="AE139" s="31">
        <f t="shared" si="24"/>
        <v>3</v>
      </c>
      <c r="AF139" s="31">
        <f t="shared" si="24"/>
        <v>2</v>
      </c>
      <c r="AG139" s="32">
        <f t="shared" si="17"/>
        <v>98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1</v>
      </c>
      <c r="C140" s="97">
        <v>2</v>
      </c>
      <c r="D140" s="97">
        <v>0</v>
      </c>
      <c r="E140" s="97">
        <v>0</v>
      </c>
      <c r="F140" s="97">
        <v>1</v>
      </c>
      <c r="G140" s="97">
        <v>0</v>
      </c>
      <c r="H140" s="97">
        <v>0</v>
      </c>
      <c r="I140" s="97">
        <v>0</v>
      </c>
      <c r="J140" s="97">
        <v>1</v>
      </c>
      <c r="K140" s="97">
        <v>0</v>
      </c>
      <c r="L140" s="97">
        <v>0</v>
      </c>
      <c r="M140" s="97">
        <v>0</v>
      </c>
      <c r="N140" s="97">
        <v>2</v>
      </c>
      <c r="O140" s="97">
        <v>0</v>
      </c>
      <c r="P140" s="97">
        <v>0</v>
      </c>
      <c r="Q140" s="97">
        <v>1</v>
      </c>
      <c r="R140" s="97">
        <v>0</v>
      </c>
      <c r="S140" s="97">
        <v>0</v>
      </c>
      <c r="T140" s="97">
        <v>0</v>
      </c>
      <c r="U140" s="97">
        <v>0</v>
      </c>
      <c r="V140" s="97">
        <v>0</v>
      </c>
      <c r="W140" s="97">
        <v>0</v>
      </c>
      <c r="X140" s="97">
        <v>0</v>
      </c>
      <c r="Y140" s="97">
        <v>0</v>
      </c>
      <c r="Z140" s="97">
        <v>0</v>
      </c>
      <c r="AA140" s="97">
        <v>0</v>
      </c>
      <c r="AB140" s="97">
        <v>1</v>
      </c>
      <c r="AC140" s="97">
        <v>0</v>
      </c>
      <c r="AD140" s="97">
        <v>0</v>
      </c>
      <c r="AE140" s="97">
        <v>0</v>
      </c>
      <c r="AF140" s="97">
        <v>1</v>
      </c>
      <c r="AG140" s="33">
        <f t="shared" si="17"/>
        <v>10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1</v>
      </c>
      <c r="C141" s="98">
        <v>6</v>
      </c>
      <c r="D141" s="98">
        <v>1</v>
      </c>
      <c r="E141" s="98">
        <v>2</v>
      </c>
      <c r="F141" s="98">
        <v>4</v>
      </c>
      <c r="G141" s="98">
        <v>2</v>
      </c>
      <c r="H141" s="98">
        <v>1</v>
      </c>
      <c r="I141" s="98">
        <v>3</v>
      </c>
      <c r="J141" s="98">
        <v>6</v>
      </c>
      <c r="K141" s="98">
        <v>0</v>
      </c>
      <c r="L141" s="98">
        <v>4</v>
      </c>
      <c r="M141" s="98">
        <v>3</v>
      </c>
      <c r="N141" s="98">
        <v>9</v>
      </c>
      <c r="O141" s="98">
        <v>1</v>
      </c>
      <c r="P141" s="98">
        <v>5</v>
      </c>
      <c r="Q141" s="98">
        <v>4</v>
      </c>
      <c r="R141" s="98">
        <v>2</v>
      </c>
      <c r="S141" s="98">
        <v>3</v>
      </c>
      <c r="T141" s="98">
        <v>2</v>
      </c>
      <c r="U141" s="98">
        <v>1</v>
      </c>
      <c r="V141" s="98">
        <v>2</v>
      </c>
      <c r="W141" s="98">
        <v>5</v>
      </c>
      <c r="X141" s="98">
        <v>5</v>
      </c>
      <c r="Y141" s="98">
        <v>2</v>
      </c>
      <c r="Z141" s="98">
        <v>3</v>
      </c>
      <c r="AA141" s="98">
        <v>2</v>
      </c>
      <c r="AB141" s="98">
        <v>2</v>
      </c>
      <c r="AC141" s="98">
        <v>1</v>
      </c>
      <c r="AD141" s="98">
        <v>2</v>
      </c>
      <c r="AE141" s="98">
        <v>3</v>
      </c>
      <c r="AF141" s="98">
        <v>1</v>
      </c>
      <c r="AG141" s="34">
        <f t="shared" si="17"/>
        <v>88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>
        <v>2</v>
      </c>
      <c r="C143" s="102">
        <v>4</v>
      </c>
      <c r="D143" s="102">
        <v>3</v>
      </c>
      <c r="E143" s="102">
        <v>5</v>
      </c>
      <c r="F143" s="102">
        <v>0</v>
      </c>
      <c r="G143" s="102">
        <v>2</v>
      </c>
      <c r="H143" s="102">
        <v>2</v>
      </c>
      <c r="I143" s="102">
        <v>1</v>
      </c>
      <c r="J143" s="102">
        <v>1</v>
      </c>
      <c r="K143" s="102">
        <v>3</v>
      </c>
      <c r="L143" s="102">
        <v>3</v>
      </c>
      <c r="M143" s="102">
        <v>4</v>
      </c>
      <c r="N143" s="102">
        <v>5</v>
      </c>
      <c r="O143" s="102">
        <v>2</v>
      </c>
      <c r="P143" s="102">
        <v>1</v>
      </c>
      <c r="Q143" s="102">
        <v>1</v>
      </c>
      <c r="R143" s="102">
        <v>2</v>
      </c>
      <c r="S143" s="102">
        <v>1</v>
      </c>
      <c r="T143" s="102">
        <v>2</v>
      </c>
      <c r="U143" s="102">
        <v>2</v>
      </c>
      <c r="V143" s="102">
        <v>1</v>
      </c>
      <c r="W143" s="102">
        <v>1</v>
      </c>
      <c r="X143" s="102">
        <v>0</v>
      </c>
      <c r="Y143" s="102">
        <v>0</v>
      </c>
      <c r="Z143" s="102">
        <v>0</v>
      </c>
      <c r="AA143" s="102">
        <v>0</v>
      </c>
      <c r="AB143" s="102">
        <v>0</v>
      </c>
      <c r="AC143" s="102">
        <v>0</v>
      </c>
      <c r="AD143" s="102">
        <v>0</v>
      </c>
      <c r="AE143" s="102">
        <v>0</v>
      </c>
      <c r="AF143" s="102">
        <v>0</v>
      </c>
      <c r="AG143" s="36">
        <f t="shared" si="17"/>
        <v>48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27</v>
      </c>
      <c r="C144" s="37">
        <f t="shared" si="25"/>
        <v>27</v>
      </c>
      <c r="D144" s="37">
        <f t="shared" si="25"/>
        <v>28</v>
      </c>
      <c r="E144" s="37">
        <f t="shared" si="25"/>
        <v>19</v>
      </c>
      <c r="F144" s="37">
        <f t="shared" si="25"/>
        <v>23</v>
      </c>
      <c r="G144" s="37">
        <f t="shared" si="25"/>
        <v>28</v>
      </c>
      <c r="H144" s="37">
        <f t="shared" si="25"/>
        <v>31</v>
      </c>
      <c r="I144" s="37">
        <f t="shared" si="25"/>
        <v>20</v>
      </c>
      <c r="J144" s="37">
        <f t="shared" si="25"/>
        <v>28</v>
      </c>
      <c r="K144" s="37">
        <f t="shared" si="25"/>
        <v>20</v>
      </c>
      <c r="L144" s="37">
        <f t="shared" si="25"/>
        <v>28</v>
      </c>
      <c r="M144" s="37">
        <f t="shared" si="25"/>
        <v>38</v>
      </c>
      <c r="N144" s="37">
        <f t="shared" si="25"/>
        <v>27</v>
      </c>
      <c r="O144" s="37">
        <f t="shared" si="25"/>
        <v>33</v>
      </c>
      <c r="P144" s="37">
        <f t="shared" si="25"/>
        <v>21</v>
      </c>
      <c r="Q144" s="37">
        <f t="shared" si="25"/>
        <v>22</v>
      </c>
      <c r="R144" s="37">
        <f t="shared" si="25"/>
        <v>29</v>
      </c>
      <c r="S144" s="37">
        <f t="shared" si="25"/>
        <v>26</v>
      </c>
      <c r="T144" s="37">
        <f t="shared" si="25"/>
        <v>38</v>
      </c>
      <c r="U144" s="37">
        <f t="shared" si="25"/>
        <v>30</v>
      </c>
      <c r="V144" s="37">
        <f t="shared" si="25"/>
        <v>35</v>
      </c>
      <c r="W144" s="37">
        <f t="shared" si="25"/>
        <v>26</v>
      </c>
      <c r="X144" s="37">
        <f t="shared" si="25"/>
        <v>34</v>
      </c>
      <c r="Y144" s="37">
        <f t="shared" si="25"/>
        <v>25</v>
      </c>
      <c r="Z144" s="37">
        <f t="shared" si="25"/>
        <v>18</v>
      </c>
      <c r="AA144" s="37">
        <f t="shared" si="25"/>
        <v>49</v>
      </c>
      <c r="AB144" s="37">
        <f t="shared" si="25"/>
        <v>30</v>
      </c>
      <c r="AC144" s="37">
        <f t="shared" si="25"/>
        <v>45</v>
      </c>
      <c r="AD144" s="37">
        <f t="shared" si="25"/>
        <v>35</v>
      </c>
      <c r="AE144" s="37">
        <f t="shared" si="25"/>
        <v>21</v>
      </c>
      <c r="AF144" s="37">
        <f t="shared" si="25"/>
        <v>14</v>
      </c>
      <c r="AG144" s="24">
        <f t="shared" si="17"/>
        <v>875</v>
      </c>
      <c r="AK144" s="84" t="s">
        <v>154</v>
      </c>
    </row>
    <row r="145" spans="1:37" ht="15.75" customHeight="1" x14ac:dyDescent="0.25">
      <c r="A145" s="104" t="s">
        <v>91</v>
      </c>
      <c r="B145" s="105">
        <v>0</v>
      </c>
      <c r="C145" s="105">
        <v>1</v>
      </c>
      <c r="D145" s="105">
        <v>0</v>
      </c>
      <c r="E145" s="105">
        <v>4</v>
      </c>
      <c r="F145" s="105">
        <v>2</v>
      </c>
      <c r="G145" s="105">
        <v>1</v>
      </c>
      <c r="H145" s="105">
        <v>0</v>
      </c>
      <c r="I145" s="105">
        <v>0</v>
      </c>
      <c r="J145" s="105">
        <v>0</v>
      </c>
      <c r="K145" s="105">
        <v>3</v>
      </c>
      <c r="L145" s="105">
        <v>0</v>
      </c>
      <c r="M145" s="105">
        <v>0</v>
      </c>
      <c r="N145" s="105">
        <v>2</v>
      </c>
      <c r="O145" s="105">
        <v>1</v>
      </c>
      <c r="P145" s="105">
        <v>0</v>
      </c>
      <c r="Q145" s="105">
        <v>0</v>
      </c>
      <c r="R145" s="105">
        <v>0</v>
      </c>
      <c r="S145" s="105">
        <v>4</v>
      </c>
      <c r="T145" s="105">
        <v>1</v>
      </c>
      <c r="U145" s="105">
        <v>1</v>
      </c>
      <c r="V145" s="105">
        <v>2</v>
      </c>
      <c r="W145" s="105">
        <v>3</v>
      </c>
      <c r="X145" s="105">
        <v>1</v>
      </c>
      <c r="Y145" s="105">
        <v>3</v>
      </c>
      <c r="Z145" s="105">
        <v>3</v>
      </c>
      <c r="AA145" s="105">
        <v>3</v>
      </c>
      <c r="AB145" s="105">
        <v>1</v>
      </c>
      <c r="AC145" s="105">
        <v>1</v>
      </c>
      <c r="AD145" s="105">
        <v>0</v>
      </c>
      <c r="AE145" s="105">
        <v>1</v>
      </c>
      <c r="AF145" s="105">
        <v>0</v>
      </c>
      <c r="AG145" s="38">
        <f t="shared" si="17"/>
        <v>38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1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1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23</v>
      </c>
      <c r="C149" s="108">
        <v>25</v>
      </c>
      <c r="D149" s="108">
        <v>26</v>
      </c>
      <c r="E149" s="108">
        <v>15</v>
      </c>
      <c r="F149" s="108">
        <v>17</v>
      </c>
      <c r="G149" s="108">
        <v>23</v>
      </c>
      <c r="H149" s="108">
        <v>30</v>
      </c>
      <c r="I149" s="108">
        <v>15</v>
      </c>
      <c r="J149" s="108">
        <v>22</v>
      </c>
      <c r="K149" s="108">
        <v>15</v>
      </c>
      <c r="L149" s="108">
        <v>25</v>
      </c>
      <c r="M149" s="108">
        <v>37</v>
      </c>
      <c r="N149" s="108">
        <v>23</v>
      </c>
      <c r="O149" s="108">
        <v>30</v>
      </c>
      <c r="P149" s="108">
        <v>20</v>
      </c>
      <c r="Q149" s="108">
        <v>22</v>
      </c>
      <c r="R149" s="108">
        <v>28</v>
      </c>
      <c r="S149" s="108">
        <v>19</v>
      </c>
      <c r="T149" s="108">
        <v>37</v>
      </c>
      <c r="U149" s="108">
        <v>28</v>
      </c>
      <c r="V149" s="108">
        <v>31</v>
      </c>
      <c r="W149" s="108">
        <v>22</v>
      </c>
      <c r="X149" s="108">
        <v>26</v>
      </c>
      <c r="Y149" s="108">
        <v>20</v>
      </c>
      <c r="Z149" s="108">
        <v>14</v>
      </c>
      <c r="AA149" s="108">
        <v>43</v>
      </c>
      <c r="AB149" s="108">
        <v>28</v>
      </c>
      <c r="AC149" s="108">
        <v>41</v>
      </c>
      <c r="AD149" s="108">
        <v>30</v>
      </c>
      <c r="AE149" s="108">
        <v>19</v>
      </c>
      <c r="AF149" s="108">
        <v>14</v>
      </c>
      <c r="AG149" s="39">
        <f t="shared" si="17"/>
        <v>768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1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1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0</v>
      </c>
      <c r="H154" s="77">
        <v>1</v>
      </c>
      <c r="I154" s="77">
        <v>1</v>
      </c>
      <c r="J154" s="77">
        <v>3</v>
      </c>
      <c r="K154" s="77">
        <v>0</v>
      </c>
      <c r="L154" s="77">
        <v>0</v>
      </c>
      <c r="M154" s="77">
        <v>0</v>
      </c>
      <c r="N154" s="77">
        <v>0</v>
      </c>
      <c r="O154" s="77">
        <v>1</v>
      </c>
      <c r="P154" s="77">
        <v>1</v>
      </c>
      <c r="Q154" s="77">
        <v>0</v>
      </c>
      <c r="R154" s="77">
        <v>1</v>
      </c>
      <c r="S154" s="77">
        <v>1</v>
      </c>
      <c r="T154" s="77">
        <v>0</v>
      </c>
      <c r="U154" s="77">
        <v>0</v>
      </c>
      <c r="V154" s="77">
        <v>2</v>
      </c>
      <c r="W154" s="77">
        <v>0</v>
      </c>
      <c r="X154" s="77">
        <v>6</v>
      </c>
      <c r="Y154" s="77">
        <v>1</v>
      </c>
      <c r="Z154" s="77">
        <v>1</v>
      </c>
      <c r="AA154" s="77">
        <v>0</v>
      </c>
      <c r="AB154" s="77">
        <v>0</v>
      </c>
      <c r="AC154" s="77">
        <v>3</v>
      </c>
      <c r="AD154" s="77">
        <v>3</v>
      </c>
      <c r="AE154" s="77">
        <v>0</v>
      </c>
      <c r="AF154" s="77">
        <v>0</v>
      </c>
      <c r="AG154" s="5">
        <f t="shared" si="17"/>
        <v>25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2</v>
      </c>
      <c r="C158" s="111">
        <v>0</v>
      </c>
      <c r="D158" s="111">
        <v>0</v>
      </c>
      <c r="E158" s="111">
        <v>0</v>
      </c>
      <c r="F158" s="111">
        <v>4</v>
      </c>
      <c r="G158" s="111">
        <v>2</v>
      </c>
      <c r="H158" s="111">
        <v>0</v>
      </c>
      <c r="I158" s="111">
        <v>1</v>
      </c>
      <c r="J158" s="111">
        <v>2</v>
      </c>
      <c r="K158" s="111">
        <v>0</v>
      </c>
      <c r="L158" s="111">
        <v>3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1</v>
      </c>
      <c r="T158" s="111">
        <v>0</v>
      </c>
      <c r="U158" s="111">
        <v>0</v>
      </c>
      <c r="V158" s="111">
        <v>0</v>
      </c>
      <c r="W158" s="111">
        <v>1</v>
      </c>
      <c r="X158" s="111">
        <v>1</v>
      </c>
      <c r="Y158" s="111">
        <v>0</v>
      </c>
      <c r="Z158" s="111">
        <v>0</v>
      </c>
      <c r="AA158" s="111">
        <v>2</v>
      </c>
      <c r="AB158" s="111">
        <v>1</v>
      </c>
      <c r="AC158" s="111">
        <v>0</v>
      </c>
      <c r="AD158" s="111">
        <v>0</v>
      </c>
      <c r="AE158" s="111">
        <v>0</v>
      </c>
      <c r="AF158" s="111">
        <v>0</v>
      </c>
      <c r="AG158" s="40">
        <f t="shared" si="17"/>
        <v>20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1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1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26"/>
        <v>2</v>
      </c>
    </row>
    <row r="168" spans="1:34" ht="15.75" customHeight="1" x14ac:dyDescent="0.25">
      <c r="A168" s="76" t="s">
        <v>114</v>
      </c>
      <c r="B168" s="113">
        <v>2</v>
      </c>
      <c r="C168" s="113">
        <v>1</v>
      </c>
      <c r="D168" s="113">
        <v>2</v>
      </c>
      <c r="E168" s="113">
        <v>0</v>
      </c>
      <c r="F168" s="113">
        <v>0</v>
      </c>
      <c r="G168" s="113">
        <v>2</v>
      </c>
      <c r="H168" s="113">
        <v>0</v>
      </c>
      <c r="I168" s="113">
        <v>1</v>
      </c>
      <c r="J168" s="113">
        <v>1</v>
      </c>
      <c r="K168" s="113">
        <v>1</v>
      </c>
      <c r="L168" s="113">
        <v>0</v>
      </c>
      <c r="M168" s="113">
        <v>0</v>
      </c>
      <c r="N168" s="113">
        <v>0</v>
      </c>
      <c r="O168" s="113">
        <v>1</v>
      </c>
      <c r="P168" s="113">
        <v>0</v>
      </c>
      <c r="Q168" s="113">
        <v>0</v>
      </c>
      <c r="R168" s="113">
        <v>0</v>
      </c>
      <c r="S168" s="113">
        <v>1</v>
      </c>
      <c r="T168" s="113">
        <v>0</v>
      </c>
      <c r="U168" s="113">
        <v>0</v>
      </c>
      <c r="V168" s="113">
        <v>0</v>
      </c>
      <c r="W168" s="113">
        <v>0</v>
      </c>
      <c r="X168" s="113">
        <v>0</v>
      </c>
      <c r="Y168" s="113">
        <v>1</v>
      </c>
      <c r="Z168" s="113">
        <v>0</v>
      </c>
      <c r="AA168" s="113">
        <v>1</v>
      </c>
      <c r="AB168" s="113">
        <v>0</v>
      </c>
      <c r="AC168" s="113">
        <v>0</v>
      </c>
      <c r="AD168" s="113">
        <v>1</v>
      </c>
      <c r="AE168" s="113">
        <v>0</v>
      </c>
      <c r="AF168" s="113">
        <v>0</v>
      </c>
      <c r="AG168" s="5">
        <f t="shared" si="26"/>
        <v>15</v>
      </c>
    </row>
    <row r="169" spans="1:34" ht="15.75" customHeight="1" x14ac:dyDescent="0.25">
      <c r="A169" s="114" t="s">
        <v>115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1</v>
      </c>
      <c r="J169" s="113">
        <v>0</v>
      </c>
      <c r="K169" s="113">
        <v>1</v>
      </c>
      <c r="L169" s="113">
        <v>0</v>
      </c>
      <c r="M169" s="113">
        <v>1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1</v>
      </c>
      <c r="AE169" s="113">
        <v>1</v>
      </c>
      <c r="AF169" s="113">
        <v>0</v>
      </c>
      <c r="AG169" s="5">
        <f t="shared" si="26"/>
        <v>5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109</v>
      </c>
      <c r="C171" s="41">
        <f t="shared" si="27"/>
        <v>107</v>
      </c>
      <c r="D171" s="41">
        <f t="shared" si="27"/>
        <v>111</v>
      </c>
      <c r="E171" s="41">
        <f t="shared" si="27"/>
        <v>93</v>
      </c>
      <c r="F171" s="41">
        <f t="shared" si="27"/>
        <v>140</v>
      </c>
      <c r="G171" s="41">
        <f t="shared" si="27"/>
        <v>144</v>
      </c>
      <c r="H171" s="41">
        <f t="shared" si="27"/>
        <v>126</v>
      </c>
      <c r="I171" s="41">
        <f t="shared" si="27"/>
        <v>107</v>
      </c>
      <c r="J171" s="41">
        <f t="shared" si="27"/>
        <v>117</v>
      </c>
      <c r="K171" s="41">
        <f t="shared" si="27"/>
        <v>97</v>
      </c>
      <c r="L171" s="41">
        <f t="shared" si="27"/>
        <v>115</v>
      </c>
      <c r="M171" s="41">
        <f t="shared" si="27"/>
        <v>164</v>
      </c>
      <c r="N171" s="41">
        <f t="shared" si="27"/>
        <v>152</v>
      </c>
      <c r="O171" s="41">
        <f t="shared" si="27"/>
        <v>113</v>
      </c>
      <c r="P171" s="41">
        <f t="shared" si="27"/>
        <v>98</v>
      </c>
      <c r="Q171" s="41">
        <f t="shared" si="27"/>
        <v>174</v>
      </c>
      <c r="R171" s="41">
        <f t="shared" si="27"/>
        <v>117</v>
      </c>
      <c r="S171" s="41">
        <f t="shared" si="27"/>
        <v>113</v>
      </c>
      <c r="T171" s="41">
        <f t="shared" si="27"/>
        <v>156</v>
      </c>
      <c r="U171" s="41">
        <f t="shared" si="27"/>
        <v>158</v>
      </c>
      <c r="V171" s="41">
        <f t="shared" si="27"/>
        <v>138</v>
      </c>
      <c r="W171" s="41">
        <f t="shared" si="27"/>
        <v>116</v>
      </c>
      <c r="X171" s="41">
        <f t="shared" si="27"/>
        <v>126</v>
      </c>
      <c r="Y171" s="41">
        <f t="shared" si="27"/>
        <v>102</v>
      </c>
      <c r="Z171" s="41">
        <f t="shared" si="27"/>
        <v>96</v>
      </c>
      <c r="AA171" s="41">
        <f t="shared" si="27"/>
        <v>171</v>
      </c>
      <c r="AB171" s="41">
        <f t="shared" si="27"/>
        <v>142</v>
      </c>
      <c r="AC171" s="41">
        <f t="shared" si="27"/>
        <v>122</v>
      </c>
      <c r="AD171" s="41">
        <f t="shared" si="27"/>
        <v>120</v>
      </c>
      <c r="AE171" s="41">
        <f t="shared" si="27"/>
        <v>105</v>
      </c>
      <c r="AF171" s="41">
        <f t="shared" si="27"/>
        <v>104</v>
      </c>
      <c r="AG171" s="42">
        <f t="shared" si="26"/>
        <v>3853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1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2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2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5</v>
      </c>
    </row>
    <row r="173" spans="1:34" ht="15.75" customHeight="1" x14ac:dyDescent="0.25">
      <c r="A173" s="119" t="s">
        <v>37</v>
      </c>
      <c r="B173" s="120">
        <v>0</v>
      </c>
      <c r="C173" s="120">
        <v>1</v>
      </c>
      <c r="D173" s="120">
        <v>1</v>
      </c>
      <c r="E173" s="120">
        <v>1</v>
      </c>
      <c r="F173" s="120">
        <v>1</v>
      </c>
      <c r="G173" s="120">
        <v>3</v>
      </c>
      <c r="H173" s="120">
        <v>1</v>
      </c>
      <c r="I173" s="120">
        <v>2</v>
      </c>
      <c r="J173" s="120">
        <v>0</v>
      </c>
      <c r="K173" s="120">
        <v>2</v>
      </c>
      <c r="L173" s="120">
        <v>0</v>
      </c>
      <c r="M173" s="120">
        <v>1</v>
      </c>
      <c r="N173" s="120">
        <v>1</v>
      </c>
      <c r="O173" s="120">
        <v>0</v>
      </c>
      <c r="P173" s="120">
        <v>1</v>
      </c>
      <c r="Q173" s="120">
        <v>3</v>
      </c>
      <c r="R173" s="120">
        <v>2</v>
      </c>
      <c r="S173" s="120">
        <v>1</v>
      </c>
      <c r="T173" s="120">
        <v>1</v>
      </c>
      <c r="U173" s="120">
        <v>0</v>
      </c>
      <c r="V173" s="120">
        <v>1</v>
      </c>
      <c r="W173" s="120">
        <v>2</v>
      </c>
      <c r="X173" s="120">
        <v>2</v>
      </c>
      <c r="Y173" s="120">
        <v>1</v>
      </c>
      <c r="Z173" s="120">
        <v>3</v>
      </c>
      <c r="AA173" s="120">
        <v>0</v>
      </c>
      <c r="AB173" s="120">
        <v>3</v>
      </c>
      <c r="AC173" s="120">
        <v>0</v>
      </c>
      <c r="AD173" s="120">
        <v>1</v>
      </c>
      <c r="AE173" s="120">
        <v>0</v>
      </c>
      <c r="AF173" s="120">
        <v>3</v>
      </c>
      <c r="AG173" s="44">
        <f t="shared" si="26"/>
        <v>38</v>
      </c>
    </row>
    <row r="174" spans="1:34" ht="15.75" customHeight="1" x14ac:dyDescent="0.25">
      <c r="A174" s="119" t="s">
        <v>38</v>
      </c>
      <c r="B174" s="120">
        <v>10</v>
      </c>
      <c r="C174" s="120">
        <v>20</v>
      </c>
      <c r="D174" s="120">
        <v>15</v>
      </c>
      <c r="E174" s="120">
        <v>10</v>
      </c>
      <c r="F174" s="120">
        <v>20</v>
      </c>
      <c r="G174" s="120">
        <v>9</v>
      </c>
      <c r="H174" s="120">
        <v>18</v>
      </c>
      <c r="I174" s="120">
        <v>16</v>
      </c>
      <c r="J174" s="120">
        <v>24</v>
      </c>
      <c r="K174" s="120">
        <v>18</v>
      </c>
      <c r="L174" s="120">
        <v>16</v>
      </c>
      <c r="M174" s="120">
        <v>13</v>
      </c>
      <c r="N174" s="120">
        <v>12</v>
      </c>
      <c r="O174" s="120">
        <v>19</v>
      </c>
      <c r="P174" s="120">
        <v>10</v>
      </c>
      <c r="Q174" s="120">
        <v>19</v>
      </c>
      <c r="R174" s="120">
        <v>12</v>
      </c>
      <c r="S174" s="120">
        <v>11</v>
      </c>
      <c r="T174" s="120">
        <v>15</v>
      </c>
      <c r="U174" s="120">
        <v>14</v>
      </c>
      <c r="V174" s="120">
        <v>24</v>
      </c>
      <c r="W174" s="120">
        <v>23</v>
      </c>
      <c r="X174" s="120">
        <v>15</v>
      </c>
      <c r="Y174" s="120">
        <v>13</v>
      </c>
      <c r="Z174" s="120">
        <v>12</v>
      </c>
      <c r="AA174" s="120">
        <v>22</v>
      </c>
      <c r="AB174" s="120">
        <v>21</v>
      </c>
      <c r="AC174" s="120">
        <v>12</v>
      </c>
      <c r="AD174" s="120">
        <v>11</v>
      </c>
      <c r="AE174" s="120">
        <v>15</v>
      </c>
      <c r="AF174" s="120">
        <v>7</v>
      </c>
      <c r="AG174" s="44">
        <f t="shared" si="26"/>
        <v>476</v>
      </c>
    </row>
    <row r="175" spans="1:34" ht="15.75" customHeight="1" x14ac:dyDescent="0.25">
      <c r="A175" s="119" t="s">
        <v>39</v>
      </c>
      <c r="B175" s="120">
        <v>93</v>
      </c>
      <c r="C175" s="120">
        <v>81</v>
      </c>
      <c r="D175" s="120">
        <v>85</v>
      </c>
      <c r="E175" s="120">
        <v>72</v>
      </c>
      <c r="F175" s="120">
        <v>93</v>
      </c>
      <c r="G175" s="120">
        <v>106</v>
      </c>
      <c r="H175" s="120">
        <v>95</v>
      </c>
      <c r="I175" s="120">
        <v>85</v>
      </c>
      <c r="J175" s="120">
        <v>73</v>
      </c>
      <c r="K175" s="120">
        <v>72</v>
      </c>
      <c r="L175" s="120">
        <v>91</v>
      </c>
      <c r="M175" s="120">
        <v>118</v>
      </c>
      <c r="N175" s="120">
        <v>113</v>
      </c>
      <c r="O175" s="120">
        <v>90</v>
      </c>
      <c r="P175" s="120">
        <v>79</v>
      </c>
      <c r="Q175" s="120">
        <v>138</v>
      </c>
      <c r="R175" s="120">
        <v>91</v>
      </c>
      <c r="S175" s="120">
        <v>89</v>
      </c>
      <c r="T175" s="120">
        <v>128</v>
      </c>
      <c r="U175" s="120">
        <v>127</v>
      </c>
      <c r="V175" s="120">
        <v>103</v>
      </c>
      <c r="W175" s="120">
        <v>85</v>
      </c>
      <c r="X175" s="120">
        <v>94</v>
      </c>
      <c r="Y175" s="120">
        <v>74</v>
      </c>
      <c r="Z175" s="120">
        <v>63</v>
      </c>
      <c r="AA175" s="120">
        <v>116</v>
      </c>
      <c r="AB175" s="120">
        <v>109</v>
      </c>
      <c r="AC175" s="120">
        <v>90</v>
      </c>
      <c r="AD175" s="120">
        <v>88</v>
      </c>
      <c r="AE175" s="120">
        <v>83</v>
      </c>
      <c r="AF175" s="120">
        <v>81</v>
      </c>
      <c r="AG175" s="44">
        <f t="shared" si="26"/>
        <v>2905</v>
      </c>
    </row>
    <row r="176" spans="1:34" ht="15.75" customHeight="1" thickBot="1" x14ac:dyDescent="0.3">
      <c r="A176" s="121" t="s">
        <v>40</v>
      </c>
      <c r="B176" s="122">
        <v>6</v>
      </c>
      <c r="C176" s="122">
        <v>4</v>
      </c>
      <c r="D176" s="122">
        <v>10</v>
      </c>
      <c r="E176" s="122">
        <v>10</v>
      </c>
      <c r="F176" s="122">
        <v>26</v>
      </c>
      <c r="G176" s="122">
        <v>26</v>
      </c>
      <c r="H176" s="122">
        <v>12</v>
      </c>
      <c r="I176" s="122">
        <v>4</v>
      </c>
      <c r="J176" s="122">
        <v>20</v>
      </c>
      <c r="K176" s="122">
        <v>5</v>
      </c>
      <c r="L176" s="122">
        <v>8</v>
      </c>
      <c r="M176" s="122">
        <v>32</v>
      </c>
      <c r="N176" s="122">
        <v>24</v>
      </c>
      <c r="O176" s="122">
        <v>4</v>
      </c>
      <c r="P176" s="122">
        <v>8</v>
      </c>
      <c r="Q176" s="122">
        <v>14</v>
      </c>
      <c r="R176" s="122">
        <v>12</v>
      </c>
      <c r="S176" s="122">
        <v>12</v>
      </c>
      <c r="T176" s="122">
        <v>12</v>
      </c>
      <c r="U176" s="122">
        <v>17</v>
      </c>
      <c r="V176" s="122">
        <v>10</v>
      </c>
      <c r="W176" s="122">
        <v>6</v>
      </c>
      <c r="X176" s="122">
        <v>15</v>
      </c>
      <c r="Y176" s="122">
        <v>14</v>
      </c>
      <c r="Z176" s="122">
        <v>18</v>
      </c>
      <c r="AA176" s="122">
        <v>33</v>
      </c>
      <c r="AB176" s="122">
        <v>7</v>
      </c>
      <c r="AC176" s="122">
        <v>20</v>
      </c>
      <c r="AD176" s="122">
        <v>20</v>
      </c>
      <c r="AE176" s="122">
        <v>7</v>
      </c>
      <c r="AF176" s="122">
        <v>13</v>
      </c>
      <c r="AG176" s="45">
        <f t="shared" si="26"/>
        <v>429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17" priority="3" operator="lessThan">
      <formula>0</formula>
    </cfRule>
  </conditionalFormatting>
  <conditionalFormatting sqref="AH171">
    <cfRule type="cellIs" dxfId="16" priority="2" operator="equal">
      <formula>"X"</formula>
    </cfRule>
  </conditionalFormatting>
  <conditionalFormatting sqref="AH1:AH1048576">
    <cfRule type="cellIs" dxfId="15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4836576F-687F-4814-81D6-2DBD69B65AB5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A3481-AA81-4ED9-8278-DFB54E64B885}">
  <sheetPr codeName="Hoja30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AF4" sqref="AF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177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80</v>
      </c>
      <c r="C3" s="1">
        <f t="shared" si="1"/>
        <v>165</v>
      </c>
      <c r="D3" s="1">
        <f t="shared" si="1"/>
        <v>165</v>
      </c>
      <c r="E3" s="1">
        <f t="shared" si="1"/>
        <v>125</v>
      </c>
      <c r="F3" s="1">
        <f t="shared" si="1"/>
        <v>127</v>
      </c>
      <c r="G3" s="1">
        <f t="shared" si="1"/>
        <v>127</v>
      </c>
      <c r="H3" s="1">
        <f t="shared" si="1"/>
        <v>118</v>
      </c>
      <c r="I3" s="1">
        <f t="shared" si="1"/>
        <v>109</v>
      </c>
      <c r="J3" s="1">
        <f t="shared" si="1"/>
        <v>159</v>
      </c>
      <c r="K3" s="1">
        <f t="shared" si="1"/>
        <v>153</v>
      </c>
      <c r="L3" s="1">
        <f t="shared" si="1"/>
        <v>141</v>
      </c>
      <c r="M3" s="1">
        <f t="shared" si="1"/>
        <v>141</v>
      </c>
      <c r="N3" s="1">
        <f t="shared" si="1"/>
        <v>122</v>
      </c>
      <c r="O3" s="1">
        <f t="shared" si="1"/>
        <v>117</v>
      </c>
      <c r="P3" s="1">
        <f t="shared" si="1"/>
        <v>152</v>
      </c>
      <c r="Q3" s="1">
        <f t="shared" si="1"/>
        <v>173</v>
      </c>
      <c r="R3" s="1">
        <f t="shared" si="1"/>
        <v>163</v>
      </c>
      <c r="S3" s="1">
        <f t="shared" si="1"/>
        <v>141</v>
      </c>
      <c r="T3" s="1">
        <f t="shared" si="1"/>
        <v>119</v>
      </c>
      <c r="U3" s="1">
        <f t="shared" si="1"/>
        <v>184</v>
      </c>
      <c r="V3" s="1">
        <f t="shared" si="1"/>
        <v>107</v>
      </c>
      <c r="W3" s="1">
        <f t="shared" si="1"/>
        <v>89</v>
      </c>
      <c r="X3" s="1">
        <f t="shared" si="1"/>
        <v>144</v>
      </c>
      <c r="Y3" s="1">
        <f t="shared" si="1"/>
        <v>155</v>
      </c>
      <c r="Z3" s="1">
        <f t="shared" si="1"/>
        <v>139</v>
      </c>
      <c r="AA3" s="1">
        <f t="shared" si="1"/>
        <v>128</v>
      </c>
      <c r="AB3" s="1">
        <f t="shared" si="1"/>
        <v>141</v>
      </c>
      <c r="AC3" s="1">
        <f t="shared" si="1"/>
        <v>112</v>
      </c>
      <c r="AD3" s="1">
        <f t="shared" si="1"/>
        <v>91</v>
      </c>
      <c r="AE3" s="1">
        <f t="shared" si="1"/>
        <v>155</v>
      </c>
      <c r="AF3" s="1">
        <f t="shared" si="1"/>
        <v>155</v>
      </c>
      <c r="AG3" s="2">
        <f t="shared" ref="AG3:AG66" si="2">SUM(B3:AF3)</f>
        <v>4197</v>
      </c>
    </row>
    <row r="4" spans="1:33" ht="18.75" x14ac:dyDescent="0.25">
      <c r="A4" s="53" t="s">
        <v>2</v>
      </c>
      <c r="B4" s="54">
        <v>0</v>
      </c>
      <c r="C4" s="55">
        <v>10</v>
      </c>
      <c r="D4" s="55">
        <v>5</v>
      </c>
      <c r="E4" s="55">
        <v>0</v>
      </c>
      <c r="F4" s="55">
        <v>1</v>
      </c>
      <c r="G4" s="55">
        <v>0</v>
      </c>
      <c r="H4" s="55">
        <v>0</v>
      </c>
      <c r="I4" s="55">
        <v>0</v>
      </c>
      <c r="J4" s="55">
        <v>5</v>
      </c>
      <c r="K4" s="55">
        <v>6</v>
      </c>
      <c r="L4" s="55">
        <v>0</v>
      </c>
      <c r="M4" s="55">
        <v>0</v>
      </c>
      <c r="N4" s="55">
        <v>0</v>
      </c>
      <c r="O4" s="55">
        <v>0</v>
      </c>
      <c r="P4" s="55">
        <v>6</v>
      </c>
      <c r="Q4" s="55">
        <v>11</v>
      </c>
      <c r="R4" s="55">
        <v>10</v>
      </c>
      <c r="S4" s="55">
        <v>0</v>
      </c>
      <c r="T4" s="55">
        <v>0</v>
      </c>
      <c r="U4" s="55">
        <v>7</v>
      </c>
      <c r="V4" s="55">
        <v>0</v>
      </c>
      <c r="W4" s="55">
        <v>0</v>
      </c>
      <c r="X4" s="55">
        <v>5</v>
      </c>
      <c r="Y4" s="55">
        <v>9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5">
        <v>4</v>
      </c>
      <c r="AF4" s="55">
        <v>3</v>
      </c>
      <c r="AG4" s="4">
        <f t="shared" si="2"/>
        <v>82</v>
      </c>
    </row>
    <row r="5" spans="1:33" ht="18.75" x14ac:dyDescent="0.25">
      <c r="A5" s="56" t="s">
        <v>3</v>
      </c>
      <c r="B5" s="54">
        <v>0</v>
      </c>
      <c r="C5" s="54">
        <v>19</v>
      </c>
      <c r="D5" s="54">
        <v>10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10</v>
      </c>
      <c r="K5" s="54">
        <v>9</v>
      </c>
      <c r="L5" s="54">
        <v>0</v>
      </c>
      <c r="M5" s="54">
        <v>0</v>
      </c>
      <c r="N5" s="54">
        <v>0</v>
      </c>
      <c r="O5" s="54">
        <v>0</v>
      </c>
      <c r="P5" s="54">
        <v>6</v>
      </c>
      <c r="Q5" s="54">
        <v>11</v>
      </c>
      <c r="R5" s="54">
        <v>11</v>
      </c>
      <c r="S5" s="54">
        <v>0</v>
      </c>
      <c r="T5" s="54">
        <v>0</v>
      </c>
      <c r="U5" s="54">
        <v>9</v>
      </c>
      <c r="V5" s="54">
        <v>0</v>
      </c>
      <c r="W5" s="54">
        <v>0</v>
      </c>
      <c r="X5" s="54">
        <v>6</v>
      </c>
      <c r="Y5" s="54">
        <v>7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14</v>
      </c>
      <c r="AF5" s="54">
        <v>9</v>
      </c>
      <c r="AG5" s="5">
        <f t="shared" si="2"/>
        <v>121</v>
      </c>
    </row>
    <row r="6" spans="1:33" ht="18.75" x14ac:dyDescent="0.25">
      <c r="A6" s="56" t="s">
        <v>4</v>
      </c>
      <c r="B6" s="54">
        <v>0</v>
      </c>
      <c r="C6" s="54">
        <v>17</v>
      </c>
      <c r="D6" s="54">
        <v>14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11</v>
      </c>
      <c r="K6" s="54">
        <v>9</v>
      </c>
      <c r="L6" s="54">
        <v>0</v>
      </c>
      <c r="M6" s="54">
        <v>0</v>
      </c>
      <c r="N6" s="54">
        <v>0</v>
      </c>
      <c r="O6" s="54">
        <v>0</v>
      </c>
      <c r="P6" s="54">
        <v>8</v>
      </c>
      <c r="Q6" s="54">
        <v>9</v>
      </c>
      <c r="R6" s="54">
        <v>12</v>
      </c>
      <c r="S6" s="54">
        <v>0</v>
      </c>
      <c r="T6" s="54">
        <v>0</v>
      </c>
      <c r="U6" s="54">
        <v>19</v>
      </c>
      <c r="V6" s="54">
        <v>0</v>
      </c>
      <c r="W6" s="54">
        <v>0</v>
      </c>
      <c r="X6" s="54">
        <v>15</v>
      </c>
      <c r="Y6" s="54">
        <v>9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15</v>
      </c>
      <c r="AF6" s="54">
        <v>12</v>
      </c>
      <c r="AG6" s="5">
        <f t="shared" si="2"/>
        <v>150</v>
      </c>
    </row>
    <row r="7" spans="1:33" ht="18.75" x14ac:dyDescent="0.25">
      <c r="A7" s="56" t="s">
        <v>5</v>
      </c>
      <c r="B7" s="54">
        <v>0</v>
      </c>
      <c r="C7" s="54">
        <v>12</v>
      </c>
      <c r="D7" s="54">
        <v>15</v>
      </c>
      <c r="E7" s="54">
        <v>0</v>
      </c>
      <c r="F7" s="54">
        <v>0</v>
      </c>
      <c r="G7" s="54">
        <v>0</v>
      </c>
      <c r="H7" s="54">
        <v>0</v>
      </c>
      <c r="I7" s="54">
        <v>0</v>
      </c>
      <c r="J7" s="54">
        <v>12</v>
      </c>
      <c r="K7" s="54">
        <v>13</v>
      </c>
      <c r="L7" s="54">
        <v>0</v>
      </c>
      <c r="M7" s="54">
        <v>0</v>
      </c>
      <c r="N7" s="54">
        <v>0</v>
      </c>
      <c r="O7" s="54">
        <v>0</v>
      </c>
      <c r="P7" s="54">
        <v>21</v>
      </c>
      <c r="Q7" s="54">
        <v>17</v>
      </c>
      <c r="R7" s="54">
        <v>13</v>
      </c>
      <c r="S7" s="54">
        <v>0</v>
      </c>
      <c r="T7" s="54">
        <v>0</v>
      </c>
      <c r="U7" s="54">
        <v>11</v>
      </c>
      <c r="V7" s="54">
        <v>0</v>
      </c>
      <c r="W7" s="54">
        <v>0</v>
      </c>
      <c r="X7" s="54">
        <v>9</v>
      </c>
      <c r="Y7" s="54">
        <v>16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13</v>
      </c>
      <c r="AF7" s="54">
        <v>14</v>
      </c>
      <c r="AG7" s="5">
        <f t="shared" si="2"/>
        <v>166</v>
      </c>
    </row>
    <row r="8" spans="1:33" ht="18.75" x14ac:dyDescent="0.25">
      <c r="A8" s="56" t="s">
        <v>6</v>
      </c>
      <c r="B8" s="54">
        <v>0</v>
      </c>
      <c r="C8" s="54">
        <v>10</v>
      </c>
      <c r="D8" s="54">
        <v>14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  <c r="J8" s="54">
        <v>9</v>
      </c>
      <c r="K8" s="54">
        <v>13</v>
      </c>
      <c r="L8" s="54">
        <v>0</v>
      </c>
      <c r="M8" s="54">
        <v>0</v>
      </c>
      <c r="N8" s="54">
        <v>0</v>
      </c>
      <c r="O8" s="54">
        <v>0</v>
      </c>
      <c r="P8" s="54">
        <v>14</v>
      </c>
      <c r="Q8" s="54">
        <v>12</v>
      </c>
      <c r="R8" s="54">
        <v>14</v>
      </c>
      <c r="S8" s="54">
        <v>0</v>
      </c>
      <c r="T8" s="54">
        <v>0</v>
      </c>
      <c r="U8" s="54">
        <v>11</v>
      </c>
      <c r="V8" s="54">
        <v>0</v>
      </c>
      <c r="W8" s="54">
        <v>0</v>
      </c>
      <c r="X8" s="54">
        <v>14</v>
      </c>
      <c r="Y8" s="54">
        <v>18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6</v>
      </c>
      <c r="AF8" s="54">
        <v>15</v>
      </c>
      <c r="AG8" s="5">
        <f t="shared" si="2"/>
        <v>150</v>
      </c>
    </row>
    <row r="9" spans="1:33" ht="18.75" x14ac:dyDescent="0.25">
      <c r="A9" s="56" t="s">
        <v>7</v>
      </c>
      <c r="B9" s="54">
        <v>0</v>
      </c>
      <c r="C9" s="54">
        <v>11</v>
      </c>
      <c r="D9" s="54">
        <v>7</v>
      </c>
      <c r="E9" s="54">
        <v>0</v>
      </c>
      <c r="F9" s="54">
        <v>0</v>
      </c>
      <c r="G9" s="54">
        <v>0</v>
      </c>
      <c r="H9" s="54">
        <v>0</v>
      </c>
      <c r="I9" s="54">
        <v>0</v>
      </c>
      <c r="J9" s="54">
        <v>11</v>
      </c>
      <c r="K9" s="54">
        <v>7</v>
      </c>
      <c r="L9" s="54">
        <v>0</v>
      </c>
      <c r="M9" s="54">
        <v>0</v>
      </c>
      <c r="N9" s="54">
        <v>0</v>
      </c>
      <c r="O9" s="54">
        <v>0</v>
      </c>
      <c r="P9" s="54">
        <v>8</v>
      </c>
      <c r="Q9" s="54">
        <v>13</v>
      </c>
      <c r="R9" s="54">
        <v>18</v>
      </c>
      <c r="S9" s="54">
        <v>0</v>
      </c>
      <c r="T9" s="54">
        <v>0</v>
      </c>
      <c r="U9" s="54">
        <v>11</v>
      </c>
      <c r="V9" s="54">
        <v>0</v>
      </c>
      <c r="W9" s="54">
        <v>0</v>
      </c>
      <c r="X9" s="54">
        <v>12</v>
      </c>
      <c r="Y9" s="54">
        <v>6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7</v>
      </c>
      <c r="AF9" s="54">
        <v>5</v>
      </c>
      <c r="AG9" s="5">
        <f t="shared" si="2"/>
        <v>116</v>
      </c>
    </row>
    <row r="10" spans="1:33" ht="18.75" x14ac:dyDescent="0.25">
      <c r="A10" s="56" t="s">
        <v>8</v>
      </c>
      <c r="B10" s="54">
        <v>0</v>
      </c>
      <c r="C10" s="54">
        <v>8</v>
      </c>
      <c r="D10" s="54">
        <v>12</v>
      </c>
      <c r="E10" s="54">
        <v>0</v>
      </c>
      <c r="F10" s="54">
        <v>0</v>
      </c>
      <c r="G10" s="54">
        <v>0</v>
      </c>
      <c r="H10" s="54">
        <v>0</v>
      </c>
      <c r="I10" s="54">
        <v>0</v>
      </c>
      <c r="J10" s="54">
        <v>7</v>
      </c>
      <c r="K10" s="54">
        <v>9</v>
      </c>
      <c r="L10" s="54">
        <v>0</v>
      </c>
      <c r="M10" s="54">
        <v>0</v>
      </c>
      <c r="N10" s="54">
        <v>0</v>
      </c>
      <c r="O10" s="54">
        <v>0</v>
      </c>
      <c r="P10" s="54">
        <v>15</v>
      </c>
      <c r="Q10" s="54">
        <v>9</v>
      </c>
      <c r="R10" s="54">
        <v>11</v>
      </c>
      <c r="S10" s="54">
        <v>0</v>
      </c>
      <c r="T10" s="54">
        <v>0</v>
      </c>
      <c r="U10" s="54">
        <v>13</v>
      </c>
      <c r="V10" s="54">
        <v>0</v>
      </c>
      <c r="W10" s="54">
        <v>0</v>
      </c>
      <c r="X10" s="54">
        <v>8</v>
      </c>
      <c r="Y10" s="54">
        <v>9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3</v>
      </c>
      <c r="AF10" s="54">
        <v>10</v>
      </c>
      <c r="AG10" s="5">
        <f t="shared" si="2"/>
        <v>114</v>
      </c>
    </row>
    <row r="11" spans="1:33" ht="18.75" x14ac:dyDescent="0.25">
      <c r="A11" s="56" t="s">
        <v>9</v>
      </c>
      <c r="B11" s="54">
        <v>0</v>
      </c>
      <c r="C11" s="54">
        <v>10</v>
      </c>
      <c r="D11" s="54">
        <v>10</v>
      </c>
      <c r="E11" s="54">
        <v>0</v>
      </c>
      <c r="F11" s="54">
        <v>0</v>
      </c>
      <c r="G11" s="54">
        <v>0</v>
      </c>
      <c r="H11" s="54">
        <v>0</v>
      </c>
      <c r="I11" s="54">
        <v>7</v>
      </c>
      <c r="J11" s="54">
        <v>10</v>
      </c>
      <c r="K11" s="54">
        <v>14</v>
      </c>
      <c r="L11" s="54">
        <v>0</v>
      </c>
      <c r="M11" s="54">
        <v>0</v>
      </c>
      <c r="N11" s="54">
        <v>0</v>
      </c>
      <c r="O11" s="54">
        <v>0</v>
      </c>
      <c r="P11" s="54">
        <v>10</v>
      </c>
      <c r="Q11" s="54">
        <v>19</v>
      </c>
      <c r="R11" s="54">
        <v>13</v>
      </c>
      <c r="S11" s="54">
        <v>0</v>
      </c>
      <c r="T11" s="54">
        <v>0</v>
      </c>
      <c r="U11" s="54">
        <v>14</v>
      </c>
      <c r="V11" s="54">
        <v>0</v>
      </c>
      <c r="W11" s="54">
        <v>2</v>
      </c>
      <c r="X11" s="54">
        <v>13</v>
      </c>
      <c r="Y11" s="54">
        <v>9</v>
      </c>
      <c r="Z11" s="54">
        <v>0</v>
      </c>
      <c r="AA11" s="54">
        <v>0</v>
      </c>
      <c r="AB11" s="54">
        <v>0</v>
      </c>
      <c r="AC11" s="54">
        <v>0</v>
      </c>
      <c r="AD11" s="54">
        <v>7</v>
      </c>
      <c r="AE11" s="54">
        <v>12</v>
      </c>
      <c r="AF11" s="54">
        <v>14</v>
      </c>
      <c r="AG11" s="5">
        <f t="shared" si="2"/>
        <v>164</v>
      </c>
    </row>
    <row r="12" spans="1:33" ht="18.75" x14ac:dyDescent="0.25">
      <c r="A12" s="56" t="s">
        <v>10</v>
      </c>
      <c r="B12" s="54">
        <v>20</v>
      </c>
      <c r="C12" s="54">
        <v>10</v>
      </c>
      <c r="D12" s="54">
        <v>12</v>
      </c>
      <c r="E12" s="54">
        <v>2</v>
      </c>
      <c r="F12" s="54">
        <v>10</v>
      </c>
      <c r="G12" s="54">
        <v>6</v>
      </c>
      <c r="H12" s="54">
        <v>5</v>
      </c>
      <c r="I12" s="54">
        <v>20</v>
      </c>
      <c r="J12" s="54">
        <v>14</v>
      </c>
      <c r="K12" s="54">
        <v>0</v>
      </c>
      <c r="L12" s="54">
        <v>5</v>
      </c>
      <c r="M12" s="54">
        <v>7</v>
      </c>
      <c r="N12" s="54">
        <v>4</v>
      </c>
      <c r="O12" s="54">
        <v>9</v>
      </c>
      <c r="P12" s="54">
        <v>12</v>
      </c>
      <c r="Q12" s="54">
        <v>18</v>
      </c>
      <c r="R12" s="54">
        <v>14</v>
      </c>
      <c r="S12" s="54">
        <v>0</v>
      </c>
      <c r="T12" s="54">
        <v>1</v>
      </c>
      <c r="U12" s="54">
        <v>18</v>
      </c>
      <c r="V12" s="54">
        <v>7</v>
      </c>
      <c r="W12" s="54">
        <v>33</v>
      </c>
      <c r="X12" s="54">
        <v>6</v>
      </c>
      <c r="Y12" s="54">
        <v>17</v>
      </c>
      <c r="Z12" s="54">
        <v>2</v>
      </c>
      <c r="AA12" s="54">
        <v>8</v>
      </c>
      <c r="AB12" s="54">
        <v>5</v>
      </c>
      <c r="AC12" s="54">
        <v>5</v>
      </c>
      <c r="AD12" s="54">
        <v>26</v>
      </c>
      <c r="AE12" s="54">
        <v>18</v>
      </c>
      <c r="AF12" s="54">
        <v>12</v>
      </c>
      <c r="AG12" s="5">
        <f t="shared" si="2"/>
        <v>326</v>
      </c>
    </row>
    <row r="13" spans="1:33" ht="18.75" x14ac:dyDescent="0.25">
      <c r="A13" s="56" t="s">
        <v>11</v>
      </c>
      <c r="B13" s="54">
        <v>17</v>
      </c>
      <c r="C13" s="54">
        <v>16</v>
      </c>
      <c r="D13" s="54">
        <v>12</v>
      </c>
      <c r="E13" s="54">
        <v>56</v>
      </c>
      <c r="F13" s="54">
        <v>48</v>
      </c>
      <c r="G13" s="54">
        <v>65</v>
      </c>
      <c r="H13" s="54">
        <v>49</v>
      </c>
      <c r="I13" s="54">
        <v>13</v>
      </c>
      <c r="J13" s="54">
        <v>12</v>
      </c>
      <c r="K13" s="54">
        <v>12</v>
      </c>
      <c r="L13" s="54">
        <v>53</v>
      </c>
      <c r="M13" s="54">
        <v>65</v>
      </c>
      <c r="N13" s="54">
        <v>56</v>
      </c>
      <c r="O13" s="54">
        <v>47</v>
      </c>
      <c r="P13" s="54">
        <v>17</v>
      </c>
      <c r="Q13" s="54">
        <v>11</v>
      </c>
      <c r="R13" s="54">
        <v>8</v>
      </c>
      <c r="S13" s="54">
        <v>76</v>
      </c>
      <c r="T13" s="54">
        <v>66</v>
      </c>
      <c r="U13" s="54">
        <v>20</v>
      </c>
      <c r="V13" s="54">
        <v>42</v>
      </c>
      <c r="W13" s="54">
        <v>11</v>
      </c>
      <c r="X13" s="54">
        <v>11</v>
      </c>
      <c r="Y13" s="54">
        <v>10</v>
      </c>
      <c r="Z13" s="54">
        <v>64</v>
      </c>
      <c r="AA13" s="54">
        <v>54</v>
      </c>
      <c r="AB13" s="54">
        <v>60</v>
      </c>
      <c r="AC13" s="54">
        <v>54</v>
      </c>
      <c r="AD13" s="54">
        <v>12</v>
      </c>
      <c r="AE13" s="54">
        <v>16</v>
      </c>
      <c r="AF13" s="54">
        <v>12</v>
      </c>
      <c r="AG13" s="5">
        <f t="shared" si="2"/>
        <v>1065</v>
      </c>
    </row>
    <row r="14" spans="1:33" ht="18.75" x14ac:dyDescent="0.25">
      <c r="A14" s="56" t="s">
        <v>12</v>
      </c>
      <c r="B14" s="54">
        <v>8</v>
      </c>
      <c r="C14" s="54">
        <v>5</v>
      </c>
      <c r="D14" s="54">
        <v>10</v>
      </c>
      <c r="E14" s="54">
        <v>12</v>
      </c>
      <c r="F14" s="54">
        <v>10</v>
      </c>
      <c r="G14" s="54">
        <v>8</v>
      </c>
      <c r="H14" s="54">
        <v>15</v>
      </c>
      <c r="I14" s="54">
        <v>18</v>
      </c>
      <c r="J14" s="54">
        <v>14</v>
      </c>
      <c r="K14" s="54">
        <v>0</v>
      </c>
      <c r="L14" s="54">
        <v>13</v>
      </c>
      <c r="M14" s="54">
        <v>21</v>
      </c>
      <c r="N14" s="54">
        <v>14</v>
      </c>
      <c r="O14" s="54">
        <v>13</v>
      </c>
      <c r="P14" s="54">
        <v>4</v>
      </c>
      <c r="Q14" s="54">
        <v>11</v>
      </c>
      <c r="R14" s="54">
        <v>4</v>
      </c>
      <c r="S14" s="54">
        <v>17</v>
      </c>
      <c r="T14" s="54">
        <v>6</v>
      </c>
      <c r="U14" s="54">
        <v>13</v>
      </c>
      <c r="V14" s="54">
        <v>13</v>
      </c>
      <c r="W14" s="54">
        <v>7</v>
      </c>
      <c r="X14" s="54">
        <v>12</v>
      </c>
      <c r="Y14" s="54">
        <v>4</v>
      </c>
      <c r="Z14" s="54">
        <v>20</v>
      </c>
      <c r="AA14" s="54">
        <v>21</v>
      </c>
      <c r="AB14" s="54">
        <v>16</v>
      </c>
      <c r="AC14" s="54">
        <v>16</v>
      </c>
      <c r="AD14" s="54">
        <v>8</v>
      </c>
      <c r="AE14" s="54">
        <v>7</v>
      </c>
      <c r="AF14" s="54">
        <v>7</v>
      </c>
      <c r="AG14" s="5">
        <f t="shared" si="2"/>
        <v>347</v>
      </c>
    </row>
    <row r="15" spans="1:33" ht="18.75" x14ac:dyDescent="0.25">
      <c r="A15" s="56" t="s">
        <v>13</v>
      </c>
      <c r="B15" s="54">
        <v>4</v>
      </c>
      <c r="C15" s="54">
        <v>6</v>
      </c>
      <c r="D15" s="54">
        <v>4</v>
      </c>
      <c r="E15" s="54">
        <v>14</v>
      </c>
      <c r="F15" s="54">
        <v>10</v>
      </c>
      <c r="G15" s="54">
        <v>9</v>
      </c>
      <c r="H15" s="54">
        <v>13</v>
      </c>
      <c r="I15" s="54">
        <v>15</v>
      </c>
      <c r="J15" s="54">
        <v>11</v>
      </c>
      <c r="K15" s="54">
        <v>6</v>
      </c>
      <c r="L15" s="54">
        <v>12</v>
      </c>
      <c r="M15" s="54">
        <v>13</v>
      </c>
      <c r="N15" s="54">
        <v>12</v>
      </c>
      <c r="O15" s="54">
        <v>9</v>
      </c>
      <c r="P15" s="54">
        <v>6</v>
      </c>
      <c r="Q15" s="54">
        <v>7</v>
      </c>
      <c r="R15" s="54">
        <v>6</v>
      </c>
      <c r="S15" s="54">
        <v>12</v>
      </c>
      <c r="T15" s="54">
        <v>15</v>
      </c>
      <c r="U15" s="54">
        <v>7</v>
      </c>
      <c r="V15" s="54">
        <v>10</v>
      </c>
      <c r="W15" s="54">
        <v>8</v>
      </c>
      <c r="X15" s="54">
        <v>6</v>
      </c>
      <c r="Y15" s="54">
        <v>7</v>
      </c>
      <c r="Z15" s="54">
        <v>16</v>
      </c>
      <c r="AA15" s="54">
        <v>12</v>
      </c>
      <c r="AB15" s="54">
        <v>14</v>
      </c>
      <c r="AC15" s="54">
        <v>4</v>
      </c>
      <c r="AD15" s="54">
        <v>7</v>
      </c>
      <c r="AE15" s="54">
        <v>7</v>
      </c>
      <c r="AF15" s="54">
        <v>10</v>
      </c>
      <c r="AG15" s="5">
        <f t="shared" si="2"/>
        <v>292</v>
      </c>
    </row>
    <row r="16" spans="1:33" ht="18.75" x14ac:dyDescent="0.25">
      <c r="A16" s="56" t="s">
        <v>14</v>
      </c>
      <c r="B16" s="54">
        <v>10</v>
      </c>
      <c r="C16" s="54">
        <v>10</v>
      </c>
      <c r="D16" s="54">
        <v>12</v>
      </c>
      <c r="E16" s="54">
        <v>13</v>
      </c>
      <c r="F16" s="54">
        <v>16</v>
      </c>
      <c r="G16" s="54">
        <v>8</v>
      </c>
      <c r="H16" s="54">
        <v>6</v>
      </c>
      <c r="I16" s="54">
        <v>12</v>
      </c>
      <c r="J16" s="54">
        <v>6</v>
      </c>
      <c r="K16" s="54">
        <v>14</v>
      </c>
      <c r="L16" s="54">
        <v>18</v>
      </c>
      <c r="M16" s="54">
        <v>9</v>
      </c>
      <c r="N16" s="54">
        <v>14</v>
      </c>
      <c r="O16" s="54">
        <v>9</v>
      </c>
      <c r="P16" s="54">
        <v>4</v>
      </c>
      <c r="Q16" s="54">
        <v>3</v>
      </c>
      <c r="R16" s="54">
        <v>13</v>
      </c>
      <c r="S16" s="54">
        <v>6</v>
      </c>
      <c r="T16" s="54">
        <v>9</v>
      </c>
      <c r="U16" s="54">
        <v>7</v>
      </c>
      <c r="V16" s="54">
        <v>7</v>
      </c>
      <c r="W16" s="54">
        <v>6</v>
      </c>
      <c r="X16" s="54">
        <v>8</v>
      </c>
      <c r="Y16" s="54">
        <v>5</v>
      </c>
      <c r="Z16" s="54">
        <v>12</v>
      </c>
      <c r="AA16" s="54">
        <v>15</v>
      </c>
      <c r="AB16" s="54">
        <v>14</v>
      </c>
      <c r="AC16" s="54">
        <v>15</v>
      </c>
      <c r="AD16" s="54">
        <v>10</v>
      </c>
      <c r="AE16" s="54">
        <v>7</v>
      </c>
      <c r="AF16" s="54">
        <v>4</v>
      </c>
      <c r="AG16" s="5">
        <f t="shared" si="2"/>
        <v>302</v>
      </c>
    </row>
    <row r="17" spans="1:33" ht="18.75" x14ac:dyDescent="0.25">
      <c r="A17" s="56" t="s">
        <v>15</v>
      </c>
      <c r="B17" s="54">
        <v>5</v>
      </c>
      <c r="C17" s="54">
        <v>3</v>
      </c>
      <c r="D17" s="54">
        <v>1</v>
      </c>
      <c r="E17" s="54">
        <v>10</v>
      </c>
      <c r="F17" s="54">
        <v>7</v>
      </c>
      <c r="G17" s="54">
        <v>7</v>
      </c>
      <c r="H17" s="54">
        <v>10</v>
      </c>
      <c r="I17" s="54">
        <v>7</v>
      </c>
      <c r="J17" s="54">
        <v>7</v>
      </c>
      <c r="K17" s="54">
        <v>15</v>
      </c>
      <c r="L17" s="54">
        <v>16</v>
      </c>
      <c r="M17" s="54">
        <v>8</v>
      </c>
      <c r="N17" s="54">
        <v>13</v>
      </c>
      <c r="O17" s="54">
        <v>7</v>
      </c>
      <c r="P17" s="54">
        <v>2</v>
      </c>
      <c r="Q17" s="54">
        <v>4</v>
      </c>
      <c r="R17" s="54">
        <v>3</v>
      </c>
      <c r="S17" s="54">
        <v>13</v>
      </c>
      <c r="T17" s="54">
        <v>3</v>
      </c>
      <c r="U17" s="54">
        <v>2</v>
      </c>
      <c r="V17" s="54">
        <v>10</v>
      </c>
      <c r="W17" s="54">
        <v>6</v>
      </c>
      <c r="X17" s="54">
        <v>2</v>
      </c>
      <c r="Y17" s="54">
        <v>11</v>
      </c>
      <c r="Z17" s="54">
        <v>7</v>
      </c>
      <c r="AA17" s="54">
        <v>7</v>
      </c>
      <c r="AB17" s="54">
        <v>8</v>
      </c>
      <c r="AC17" s="54">
        <v>5</v>
      </c>
      <c r="AD17" s="54">
        <v>4</v>
      </c>
      <c r="AE17" s="54">
        <v>2</v>
      </c>
      <c r="AF17" s="54">
        <v>4</v>
      </c>
      <c r="AG17" s="5">
        <f t="shared" si="2"/>
        <v>209</v>
      </c>
    </row>
    <row r="18" spans="1:33" ht="18.75" x14ac:dyDescent="0.25">
      <c r="A18" s="56" t="s">
        <v>16</v>
      </c>
      <c r="B18" s="54">
        <v>4</v>
      </c>
      <c r="C18" s="54">
        <v>4</v>
      </c>
      <c r="D18" s="54">
        <v>3</v>
      </c>
      <c r="E18" s="54">
        <v>5</v>
      </c>
      <c r="F18" s="54">
        <v>8</v>
      </c>
      <c r="G18" s="54">
        <v>9</v>
      </c>
      <c r="H18" s="54">
        <v>6</v>
      </c>
      <c r="I18" s="54">
        <v>4</v>
      </c>
      <c r="J18" s="54">
        <v>7</v>
      </c>
      <c r="K18" s="54">
        <v>9</v>
      </c>
      <c r="L18" s="54">
        <v>10</v>
      </c>
      <c r="M18" s="54">
        <v>6</v>
      </c>
      <c r="N18" s="54">
        <v>6</v>
      </c>
      <c r="O18" s="54">
        <v>6</v>
      </c>
      <c r="P18" s="54">
        <v>7</v>
      </c>
      <c r="Q18" s="54">
        <v>5</v>
      </c>
      <c r="R18" s="54">
        <v>4</v>
      </c>
      <c r="S18" s="54">
        <v>5</v>
      </c>
      <c r="T18" s="54">
        <v>5</v>
      </c>
      <c r="U18" s="54">
        <v>3</v>
      </c>
      <c r="V18" s="54">
        <v>7</v>
      </c>
      <c r="W18" s="54">
        <v>4</v>
      </c>
      <c r="X18" s="54">
        <v>10</v>
      </c>
      <c r="Y18" s="54">
        <v>5</v>
      </c>
      <c r="Z18" s="54">
        <v>4</v>
      </c>
      <c r="AA18" s="54">
        <v>6</v>
      </c>
      <c r="AB18" s="54">
        <v>7</v>
      </c>
      <c r="AC18" s="54">
        <v>4</v>
      </c>
      <c r="AD18" s="54">
        <v>8</v>
      </c>
      <c r="AE18" s="54">
        <v>6</v>
      </c>
      <c r="AF18" s="54">
        <v>8</v>
      </c>
      <c r="AG18" s="5">
        <f t="shared" si="2"/>
        <v>185</v>
      </c>
    </row>
    <row r="19" spans="1:33" ht="18.75" x14ac:dyDescent="0.25">
      <c r="A19" s="56" t="s">
        <v>17</v>
      </c>
      <c r="B19" s="54">
        <v>4</v>
      </c>
      <c r="C19" s="54">
        <v>0</v>
      </c>
      <c r="D19" s="54">
        <v>7</v>
      </c>
      <c r="E19" s="54">
        <v>8</v>
      </c>
      <c r="F19" s="54">
        <v>5</v>
      </c>
      <c r="G19" s="54">
        <v>5</v>
      </c>
      <c r="H19" s="54">
        <v>4</v>
      </c>
      <c r="I19" s="54">
        <v>4</v>
      </c>
      <c r="J19" s="54">
        <v>2</v>
      </c>
      <c r="K19" s="54">
        <v>4</v>
      </c>
      <c r="L19" s="54">
        <v>3</v>
      </c>
      <c r="M19" s="54">
        <v>5</v>
      </c>
      <c r="N19" s="54">
        <v>1</v>
      </c>
      <c r="O19" s="54">
        <v>9</v>
      </c>
      <c r="P19" s="54">
        <v>1</v>
      </c>
      <c r="Q19" s="54">
        <v>3</v>
      </c>
      <c r="R19" s="54">
        <v>4</v>
      </c>
      <c r="S19" s="54">
        <v>2</v>
      </c>
      <c r="T19" s="54">
        <v>4</v>
      </c>
      <c r="U19" s="54">
        <v>3</v>
      </c>
      <c r="V19" s="54">
        <v>6</v>
      </c>
      <c r="W19" s="54">
        <v>3</v>
      </c>
      <c r="X19" s="54">
        <v>3</v>
      </c>
      <c r="Y19" s="54">
        <v>3</v>
      </c>
      <c r="Z19" s="54">
        <v>6</v>
      </c>
      <c r="AA19" s="54">
        <v>0</v>
      </c>
      <c r="AB19" s="54">
        <v>6</v>
      </c>
      <c r="AC19" s="54">
        <v>4</v>
      </c>
      <c r="AD19" s="54">
        <v>1</v>
      </c>
      <c r="AE19" s="54">
        <v>3</v>
      </c>
      <c r="AF19" s="54">
        <v>4</v>
      </c>
      <c r="AG19" s="5">
        <f t="shared" si="2"/>
        <v>117</v>
      </c>
    </row>
    <row r="20" spans="1:33" ht="18.75" x14ac:dyDescent="0.25">
      <c r="A20" s="56" t="s">
        <v>18</v>
      </c>
      <c r="B20" s="54">
        <v>3</v>
      </c>
      <c r="C20" s="54">
        <v>2</v>
      </c>
      <c r="D20" s="54">
        <v>1</v>
      </c>
      <c r="E20" s="54">
        <v>2</v>
      </c>
      <c r="F20" s="54">
        <v>2</v>
      </c>
      <c r="G20" s="54">
        <v>3</v>
      </c>
      <c r="H20" s="54">
        <v>2</v>
      </c>
      <c r="I20" s="54">
        <v>1</v>
      </c>
      <c r="J20" s="54">
        <v>1</v>
      </c>
      <c r="K20" s="54">
        <v>4</v>
      </c>
      <c r="L20" s="54">
        <v>2</v>
      </c>
      <c r="M20" s="54">
        <v>1</v>
      </c>
      <c r="N20" s="54">
        <v>1</v>
      </c>
      <c r="O20" s="54">
        <v>0</v>
      </c>
      <c r="P20" s="54">
        <v>2</v>
      </c>
      <c r="Q20" s="54">
        <v>3</v>
      </c>
      <c r="R20" s="54">
        <v>0</v>
      </c>
      <c r="S20" s="54">
        <v>0</v>
      </c>
      <c r="T20" s="54">
        <v>1</v>
      </c>
      <c r="U20" s="54">
        <v>8</v>
      </c>
      <c r="V20" s="54">
        <v>1</v>
      </c>
      <c r="W20" s="54">
        <v>1</v>
      </c>
      <c r="X20" s="54">
        <v>3</v>
      </c>
      <c r="Y20" s="54">
        <v>5</v>
      </c>
      <c r="Z20" s="54">
        <v>2</v>
      </c>
      <c r="AA20" s="54">
        <v>1</v>
      </c>
      <c r="AB20" s="54">
        <v>2</v>
      </c>
      <c r="AC20" s="54">
        <v>2</v>
      </c>
      <c r="AD20" s="54">
        <v>4</v>
      </c>
      <c r="AE20" s="54">
        <v>6</v>
      </c>
      <c r="AF20" s="54">
        <v>2</v>
      </c>
      <c r="AG20" s="5">
        <f t="shared" si="2"/>
        <v>68</v>
      </c>
    </row>
    <row r="21" spans="1:33" ht="15.75" customHeight="1" x14ac:dyDescent="0.25">
      <c r="A21" s="56" t="s">
        <v>19</v>
      </c>
      <c r="B21" s="54">
        <v>0</v>
      </c>
      <c r="C21" s="54">
        <v>2</v>
      </c>
      <c r="D21" s="54">
        <v>8</v>
      </c>
      <c r="E21" s="54">
        <v>1</v>
      </c>
      <c r="F21" s="54">
        <v>3</v>
      </c>
      <c r="G21" s="54">
        <v>3</v>
      </c>
      <c r="H21" s="54">
        <v>4</v>
      </c>
      <c r="I21" s="54">
        <v>4</v>
      </c>
      <c r="J21" s="54">
        <v>4</v>
      </c>
      <c r="K21" s="54">
        <v>1</v>
      </c>
      <c r="L21" s="54">
        <v>4</v>
      </c>
      <c r="M21" s="54">
        <v>2</v>
      </c>
      <c r="N21" s="54">
        <v>0</v>
      </c>
      <c r="O21" s="54">
        <v>5</v>
      </c>
      <c r="P21" s="54">
        <v>4</v>
      </c>
      <c r="Q21" s="54">
        <v>2</v>
      </c>
      <c r="R21" s="54">
        <v>0</v>
      </c>
      <c r="S21" s="54">
        <v>1</v>
      </c>
      <c r="T21" s="54">
        <v>5</v>
      </c>
      <c r="U21" s="54">
        <v>2</v>
      </c>
      <c r="V21" s="54">
        <v>1</v>
      </c>
      <c r="W21" s="54">
        <v>1</v>
      </c>
      <c r="X21" s="54">
        <v>0</v>
      </c>
      <c r="Y21" s="54">
        <v>1</v>
      </c>
      <c r="Z21" s="54">
        <v>0</v>
      </c>
      <c r="AA21" s="54">
        <v>2</v>
      </c>
      <c r="AB21" s="54">
        <v>1</v>
      </c>
      <c r="AC21" s="54">
        <v>0</v>
      </c>
      <c r="AD21" s="54">
        <v>0</v>
      </c>
      <c r="AE21" s="54">
        <v>2</v>
      </c>
      <c r="AF21" s="54">
        <v>1</v>
      </c>
      <c r="AG21" s="5">
        <f t="shared" si="2"/>
        <v>64</v>
      </c>
    </row>
    <row r="22" spans="1:33" ht="15.75" customHeight="1" x14ac:dyDescent="0.25">
      <c r="A22" s="56" t="s">
        <v>20</v>
      </c>
      <c r="B22" s="54">
        <v>0</v>
      </c>
      <c r="C22" s="54">
        <v>0</v>
      </c>
      <c r="D22" s="54">
        <v>2</v>
      </c>
      <c r="E22" s="54">
        <v>1</v>
      </c>
      <c r="F22" s="54">
        <v>4</v>
      </c>
      <c r="G22" s="54">
        <v>1</v>
      </c>
      <c r="H22" s="54">
        <v>1</v>
      </c>
      <c r="I22" s="54">
        <v>2</v>
      </c>
      <c r="J22" s="54">
        <v>4</v>
      </c>
      <c r="K22" s="54">
        <v>1</v>
      </c>
      <c r="L22" s="54">
        <v>0</v>
      </c>
      <c r="M22" s="54">
        <v>1</v>
      </c>
      <c r="N22" s="54">
        <v>1</v>
      </c>
      <c r="O22" s="54">
        <v>0</v>
      </c>
      <c r="P22" s="54">
        <v>2</v>
      </c>
      <c r="Q22" s="54">
        <v>0</v>
      </c>
      <c r="R22" s="54">
        <v>1</v>
      </c>
      <c r="S22" s="54">
        <v>1</v>
      </c>
      <c r="T22" s="54">
        <v>0</v>
      </c>
      <c r="U22" s="54">
        <v>2</v>
      </c>
      <c r="V22" s="54">
        <v>0</v>
      </c>
      <c r="W22" s="54">
        <v>4</v>
      </c>
      <c r="X22" s="54">
        <v>1</v>
      </c>
      <c r="Y22" s="54">
        <v>3</v>
      </c>
      <c r="Z22" s="54">
        <v>0</v>
      </c>
      <c r="AA22" s="54">
        <v>2</v>
      </c>
      <c r="AB22" s="54">
        <v>0</v>
      </c>
      <c r="AC22" s="54">
        <v>0</v>
      </c>
      <c r="AD22" s="54">
        <v>1</v>
      </c>
      <c r="AE22" s="54">
        <v>1</v>
      </c>
      <c r="AF22" s="54">
        <v>2</v>
      </c>
      <c r="AG22" s="5">
        <f t="shared" si="2"/>
        <v>38</v>
      </c>
    </row>
    <row r="23" spans="1:33" ht="15.75" customHeight="1" x14ac:dyDescent="0.25">
      <c r="A23" s="56" t="s">
        <v>21</v>
      </c>
      <c r="B23" s="54">
        <v>1</v>
      </c>
      <c r="C23" s="54">
        <v>3</v>
      </c>
      <c r="D23" s="54">
        <v>0</v>
      </c>
      <c r="E23" s="54">
        <v>0</v>
      </c>
      <c r="F23" s="54">
        <v>1</v>
      </c>
      <c r="G23" s="54">
        <v>1</v>
      </c>
      <c r="H23" s="54">
        <v>2</v>
      </c>
      <c r="I23" s="54">
        <v>0</v>
      </c>
      <c r="J23" s="54">
        <v>1</v>
      </c>
      <c r="K23" s="54">
        <v>2</v>
      </c>
      <c r="L23" s="54">
        <v>3</v>
      </c>
      <c r="M23" s="54">
        <v>2</v>
      </c>
      <c r="N23" s="54">
        <v>0</v>
      </c>
      <c r="O23" s="54">
        <v>0</v>
      </c>
      <c r="P23" s="54">
        <v>2</v>
      </c>
      <c r="Q23" s="54">
        <v>1</v>
      </c>
      <c r="R23" s="54">
        <v>1</v>
      </c>
      <c r="S23" s="54">
        <v>5</v>
      </c>
      <c r="T23" s="54">
        <v>1</v>
      </c>
      <c r="U23" s="54">
        <v>1</v>
      </c>
      <c r="V23" s="54">
        <v>0</v>
      </c>
      <c r="W23" s="54">
        <v>0</v>
      </c>
      <c r="X23" s="54">
        <v>0</v>
      </c>
      <c r="Y23" s="54">
        <v>1</v>
      </c>
      <c r="Z23" s="54">
        <v>2</v>
      </c>
      <c r="AA23" s="54">
        <v>0</v>
      </c>
      <c r="AB23" s="54">
        <v>3</v>
      </c>
      <c r="AC23" s="54">
        <v>0</v>
      </c>
      <c r="AD23" s="54">
        <v>1</v>
      </c>
      <c r="AE23" s="54">
        <v>1</v>
      </c>
      <c r="AF23" s="54">
        <v>2</v>
      </c>
      <c r="AG23" s="5">
        <f t="shared" si="2"/>
        <v>37</v>
      </c>
    </row>
    <row r="24" spans="1:33" ht="15.75" customHeight="1" x14ac:dyDescent="0.25">
      <c r="A24" s="56" t="s">
        <v>22</v>
      </c>
      <c r="B24" s="54">
        <v>3</v>
      </c>
      <c r="C24" s="54">
        <v>3</v>
      </c>
      <c r="D24" s="54">
        <v>0</v>
      </c>
      <c r="E24" s="54">
        <v>0</v>
      </c>
      <c r="F24" s="54">
        <v>1</v>
      </c>
      <c r="G24" s="54">
        <v>0</v>
      </c>
      <c r="H24" s="54">
        <v>1</v>
      </c>
      <c r="I24" s="54">
        <v>0</v>
      </c>
      <c r="J24" s="54">
        <v>0</v>
      </c>
      <c r="K24" s="54">
        <v>3</v>
      </c>
      <c r="L24" s="54">
        <v>1</v>
      </c>
      <c r="M24" s="54">
        <v>0</v>
      </c>
      <c r="N24" s="54">
        <v>0</v>
      </c>
      <c r="O24" s="54">
        <v>2</v>
      </c>
      <c r="P24" s="54">
        <v>0</v>
      </c>
      <c r="Q24" s="54">
        <v>0</v>
      </c>
      <c r="R24" s="54">
        <v>0</v>
      </c>
      <c r="S24" s="54">
        <v>1</v>
      </c>
      <c r="T24" s="54">
        <v>1</v>
      </c>
      <c r="U24" s="54">
        <v>1</v>
      </c>
      <c r="V24" s="54">
        <v>2</v>
      </c>
      <c r="W24" s="54">
        <v>1</v>
      </c>
      <c r="X24" s="54">
        <v>0</v>
      </c>
      <c r="Y24" s="54">
        <v>0</v>
      </c>
      <c r="Z24" s="54">
        <v>1</v>
      </c>
      <c r="AA24" s="54">
        <v>0</v>
      </c>
      <c r="AB24" s="54">
        <v>1</v>
      </c>
      <c r="AC24" s="54">
        <v>2</v>
      </c>
      <c r="AD24" s="54">
        <v>2</v>
      </c>
      <c r="AE24" s="54">
        <v>1</v>
      </c>
      <c r="AF24" s="54">
        <v>1</v>
      </c>
      <c r="AG24" s="5">
        <f t="shared" si="2"/>
        <v>28</v>
      </c>
    </row>
    <row r="25" spans="1:33" ht="15.75" customHeight="1" x14ac:dyDescent="0.25">
      <c r="A25" s="56" t="s">
        <v>23</v>
      </c>
      <c r="B25" s="54">
        <v>0</v>
      </c>
      <c r="C25" s="54">
        <v>2</v>
      </c>
      <c r="D25" s="54">
        <v>1</v>
      </c>
      <c r="E25" s="54">
        <v>1</v>
      </c>
      <c r="F25" s="54">
        <v>0</v>
      </c>
      <c r="G25" s="54">
        <v>0</v>
      </c>
      <c r="H25" s="54">
        <v>0</v>
      </c>
      <c r="I25" s="54">
        <v>0</v>
      </c>
      <c r="J25" s="54">
        <v>1</v>
      </c>
      <c r="K25" s="54">
        <v>1</v>
      </c>
      <c r="L25" s="54">
        <v>1</v>
      </c>
      <c r="M25" s="54">
        <v>0</v>
      </c>
      <c r="N25" s="54">
        <v>0</v>
      </c>
      <c r="O25" s="54">
        <v>1</v>
      </c>
      <c r="P25" s="54">
        <v>0</v>
      </c>
      <c r="Q25" s="54">
        <v>0</v>
      </c>
      <c r="R25" s="54">
        <v>1</v>
      </c>
      <c r="S25" s="54">
        <v>0</v>
      </c>
      <c r="T25" s="54">
        <v>1</v>
      </c>
      <c r="U25" s="54">
        <v>1</v>
      </c>
      <c r="V25" s="54">
        <v>1</v>
      </c>
      <c r="W25" s="54">
        <v>2</v>
      </c>
      <c r="X25" s="54">
        <v>0</v>
      </c>
      <c r="Y25" s="54">
        <v>0</v>
      </c>
      <c r="Z25" s="54">
        <v>0</v>
      </c>
      <c r="AA25" s="54">
        <v>0</v>
      </c>
      <c r="AB25" s="54">
        <v>1</v>
      </c>
      <c r="AC25" s="54">
        <v>1</v>
      </c>
      <c r="AD25" s="54">
        <v>0</v>
      </c>
      <c r="AE25" s="54">
        <v>2</v>
      </c>
      <c r="AF25" s="54">
        <v>1</v>
      </c>
      <c r="AG25" s="5">
        <f t="shared" si="2"/>
        <v>19</v>
      </c>
    </row>
    <row r="26" spans="1:33" ht="15.75" customHeight="1" x14ac:dyDescent="0.25">
      <c r="A26" s="56" t="s">
        <v>24</v>
      </c>
      <c r="B26" s="54">
        <v>1</v>
      </c>
      <c r="C26" s="54">
        <v>1</v>
      </c>
      <c r="D26" s="54">
        <v>2</v>
      </c>
      <c r="E26" s="54">
        <v>0</v>
      </c>
      <c r="F26" s="54">
        <v>1</v>
      </c>
      <c r="G26" s="54">
        <v>2</v>
      </c>
      <c r="H26" s="54">
        <v>0</v>
      </c>
      <c r="I26" s="54">
        <v>2</v>
      </c>
      <c r="J26" s="54">
        <v>0</v>
      </c>
      <c r="K26" s="54">
        <v>1</v>
      </c>
      <c r="L26" s="54">
        <v>0</v>
      </c>
      <c r="M26" s="54">
        <v>1</v>
      </c>
      <c r="N26" s="54">
        <v>0</v>
      </c>
      <c r="O26" s="54">
        <v>0</v>
      </c>
      <c r="P26" s="54">
        <v>0</v>
      </c>
      <c r="Q26" s="54">
        <v>2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3</v>
      </c>
      <c r="AA26" s="54">
        <v>0</v>
      </c>
      <c r="AB26" s="54">
        <v>3</v>
      </c>
      <c r="AC26" s="54">
        <v>0</v>
      </c>
      <c r="AD26" s="54">
        <v>0</v>
      </c>
      <c r="AE26" s="54">
        <v>1</v>
      </c>
      <c r="AF26" s="54">
        <v>1</v>
      </c>
      <c r="AG26" s="5">
        <f t="shared" si="2"/>
        <v>21</v>
      </c>
    </row>
    <row r="27" spans="1:33" ht="15.75" customHeight="1" thickBot="1" x14ac:dyDescent="0.3">
      <c r="A27" s="57" t="s">
        <v>25</v>
      </c>
      <c r="B27" s="58">
        <v>0</v>
      </c>
      <c r="C27" s="58">
        <v>1</v>
      </c>
      <c r="D27" s="58">
        <v>3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0</v>
      </c>
      <c r="M27" s="58">
        <v>0</v>
      </c>
      <c r="N27" s="58">
        <v>0</v>
      </c>
      <c r="O27" s="58">
        <v>0</v>
      </c>
      <c r="P27" s="58">
        <v>1</v>
      </c>
      <c r="Q27" s="58">
        <v>2</v>
      </c>
      <c r="R27" s="58">
        <v>2</v>
      </c>
      <c r="S27" s="58">
        <v>2</v>
      </c>
      <c r="T27" s="58">
        <v>1</v>
      </c>
      <c r="U27" s="58">
        <v>1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B27" s="58">
        <v>0</v>
      </c>
      <c r="AC27" s="58">
        <v>0</v>
      </c>
      <c r="AD27" s="58">
        <v>0</v>
      </c>
      <c r="AE27" s="58">
        <v>1</v>
      </c>
      <c r="AF27" s="58">
        <v>2</v>
      </c>
      <c r="AG27" s="5">
        <f t="shared" si="2"/>
        <v>16</v>
      </c>
    </row>
    <row r="28" spans="1:33" ht="15.75" customHeight="1" x14ac:dyDescent="0.25">
      <c r="A28" s="59" t="s">
        <v>26</v>
      </c>
      <c r="B28" s="6">
        <f t="shared" ref="B28:AF28" si="3">SUM(B29:B52)</f>
        <v>77</v>
      </c>
      <c r="C28" s="6">
        <f t="shared" si="3"/>
        <v>162</v>
      </c>
      <c r="D28" s="6">
        <f t="shared" si="3"/>
        <v>163</v>
      </c>
      <c r="E28" s="6">
        <f t="shared" si="3"/>
        <v>118</v>
      </c>
      <c r="F28" s="6">
        <f t="shared" si="3"/>
        <v>114</v>
      </c>
      <c r="G28" s="6">
        <f t="shared" si="3"/>
        <v>119</v>
      </c>
      <c r="H28" s="6">
        <f t="shared" si="3"/>
        <v>114</v>
      </c>
      <c r="I28" s="6">
        <f t="shared" si="3"/>
        <v>105</v>
      </c>
      <c r="J28" s="6">
        <f t="shared" si="3"/>
        <v>157</v>
      </c>
      <c r="K28" s="6">
        <f t="shared" si="3"/>
        <v>132</v>
      </c>
      <c r="L28" s="6">
        <f t="shared" si="3"/>
        <v>129</v>
      </c>
      <c r="M28" s="6">
        <f t="shared" si="3"/>
        <v>127</v>
      </c>
      <c r="N28" s="6">
        <f t="shared" si="3"/>
        <v>104</v>
      </c>
      <c r="O28" s="6">
        <f t="shared" si="3"/>
        <v>111</v>
      </c>
      <c r="P28" s="6">
        <f t="shared" si="3"/>
        <v>150</v>
      </c>
      <c r="Q28" s="6">
        <f t="shared" si="3"/>
        <v>172</v>
      </c>
      <c r="R28" s="6">
        <f t="shared" si="3"/>
        <v>161</v>
      </c>
      <c r="S28" s="6">
        <f t="shared" si="3"/>
        <v>140</v>
      </c>
      <c r="T28" s="6">
        <f t="shared" si="3"/>
        <v>111</v>
      </c>
      <c r="U28" s="6">
        <f t="shared" si="3"/>
        <v>181</v>
      </c>
      <c r="V28" s="6">
        <f t="shared" si="3"/>
        <v>105</v>
      </c>
      <c r="W28" s="6">
        <f t="shared" si="3"/>
        <v>87</v>
      </c>
      <c r="X28" s="6">
        <f t="shared" si="3"/>
        <v>143</v>
      </c>
      <c r="Y28" s="6">
        <f t="shared" si="3"/>
        <v>154</v>
      </c>
      <c r="Z28" s="6">
        <f t="shared" si="3"/>
        <v>120</v>
      </c>
      <c r="AA28" s="6">
        <f t="shared" si="3"/>
        <v>116</v>
      </c>
      <c r="AB28" s="6">
        <f t="shared" si="3"/>
        <v>132</v>
      </c>
      <c r="AC28" s="6">
        <f t="shared" si="3"/>
        <v>108</v>
      </c>
      <c r="AD28" s="6">
        <f t="shared" si="3"/>
        <v>89</v>
      </c>
      <c r="AE28" s="6">
        <f t="shared" si="3"/>
        <v>152</v>
      </c>
      <c r="AF28" s="6">
        <f t="shared" si="3"/>
        <v>149</v>
      </c>
      <c r="AG28" s="7">
        <f t="shared" si="2"/>
        <v>4002</v>
      </c>
    </row>
    <row r="29" spans="1:33" ht="15.75" customHeight="1" x14ac:dyDescent="0.25">
      <c r="A29" s="53" t="s">
        <v>2</v>
      </c>
      <c r="B29" s="54">
        <v>0</v>
      </c>
      <c r="C29" s="55">
        <v>8</v>
      </c>
      <c r="D29" s="55">
        <v>2</v>
      </c>
      <c r="E29" s="55">
        <v>0</v>
      </c>
      <c r="F29" s="55">
        <v>1</v>
      </c>
      <c r="G29" s="55">
        <v>0</v>
      </c>
      <c r="H29" s="55">
        <v>0</v>
      </c>
      <c r="I29" s="55">
        <v>0</v>
      </c>
      <c r="J29" s="55">
        <v>3</v>
      </c>
      <c r="K29" s="55">
        <v>6</v>
      </c>
      <c r="L29" s="55">
        <v>0</v>
      </c>
      <c r="M29" s="55">
        <v>0</v>
      </c>
      <c r="N29" s="55">
        <v>0</v>
      </c>
      <c r="O29" s="55">
        <v>0</v>
      </c>
      <c r="P29" s="55">
        <v>4</v>
      </c>
      <c r="Q29" s="55">
        <v>6</v>
      </c>
      <c r="R29" s="55">
        <v>9</v>
      </c>
      <c r="S29" s="55">
        <v>0</v>
      </c>
      <c r="T29" s="55">
        <v>0</v>
      </c>
      <c r="U29" s="55">
        <v>5</v>
      </c>
      <c r="V29" s="55">
        <v>0</v>
      </c>
      <c r="W29" s="55">
        <v>0</v>
      </c>
      <c r="X29" s="55">
        <v>3</v>
      </c>
      <c r="Y29" s="55">
        <v>2</v>
      </c>
      <c r="Z29" s="55">
        <v>0</v>
      </c>
      <c r="AA29" s="55">
        <v>0</v>
      </c>
      <c r="AB29" s="55">
        <v>0</v>
      </c>
      <c r="AC29" s="55">
        <v>0</v>
      </c>
      <c r="AD29" s="54">
        <v>0</v>
      </c>
      <c r="AE29" s="54">
        <v>3</v>
      </c>
      <c r="AF29" s="54">
        <v>1</v>
      </c>
      <c r="AG29" s="5">
        <f t="shared" si="2"/>
        <v>53</v>
      </c>
    </row>
    <row r="30" spans="1:33" ht="15.75" customHeight="1" x14ac:dyDescent="0.25">
      <c r="A30" s="56" t="s">
        <v>3</v>
      </c>
      <c r="B30" s="54">
        <v>0</v>
      </c>
      <c r="C30" s="54">
        <v>9</v>
      </c>
      <c r="D30" s="54">
        <v>9</v>
      </c>
      <c r="E30" s="54">
        <v>0</v>
      </c>
      <c r="F30" s="54">
        <v>0</v>
      </c>
      <c r="G30" s="54">
        <v>0</v>
      </c>
      <c r="H30" s="54">
        <v>0</v>
      </c>
      <c r="I30" s="54">
        <v>0</v>
      </c>
      <c r="J30" s="54">
        <v>7</v>
      </c>
      <c r="K30" s="54">
        <v>6</v>
      </c>
      <c r="L30" s="54">
        <v>0</v>
      </c>
      <c r="M30" s="54">
        <v>0</v>
      </c>
      <c r="N30" s="54">
        <v>0</v>
      </c>
      <c r="O30" s="54">
        <v>0</v>
      </c>
      <c r="P30" s="54">
        <v>10</v>
      </c>
      <c r="Q30" s="54">
        <v>4</v>
      </c>
      <c r="R30" s="54">
        <v>11</v>
      </c>
      <c r="S30" s="54">
        <v>0</v>
      </c>
      <c r="T30" s="54">
        <v>0</v>
      </c>
      <c r="U30" s="54">
        <v>8</v>
      </c>
      <c r="V30" s="54">
        <v>0</v>
      </c>
      <c r="W30" s="54">
        <v>0</v>
      </c>
      <c r="X30" s="54">
        <v>7</v>
      </c>
      <c r="Y30" s="54">
        <v>9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7</v>
      </c>
      <c r="AF30" s="54">
        <v>6</v>
      </c>
      <c r="AG30" s="5">
        <f t="shared" si="2"/>
        <v>93</v>
      </c>
    </row>
    <row r="31" spans="1:33" ht="15.75" customHeight="1" x14ac:dyDescent="0.25">
      <c r="A31" s="56" t="s">
        <v>4</v>
      </c>
      <c r="B31" s="54">
        <v>0</v>
      </c>
      <c r="C31" s="54">
        <v>9</v>
      </c>
      <c r="D31" s="54">
        <v>9</v>
      </c>
      <c r="E31" s="54">
        <v>0</v>
      </c>
      <c r="F31" s="54">
        <v>0</v>
      </c>
      <c r="G31" s="54">
        <v>0</v>
      </c>
      <c r="H31" s="54">
        <v>0</v>
      </c>
      <c r="I31" s="54">
        <v>0</v>
      </c>
      <c r="J31" s="54">
        <v>12</v>
      </c>
      <c r="K31" s="54">
        <v>6</v>
      </c>
      <c r="L31" s="54">
        <v>0</v>
      </c>
      <c r="M31" s="54">
        <v>0</v>
      </c>
      <c r="N31" s="54">
        <v>0</v>
      </c>
      <c r="O31" s="54">
        <v>0</v>
      </c>
      <c r="P31" s="54">
        <v>5</v>
      </c>
      <c r="Q31" s="54">
        <v>14</v>
      </c>
      <c r="R31" s="54">
        <v>9</v>
      </c>
      <c r="S31" s="54">
        <v>0</v>
      </c>
      <c r="T31" s="54">
        <v>0</v>
      </c>
      <c r="U31" s="54">
        <v>8</v>
      </c>
      <c r="V31" s="54">
        <v>0</v>
      </c>
      <c r="W31" s="54">
        <v>0</v>
      </c>
      <c r="X31" s="54">
        <v>4</v>
      </c>
      <c r="Y31" s="54">
        <v>11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10</v>
      </c>
      <c r="AF31" s="54">
        <v>7</v>
      </c>
      <c r="AG31" s="5">
        <f t="shared" si="2"/>
        <v>104</v>
      </c>
    </row>
    <row r="32" spans="1:33" ht="15.75" customHeight="1" x14ac:dyDescent="0.25">
      <c r="A32" s="56" t="s">
        <v>5</v>
      </c>
      <c r="B32" s="54">
        <v>0</v>
      </c>
      <c r="C32" s="54">
        <v>7</v>
      </c>
      <c r="D32" s="54">
        <v>11</v>
      </c>
      <c r="E32" s="54">
        <v>0</v>
      </c>
      <c r="F32" s="54">
        <v>0</v>
      </c>
      <c r="G32" s="54">
        <v>0</v>
      </c>
      <c r="H32" s="54">
        <v>0</v>
      </c>
      <c r="I32" s="54">
        <v>0</v>
      </c>
      <c r="J32" s="54">
        <v>9</v>
      </c>
      <c r="K32" s="54">
        <v>7</v>
      </c>
      <c r="L32" s="54">
        <v>0</v>
      </c>
      <c r="M32" s="54">
        <v>0</v>
      </c>
      <c r="N32" s="54">
        <v>0</v>
      </c>
      <c r="O32" s="54">
        <v>0</v>
      </c>
      <c r="P32" s="54">
        <v>12</v>
      </c>
      <c r="Q32" s="54">
        <v>12</v>
      </c>
      <c r="R32" s="54">
        <v>16</v>
      </c>
      <c r="S32" s="54">
        <v>0</v>
      </c>
      <c r="T32" s="54">
        <v>0</v>
      </c>
      <c r="U32" s="54">
        <v>15</v>
      </c>
      <c r="V32" s="54">
        <v>0</v>
      </c>
      <c r="W32" s="54">
        <v>0</v>
      </c>
      <c r="X32" s="54">
        <v>14</v>
      </c>
      <c r="Y32" s="54">
        <v>6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11</v>
      </c>
      <c r="AF32" s="54">
        <v>11</v>
      </c>
      <c r="AG32" s="5">
        <f t="shared" si="2"/>
        <v>131</v>
      </c>
    </row>
    <row r="33" spans="1:33" ht="15.75" customHeight="1" x14ac:dyDescent="0.25">
      <c r="A33" s="56" t="s">
        <v>6</v>
      </c>
      <c r="B33" s="54">
        <v>0</v>
      </c>
      <c r="C33" s="54">
        <v>13</v>
      </c>
      <c r="D33" s="54">
        <v>13</v>
      </c>
      <c r="E33" s="54">
        <v>0</v>
      </c>
      <c r="F33" s="54">
        <v>0</v>
      </c>
      <c r="G33" s="54">
        <v>0</v>
      </c>
      <c r="H33" s="54">
        <v>0</v>
      </c>
      <c r="I33" s="54">
        <v>0</v>
      </c>
      <c r="J33" s="54">
        <v>11</v>
      </c>
      <c r="K33" s="54">
        <v>14</v>
      </c>
      <c r="L33" s="54">
        <v>0</v>
      </c>
      <c r="M33" s="54">
        <v>0</v>
      </c>
      <c r="N33" s="54">
        <v>0</v>
      </c>
      <c r="O33" s="54">
        <v>0</v>
      </c>
      <c r="P33" s="54">
        <v>19</v>
      </c>
      <c r="Q33" s="54">
        <v>15</v>
      </c>
      <c r="R33" s="54">
        <v>10</v>
      </c>
      <c r="S33" s="54">
        <v>0</v>
      </c>
      <c r="T33" s="54">
        <v>0</v>
      </c>
      <c r="U33" s="54">
        <v>12</v>
      </c>
      <c r="V33" s="54">
        <v>0</v>
      </c>
      <c r="W33" s="54">
        <v>0</v>
      </c>
      <c r="X33" s="54">
        <v>5</v>
      </c>
      <c r="Y33" s="54">
        <v>19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12</v>
      </c>
      <c r="AF33" s="54">
        <v>9</v>
      </c>
      <c r="AG33" s="5">
        <f t="shared" si="2"/>
        <v>152</v>
      </c>
    </row>
    <row r="34" spans="1:33" ht="15.75" customHeight="1" x14ac:dyDescent="0.25">
      <c r="A34" s="56" t="s">
        <v>7</v>
      </c>
      <c r="B34" s="54">
        <v>0</v>
      </c>
      <c r="C34" s="54">
        <v>10</v>
      </c>
      <c r="D34" s="54">
        <v>5</v>
      </c>
      <c r="E34" s="54">
        <v>0</v>
      </c>
      <c r="F34" s="54">
        <v>0</v>
      </c>
      <c r="G34" s="54">
        <v>0</v>
      </c>
      <c r="H34" s="54">
        <v>0</v>
      </c>
      <c r="I34" s="54">
        <v>0</v>
      </c>
      <c r="J34" s="54">
        <v>6</v>
      </c>
      <c r="K34" s="54">
        <v>11</v>
      </c>
      <c r="L34" s="54">
        <v>0</v>
      </c>
      <c r="M34" s="54">
        <v>0</v>
      </c>
      <c r="N34" s="54">
        <v>0</v>
      </c>
      <c r="O34" s="54">
        <v>0</v>
      </c>
      <c r="P34" s="54">
        <v>5</v>
      </c>
      <c r="Q34" s="54">
        <v>10</v>
      </c>
      <c r="R34" s="54">
        <v>11</v>
      </c>
      <c r="S34" s="54">
        <v>0</v>
      </c>
      <c r="T34" s="54">
        <v>0</v>
      </c>
      <c r="U34" s="54">
        <v>14</v>
      </c>
      <c r="V34" s="54">
        <v>0</v>
      </c>
      <c r="W34" s="54">
        <v>0</v>
      </c>
      <c r="X34" s="54">
        <v>9</v>
      </c>
      <c r="Y34" s="54">
        <v>8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8</v>
      </c>
      <c r="AF34" s="54">
        <v>5</v>
      </c>
      <c r="AG34" s="5">
        <f t="shared" si="2"/>
        <v>102</v>
      </c>
    </row>
    <row r="35" spans="1:33" ht="15.75" customHeight="1" x14ac:dyDescent="0.25">
      <c r="A35" s="56" t="s">
        <v>8</v>
      </c>
      <c r="B35" s="54">
        <v>0</v>
      </c>
      <c r="C35" s="54">
        <v>16</v>
      </c>
      <c r="D35" s="54">
        <v>15</v>
      </c>
      <c r="E35" s="54">
        <v>0</v>
      </c>
      <c r="F35" s="54">
        <v>0</v>
      </c>
      <c r="G35" s="54">
        <v>0</v>
      </c>
      <c r="H35" s="54">
        <v>0</v>
      </c>
      <c r="I35" s="54">
        <v>0</v>
      </c>
      <c r="J35" s="54">
        <v>14</v>
      </c>
      <c r="K35" s="54">
        <v>9</v>
      </c>
      <c r="L35" s="54">
        <v>0</v>
      </c>
      <c r="M35" s="54">
        <v>0</v>
      </c>
      <c r="N35" s="54">
        <v>0</v>
      </c>
      <c r="O35" s="54">
        <v>0</v>
      </c>
      <c r="P35" s="54">
        <v>13</v>
      </c>
      <c r="Q35" s="54">
        <v>9</v>
      </c>
      <c r="R35" s="54">
        <v>18</v>
      </c>
      <c r="S35" s="54">
        <v>0</v>
      </c>
      <c r="T35" s="54">
        <v>0</v>
      </c>
      <c r="U35" s="54">
        <v>10</v>
      </c>
      <c r="V35" s="54">
        <v>0</v>
      </c>
      <c r="W35" s="54">
        <v>0</v>
      </c>
      <c r="X35" s="54">
        <v>7</v>
      </c>
      <c r="Y35" s="54">
        <v>5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3</v>
      </c>
      <c r="AF35" s="54">
        <v>9</v>
      </c>
      <c r="AG35" s="5">
        <f t="shared" si="2"/>
        <v>128</v>
      </c>
    </row>
    <row r="36" spans="1:33" ht="15.75" customHeight="1" x14ac:dyDescent="0.25">
      <c r="A36" s="56" t="s">
        <v>9</v>
      </c>
      <c r="B36" s="54">
        <v>0</v>
      </c>
      <c r="C36" s="54">
        <v>12</v>
      </c>
      <c r="D36" s="54">
        <v>10</v>
      </c>
      <c r="E36" s="54">
        <v>0</v>
      </c>
      <c r="F36" s="54">
        <v>0</v>
      </c>
      <c r="G36" s="54">
        <v>0</v>
      </c>
      <c r="H36" s="54">
        <v>0</v>
      </c>
      <c r="I36" s="54">
        <v>0</v>
      </c>
      <c r="J36" s="54">
        <v>5</v>
      </c>
      <c r="K36" s="54">
        <v>9</v>
      </c>
      <c r="L36" s="54">
        <v>0</v>
      </c>
      <c r="M36" s="54">
        <v>0</v>
      </c>
      <c r="N36" s="54">
        <v>0</v>
      </c>
      <c r="O36" s="54">
        <v>0</v>
      </c>
      <c r="P36" s="54">
        <v>8</v>
      </c>
      <c r="Q36" s="54">
        <v>14</v>
      </c>
      <c r="R36" s="54">
        <v>17</v>
      </c>
      <c r="S36" s="54">
        <v>0</v>
      </c>
      <c r="T36" s="54">
        <v>0</v>
      </c>
      <c r="U36" s="54">
        <v>7</v>
      </c>
      <c r="V36" s="54">
        <v>0</v>
      </c>
      <c r="W36" s="54">
        <v>0</v>
      </c>
      <c r="X36" s="54">
        <v>17</v>
      </c>
      <c r="Y36" s="54">
        <v>7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11</v>
      </c>
      <c r="AF36" s="54">
        <v>8</v>
      </c>
      <c r="AG36" s="5">
        <f t="shared" si="2"/>
        <v>125</v>
      </c>
    </row>
    <row r="37" spans="1:33" ht="15.75" customHeight="1" x14ac:dyDescent="0.25">
      <c r="A37" s="56" t="s">
        <v>10</v>
      </c>
      <c r="B37" s="54">
        <v>9</v>
      </c>
      <c r="C37" s="54">
        <v>13</v>
      </c>
      <c r="D37" s="54">
        <v>8</v>
      </c>
      <c r="E37" s="54">
        <v>0</v>
      </c>
      <c r="F37" s="54">
        <v>0</v>
      </c>
      <c r="G37" s="54">
        <v>0</v>
      </c>
      <c r="H37" s="54">
        <v>0</v>
      </c>
      <c r="I37" s="54">
        <v>8</v>
      </c>
      <c r="J37" s="54">
        <v>7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10</v>
      </c>
      <c r="Q37" s="54">
        <v>11</v>
      </c>
      <c r="R37" s="54">
        <v>10</v>
      </c>
      <c r="S37" s="54">
        <v>0</v>
      </c>
      <c r="T37" s="54">
        <v>0</v>
      </c>
      <c r="U37" s="54">
        <v>12</v>
      </c>
      <c r="V37" s="54">
        <v>0</v>
      </c>
      <c r="W37" s="54">
        <v>0</v>
      </c>
      <c r="X37" s="54">
        <v>18</v>
      </c>
      <c r="Y37" s="54">
        <v>14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11</v>
      </c>
      <c r="AF37" s="54">
        <v>9</v>
      </c>
      <c r="AG37" s="5">
        <f t="shared" si="2"/>
        <v>140</v>
      </c>
    </row>
    <row r="38" spans="1:33" ht="15.75" customHeight="1" x14ac:dyDescent="0.25">
      <c r="A38" s="56" t="s">
        <v>11</v>
      </c>
      <c r="B38" s="54">
        <v>8</v>
      </c>
      <c r="C38" s="54">
        <v>18</v>
      </c>
      <c r="D38" s="54">
        <v>19</v>
      </c>
      <c r="E38" s="54">
        <v>9</v>
      </c>
      <c r="F38" s="54">
        <v>11</v>
      </c>
      <c r="G38" s="54">
        <v>7</v>
      </c>
      <c r="H38" s="54">
        <v>11</v>
      </c>
      <c r="I38" s="54">
        <v>11</v>
      </c>
      <c r="J38" s="54">
        <v>14</v>
      </c>
      <c r="K38" s="54">
        <v>3</v>
      </c>
      <c r="L38" s="54">
        <v>7</v>
      </c>
      <c r="M38" s="54">
        <v>14</v>
      </c>
      <c r="N38" s="54">
        <v>4</v>
      </c>
      <c r="O38" s="54">
        <v>12</v>
      </c>
      <c r="P38" s="54">
        <v>16</v>
      </c>
      <c r="Q38" s="54">
        <v>9</v>
      </c>
      <c r="R38" s="54">
        <v>12</v>
      </c>
      <c r="S38" s="54">
        <v>10</v>
      </c>
      <c r="T38" s="54">
        <v>7</v>
      </c>
      <c r="U38" s="54">
        <v>17</v>
      </c>
      <c r="V38" s="54">
        <v>11</v>
      </c>
      <c r="W38" s="54">
        <v>2</v>
      </c>
      <c r="X38" s="54">
        <v>11</v>
      </c>
      <c r="Y38" s="54">
        <v>17</v>
      </c>
      <c r="Z38" s="54">
        <v>10</v>
      </c>
      <c r="AA38" s="54">
        <v>8</v>
      </c>
      <c r="AB38" s="54">
        <v>6</v>
      </c>
      <c r="AC38" s="54">
        <v>9</v>
      </c>
      <c r="AD38" s="54">
        <v>4</v>
      </c>
      <c r="AE38" s="54">
        <v>6</v>
      </c>
      <c r="AF38" s="54">
        <v>11</v>
      </c>
      <c r="AG38" s="5">
        <f t="shared" si="2"/>
        <v>314</v>
      </c>
    </row>
    <row r="39" spans="1:33" ht="15.75" customHeight="1" x14ac:dyDescent="0.25">
      <c r="A39" s="56" t="s">
        <v>12</v>
      </c>
      <c r="B39" s="54">
        <v>22</v>
      </c>
      <c r="C39" s="54">
        <v>9</v>
      </c>
      <c r="D39" s="54">
        <v>12</v>
      </c>
      <c r="E39" s="54">
        <v>16</v>
      </c>
      <c r="F39" s="54">
        <v>13</v>
      </c>
      <c r="G39" s="54">
        <v>25</v>
      </c>
      <c r="H39" s="54">
        <v>24</v>
      </c>
      <c r="I39" s="54">
        <v>25</v>
      </c>
      <c r="J39" s="54">
        <v>17</v>
      </c>
      <c r="K39" s="54">
        <v>1</v>
      </c>
      <c r="L39" s="54">
        <v>18</v>
      </c>
      <c r="M39" s="54">
        <v>21</v>
      </c>
      <c r="N39" s="54">
        <v>11</v>
      </c>
      <c r="O39" s="54">
        <v>24</v>
      </c>
      <c r="P39" s="54">
        <v>5</v>
      </c>
      <c r="Q39" s="54">
        <v>8</v>
      </c>
      <c r="R39" s="54">
        <v>4</v>
      </c>
      <c r="S39" s="54">
        <v>20</v>
      </c>
      <c r="T39" s="54">
        <v>21</v>
      </c>
      <c r="U39" s="54">
        <v>9</v>
      </c>
      <c r="V39" s="54">
        <v>24</v>
      </c>
      <c r="W39" s="54">
        <v>29</v>
      </c>
      <c r="X39" s="54">
        <v>8</v>
      </c>
      <c r="Y39" s="54">
        <v>13</v>
      </c>
      <c r="Z39" s="54">
        <v>13</v>
      </c>
      <c r="AA39" s="54">
        <v>18</v>
      </c>
      <c r="AB39" s="54">
        <v>17</v>
      </c>
      <c r="AC39" s="54">
        <v>11</v>
      </c>
      <c r="AD39" s="54">
        <v>15</v>
      </c>
      <c r="AE39" s="54">
        <v>11</v>
      </c>
      <c r="AF39" s="54">
        <v>13</v>
      </c>
      <c r="AG39" s="5">
        <f t="shared" si="2"/>
        <v>477</v>
      </c>
    </row>
    <row r="40" spans="1:33" ht="15.75" customHeight="1" x14ac:dyDescent="0.25">
      <c r="A40" s="56" t="s">
        <v>13</v>
      </c>
      <c r="B40" s="54">
        <v>6</v>
      </c>
      <c r="C40" s="54">
        <v>6</v>
      </c>
      <c r="D40" s="54">
        <v>9</v>
      </c>
      <c r="E40" s="54">
        <v>19</v>
      </c>
      <c r="F40" s="54">
        <v>14</v>
      </c>
      <c r="G40" s="54">
        <v>22</v>
      </c>
      <c r="H40" s="54">
        <v>23</v>
      </c>
      <c r="I40" s="54">
        <v>20</v>
      </c>
      <c r="J40" s="54">
        <v>15</v>
      </c>
      <c r="K40" s="54">
        <v>1</v>
      </c>
      <c r="L40" s="54">
        <v>20</v>
      </c>
      <c r="M40" s="54">
        <v>28</v>
      </c>
      <c r="N40" s="54">
        <v>21</v>
      </c>
      <c r="O40" s="54">
        <v>26</v>
      </c>
      <c r="P40" s="54">
        <v>16</v>
      </c>
      <c r="Q40" s="54">
        <v>11</v>
      </c>
      <c r="R40" s="54">
        <v>6</v>
      </c>
      <c r="S40" s="54">
        <v>26</v>
      </c>
      <c r="T40" s="54">
        <v>20</v>
      </c>
      <c r="U40" s="54">
        <v>11</v>
      </c>
      <c r="V40" s="54">
        <v>18</v>
      </c>
      <c r="W40" s="54">
        <v>19</v>
      </c>
      <c r="X40" s="54">
        <v>13</v>
      </c>
      <c r="Y40" s="54">
        <v>8</v>
      </c>
      <c r="Z40" s="54">
        <v>19</v>
      </c>
      <c r="AA40" s="54">
        <v>25</v>
      </c>
      <c r="AB40" s="54">
        <v>16</v>
      </c>
      <c r="AC40" s="54">
        <v>22</v>
      </c>
      <c r="AD40" s="54">
        <v>28</v>
      </c>
      <c r="AE40" s="54">
        <v>3</v>
      </c>
      <c r="AF40" s="54">
        <v>15</v>
      </c>
      <c r="AG40" s="5">
        <f t="shared" si="2"/>
        <v>506</v>
      </c>
    </row>
    <row r="41" spans="1:33" ht="15.75" customHeight="1" x14ac:dyDescent="0.25">
      <c r="A41" s="56" t="s">
        <v>14</v>
      </c>
      <c r="B41" s="54">
        <v>7</v>
      </c>
      <c r="C41" s="54">
        <v>5</v>
      </c>
      <c r="D41" s="54">
        <v>12</v>
      </c>
      <c r="E41" s="54">
        <v>26</v>
      </c>
      <c r="F41" s="54">
        <v>15</v>
      </c>
      <c r="G41" s="54">
        <v>19</v>
      </c>
      <c r="H41" s="54">
        <v>13</v>
      </c>
      <c r="I41" s="54">
        <v>11</v>
      </c>
      <c r="J41" s="54">
        <v>9</v>
      </c>
      <c r="K41" s="54">
        <v>13</v>
      </c>
      <c r="L41" s="54">
        <v>20</v>
      </c>
      <c r="M41" s="54">
        <v>17</v>
      </c>
      <c r="N41" s="54">
        <v>17</v>
      </c>
      <c r="O41" s="54">
        <v>16</v>
      </c>
      <c r="P41" s="54">
        <v>4</v>
      </c>
      <c r="Q41" s="54">
        <v>8</v>
      </c>
      <c r="R41" s="54">
        <v>9</v>
      </c>
      <c r="S41" s="54">
        <v>15</v>
      </c>
      <c r="T41" s="54">
        <v>19</v>
      </c>
      <c r="U41" s="54">
        <v>14</v>
      </c>
      <c r="V41" s="54">
        <v>19</v>
      </c>
      <c r="W41" s="54">
        <v>13</v>
      </c>
      <c r="X41" s="54">
        <v>7</v>
      </c>
      <c r="Y41" s="54">
        <v>5</v>
      </c>
      <c r="Z41" s="54">
        <v>12</v>
      </c>
      <c r="AA41" s="54">
        <v>19</v>
      </c>
      <c r="AB41" s="54">
        <v>23</v>
      </c>
      <c r="AC41" s="54">
        <v>15</v>
      </c>
      <c r="AD41" s="54">
        <v>12</v>
      </c>
      <c r="AE41" s="54">
        <v>11</v>
      </c>
      <c r="AF41" s="54">
        <v>14</v>
      </c>
      <c r="AG41" s="5">
        <f t="shared" si="2"/>
        <v>419</v>
      </c>
    </row>
    <row r="42" spans="1:33" ht="15.75" customHeight="1" x14ac:dyDescent="0.25">
      <c r="A42" s="56" t="s">
        <v>15</v>
      </c>
      <c r="B42" s="54">
        <v>6</v>
      </c>
      <c r="C42" s="54">
        <v>8</v>
      </c>
      <c r="D42" s="54">
        <v>3</v>
      </c>
      <c r="E42" s="54">
        <v>10</v>
      </c>
      <c r="F42" s="54">
        <v>13</v>
      </c>
      <c r="G42" s="54">
        <v>18</v>
      </c>
      <c r="H42" s="54">
        <v>12</v>
      </c>
      <c r="I42" s="54">
        <v>11</v>
      </c>
      <c r="J42" s="54">
        <v>8</v>
      </c>
      <c r="K42" s="54">
        <v>14</v>
      </c>
      <c r="L42" s="54">
        <v>14</v>
      </c>
      <c r="M42" s="54">
        <v>10</v>
      </c>
      <c r="N42" s="54">
        <v>12</v>
      </c>
      <c r="O42" s="54">
        <v>6</v>
      </c>
      <c r="P42" s="54">
        <v>3</v>
      </c>
      <c r="Q42" s="54">
        <v>9</v>
      </c>
      <c r="R42" s="54">
        <v>8</v>
      </c>
      <c r="S42" s="54">
        <v>19</v>
      </c>
      <c r="T42" s="54">
        <v>18</v>
      </c>
      <c r="U42" s="54">
        <v>14</v>
      </c>
      <c r="V42" s="54">
        <v>14</v>
      </c>
      <c r="W42" s="54">
        <v>6</v>
      </c>
      <c r="X42" s="54">
        <v>1</v>
      </c>
      <c r="Y42" s="54">
        <v>8</v>
      </c>
      <c r="Z42" s="54">
        <v>14</v>
      </c>
      <c r="AA42" s="54">
        <v>12</v>
      </c>
      <c r="AB42" s="54">
        <v>13</v>
      </c>
      <c r="AC42" s="54">
        <v>18</v>
      </c>
      <c r="AD42" s="54">
        <v>7</v>
      </c>
      <c r="AE42" s="54">
        <v>9</v>
      </c>
      <c r="AF42" s="54">
        <v>8</v>
      </c>
      <c r="AG42" s="5">
        <f t="shared" si="2"/>
        <v>326</v>
      </c>
    </row>
    <row r="43" spans="1:33" ht="15.75" customHeight="1" x14ac:dyDescent="0.25">
      <c r="A43" s="56" t="s">
        <v>16</v>
      </c>
      <c r="B43" s="54">
        <v>7</v>
      </c>
      <c r="C43" s="54">
        <v>3</v>
      </c>
      <c r="D43" s="54">
        <v>3</v>
      </c>
      <c r="E43" s="54">
        <v>11</v>
      </c>
      <c r="F43" s="54">
        <v>13</v>
      </c>
      <c r="G43" s="54">
        <v>5</v>
      </c>
      <c r="H43" s="54">
        <v>10</v>
      </c>
      <c r="I43" s="54">
        <v>7</v>
      </c>
      <c r="J43" s="54">
        <v>3</v>
      </c>
      <c r="K43" s="54">
        <v>10</v>
      </c>
      <c r="L43" s="54">
        <v>12</v>
      </c>
      <c r="M43" s="54">
        <v>17</v>
      </c>
      <c r="N43" s="54">
        <v>16</v>
      </c>
      <c r="O43" s="54">
        <v>7</v>
      </c>
      <c r="P43" s="54">
        <v>4</v>
      </c>
      <c r="Q43" s="54">
        <v>5</v>
      </c>
      <c r="R43" s="54">
        <v>3</v>
      </c>
      <c r="S43" s="54">
        <v>13</v>
      </c>
      <c r="T43" s="54">
        <v>11</v>
      </c>
      <c r="U43" s="54">
        <v>5</v>
      </c>
      <c r="V43" s="54">
        <v>4</v>
      </c>
      <c r="W43" s="54">
        <v>2</v>
      </c>
      <c r="X43" s="54">
        <v>5</v>
      </c>
      <c r="Y43" s="54">
        <v>7</v>
      </c>
      <c r="Z43" s="54">
        <v>17</v>
      </c>
      <c r="AA43" s="54">
        <v>10</v>
      </c>
      <c r="AB43" s="54">
        <v>20</v>
      </c>
      <c r="AC43" s="54">
        <v>12</v>
      </c>
      <c r="AD43" s="54">
        <v>7</v>
      </c>
      <c r="AE43" s="54">
        <v>4</v>
      </c>
      <c r="AF43" s="54">
        <v>6</v>
      </c>
      <c r="AG43" s="5">
        <f t="shared" si="2"/>
        <v>259</v>
      </c>
    </row>
    <row r="44" spans="1:33" ht="15.75" customHeight="1" x14ac:dyDescent="0.25">
      <c r="A44" s="56" t="s">
        <v>17</v>
      </c>
      <c r="B44" s="54">
        <v>3</v>
      </c>
      <c r="C44" s="54">
        <v>2</v>
      </c>
      <c r="D44" s="54">
        <v>5</v>
      </c>
      <c r="E44" s="54">
        <v>11</v>
      </c>
      <c r="F44" s="54">
        <v>10</v>
      </c>
      <c r="G44" s="54">
        <v>5</v>
      </c>
      <c r="H44" s="54">
        <v>6</v>
      </c>
      <c r="I44" s="54">
        <v>2</v>
      </c>
      <c r="J44" s="54">
        <v>5</v>
      </c>
      <c r="K44" s="54">
        <v>9</v>
      </c>
      <c r="L44" s="54">
        <v>11</v>
      </c>
      <c r="M44" s="54">
        <v>10</v>
      </c>
      <c r="N44" s="54">
        <v>6</v>
      </c>
      <c r="O44" s="54">
        <v>5</v>
      </c>
      <c r="P44" s="54">
        <v>5</v>
      </c>
      <c r="Q44" s="54">
        <v>14</v>
      </c>
      <c r="R44" s="54">
        <v>5</v>
      </c>
      <c r="S44" s="54">
        <v>5</v>
      </c>
      <c r="T44" s="54">
        <v>3</v>
      </c>
      <c r="U44" s="54">
        <v>3</v>
      </c>
      <c r="V44" s="54">
        <v>6</v>
      </c>
      <c r="W44" s="54">
        <v>3</v>
      </c>
      <c r="X44" s="54">
        <v>7</v>
      </c>
      <c r="Y44" s="54">
        <v>4</v>
      </c>
      <c r="Z44" s="54">
        <v>9</v>
      </c>
      <c r="AA44" s="54">
        <v>9</v>
      </c>
      <c r="AB44" s="54">
        <v>15</v>
      </c>
      <c r="AC44" s="54">
        <v>2</v>
      </c>
      <c r="AD44" s="54">
        <v>5</v>
      </c>
      <c r="AE44" s="54">
        <v>9</v>
      </c>
      <c r="AF44" s="54">
        <v>3</v>
      </c>
      <c r="AG44" s="5">
        <f t="shared" si="2"/>
        <v>197</v>
      </c>
    </row>
    <row r="45" spans="1:33" ht="15.75" customHeight="1" x14ac:dyDescent="0.25">
      <c r="A45" s="56" t="s">
        <v>18</v>
      </c>
      <c r="B45" s="54">
        <v>2</v>
      </c>
      <c r="C45" s="54">
        <v>1</v>
      </c>
      <c r="D45" s="54">
        <v>3</v>
      </c>
      <c r="E45" s="54">
        <v>2</v>
      </c>
      <c r="F45" s="54">
        <v>5</v>
      </c>
      <c r="G45" s="54">
        <v>6</v>
      </c>
      <c r="H45" s="54">
        <v>3</v>
      </c>
      <c r="I45" s="54">
        <v>3</v>
      </c>
      <c r="J45" s="54">
        <v>2</v>
      </c>
      <c r="K45" s="54">
        <v>2</v>
      </c>
      <c r="L45" s="54">
        <v>11</v>
      </c>
      <c r="M45" s="54">
        <v>1</v>
      </c>
      <c r="N45" s="54">
        <v>10</v>
      </c>
      <c r="O45" s="54">
        <v>4</v>
      </c>
      <c r="P45" s="54">
        <v>1</v>
      </c>
      <c r="Q45" s="54">
        <v>5</v>
      </c>
      <c r="R45" s="54">
        <v>0</v>
      </c>
      <c r="S45" s="54">
        <v>8</v>
      </c>
      <c r="T45" s="54">
        <v>3</v>
      </c>
      <c r="U45" s="54">
        <v>6</v>
      </c>
      <c r="V45" s="54">
        <v>4</v>
      </c>
      <c r="W45" s="54">
        <v>3</v>
      </c>
      <c r="X45" s="54">
        <v>4</v>
      </c>
      <c r="Y45" s="54">
        <v>6</v>
      </c>
      <c r="Z45" s="54">
        <v>8</v>
      </c>
      <c r="AA45" s="54">
        <v>7</v>
      </c>
      <c r="AB45" s="54">
        <v>11</v>
      </c>
      <c r="AC45" s="54">
        <v>9</v>
      </c>
      <c r="AD45" s="54">
        <v>0</v>
      </c>
      <c r="AE45" s="54">
        <v>9</v>
      </c>
      <c r="AF45" s="54">
        <v>3</v>
      </c>
      <c r="AG45" s="5">
        <f t="shared" si="2"/>
        <v>142</v>
      </c>
    </row>
    <row r="46" spans="1:33" ht="15.75" customHeight="1" x14ac:dyDescent="0.25">
      <c r="A46" s="56" t="s">
        <v>19</v>
      </c>
      <c r="B46" s="54">
        <v>1</v>
      </c>
      <c r="C46" s="54">
        <v>2</v>
      </c>
      <c r="D46" s="54">
        <v>3</v>
      </c>
      <c r="E46" s="54">
        <v>7</v>
      </c>
      <c r="F46" s="54">
        <v>8</v>
      </c>
      <c r="G46" s="54">
        <v>2</v>
      </c>
      <c r="H46" s="54">
        <v>3</v>
      </c>
      <c r="I46" s="54">
        <v>2</v>
      </c>
      <c r="J46" s="54">
        <v>4</v>
      </c>
      <c r="K46" s="54">
        <v>3</v>
      </c>
      <c r="L46" s="54">
        <v>10</v>
      </c>
      <c r="M46" s="54">
        <v>4</v>
      </c>
      <c r="N46" s="54">
        <v>6</v>
      </c>
      <c r="O46" s="54">
        <v>7</v>
      </c>
      <c r="P46" s="54">
        <v>3</v>
      </c>
      <c r="Q46" s="54">
        <v>4</v>
      </c>
      <c r="R46" s="54">
        <v>0</v>
      </c>
      <c r="S46" s="54">
        <v>9</v>
      </c>
      <c r="T46" s="54">
        <v>0</v>
      </c>
      <c r="U46" s="54">
        <v>5</v>
      </c>
      <c r="V46" s="54">
        <v>2</v>
      </c>
      <c r="W46" s="54">
        <v>2</v>
      </c>
      <c r="X46" s="54">
        <v>2</v>
      </c>
      <c r="Y46" s="54">
        <v>1</v>
      </c>
      <c r="Z46" s="54">
        <v>6</v>
      </c>
      <c r="AA46" s="54">
        <v>3</v>
      </c>
      <c r="AB46" s="54">
        <v>3</v>
      </c>
      <c r="AC46" s="54">
        <v>6</v>
      </c>
      <c r="AD46" s="54">
        <v>1</v>
      </c>
      <c r="AE46" s="54">
        <v>6</v>
      </c>
      <c r="AF46" s="54">
        <v>3</v>
      </c>
      <c r="AG46" s="5">
        <f t="shared" si="2"/>
        <v>118</v>
      </c>
    </row>
    <row r="47" spans="1:33" ht="15.75" customHeight="1" x14ac:dyDescent="0.25">
      <c r="A47" s="56" t="s">
        <v>20</v>
      </c>
      <c r="B47" s="54">
        <v>1</v>
      </c>
      <c r="C47" s="54">
        <v>1</v>
      </c>
      <c r="D47" s="54">
        <v>4</v>
      </c>
      <c r="E47" s="54">
        <v>6</v>
      </c>
      <c r="F47" s="54">
        <v>4</v>
      </c>
      <c r="G47" s="54">
        <v>3</v>
      </c>
      <c r="H47" s="54">
        <v>4</v>
      </c>
      <c r="I47" s="54">
        <v>4</v>
      </c>
      <c r="J47" s="54">
        <v>3</v>
      </c>
      <c r="K47" s="54">
        <v>0</v>
      </c>
      <c r="L47" s="54">
        <v>1</v>
      </c>
      <c r="M47" s="54">
        <v>1</v>
      </c>
      <c r="N47" s="54">
        <v>1</v>
      </c>
      <c r="O47" s="54">
        <v>1</v>
      </c>
      <c r="P47" s="54">
        <v>3</v>
      </c>
      <c r="Q47" s="54">
        <v>0</v>
      </c>
      <c r="R47" s="54">
        <v>1</v>
      </c>
      <c r="S47" s="54">
        <v>6</v>
      </c>
      <c r="T47" s="54">
        <v>1</v>
      </c>
      <c r="U47" s="54">
        <v>3</v>
      </c>
      <c r="V47" s="54">
        <v>0</v>
      </c>
      <c r="W47" s="54">
        <v>2</v>
      </c>
      <c r="X47" s="54">
        <v>1</v>
      </c>
      <c r="Y47" s="54">
        <v>2</v>
      </c>
      <c r="Z47" s="54">
        <v>5</v>
      </c>
      <c r="AA47" s="54">
        <v>4</v>
      </c>
      <c r="AB47" s="54">
        <v>0</v>
      </c>
      <c r="AC47" s="54">
        <v>1</v>
      </c>
      <c r="AD47" s="54">
        <v>4</v>
      </c>
      <c r="AE47" s="54">
        <v>2</v>
      </c>
      <c r="AF47" s="54">
        <v>1</v>
      </c>
      <c r="AG47" s="5">
        <f t="shared" si="2"/>
        <v>70</v>
      </c>
    </row>
    <row r="48" spans="1:33" ht="15.75" customHeight="1" x14ac:dyDescent="0.25">
      <c r="A48" s="56" t="s">
        <v>21</v>
      </c>
      <c r="B48" s="54">
        <v>1</v>
      </c>
      <c r="C48" s="54">
        <v>0</v>
      </c>
      <c r="D48" s="54">
        <v>3</v>
      </c>
      <c r="E48" s="54">
        <v>0</v>
      </c>
      <c r="F48" s="54">
        <v>5</v>
      </c>
      <c r="G48" s="54">
        <v>5</v>
      </c>
      <c r="H48" s="54">
        <v>1</v>
      </c>
      <c r="I48" s="54">
        <v>0</v>
      </c>
      <c r="J48" s="54">
        <v>2</v>
      </c>
      <c r="K48" s="54">
        <v>2</v>
      </c>
      <c r="L48" s="54">
        <v>3</v>
      </c>
      <c r="M48" s="54">
        <v>3</v>
      </c>
      <c r="N48" s="54">
        <v>0</v>
      </c>
      <c r="O48" s="54">
        <v>0</v>
      </c>
      <c r="P48" s="54">
        <v>3</v>
      </c>
      <c r="Q48" s="54">
        <v>1</v>
      </c>
      <c r="R48" s="54">
        <v>0</v>
      </c>
      <c r="S48" s="54">
        <v>4</v>
      </c>
      <c r="T48" s="54">
        <v>5</v>
      </c>
      <c r="U48" s="54">
        <v>0</v>
      </c>
      <c r="V48" s="54">
        <v>0</v>
      </c>
      <c r="W48" s="54">
        <v>2</v>
      </c>
      <c r="X48" s="54">
        <v>0</v>
      </c>
      <c r="Y48" s="54">
        <v>1</v>
      </c>
      <c r="Z48" s="54">
        <v>3</v>
      </c>
      <c r="AA48" s="54">
        <v>1</v>
      </c>
      <c r="AB48" s="54">
        <v>2</v>
      </c>
      <c r="AC48" s="54">
        <v>0</v>
      </c>
      <c r="AD48" s="54">
        <v>1</v>
      </c>
      <c r="AE48" s="54">
        <v>2</v>
      </c>
      <c r="AF48" s="54">
        <v>3</v>
      </c>
      <c r="AG48" s="5">
        <f t="shared" si="2"/>
        <v>53</v>
      </c>
    </row>
    <row r="49" spans="1:33" ht="15.75" customHeight="1" x14ac:dyDescent="0.25">
      <c r="A49" s="56" t="s">
        <v>22</v>
      </c>
      <c r="B49" s="54">
        <v>1</v>
      </c>
      <c r="C49" s="54">
        <v>4</v>
      </c>
      <c r="D49" s="54">
        <v>0</v>
      </c>
      <c r="E49" s="54">
        <v>0</v>
      </c>
      <c r="F49" s="54">
        <v>0</v>
      </c>
      <c r="G49" s="54">
        <v>0</v>
      </c>
      <c r="H49" s="54">
        <v>2</v>
      </c>
      <c r="I49" s="54">
        <v>0</v>
      </c>
      <c r="J49" s="54">
        <v>0</v>
      </c>
      <c r="K49" s="54">
        <v>4</v>
      </c>
      <c r="L49" s="54">
        <v>0</v>
      </c>
      <c r="M49" s="54">
        <v>0</v>
      </c>
      <c r="N49" s="54">
        <v>0</v>
      </c>
      <c r="O49" s="54">
        <v>2</v>
      </c>
      <c r="P49" s="54">
        <v>1</v>
      </c>
      <c r="Q49" s="54">
        <v>0</v>
      </c>
      <c r="R49" s="54">
        <v>1</v>
      </c>
      <c r="S49" s="54">
        <v>3</v>
      </c>
      <c r="T49" s="54">
        <v>1</v>
      </c>
      <c r="U49" s="54">
        <v>1</v>
      </c>
      <c r="V49" s="54">
        <v>2</v>
      </c>
      <c r="W49" s="54">
        <v>1</v>
      </c>
      <c r="X49" s="54">
        <v>0</v>
      </c>
      <c r="Y49" s="54">
        <v>0</v>
      </c>
      <c r="Z49" s="54">
        <v>1</v>
      </c>
      <c r="AA49" s="54">
        <v>0</v>
      </c>
      <c r="AB49" s="54">
        <v>1</v>
      </c>
      <c r="AC49" s="54">
        <v>2</v>
      </c>
      <c r="AD49" s="54">
        <v>5</v>
      </c>
      <c r="AE49" s="54">
        <v>1</v>
      </c>
      <c r="AF49" s="54">
        <v>1</v>
      </c>
      <c r="AG49" s="5">
        <f t="shared" si="2"/>
        <v>34</v>
      </c>
    </row>
    <row r="50" spans="1:33" ht="15.75" customHeight="1" x14ac:dyDescent="0.25">
      <c r="A50" s="56" t="s">
        <v>23</v>
      </c>
      <c r="B50" s="54">
        <v>2</v>
      </c>
      <c r="C50" s="54">
        <v>3</v>
      </c>
      <c r="D50" s="54">
        <v>1</v>
      </c>
      <c r="E50" s="54">
        <v>1</v>
      </c>
      <c r="F50" s="54">
        <v>1</v>
      </c>
      <c r="G50" s="54">
        <v>0</v>
      </c>
      <c r="H50" s="54">
        <v>2</v>
      </c>
      <c r="I50" s="54">
        <v>0</v>
      </c>
      <c r="J50" s="54">
        <v>1</v>
      </c>
      <c r="K50" s="54">
        <v>1</v>
      </c>
      <c r="L50" s="54">
        <v>2</v>
      </c>
      <c r="M50" s="54">
        <v>0</v>
      </c>
      <c r="N50" s="54">
        <v>0</v>
      </c>
      <c r="O50" s="54">
        <v>1</v>
      </c>
      <c r="P50" s="54">
        <v>0</v>
      </c>
      <c r="Q50" s="54">
        <v>0</v>
      </c>
      <c r="R50" s="54">
        <v>1</v>
      </c>
      <c r="S50" s="54">
        <v>0</v>
      </c>
      <c r="T50" s="54">
        <v>1</v>
      </c>
      <c r="U50" s="54">
        <v>1</v>
      </c>
      <c r="V50" s="54">
        <v>0</v>
      </c>
      <c r="W50" s="54">
        <v>0</v>
      </c>
      <c r="X50" s="54">
        <v>0</v>
      </c>
      <c r="Y50" s="54">
        <v>1</v>
      </c>
      <c r="Z50" s="54">
        <v>0</v>
      </c>
      <c r="AA50" s="54">
        <v>0</v>
      </c>
      <c r="AB50" s="54">
        <v>2</v>
      </c>
      <c r="AC50" s="54">
        <v>0</v>
      </c>
      <c r="AD50" s="54">
        <v>0</v>
      </c>
      <c r="AE50" s="54">
        <v>1</v>
      </c>
      <c r="AF50" s="54">
        <v>0</v>
      </c>
      <c r="AG50" s="5">
        <f t="shared" si="2"/>
        <v>22</v>
      </c>
    </row>
    <row r="51" spans="1:33" ht="15.75" customHeight="1" x14ac:dyDescent="0.25">
      <c r="A51" s="56" t="s">
        <v>24</v>
      </c>
      <c r="B51" s="54">
        <v>0</v>
      </c>
      <c r="C51" s="54">
        <v>1</v>
      </c>
      <c r="D51" s="54">
        <v>2</v>
      </c>
      <c r="E51" s="54">
        <v>0</v>
      </c>
      <c r="F51" s="54">
        <v>1</v>
      </c>
      <c r="G51" s="54">
        <v>1</v>
      </c>
      <c r="H51" s="54">
        <v>0</v>
      </c>
      <c r="I51" s="54">
        <v>1</v>
      </c>
      <c r="J51" s="54">
        <v>0</v>
      </c>
      <c r="K51" s="54">
        <v>0</v>
      </c>
      <c r="L51" s="54">
        <v>0</v>
      </c>
      <c r="M51" s="54">
        <v>1</v>
      </c>
      <c r="N51" s="54">
        <v>0</v>
      </c>
      <c r="O51" s="54">
        <v>0</v>
      </c>
      <c r="P51" s="54">
        <v>0</v>
      </c>
      <c r="Q51" s="54">
        <v>1</v>
      </c>
      <c r="R51" s="54">
        <v>0</v>
      </c>
      <c r="S51" s="54">
        <v>0</v>
      </c>
      <c r="T51" s="54">
        <v>0</v>
      </c>
      <c r="U51" s="54">
        <v>0</v>
      </c>
      <c r="V51" s="54">
        <v>1</v>
      </c>
      <c r="W51" s="54">
        <v>3</v>
      </c>
      <c r="X51" s="54">
        <v>0</v>
      </c>
      <c r="Y51" s="54">
        <v>0</v>
      </c>
      <c r="Z51" s="54">
        <v>0</v>
      </c>
      <c r="AA51" s="54">
        <v>0</v>
      </c>
      <c r="AB51" s="54">
        <v>1</v>
      </c>
      <c r="AC51" s="54">
        <v>1</v>
      </c>
      <c r="AD51" s="54">
        <v>0</v>
      </c>
      <c r="AE51" s="54">
        <v>2</v>
      </c>
      <c r="AF51" s="54">
        <v>1</v>
      </c>
      <c r="AG51" s="5">
        <f t="shared" si="2"/>
        <v>17</v>
      </c>
    </row>
    <row r="52" spans="1:33" ht="15.75" customHeight="1" thickBot="1" x14ac:dyDescent="0.3">
      <c r="A52" s="57" t="s">
        <v>25</v>
      </c>
      <c r="B52" s="58">
        <v>1</v>
      </c>
      <c r="C52" s="58">
        <v>2</v>
      </c>
      <c r="D52" s="58">
        <v>2</v>
      </c>
      <c r="E52" s="58">
        <v>0</v>
      </c>
      <c r="F52" s="58">
        <v>0</v>
      </c>
      <c r="G52" s="58">
        <v>1</v>
      </c>
      <c r="H52" s="58">
        <v>0</v>
      </c>
      <c r="I52" s="58">
        <v>0</v>
      </c>
      <c r="J52" s="58">
        <v>0</v>
      </c>
      <c r="K52" s="58">
        <v>1</v>
      </c>
      <c r="L52" s="58">
        <v>0</v>
      </c>
      <c r="M52" s="58">
        <v>0</v>
      </c>
      <c r="N52" s="58">
        <v>0</v>
      </c>
      <c r="O52" s="58">
        <v>0</v>
      </c>
      <c r="P52" s="58">
        <v>0</v>
      </c>
      <c r="Q52" s="58">
        <v>2</v>
      </c>
      <c r="R52" s="58">
        <v>0</v>
      </c>
      <c r="S52" s="58">
        <v>2</v>
      </c>
      <c r="T52" s="58">
        <v>1</v>
      </c>
      <c r="U52" s="58">
        <v>1</v>
      </c>
      <c r="V52" s="58">
        <v>0</v>
      </c>
      <c r="W52" s="58">
        <v>0</v>
      </c>
      <c r="X52" s="58">
        <v>0</v>
      </c>
      <c r="Y52" s="58">
        <v>0</v>
      </c>
      <c r="Z52" s="58">
        <v>3</v>
      </c>
      <c r="AA52" s="58">
        <v>0</v>
      </c>
      <c r="AB52" s="58">
        <v>2</v>
      </c>
      <c r="AC52" s="58">
        <v>0</v>
      </c>
      <c r="AD52" s="60">
        <v>0</v>
      </c>
      <c r="AE52" s="60">
        <v>0</v>
      </c>
      <c r="AF52" s="60">
        <v>2</v>
      </c>
      <c r="AG52" s="9">
        <f t="shared" si="2"/>
        <v>20</v>
      </c>
    </row>
    <row r="53" spans="1:33" ht="15.75" customHeight="1" thickBot="1" x14ac:dyDescent="0.3">
      <c r="A53" s="52" t="s">
        <v>27</v>
      </c>
      <c r="B53" s="1">
        <f t="shared" ref="B53:AF53" si="4">SUM(B54:B77)</f>
        <v>3</v>
      </c>
      <c r="C53" s="1">
        <f t="shared" si="4"/>
        <v>3</v>
      </c>
      <c r="D53" s="1">
        <f t="shared" si="4"/>
        <v>2</v>
      </c>
      <c r="E53" s="1">
        <f t="shared" si="4"/>
        <v>7</v>
      </c>
      <c r="F53" s="1">
        <f t="shared" si="4"/>
        <v>13</v>
      </c>
      <c r="G53" s="1">
        <f t="shared" si="4"/>
        <v>8</v>
      </c>
      <c r="H53" s="1">
        <f t="shared" si="4"/>
        <v>4</v>
      </c>
      <c r="I53" s="1">
        <f t="shared" si="4"/>
        <v>4</v>
      </c>
      <c r="J53" s="1">
        <f t="shared" si="4"/>
        <v>2</v>
      </c>
      <c r="K53" s="1">
        <f t="shared" si="4"/>
        <v>21</v>
      </c>
      <c r="L53" s="1">
        <f t="shared" si="4"/>
        <v>12</v>
      </c>
      <c r="M53" s="1">
        <f t="shared" si="4"/>
        <v>14</v>
      </c>
      <c r="N53" s="1">
        <f t="shared" si="4"/>
        <v>18</v>
      </c>
      <c r="O53" s="1">
        <f t="shared" si="4"/>
        <v>6</v>
      </c>
      <c r="P53" s="1">
        <f t="shared" si="4"/>
        <v>2</v>
      </c>
      <c r="Q53" s="1">
        <f t="shared" si="4"/>
        <v>1</v>
      </c>
      <c r="R53" s="1">
        <f t="shared" si="4"/>
        <v>2</v>
      </c>
      <c r="S53" s="1">
        <f t="shared" si="4"/>
        <v>1</v>
      </c>
      <c r="T53" s="1">
        <f t="shared" si="4"/>
        <v>8</v>
      </c>
      <c r="U53" s="1">
        <f t="shared" si="4"/>
        <v>3</v>
      </c>
      <c r="V53" s="1">
        <f t="shared" si="4"/>
        <v>2</v>
      </c>
      <c r="W53" s="1">
        <f t="shared" si="4"/>
        <v>2</v>
      </c>
      <c r="X53" s="1">
        <f t="shared" si="4"/>
        <v>1</v>
      </c>
      <c r="Y53" s="1">
        <f t="shared" si="4"/>
        <v>1</v>
      </c>
      <c r="Z53" s="1">
        <f t="shared" si="4"/>
        <v>19</v>
      </c>
      <c r="AA53" s="1">
        <f t="shared" si="4"/>
        <v>12</v>
      </c>
      <c r="AB53" s="1">
        <f t="shared" si="4"/>
        <v>9</v>
      </c>
      <c r="AC53" s="1">
        <f t="shared" si="4"/>
        <v>4</v>
      </c>
      <c r="AD53" s="1">
        <f t="shared" si="4"/>
        <v>2</v>
      </c>
      <c r="AE53" s="1">
        <f t="shared" si="4"/>
        <v>3</v>
      </c>
      <c r="AF53" s="1">
        <f t="shared" si="4"/>
        <v>6</v>
      </c>
      <c r="AG53" s="10">
        <f t="shared" si="2"/>
        <v>195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1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1</v>
      </c>
    </row>
    <row r="55" spans="1:33" ht="15.75" customHeight="1" x14ac:dyDescent="0.25">
      <c r="A55" s="56" t="s">
        <v>3</v>
      </c>
      <c r="B55" s="54">
        <v>0</v>
      </c>
      <c r="C55" s="54">
        <v>1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1</v>
      </c>
    </row>
    <row r="56" spans="1:33" ht="15.75" customHeight="1" x14ac:dyDescent="0.25">
      <c r="A56" s="56" t="s">
        <v>4</v>
      </c>
      <c r="B56" s="54">
        <v>0</v>
      </c>
      <c r="C56" s="54">
        <v>1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1</v>
      </c>
      <c r="AF56" s="54">
        <v>0</v>
      </c>
      <c r="AG56" s="5">
        <f t="shared" si="2"/>
        <v>2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1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1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1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1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1</v>
      </c>
      <c r="AG59" s="5">
        <f t="shared" si="2"/>
        <v>2</v>
      </c>
    </row>
    <row r="60" spans="1:33" ht="15.75" customHeight="1" x14ac:dyDescent="0.25">
      <c r="A60" s="56" t="s">
        <v>8</v>
      </c>
      <c r="B60" s="54">
        <v>0</v>
      </c>
      <c r="C60" s="54">
        <v>1</v>
      </c>
      <c r="D60" s="54">
        <v>1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1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2"/>
        <v>3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1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1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">
        <f t="shared" si="2"/>
        <v>2</v>
      </c>
    </row>
    <row r="62" spans="1:33" ht="15.75" customHeight="1" x14ac:dyDescent="0.25">
      <c r="A62" s="56" t="s">
        <v>10</v>
      </c>
      <c r="B62" s="54">
        <v>1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0</v>
      </c>
      <c r="AE62" s="54">
        <v>1</v>
      </c>
      <c r="AF62" s="54">
        <v>3</v>
      </c>
      <c r="AG62" s="5">
        <f t="shared" si="2"/>
        <v>5</v>
      </c>
    </row>
    <row r="63" spans="1:33" ht="15.75" customHeight="1" x14ac:dyDescent="0.25">
      <c r="A63" s="56" t="s">
        <v>11</v>
      </c>
      <c r="B63" s="54">
        <v>1</v>
      </c>
      <c r="C63" s="54">
        <v>0</v>
      </c>
      <c r="D63" s="54">
        <v>0</v>
      </c>
      <c r="E63" s="54">
        <v>0</v>
      </c>
      <c r="F63" s="54">
        <v>0</v>
      </c>
      <c r="G63" s="54">
        <v>1</v>
      </c>
      <c r="H63" s="54">
        <v>0</v>
      </c>
      <c r="I63" s="54">
        <v>0</v>
      </c>
      <c r="J63" s="54">
        <v>0</v>
      </c>
      <c r="K63" s="54">
        <v>2</v>
      </c>
      <c r="L63" s="54">
        <v>0</v>
      </c>
      <c r="M63" s="54">
        <v>0</v>
      </c>
      <c r="N63" s="54">
        <v>1</v>
      </c>
      <c r="O63" s="54">
        <v>1</v>
      </c>
      <c r="P63" s="54">
        <v>0</v>
      </c>
      <c r="Q63" s="54">
        <v>0</v>
      </c>
      <c r="R63" s="54">
        <v>0</v>
      </c>
      <c r="S63" s="54">
        <v>0</v>
      </c>
      <c r="T63" s="54">
        <v>1</v>
      </c>
      <c r="U63" s="54">
        <v>0</v>
      </c>
      <c r="V63" s="54">
        <v>0</v>
      </c>
      <c r="W63" s="54">
        <v>0</v>
      </c>
      <c r="X63" s="54">
        <v>0</v>
      </c>
      <c r="Y63" s="54">
        <v>0</v>
      </c>
      <c r="Z63" s="54">
        <v>2</v>
      </c>
      <c r="AA63" s="54">
        <v>0</v>
      </c>
      <c r="AB63" s="54">
        <v>0</v>
      </c>
      <c r="AC63" s="54">
        <v>0</v>
      </c>
      <c r="AD63" s="54">
        <v>0</v>
      </c>
      <c r="AE63" s="54">
        <v>0</v>
      </c>
      <c r="AF63" s="54">
        <v>1</v>
      </c>
      <c r="AG63" s="5">
        <f t="shared" si="2"/>
        <v>10</v>
      </c>
    </row>
    <row r="64" spans="1:33" ht="15.75" customHeight="1" x14ac:dyDescent="0.25">
      <c r="A64" s="56" t="s">
        <v>12</v>
      </c>
      <c r="B64" s="54">
        <v>0</v>
      </c>
      <c r="C64" s="54">
        <v>0</v>
      </c>
      <c r="D64" s="54">
        <v>0</v>
      </c>
      <c r="E64" s="54">
        <v>1</v>
      </c>
      <c r="F64" s="54">
        <v>0</v>
      </c>
      <c r="G64" s="54">
        <v>0</v>
      </c>
      <c r="H64" s="54">
        <v>1</v>
      </c>
      <c r="I64" s="54">
        <v>1</v>
      </c>
      <c r="J64" s="54">
        <v>0</v>
      </c>
      <c r="K64" s="54">
        <v>1</v>
      </c>
      <c r="L64" s="54">
        <v>0</v>
      </c>
      <c r="M64" s="54">
        <v>2</v>
      </c>
      <c r="N64" s="54">
        <v>0</v>
      </c>
      <c r="O64" s="54">
        <v>0</v>
      </c>
      <c r="P64" s="54">
        <v>1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1</v>
      </c>
      <c r="W64" s="54">
        <v>0</v>
      </c>
      <c r="X64" s="54">
        <v>0</v>
      </c>
      <c r="Y64" s="54">
        <v>0</v>
      </c>
      <c r="Z64" s="54">
        <v>1</v>
      </c>
      <c r="AA64" s="54">
        <v>0</v>
      </c>
      <c r="AB64" s="54">
        <v>1</v>
      </c>
      <c r="AC64" s="54">
        <v>1</v>
      </c>
      <c r="AD64" s="54">
        <v>0</v>
      </c>
      <c r="AE64" s="54">
        <v>0</v>
      </c>
      <c r="AF64" s="54">
        <v>0</v>
      </c>
      <c r="AG64" s="5">
        <f t="shared" si="2"/>
        <v>11</v>
      </c>
    </row>
    <row r="65" spans="1:33" ht="15.75" customHeight="1" x14ac:dyDescent="0.25">
      <c r="A65" s="56" t="s">
        <v>13</v>
      </c>
      <c r="B65" s="54">
        <v>1</v>
      </c>
      <c r="C65" s="54">
        <v>0</v>
      </c>
      <c r="D65" s="54">
        <v>0</v>
      </c>
      <c r="E65" s="54">
        <v>2</v>
      </c>
      <c r="F65" s="54">
        <v>1</v>
      </c>
      <c r="G65" s="54">
        <v>0</v>
      </c>
      <c r="H65" s="54">
        <v>1</v>
      </c>
      <c r="I65" s="54">
        <v>0</v>
      </c>
      <c r="J65" s="54">
        <v>0</v>
      </c>
      <c r="K65" s="54">
        <v>17</v>
      </c>
      <c r="L65" s="54">
        <v>0</v>
      </c>
      <c r="M65" s="54">
        <v>0</v>
      </c>
      <c r="N65" s="54">
        <v>5</v>
      </c>
      <c r="O65" s="54">
        <v>0</v>
      </c>
      <c r="P65" s="54">
        <v>0</v>
      </c>
      <c r="Q65" s="54">
        <v>0</v>
      </c>
      <c r="R65" s="54">
        <v>0</v>
      </c>
      <c r="S65" s="54">
        <v>0</v>
      </c>
      <c r="T65" s="54">
        <v>0</v>
      </c>
      <c r="U65" s="54">
        <v>0</v>
      </c>
      <c r="V65" s="54">
        <v>0</v>
      </c>
      <c r="W65" s="54">
        <v>2</v>
      </c>
      <c r="X65" s="54">
        <v>0</v>
      </c>
      <c r="Y65" s="54">
        <v>0</v>
      </c>
      <c r="Z65" s="54">
        <v>1</v>
      </c>
      <c r="AA65" s="54">
        <v>0</v>
      </c>
      <c r="AB65" s="54">
        <v>1</v>
      </c>
      <c r="AC65" s="54">
        <v>0</v>
      </c>
      <c r="AD65" s="54">
        <v>2</v>
      </c>
      <c r="AE65" s="54">
        <v>0</v>
      </c>
      <c r="AF65" s="54">
        <v>1</v>
      </c>
      <c r="AG65" s="5">
        <f t="shared" si="2"/>
        <v>34</v>
      </c>
    </row>
    <row r="66" spans="1:33" ht="15.75" customHeight="1" x14ac:dyDescent="0.25">
      <c r="A66" s="56" t="s">
        <v>14</v>
      </c>
      <c r="B66" s="54">
        <v>0</v>
      </c>
      <c r="C66" s="54">
        <v>0</v>
      </c>
      <c r="D66" s="54">
        <v>0</v>
      </c>
      <c r="E66" s="54">
        <v>0</v>
      </c>
      <c r="F66" s="54">
        <v>1</v>
      </c>
      <c r="G66" s="54">
        <v>3</v>
      </c>
      <c r="H66" s="54">
        <v>2</v>
      </c>
      <c r="I66" s="54">
        <v>1</v>
      </c>
      <c r="J66" s="54">
        <v>0</v>
      </c>
      <c r="K66" s="54">
        <v>0</v>
      </c>
      <c r="L66" s="54">
        <v>2</v>
      </c>
      <c r="M66" s="54">
        <v>9</v>
      </c>
      <c r="N66" s="54">
        <v>1</v>
      </c>
      <c r="O66" s="54">
        <v>4</v>
      </c>
      <c r="P66" s="54">
        <v>0</v>
      </c>
      <c r="Q66" s="54">
        <v>0</v>
      </c>
      <c r="R66" s="54">
        <v>1</v>
      </c>
      <c r="S66" s="54">
        <v>0</v>
      </c>
      <c r="T66" s="54">
        <v>4</v>
      </c>
      <c r="U66" s="54">
        <v>0</v>
      </c>
      <c r="V66" s="54">
        <v>1</v>
      </c>
      <c r="W66" s="54">
        <v>0</v>
      </c>
      <c r="X66" s="54">
        <v>0</v>
      </c>
      <c r="Y66" s="54">
        <v>0</v>
      </c>
      <c r="Z66" s="54">
        <v>4</v>
      </c>
      <c r="AA66" s="54">
        <v>0</v>
      </c>
      <c r="AB66" s="54">
        <v>0</v>
      </c>
      <c r="AC66" s="54">
        <v>1</v>
      </c>
      <c r="AD66" s="54">
        <v>0</v>
      </c>
      <c r="AE66" s="54">
        <v>0</v>
      </c>
      <c r="AF66" s="54">
        <v>0</v>
      </c>
      <c r="AG66" s="5">
        <f t="shared" si="2"/>
        <v>34</v>
      </c>
    </row>
    <row r="67" spans="1:33" ht="15.75" customHeight="1" x14ac:dyDescent="0.25">
      <c r="A67" s="56" t="s">
        <v>15</v>
      </c>
      <c r="B67" s="54">
        <v>0</v>
      </c>
      <c r="C67" s="54">
        <v>0</v>
      </c>
      <c r="D67" s="54">
        <v>0</v>
      </c>
      <c r="E67" s="54">
        <v>2</v>
      </c>
      <c r="F67" s="54">
        <v>1</v>
      </c>
      <c r="G67" s="54">
        <v>4</v>
      </c>
      <c r="H67" s="54">
        <v>0</v>
      </c>
      <c r="I67" s="54">
        <v>1</v>
      </c>
      <c r="J67" s="54">
        <v>0</v>
      </c>
      <c r="K67" s="54">
        <v>1</v>
      </c>
      <c r="L67" s="54">
        <v>6</v>
      </c>
      <c r="M67" s="54">
        <v>0</v>
      </c>
      <c r="N67" s="54">
        <v>2</v>
      </c>
      <c r="O67" s="54">
        <v>1</v>
      </c>
      <c r="P67" s="54">
        <v>0</v>
      </c>
      <c r="Q67" s="54">
        <v>0</v>
      </c>
      <c r="R67" s="54">
        <v>0</v>
      </c>
      <c r="S67" s="54">
        <v>1</v>
      </c>
      <c r="T67" s="54">
        <v>1</v>
      </c>
      <c r="U67" s="54">
        <v>2</v>
      </c>
      <c r="V67" s="54">
        <v>0</v>
      </c>
      <c r="W67" s="54">
        <v>0</v>
      </c>
      <c r="X67" s="54">
        <v>0</v>
      </c>
      <c r="Y67" s="54">
        <v>0</v>
      </c>
      <c r="Z67" s="54">
        <v>8</v>
      </c>
      <c r="AA67" s="54">
        <v>0</v>
      </c>
      <c r="AB67" s="54">
        <v>2</v>
      </c>
      <c r="AC67" s="54">
        <v>2</v>
      </c>
      <c r="AD67" s="54">
        <v>0</v>
      </c>
      <c r="AE67" s="54">
        <v>0</v>
      </c>
      <c r="AF67" s="54">
        <v>0</v>
      </c>
      <c r="AG67" s="5">
        <f t="shared" ref="AG67:AG98" si="5">SUM(B67:AF67)</f>
        <v>34</v>
      </c>
    </row>
    <row r="68" spans="1:33" ht="15.75" customHeight="1" x14ac:dyDescent="0.25">
      <c r="A68" s="56" t="s">
        <v>16</v>
      </c>
      <c r="B68" s="54">
        <v>0</v>
      </c>
      <c r="C68" s="54">
        <v>0</v>
      </c>
      <c r="D68" s="54">
        <v>0</v>
      </c>
      <c r="E68" s="54">
        <v>1</v>
      </c>
      <c r="F68" s="54">
        <v>3</v>
      </c>
      <c r="G68" s="54">
        <v>0</v>
      </c>
      <c r="H68" s="54">
        <v>0</v>
      </c>
      <c r="I68" s="54">
        <v>0</v>
      </c>
      <c r="J68" s="54">
        <v>0</v>
      </c>
      <c r="K68" s="54">
        <v>0</v>
      </c>
      <c r="L68" s="54">
        <v>2</v>
      </c>
      <c r="M68" s="54">
        <v>2</v>
      </c>
      <c r="N68" s="54">
        <v>1</v>
      </c>
      <c r="O68" s="54">
        <v>0</v>
      </c>
      <c r="P68" s="54">
        <v>0</v>
      </c>
      <c r="Q68" s="54">
        <v>1</v>
      </c>
      <c r="R68" s="54">
        <v>0</v>
      </c>
      <c r="S68" s="54">
        <v>0</v>
      </c>
      <c r="T68" s="54">
        <v>1</v>
      </c>
      <c r="U68" s="54">
        <v>0</v>
      </c>
      <c r="V68" s="54">
        <v>0</v>
      </c>
      <c r="W68" s="54">
        <v>0</v>
      </c>
      <c r="X68" s="54">
        <v>0</v>
      </c>
      <c r="Y68" s="54">
        <v>0</v>
      </c>
      <c r="Z68" s="54">
        <v>2</v>
      </c>
      <c r="AA68" s="54">
        <v>4</v>
      </c>
      <c r="AB68" s="54">
        <v>1</v>
      </c>
      <c r="AC68" s="54">
        <v>0</v>
      </c>
      <c r="AD68" s="54">
        <v>0</v>
      </c>
      <c r="AE68" s="54">
        <v>1</v>
      </c>
      <c r="AF68" s="54">
        <v>0</v>
      </c>
      <c r="AG68" s="5">
        <f t="shared" si="5"/>
        <v>19</v>
      </c>
    </row>
    <row r="69" spans="1:33" ht="15.75" customHeight="1" x14ac:dyDescent="0.25">
      <c r="A69" s="56" t="s">
        <v>17</v>
      </c>
      <c r="B69" s="54">
        <v>0</v>
      </c>
      <c r="C69" s="54">
        <v>0</v>
      </c>
      <c r="D69" s="54">
        <v>0</v>
      </c>
      <c r="E69" s="54">
        <v>1</v>
      </c>
      <c r="F69" s="54">
        <v>1</v>
      </c>
      <c r="G69" s="54">
        <v>0</v>
      </c>
      <c r="H69" s="54">
        <v>0</v>
      </c>
      <c r="I69" s="54">
        <v>0</v>
      </c>
      <c r="J69" s="54">
        <v>0</v>
      </c>
      <c r="K69" s="54">
        <v>0</v>
      </c>
      <c r="L69" s="54">
        <v>2</v>
      </c>
      <c r="M69" s="54">
        <v>0</v>
      </c>
      <c r="N69" s="54">
        <v>1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4">
        <v>0</v>
      </c>
      <c r="X69" s="54">
        <v>0</v>
      </c>
      <c r="Y69" s="54">
        <v>0</v>
      </c>
      <c r="Z69" s="54">
        <v>1</v>
      </c>
      <c r="AA69" s="54">
        <v>3</v>
      </c>
      <c r="AB69" s="54">
        <v>3</v>
      </c>
      <c r="AC69" s="54">
        <v>0</v>
      </c>
      <c r="AD69" s="54">
        <v>0</v>
      </c>
      <c r="AE69" s="54">
        <v>0</v>
      </c>
      <c r="AF69" s="54">
        <v>0</v>
      </c>
      <c r="AG69" s="5">
        <f t="shared" si="5"/>
        <v>12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0</v>
      </c>
      <c r="E70" s="54">
        <v>0</v>
      </c>
      <c r="F70" s="54">
        <v>3</v>
      </c>
      <c r="G70" s="54">
        <v>0</v>
      </c>
      <c r="H70" s="54">
        <v>0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5</v>
      </c>
      <c r="O70" s="54">
        <v>0</v>
      </c>
      <c r="P70" s="54">
        <v>0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0</v>
      </c>
      <c r="Y70" s="54">
        <v>0</v>
      </c>
      <c r="Z70" s="54">
        <v>0</v>
      </c>
      <c r="AA70" s="54">
        <v>5</v>
      </c>
      <c r="AB70" s="54">
        <v>1</v>
      </c>
      <c r="AC70" s="54">
        <v>0</v>
      </c>
      <c r="AD70" s="55">
        <v>0</v>
      </c>
      <c r="AE70" s="55">
        <v>0</v>
      </c>
      <c r="AF70" s="55">
        <v>0</v>
      </c>
      <c r="AG70" s="5">
        <f t="shared" si="5"/>
        <v>14</v>
      </c>
    </row>
    <row r="71" spans="1:33" ht="15.75" customHeight="1" x14ac:dyDescent="0.25">
      <c r="A71" s="56" t="s">
        <v>19</v>
      </c>
      <c r="B71" s="54">
        <v>0</v>
      </c>
      <c r="C71" s="54">
        <v>0</v>
      </c>
      <c r="D71" s="54">
        <v>0</v>
      </c>
      <c r="E71" s="54">
        <v>0</v>
      </c>
      <c r="F71" s="54">
        <v>1</v>
      </c>
      <c r="G71" s="54">
        <v>0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1</v>
      </c>
      <c r="N71" s="54">
        <v>2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1</v>
      </c>
      <c r="U71" s="54">
        <v>0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>
        <v>0</v>
      </c>
      <c r="AE71" s="55">
        <v>0</v>
      </c>
      <c r="AF71" s="55">
        <v>0</v>
      </c>
      <c r="AG71" s="5">
        <f t="shared" si="5"/>
        <v>5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0</v>
      </c>
      <c r="E72" s="54">
        <v>0</v>
      </c>
      <c r="F72" s="54">
        <v>2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5">
        <v>0</v>
      </c>
      <c r="AE72" s="55">
        <v>0</v>
      </c>
      <c r="AF72" s="55">
        <v>0</v>
      </c>
      <c r="AG72" s="5">
        <f t="shared" si="5"/>
        <v>2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1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1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0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1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1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80</v>
      </c>
      <c r="C78" s="11">
        <f t="shared" si="6"/>
        <v>165</v>
      </c>
      <c r="D78" s="11">
        <f t="shared" si="6"/>
        <v>165</v>
      </c>
      <c r="E78" s="11">
        <f t="shared" si="6"/>
        <v>125</v>
      </c>
      <c r="F78" s="11">
        <f t="shared" si="6"/>
        <v>127</v>
      </c>
      <c r="G78" s="11">
        <f t="shared" si="6"/>
        <v>127</v>
      </c>
      <c r="H78" s="11">
        <f t="shared" si="6"/>
        <v>118</v>
      </c>
      <c r="I78" s="11">
        <f t="shared" si="6"/>
        <v>109</v>
      </c>
      <c r="J78" s="11">
        <f t="shared" si="6"/>
        <v>159</v>
      </c>
      <c r="K78" s="11">
        <f t="shared" si="6"/>
        <v>153</v>
      </c>
      <c r="L78" s="11">
        <f t="shared" si="6"/>
        <v>141</v>
      </c>
      <c r="M78" s="11">
        <f t="shared" si="6"/>
        <v>141</v>
      </c>
      <c r="N78" s="11">
        <f t="shared" si="6"/>
        <v>122</v>
      </c>
      <c r="O78" s="11">
        <f t="shared" si="6"/>
        <v>117</v>
      </c>
      <c r="P78" s="11">
        <f t="shared" si="6"/>
        <v>152</v>
      </c>
      <c r="Q78" s="11">
        <f t="shared" si="6"/>
        <v>173</v>
      </c>
      <c r="R78" s="11">
        <f t="shared" si="6"/>
        <v>163</v>
      </c>
      <c r="S78" s="11">
        <f t="shared" si="6"/>
        <v>141</v>
      </c>
      <c r="T78" s="11">
        <f t="shared" si="6"/>
        <v>119</v>
      </c>
      <c r="U78" s="11">
        <f t="shared" si="6"/>
        <v>184</v>
      </c>
      <c r="V78" s="11">
        <f t="shared" si="6"/>
        <v>107</v>
      </c>
      <c r="W78" s="11">
        <f t="shared" si="6"/>
        <v>89</v>
      </c>
      <c r="X78" s="11">
        <f t="shared" si="6"/>
        <v>144</v>
      </c>
      <c r="Y78" s="11">
        <f t="shared" si="6"/>
        <v>155</v>
      </c>
      <c r="Z78" s="11">
        <f t="shared" si="6"/>
        <v>139</v>
      </c>
      <c r="AA78" s="11">
        <f t="shared" si="6"/>
        <v>128</v>
      </c>
      <c r="AB78" s="11">
        <f t="shared" si="6"/>
        <v>141</v>
      </c>
      <c r="AC78" s="11">
        <f t="shared" si="6"/>
        <v>112</v>
      </c>
      <c r="AD78" s="11">
        <f t="shared" si="6"/>
        <v>91</v>
      </c>
      <c r="AE78" s="11">
        <f t="shared" si="6"/>
        <v>155</v>
      </c>
      <c r="AF78" s="11">
        <f t="shared" si="6"/>
        <v>155</v>
      </c>
      <c r="AG78" s="10">
        <f t="shared" si="5"/>
        <v>4197</v>
      </c>
    </row>
    <row r="79" spans="1:33" ht="19.5" customHeight="1" x14ac:dyDescent="0.25">
      <c r="A79" s="64" t="s">
        <v>29</v>
      </c>
      <c r="B79" s="3">
        <f t="shared" ref="B79" si="7">SUM(B4:B27)-B80</f>
        <v>80</v>
      </c>
      <c r="C79" s="3">
        <f t="shared" ref="C79" si="8">SUM(C4:C27)-C80</f>
        <v>165</v>
      </c>
      <c r="D79" s="3">
        <f t="shared" ref="D79:AF79" si="9">SUM(D4:D27)-D80</f>
        <v>165</v>
      </c>
      <c r="E79" s="3">
        <f t="shared" si="9"/>
        <v>125</v>
      </c>
      <c r="F79" s="3">
        <f t="shared" si="9"/>
        <v>127</v>
      </c>
      <c r="G79" s="3">
        <f t="shared" si="9"/>
        <v>127</v>
      </c>
      <c r="H79" s="3">
        <f t="shared" si="9"/>
        <v>118</v>
      </c>
      <c r="I79" s="3">
        <f t="shared" si="9"/>
        <v>109</v>
      </c>
      <c r="J79" s="3">
        <f t="shared" si="9"/>
        <v>159</v>
      </c>
      <c r="K79" s="3">
        <f t="shared" si="9"/>
        <v>153</v>
      </c>
      <c r="L79" s="3">
        <f t="shared" si="9"/>
        <v>141</v>
      </c>
      <c r="M79" s="3">
        <f t="shared" si="9"/>
        <v>141</v>
      </c>
      <c r="N79" s="3">
        <f t="shared" si="9"/>
        <v>122</v>
      </c>
      <c r="O79" s="3">
        <f t="shared" si="9"/>
        <v>117</v>
      </c>
      <c r="P79" s="3">
        <f t="shared" si="9"/>
        <v>152</v>
      </c>
      <c r="Q79" s="3">
        <f t="shared" si="9"/>
        <v>173</v>
      </c>
      <c r="R79" s="3">
        <f t="shared" si="9"/>
        <v>163</v>
      </c>
      <c r="S79" s="3">
        <f t="shared" si="9"/>
        <v>141</v>
      </c>
      <c r="T79" s="3">
        <f t="shared" si="9"/>
        <v>119</v>
      </c>
      <c r="U79" s="3">
        <f t="shared" si="9"/>
        <v>184</v>
      </c>
      <c r="V79" s="3">
        <f t="shared" si="9"/>
        <v>107</v>
      </c>
      <c r="W79" s="3">
        <f t="shared" si="9"/>
        <v>89</v>
      </c>
      <c r="X79" s="3">
        <f t="shared" si="9"/>
        <v>144</v>
      </c>
      <c r="Y79" s="3">
        <f t="shared" si="9"/>
        <v>155</v>
      </c>
      <c r="Z79" s="3">
        <f t="shared" si="9"/>
        <v>139</v>
      </c>
      <c r="AA79" s="3">
        <f t="shared" si="9"/>
        <v>128</v>
      </c>
      <c r="AB79" s="3">
        <f t="shared" si="9"/>
        <v>141</v>
      </c>
      <c r="AC79" s="3">
        <f t="shared" si="9"/>
        <v>112</v>
      </c>
      <c r="AD79" s="3">
        <f t="shared" si="9"/>
        <v>91</v>
      </c>
      <c r="AE79" s="3">
        <f t="shared" si="9"/>
        <v>155</v>
      </c>
      <c r="AF79" s="3">
        <f t="shared" si="9"/>
        <v>155</v>
      </c>
      <c r="AG79" s="4">
        <f t="shared" si="5"/>
        <v>4197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3</v>
      </c>
      <c r="C81" s="12">
        <f t="shared" si="10"/>
        <v>3</v>
      </c>
      <c r="D81" s="12">
        <f t="shared" si="10"/>
        <v>2</v>
      </c>
      <c r="E81" s="12">
        <f t="shared" si="10"/>
        <v>7</v>
      </c>
      <c r="F81" s="12">
        <f t="shared" si="10"/>
        <v>13</v>
      </c>
      <c r="G81" s="12">
        <f t="shared" si="10"/>
        <v>8</v>
      </c>
      <c r="H81" s="12">
        <f t="shared" si="10"/>
        <v>4</v>
      </c>
      <c r="I81" s="12">
        <f t="shared" si="10"/>
        <v>4</v>
      </c>
      <c r="J81" s="12">
        <f t="shared" si="10"/>
        <v>2</v>
      </c>
      <c r="K81" s="12">
        <f t="shared" si="10"/>
        <v>21</v>
      </c>
      <c r="L81" s="12">
        <f t="shared" si="10"/>
        <v>12</v>
      </c>
      <c r="M81" s="12">
        <f t="shared" si="10"/>
        <v>14</v>
      </c>
      <c r="N81" s="12">
        <f t="shared" si="10"/>
        <v>18</v>
      </c>
      <c r="O81" s="12">
        <f t="shared" si="10"/>
        <v>6</v>
      </c>
      <c r="P81" s="12">
        <f t="shared" si="10"/>
        <v>2</v>
      </c>
      <c r="Q81" s="12">
        <f t="shared" si="10"/>
        <v>1</v>
      </c>
      <c r="R81" s="12">
        <f t="shared" si="10"/>
        <v>2</v>
      </c>
      <c r="S81" s="12">
        <f t="shared" si="10"/>
        <v>1</v>
      </c>
      <c r="T81" s="12">
        <f t="shared" si="10"/>
        <v>8</v>
      </c>
      <c r="U81" s="12">
        <f t="shared" si="10"/>
        <v>3</v>
      </c>
      <c r="V81" s="12">
        <f t="shared" si="10"/>
        <v>2</v>
      </c>
      <c r="W81" s="12">
        <f t="shared" si="10"/>
        <v>2</v>
      </c>
      <c r="X81" s="12">
        <f t="shared" si="10"/>
        <v>1</v>
      </c>
      <c r="Y81" s="12">
        <f t="shared" si="10"/>
        <v>1</v>
      </c>
      <c r="Z81" s="12">
        <f t="shared" si="10"/>
        <v>19</v>
      </c>
      <c r="AA81" s="12">
        <f t="shared" si="10"/>
        <v>12</v>
      </c>
      <c r="AB81" s="12">
        <f t="shared" si="10"/>
        <v>9</v>
      </c>
      <c r="AC81" s="12">
        <f t="shared" si="10"/>
        <v>4</v>
      </c>
      <c r="AD81" s="12">
        <f t="shared" si="10"/>
        <v>2</v>
      </c>
      <c r="AE81" s="12">
        <f t="shared" si="10"/>
        <v>3</v>
      </c>
      <c r="AF81" s="12">
        <f t="shared" si="10"/>
        <v>6</v>
      </c>
      <c r="AG81" s="10">
        <f t="shared" si="5"/>
        <v>195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1</v>
      </c>
      <c r="C82" s="3">
        <f t="shared" si="11"/>
        <v>3</v>
      </c>
      <c r="D82" s="3">
        <f t="shared" si="11"/>
        <v>2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2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1</v>
      </c>
      <c r="Q82" s="3">
        <f t="shared" si="11"/>
        <v>0</v>
      </c>
      <c r="R82" s="3">
        <f t="shared" si="11"/>
        <v>1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0</v>
      </c>
      <c r="X82" s="3">
        <f t="shared" si="11"/>
        <v>1</v>
      </c>
      <c r="Y82" s="3">
        <f t="shared" si="11"/>
        <v>1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2</v>
      </c>
      <c r="AF82" s="3">
        <f t="shared" si="11"/>
        <v>4</v>
      </c>
      <c r="AG82" s="4">
        <f t="shared" si="5"/>
        <v>18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2</v>
      </c>
      <c r="C83" s="8">
        <f t="shared" si="12"/>
        <v>0</v>
      </c>
      <c r="D83" s="8">
        <f t="shared" si="12"/>
        <v>0</v>
      </c>
      <c r="E83" s="8">
        <f t="shared" si="12"/>
        <v>7</v>
      </c>
      <c r="F83" s="8">
        <f t="shared" si="12"/>
        <v>13</v>
      </c>
      <c r="G83" s="8">
        <f t="shared" si="12"/>
        <v>8</v>
      </c>
      <c r="H83" s="8">
        <f t="shared" si="12"/>
        <v>4</v>
      </c>
      <c r="I83" s="8">
        <f t="shared" si="12"/>
        <v>4</v>
      </c>
      <c r="J83" s="8">
        <f t="shared" si="12"/>
        <v>0</v>
      </c>
      <c r="K83" s="8">
        <f t="shared" si="12"/>
        <v>21</v>
      </c>
      <c r="L83" s="8">
        <f t="shared" si="12"/>
        <v>12</v>
      </c>
      <c r="M83" s="8">
        <f t="shared" si="12"/>
        <v>14</v>
      </c>
      <c r="N83" s="8">
        <f t="shared" si="12"/>
        <v>18</v>
      </c>
      <c r="O83" s="8">
        <f t="shared" si="12"/>
        <v>6</v>
      </c>
      <c r="P83" s="8">
        <f t="shared" si="12"/>
        <v>1</v>
      </c>
      <c r="Q83" s="8">
        <f t="shared" si="12"/>
        <v>1</v>
      </c>
      <c r="R83" s="8">
        <f t="shared" si="12"/>
        <v>1</v>
      </c>
      <c r="S83" s="8">
        <f t="shared" si="12"/>
        <v>1</v>
      </c>
      <c r="T83" s="8">
        <f t="shared" si="12"/>
        <v>8</v>
      </c>
      <c r="U83" s="8">
        <f t="shared" si="12"/>
        <v>3</v>
      </c>
      <c r="V83" s="8">
        <f t="shared" si="12"/>
        <v>2</v>
      </c>
      <c r="W83" s="8">
        <f t="shared" si="12"/>
        <v>2</v>
      </c>
      <c r="X83" s="8">
        <f t="shared" si="12"/>
        <v>0</v>
      </c>
      <c r="Y83" s="8">
        <f t="shared" si="12"/>
        <v>0</v>
      </c>
      <c r="Z83" s="8">
        <f t="shared" si="12"/>
        <v>19</v>
      </c>
      <c r="AA83" s="8">
        <f t="shared" si="12"/>
        <v>12</v>
      </c>
      <c r="AB83" s="8">
        <f t="shared" si="12"/>
        <v>9</v>
      </c>
      <c r="AC83" s="8">
        <f t="shared" si="12"/>
        <v>4</v>
      </c>
      <c r="AD83" s="8">
        <f t="shared" si="12"/>
        <v>2</v>
      </c>
      <c r="AE83" s="8">
        <f t="shared" si="12"/>
        <v>1</v>
      </c>
      <c r="AF83" s="8">
        <f t="shared" si="12"/>
        <v>2</v>
      </c>
      <c r="AG83" s="5">
        <f t="shared" si="5"/>
        <v>177</v>
      </c>
    </row>
    <row r="84" spans="1:34" ht="15.75" customHeight="1" thickBot="1" x14ac:dyDescent="0.3">
      <c r="A84" s="67" t="s">
        <v>32</v>
      </c>
      <c r="B84" s="14">
        <f t="shared" ref="B84:AF84" si="13">SUM(B85:B86)</f>
        <v>3</v>
      </c>
      <c r="C84" s="14">
        <f t="shared" si="13"/>
        <v>3</v>
      </c>
      <c r="D84" s="14">
        <f t="shared" si="13"/>
        <v>2</v>
      </c>
      <c r="E84" s="14">
        <f t="shared" si="13"/>
        <v>7</v>
      </c>
      <c r="F84" s="14">
        <f t="shared" si="13"/>
        <v>13</v>
      </c>
      <c r="G84" s="14">
        <f t="shared" si="13"/>
        <v>8</v>
      </c>
      <c r="H84" s="14">
        <f t="shared" si="13"/>
        <v>4</v>
      </c>
      <c r="I84" s="14">
        <f t="shared" si="13"/>
        <v>4</v>
      </c>
      <c r="J84" s="14">
        <f t="shared" si="13"/>
        <v>2</v>
      </c>
      <c r="K84" s="14">
        <f t="shared" si="13"/>
        <v>21</v>
      </c>
      <c r="L84" s="14">
        <f t="shared" si="13"/>
        <v>12</v>
      </c>
      <c r="M84" s="14">
        <f t="shared" si="13"/>
        <v>14</v>
      </c>
      <c r="N84" s="14">
        <f t="shared" si="13"/>
        <v>18</v>
      </c>
      <c r="O84" s="14">
        <f t="shared" si="13"/>
        <v>6</v>
      </c>
      <c r="P84" s="14">
        <f t="shared" si="13"/>
        <v>2</v>
      </c>
      <c r="Q84" s="14">
        <f t="shared" si="13"/>
        <v>1</v>
      </c>
      <c r="R84" s="14">
        <f t="shared" si="13"/>
        <v>2</v>
      </c>
      <c r="S84" s="14">
        <f t="shared" si="13"/>
        <v>1</v>
      </c>
      <c r="T84" s="14">
        <f t="shared" si="13"/>
        <v>8</v>
      </c>
      <c r="U84" s="14">
        <f t="shared" si="13"/>
        <v>3</v>
      </c>
      <c r="V84" s="14">
        <f t="shared" si="13"/>
        <v>2</v>
      </c>
      <c r="W84" s="14">
        <f t="shared" si="13"/>
        <v>2</v>
      </c>
      <c r="X84" s="14">
        <f t="shared" si="13"/>
        <v>1</v>
      </c>
      <c r="Y84" s="14">
        <f t="shared" si="13"/>
        <v>1</v>
      </c>
      <c r="Z84" s="14">
        <f t="shared" si="13"/>
        <v>19</v>
      </c>
      <c r="AA84" s="14">
        <f t="shared" si="13"/>
        <v>12</v>
      </c>
      <c r="AB84" s="14">
        <f t="shared" si="13"/>
        <v>9</v>
      </c>
      <c r="AC84" s="14">
        <f t="shared" si="13"/>
        <v>4</v>
      </c>
      <c r="AD84" s="14">
        <f t="shared" si="13"/>
        <v>2</v>
      </c>
      <c r="AE84" s="14">
        <f t="shared" si="13"/>
        <v>3</v>
      </c>
      <c r="AF84" s="14">
        <f t="shared" si="13"/>
        <v>6</v>
      </c>
      <c r="AG84" s="15">
        <f t="shared" si="5"/>
        <v>195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0</v>
      </c>
      <c r="C85" s="69">
        <v>1</v>
      </c>
      <c r="D85" s="69">
        <v>0</v>
      </c>
      <c r="E85" s="69">
        <v>2</v>
      </c>
      <c r="F85" s="69">
        <v>4</v>
      </c>
      <c r="G85" s="69">
        <v>2</v>
      </c>
      <c r="H85" s="69">
        <v>0</v>
      </c>
      <c r="I85" s="69">
        <v>0</v>
      </c>
      <c r="J85" s="69">
        <v>1</v>
      </c>
      <c r="K85" s="69">
        <v>4</v>
      </c>
      <c r="L85" s="69">
        <v>4</v>
      </c>
      <c r="M85" s="69">
        <v>4</v>
      </c>
      <c r="N85" s="69">
        <v>5</v>
      </c>
      <c r="O85" s="69">
        <v>2</v>
      </c>
      <c r="P85" s="69">
        <v>0</v>
      </c>
      <c r="Q85" s="69">
        <v>0</v>
      </c>
      <c r="R85" s="69">
        <v>0</v>
      </c>
      <c r="S85" s="69">
        <v>0</v>
      </c>
      <c r="T85" s="69">
        <v>1</v>
      </c>
      <c r="U85" s="69">
        <v>2</v>
      </c>
      <c r="V85" s="69">
        <v>0</v>
      </c>
      <c r="W85" s="69">
        <v>0</v>
      </c>
      <c r="X85" s="69">
        <v>0</v>
      </c>
      <c r="Y85" s="69">
        <v>0</v>
      </c>
      <c r="Z85" s="69">
        <v>3</v>
      </c>
      <c r="AA85" s="69">
        <v>2</v>
      </c>
      <c r="AB85" s="69">
        <v>3</v>
      </c>
      <c r="AC85" s="69">
        <v>2</v>
      </c>
      <c r="AD85" s="69">
        <v>0</v>
      </c>
      <c r="AE85" s="69">
        <v>1</v>
      </c>
      <c r="AF85" s="69">
        <v>4</v>
      </c>
      <c r="AG85" s="16">
        <f t="shared" si="5"/>
        <v>47</v>
      </c>
    </row>
    <row r="86" spans="1:34" ht="15.75" customHeight="1" thickBot="1" x14ac:dyDescent="0.3">
      <c r="A86" s="70" t="s">
        <v>34</v>
      </c>
      <c r="B86" s="71">
        <v>3</v>
      </c>
      <c r="C86" s="71">
        <v>2</v>
      </c>
      <c r="D86" s="71">
        <v>2</v>
      </c>
      <c r="E86" s="71">
        <v>5</v>
      </c>
      <c r="F86" s="71">
        <v>9</v>
      </c>
      <c r="G86" s="71">
        <v>6</v>
      </c>
      <c r="H86" s="71">
        <v>4</v>
      </c>
      <c r="I86" s="71">
        <v>4</v>
      </c>
      <c r="J86" s="71">
        <v>1</v>
      </c>
      <c r="K86" s="71">
        <v>17</v>
      </c>
      <c r="L86" s="71">
        <v>8</v>
      </c>
      <c r="M86" s="71">
        <v>10</v>
      </c>
      <c r="N86" s="71">
        <v>13</v>
      </c>
      <c r="O86" s="71">
        <v>4</v>
      </c>
      <c r="P86" s="71">
        <v>2</v>
      </c>
      <c r="Q86" s="71">
        <v>1</v>
      </c>
      <c r="R86" s="71">
        <v>2</v>
      </c>
      <c r="S86" s="71">
        <v>1</v>
      </c>
      <c r="T86" s="71">
        <v>7</v>
      </c>
      <c r="U86" s="71">
        <v>1</v>
      </c>
      <c r="V86" s="71">
        <v>2</v>
      </c>
      <c r="W86" s="71">
        <v>2</v>
      </c>
      <c r="X86" s="71">
        <v>1</v>
      </c>
      <c r="Y86" s="71">
        <v>1</v>
      </c>
      <c r="Z86" s="71">
        <v>16</v>
      </c>
      <c r="AA86" s="71">
        <v>10</v>
      </c>
      <c r="AB86" s="71">
        <v>6</v>
      </c>
      <c r="AC86" s="71">
        <v>2</v>
      </c>
      <c r="AD86" s="71">
        <v>2</v>
      </c>
      <c r="AE86" s="71">
        <v>2</v>
      </c>
      <c r="AF86" s="71">
        <v>2</v>
      </c>
      <c r="AG86" s="17">
        <f t="shared" si="5"/>
        <v>148</v>
      </c>
    </row>
    <row r="87" spans="1:34" ht="15.75" customHeight="1" thickBot="1" x14ac:dyDescent="0.3">
      <c r="A87" s="72" t="s">
        <v>35</v>
      </c>
      <c r="B87" s="18">
        <f t="shared" ref="B87:AF87" si="14">SUM(B88:B92)</f>
        <v>3</v>
      </c>
      <c r="C87" s="18">
        <f t="shared" si="14"/>
        <v>3</v>
      </c>
      <c r="D87" s="18">
        <f t="shared" si="14"/>
        <v>2</v>
      </c>
      <c r="E87" s="18">
        <f t="shared" si="14"/>
        <v>7</v>
      </c>
      <c r="F87" s="18">
        <f t="shared" si="14"/>
        <v>13</v>
      </c>
      <c r="G87" s="18">
        <f t="shared" si="14"/>
        <v>8</v>
      </c>
      <c r="H87" s="18">
        <f t="shared" si="14"/>
        <v>4</v>
      </c>
      <c r="I87" s="18">
        <f t="shared" si="14"/>
        <v>4</v>
      </c>
      <c r="J87" s="18">
        <f t="shared" si="14"/>
        <v>2</v>
      </c>
      <c r="K87" s="18">
        <f t="shared" si="14"/>
        <v>21</v>
      </c>
      <c r="L87" s="18">
        <f t="shared" si="14"/>
        <v>12</v>
      </c>
      <c r="M87" s="18">
        <f t="shared" si="14"/>
        <v>14</v>
      </c>
      <c r="N87" s="18">
        <f t="shared" si="14"/>
        <v>18</v>
      </c>
      <c r="O87" s="18">
        <f t="shared" si="14"/>
        <v>6</v>
      </c>
      <c r="P87" s="18">
        <f t="shared" si="14"/>
        <v>2</v>
      </c>
      <c r="Q87" s="18">
        <f t="shared" si="14"/>
        <v>1</v>
      </c>
      <c r="R87" s="18">
        <f t="shared" si="14"/>
        <v>2</v>
      </c>
      <c r="S87" s="18">
        <f t="shared" si="14"/>
        <v>1</v>
      </c>
      <c r="T87" s="18">
        <f t="shared" si="14"/>
        <v>8</v>
      </c>
      <c r="U87" s="18">
        <f t="shared" si="14"/>
        <v>3</v>
      </c>
      <c r="V87" s="18">
        <f t="shared" si="14"/>
        <v>2</v>
      </c>
      <c r="W87" s="18">
        <f t="shared" si="14"/>
        <v>2</v>
      </c>
      <c r="X87" s="18">
        <f t="shared" si="14"/>
        <v>1</v>
      </c>
      <c r="Y87" s="18">
        <f t="shared" si="14"/>
        <v>1</v>
      </c>
      <c r="Z87" s="18">
        <f t="shared" si="14"/>
        <v>19</v>
      </c>
      <c r="AA87" s="18">
        <f t="shared" si="14"/>
        <v>12</v>
      </c>
      <c r="AB87" s="18">
        <f t="shared" si="14"/>
        <v>9</v>
      </c>
      <c r="AC87" s="18">
        <f t="shared" si="14"/>
        <v>4</v>
      </c>
      <c r="AD87" s="18">
        <f t="shared" si="14"/>
        <v>2</v>
      </c>
      <c r="AE87" s="18">
        <f t="shared" si="14"/>
        <v>3</v>
      </c>
      <c r="AF87" s="18">
        <f t="shared" si="14"/>
        <v>6</v>
      </c>
      <c r="AG87" s="19">
        <f t="shared" si="5"/>
        <v>195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1</v>
      </c>
      <c r="C88" s="60">
        <v>2</v>
      </c>
      <c r="D88" s="60">
        <v>2</v>
      </c>
      <c r="E88" s="60">
        <v>3</v>
      </c>
      <c r="F88" s="60">
        <v>1</v>
      </c>
      <c r="G88" s="60">
        <v>4</v>
      </c>
      <c r="H88" s="60">
        <v>2</v>
      </c>
      <c r="I88" s="60">
        <v>3</v>
      </c>
      <c r="J88" s="60">
        <v>2</v>
      </c>
      <c r="K88" s="60">
        <v>16</v>
      </c>
      <c r="L88" s="60">
        <v>4</v>
      </c>
      <c r="M88" s="60">
        <v>9</v>
      </c>
      <c r="N88" s="60">
        <v>4</v>
      </c>
      <c r="O88" s="60">
        <v>3</v>
      </c>
      <c r="P88" s="60">
        <v>2</v>
      </c>
      <c r="Q88" s="60">
        <v>1</v>
      </c>
      <c r="R88" s="60">
        <v>1</v>
      </c>
      <c r="S88" s="60">
        <v>0</v>
      </c>
      <c r="T88" s="60">
        <v>1</v>
      </c>
      <c r="U88" s="60">
        <v>1</v>
      </c>
      <c r="V88" s="60">
        <v>1</v>
      </c>
      <c r="W88" s="60">
        <v>0</v>
      </c>
      <c r="X88" s="60">
        <v>0</v>
      </c>
      <c r="Y88" s="60">
        <v>1</v>
      </c>
      <c r="Z88" s="60">
        <v>9</v>
      </c>
      <c r="AA88" s="60">
        <v>0</v>
      </c>
      <c r="AB88" s="60">
        <v>4</v>
      </c>
      <c r="AC88" s="60">
        <v>2</v>
      </c>
      <c r="AD88" s="60">
        <v>1</v>
      </c>
      <c r="AE88" s="60">
        <v>1</v>
      </c>
      <c r="AF88" s="60">
        <v>0</v>
      </c>
      <c r="AG88" s="4">
        <f t="shared" si="5"/>
        <v>81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38</v>
      </c>
      <c r="B90" s="60">
        <v>1</v>
      </c>
      <c r="C90" s="60">
        <v>0</v>
      </c>
      <c r="D90" s="60">
        <v>0</v>
      </c>
      <c r="E90" s="60">
        <v>1</v>
      </c>
      <c r="F90" s="60">
        <v>1</v>
      </c>
      <c r="G90" s="60">
        <v>0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1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>
        <v>0</v>
      </c>
      <c r="AG90" s="5">
        <f t="shared" si="5"/>
        <v>4</v>
      </c>
    </row>
    <row r="91" spans="1:34" ht="15.75" customHeight="1" x14ac:dyDescent="0.25">
      <c r="A91" s="74" t="s">
        <v>39</v>
      </c>
      <c r="B91" s="60">
        <v>0</v>
      </c>
      <c r="C91" s="60">
        <v>1</v>
      </c>
      <c r="D91" s="60">
        <v>0</v>
      </c>
      <c r="E91" s="60">
        <v>3</v>
      </c>
      <c r="F91" s="60">
        <v>10</v>
      </c>
      <c r="G91" s="60">
        <v>3</v>
      </c>
      <c r="H91" s="60">
        <v>2</v>
      </c>
      <c r="I91" s="60">
        <v>1</v>
      </c>
      <c r="J91" s="60">
        <v>0</v>
      </c>
      <c r="K91" s="60">
        <v>4</v>
      </c>
      <c r="L91" s="60">
        <v>4</v>
      </c>
      <c r="M91" s="60">
        <v>2</v>
      </c>
      <c r="N91" s="60">
        <v>10</v>
      </c>
      <c r="O91" s="60">
        <v>1</v>
      </c>
      <c r="P91" s="60">
        <v>0</v>
      </c>
      <c r="Q91" s="60">
        <v>0</v>
      </c>
      <c r="R91" s="60">
        <v>1</v>
      </c>
      <c r="S91" s="60">
        <v>0</v>
      </c>
      <c r="T91" s="60">
        <v>6</v>
      </c>
      <c r="U91" s="60">
        <v>2</v>
      </c>
      <c r="V91" s="60">
        <v>0</v>
      </c>
      <c r="W91" s="60">
        <v>2</v>
      </c>
      <c r="X91" s="60">
        <v>1</v>
      </c>
      <c r="Y91" s="60">
        <v>0</v>
      </c>
      <c r="Z91" s="60">
        <v>6</v>
      </c>
      <c r="AA91" s="60">
        <v>7</v>
      </c>
      <c r="AB91" s="60">
        <v>4</v>
      </c>
      <c r="AC91" s="60">
        <v>2</v>
      </c>
      <c r="AD91" s="60">
        <v>0</v>
      </c>
      <c r="AE91" s="60">
        <v>2</v>
      </c>
      <c r="AF91" s="60">
        <v>4</v>
      </c>
      <c r="AG91" s="5">
        <f t="shared" si="5"/>
        <v>78</v>
      </c>
    </row>
    <row r="92" spans="1:34" ht="15.75" customHeight="1" thickBot="1" x14ac:dyDescent="0.3">
      <c r="A92" s="74" t="s">
        <v>40</v>
      </c>
      <c r="B92" s="60">
        <v>1</v>
      </c>
      <c r="C92" s="60">
        <v>0</v>
      </c>
      <c r="D92" s="60">
        <v>0</v>
      </c>
      <c r="E92" s="60">
        <v>0</v>
      </c>
      <c r="F92" s="60">
        <v>1</v>
      </c>
      <c r="G92" s="60">
        <v>1</v>
      </c>
      <c r="H92" s="60">
        <v>0</v>
      </c>
      <c r="I92" s="60">
        <v>0</v>
      </c>
      <c r="J92" s="60">
        <v>0</v>
      </c>
      <c r="K92" s="60">
        <v>1</v>
      </c>
      <c r="L92" s="60">
        <v>4</v>
      </c>
      <c r="M92" s="60">
        <v>3</v>
      </c>
      <c r="N92" s="60">
        <v>4</v>
      </c>
      <c r="O92" s="60">
        <v>2</v>
      </c>
      <c r="P92" s="60">
        <v>0</v>
      </c>
      <c r="Q92" s="60">
        <v>0</v>
      </c>
      <c r="R92" s="60">
        <v>0</v>
      </c>
      <c r="S92" s="60">
        <v>1</v>
      </c>
      <c r="T92" s="60">
        <v>0</v>
      </c>
      <c r="U92" s="60">
        <v>0</v>
      </c>
      <c r="V92" s="60">
        <v>1</v>
      </c>
      <c r="W92" s="60">
        <v>0</v>
      </c>
      <c r="X92" s="60">
        <v>0</v>
      </c>
      <c r="Y92" s="60">
        <v>0</v>
      </c>
      <c r="Z92" s="60">
        <v>4</v>
      </c>
      <c r="AA92" s="60">
        <v>5</v>
      </c>
      <c r="AB92" s="60">
        <v>1</v>
      </c>
      <c r="AC92" s="60">
        <v>0</v>
      </c>
      <c r="AD92" s="60">
        <v>1</v>
      </c>
      <c r="AE92" s="60">
        <v>0</v>
      </c>
      <c r="AF92" s="60">
        <v>2</v>
      </c>
      <c r="AG92" s="5">
        <f t="shared" si="5"/>
        <v>32</v>
      </c>
    </row>
    <row r="93" spans="1:34" ht="15.75" customHeight="1" x14ac:dyDescent="0.25">
      <c r="A93" s="75" t="s">
        <v>41</v>
      </c>
      <c r="B93" s="20">
        <f t="shared" ref="B93:AF93" si="15">+B94+B100</f>
        <v>77</v>
      </c>
      <c r="C93" s="20">
        <f t="shared" si="15"/>
        <v>162</v>
      </c>
      <c r="D93" s="20">
        <f t="shared" si="15"/>
        <v>163</v>
      </c>
      <c r="E93" s="20">
        <f t="shared" si="15"/>
        <v>118</v>
      </c>
      <c r="F93" s="20">
        <f t="shared" si="15"/>
        <v>114</v>
      </c>
      <c r="G93" s="20">
        <f t="shared" si="15"/>
        <v>119</v>
      </c>
      <c r="H93" s="20">
        <f t="shared" si="15"/>
        <v>114</v>
      </c>
      <c r="I93" s="20">
        <f t="shared" si="15"/>
        <v>105</v>
      </c>
      <c r="J93" s="20">
        <f t="shared" si="15"/>
        <v>157</v>
      </c>
      <c r="K93" s="20">
        <f t="shared" si="15"/>
        <v>132</v>
      </c>
      <c r="L93" s="20">
        <f t="shared" si="15"/>
        <v>129</v>
      </c>
      <c r="M93" s="20">
        <f t="shared" si="15"/>
        <v>127</v>
      </c>
      <c r="N93" s="20">
        <f t="shared" si="15"/>
        <v>104</v>
      </c>
      <c r="O93" s="20">
        <f t="shared" si="15"/>
        <v>111</v>
      </c>
      <c r="P93" s="20">
        <f t="shared" si="15"/>
        <v>150</v>
      </c>
      <c r="Q93" s="20">
        <f t="shared" si="15"/>
        <v>172</v>
      </c>
      <c r="R93" s="20">
        <f t="shared" si="15"/>
        <v>161</v>
      </c>
      <c r="S93" s="20">
        <f t="shared" si="15"/>
        <v>140</v>
      </c>
      <c r="T93" s="20">
        <f t="shared" si="15"/>
        <v>111</v>
      </c>
      <c r="U93" s="20">
        <f t="shared" si="15"/>
        <v>181</v>
      </c>
      <c r="V93" s="20">
        <f t="shared" si="15"/>
        <v>105</v>
      </c>
      <c r="W93" s="20">
        <f t="shared" si="15"/>
        <v>87</v>
      </c>
      <c r="X93" s="20">
        <f t="shared" si="15"/>
        <v>143</v>
      </c>
      <c r="Y93" s="20">
        <f t="shared" si="15"/>
        <v>154</v>
      </c>
      <c r="Z93" s="20">
        <f t="shared" si="15"/>
        <v>120</v>
      </c>
      <c r="AA93" s="20">
        <f t="shared" si="15"/>
        <v>116</v>
      </c>
      <c r="AB93" s="20">
        <f t="shared" si="15"/>
        <v>132</v>
      </c>
      <c r="AC93" s="20">
        <f t="shared" si="15"/>
        <v>108</v>
      </c>
      <c r="AD93" s="20">
        <f t="shared" si="15"/>
        <v>89</v>
      </c>
      <c r="AE93" s="20">
        <f t="shared" si="15"/>
        <v>152</v>
      </c>
      <c r="AF93" s="20">
        <f t="shared" si="15"/>
        <v>149</v>
      </c>
      <c r="AG93" s="5">
        <f t="shared" si="5"/>
        <v>4002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12</v>
      </c>
      <c r="C94" s="21">
        <f t="shared" si="16"/>
        <v>22</v>
      </c>
      <c r="D94" s="21">
        <f t="shared" si="16"/>
        <v>37</v>
      </c>
      <c r="E94" s="21">
        <f t="shared" si="16"/>
        <v>25</v>
      </c>
      <c r="F94" s="21">
        <f t="shared" si="16"/>
        <v>23</v>
      </c>
      <c r="G94" s="21">
        <f t="shared" si="16"/>
        <v>22</v>
      </c>
      <c r="H94" s="21">
        <f t="shared" si="16"/>
        <v>15</v>
      </c>
      <c r="I94" s="21">
        <f t="shared" si="16"/>
        <v>19</v>
      </c>
      <c r="J94" s="21">
        <f t="shared" si="16"/>
        <v>32</v>
      </c>
      <c r="K94" s="21">
        <f t="shared" si="16"/>
        <v>26</v>
      </c>
      <c r="L94" s="21">
        <f t="shared" si="16"/>
        <v>27</v>
      </c>
      <c r="M94" s="21">
        <f t="shared" si="16"/>
        <v>25</v>
      </c>
      <c r="N94" s="21">
        <f t="shared" si="16"/>
        <v>23</v>
      </c>
      <c r="O94" s="21">
        <f t="shared" si="16"/>
        <v>15</v>
      </c>
      <c r="P94" s="21">
        <f t="shared" si="16"/>
        <v>22</v>
      </c>
      <c r="Q94" s="21">
        <f t="shared" si="16"/>
        <v>27</v>
      </c>
      <c r="R94" s="21">
        <f t="shared" si="16"/>
        <v>32</v>
      </c>
      <c r="S94" s="21">
        <f t="shared" si="16"/>
        <v>16</v>
      </c>
      <c r="T94" s="21">
        <f t="shared" si="16"/>
        <v>15</v>
      </c>
      <c r="U94" s="21">
        <f t="shared" si="16"/>
        <v>34</v>
      </c>
      <c r="V94" s="21">
        <f t="shared" si="16"/>
        <v>16</v>
      </c>
      <c r="W94" s="21">
        <f t="shared" si="16"/>
        <v>10</v>
      </c>
      <c r="X94" s="21">
        <f t="shared" si="16"/>
        <v>25</v>
      </c>
      <c r="Y94" s="21">
        <f t="shared" si="16"/>
        <v>29</v>
      </c>
      <c r="Z94" s="21">
        <f t="shared" si="16"/>
        <v>22</v>
      </c>
      <c r="AA94" s="21">
        <f t="shared" si="16"/>
        <v>21</v>
      </c>
      <c r="AB94" s="21">
        <f t="shared" si="16"/>
        <v>28</v>
      </c>
      <c r="AC94" s="21">
        <f t="shared" si="16"/>
        <v>20</v>
      </c>
      <c r="AD94" s="21">
        <f t="shared" si="16"/>
        <v>16</v>
      </c>
      <c r="AE94" s="21">
        <f t="shared" si="16"/>
        <v>21</v>
      </c>
      <c r="AF94" s="21">
        <f t="shared" si="16"/>
        <v>31</v>
      </c>
      <c r="AG94" s="5">
        <f t="shared" si="5"/>
        <v>708</v>
      </c>
    </row>
    <row r="95" spans="1:34" ht="15.75" customHeight="1" x14ac:dyDescent="0.25">
      <c r="A95" s="78" t="s">
        <v>43</v>
      </c>
      <c r="B95" s="54">
        <v>1</v>
      </c>
      <c r="C95" s="54">
        <v>0</v>
      </c>
      <c r="D95" s="54">
        <v>2</v>
      </c>
      <c r="E95" s="54">
        <v>0</v>
      </c>
      <c r="F95" s="54">
        <v>0</v>
      </c>
      <c r="G95" s="54">
        <v>0</v>
      </c>
      <c r="H95" s="54">
        <v>1</v>
      </c>
      <c r="I95" s="54">
        <v>0</v>
      </c>
      <c r="J95" s="54">
        <v>0</v>
      </c>
      <c r="K95" s="54">
        <v>0</v>
      </c>
      <c r="L95" s="54">
        <v>3</v>
      </c>
      <c r="M95" s="54">
        <v>1</v>
      </c>
      <c r="N95" s="54">
        <v>1</v>
      </c>
      <c r="O95" s="54">
        <v>0</v>
      </c>
      <c r="P95" s="54">
        <v>3</v>
      </c>
      <c r="Q95" s="54">
        <v>2</v>
      </c>
      <c r="R95" s="54">
        <v>0</v>
      </c>
      <c r="S95" s="54">
        <v>0</v>
      </c>
      <c r="T95" s="54">
        <v>0</v>
      </c>
      <c r="U95" s="54">
        <v>1</v>
      </c>
      <c r="V95" s="54">
        <v>0</v>
      </c>
      <c r="W95" s="54">
        <v>1</v>
      </c>
      <c r="X95" s="54">
        <v>1</v>
      </c>
      <c r="Y95" s="54">
        <v>2</v>
      </c>
      <c r="Z95" s="54">
        <v>0</v>
      </c>
      <c r="AA95" s="54">
        <v>0</v>
      </c>
      <c r="AB95" s="54">
        <v>2</v>
      </c>
      <c r="AC95" s="54">
        <v>0</v>
      </c>
      <c r="AD95" s="54">
        <v>1</v>
      </c>
      <c r="AE95" s="54">
        <v>0</v>
      </c>
      <c r="AF95" s="54">
        <v>0</v>
      </c>
      <c r="AG95" s="5">
        <f t="shared" si="5"/>
        <v>22</v>
      </c>
    </row>
    <row r="96" spans="1:34" ht="15.75" customHeight="1" x14ac:dyDescent="0.25">
      <c r="A96" s="79" t="s">
        <v>44</v>
      </c>
      <c r="B96" s="54">
        <v>0</v>
      </c>
      <c r="C96" s="54">
        <v>2</v>
      </c>
      <c r="D96" s="54">
        <v>1</v>
      </c>
      <c r="E96" s="54">
        <v>1</v>
      </c>
      <c r="F96" s="54">
        <v>4</v>
      </c>
      <c r="G96" s="54">
        <v>3</v>
      </c>
      <c r="H96" s="54">
        <v>0</v>
      </c>
      <c r="I96" s="54">
        <v>1</v>
      </c>
      <c r="J96" s="54">
        <v>1</v>
      </c>
      <c r="K96" s="54">
        <v>2</v>
      </c>
      <c r="L96" s="54">
        <v>3</v>
      </c>
      <c r="M96" s="54">
        <v>3</v>
      </c>
      <c r="N96" s="54">
        <v>2</v>
      </c>
      <c r="O96" s="54">
        <v>0</v>
      </c>
      <c r="P96" s="54">
        <v>3</v>
      </c>
      <c r="Q96" s="54">
        <v>3</v>
      </c>
      <c r="R96" s="54">
        <v>2</v>
      </c>
      <c r="S96" s="54">
        <v>1</v>
      </c>
      <c r="T96" s="54">
        <v>0</v>
      </c>
      <c r="U96" s="54">
        <v>3</v>
      </c>
      <c r="V96" s="54">
        <v>1</v>
      </c>
      <c r="W96" s="54">
        <v>1</v>
      </c>
      <c r="X96" s="54">
        <v>3</v>
      </c>
      <c r="Y96" s="54">
        <v>3</v>
      </c>
      <c r="Z96" s="54">
        <v>1</v>
      </c>
      <c r="AA96" s="54">
        <v>0</v>
      </c>
      <c r="AB96" s="54">
        <v>1</v>
      </c>
      <c r="AC96" s="54">
        <v>0</v>
      </c>
      <c r="AD96" s="54">
        <v>0</v>
      </c>
      <c r="AE96" s="54">
        <v>5</v>
      </c>
      <c r="AF96" s="54">
        <v>0</v>
      </c>
      <c r="AG96" s="5">
        <f t="shared" si="5"/>
        <v>50</v>
      </c>
    </row>
    <row r="97" spans="1:33" ht="15.75" customHeight="1" x14ac:dyDescent="0.25">
      <c r="A97" s="80" t="s">
        <v>45</v>
      </c>
      <c r="B97" s="54">
        <v>2</v>
      </c>
      <c r="C97" s="54">
        <v>4</v>
      </c>
      <c r="D97" s="54">
        <v>7</v>
      </c>
      <c r="E97" s="54">
        <v>4</v>
      </c>
      <c r="F97" s="54">
        <v>6</v>
      </c>
      <c r="G97" s="54">
        <v>4</v>
      </c>
      <c r="H97" s="54">
        <v>3</v>
      </c>
      <c r="I97" s="54">
        <v>2</v>
      </c>
      <c r="J97" s="54">
        <v>2</v>
      </c>
      <c r="K97" s="54">
        <v>2</v>
      </c>
      <c r="L97" s="54">
        <v>6</v>
      </c>
      <c r="M97" s="54">
        <v>2</v>
      </c>
      <c r="N97" s="54">
        <v>2</v>
      </c>
      <c r="O97" s="54">
        <v>6</v>
      </c>
      <c r="P97" s="54">
        <v>5</v>
      </c>
      <c r="Q97" s="54">
        <v>6</v>
      </c>
      <c r="R97" s="54">
        <v>3</v>
      </c>
      <c r="S97" s="54">
        <v>5</v>
      </c>
      <c r="T97" s="54">
        <v>4</v>
      </c>
      <c r="U97" s="54">
        <v>8</v>
      </c>
      <c r="V97" s="54">
        <v>3</v>
      </c>
      <c r="W97" s="54">
        <v>0</v>
      </c>
      <c r="X97" s="54">
        <v>4</v>
      </c>
      <c r="Y97" s="54">
        <v>4</v>
      </c>
      <c r="Z97" s="54">
        <v>5</v>
      </c>
      <c r="AA97" s="54">
        <v>1</v>
      </c>
      <c r="AB97" s="54">
        <v>7</v>
      </c>
      <c r="AC97" s="54">
        <v>3</v>
      </c>
      <c r="AD97" s="54">
        <v>4</v>
      </c>
      <c r="AE97" s="54">
        <v>3</v>
      </c>
      <c r="AF97" s="54">
        <v>3</v>
      </c>
      <c r="AG97" s="5">
        <f t="shared" si="5"/>
        <v>120</v>
      </c>
    </row>
    <row r="98" spans="1:33" ht="15.75" customHeight="1" x14ac:dyDescent="0.25">
      <c r="A98" s="81" t="s">
        <v>46</v>
      </c>
      <c r="B98" s="54">
        <v>3</v>
      </c>
      <c r="C98" s="54">
        <v>8</v>
      </c>
      <c r="D98" s="54">
        <v>19</v>
      </c>
      <c r="E98" s="54">
        <v>13</v>
      </c>
      <c r="F98" s="54">
        <v>8</v>
      </c>
      <c r="G98" s="54">
        <v>6</v>
      </c>
      <c r="H98" s="54">
        <v>9</v>
      </c>
      <c r="I98" s="54">
        <v>9</v>
      </c>
      <c r="J98" s="54">
        <v>17</v>
      </c>
      <c r="K98" s="54">
        <v>10</v>
      </c>
      <c r="L98" s="54">
        <v>6</v>
      </c>
      <c r="M98" s="54">
        <v>8</v>
      </c>
      <c r="N98" s="54">
        <v>9</v>
      </c>
      <c r="O98" s="54">
        <v>5</v>
      </c>
      <c r="P98" s="54">
        <v>7</v>
      </c>
      <c r="Q98" s="54">
        <v>9</v>
      </c>
      <c r="R98" s="54">
        <v>13</v>
      </c>
      <c r="S98" s="54">
        <v>5</v>
      </c>
      <c r="T98" s="54">
        <v>4</v>
      </c>
      <c r="U98" s="54">
        <v>13</v>
      </c>
      <c r="V98" s="54">
        <v>7</v>
      </c>
      <c r="W98" s="54">
        <v>6</v>
      </c>
      <c r="X98" s="54">
        <v>10</v>
      </c>
      <c r="Y98" s="54">
        <v>11</v>
      </c>
      <c r="Z98" s="54">
        <v>9</v>
      </c>
      <c r="AA98" s="54">
        <v>11</v>
      </c>
      <c r="AB98" s="54">
        <v>13</v>
      </c>
      <c r="AC98" s="54">
        <v>10</v>
      </c>
      <c r="AD98" s="54">
        <v>5</v>
      </c>
      <c r="AE98" s="54">
        <v>9</v>
      </c>
      <c r="AF98" s="54">
        <v>17</v>
      </c>
      <c r="AG98" s="5">
        <f t="shared" si="5"/>
        <v>289</v>
      </c>
    </row>
    <row r="99" spans="1:33" ht="15.75" customHeight="1" x14ac:dyDescent="0.25">
      <c r="A99" s="82" t="s">
        <v>47</v>
      </c>
      <c r="B99" s="54">
        <v>6</v>
      </c>
      <c r="C99" s="54">
        <v>8</v>
      </c>
      <c r="D99" s="54">
        <v>8</v>
      </c>
      <c r="E99" s="54">
        <v>7</v>
      </c>
      <c r="F99" s="54">
        <v>5</v>
      </c>
      <c r="G99" s="54">
        <v>9</v>
      </c>
      <c r="H99" s="54">
        <v>2</v>
      </c>
      <c r="I99" s="54">
        <v>7</v>
      </c>
      <c r="J99" s="54">
        <v>12</v>
      </c>
      <c r="K99" s="54">
        <v>12</v>
      </c>
      <c r="L99" s="54">
        <v>9</v>
      </c>
      <c r="M99" s="54">
        <v>11</v>
      </c>
      <c r="N99" s="54">
        <v>9</v>
      </c>
      <c r="O99" s="54">
        <v>4</v>
      </c>
      <c r="P99" s="54">
        <v>4</v>
      </c>
      <c r="Q99" s="54">
        <v>7</v>
      </c>
      <c r="R99" s="54">
        <v>14</v>
      </c>
      <c r="S99" s="54">
        <v>5</v>
      </c>
      <c r="T99" s="54">
        <v>7</v>
      </c>
      <c r="U99" s="54">
        <v>9</v>
      </c>
      <c r="V99" s="54">
        <v>5</v>
      </c>
      <c r="W99" s="54">
        <v>2</v>
      </c>
      <c r="X99" s="54">
        <v>7</v>
      </c>
      <c r="Y99" s="54">
        <v>9</v>
      </c>
      <c r="Z99" s="54">
        <v>7</v>
      </c>
      <c r="AA99" s="54">
        <v>9</v>
      </c>
      <c r="AB99" s="54">
        <v>5</v>
      </c>
      <c r="AC99" s="54">
        <v>7</v>
      </c>
      <c r="AD99" s="54">
        <v>6</v>
      </c>
      <c r="AE99" s="54">
        <v>4</v>
      </c>
      <c r="AF99" s="54">
        <v>11</v>
      </c>
      <c r="AG99" s="5">
        <f t="shared" ref="AG99:AG162" si="17">SUM(B99:AF99)</f>
        <v>227</v>
      </c>
    </row>
    <row r="100" spans="1:33" ht="15.75" customHeight="1" x14ac:dyDescent="0.25">
      <c r="A100" s="76" t="s">
        <v>48</v>
      </c>
      <c r="B100" s="21">
        <f t="shared" ref="B100:AF100" si="18">SUM(B101:B115)</f>
        <v>65</v>
      </c>
      <c r="C100" s="21">
        <f t="shared" si="18"/>
        <v>140</v>
      </c>
      <c r="D100" s="21">
        <f t="shared" si="18"/>
        <v>126</v>
      </c>
      <c r="E100" s="21">
        <f t="shared" si="18"/>
        <v>93</v>
      </c>
      <c r="F100" s="21">
        <f t="shared" si="18"/>
        <v>91</v>
      </c>
      <c r="G100" s="21">
        <f t="shared" si="18"/>
        <v>97</v>
      </c>
      <c r="H100" s="21">
        <f t="shared" si="18"/>
        <v>99</v>
      </c>
      <c r="I100" s="21">
        <f t="shared" si="18"/>
        <v>86</v>
      </c>
      <c r="J100" s="21">
        <f t="shared" si="18"/>
        <v>125</v>
      </c>
      <c r="K100" s="21">
        <f t="shared" si="18"/>
        <v>106</v>
      </c>
      <c r="L100" s="21">
        <f t="shared" si="18"/>
        <v>102</v>
      </c>
      <c r="M100" s="21">
        <f t="shared" si="18"/>
        <v>102</v>
      </c>
      <c r="N100" s="21">
        <f t="shared" si="18"/>
        <v>81</v>
      </c>
      <c r="O100" s="21">
        <f t="shared" si="18"/>
        <v>96</v>
      </c>
      <c r="P100" s="21">
        <f t="shared" si="18"/>
        <v>128</v>
      </c>
      <c r="Q100" s="21">
        <f t="shared" si="18"/>
        <v>145</v>
      </c>
      <c r="R100" s="21">
        <f t="shared" si="18"/>
        <v>129</v>
      </c>
      <c r="S100" s="21">
        <f t="shared" si="18"/>
        <v>124</v>
      </c>
      <c r="T100" s="21">
        <f t="shared" si="18"/>
        <v>96</v>
      </c>
      <c r="U100" s="21">
        <f t="shared" si="18"/>
        <v>147</v>
      </c>
      <c r="V100" s="21">
        <f t="shared" si="18"/>
        <v>89</v>
      </c>
      <c r="W100" s="21">
        <f t="shared" si="18"/>
        <v>77</v>
      </c>
      <c r="X100" s="21">
        <f t="shared" si="18"/>
        <v>118</v>
      </c>
      <c r="Y100" s="21">
        <f t="shared" si="18"/>
        <v>125</v>
      </c>
      <c r="Z100" s="21">
        <f t="shared" si="18"/>
        <v>98</v>
      </c>
      <c r="AA100" s="21">
        <f t="shared" si="18"/>
        <v>95</v>
      </c>
      <c r="AB100" s="21">
        <f t="shared" si="18"/>
        <v>104</v>
      </c>
      <c r="AC100" s="21">
        <f t="shared" si="18"/>
        <v>88</v>
      </c>
      <c r="AD100" s="21">
        <f t="shared" si="18"/>
        <v>73</v>
      </c>
      <c r="AE100" s="21">
        <f t="shared" si="18"/>
        <v>131</v>
      </c>
      <c r="AF100" s="21">
        <f t="shared" si="18"/>
        <v>118</v>
      </c>
      <c r="AG100" s="5">
        <f t="shared" si="17"/>
        <v>3294</v>
      </c>
    </row>
    <row r="101" spans="1:33" ht="15.75" customHeight="1" x14ac:dyDescent="0.25">
      <c r="A101" s="82" t="s">
        <v>49</v>
      </c>
      <c r="B101" s="54">
        <v>4</v>
      </c>
      <c r="C101" s="54">
        <v>8</v>
      </c>
      <c r="D101" s="54">
        <v>10</v>
      </c>
      <c r="E101" s="54">
        <v>13</v>
      </c>
      <c r="F101" s="54">
        <v>6</v>
      </c>
      <c r="G101" s="54">
        <v>12</v>
      </c>
      <c r="H101" s="54">
        <v>9</v>
      </c>
      <c r="I101" s="54">
        <v>2</v>
      </c>
      <c r="J101" s="54">
        <v>10</v>
      </c>
      <c r="K101" s="54">
        <v>10</v>
      </c>
      <c r="L101" s="54">
        <v>8</v>
      </c>
      <c r="M101" s="54">
        <v>10</v>
      </c>
      <c r="N101" s="54">
        <v>10</v>
      </c>
      <c r="O101" s="54">
        <v>6</v>
      </c>
      <c r="P101" s="54">
        <v>5</v>
      </c>
      <c r="Q101" s="54">
        <v>9</v>
      </c>
      <c r="R101" s="54">
        <v>7</v>
      </c>
      <c r="S101" s="54">
        <v>8</v>
      </c>
      <c r="T101" s="54">
        <v>4</v>
      </c>
      <c r="U101" s="54">
        <v>10</v>
      </c>
      <c r="V101" s="54">
        <v>13</v>
      </c>
      <c r="W101" s="54">
        <v>3</v>
      </c>
      <c r="X101" s="54">
        <v>8</v>
      </c>
      <c r="Y101" s="54">
        <v>7</v>
      </c>
      <c r="Z101" s="54">
        <v>10</v>
      </c>
      <c r="AA101" s="54">
        <v>12</v>
      </c>
      <c r="AB101" s="54">
        <v>8</v>
      </c>
      <c r="AC101" s="54">
        <v>14</v>
      </c>
      <c r="AD101" s="54">
        <v>9</v>
      </c>
      <c r="AE101" s="54">
        <v>5</v>
      </c>
      <c r="AF101" s="54">
        <v>9</v>
      </c>
      <c r="AG101" s="5">
        <f t="shared" si="17"/>
        <v>259</v>
      </c>
    </row>
    <row r="102" spans="1:33" ht="15.75" customHeight="1" x14ac:dyDescent="0.25">
      <c r="A102" s="82" t="s">
        <v>50</v>
      </c>
      <c r="B102" s="54">
        <v>6</v>
      </c>
      <c r="C102" s="54">
        <v>10</v>
      </c>
      <c r="D102" s="54">
        <v>11</v>
      </c>
      <c r="E102" s="54">
        <v>7</v>
      </c>
      <c r="F102" s="54">
        <v>9</v>
      </c>
      <c r="G102" s="54">
        <v>7</v>
      </c>
      <c r="H102" s="54">
        <v>3</v>
      </c>
      <c r="I102" s="54">
        <v>13</v>
      </c>
      <c r="J102" s="54">
        <v>11</v>
      </c>
      <c r="K102" s="54">
        <v>7</v>
      </c>
      <c r="L102" s="54">
        <v>10</v>
      </c>
      <c r="M102" s="54">
        <v>5</v>
      </c>
      <c r="N102" s="54">
        <v>4</v>
      </c>
      <c r="O102" s="54">
        <v>9</v>
      </c>
      <c r="P102" s="54">
        <v>9</v>
      </c>
      <c r="Q102" s="54">
        <v>5</v>
      </c>
      <c r="R102" s="54">
        <v>9</v>
      </c>
      <c r="S102" s="54">
        <v>15</v>
      </c>
      <c r="T102" s="54">
        <v>6</v>
      </c>
      <c r="U102" s="54">
        <v>9</v>
      </c>
      <c r="V102" s="54">
        <v>3</v>
      </c>
      <c r="W102" s="54">
        <v>8</v>
      </c>
      <c r="X102" s="54">
        <v>12</v>
      </c>
      <c r="Y102" s="54">
        <v>12</v>
      </c>
      <c r="Z102" s="54">
        <v>15</v>
      </c>
      <c r="AA102" s="54">
        <v>9</v>
      </c>
      <c r="AB102" s="54">
        <v>9</v>
      </c>
      <c r="AC102" s="54">
        <v>5</v>
      </c>
      <c r="AD102" s="54">
        <v>5</v>
      </c>
      <c r="AE102" s="54">
        <v>12</v>
      </c>
      <c r="AF102" s="54">
        <v>13</v>
      </c>
      <c r="AG102" s="5">
        <f t="shared" si="17"/>
        <v>268</v>
      </c>
    </row>
    <row r="103" spans="1:33" ht="15.75" customHeight="1" x14ac:dyDescent="0.25">
      <c r="A103" s="78" t="s">
        <v>51</v>
      </c>
      <c r="B103" s="54">
        <v>3</v>
      </c>
      <c r="C103" s="54">
        <v>6</v>
      </c>
      <c r="D103" s="54">
        <v>3</v>
      </c>
      <c r="E103" s="54">
        <v>7</v>
      </c>
      <c r="F103" s="54">
        <v>7</v>
      </c>
      <c r="G103" s="54">
        <v>10</v>
      </c>
      <c r="H103" s="54">
        <v>7</v>
      </c>
      <c r="I103" s="54">
        <v>5</v>
      </c>
      <c r="J103" s="54">
        <v>7</v>
      </c>
      <c r="K103" s="54">
        <v>6</v>
      </c>
      <c r="L103" s="54">
        <v>10</v>
      </c>
      <c r="M103" s="54">
        <v>6</v>
      </c>
      <c r="N103" s="54">
        <v>2</v>
      </c>
      <c r="O103" s="54">
        <v>12</v>
      </c>
      <c r="P103" s="54">
        <v>11</v>
      </c>
      <c r="Q103" s="54">
        <v>6</v>
      </c>
      <c r="R103" s="54">
        <v>15</v>
      </c>
      <c r="S103" s="54">
        <v>6</v>
      </c>
      <c r="T103" s="54">
        <v>14</v>
      </c>
      <c r="U103" s="54">
        <v>13</v>
      </c>
      <c r="V103" s="54">
        <v>12</v>
      </c>
      <c r="W103" s="54">
        <v>6</v>
      </c>
      <c r="X103" s="54">
        <v>13</v>
      </c>
      <c r="Y103" s="54">
        <v>8</v>
      </c>
      <c r="Z103" s="54">
        <v>11</v>
      </c>
      <c r="AA103" s="54">
        <v>10</v>
      </c>
      <c r="AB103" s="54">
        <v>11</v>
      </c>
      <c r="AC103" s="54">
        <v>6</v>
      </c>
      <c r="AD103" s="54">
        <v>6</v>
      </c>
      <c r="AE103" s="54">
        <v>10</v>
      </c>
      <c r="AF103" s="54">
        <v>8</v>
      </c>
      <c r="AG103" s="5">
        <f t="shared" si="17"/>
        <v>257</v>
      </c>
    </row>
    <row r="104" spans="1:33" ht="15.75" customHeight="1" x14ac:dyDescent="0.25">
      <c r="A104" s="78" t="s">
        <v>52</v>
      </c>
      <c r="B104" s="54">
        <v>3</v>
      </c>
      <c r="C104" s="54">
        <v>13</v>
      </c>
      <c r="D104" s="54">
        <v>19</v>
      </c>
      <c r="E104" s="54">
        <v>4</v>
      </c>
      <c r="F104" s="54">
        <v>4</v>
      </c>
      <c r="G104" s="54">
        <v>5</v>
      </c>
      <c r="H104" s="54">
        <v>3</v>
      </c>
      <c r="I104" s="54">
        <v>9</v>
      </c>
      <c r="J104" s="54">
        <v>13</v>
      </c>
      <c r="K104" s="54">
        <v>6</v>
      </c>
      <c r="L104" s="54">
        <v>9</v>
      </c>
      <c r="M104" s="54">
        <v>8</v>
      </c>
      <c r="N104" s="54">
        <v>9</v>
      </c>
      <c r="O104" s="54">
        <v>7</v>
      </c>
      <c r="P104" s="54">
        <v>4</v>
      </c>
      <c r="Q104" s="54">
        <v>10</v>
      </c>
      <c r="R104" s="54">
        <v>12</v>
      </c>
      <c r="S104" s="54">
        <v>8</v>
      </c>
      <c r="T104" s="54">
        <v>9</v>
      </c>
      <c r="U104" s="54">
        <v>12</v>
      </c>
      <c r="V104" s="54">
        <v>8</v>
      </c>
      <c r="W104" s="54">
        <v>6</v>
      </c>
      <c r="X104" s="54">
        <v>3</v>
      </c>
      <c r="Y104" s="54">
        <v>12</v>
      </c>
      <c r="Z104" s="54">
        <v>6</v>
      </c>
      <c r="AA104" s="54">
        <v>5</v>
      </c>
      <c r="AB104" s="54">
        <v>8</v>
      </c>
      <c r="AC104" s="54">
        <v>7</v>
      </c>
      <c r="AD104" s="54">
        <v>2</v>
      </c>
      <c r="AE104" s="54">
        <v>8</v>
      </c>
      <c r="AF104" s="54">
        <v>8</v>
      </c>
      <c r="AG104" s="5">
        <f t="shared" si="17"/>
        <v>240</v>
      </c>
    </row>
    <row r="105" spans="1:33" ht="15.75" customHeight="1" x14ac:dyDescent="0.25">
      <c r="A105" s="78" t="s">
        <v>53</v>
      </c>
      <c r="B105" s="54">
        <v>9</v>
      </c>
      <c r="C105" s="54">
        <v>11</v>
      </c>
      <c r="D105" s="54">
        <v>11</v>
      </c>
      <c r="E105" s="54">
        <v>4</v>
      </c>
      <c r="F105" s="54">
        <v>8</v>
      </c>
      <c r="G105" s="54">
        <v>7</v>
      </c>
      <c r="H105" s="54">
        <v>13</v>
      </c>
      <c r="I105" s="54">
        <v>12</v>
      </c>
      <c r="J105" s="54">
        <v>13</v>
      </c>
      <c r="K105" s="54">
        <v>8</v>
      </c>
      <c r="L105" s="54">
        <v>7</v>
      </c>
      <c r="M105" s="54">
        <v>9</v>
      </c>
      <c r="N105" s="54">
        <v>6</v>
      </c>
      <c r="O105" s="54">
        <v>5</v>
      </c>
      <c r="P105" s="54">
        <v>14</v>
      </c>
      <c r="Q105" s="54">
        <v>10</v>
      </c>
      <c r="R105" s="54">
        <v>6</v>
      </c>
      <c r="S105" s="54">
        <v>8</v>
      </c>
      <c r="T105" s="54">
        <v>6</v>
      </c>
      <c r="U105" s="54">
        <v>11</v>
      </c>
      <c r="V105" s="54">
        <v>10</v>
      </c>
      <c r="W105" s="54">
        <v>7</v>
      </c>
      <c r="X105" s="54">
        <v>16</v>
      </c>
      <c r="Y105" s="54">
        <v>11</v>
      </c>
      <c r="Z105" s="54">
        <v>5</v>
      </c>
      <c r="AA105" s="54">
        <v>6</v>
      </c>
      <c r="AB105" s="54">
        <v>10</v>
      </c>
      <c r="AC105" s="54">
        <v>7</v>
      </c>
      <c r="AD105" s="54">
        <v>5</v>
      </c>
      <c r="AE105" s="54">
        <v>4</v>
      </c>
      <c r="AF105" s="54">
        <v>6</v>
      </c>
      <c r="AG105" s="5">
        <f t="shared" si="17"/>
        <v>265</v>
      </c>
    </row>
    <row r="106" spans="1:33" ht="15.75" customHeight="1" x14ac:dyDescent="0.25">
      <c r="A106" s="78" t="s">
        <v>54</v>
      </c>
      <c r="B106" s="54">
        <v>3</v>
      </c>
      <c r="C106" s="54">
        <v>13</v>
      </c>
      <c r="D106" s="54">
        <v>8</v>
      </c>
      <c r="E106" s="54">
        <v>4</v>
      </c>
      <c r="F106" s="54">
        <v>6</v>
      </c>
      <c r="G106" s="54">
        <v>3</v>
      </c>
      <c r="H106" s="54">
        <v>8</v>
      </c>
      <c r="I106" s="54">
        <v>5</v>
      </c>
      <c r="J106" s="54">
        <v>7</v>
      </c>
      <c r="K106" s="54">
        <v>12</v>
      </c>
      <c r="L106" s="54">
        <v>8</v>
      </c>
      <c r="M106" s="54">
        <v>7</v>
      </c>
      <c r="N106" s="54">
        <v>5</v>
      </c>
      <c r="O106" s="54">
        <v>5</v>
      </c>
      <c r="P106" s="54">
        <v>10</v>
      </c>
      <c r="Q106" s="54">
        <v>9</v>
      </c>
      <c r="R106" s="54">
        <v>8</v>
      </c>
      <c r="S106" s="54">
        <v>10</v>
      </c>
      <c r="T106" s="54">
        <v>6</v>
      </c>
      <c r="U106" s="54">
        <v>15</v>
      </c>
      <c r="V106" s="54">
        <v>8</v>
      </c>
      <c r="W106" s="54">
        <v>5</v>
      </c>
      <c r="X106" s="54">
        <v>11</v>
      </c>
      <c r="Y106" s="54">
        <v>13</v>
      </c>
      <c r="Z106" s="54">
        <v>5</v>
      </c>
      <c r="AA106" s="54">
        <v>7</v>
      </c>
      <c r="AB106" s="54">
        <v>11</v>
      </c>
      <c r="AC106" s="54">
        <v>6</v>
      </c>
      <c r="AD106" s="54">
        <v>2</v>
      </c>
      <c r="AE106" s="54">
        <v>10</v>
      </c>
      <c r="AF106" s="54">
        <v>10</v>
      </c>
      <c r="AG106" s="5">
        <f t="shared" si="17"/>
        <v>240</v>
      </c>
    </row>
    <row r="107" spans="1:33" ht="15.75" customHeight="1" x14ac:dyDescent="0.25">
      <c r="A107" s="78" t="s">
        <v>55</v>
      </c>
      <c r="B107" s="54">
        <v>5</v>
      </c>
      <c r="C107" s="54">
        <v>11</v>
      </c>
      <c r="D107" s="54">
        <v>16</v>
      </c>
      <c r="E107" s="54">
        <v>10</v>
      </c>
      <c r="F107" s="54">
        <v>6</v>
      </c>
      <c r="G107" s="54">
        <v>6</v>
      </c>
      <c r="H107" s="54">
        <v>6</v>
      </c>
      <c r="I107" s="54">
        <v>6</v>
      </c>
      <c r="J107" s="54">
        <v>7</v>
      </c>
      <c r="K107" s="54">
        <v>11</v>
      </c>
      <c r="L107" s="54">
        <v>4</v>
      </c>
      <c r="M107" s="54">
        <v>5</v>
      </c>
      <c r="N107" s="54">
        <v>6</v>
      </c>
      <c r="O107" s="54">
        <v>6</v>
      </c>
      <c r="P107" s="54">
        <v>11</v>
      </c>
      <c r="Q107" s="54">
        <v>8</v>
      </c>
      <c r="R107" s="54">
        <v>9</v>
      </c>
      <c r="S107" s="54">
        <v>6</v>
      </c>
      <c r="T107" s="54">
        <v>6</v>
      </c>
      <c r="U107" s="54">
        <v>12</v>
      </c>
      <c r="V107" s="54">
        <v>3</v>
      </c>
      <c r="W107" s="54">
        <v>8</v>
      </c>
      <c r="X107" s="54">
        <v>4</v>
      </c>
      <c r="Y107" s="54">
        <v>3</v>
      </c>
      <c r="Z107" s="54">
        <v>7</v>
      </c>
      <c r="AA107" s="54">
        <v>6</v>
      </c>
      <c r="AB107" s="54">
        <v>4</v>
      </c>
      <c r="AC107" s="54">
        <v>5</v>
      </c>
      <c r="AD107" s="54">
        <v>4</v>
      </c>
      <c r="AE107" s="54">
        <v>11</v>
      </c>
      <c r="AF107" s="54">
        <v>12</v>
      </c>
      <c r="AG107" s="5">
        <f t="shared" si="17"/>
        <v>224</v>
      </c>
    </row>
    <row r="108" spans="1:33" ht="15.75" customHeight="1" x14ac:dyDescent="0.25">
      <c r="A108" s="78" t="s">
        <v>56</v>
      </c>
      <c r="B108" s="54">
        <v>5</v>
      </c>
      <c r="C108" s="54">
        <v>9</v>
      </c>
      <c r="D108" s="54">
        <v>8</v>
      </c>
      <c r="E108" s="54">
        <v>5</v>
      </c>
      <c r="F108" s="54">
        <v>8</v>
      </c>
      <c r="G108" s="54">
        <v>7</v>
      </c>
      <c r="H108" s="54">
        <v>12</v>
      </c>
      <c r="I108" s="54">
        <v>3</v>
      </c>
      <c r="J108" s="54">
        <v>6</v>
      </c>
      <c r="K108" s="54">
        <v>8</v>
      </c>
      <c r="L108" s="54">
        <v>10</v>
      </c>
      <c r="M108" s="54">
        <v>12</v>
      </c>
      <c r="N108" s="54">
        <v>5</v>
      </c>
      <c r="O108" s="54">
        <v>8</v>
      </c>
      <c r="P108" s="54">
        <v>11</v>
      </c>
      <c r="Q108" s="54">
        <v>13</v>
      </c>
      <c r="R108" s="54">
        <v>11</v>
      </c>
      <c r="S108" s="54">
        <v>14</v>
      </c>
      <c r="T108" s="54">
        <v>9</v>
      </c>
      <c r="U108" s="54">
        <v>13</v>
      </c>
      <c r="V108" s="54">
        <v>7</v>
      </c>
      <c r="W108" s="54">
        <v>6</v>
      </c>
      <c r="X108" s="54">
        <v>6</v>
      </c>
      <c r="Y108" s="54">
        <v>7</v>
      </c>
      <c r="Z108" s="54">
        <v>5</v>
      </c>
      <c r="AA108" s="54">
        <v>4</v>
      </c>
      <c r="AB108" s="54">
        <v>6</v>
      </c>
      <c r="AC108" s="54">
        <v>7</v>
      </c>
      <c r="AD108" s="54">
        <v>10</v>
      </c>
      <c r="AE108" s="54">
        <v>10</v>
      </c>
      <c r="AF108" s="54">
        <v>11</v>
      </c>
      <c r="AG108" s="5">
        <f t="shared" si="17"/>
        <v>256</v>
      </c>
    </row>
    <row r="109" spans="1:33" ht="15.75" customHeight="1" x14ac:dyDescent="0.25">
      <c r="A109" s="78" t="s">
        <v>57</v>
      </c>
      <c r="B109" s="54">
        <v>3</v>
      </c>
      <c r="C109" s="54">
        <v>8</v>
      </c>
      <c r="D109" s="54">
        <v>4</v>
      </c>
      <c r="E109" s="54">
        <v>14</v>
      </c>
      <c r="F109" s="54">
        <v>7</v>
      </c>
      <c r="G109" s="54">
        <v>4</v>
      </c>
      <c r="H109" s="54">
        <v>3</v>
      </c>
      <c r="I109" s="54">
        <v>5</v>
      </c>
      <c r="J109" s="54">
        <v>9</v>
      </c>
      <c r="K109" s="54">
        <v>5</v>
      </c>
      <c r="L109" s="54">
        <v>8</v>
      </c>
      <c r="M109" s="54">
        <v>5</v>
      </c>
      <c r="N109" s="54">
        <v>9</v>
      </c>
      <c r="O109" s="54">
        <v>4</v>
      </c>
      <c r="P109" s="54">
        <v>13</v>
      </c>
      <c r="Q109" s="54">
        <v>13</v>
      </c>
      <c r="R109" s="54">
        <v>8</v>
      </c>
      <c r="S109" s="54">
        <v>8</v>
      </c>
      <c r="T109" s="54">
        <v>3</v>
      </c>
      <c r="U109" s="54">
        <v>10</v>
      </c>
      <c r="V109" s="54">
        <v>8</v>
      </c>
      <c r="W109" s="54">
        <v>7</v>
      </c>
      <c r="X109" s="54">
        <v>9</v>
      </c>
      <c r="Y109" s="54">
        <v>7</v>
      </c>
      <c r="Z109" s="54">
        <v>12</v>
      </c>
      <c r="AA109" s="54">
        <v>3</v>
      </c>
      <c r="AB109" s="54">
        <v>6</v>
      </c>
      <c r="AC109" s="54">
        <v>7</v>
      </c>
      <c r="AD109" s="54">
        <v>5</v>
      </c>
      <c r="AE109" s="54">
        <v>12</v>
      </c>
      <c r="AF109" s="54">
        <v>5</v>
      </c>
      <c r="AG109" s="5">
        <f t="shared" si="17"/>
        <v>224</v>
      </c>
    </row>
    <row r="110" spans="1:33" ht="15.75" customHeight="1" x14ac:dyDescent="0.25">
      <c r="A110" s="78" t="s">
        <v>58</v>
      </c>
      <c r="B110" s="54">
        <v>10</v>
      </c>
      <c r="C110" s="54">
        <v>13</v>
      </c>
      <c r="D110" s="54">
        <v>6</v>
      </c>
      <c r="E110" s="54">
        <v>9</v>
      </c>
      <c r="F110" s="54">
        <v>6</v>
      </c>
      <c r="G110" s="54">
        <v>5</v>
      </c>
      <c r="H110" s="54">
        <v>4</v>
      </c>
      <c r="I110" s="54">
        <v>9</v>
      </c>
      <c r="J110" s="54">
        <v>12</v>
      </c>
      <c r="K110" s="54">
        <v>6</v>
      </c>
      <c r="L110" s="54">
        <v>9</v>
      </c>
      <c r="M110" s="54">
        <v>5</v>
      </c>
      <c r="N110" s="54">
        <v>8</v>
      </c>
      <c r="O110" s="54">
        <v>3</v>
      </c>
      <c r="P110" s="54">
        <v>5</v>
      </c>
      <c r="Q110" s="54">
        <v>25</v>
      </c>
      <c r="R110" s="54">
        <v>13</v>
      </c>
      <c r="S110" s="54">
        <v>12</v>
      </c>
      <c r="T110" s="54">
        <v>4</v>
      </c>
      <c r="U110" s="54">
        <v>8</v>
      </c>
      <c r="V110" s="54">
        <v>7</v>
      </c>
      <c r="W110" s="54">
        <v>5</v>
      </c>
      <c r="X110" s="54">
        <v>10</v>
      </c>
      <c r="Y110" s="54">
        <v>12</v>
      </c>
      <c r="Z110" s="54">
        <v>8</v>
      </c>
      <c r="AA110" s="54">
        <v>7</v>
      </c>
      <c r="AB110" s="54">
        <v>9</v>
      </c>
      <c r="AC110" s="54">
        <v>4</v>
      </c>
      <c r="AD110" s="54">
        <v>6</v>
      </c>
      <c r="AE110" s="54">
        <v>14</v>
      </c>
      <c r="AF110" s="54">
        <v>7</v>
      </c>
      <c r="AG110" s="5">
        <f t="shared" si="17"/>
        <v>261</v>
      </c>
    </row>
    <row r="111" spans="1:33" ht="15.75" customHeight="1" x14ac:dyDescent="0.25">
      <c r="A111" s="78" t="s">
        <v>59</v>
      </c>
      <c r="B111" s="54">
        <v>4</v>
      </c>
      <c r="C111" s="54">
        <v>10</v>
      </c>
      <c r="D111" s="54">
        <v>9</v>
      </c>
      <c r="E111" s="54">
        <v>6</v>
      </c>
      <c r="F111" s="54">
        <v>9</v>
      </c>
      <c r="G111" s="54">
        <v>5</v>
      </c>
      <c r="H111" s="54">
        <v>8</v>
      </c>
      <c r="I111" s="54">
        <v>6</v>
      </c>
      <c r="J111" s="54">
        <v>8</v>
      </c>
      <c r="K111" s="54">
        <v>3</v>
      </c>
      <c r="L111" s="54">
        <v>4</v>
      </c>
      <c r="M111" s="54">
        <v>12</v>
      </c>
      <c r="N111" s="54">
        <v>7</v>
      </c>
      <c r="O111" s="54">
        <v>9</v>
      </c>
      <c r="P111" s="54">
        <v>10</v>
      </c>
      <c r="Q111" s="54">
        <v>10</v>
      </c>
      <c r="R111" s="54">
        <v>9</v>
      </c>
      <c r="S111" s="54">
        <v>7</v>
      </c>
      <c r="T111" s="54">
        <v>8</v>
      </c>
      <c r="U111" s="54">
        <v>9</v>
      </c>
      <c r="V111" s="54">
        <v>2</v>
      </c>
      <c r="W111" s="54">
        <v>6</v>
      </c>
      <c r="X111" s="54">
        <v>8</v>
      </c>
      <c r="Y111" s="54">
        <v>14</v>
      </c>
      <c r="Z111" s="54">
        <v>6</v>
      </c>
      <c r="AA111" s="54">
        <v>10</v>
      </c>
      <c r="AB111" s="54">
        <v>10</v>
      </c>
      <c r="AC111" s="54">
        <v>5</v>
      </c>
      <c r="AD111" s="54">
        <v>8</v>
      </c>
      <c r="AE111" s="54">
        <v>7</v>
      </c>
      <c r="AF111" s="54">
        <v>8</v>
      </c>
      <c r="AG111" s="5">
        <f t="shared" si="17"/>
        <v>237</v>
      </c>
    </row>
    <row r="112" spans="1:33" ht="15.75" customHeight="1" x14ac:dyDescent="0.25">
      <c r="A112" s="78" t="s">
        <v>60</v>
      </c>
      <c r="B112" s="54">
        <v>3</v>
      </c>
      <c r="C112" s="54">
        <v>6</v>
      </c>
      <c r="D112" s="54">
        <v>10</v>
      </c>
      <c r="E112" s="54">
        <v>1</v>
      </c>
      <c r="F112" s="54">
        <v>4</v>
      </c>
      <c r="G112" s="54">
        <v>6</v>
      </c>
      <c r="H112" s="54">
        <v>8</v>
      </c>
      <c r="I112" s="54">
        <v>6</v>
      </c>
      <c r="J112" s="54">
        <v>9</v>
      </c>
      <c r="K112" s="54">
        <v>7</v>
      </c>
      <c r="L112" s="54">
        <v>6</v>
      </c>
      <c r="M112" s="54">
        <v>4</v>
      </c>
      <c r="N112" s="54">
        <v>3</v>
      </c>
      <c r="O112" s="54">
        <v>11</v>
      </c>
      <c r="P112" s="54">
        <v>8</v>
      </c>
      <c r="Q112" s="54">
        <v>10</v>
      </c>
      <c r="R112" s="54">
        <v>8</v>
      </c>
      <c r="S112" s="54">
        <v>8</v>
      </c>
      <c r="T112" s="54">
        <v>8</v>
      </c>
      <c r="U112" s="54">
        <v>7</v>
      </c>
      <c r="V112" s="54">
        <v>3</v>
      </c>
      <c r="W112" s="54">
        <v>4</v>
      </c>
      <c r="X112" s="54">
        <v>2</v>
      </c>
      <c r="Y112" s="54">
        <v>3</v>
      </c>
      <c r="Z112" s="54">
        <v>2</v>
      </c>
      <c r="AA112" s="54">
        <v>2</v>
      </c>
      <c r="AB112" s="54">
        <v>4</v>
      </c>
      <c r="AC112" s="54">
        <v>7</v>
      </c>
      <c r="AD112" s="54">
        <v>5</v>
      </c>
      <c r="AE112" s="54">
        <v>12</v>
      </c>
      <c r="AF112" s="54">
        <v>5</v>
      </c>
      <c r="AG112" s="5">
        <f t="shared" si="17"/>
        <v>182</v>
      </c>
    </row>
    <row r="113" spans="1:37" ht="15.75" customHeight="1" x14ac:dyDescent="0.25">
      <c r="A113" s="78" t="s">
        <v>61</v>
      </c>
      <c r="B113" s="54">
        <v>2</v>
      </c>
      <c r="C113" s="54">
        <v>7</v>
      </c>
      <c r="D113" s="54">
        <v>4</v>
      </c>
      <c r="E113" s="54">
        <v>4</v>
      </c>
      <c r="F113" s="54">
        <v>5</v>
      </c>
      <c r="G113" s="54">
        <v>9</v>
      </c>
      <c r="H113" s="54">
        <v>6</v>
      </c>
      <c r="I113" s="54">
        <v>1</v>
      </c>
      <c r="J113" s="54">
        <v>6</v>
      </c>
      <c r="K113" s="54">
        <v>5</v>
      </c>
      <c r="L113" s="54">
        <v>6</v>
      </c>
      <c r="M113" s="54">
        <v>6</v>
      </c>
      <c r="N113" s="54">
        <v>2</v>
      </c>
      <c r="O113" s="54">
        <v>5</v>
      </c>
      <c r="P113" s="54">
        <v>7</v>
      </c>
      <c r="Q113" s="54">
        <v>7</v>
      </c>
      <c r="R113" s="54">
        <v>4</v>
      </c>
      <c r="S113" s="54">
        <v>7</v>
      </c>
      <c r="T113" s="54">
        <v>7</v>
      </c>
      <c r="U113" s="54">
        <v>9</v>
      </c>
      <c r="V113" s="54">
        <v>2</v>
      </c>
      <c r="W113" s="54">
        <v>3</v>
      </c>
      <c r="X113" s="54">
        <v>7</v>
      </c>
      <c r="Y113" s="54">
        <v>4</v>
      </c>
      <c r="Z113" s="54">
        <v>1</v>
      </c>
      <c r="AA113" s="54">
        <v>8</v>
      </c>
      <c r="AB113" s="54">
        <v>3</v>
      </c>
      <c r="AC113" s="54">
        <v>4</v>
      </c>
      <c r="AD113" s="54">
        <v>2</v>
      </c>
      <c r="AE113" s="54">
        <v>10</v>
      </c>
      <c r="AF113" s="54">
        <v>6</v>
      </c>
      <c r="AG113" s="5">
        <f t="shared" si="17"/>
        <v>159</v>
      </c>
    </row>
    <row r="114" spans="1:37" ht="15.75" customHeight="1" x14ac:dyDescent="0.25">
      <c r="A114" s="78" t="s">
        <v>62</v>
      </c>
      <c r="B114" s="54">
        <v>5</v>
      </c>
      <c r="C114" s="54">
        <v>15</v>
      </c>
      <c r="D114" s="54">
        <v>7</v>
      </c>
      <c r="E114" s="54">
        <v>5</v>
      </c>
      <c r="F114" s="54">
        <v>6</v>
      </c>
      <c r="G114" s="54">
        <v>11</v>
      </c>
      <c r="H114" s="54">
        <v>9</v>
      </c>
      <c r="I114" s="54">
        <v>4</v>
      </c>
      <c r="J114" s="54">
        <v>7</v>
      </c>
      <c r="K114" s="54">
        <v>12</v>
      </c>
      <c r="L114" s="54">
        <v>3</v>
      </c>
      <c r="M114" s="54">
        <v>8</v>
      </c>
      <c r="N114" s="54">
        <v>5</v>
      </c>
      <c r="O114" s="54">
        <v>6</v>
      </c>
      <c r="P114" s="54">
        <v>10</v>
      </c>
      <c r="Q114" s="54">
        <v>10</v>
      </c>
      <c r="R114" s="54">
        <v>10</v>
      </c>
      <c r="S114" s="54">
        <v>7</v>
      </c>
      <c r="T114" s="54">
        <v>6</v>
      </c>
      <c r="U114" s="54">
        <v>9</v>
      </c>
      <c r="V114" s="54">
        <v>3</v>
      </c>
      <c r="W114" s="54">
        <v>3</v>
      </c>
      <c r="X114" s="54">
        <v>9</v>
      </c>
      <c r="Y114" s="54">
        <v>12</v>
      </c>
      <c r="Z114" s="54">
        <v>5</v>
      </c>
      <c r="AA114" s="54">
        <v>6</v>
      </c>
      <c r="AB114" s="54">
        <v>5</v>
      </c>
      <c r="AC114" s="54">
        <v>4</v>
      </c>
      <c r="AD114" s="54">
        <v>4</v>
      </c>
      <c r="AE114" s="54">
        <v>6</v>
      </c>
      <c r="AF114" s="54">
        <v>10</v>
      </c>
      <c r="AG114" s="5">
        <f t="shared" si="17"/>
        <v>222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18</v>
      </c>
      <c r="C116" s="20">
        <f t="shared" si="19"/>
        <v>52</v>
      </c>
      <c r="D116" s="20">
        <f t="shared" si="19"/>
        <v>41</v>
      </c>
      <c r="E116" s="20">
        <f t="shared" si="19"/>
        <v>40</v>
      </c>
      <c r="F116" s="20">
        <f t="shared" si="19"/>
        <v>20</v>
      </c>
      <c r="G116" s="20">
        <f t="shared" si="19"/>
        <v>26</v>
      </c>
      <c r="H116" s="20">
        <f t="shared" si="19"/>
        <v>31</v>
      </c>
      <c r="I116" s="20">
        <f t="shared" si="19"/>
        <v>21</v>
      </c>
      <c r="J116" s="20">
        <f t="shared" si="19"/>
        <v>44</v>
      </c>
      <c r="K116" s="20">
        <f t="shared" si="19"/>
        <v>34</v>
      </c>
      <c r="L116" s="20">
        <f t="shared" si="19"/>
        <v>38</v>
      </c>
      <c r="M116" s="20">
        <f t="shared" si="19"/>
        <v>40</v>
      </c>
      <c r="N116" s="20">
        <f t="shared" si="19"/>
        <v>32</v>
      </c>
      <c r="O116" s="20">
        <f t="shared" si="19"/>
        <v>33</v>
      </c>
      <c r="P116" s="20">
        <f t="shared" si="19"/>
        <v>53</v>
      </c>
      <c r="Q116" s="20">
        <f t="shared" si="19"/>
        <v>56</v>
      </c>
      <c r="R116" s="20">
        <f t="shared" si="19"/>
        <v>43</v>
      </c>
      <c r="S116" s="20">
        <f t="shared" si="19"/>
        <v>33</v>
      </c>
      <c r="T116" s="20">
        <f t="shared" si="19"/>
        <v>34</v>
      </c>
      <c r="U116" s="20">
        <f t="shared" si="19"/>
        <v>58</v>
      </c>
      <c r="V116" s="20">
        <f t="shared" si="19"/>
        <v>22</v>
      </c>
      <c r="W116" s="20">
        <f t="shared" si="19"/>
        <v>28</v>
      </c>
      <c r="X116" s="20">
        <f t="shared" si="19"/>
        <v>44</v>
      </c>
      <c r="Y116" s="20">
        <f t="shared" si="19"/>
        <v>54</v>
      </c>
      <c r="Z116" s="20">
        <f t="shared" si="19"/>
        <v>43</v>
      </c>
      <c r="AA116" s="20">
        <f t="shared" si="19"/>
        <v>31</v>
      </c>
      <c r="AB116" s="20">
        <f t="shared" si="19"/>
        <v>41</v>
      </c>
      <c r="AC116" s="20">
        <f t="shared" si="19"/>
        <v>32</v>
      </c>
      <c r="AD116" s="20">
        <f t="shared" si="19"/>
        <v>29</v>
      </c>
      <c r="AE116" s="20">
        <f t="shared" si="19"/>
        <v>60</v>
      </c>
      <c r="AF116" s="20">
        <f t="shared" si="19"/>
        <v>28</v>
      </c>
      <c r="AG116" s="5">
        <f t="shared" si="17"/>
        <v>1159</v>
      </c>
      <c r="AK116" s="84">
        <v>612</v>
      </c>
    </row>
    <row r="117" spans="1:37" ht="15.75" customHeight="1" x14ac:dyDescent="0.25">
      <c r="A117" s="85" t="s">
        <v>64</v>
      </c>
      <c r="B117" s="54">
        <v>13</v>
      </c>
      <c r="C117" s="54">
        <v>42</v>
      </c>
      <c r="D117" s="54">
        <v>33</v>
      </c>
      <c r="E117" s="54">
        <v>32</v>
      </c>
      <c r="F117" s="54">
        <v>17</v>
      </c>
      <c r="G117" s="54">
        <v>21</v>
      </c>
      <c r="H117" s="54">
        <v>25</v>
      </c>
      <c r="I117" s="54">
        <v>12</v>
      </c>
      <c r="J117" s="54">
        <v>36</v>
      </c>
      <c r="K117" s="54">
        <v>27</v>
      </c>
      <c r="L117" s="54">
        <v>32</v>
      </c>
      <c r="M117" s="54">
        <v>35</v>
      </c>
      <c r="N117" s="54">
        <v>24</v>
      </c>
      <c r="O117" s="54">
        <v>24</v>
      </c>
      <c r="P117" s="54">
        <v>47</v>
      </c>
      <c r="Q117" s="54">
        <v>53</v>
      </c>
      <c r="R117" s="54">
        <v>34</v>
      </c>
      <c r="S117" s="54">
        <v>27</v>
      </c>
      <c r="T117" s="54">
        <v>24</v>
      </c>
      <c r="U117" s="54">
        <v>49</v>
      </c>
      <c r="V117" s="54">
        <v>16</v>
      </c>
      <c r="W117" s="54">
        <v>22</v>
      </c>
      <c r="X117" s="54">
        <v>35</v>
      </c>
      <c r="Y117" s="54">
        <v>41</v>
      </c>
      <c r="Z117" s="54">
        <v>36</v>
      </c>
      <c r="AA117" s="54">
        <v>27</v>
      </c>
      <c r="AB117" s="54">
        <v>36</v>
      </c>
      <c r="AC117" s="54">
        <v>28</v>
      </c>
      <c r="AD117" s="54">
        <v>26</v>
      </c>
      <c r="AE117" s="54">
        <v>52</v>
      </c>
      <c r="AF117" s="54">
        <v>25</v>
      </c>
      <c r="AG117" s="5">
        <f t="shared" si="17"/>
        <v>951</v>
      </c>
      <c r="AK117" s="84">
        <v>613</v>
      </c>
    </row>
    <row r="118" spans="1:37" ht="15.75" customHeight="1" thickBot="1" x14ac:dyDescent="0.3">
      <c r="A118" s="86" t="s">
        <v>76</v>
      </c>
      <c r="B118" s="87">
        <v>5</v>
      </c>
      <c r="C118" s="87">
        <v>10</v>
      </c>
      <c r="D118" s="87">
        <v>8</v>
      </c>
      <c r="E118" s="87">
        <v>8</v>
      </c>
      <c r="F118" s="87">
        <v>3</v>
      </c>
      <c r="G118" s="87">
        <v>5</v>
      </c>
      <c r="H118" s="87">
        <v>6</v>
      </c>
      <c r="I118" s="87">
        <v>9</v>
      </c>
      <c r="J118" s="87">
        <v>8</v>
      </c>
      <c r="K118" s="87">
        <v>7</v>
      </c>
      <c r="L118" s="87">
        <v>6</v>
      </c>
      <c r="M118" s="87">
        <v>5</v>
      </c>
      <c r="N118" s="87">
        <v>8</v>
      </c>
      <c r="O118" s="87">
        <v>9</v>
      </c>
      <c r="P118" s="87">
        <v>6</v>
      </c>
      <c r="Q118" s="87">
        <v>3</v>
      </c>
      <c r="R118" s="87">
        <v>9</v>
      </c>
      <c r="S118" s="87">
        <v>6</v>
      </c>
      <c r="T118" s="87">
        <v>10</v>
      </c>
      <c r="U118" s="87">
        <v>9</v>
      </c>
      <c r="V118" s="87">
        <v>6</v>
      </c>
      <c r="W118" s="87">
        <v>6</v>
      </c>
      <c r="X118" s="87">
        <v>9</v>
      </c>
      <c r="Y118" s="87">
        <v>13</v>
      </c>
      <c r="Z118" s="87">
        <v>7</v>
      </c>
      <c r="AA118" s="87">
        <v>4</v>
      </c>
      <c r="AB118" s="87">
        <v>5</v>
      </c>
      <c r="AC118" s="87">
        <v>4</v>
      </c>
      <c r="AD118" s="87">
        <v>3</v>
      </c>
      <c r="AE118" s="87">
        <v>8</v>
      </c>
      <c r="AF118" s="87">
        <v>3</v>
      </c>
      <c r="AG118" s="5">
        <f t="shared" si="17"/>
        <v>208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77</v>
      </c>
      <c r="C119" s="20">
        <f t="shared" si="20"/>
        <v>162</v>
      </c>
      <c r="D119" s="20">
        <f t="shared" si="20"/>
        <v>163</v>
      </c>
      <c r="E119" s="20">
        <f t="shared" si="20"/>
        <v>118</v>
      </c>
      <c r="F119" s="20">
        <f t="shared" si="20"/>
        <v>114</v>
      </c>
      <c r="G119" s="20">
        <f t="shared" si="20"/>
        <v>119</v>
      </c>
      <c r="H119" s="20">
        <f t="shared" si="20"/>
        <v>114</v>
      </c>
      <c r="I119" s="20">
        <f t="shared" si="20"/>
        <v>105</v>
      </c>
      <c r="J119" s="20">
        <f t="shared" si="20"/>
        <v>157</v>
      </c>
      <c r="K119" s="20">
        <f t="shared" si="20"/>
        <v>132</v>
      </c>
      <c r="L119" s="20">
        <f t="shared" si="20"/>
        <v>129</v>
      </c>
      <c r="M119" s="20">
        <f t="shared" si="20"/>
        <v>127</v>
      </c>
      <c r="N119" s="20">
        <f t="shared" si="20"/>
        <v>104</v>
      </c>
      <c r="O119" s="20">
        <f t="shared" si="20"/>
        <v>111</v>
      </c>
      <c r="P119" s="20">
        <f t="shared" si="20"/>
        <v>150</v>
      </c>
      <c r="Q119" s="20">
        <f t="shared" si="20"/>
        <v>172</v>
      </c>
      <c r="R119" s="20">
        <f t="shared" si="20"/>
        <v>161</v>
      </c>
      <c r="S119" s="20">
        <f t="shared" si="20"/>
        <v>140</v>
      </c>
      <c r="T119" s="20">
        <f t="shared" si="20"/>
        <v>111</v>
      </c>
      <c r="U119" s="20">
        <f t="shared" si="20"/>
        <v>181</v>
      </c>
      <c r="V119" s="20">
        <f t="shared" si="20"/>
        <v>105</v>
      </c>
      <c r="W119" s="20">
        <f t="shared" si="20"/>
        <v>87</v>
      </c>
      <c r="X119" s="20">
        <f t="shared" si="20"/>
        <v>143</v>
      </c>
      <c r="Y119" s="20">
        <f t="shared" si="20"/>
        <v>154</v>
      </c>
      <c r="Z119" s="20">
        <f t="shared" si="20"/>
        <v>120</v>
      </c>
      <c r="AA119" s="20">
        <f t="shared" si="20"/>
        <v>116</v>
      </c>
      <c r="AB119" s="20">
        <f t="shared" si="20"/>
        <v>132</v>
      </c>
      <c r="AC119" s="20">
        <f t="shared" si="20"/>
        <v>108</v>
      </c>
      <c r="AD119" s="20">
        <f t="shared" si="20"/>
        <v>89</v>
      </c>
      <c r="AE119" s="20">
        <f t="shared" si="20"/>
        <v>152</v>
      </c>
      <c r="AF119" s="20">
        <f t="shared" si="20"/>
        <v>149</v>
      </c>
      <c r="AG119" s="7">
        <f t="shared" si="17"/>
        <v>4002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13</v>
      </c>
      <c r="C120" s="54">
        <v>41</v>
      </c>
      <c r="D120" s="54">
        <v>32</v>
      </c>
      <c r="E120" s="54">
        <v>31</v>
      </c>
      <c r="F120" s="54">
        <v>17</v>
      </c>
      <c r="G120" s="54">
        <v>19</v>
      </c>
      <c r="H120" s="54">
        <v>24</v>
      </c>
      <c r="I120" s="54">
        <v>11</v>
      </c>
      <c r="J120" s="54">
        <v>36</v>
      </c>
      <c r="K120" s="54">
        <v>22</v>
      </c>
      <c r="L120" s="54">
        <v>27</v>
      </c>
      <c r="M120" s="54">
        <v>31</v>
      </c>
      <c r="N120" s="54">
        <v>19</v>
      </c>
      <c r="O120" s="54">
        <v>22</v>
      </c>
      <c r="P120" s="54">
        <v>46</v>
      </c>
      <c r="Q120" s="54">
        <v>53</v>
      </c>
      <c r="R120" s="54">
        <v>34</v>
      </c>
      <c r="S120" s="54">
        <v>26</v>
      </c>
      <c r="T120" s="54">
        <v>21</v>
      </c>
      <c r="U120" s="54">
        <v>49</v>
      </c>
      <c r="V120" s="54">
        <v>15</v>
      </c>
      <c r="W120" s="54">
        <v>21</v>
      </c>
      <c r="X120" s="54">
        <v>35</v>
      </c>
      <c r="Y120" s="54">
        <v>40</v>
      </c>
      <c r="Z120" s="54">
        <v>32</v>
      </c>
      <c r="AA120" s="54">
        <v>26</v>
      </c>
      <c r="AB120" s="54">
        <v>34</v>
      </c>
      <c r="AC120" s="54">
        <v>25</v>
      </c>
      <c r="AD120" s="54">
        <v>26</v>
      </c>
      <c r="AE120" s="54">
        <v>52</v>
      </c>
      <c r="AF120" s="54">
        <v>23</v>
      </c>
      <c r="AG120" s="5">
        <f t="shared" si="17"/>
        <v>903</v>
      </c>
      <c r="AK120" s="88" t="s">
        <v>130</v>
      </c>
    </row>
    <row r="121" spans="1:37" ht="15.75" customHeight="1" x14ac:dyDescent="0.25">
      <c r="A121" s="85" t="s">
        <v>65</v>
      </c>
      <c r="B121" s="54">
        <v>0</v>
      </c>
      <c r="C121" s="54">
        <v>6</v>
      </c>
      <c r="D121" s="54">
        <v>1</v>
      </c>
      <c r="E121" s="54">
        <v>4</v>
      </c>
      <c r="F121" s="54">
        <v>0</v>
      </c>
      <c r="G121" s="54">
        <v>2</v>
      </c>
      <c r="H121" s="54">
        <v>5</v>
      </c>
      <c r="I121" s="54">
        <v>4</v>
      </c>
      <c r="J121" s="54">
        <v>5</v>
      </c>
      <c r="K121" s="54">
        <v>5</v>
      </c>
      <c r="L121" s="54">
        <v>7</v>
      </c>
      <c r="M121" s="54">
        <v>6</v>
      </c>
      <c r="N121" s="54">
        <v>3</v>
      </c>
      <c r="O121" s="54">
        <v>3</v>
      </c>
      <c r="P121" s="54">
        <v>2</v>
      </c>
      <c r="Q121" s="54">
        <v>2</v>
      </c>
      <c r="R121" s="54">
        <v>1</v>
      </c>
      <c r="S121" s="54">
        <v>4</v>
      </c>
      <c r="T121" s="54">
        <v>2</v>
      </c>
      <c r="U121" s="54">
        <v>7</v>
      </c>
      <c r="V121" s="54">
        <v>3</v>
      </c>
      <c r="W121" s="54">
        <v>2</v>
      </c>
      <c r="X121" s="54">
        <v>3</v>
      </c>
      <c r="Y121" s="54">
        <v>7</v>
      </c>
      <c r="Z121" s="54">
        <v>1</v>
      </c>
      <c r="AA121" s="54">
        <v>4</v>
      </c>
      <c r="AB121" s="54">
        <v>2</v>
      </c>
      <c r="AC121" s="54">
        <v>0</v>
      </c>
      <c r="AD121" s="54">
        <v>0</v>
      </c>
      <c r="AE121" s="54">
        <v>5</v>
      </c>
      <c r="AF121" s="54">
        <v>3</v>
      </c>
      <c r="AG121" s="5">
        <f t="shared" si="17"/>
        <v>99</v>
      </c>
      <c r="AK121" s="84" t="s">
        <v>131</v>
      </c>
    </row>
    <row r="122" spans="1:37" ht="15.75" customHeight="1" x14ac:dyDescent="0.25">
      <c r="A122" s="85" t="s">
        <v>66</v>
      </c>
      <c r="B122" s="54">
        <v>1</v>
      </c>
      <c r="C122" s="54">
        <v>5</v>
      </c>
      <c r="D122" s="54">
        <v>12</v>
      </c>
      <c r="E122" s="54">
        <v>7</v>
      </c>
      <c r="F122" s="54">
        <v>5</v>
      </c>
      <c r="G122" s="54">
        <v>10</v>
      </c>
      <c r="H122" s="54">
        <v>6</v>
      </c>
      <c r="I122" s="54">
        <v>9</v>
      </c>
      <c r="J122" s="54">
        <v>7</v>
      </c>
      <c r="K122" s="54">
        <v>4</v>
      </c>
      <c r="L122" s="54">
        <v>7</v>
      </c>
      <c r="M122" s="54">
        <v>5</v>
      </c>
      <c r="N122" s="54">
        <v>5</v>
      </c>
      <c r="O122" s="54">
        <v>6</v>
      </c>
      <c r="P122" s="54">
        <v>8</v>
      </c>
      <c r="Q122" s="54">
        <v>3</v>
      </c>
      <c r="R122" s="54">
        <v>12</v>
      </c>
      <c r="S122" s="54">
        <v>8</v>
      </c>
      <c r="T122" s="54">
        <v>9</v>
      </c>
      <c r="U122" s="54">
        <v>9</v>
      </c>
      <c r="V122" s="54">
        <v>3</v>
      </c>
      <c r="W122" s="54">
        <v>2</v>
      </c>
      <c r="X122" s="54">
        <v>7</v>
      </c>
      <c r="Y122" s="54">
        <v>11</v>
      </c>
      <c r="Z122" s="54">
        <v>10</v>
      </c>
      <c r="AA122" s="54">
        <v>2</v>
      </c>
      <c r="AB122" s="54">
        <v>10</v>
      </c>
      <c r="AC122" s="54">
        <v>2</v>
      </c>
      <c r="AD122" s="54">
        <v>4</v>
      </c>
      <c r="AE122" s="54">
        <v>10</v>
      </c>
      <c r="AF122" s="54">
        <v>5</v>
      </c>
      <c r="AG122" s="5">
        <f t="shared" si="17"/>
        <v>204</v>
      </c>
      <c r="AK122" s="88" t="s">
        <v>132</v>
      </c>
    </row>
    <row r="123" spans="1:37" ht="15.75" customHeight="1" x14ac:dyDescent="0.25">
      <c r="A123" s="85" t="s">
        <v>67</v>
      </c>
      <c r="B123" s="54">
        <v>2</v>
      </c>
      <c r="C123" s="54">
        <v>3</v>
      </c>
      <c r="D123" s="54">
        <v>9</v>
      </c>
      <c r="E123" s="54">
        <v>2</v>
      </c>
      <c r="F123" s="54">
        <v>7</v>
      </c>
      <c r="G123" s="54">
        <v>3</v>
      </c>
      <c r="H123" s="54">
        <v>7</v>
      </c>
      <c r="I123" s="54">
        <v>3</v>
      </c>
      <c r="J123" s="54">
        <v>6</v>
      </c>
      <c r="K123" s="54">
        <v>1</v>
      </c>
      <c r="L123" s="54">
        <v>6</v>
      </c>
      <c r="M123" s="54">
        <v>4</v>
      </c>
      <c r="N123" s="54">
        <v>7</v>
      </c>
      <c r="O123" s="54">
        <v>2</v>
      </c>
      <c r="P123" s="54">
        <v>7</v>
      </c>
      <c r="Q123" s="54">
        <v>4</v>
      </c>
      <c r="R123" s="54">
        <v>4</v>
      </c>
      <c r="S123" s="54">
        <v>8</v>
      </c>
      <c r="T123" s="54">
        <v>3</v>
      </c>
      <c r="U123" s="54">
        <v>7</v>
      </c>
      <c r="V123" s="54">
        <v>4</v>
      </c>
      <c r="W123" s="54">
        <v>2</v>
      </c>
      <c r="X123" s="54">
        <v>4</v>
      </c>
      <c r="Y123" s="54">
        <v>6</v>
      </c>
      <c r="Z123" s="54">
        <v>4</v>
      </c>
      <c r="AA123" s="54">
        <v>6</v>
      </c>
      <c r="AB123" s="54">
        <v>4</v>
      </c>
      <c r="AC123" s="54">
        <v>7</v>
      </c>
      <c r="AD123" s="54">
        <v>3</v>
      </c>
      <c r="AE123" s="54">
        <v>6</v>
      </c>
      <c r="AF123" s="54">
        <v>8</v>
      </c>
      <c r="AG123" s="5">
        <f t="shared" si="17"/>
        <v>149</v>
      </c>
      <c r="AK123" s="84" t="s">
        <v>133</v>
      </c>
    </row>
    <row r="124" spans="1:37" ht="15.75" customHeight="1" x14ac:dyDescent="0.25">
      <c r="A124" s="85" t="s">
        <v>68</v>
      </c>
      <c r="B124" s="54">
        <v>11</v>
      </c>
      <c r="C124" s="54">
        <v>13</v>
      </c>
      <c r="D124" s="54">
        <v>12</v>
      </c>
      <c r="E124" s="54">
        <v>6</v>
      </c>
      <c r="F124" s="54">
        <v>9</v>
      </c>
      <c r="G124" s="54">
        <v>13</v>
      </c>
      <c r="H124" s="54">
        <v>11</v>
      </c>
      <c r="I124" s="54">
        <v>8</v>
      </c>
      <c r="J124" s="54">
        <v>10</v>
      </c>
      <c r="K124" s="54">
        <v>10</v>
      </c>
      <c r="L124" s="54">
        <v>15</v>
      </c>
      <c r="M124" s="54">
        <v>4</v>
      </c>
      <c r="N124" s="54">
        <v>7</v>
      </c>
      <c r="O124" s="54">
        <v>5</v>
      </c>
      <c r="P124" s="54">
        <v>8</v>
      </c>
      <c r="Q124" s="54">
        <v>18</v>
      </c>
      <c r="R124" s="54">
        <v>13</v>
      </c>
      <c r="S124" s="54">
        <v>7</v>
      </c>
      <c r="T124" s="54">
        <v>1</v>
      </c>
      <c r="U124" s="54">
        <v>16</v>
      </c>
      <c r="V124" s="54">
        <v>5</v>
      </c>
      <c r="W124" s="54">
        <v>2</v>
      </c>
      <c r="X124" s="54">
        <v>8</v>
      </c>
      <c r="Y124" s="54">
        <v>13</v>
      </c>
      <c r="Z124" s="54">
        <v>8</v>
      </c>
      <c r="AA124" s="54">
        <v>9</v>
      </c>
      <c r="AB124" s="54">
        <v>10</v>
      </c>
      <c r="AC124" s="54">
        <v>5</v>
      </c>
      <c r="AD124" s="54">
        <v>10</v>
      </c>
      <c r="AE124" s="54">
        <v>7</v>
      </c>
      <c r="AF124" s="54">
        <v>9</v>
      </c>
      <c r="AG124" s="5">
        <f t="shared" si="17"/>
        <v>283</v>
      </c>
      <c r="AK124" s="88" t="s">
        <v>134</v>
      </c>
    </row>
    <row r="125" spans="1:37" ht="15.75" customHeight="1" x14ac:dyDescent="0.25">
      <c r="A125" s="85" t="s">
        <v>69</v>
      </c>
      <c r="B125" s="54">
        <v>38</v>
      </c>
      <c r="C125" s="54">
        <v>71</v>
      </c>
      <c r="D125" s="54">
        <v>75</v>
      </c>
      <c r="E125" s="54">
        <v>55</v>
      </c>
      <c r="F125" s="54">
        <v>64</v>
      </c>
      <c r="G125" s="54">
        <v>60</v>
      </c>
      <c r="H125" s="54">
        <v>43</v>
      </c>
      <c r="I125" s="54">
        <v>50</v>
      </c>
      <c r="J125" s="54">
        <v>72</v>
      </c>
      <c r="K125" s="54">
        <v>71</v>
      </c>
      <c r="L125" s="54">
        <v>52</v>
      </c>
      <c r="M125" s="54">
        <v>64</v>
      </c>
      <c r="N125" s="54">
        <v>50</v>
      </c>
      <c r="O125" s="54">
        <v>58</v>
      </c>
      <c r="P125" s="54">
        <v>61</v>
      </c>
      <c r="Q125" s="54">
        <v>80</v>
      </c>
      <c r="R125" s="54">
        <v>77</v>
      </c>
      <c r="S125" s="54">
        <v>68</v>
      </c>
      <c r="T125" s="54">
        <v>56</v>
      </c>
      <c r="U125" s="54">
        <v>70</v>
      </c>
      <c r="V125" s="54">
        <v>60</v>
      </c>
      <c r="W125" s="54">
        <v>45</v>
      </c>
      <c r="X125" s="54">
        <v>63</v>
      </c>
      <c r="Y125" s="54">
        <v>52</v>
      </c>
      <c r="Z125" s="54">
        <v>48</v>
      </c>
      <c r="AA125" s="54">
        <v>56</v>
      </c>
      <c r="AB125" s="54">
        <v>58</v>
      </c>
      <c r="AC125" s="54">
        <v>61</v>
      </c>
      <c r="AD125" s="54">
        <v>42</v>
      </c>
      <c r="AE125" s="54">
        <v>50</v>
      </c>
      <c r="AF125" s="54">
        <v>92</v>
      </c>
      <c r="AG125" s="5">
        <f t="shared" si="17"/>
        <v>1862</v>
      </c>
      <c r="AK125" s="88" t="s">
        <v>135</v>
      </c>
    </row>
    <row r="126" spans="1:37" ht="15.75" customHeight="1" x14ac:dyDescent="0.25">
      <c r="A126" s="85" t="s">
        <v>70</v>
      </c>
      <c r="B126" s="54">
        <v>0</v>
      </c>
      <c r="C126" s="54">
        <v>1</v>
      </c>
      <c r="D126" s="54">
        <v>3</v>
      </c>
      <c r="E126" s="54">
        <v>2</v>
      </c>
      <c r="F126" s="54">
        <v>2</v>
      </c>
      <c r="G126" s="54">
        <v>2</v>
      </c>
      <c r="H126" s="54">
        <v>4</v>
      </c>
      <c r="I126" s="54">
        <v>6</v>
      </c>
      <c r="J126" s="54">
        <v>3</v>
      </c>
      <c r="K126" s="54">
        <v>3</v>
      </c>
      <c r="L126" s="54">
        <v>3</v>
      </c>
      <c r="M126" s="54">
        <v>4</v>
      </c>
      <c r="N126" s="54">
        <v>0</v>
      </c>
      <c r="O126" s="54">
        <v>1</v>
      </c>
      <c r="P126" s="54">
        <v>0</v>
      </c>
      <c r="Q126" s="54">
        <v>3</v>
      </c>
      <c r="R126" s="54">
        <v>2</v>
      </c>
      <c r="S126" s="54">
        <v>4</v>
      </c>
      <c r="T126" s="54">
        <v>2</v>
      </c>
      <c r="U126" s="54">
        <v>4</v>
      </c>
      <c r="V126" s="54">
        <v>4</v>
      </c>
      <c r="W126" s="54">
        <v>1</v>
      </c>
      <c r="X126" s="54">
        <v>5</v>
      </c>
      <c r="Y126" s="54">
        <v>1</v>
      </c>
      <c r="Z126" s="54">
        <v>3</v>
      </c>
      <c r="AA126" s="54">
        <v>1</v>
      </c>
      <c r="AB126" s="54">
        <v>5</v>
      </c>
      <c r="AC126" s="54">
        <v>1</v>
      </c>
      <c r="AD126" s="54">
        <v>0</v>
      </c>
      <c r="AE126" s="54">
        <v>3</v>
      </c>
      <c r="AF126" s="54">
        <v>1</v>
      </c>
      <c r="AG126" s="5">
        <f t="shared" si="17"/>
        <v>74</v>
      </c>
      <c r="AK126" s="84" t="s">
        <v>136</v>
      </c>
    </row>
    <row r="127" spans="1:37" ht="15.75" customHeight="1" x14ac:dyDescent="0.25">
      <c r="A127" s="85" t="s">
        <v>71</v>
      </c>
      <c r="B127" s="54">
        <v>1</v>
      </c>
      <c r="C127" s="54">
        <v>1</v>
      </c>
      <c r="D127" s="54">
        <v>0</v>
      </c>
      <c r="E127" s="54">
        <v>1</v>
      </c>
      <c r="F127" s="54">
        <v>0</v>
      </c>
      <c r="G127" s="54">
        <v>0</v>
      </c>
      <c r="H127" s="54">
        <v>0</v>
      </c>
      <c r="I127" s="54">
        <v>0</v>
      </c>
      <c r="J127" s="54">
        <v>1</v>
      </c>
      <c r="K127" s="54">
        <v>0</v>
      </c>
      <c r="L127" s="54">
        <v>0</v>
      </c>
      <c r="M127" s="54">
        <v>2</v>
      </c>
      <c r="N127" s="54">
        <v>0</v>
      </c>
      <c r="O127" s="54">
        <v>1</v>
      </c>
      <c r="P127" s="54">
        <v>2</v>
      </c>
      <c r="Q127" s="54">
        <v>0</v>
      </c>
      <c r="R127" s="54">
        <v>0</v>
      </c>
      <c r="S127" s="54">
        <v>0</v>
      </c>
      <c r="T127" s="54">
        <v>1</v>
      </c>
      <c r="U127" s="54">
        <v>2</v>
      </c>
      <c r="V127" s="54">
        <v>0</v>
      </c>
      <c r="W127" s="54">
        <v>1</v>
      </c>
      <c r="X127" s="54">
        <v>1</v>
      </c>
      <c r="Y127" s="54">
        <v>2</v>
      </c>
      <c r="Z127" s="54">
        <v>1</v>
      </c>
      <c r="AA127" s="54">
        <v>2</v>
      </c>
      <c r="AB127" s="54">
        <v>0</v>
      </c>
      <c r="AC127" s="54">
        <v>0</v>
      </c>
      <c r="AD127" s="54">
        <v>0</v>
      </c>
      <c r="AE127" s="54">
        <v>0</v>
      </c>
      <c r="AF127" s="54">
        <v>0</v>
      </c>
      <c r="AG127" s="5">
        <f t="shared" si="17"/>
        <v>19</v>
      </c>
      <c r="AK127" s="88" t="s">
        <v>137</v>
      </c>
    </row>
    <row r="128" spans="1:37" ht="15.75" customHeight="1" x14ac:dyDescent="0.25">
      <c r="A128" s="56" t="s">
        <v>72</v>
      </c>
      <c r="B128" s="54">
        <v>2</v>
      </c>
      <c r="C128" s="54">
        <v>1</v>
      </c>
      <c r="D128" s="54">
        <v>3</v>
      </c>
      <c r="E128" s="54">
        <v>1</v>
      </c>
      <c r="F128" s="54">
        <v>0</v>
      </c>
      <c r="G128" s="54">
        <v>1</v>
      </c>
      <c r="H128" s="54">
        <v>1</v>
      </c>
      <c r="I128" s="54">
        <v>1</v>
      </c>
      <c r="J128" s="54">
        <v>0</v>
      </c>
      <c r="K128" s="54">
        <v>2</v>
      </c>
      <c r="L128" s="54">
        <v>1</v>
      </c>
      <c r="M128" s="54">
        <v>0</v>
      </c>
      <c r="N128" s="54">
        <v>3</v>
      </c>
      <c r="O128" s="54">
        <v>2</v>
      </c>
      <c r="P128" s="54">
        <v>3</v>
      </c>
      <c r="Q128" s="54">
        <v>0</v>
      </c>
      <c r="R128" s="54">
        <v>4</v>
      </c>
      <c r="S128" s="54">
        <v>1</v>
      </c>
      <c r="T128" s="54">
        <v>1</v>
      </c>
      <c r="U128" s="54">
        <v>1</v>
      </c>
      <c r="V128" s="54">
        <v>0</v>
      </c>
      <c r="W128" s="54">
        <v>1</v>
      </c>
      <c r="X128" s="54">
        <v>2</v>
      </c>
      <c r="Y128" s="54">
        <v>3</v>
      </c>
      <c r="Z128" s="54">
        <v>1</v>
      </c>
      <c r="AA128" s="54">
        <v>1</v>
      </c>
      <c r="AB128" s="54">
        <v>1</v>
      </c>
      <c r="AC128" s="54">
        <v>1</v>
      </c>
      <c r="AD128" s="54">
        <v>0</v>
      </c>
      <c r="AE128" s="54">
        <v>2</v>
      </c>
      <c r="AF128" s="54">
        <v>2</v>
      </c>
      <c r="AG128" s="5">
        <f t="shared" si="17"/>
        <v>42</v>
      </c>
      <c r="AK128" s="88" t="s">
        <v>138</v>
      </c>
    </row>
    <row r="129" spans="1:37" ht="15.75" customHeight="1" x14ac:dyDescent="0.25">
      <c r="A129" s="56" t="s">
        <v>73</v>
      </c>
      <c r="B129" s="54">
        <v>0</v>
      </c>
      <c r="C129" s="54">
        <v>1</v>
      </c>
      <c r="D129" s="54">
        <v>0</v>
      </c>
      <c r="E129" s="54">
        <v>0</v>
      </c>
      <c r="F129" s="54">
        <v>1</v>
      </c>
      <c r="G129" s="54">
        <v>2</v>
      </c>
      <c r="H129" s="54">
        <v>0</v>
      </c>
      <c r="I129" s="54">
        <v>1</v>
      </c>
      <c r="J129" s="54">
        <v>2</v>
      </c>
      <c r="K129" s="54">
        <v>0</v>
      </c>
      <c r="L129" s="54">
        <v>0</v>
      </c>
      <c r="M129" s="54">
        <v>0</v>
      </c>
      <c r="N129" s="54">
        <v>1</v>
      </c>
      <c r="O129" s="54">
        <v>0</v>
      </c>
      <c r="P129" s="54">
        <v>1</v>
      </c>
      <c r="Q129" s="54">
        <v>0</v>
      </c>
      <c r="R129" s="54">
        <v>0</v>
      </c>
      <c r="S129" s="54">
        <v>4</v>
      </c>
      <c r="T129" s="54">
        <v>0</v>
      </c>
      <c r="U129" s="54">
        <v>1</v>
      </c>
      <c r="V129" s="54">
        <v>3</v>
      </c>
      <c r="W129" s="54">
        <v>1</v>
      </c>
      <c r="X129" s="54">
        <v>1</v>
      </c>
      <c r="Y129" s="54">
        <v>0</v>
      </c>
      <c r="Z129" s="54">
        <v>0</v>
      </c>
      <c r="AA129" s="54">
        <v>1</v>
      </c>
      <c r="AB129" s="54">
        <v>1</v>
      </c>
      <c r="AC129" s="54">
        <v>0</v>
      </c>
      <c r="AD129" s="54">
        <v>0</v>
      </c>
      <c r="AE129" s="54">
        <v>4</v>
      </c>
      <c r="AF129" s="54">
        <v>0</v>
      </c>
      <c r="AG129" s="5">
        <f t="shared" si="17"/>
        <v>25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0</v>
      </c>
      <c r="D130" s="54">
        <v>1</v>
      </c>
      <c r="E130" s="54">
        <v>1</v>
      </c>
      <c r="F130" s="54">
        <v>1</v>
      </c>
      <c r="G130" s="54">
        <v>1</v>
      </c>
      <c r="H130" s="54">
        <v>1</v>
      </c>
      <c r="I130" s="54">
        <v>0</v>
      </c>
      <c r="J130" s="54">
        <v>1</v>
      </c>
      <c r="K130" s="54">
        <v>0</v>
      </c>
      <c r="L130" s="54">
        <v>0</v>
      </c>
      <c r="M130" s="54">
        <v>0</v>
      </c>
      <c r="N130" s="54">
        <v>0</v>
      </c>
      <c r="O130" s="54">
        <v>0</v>
      </c>
      <c r="P130" s="54">
        <v>0</v>
      </c>
      <c r="Q130" s="54">
        <v>0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4">
        <v>0</v>
      </c>
      <c r="X130" s="54">
        <v>0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>
        <v>0</v>
      </c>
      <c r="AE130" s="54">
        <v>0</v>
      </c>
      <c r="AF130" s="54">
        <v>0</v>
      </c>
      <c r="AG130" s="5">
        <f t="shared" si="17"/>
        <v>6</v>
      </c>
      <c r="AK130" s="84" t="s">
        <v>140</v>
      </c>
    </row>
    <row r="131" spans="1:37" ht="15.75" customHeight="1" x14ac:dyDescent="0.25">
      <c r="A131" s="85" t="s">
        <v>75</v>
      </c>
      <c r="B131" s="54">
        <v>4</v>
      </c>
      <c r="C131" s="54">
        <v>9</v>
      </c>
      <c r="D131" s="54">
        <v>6</v>
      </c>
      <c r="E131" s="54">
        <v>2</v>
      </c>
      <c r="F131" s="54">
        <v>5</v>
      </c>
      <c r="G131" s="54">
        <v>1</v>
      </c>
      <c r="H131" s="54">
        <v>6</v>
      </c>
      <c r="I131" s="54">
        <v>5</v>
      </c>
      <c r="J131" s="54">
        <v>6</v>
      </c>
      <c r="K131" s="54">
        <v>6</v>
      </c>
      <c r="L131" s="54">
        <v>6</v>
      </c>
      <c r="M131" s="54">
        <v>2</v>
      </c>
      <c r="N131" s="54">
        <v>3</v>
      </c>
      <c r="O131" s="54">
        <v>5</v>
      </c>
      <c r="P131" s="54">
        <v>6</v>
      </c>
      <c r="Q131" s="54">
        <v>6</v>
      </c>
      <c r="R131" s="54">
        <v>5</v>
      </c>
      <c r="S131" s="54">
        <v>4</v>
      </c>
      <c r="T131" s="54">
        <v>6</v>
      </c>
      <c r="U131" s="54">
        <v>6</v>
      </c>
      <c r="V131" s="54">
        <v>3</v>
      </c>
      <c r="W131" s="54">
        <v>2</v>
      </c>
      <c r="X131" s="54">
        <v>3</v>
      </c>
      <c r="Y131" s="54">
        <v>6</v>
      </c>
      <c r="Z131" s="54">
        <v>6</v>
      </c>
      <c r="AA131" s="54">
        <v>4</v>
      </c>
      <c r="AB131" s="54">
        <v>3</v>
      </c>
      <c r="AC131" s="54">
        <v>2</v>
      </c>
      <c r="AD131" s="54">
        <v>1</v>
      </c>
      <c r="AE131" s="54">
        <v>5</v>
      </c>
      <c r="AF131" s="54">
        <v>3</v>
      </c>
      <c r="AG131" s="5">
        <f t="shared" si="17"/>
        <v>137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5</v>
      </c>
      <c r="C132" s="87">
        <v>10</v>
      </c>
      <c r="D132" s="87">
        <v>9</v>
      </c>
      <c r="E132" s="87">
        <v>6</v>
      </c>
      <c r="F132" s="87">
        <v>3</v>
      </c>
      <c r="G132" s="87">
        <v>5</v>
      </c>
      <c r="H132" s="87">
        <v>6</v>
      </c>
      <c r="I132" s="87">
        <v>7</v>
      </c>
      <c r="J132" s="87">
        <v>8</v>
      </c>
      <c r="K132" s="87">
        <v>8</v>
      </c>
      <c r="L132" s="87">
        <v>5</v>
      </c>
      <c r="M132" s="87">
        <v>5</v>
      </c>
      <c r="N132" s="87">
        <v>6</v>
      </c>
      <c r="O132" s="87">
        <v>6</v>
      </c>
      <c r="P132" s="87">
        <v>6</v>
      </c>
      <c r="Q132" s="87">
        <v>3</v>
      </c>
      <c r="R132" s="87">
        <v>9</v>
      </c>
      <c r="S132" s="87">
        <v>6</v>
      </c>
      <c r="T132" s="87">
        <v>9</v>
      </c>
      <c r="U132" s="87">
        <v>9</v>
      </c>
      <c r="V132" s="87">
        <v>5</v>
      </c>
      <c r="W132" s="87">
        <v>7</v>
      </c>
      <c r="X132" s="87">
        <v>11</v>
      </c>
      <c r="Y132" s="87">
        <v>13</v>
      </c>
      <c r="Z132" s="87">
        <v>6</v>
      </c>
      <c r="AA132" s="87">
        <v>4</v>
      </c>
      <c r="AB132" s="87">
        <v>4</v>
      </c>
      <c r="AC132" s="87">
        <v>4</v>
      </c>
      <c r="AD132" s="87">
        <v>3</v>
      </c>
      <c r="AE132" s="87">
        <v>8</v>
      </c>
      <c r="AF132" s="87">
        <v>3</v>
      </c>
      <c r="AG132" s="9">
        <f t="shared" si="17"/>
        <v>199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77</v>
      </c>
      <c r="C133" s="14">
        <f t="shared" si="21"/>
        <v>162</v>
      </c>
      <c r="D133" s="14">
        <f t="shared" si="21"/>
        <v>163</v>
      </c>
      <c r="E133" s="14">
        <f t="shared" si="21"/>
        <v>118</v>
      </c>
      <c r="F133" s="14">
        <f t="shared" si="21"/>
        <v>114</v>
      </c>
      <c r="G133" s="14">
        <f t="shared" si="21"/>
        <v>119</v>
      </c>
      <c r="H133" s="14">
        <f t="shared" si="21"/>
        <v>114</v>
      </c>
      <c r="I133" s="14">
        <f t="shared" si="21"/>
        <v>105</v>
      </c>
      <c r="J133" s="14">
        <f t="shared" si="21"/>
        <v>157</v>
      </c>
      <c r="K133" s="14">
        <f t="shared" si="21"/>
        <v>132</v>
      </c>
      <c r="L133" s="14">
        <f t="shared" si="21"/>
        <v>129</v>
      </c>
      <c r="M133" s="14">
        <f t="shared" si="21"/>
        <v>127</v>
      </c>
      <c r="N133" s="14">
        <f t="shared" si="21"/>
        <v>104</v>
      </c>
      <c r="O133" s="14">
        <f t="shared" si="21"/>
        <v>111</v>
      </c>
      <c r="P133" s="14">
        <f t="shared" si="21"/>
        <v>150</v>
      </c>
      <c r="Q133" s="14">
        <f t="shared" si="21"/>
        <v>172</v>
      </c>
      <c r="R133" s="14">
        <f t="shared" si="21"/>
        <v>161</v>
      </c>
      <c r="S133" s="14">
        <f t="shared" si="21"/>
        <v>140</v>
      </c>
      <c r="T133" s="14">
        <f t="shared" si="21"/>
        <v>111</v>
      </c>
      <c r="U133" s="14">
        <f t="shared" si="21"/>
        <v>181</v>
      </c>
      <c r="V133" s="14">
        <f t="shared" si="21"/>
        <v>105</v>
      </c>
      <c r="W133" s="14">
        <f t="shared" si="21"/>
        <v>87</v>
      </c>
      <c r="X133" s="14">
        <f t="shared" si="21"/>
        <v>143</v>
      </c>
      <c r="Y133" s="14">
        <f t="shared" si="21"/>
        <v>154</v>
      </c>
      <c r="Z133" s="14">
        <f t="shared" si="21"/>
        <v>120</v>
      </c>
      <c r="AA133" s="14">
        <f t="shared" si="21"/>
        <v>116</v>
      </c>
      <c r="AB133" s="14">
        <f t="shared" si="21"/>
        <v>132</v>
      </c>
      <c r="AC133" s="14">
        <f t="shared" si="21"/>
        <v>108</v>
      </c>
      <c r="AD133" s="14">
        <f t="shared" si="21"/>
        <v>89</v>
      </c>
      <c r="AE133" s="14">
        <f t="shared" si="21"/>
        <v>152</v>
      </c>
      <c r="AF133" s="14">
        <f t="shared" si="21"/>
        <v>149</v>
      </c>
      <c r="AG133" s="10">
        <f t="shared" si="17"/>
        <v>4002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3</v>
      </c>
      <c r="C134" s="22">
        <f t="shared" si="22"/>
        <v>3</v>
      </c>
      <c r="D134" s="22">
        <f t="shared" si="22"/>
        <v>2</v>
      </c>
      <c r="E134" s="22">
        <f t="shared" si="22"/>
        <v>7</v>
      </c>
      <c r="F134" s="22">
        <f t="shared" si="22"/>
        <v>13</v>
      </c>
      <c r="G134" s="22">
        <f t="shared" si="22"/>
        <v>8</v>
      </c>
      <c r="H134" s="22">
        <f t="shared" si="22"/>
        <v>4</v>
      </c>
      <c r="I134" s="22">
        <f t="shared" si="22"/>
        <v>4</v>
      </c>
      <c r="J134" s="22">
        <f t="shared" si="22"/>
        <v>2</v>
      </c>
      <c r="K134" s="22">
        <f t="shared" si="22"/>
        <v>21</v>
      </c>
      <c r="L134" s="22">
        <f t="shared" si="22"/>
        <v>12</v>
      </c>
      <c r="M134" s="22">
        <f t="shared" si="22"/>
        <v>14</v>
      </c>
      <c r="N134" s="22">
        <f t="shared" si="22"/>
        <v>18</v>
      </c>
      <c r="O134" s="22">
        <f t="shared" si="22"/>
        <v>6</v>
      </c>
      <c r="P134" s="22">
        <f t="shared" si="22"/>
        <v>2</v>
      </c>
      <c r="Q134" s="22">
        <f t="shared" si="22"/>
        <v>1</v>
      </c>
      <c r="R134" s="22">
        <f t="shared" si="22"/>
        <v>2</v>
      </c>
      <c r="S134" s="22">
        <f t="shared" si="22"/>
        <v>1</v>
      </c>
      <c r="T134" s="22">
        <f t="shared" si="22"/>
        <v>8</v>
      </c>
      <c r="U134" s="22">
        <f t="shared" si="22"/>
        <v>3</v>
      </c>
      <c r="V134" s="22">
        <f t="shared" si="22"/>
        <v>2</v>
      </c>
      <c r="W134" s="22">
        <f t="shared" si="22"/>
        <v>2</v>
      </c>
      <c r="X134" s="22">
        <f t="shared" si="22"/>
        <v>1</v>
      </c>
      <c r="Y134" s="22">
        <f t="shared" si="22"/>
        <v>1</v>
      </c>
      <c r="Z134" s="22">
        <f t="shared" si="22"/>
        <v>19</v>
      </c>
      <c r="AA134" s="22">
        <f t="shared" si="22"/>
        <v>12</v>
      </c>
      <c r="AB134" s="22">
        <f t="shared" si="22"/>
        <v>9</v>
      </c>
      <c r="AC134" s="22">
        <f t="shared" si="22"/>
        <v>4</v>
      </c>
      <c r="AD134" s="22">
        <f t="shared" si="22"/>
        <v>2</v>
      </c>
      <c r="AE134" s="22">
        <f t="shared" si="22"/>
        <v>3</v>
      </c>
      <c r="AF134" s="22">
        <f t="shared" si="22"/>
        <v>6</v>
      </c>
      <c r="AG134" s="23">
        <f t="shared" si="17"/>
        <v>195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1</v>
      </c>
      <c r="E135" s="1">
        <f t="shared" si="23"/>
        <v>0</v>
      </c>
      <c r="F135" s="1">
        <f t="shared" si="23"/>
        <v>0</v>
      </c>
      <c r="G135" s="1">
        <f t="shared" si="23"/>
        <v>1</v>
      </c>
      <c r="H135" s="1">
        <f t="shared" si="23"/>
        <v>0</v>
      </c>
      <c r="I135" s="1">
        <f t="shared" si="23"/>
        <v>2</v>
      </c>
      <c r="J135" s="1">
        <f t="shared" si="23"/>
        <v>1</v>
      </c>
      <c r="K135" s="1">
        <f t="shared" si="23"/>
        <v>0</v>
      </c>
      <c r="L135" s="1">
        <f t="shared" si="23"/>
        <v>0</v>
      </c>
      <c r="M135" s="1">
        <f t="shared" si="23"/>
        <v>2</v>
      </c>
      <c r="N135" s="1">
        <f t="shared" si="23"/>
        <v>0</v>
      </c>
      <c r="O135" s="1">
        <f t="shared" si="23"/>
        <v>0</v>
      </c>
      <c r="P135" s="1">
        <f t="shared" si="23"/>
        <v>0</v>
      </c>
      <c r="Q135" s="1">
        <f t="shared" si="23"/>
        <v>0</v>
      </c>
      <c r="R135" s="1">
        <f t="shared" si="23"/>
        <v>1</v>
      </c>
      <c r="S135" s="1">
        <f t="shared" si="23"/>
        <v>0</v>
      </c>
      <c r="T135" s="1">
        <f t="shared" si="23"/>
        <v>0</v>
      </c>
      <c r="U135" s="1">
        <f t="shared" si="23"/>
        <v>2</v>
      </c>
      <c r="V135" s="1">
        <f t="shared" si="23"/>
        <v>0</v>
      </c>
      <c r="W135" s="1">
        <f t="shared" si="23"/>
        <v>0</v>
      </c>
      <c r="X135" s="1">
        <f t="shared" si="23"/>
        <v>1</v>
      </c>
      <c r="Y135" s="1">
        <f t="shared" si="23"/>
        <v>0</v>
      </c>
      <c r="Z135" s="1">
        <f t="shared" si="23"/>
        <v>2</v>
      </c>
      <c r="AA135" s="1">
        <f t="shared" si="23"/>
        <v>0</v>
      </c>
      <c r="AB135" s="1">
        <f t="shared" si="23"/>
        <v>0</v>
      </c>
      <c r="AC135" s="1">
        <f t="shared" si="23"/>
        <v>0</v>
      </c>
      <c r="AD135" s="1">
        <f t="shared" si="23"/>
        <v>2</v>
      </c>
      <c r="AE135" s="1">
        <f t="shared" si="23"/>
        <v>2</v>
      </c>
      <c r="AF135" s="1">
        <f t="shared" si="23"/>
        <v>0</v>
      </c>
      <c r="AG135" s="2">
        <f t="shared" si="17"/>
        <v>17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0</v>
      </c>
      <c r="D136" s="91">
        <v>1</v>
      </c>
      <c r="E136" s="91">
        <v>0</v>
      </c>
      <c r="F136" s="91">
        <v>0</v>
      </c>
      <c r="G136" s="91">
        <v>1</v>
      </c>
      <c r="H136" s="91">
        <v>0</v>
      </c>
      <c r="I136" s="91">
        <v>2</v>
      </c>
      <c r="J136" s="91">
        <v>1</v>
      </c>
      <c r="K136" s="91">
        <v>0</v>
      </c>
      <c r="L136" s="91">
        <v>0</v>
      </c>
      <c r="M136" s="91">
        <v>2</v>
      </c>
      <c r="N136" s="91">
        <v>0</v>
      </c>
      <c r="O136" s="91">
        <v>0</v>
      </c>
      <c r="P136" s="91">
        <v>0</v>
      </c>
      <c r="Q136" s="91">
        <v>0</v>
      </c>
      <c r="R136" s="91">
        <v>1</v>
      </c>
      <c r="S136" s="91">
        <v>0</v>
      </c>
      <c r="T136" s="91">
        <v>0</v>
      </c>
      <c r="U136" s="91">
        <v>2</v>
      </c>
      <c r="V136" s="91">
        <v>0</v>
      </c>
      <c r="W136" s="91">
        <v>0</v>
      </c>
      <c r="X136" s="91">
        <v>1</v>
      </c>
      <c r="Y136" s="91">
        <v>0</v>
      </c>
      <c r="Z136" s="91">
        <v>2</v>
      </c>
      <c r="AA136" s="91">
        <v>0</v>
      </c>
      <c r="AB136" s="91">
        <v>0</v>
      </c>
      <c r="AC136" s="91">
        <v>0</v>
      </c>
      <c r="AD136" s="91">
        <v>2</v>
      </c>
      <c r="AE136" s="91">
        <v>2</v>
      </c>
      <c r="AF136" s="91">
        <v>0</v>
      </c>
      <c r="AG136" s="28">
        <f t="shared" si="17"/>
        <v>17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1</v>
      </c>
      <c r="C139" s="31">
        <f t="shared" si="24"/>
        <v>3</v>
      </c>
      <c r="D139" s="31">
        <f t="shared" si="24"/>
        <v>4</v>
      </c>
      <c r="E139" s="31">
        <f t="shared" si="24"/>
        <v>0</v>
      </c>
      <c r="F139" s="31">
        <f t="shared" si="24"/>
        <v>4</v>
      </c>
      <c r="G139" s="31">
        <f t="shared" si="24"/>
        <v>6</v>
      </c>
      <c r="H139" s="31">
        <f t="shared" si="24"/>
        <v>2</v>
      </c>
      <c r="I139" s="31">
        <f t="shared" si="24"/>
        <v>1</v>
      </c>
      <c r="J139" s="31">
        <f t="shared" si="24"/>
        <v>6</v>
      </c>
      <c r="K139" s="31">
        <f t="shared" si="24"/>
        <v>6</v>
      </c>
      <c r="L139" s="31">
        <f t="shared" si="24"/>
        <v>8</v>
      </c>
      <c r="M139" s="31">
        <f t="shared" si="24"/>
        <v>3</v>
      </c>
      <c r="N139" s="31">
        <f t="shared" si="24"/>
        <v>7</v>
      </c>
      <c r="O139" s="31">
        <f t="shared" si="24"/>
        <v>0</v>
      </c>
      <c r="P139" s="31">
        <f t="shared" si="24"/>
        <v>7</v>
      </c>
      <c r="Q139" s="31">
        <f t="shared" si="24"/>
        <v>3</v>
      </c>
      <c r="R139" s="31">
        <f t="shared" si="24"/>
        <v>3</v>
      </c>
      <c r="S139" s="31">
        <f t="shared" si="24"/>
        <v>2</v>
      </c>
      <c r="T139" s="31">
        <f t="shared" si="24"/>
        <v>6</v>
      </c>
      <c r="U139" s="31">
        <f t="shared" si="24"/>
        <v>9</v>
      </c>
      <c r="V139" s="31">
        <f t="shared" si="24"/>
        <v>5</v>
      </c>
      <c r="W139" s="31">
        <f t="shared" si="24"/>
        <v>3</v>
      </c>
      <c r="X139" s="31">
        <f t="shared" si="24"/>
        <v>3</v>
      </c>
      <c r="Y139" s="31">
        <f t="shared" si="24"/>
        <v>5</v>
      </c>
      <c r="Z139" s="31">
        <f t="shared" si="24"/>
        <v>6</v>
      </c>
      <c r="AA139" s="31">
        <f t="shared" si="24"/>
        <v>5</v>
      </c>
      <c r="AB139" s="31">
        <f t="shared" si="24"/>
        <v>5</v>
      </c>
      <c r="AC139" s="31">
        <f t="shared" si="24"/>
        <v>2</v>
      </c>
      <c r="AD139" s="31">
        <f t="shared" si="24"/>
        <v>0</v>
      </c>
      <c r="AE139" s="31">
        <f t="shared" si="24"/>
        <v>4</v>
      </c>
      <c r="AF139" s="31">
        <f t="shared" si="24"/>
        <v>1</v>
      </c>
      <c r="AG139" s="32">
        <f t="shared" si="17"/>
        <v>120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1</v>
      </c>
      <c r="C140" s="97">
        <v>0</v>
      </c>
      <c r="D140" s="97">
        <v>0</v>
      </c>
      <c r="E140" s="97">
        <v>0</v>
      </c>
      <c r="F140" s="97">
        <v>1</v>
      </c>
      <c r="G140" s="97">
        <v>2</v>
      </c>
      <c r="H140" s="97">
        <v>1</v>
      </c>
      <c r="I140" s="97">
        <v>0</v>
      </c>
      <c r="J140" s="97">
        <v>0</v>
      </c>
      <c r="K140" s="97">
        <v>0</v>
      </c>
      <c r="L140" s="97">
        <v>1</v>
      </c>
      <c r="M140" s="97">
        <v>0</v>
      </c>
      <c r="N140" s="97">
        <v>2</v>
      </c>
      <c r="O140" s="97">
        <v>0</v>
      </c>
      <c r="P140" s="97">
        <v>1</v>
      </c>
      <c r="Q140" s="97">
        <v>0</v>
      </c>
      <c r="R140" s="97">
        <v>0</v>
      </c>
      <c r="S140" s="97">
        <v>0</v>
      </c>
      <c r="T140" s="97">
        <v>2</v>
      </c>
      <c r="U140" s="97">
        <v>1</v>
      </c>
      <c r="V140" s="97">
        <v>0</v>
      </c>
      <c r="W140" s="97">
        <v>0</v>
      </c>
      <c r="X140" s="97">
        <v>0</v>
      </c>
      <c r="Y140" s="97">
        <v>0</v>
      </c>
      <c r="Z140" s="97">
        <v>0</v>
      </c>
      <c r="AA140" s="97">
        <v>0</v>
      </c>
      <c r="AB140" s="97">
        <v>0</v>
      </c>
      <c r="AC140" s="97">
        <v>0</v>
      </c>
      <c r="AD140" s="97">
        <v>0</v>
      </c>
      <c r="AE140" s="97">
        <v>0</v>
      </c>
      <c r="AF140" s="97">
        <v>0</v>
      </c>
      <c r="AG140" s="33">
        <f t="shared" si="17"/>
        <v>12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0</v>
      </c>
      <c r="C141" s="98">
        <v>3</v>
      </c>
      <c r="D141" s="98">
        <v>4</v>
      </c>
      <c r="E141" s="98">
        <v>0</v>
      </c>
      <c r="F141" s="98">
        <v>3</v>
      </c>
      <c r="G141" s="98">
        <v>4</v>
      </c>
      <c r="H141" s="98">
        <v>1</v>
      </c>
      <c r="I141" s="98">
        <v>1</v>
      </c>
      <c r="J141" s="98">
        <v>6</v>
      </c>
      <c r="K141" s="98">
        <v>6</v>
      </c>
      <c r="L141" s="98">
        <v>7</v>
      </c>
      <c r="M141" s="98">
        <v>3</v>
      </c>
      <c r="N141" s="98">
        <v>5</v>
      </c>
      <c r="O141" s="98">
        <v>0</v>
      </c>
      <c r="P141" s="98">
        <v>6</v>
      </c>
      <c r="Q141" s="98">
        <v>3</v>
      </c>
      <c r="R141" s="98">
        <v>3</v>
      </c>
      <c r="S141" s="98">
        <v>2</v>
      </c>
      <c r="T141" s="98">
        <v>4</v>
      </c>
      <c r="U141" s="98">
        <v>8</v>
      </c>
      <c r="V141" s="98">
        <v>5</v>
      </c>
      <c r="W141" s="98">
        <v>3</v>
      </c>
      <c r="X141" s="98">
        <v>3</v>
      </c>
      <c r="Y141" s="98">
        <v>5</v>
      </c>
      <c r="Z141" s="98">
        <v>6</v>
      </c>
      <c r="AA141" s="98">
        <v>5</v>
      </c>
      <c r="AB141" s="98">
        <v>5</v>
      </c>
      <c r="AC141" s="98">
        <v>2</v>
      </c>
      <c r="AD141" s="98">
        <v>0</v>
      </c>
      <c r="AE141" s="98">
        <v>4</v>
      </c>
      <c r="AF141" s="98">
        <v>1</v>
      </c>
      <c r="AG141" s="34">
        <f t="shared" si="17"/>
        <v>108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>
        <v>4</v>
      </c>
      <c r="C143" s="102">
        <v>2</v>
      </c>
      <c r="D143" s="102">
        <v>0</v>
      </c>
      <c r="E143" s="102">
        <v>2</v>
      </c>
      <c r="F143" s="102">
        <v>0</v>
      </c>
      <c r="G143" s="102">
        <v>5</v>
      </c>
      <c r="H143" s="102">
        <v>4</v>
      </c>
      <c r="I143" s="102">
        <v>2</v>
      </c>
      <c r="J143" s="102">
        <v>2</v>
      </c>
      <c r="K143" s="102">
        <v>1</v>
      </c>
      <c r="L143" s="102">
        <v>2</v>
      </c>
      <c r="M143" s="102">
        <v>4</v>
      </c>
      <c r="N143" s="102">
        <v>2</v>
      </c>
      <c r="O143" s="102">
        <v>4</v>
      </c>
      <c r="P143" s="102">
        <v>7</v>
      </c>
      <c r="Q143" s="102">
        <v>5</v>
      </c>
      <c r="R143" s="102">
        <v>3</v>
      </c>
      <c r="S143" s="102">
        <v>3</v>
      </c>
      <c r="T143" s="102">
        <v>4</v>
      </c>
      <c r="U143" s="102">
        <v>4</v>
      </c>
      <c r="V143" s="102">
        <v>3</v>
      </c>
      <c r="W143" s="102">
        <v>7</v>
      </c>
      <c r="X143" s="102">
        <v>2</v>
      </c>
      <c r="Y143" s="102">
        <v>1</v>
      </c>
      <c r="Z143" s="102">
        <v>4</v>
      </c>
      <c r="AA143" s="102">
        <v>0</v>
      </c>
      <c r="AB143" s="102">
        <v>0</v>
      </c>
      <c r="AC143" s="102">
        <v>0</v>
      </c>
      <c r="AD143" s="102">
        <v>0</v>
      </c>
      <c r="AE143" s="102">
        <v>0</v>
      </c>
      <c r="AF143" s="102">
        <v>0</v>
      </c>
      <c r="AG143" s="36">
        <f t="shared" si="17"/>
        <v>77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23</v>
      </c>
      <c r="C144" s="37">
        <f t="shared" si="25"/>
        <v>40</v>
      </c>
      <c r="D144" s="37">
        <f t="shared" si="25"/>
        <v>44</v>
      </c>
      <c r="E144" s="37">
        <f t="shared" si="25"/>
        <v>33</v>
      </c>
      <c r="F144" s="37">
        <f t="shared" si="25"/>
        <v>28</v>
      </c>
      <c r="G144" s="37">
        <f t="shared" si="25"/>
        <v>37</v>
      </c>
      <c r="H144" s="37">
        <f t="shared" si="25"/>
        <v>26</v>
      </c>
      <c r="I144" s="37">
        <f t="shared" si="25"/>
        <v>25</v>
      </c>
      <c r="J144" s="37">
        <f t="shared" si="25"/>
        <v>42</v>
      </c>
      <c r="K144" s="37">
        <f t="shared" si="25"/>
        <v>35</v>
      </c>
      <c r="L144" s="37">
        <f t="shared" si="25"/>
        <v>33</v>
      </c>
      <c r="M144" s="37">
        <f t="shared" si="25"/>
        <v>36</v>
      </c>
      <c r="N144" s="37">
        <f t="shared" si="25"/>
        <v>33</v>
      </c>
      <c r="O144" s="37">
        <f t="shared" si="25"/>
        <v>26</v>
      </c>
      <c r="P144" s="37">
        <f t="shared" si="25"/>
        <v>38</v>
      </c>
      <c r="Q144" s="37">
        <f t="shared" si="25"/>
        <v>46</v>
      </c>
      <c r="R144" s="37">
        <f t="shared" si="25"/>
        <v>43</v>
      </c>
      <c r="S144" s="37">
        <f t="shared" si="25"/>
        <v>31</v>
      </c>
      <c r="T144" s="37">
        <f t="shared" si="25"/>
        <v>26</v>
      </c>
      <c r="U144" s="37">
        <f t="shared" si="25"/>
        <v>44</v>
      </c>
      <c r="V144" s="37">
        <f t="shared" si="25"/>
        <v>29</v>
      </c>
      <c r="W144" s="37">
        <f t="shared" si="25"/>
        <v>22</v>
      </c>
      <c r="X144" s="37">
        <f t="shared" si="25"/>
        <v>48</v>
      </c>
      <c r="Y144" s="37">
        <f t="shared" si="25"/>
        <v>50</v>
      </c>
      <c r="Z144" s="37">
        <f t="shared" si="25"/>
        <v>37</v>
      </c>
      <c r="AA144" s="37">
        <f t="shared" si="25"/>
        <v>27</v>
      </c>
      <c r="AB144" s="37">
        <f t="shared" si="25"/>
        <v>40</v>
      </c>
      <c r="AC144" s="37">
        <f t="shared" si="25"/>
        <v>24</v>
      </c>
      <c r="AD144" s="37">
        <f t="shared" si="25"/>
        <v>32</v>
      </c>
      <c r="AE144" s="37">
        <f t="shared" si="25"/>
        <v>31</v>
      </c>
      <c r="AF144" s="37">
        <f t="shared" si="25"/>
        <v>50</v>
      </c>
      <c r="AG144" s="24">
        <f t="shared" si="17"/>
        <v>1079</v>
      </c>
      <c r="AK144" s="84" t="s">
        <v>154</v>
      </c>
    </row>
    <row r="145" spans="1:37" ht="15.75" customHeight="1" x14ac:dyDescent="0.25">
      <c r="A145" s="104" t="s">
        <v>91</v>
      </c>
      <c r="B145" s="105">
        <v>0</v>
      </c>
      <c r="C145" s="105">
        <v>6</v>
      </c>
      <c r="D145" s="105">
        <v>1</v>
      </c>
      <c r="E145" s="105">
        <v>0</v>
      </c>
      <c r="F145" s="105">
        <v>0</v>
      </c>
      <c r="G145" s="105">
        <v>0</v>
      </c>
      <c r="H145" s="105">
        <v>5</v>
      </c>
      <c r="I145" s="105">
        <v>0</v>
      </c>
      <c r="J145" s="105">
        <v>0</v>
      </c>
      <c r="K145" s="105">
        <v>0</v>
      </c>
      <c r="L145" s="105">
        <v>1</v>
      </c>
      <c r="M145" s="105">
        <v>0</v>
      </c>
      <c r="N145" s="105">
        <v>1</v>
      </c>
      <c r="O145" s="105">
        <v>0</v>
      </c>
      <c r="P145" s="105">
        <v>0</v>
      </c>
      <c r="Q145" s="105">
        <v>3</v>
      </c>
      <c r="R145" s="105">
        <v>1</v>
      </c>
      <c r="S145" s="105">
        <v>0</v>
      </c>
      <c r="T145" s="105">
        <v>2</v>
      </c>
      <c r="U145" s="105">
        <v>1</v>
      </c>
      <c r="V145" s="105">
        <v>4</v>
      </c>
      <c r="W145" s="105">
        <v>1</v>
      </c>
      <c r="X145" s="105">
        <v>1</v>
      </c>
      <c r="Y145" s="105">
        <v>6</v>
      </c>
      <c r="Z145" s="105">
        <v>4</v>
      </c>
      <c r="AA145" s="105">
        <v>0</v>
      </c>
      <c r="AB145" s="105">
        <v>0</v>
      </c>
      <c r="AC145" s="105">
        <v>0</v>
      </c>
      <c r="AD145" s="105">
        <v>1</v>
      </c>
      <c r="AE145" s="105">
        <v>0</v>
      </c>
      <c r="AF145" s="105">
        <v>2</v>
      </c>
      <c r="AG145" s="38">
        <f t="shared" si="17"/>
        <v>40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0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21</v>
      </c>
      <c r="C149" s="108">
        <v>34</v>
      </c>
      <c r="D149" s="108">
        <v>41</v>
      </c>
      <c r="E149" s="108">
        <v>31</v>
      </c>
      <c r="F149" s="108">
        <v>20</v>
      </c>
      <c r="G149" s="108">
        <v>37</v>
      </c>
      <c r="H149" s="108">
        <v>18</v>
      </c>
      <c r="I149" s="108">
        <v>24</v>
      </c>
      <c r="J149" s="108">
        <v>42</v>
      </c>
      <c r="K149" s="108">
        <v>33</v>
      </c>
      <c r="L149" s="108">
        <v>28</v>
      </c>
      <c r="M149" s="108">
        <v>32</v>
      </c>
      <c r="N149" s="108">
        <v>29</v>
      </c>
      <c r="O149" s="108">
        <v>23</v>
      </c>
      <c r="P149" s="108">
        <v>37</v>
      </c>
      <c r="Q149" s="108">
        <v>40</v>
      </c>
      <c r="R149" s="108">
        <v>42</v>
      </c>
      <c r="S149" s="108">
        <v>29</v>
      </c>
      <c r="T149" s="108">
        <v>23</v>
      </c>
      <c r="U149" s="108">
        <v>40</v>
      </c>
      <c r="V149" s="108">
        <v>19</v>
      </c>
      <c r="W149" s="108">
        <v>20</v>
      </c>
      <c r="X149" s="108">
        <v>44</v>
      </c>
      <c r="Y149" s="108">
        <v>43</v>
      </c>
      <c r="Z149" s="108">
        <v>32</v>
      </c>
      <c r="AA149" s="108">
        <v>24</v>
      </c>
      <c r="AB149" s="108">
        <v>35</v>
      </c>
      <c r="AC149" s="108">
        <v>20</v>
      </c>
      <c r="AD149" s="108">
        <v>29</v>
      </c>
      <c r="AE149" s="108">
        <v>29</v>
      </c>
      <c r="AF149" s="108">
        <v>48</v>
      </c>
      <c r="AG149" s="39">
        <f t="shared" si="17"/>
        <v>967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1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1</v>
      </c>
      <c r="AK153" s="109" t="s">
        <v>126</v>
      </c>
    </row>
    <row r="154" spans="1:37" ht="15.75" customHeight="1" x14ac:dyDescent="0.25">
      <c r="A154" s="76" t="s">
        <v>100</v>
      </c>
      <c r="B154" s="77">
        <v>1</v>
      </c>
      <c r="C154" s="77">
        <v>0</v>
      </c>
      <c r="D154" s="77">
        <v>0</v>
      </c>
      <c r="E154" s="77">
        <v>2</v>
      </c>
      <c r="F154" s="77">
        <v>3</v>
      </c>
      <c r="G154" s="77">
        <v>0</v>
      </c>
      <c r="H154" s="77">
        <v>3</v>
      </c>
      <c r="I154" s="77">
        <v>0</v>
      </c>
      <c r="J154" s="77">
        <v>0</v>
      </c>
      <c r="K154" s="77">
        <v>0</v>
      </c>
      <c r="L154" s="77">
        <v>1</v>
      </c>
      <c r="M154" s="77">
        <v>0</v>
      </c>
      <c r="N154" s="77">
        <v>3</v>
      </c>
      <c r="O154" s="77">
        <v>1</v>
      </c>
      <c r="P154" s="77">
        <v>0</v>
      </c>
      <c r="Q154" s="77">
        <v>0</v>
      </c>
      <c r="R154" s="77">
        <v>0</v>
      </c>
      <c r="S154" s="77">
        <v>1</v>
      </c>
      <c r="T154" s="77">
        <v>0</v>
      </c>
      <c r="U154" s="77">
        <v>0</v>
      </c>
      <c r="V154" s="77">
        <v>2</v>
      </c>
      <c r="W154" s="77">
        <v>1</v>
      </c>
      <c r="X154" s="77">
        <v>0</v>
      </c>
      <c r="Y154" s="77">
        <v>0</v>
      </c>
      <c r="Z154" s="77">
        <v>0</v>
      </c>
      <c r="AA154" s="77">
        <v>3</v>
      </c>
      <c r="AB154" s="77">
        <v>4</v>
      </c>
      <c r="AC154" s="77">
        <v>3</v>
      </c>
      <c r="AD154" s="77">
        <v>1</v>
      </c>
      <c r="AE154" s="77">
        <v>0</v>
      </c>
      <c r="AF154" s="77">
        <v>0</v>
      </c>
      <c r="AG154" s="5">
        <f t="shared" si="17"/>
        <v>29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0</v>
      </c>
      <c r="C158" s="111">
        <v>0</v>
      </c>
      <c r="D158" s="111">
        <v>1</v>
      </c>
      <c r="E158" s="111">
        <v>0</v>
      </c>
      <c r="F158" s="111">
        <v>1</v>
      </c>
      <c r="G158" s="111">
        <v>0</v>
      </c>
      <c r="H158" s="111">
        <v>0</v>
      </c>
      <c r="I158" s="111">
        <v>0</v>
      </c>
      <c r="J158" s="111">
        <v>0</v>
      </c>
      <c r="K158" s="111">
        <v>1</v>
      </c>
      <c r="L158" s="111">
        <v>3</v>
      </c>
      <c r="M158" s="111">
        <v>1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1</v>
      </c>
      <c r="T158" s="111">
        <v>0</v>
      </c>
      <c r="U158" s="111">
        <v>1</v>
      </c>
      <c r="V158" s="111">
        <v>3</v>
      </c>
      <c r="W158" s="111">
        <v>0</v>
      </c>
      <c r="X158" s="111">
        <v>1</v>
      </c>
      <c r="Y158" s="111">
        <v>1</v>
      </c>
      <c r="Z158" s="111">
        <v>1</v>
      </c>
      <c r="AA158" s="111">
        <v>0</v>
      </c>
      <c r="AB158" s="111">
        <v>0</v>
      </c>
      <c r="AC158" s="111">
        <v>0</v>
      </c>
      <c r="AD158" s="111">
        <v>0</v>
      </c>
      <c r="AE158" s="111">
        <v>2</v>
      </c>
      <c r="AF158" s="111">
        <v>0</v>
      </c>
      <c r="AG158" s="40">
        <f t="shared" si="17"/>
        <v>17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1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26"/>
        <v>1</v>
      </c>
    </row>
    <row r="168" spans="1:34" ht="15.75" customHeight="1" x14ac:dyDescent="0.25">
      <c r="A168" s="76" t="s">
        <v>114</v>
      </c>
      <c r="B168" s="113">
        <v>0</v>
      </c>
      <c r="C168" s="113">
        <v>0</v>
      </c>
      <c r="D168" s="113">
        <v>1</v>
      </c>
      <c r="E168" s="113">
        <v>0</v>
      </c>
      <c r="F168" s="113">
        <v>1</v>
      </c>
      <c r="G168" s="113">
        <v>0</v>
      </c>
      <c r="H168" s="113">
        <v>0</v>
      </c>
      <c r="I168" s="113">
        <v>1</v>
      </c>
      <c r="J168" s="113">
        <v>0</v>
      </c>
      <c r="K168" s="113">
        <v>0</v>
      </c>
      <c r="L168" s="113">
        <v>0</v>
      </c>
      <c r="M168" s="113">
        <v>0</v>
      </c>
      <c r="N168" s="113">
        <v>0</v>
      </c>
      <c r="O168" s="113">
        <v>0</v>
      </c>
      <c r="P168" s="113">
        <v>1</v>
      </c>
      <c r="Q168" s="113">
        <v>3</v>
      </c>
      <c r="R168" s="113">
        <v>0</v>
      </c>
      <c r="S168" s="113">
        <v>0</v>
      </c>
      <c r="T168" s="113">
        <v>0</v>
      </c>
      <c r="U168" s="113">
        <v>2</v>
      </c>
      <c r="V168" s="113">
        <v>1</v>
      </c>
      <c r="W168" s="113">
        <v>0</v>
      </c>
      <c r="X168" s="113">
        <v>0</v>
      </c>
      <c r="Y168" s="113">
        <v>0</v>
      </c>
      <c r="Z168" s="113">
        <v>0</v>
      </c>
      <c r="AA168" s="113">
        <v>0</v>
      </c>
      <c r="AB168" s="113">
        <v>0</v>
      </c>
      <c r="AC168" s="113">
        <v>1</v>
      </c>
      <c r="AD168" s="113">
        <v>1</v>
      </c>
      <c r="AE168" s="113">
        <v>0</v>
      </c>
      <c r="AF168" s="113">
        <v>0</v>
      </c>
      <c r="AG168" s="5">
        <f t="shared" si="26"/>
        <v>12</v>
      </c>
    </row>
    <row r="169" spans="1:34" ht="15.75" customHeight="1" x14ac:dyDescent="0.25">
      <c r="A169" s="114" t="s">
        <v>115</v>
      </c>
      <c r="B169" s="113">
        <v>1</v>
      </c>
      <c r="C169" s="113">
        <v>0</v>
      </c>
      <c r="D169" s="113">
        <v>0</v>
      </c>
      <c r="E169" s="113">
        <v>0</v>
      </c>
      <c r="F169" s="113">
        <v>3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3</v>
      </c>
      <c r="N169" s="113">
        <v>0</v>
      </c>
      <c r="O169" s="113">
        <v>2</v>
      </c>
      <c r="P169" s="113">
        <v>0</v>
      </c>
      <c r="Q169" s="113">
        <v>0</v>
      </c>
      <c r="R169" s="113">
        <v>0</v>
      </c>
      <c r="S169" s="113">
        <v>0</v>
      </c>
      <c r="T169" s="113">
        <v>1</v>
      </c>
      <c r="U169" s="113">
        <v>0</v>
      </c>
      <c r="V169" s="113">
        <v>0</v>
      </c>
      <c r="W169" s="113">
        <v>0</v>
      </c>
      <c r="X169" s="113">
        <v>1</v>
      </c>
      <c r="Y169" s="113">
        <v>0</v>
      </c>
      <c r="Z169" s="113">
        <v>0</v>
      </c>
      <c r="AA169" s="113">
        <v>0</v>
      </c>
      <c r="AB169" s="113">
        <v>1</v>
      </c>
      <c r="AC169" s="113">
        <v>0</v>
      </c>
      <c r="AD169" s="113">
        <v>0</v>
      </c>
      <c r="AE169" s="113">
        <v>0</v>
      </c>
      <c r="AF169" s="113">
        <v>0</v>
      </c>
      <c r="AG169" s="5">
        <f t="shared" si="26"/>
        <v>12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77</v>
      </c>
      <c r="C171" s="41">
        <f t="shared" si="27"/>
        <v>162</v>
      </c>
      <c r="D171" s="41">
        <f t="shared" si="27"/>
        <v>163</v>
      </c>
      <c r="E171" s="41">
        <f t="shared" si="27"/>
        <v>118</v>
      </c>
      <c r="F171" s="41">
        <f t="shared" si="27"/>
        <v>114</v>
      </c>
      <c r="G171" s="41">
        <f t="shared" si="27"/>
        <v>119</v>
      </c>
      <c r="H171" s="41">
        <f t="shared" si="27"/>
        <v>114</v>
      </c>
      <c r="I171" s="41">
        <f t="shared" si="27"/>
        <v>105</v>
      </c>
      <c r="J171" s="41">
        <f t="shared" si="27"/>
        <v>157</v>
      </c>
      <c r="K171" s="41">
        <f t="shared" si="27"/>
        <v>132</v>
      </c>
      <c r="L171" s="41">
        <f t="shared" si="27"/>
        <v>129</v>
      </c>
      <c r="M171" s="41">
        <f t="shared" si="27"/>
        <v>127</v>
      </c>
      <c r="N171" s="41">
        <f t="shared" si="27"/>
        <v>104</v>
      </c>
      <c r="O171" s="41">
        <f t="shared" si="27"/>
        <v>111</v>
      </c>
      <c r="P171" s="41">
        <f t="shared" si="27"/>
        <v>150</v>
      </c>
      <c r="Q171" s="41">
        <f t="shared" si="27"/>
        <v>172</v>
      </c>
      <c r="R171" s="41">
        <f t="shared" si="27"/>
        <v>161</v>
      </c>
      <c r="S171" s="41">
        <f t="shared" si="27"/>
        <v>140</v>
      </c>
      <c r="T171" s="41">
        <f t="shared" si="27"/>
        <v>111</v>
      </c>
      <c r="U171" s="41">
        <f t="shared" si="27"/>
        <v>181</v>
      </c>
      <c r="V171" s="41">
        <f t="shared" si="27"/>
        <v>105</v>
      </c>
      <c r="W171" s="41">
        <f t="shared" si="27"/>
        <v>87</v>
      </c>
      <c r="X171" s="41">
        <f t="shared" si="27"/>
        <v>143</v>
      </c>
      <c r="Y171" s="41">
        <f t="shared" si="27"/>
        <v>154</v>
      </c>
      <c r="Z171" s="41">
        <f t="shared" si="27"/>
        <v>120</v>
      </c>
      <c r="AA171" s="41">
        <f t="shared" si="27"/>
        <v>116</v>
      </c>
      <c r="AB171" s="41">
        <f t="shared" si="27"/>
        <v>132</v>
      </c>
      <c r="AC171" s="41">
        <f t="shared" si="27"/>
        <v>108</v>
      </c>
      <c r="AD171" s="41">
        <f t="shared" si="27"/>
        <v>89</v>
      </c>
      <c r="AE171" s="41">
        <f t="shared" si="27"/>
        <v>152</v>
      </c>
      <c r="AF171" s="41">
        <f t="shared" si="27"/>
        <v>149</v>
      </c>
      <c r="AG171" s="42">
        <f t="shared" si="26"/>
        <v>4002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1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2</v>
      </c>
      <c r="L172" s="118">
        <v>0</v>
      </c>
      <c r="M172" s="118">
        <v>0</v>
      </c>
      <c r="N172" s="118">
        <v>0</v>
      </c>
      <c r="O172" s="118">
        <v>1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2</v>
      </c>
      <c r="Z172" s="118">
        <v>1</v>
      </c>
      <c r="AA172" s="118">
        <v>0</v>
      </c>
      <c r="AB172" s="118">
        <v>0</v>
      </c>
      <c r="AC172" s="118">
        <v>0</v>
      </c>
      <c r="AD172" s="118">
        <v>1</v>
      </c>
      <c r="AE172" s="118">
        <v>0</v>
      </c>
      <c r="AF172" s="118">
        <v>0</v>
      </c>
      <c r="AG172" s="43">
        <f t="shared" si="26"/>
        <v>8</v>
      </c>
    </row>
    <row r="173" spans="1:34" ht="15.75" customHeight="1" x14ac:dyDescent="0.25">
      <c r="A173" s="119" t="s">
        <v>37</v>
      </c>
      <c r="B173" s="120">
        <v>2</v>
      </c>
      <c r="C173" s="120">
        <v>1</v>
      </c>
      <c r="D173" s="120">
        <v>2</v>
      </c>
      <c r="E173" s="120">
        <v>1</v>
      </c>
      <c r="F173" s="120">
        <v>0</v>
      </c>
      <c r="G173" s="120">
        <v>3</v>
      </c>
      <c r="H173" s="120">
        <v>0</v>
      </c>
      <c r="I173" s="120">
        <v>1</v>
      </c>
      <c r="J173" s="120">
        <v>0</v>
      </c>
      <c r="K173" s="120">
        <v>2</v>
      </c>
      <c r="L173" s="120">
        <v>0</v>
      </c>
      <c r="M173" s="120">
        <v>4</v>
      </c>
      <c r="N173" s="120">
        <v>2</v>
      </c>
      <c r="O173" s="120">
        <v>0</v>
      </c>
      <c r="P173" s="120">
        <v>1</v>
      </c>
      <c r="Q173" s="120">
        <v>1</v>
      </c>
      <c r="R173" s="120">
        <v>0</v>
      </c>
      <c r="S173" s="120">
        <v>3</v>
      </c>
      <c r="T173" s="120">
        <v>0</v>
      </c>
      <c r="U173" s="120">
        <v>4</v>
      </c>
      <c r="V173" s="120">
        <v>0</v>
      </c>
      <c r="W173" s="120">
        <v>5</v>
      </c>
      <c r="X173" s="120">
        <v>2</v>
      </c>
      <c r="Y173" s="120">
        <v>1</v>
      </c>
      <c r="Z173" s="120">
        <v>4</v>
      </c>
      <c r="AA173" s="120">
        <v>1</v>
      </c>
      <c r="AB173" s="120">
        <v>1</v>
      </c>
      <c r="AC173" s="120">
        <v>1</v>
      </c>
      <c r="AD173" s="120">
        <v>0</v>
      </c>
      <c r="AE173" s="120">
        <v>3</v>
      </c>
      <c r="AF173" s="120">
        <v>1</v>
      </c>
      <c r="AG173" s="44">
        <f t="shared" si="26"/>
        <v>46</v>
      </c>
    </row>
    <row r="174" spans="1:34" ht="15.75" customHeight="1" x14ac:dyDescent="0.25">
      <c r="A174" s="119" t="s">
        <v>38</v>
      </c>
      <c r="B174" s="120">
        <v>8</v>
      </c>
      <c r="C174" s="120">
        <v>15</v>
      </c>
      <c r="D174" s="120">
        <v>15</v>
      </c>
      <c r="E174" s="120">
        <v>21</v>
      </c>
      <c r="F174" s="120">
        <v>25</v>
      </c>
      <c r="G174" s="120">
        <v>26</v>
      </c>
      <c r="H174" s="120">
        <v>24</v>
      </c>
      <c r="I174" s="120">
        <v>6</v>
      </c>
      <c r="J174" s="120">
        <v>17</v>
      </c>
      <c r="K174" s="120">
        <v>10</v>
      </c>
      <c r="L174" s="120">
        <v>25</v>
      </c>
      <c r="M174" s="120">
        <v>21</v>
      </c>
      <c r="N174" s="120">
        <v>16</v>
      </c>
      <c r="O174" s="120">
        <v>8</v>
      </c>
      <c r="P174" s="120">
        <v>10</v>
      </c>
      <c r="Q174" s="120">
        <v>21</v>
      </c>
      <c r="R174" s="120">
        <v>9</v>
      </c>
      <c r="S174" s="120">
        <v>15</v>
      </c>
      <c r="T174" s="120">
        <v>17</v>
      </c>
      <c r="U174" s="120">
        <v>16</v>
      </c>
      <c r="V174" s="120">
        <v>18</v>
      </c>
      <c r="W174" s="120">
        <v>7</v>
      </c>
      <c r="X174" s="120">
        <v>16</v>
      </c>
      <c r="Y174" s="120">
        <v>19</v>
      </c>
      <c r="Z174" s="120">
        <v>16</v>
      </c>
      <c r="AA174" s="120">
        <v>16</v>
      </c>
      <c r="AB174" s="120">
        <v>20</v>
      </c>
      <c r="AC174" s="120">
        <v>10</v>
      </c>
      <c r="AD174" s="120">
        <v>10</v>
      </c>
      <c r="AE174" s="120">
        <v>16</v>
      </c>
      <c r="AF174" s="120">
        <v>17</v>
      </c>
      <c r="AG174" s="44">
        <f t="shared" si="26"/>
        <v>490</v>
      </c>
    </row>
    <row r="175" spans="1:34" ht="15.75" customHeight="1" x14ac:dyDescent="0.25">
      <c r="A175" s="119" t="s">
        <v>39</v>
      </c>
      <c r="B175" s="120">
        <v>60</v>
      </c>
      <c r="C175" s="120">
        <v>111</v>
      </c>
      <c r="D175" s="120">
        <v>119</v>
      </c>
      <c r="E175" s="120">
        <v>87</v>
      </c>
      <c r="F175" s="120">
        <v>78</v>
      </c>
      <c r="G175" s="120">
        <v>79</v>
      </c>
      <c r="H175" s="120">
        <v>86</v>
      </c>
      <c r="I175" s="120">
        <v>86</v>
      </c>
      <c r="J175" s="120">
        <v>123</v>
      </c>
      <c r="K175" s="120">
        <v>98</v>
      </c>
      <c r="L175" s="120">
        <v>91</v>
      </c>
      <c r="M175" s="120">
        <v>93</v>
      </c>
      <c r="N175" s="120">
        <v>79</v>
      </c>
      <c r="O175" s="120">
        <v>78</v>
      </c>
      <c r="P175" s="120">
        <v>99</v>
      </c>
      <c r="Q175" s="120">
        <v>111</v>
      </c>
      <c r="R175" s="120">
        <v>117</v>
      </c>
      <c r="S175" s="120">
        <v>108</v>
      </c>
      <c r="T175" s="120">
        <v>88</v>
      </c>
      <c r="U175" s="120">
        <v>117</v>
      </c>
      <c r="V175" s="120">
        <v>74</v>
      </c>
      <c r="W175" s="120">
        <v>58</v>
      </c>
      <c r="X175" s="120">
        <v>101</v>
      </c>
      <c r="Y175" s="120">
        <v>120</v>
      </c>
      <c r="Z175" s="120">
        <v>81</v>
      </c>
      <c r="AA175" s="120">
        <v>81</v>
      </c>
      <c r="AB175" s="120">
        <v>92</v>
      </c>
      <c r="AC175" s="120">
        <v>85</v>
      </c>
      <c r="AD175" s="120">
        <v>53</v>
      </c>
      <c r="AE175" s="120">
        <v>105</v>
      </c>
      <c r="AF175" s="120">
        <v>116</v>
      </c>
      <c r="AG175" s="44">
        <f t="shared" si="26"/>
        <v>2874</v>
      </c>
    </row>
    <row r="176" spans="1:34" ht="15.75" customHeight="1" thickBot="1" x14ac:dyDescent="0.3">
      <c r="A176" s="121" t="s">
        <v>40</v>
      </c>
      <c r="B176" s="122">
        <v>7</v>
      </c>
      <c r="C176" s="122">
        <v>35</v>
      </c>
      <c r="D176" s="122">
        <v>26</v>
      </c>
      <c r="E176" s="122">
        <v>9</v>
      </c>
      <c r="F176" s="122">
        <v>11</v>
      </c>
      <c r="G176" s="122">
        <v>11</v>
      </c>
      <c r="H176" s="122">
        <v>4</v>
      </c>
      <c r="I176" s="122">
        <v>12</v>
      </c>
      <c r="J176" s="122">
        <v>17</v>
      </c>
      <c r="K176" s="122">
        <v>20</v>
      </c>
      <c r="L176" s="122">
        <v>13</v>
      </c>
      <c r="M176" s="122">
        <v>9</v>
      </c>
      <c r="N176" s="122">
        <v>7</v>
      </c>
      <c r="O176" s="122">
        <v>24</v>
      </c>
      <c r="P176" s="122">
        <v>40</v>
      </c>
      <c r="Q176" s="122">
        <v>39</v>
      </c>
      <c r="R176" s="122">
        <v>35</v>
      </c>
      <c r="S176" s="122">
        <v>14</v>
      </c>
      <c r="T176" s="122">
        <v>6</v>
      </c>
      <c r="U176" s="122">
        <v>44</v>
      </c>
      <c r="V176" s="122">
        <v>13</v>
      </c>
      <c r="W176" s="122">
        <v>17</v>
      </c>
      <c r="X176" s="122">
        <v>24</v>
      </c>
      <c r="Y176" s="122">
        <v>12</v>
      </c>
      <c r="Z176" s="122">
        <v>18</v>
      </c>
      <c r="AA176" s="122">
        <v>18</v>
      </c>
      <c r="AB176" s="122">
        <v>19</v>
      </c>
      <c r="AC176" s="122">
        <v>12</v>
      </c>
      <c r="AD176" s="122">
        <v>25</v>
      </c>
      <c r="AE176" s="122">
        <v>28</v>
      </c>
      <c r="AF176" s="122">
        <v>15</v>
      </c>
      <c r="AG176" s="45">
        <f t="shared" si="26"/>
        <v>584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14" priority="3" operator="lessThan">
      <formula>0</formula>
    </cfRule>
  </conditionalFormatting>
  <conditionalFormatting sqref="AH171">
    <cfRule type="cellIs" dxfId="13" priority="2" operator="equal">
      <formula>"X"</formula>
    </cfRule>
  </conditionalFormatting>
  <conditionalFormatting sqref="AH1:AH1048576">
    <cfRule type="cellIs" dxfId="12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CAF5A122-A715-4934-B663-B7E9971CDEAD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6CBFB-722F-4AF7-AF35-11AF7F40F2B7}">
  <sheetPr codeName="Hoja31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AE5" sqref="AE5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181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143</v>
      </c>
      <c r="C3" s="1">
        <f t="shared" si="1"/>
        <v>135</v>
      </c>
      <c r="D3" s="1">
        <f t="shared" si="1"/>
        <v>127</v>
      </c>
      <c r="E3" s="1">
        <f t="shared" si="1"/>
        <v>121</v>
      </c>
      <c r="F3" s="1">
        <f t="shared" si="1"/>
        <v>113</v>
      </c>
      <c r="G3" s="1">
        <f t="shared" si="1"/>
        <v>152</v>
      </c>
      <c r="H3" s="1">
        <f t="shared" si="1"/>
        <v>148</v>
      </c>
      <c r="I3" s="1">
        <f t="shared" si="1"/>
        <v>128</v>
      </c>
      <c r="J3" s="1">
        <f t="shared" si="1"/>
        <v>129</v>
      </c>
      <c r="K3" s="1">
        <f t="shared" si="1"/>
        <v>117</v>
      </c>
      <c r="L3" s="1">
        <f t="shared" si="1"/>
        <v>113</v>
      </c>
      <c r="M3" s="1">
        <f t="shared" si="1"/>
        <v>130</v>
      </c>
      <c r="N3" s="1">
        <f t="shared" si="1"/>
        <v>173</v>
      </c>
      <c r="O3" s="1">
        <f t="shared" si="1"/>
        <v>177</v>
      </c>
      <c r="P3" s="1">
        <f t="shared" si="1"/>
        <v>130</v>
      </c>
      <c r="Q3" s="1">
        <f t="shared" si="1"/>
        <v>136</v>
      </c>
      <c r="R3" s="1">
        <f t="shared" si="1"/>
        <v>127</v>
      </c>
      <c r="S3" s="1">
        <f t="shared" si="1"/>
        <v>130</v>
      </c>
      <c r="T3" s="1">
        <f t="shared" si="1"/>
        <v>155</v>
      </c>
      <c r="U3" s="1">
        <f t="shared" si="1"/>
        <v>170</v>
      </c>
      <c r="V3" s="1">
        <f t="shared" si="1"/>
        <v>169</v>
      </c>
      <c r="W3" s="1">
        <f t="shared" si="1"/>
        <v>174</v>
      </c>
      <c r="X3" s="1">
        <f t="shared" si="1"/>
        <v>165</v>
      </c>
      <c r="Y3" s="1">
        <f t="shared" si="1"/>
        <v>157</v>
      </c>
      <c r="Z3" s="1">
        <f t="shared" si="1"/>
        <v>158</v>
      </c>
      <c r="AA3" s="1">
        <f t="shared" si="1"/>
        <v>132</v>
      </c>
      <c r="AB3" s="1">
        <f t="shared" si="1"/>
        <v>202</v>
      </c>
      <c r="AC3" s="1">
        <f t="shared" si="1"/>
        <v>192</v>
      </c>
      <c r="AD3" s="1">
        <f t="shared" si="1"/>
        <v>155</v>
      </c>
      <c r="AE3" s="1">
        <f t="shared" si="1"/>
        <v>144</v>
      </c>
      <c r="AF3" s="1">
        <f t="shared" si="1"/>
        <v>0</v>
      </c>
      <c r="AG3" s="2">
        <f t="shared" ref="AG3:AG66" si="2">SUM(B3:AF3)</f>
        <v>4402</v>
      </c>
    </row>
    <row r="4" spans="1:33" ht="18.75" x14ac:dyDescent="0.25">
      <c r="A4" s="53" t="s">
        <v>2</v>
      </c>
      <c r="B4" s="54">
        <v>0</v>
      </c>
      <c r="C4" s="55">
        <v>0</v>
      </c>
      <c r="D4" s="55">
        <v>0</v>
      </c>
      <c r="E4" s="55">
        <v>0</v>
      </c>
      <c r="F4" s="55">
        <v>0</v>
      </c>
      <c r="G4" s="55">
        <v>9</v>
      </c>
      <c r="H4" s="55">
        <v>4</v>
      </c>
      <c r="I4" s="55">
        <v>0</v>
      </c>
      <c r="J4" s="55">
        <v>0</v>
      </c>
      <c r="K4" s="55">
        <v>0</v>
      </c>
      <c r="L4" s="55">
        <v>0</v>
      </c>
      <c r="M4" s="55">
        <v>0</v>
      </c>
      <c r="N4" s="55">
        <v>4</v>
      </c>
      <c r="O4" s="55">
        <v>2</v>
      </c>
      <c r="P4" s="55">
        <v>0</v>
      </c>
      <c r="Q4" s="55">
        <v>0</v>
      </c>
      <c r="R4" s="55">
        <v>0</v>
      </c>
      <c r="S4" s="55">
        <v>6</v>
      </c>
      <c r="T4" s="55">
        <v>3</v>
      </c>
      <c r="U4" s="55">
        <v>4</v>
      </c>
      <c r="V4" s="55">
        <v>6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7</v>
      </c>
      <c r="AC4" s="55">
        <v>5</v>
      </c>
      <c r="AD4" s="55">
        <v>0</v>
      </c>
      <c r="AE4" s="55">
        <v>0</v>
      </c>
      <c r="AF4" s="55"/>
      <c r="AG4" s="4">
        <f t="shared" si="2"/>
        <v>50</v>
      </c>
    </row>
    <row r="5" spans="1:33" ht="18.75" x14ac:dyDescent="0.25">
      <c r="A5" s="56" t="s">
        <v>3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13</v>
      </c>
      <c r="H5" s="54">
        <v>9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10</v>
      </c>
      <c r="O5" s="54">
        <v>10</v>
      </c>
      <c r="P5" s="54">
        <v>0</v>
      </c>
      <c r="Q5" s="54">
        <v>0</v>
      </c>
      <c r="R5" s="54">
        <v>0</v>
      </c>
      <c r="S5" s="54">
        <v>9</v>
      </c>
      <c r="T5" s="54">
        <v>6</v>
      </c>
      <c r="U5" s="54">
        <v>10</v>
      </c>
      <c r="V5" s="54">
        <v>5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13</v>
      </c>
      <c r="AC5" s="54">
        <v>5</v>
      </c>
      <c r="AD5" s="54">
        <v>0</v>
      </c>
      <c r="AE5" s="54">
        <v>0</v>
      </c>
      <c r="AF5" s="54"/>
      <c r="AG5" s="5">
        <f t="shared" si="2"/>
        <v>90</v>
      </c>
    </row>
    <row r="6" spans="1:33" ht="18.75" x14ac:dyDescent="0.25">
      <c r="A6" s="56" t="s">
        <v>4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  <c r="G6" s="54">
        <v>13</v>
      </c>
      <c r="H6" s="54">
        <v>9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13</v>
      </c>
      <c r="O6" s="54">
        <v>12</v>
      </c>
      <c r="P6" s="54">
        <v>0</v>
      </c>
      <c r="Q6" s="54">
        <v>0</v>
      </c>
      <c r="R6" s="54">
        <v>0</v>
      </c>
      <c r="S6" s="54">
        <v>4</v>
      </c>
      <c r="T6" s="54">
        <v>23</v>
      </c>
      <c r="U6" s="54">
        <v>12</v>
      </c>
      <c r="V6" s="54">
        <v>6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19</v>
      </c>
      <c r="AC6" s="54">
        <v>13</v>
      </c>
      <c r="AD6" s="54">
        <v>0</v>
      </c>
      <c r="AE6" s="54">
        <v>0</v>
      </c>
      <c r="AF6" s="54"/>
      <c r="AG6" s="5">
        <f t="shared" si="2"/>
        <v>124</v>
      </c>
    </row>
    <row r="7" spans="1:33" ht="18.75" x14ac:dyDescent="0.25">
      <c r="A7" s="56" t="s">
        <v>5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  <c r="G7" s="54">
        <v>12</v>
      </c>
      <c r="H7" s="54">
        <v>6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15</v>
      </c>
      <c r="O7" s="54">
        <v>14</v>
      </c>
      <c r="P7" s="54">
        <v>0</v>
      </c>
      <c r="Q7" s="54">
        <v>0</v>
      </c>
      <c r="R7" s="54">
        <v>1</v>
      </c>
      <c r="S7" s="54">
        <v>7</v>
      </c>
      <c r="T7" s="54">
        <v>13</v>
      </c>
      <c r="U7" s="54">
        <v>13</v>
      </c>
      <c r="V7" s="54">
        <v>4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17</v>
      </c>
      <c r="AC7" s="54">
        <v>19</v>
      </c>
      <c r="AD7" s="54">
        <v>0</v>
      </c>
      <c r="AE7" s="54">
        <v>0</v>
      </c>
      <c r="AF7" s="54"/>
      <c r="AG7" s="5">
        <f t="shared" si="2"/>
        <v>121</v>
      </c>
    </row>
    <row r="8" spans="1:33" ht="18.75" x14ac:dyDescent="0.25">
      <c r="A8" s="56" t="s">
        <v>6</v>
      </c>
      <c r="B8" s="54">
        <v>0</v>
      </c>
      <c r="C8" s="54">
        <v>0</v>
      </c>
      <c r="D8" s="54">
        <v>0</v>
      </c>
      <c r="E8" s="54">
        <v>0</v>
      </c>
      <c r="F8" s="54">
        <v>0</v>
      </c>
      <c r="G8" s="54">
        <v>5</v>
      </c>
      <c r="H8" s="54">
        <v>14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12</v>
      </c>
      <c r="O8" s="54">
        <v>11</v>
      </c>
      <c r="P8" s="54">
        <v>0</v>
      </c>
      <c r="Q8" s="54">
        <v>0</v>
      </c>
      <c r="R8" s="54">
        <v>12</v>
      </c>
      <c r="S8" s="54">
        <v>13</v>
      </c>
      <c r="T8" s="54">
        <v>6</v>
      </c>
      <c r="U8" s="54">
        <v>13</v>
      </c>
      <c r="V8" s="54">
        <v>16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11</v>
      </c>
      <c r="AC8" s="54">
        <v>17</v>
      </c>
      <c r="AD8" s="54">
        <v>0</v>
      </c>
      <c r="AE8" s="54">
        <v>0</v>
      </c>
      <c r="AF8" s="54"/>
      <c r="AG8" s="5">
        <f t="shared" si="2"/>
        <v>130</v>
      </c>
    </row>
    <row r="9" spans="1:33" ht="18.75" x14ac:dyDescent="0.25">
      <c r="A9" s="56" t="s">
        <v>7</v>
      </c>
      <c r="B9" s="54">
        <v>0</v>
      </c>
      <c r="C9" s="54">
        <v>0</v>
      </c>
      <c r="D9" s="54">
        <v>0</v>
      </c>
      <c r="E9" s="54">
        <v>0</v>
      </c>
      <c r="F9" s="54">
        <v>0</v>
      </c>
      <c r="G9" s="54">
        <v>9</v>
      </c>
      <c r="H9" s="54">
        <v>13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8</v>
      </c>
      <c r="O9" s="54">
        <v>10</v>
      </c>
      <c r="P9" s="54">
        <v>0</v>
      </c>
      <c r="Q9" s="54">
        <v>0</v>
      </c>
      <c r="R9" s="54">
        <v>6</v>
      </c>
      <c r="S9" s="54">
        <v>6</v>
      </c>
      <c r="T9" s="54">
        <v>15</v>
      </c>
      <c r="U9" s="54">
        <v>17</v>
      </c>
      <c r="V9" s="54">
        <v>21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15</v>
      </c>
      <c r="AC9" s="54">
        <v>9</v>
      </c>
      <c r="AD9" s="54">
        <v>0</v>
      </c>
      <c r="AE9" s="54">
        <v>0</v>
      </c>
      <c r="AF9" s="54"/>
      <c r="AG9" s="5">
        <f t="shared" si="2"/>
        <v>129</v>
      </c>
    </row>
    <row r="10" spans="1:33" ht="18.75" x14ac:dyDescent="0.25">
      <c r="A10" s="56" t="s">
        <v>8</v>
      </c>
      <c r="B10" s="54">
        <v>0</v>
      </c>
      <c r="C10" s="54">
        <v>0</v>
      </c>
      <c r="D10" s="54">
        <v>0</v>
      </c>
      <c r="E10" s="54">
        <v>0</v>
      </c>
      <c r="F10" s="54">
        <v>0</v>
      </c>
      <c r="G10" s="54">
        <v>12</v>
      </c>
      <c r="H10" s="54">
        <v>9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8</v>
      </c>
      <c r="O10" s="54">
        <v>11</v>
      </c>
      <c r="P10" s="54">
        <v>0</v>
      </c>
      <c r="Q10" s="54">
        <v>0</v>
      </c>
      <c r="R10" s="54">
        <v>5</v>
      </c>
      <c r="S10" s="54">
        <v>10</v>
      </c>
      <c r="T10" s="54">
        <v>4</v>
      </c>
      <c r="U10" s="54">
        <v>11</v>
      </c>
      <c r="V10" s="54">
        <v>11</v>
      </c>
      <c r="W10" s="54">
        <v>0</v>
      </c>
      <c r="X10" s="54">
        <v>0</v>
      </c>
      <c r="Y10" s="54">
        <v>1</v>
      </c>
      <c r="Z10" s="54">
        <v>0</v>
      </c>
      <c r="AA10" s="54">
        <v>0</v>
      </c>
      <c r="AB10" s="54">
        <v>5</v>
      </c>
      <c r="AC10" s="54">
        <v>16</v>
      </c>
      <c r="AD10" s="54">
        <v>0</v>
      </c>
      <c r="AE10" s="54">
        <v>0</v>
      </c>
      <c r="AF10" s="54"/>
      <c r="AG10" s="5">
        <f t="shared" si="2"/>
        <v>103</v>
      </c>
    </row>
    <row r="11" spans="1:33" ht="18.75" x14ac:dyDescent="0.25">
      <c r="A11" s="56" t="s">
        <v>9</v>
      </c>
      <c r="B11" s="54">
        <v>0</v>
      </c>
      <c r="C11" s="54">
        <v>0</v>
      </c>
      <c r="D11" s="54">
        <v>0</v>
      </c>
      <c r="E11" s="54">
        <v>0</v>
      </c>
      <c r="F11" s="54">
        <v>6</v>
      </c>
      <c r="G11" s="54">
        <v>6</v>
      </c>
      <c r="H11" s="54">
        <v>6</v>
      </c>
      <c r="I11" s="54">
        <v>0</v>
      </c>
      <c r="J11" s="54">
        <v>0</v>
      </c>
      <c r="K11" s="54">
        <v>0</v>
      </c>
      <c r="L11" s="54">
        <v>0</v>
      </c>
      <c r="M11" s="54">
        <v>8</v>
      </c>
      <c r="N11" s="54">
        <v>9</v>
      </c>
      <c r="O11" s="54">
        <v>7</v>
      </c>
      <c r="P11" s="54">
        <v>1</v>
      </c>
      <c r="Q11" s="54">
        <v>0</v>
      </c>
      <c r="R11" s="54">
        <v>3</v>
      </c>
      <c r="S11" s="54">
        <v>6</v>
      </c>
      <c r="T11" s="54">
        <v>11</v>
      </c>
      <c r="U11" s="54">
        <v>16</v>
      </c>
      <c r="V11" s="54">
        <v>12</v>
      </c>
      <c r="W11" s="54">
        <v>0</v>
      </c>
      <c r="X11" s="54">
        <v>0</v>
      </c>
      <c r="Y11" s="54">
        <v>0</v>
      </c>
      <c r="Z11" s="54">
        <v>0</v>
      </c>
      <c r="AA11" s="54">
        <v>3</v>
      </c>
      <c r="AB11" s="54">
        <v>17</v>
      </c>
      <c r="AC11" s="54">
        <v>17</v>
      </c>
      <c r="AD11" s="54">
        <v>0</v>
      </c>
      <c r="AE11" s="54">
        <v>0</v>
      </c>
      <c r="AF11" s="54"/>
      <c r="AG11" s="5">
        <f t="shared" si="2"/>
        <v>128</v>
      </c>
    </row>
    <row r="12" spans="1:33" ht="18.75" x14ac:dyDescent="0.25">
      <c r="A12" s="56" t="s">
        <v>10</v>
      </c>
      <c r="B12" s="54">
        <v>0</v>
      </c>
      <c r="C12" s="54">
        <v>9</v>
      </c>
      <c r="D12" s="54">
        <v>6</v>
      </c>
      <c r="E12" s="54">
        <v>10</v>
      </c>
      <c r="F12" s="54">
        <v>35</v>
      </c>
      <c r="G12" s="54">
        <v>18</v>
      </c>
      <c r="H12" s="54">
        <v>12</v>
      </c>
      <c r="I12" s="54">
        <v>4</v>
      </c>
      <c r="J12" s="54">
        <v>7</v>
      </c>
      <c r="K12" s="54">
        <v>2</v>
      </c>
      <c r="L12" s="54">
        <v>7</v>
      </c>
      <c r="M12" s="54">
        <v>38</v>
      </c>
      <c r="N12" s="54">
        <v>14</v>
      </c>
      <c r="O12" s="54">
        <v>13</v>
      </c>
      <c r="P12" s="54">
        <v>1</v>
      </c>
      <c r="Q12" s="54">
        <v>5</v>
      </c>
      <c r="R12" s="54">
        <v>23</v>
      </c>
      <c r="S12" s="54">
        <v>12</v>
      </c>
      <c r="T12" s="54">
        <v>8</v>
      </c>
      <c r="U12" s="54">
        <v>13</v>
      </c>
      <c r="V12" s="54">
        <v>18</v>
      </c>
      <c r="W12" s="54">
        <v>2</v>
      </c>
      <c r="X12" s="54">
        <v>4</v>
      </c>
      <c r="Y12" s="54">
        <v>8</v>
      </c>
      <c r="Z12" s="54">
        <v>9</v>
      </c>
      <c r="AA12" s="54">
        <v>41</v>
      </c>
      <c r="AB12" s="54">
        <v>19</v>
      </c>
      <c r="AC12" s="54">
        <v>11</v>
      </c>
      <c r="AD12" s="54">
        <v>0</v>
      </c>
      <c r="AE12" s="54">
        <v>8</v>
      </c>
      <c r="AF12" s="54"/>
      <c r="AG12" s="5">
        <f t="shared" si="2"/>
        <v>357</v>
      </c>
    </row>
    <row r="13" spans="1:33" ht="18.75" x14ac:dyDescent="0.25">
      <c r="A13" s="56" t="s">
        <v>11</v>
      </c>
      <c r="B13" s="54">
        <v>72</v>
      </c>
      <c r="C13" s="54">
        <v>54</v>
      </c>
      <c r="D13" s="54">
        <v>51</v>
      </c>
      <c r="E13" s="54">
        <v>45</v>
      </c>
      <c r="F13" s="54">
        <v>20</v>
      </c>
      <c r="G13" s="54">
        <v>7</v>
      </c>
      <c r="H13" s="54">
        <v>14</v>
      </c>
      <c r="I13" s="54">
        <v>52</v>
      </c>
      <c r="J13" s="54">
        <v>50</v>
      </c>
      <c r="K13" s="54">
        <v>39</v>
      </c>
      <c r="L13" s="54">
        <v>35</v>
      </c>
      <c r="M13" s="54">
        <v>14</v>
      </c>
      <c r="N13" s="54">
        <v>16</v>
      </c>
      <c r="O13" s="54">
        <v>18</v>
      </c>
      <c r="P13" s="54">
        <v>54</v>
      </c>
      <c r="Q13" s="54">
        <v>50</v>
      </c>
      <c r="R13" s="54">
        <v>20</v>
      </c>
      <c r="S13" s="54">
        <v>9</v>
      </c>
      <c r="T13" s="54">
        <v>11</v>
      </c>
      <c r="U13" s="54">
        <v>17</v>
      </c>
      <c r="V13" s="54">
        <v>11</v>
      </c>
      <c r="W13" s="54">
        <v>82</v>
      </c>
      <c r="X13" s="54">
        <v>80</v>
      </c>
      <c r="Y13" s="54">
        <v>70</v>
      </c>
      <c r="Z13" s="54">
        <v>62</v>
      </c>
      <c r="AA13" s="54">
        <v>21</v>
      </c>
      <c r="AB13" s="54">
        <v>20</v>
      </c>
      <c r="AC13" s="54">
        <v>9</v>
      </c>
      <c r="AD13" s="54">
        <v>73</v>
      </c>
      <c r="AE13" s="54">
        <v>58</v>
      </c>
      <c r="AF13" s="54"/>
      <c r="AG13" s="5">
        <f t="shared" si="2"/>
        <v>1134</v>
      </c>
    </row>
    <row r="14" spans="1:33" ht="18.75" x14ac:dyDescent="0.25">
      <c r="A14" s="56" t="s">
        <v>12</v>
      </c>
      <c r="B14" s="54">
        <v>20</v>
      </c>
      <c r="C14" s="54">
        <v>17</v>
      </c>
      <c r="D14" s="54">
        <v>22</v>
      </c>
      <c r="E14" s="54">
        <v>15</v>
      </c>
      <c r="F14" s="54">
        <v>10</v>
      </c>
      <c r="G14" s="54">
        <v>12</v>
      </c>
      <c r="H14" s="54">
        <v>11</v>
      </c>
      <c r="I14" s="54">
        <v>22</v>
      </c>
      <c r="J14" s="54">
        <v>14</v>
      </c>
      <c r="K14" s="54">
        <v>17</v>
      </c>
      <c r="L14" s="54">
        <v>12</v>
      </c>
      <c r="M14" s="54">
        <v>11</v>
      </c>
      <c r="N14" s="54">
        <v>13</v>
      </c>
      <c r="O14" s="54">
        <v>9</v>
      </c>
      <c r="P14" s="54">
        <v>14</v>
      </c>
      <c r="Q14" s="54">
        <v>13</v>
      </c>
      <c r="R14" s="54">
        <v>8</v>
      </c>
      <c r="S14" s="54">
        <v>5</v>
      </c>
      <c r="T14" s="54">
        <v>13</v>
      </c>
      <c r="U14" s="54">
        <v>6</v>
      </c>
      <c r="V14" s="54">
        <v>9</v>
      </c>
      <c r="W14" s="54">
        <v>18</v>
      </c>
      <c r="X14" s="54">
        <v>20</v>
      </c>
      <c r="Y14" s="54">
        <v>13</v>
      </c>
      <c r="Z14" s="54">
        <v>23</v>
      </c>
      <c r="AA14" s="54">
        <v>8</v>
      </c>
      <c r="AB14" s="54">
        <v>6</v>
      </c>
      <c r="AC14" s="54">
        <v>14</v>
      </c>
      <c r="AD14" s="54">
        <v>18</v>
      </c>
      <c r="AE14" s="54">
        <v>18</v>
      </c>
      <c r="AF14" s="54"/>
      <c r="AG14" s="5">
        <f t="shared" si="2"/>
        <v>411</v>
      </c>
    </row>
    <row r="15" spans="1:33" ht="18.75" x14ac:dyDescent="0.25">
      <c r="A15" s="56" t="s">
        <v>13</v>
      </c>
      <c r="B15" s="54">
        <v>15</v>
      </c>
      <c r="C15" s="54">
        <v>12</v>
      </c>
      <c r="D15" s="54">
        <v>7</v>
      </c>
      <c r="E15" s="54">
        <v>13</v>
      </c>
      <c r="F15" s="54">
        <v>11</v>
      </c>
      <c r="G15" s="54">
        <v>6</v>
      </c>
      <c r="H15" s="54">
        <v>7</v>
      </c>
      <c r="I15" s="54">
        <v>9</v>
      </c>
      <c r="J15" s="54">
        <v>13</v>
      </c>
      <c r="K15" s="54">
        <v>18</v>
      </c>
      <c r="L15" s="54">
        <v>7</v>
      </c>
      <c r="M15" s="54">
        <v>13</v>
      </c>
      <c r="N15" s="54">
        <v>12</v>
      </c>
      <c r="O15" s="54">
        <v>9</v>
      </c>
      <c r="P15" s="54">
        <v>12</v>
      </c>
      <c r="Q15" s="54">
        <v>13</v>
      </c>
      <c r="R15" s="54">
        <v>6</v>
      </c>
      <c r="S15" s="54">
        <v>5</v>
      </c>
      <c r="T15" s="54">
        <v>9</v>
      </c>
      <c r="U15" s="54">
        <v>9</v>
      </c>
      <c r="V15" s="54">
        <v>10</v>
      </c>
      <c r="W15" s="54">
        <v>20</v>
      </c>
      <c r="X15" s="54">
        <v>12</v>
      </c>
      <c r="Y15" s="54">
        <v>17</v>
      </c>
      <c r="Z15" s="54">
        <v>14</v>
      </c>
      <c r="AA15" s="54">
        <v>6</v>
      </c>
      <c r="AB15" s="54">
        <v>13</v>
      </c>
      <c r="AC15" s="54">
        <v>8</v>
      </c>
      <c r="AD15" s="54">
        <v>14</v>
      </c>
      <c r="AE15" s="54">
        <v>12</v>
      </c>
      <c r="AF15" s="54"/>
      <c r="AG15" s="5">
        <f t="shared" si="2"/>
        <v>332</v>
      </c>
    </row>
    <row r="16" spans="1:33" ht="18.75" x14ac:dyDescent="0.25">
      <c r="A16" s="56" t="s">
        <v>14</v>
      </c>
      <c r="B16" s="54">
        <v>14</v>
      </c>
      <c r="C16" s="54">
        <v>16</v>
      </c>
      <c r="D16" s="54">
        <v>12</v>
      </c>
      <c r="E16" s="54">
        <v>8</v>
      </c>
      <c r="F16" s="54">
        <v>12</v>
      </c>
      <c r="G16" s="54">
        <v>9</v>
      </c>
      <c r="H16" s="54">
        <v>6</v>
      </c>
      <c r="I16" s="54">
        <v>10</v>
      </c>
      <c r="J16" s="54">
        <v>16</v>
      </c>
      <c r="K16" s="54">
        <v>8</v>
      </c>
      <c r="L16" s="54">
        <v>16</v>
      </c>
      <c r="M16" s="54">
        <v>11</v>
      </c>
      <c r="N16" s="54">
        <v>6</v>
      </c>
      <c r="O16" s="54">
        <v>10</v>
      </c>
      <c r="P16" s="54">
        <v>9</v>
      </c>
      <c r="Q16" s="54">
        <v>13</v>
      </c>
      <c r="R16" s="54">
        <v>10</v>
      </c>
      <c r="S16" s="54">
        <v>6</v>
      </c>
      <c r="T16" s="54">
        <v>6</v>
      </c>
      <c r="U16" s="54">
        <v>9</v>
      </c>
      <c r="V16" s="54">
        <v>13</v>
      </c>
      <c r="W16" s="54">
        <v>15</v>
      </c>
      <c r="X16" s="54">
        <v>14</v>
      </c>
      <c r="Y16" s="54">
        <v>15</v>
      </c>
      <c r="Z16" s="54">
        <v>12</v>
      </c>
      <c r="AA16" s="54">
        <v>15</v>
      </c>
      <c r="AB16" s="54">
        <v>8</v>
      </c>
      <c r="AC16" s="54">
        <v>6</v>
      </c>
      <c r="AD16" s="54">
        <v>18</v>
      </c>
      <c r="AE16" s="54">
        <v>16</v>
      </c>
      <c r="AF16" s="54"/>
      <c r="AG16" s="5">
        <f t="shared" si="2"/>
        <v>339</v>
      </c>
    </row>
    <row r="17" spans="1:33" ht="18.75" x14ac:dyDescent="0.25">
      <c r="A17" s="56" t="s">
        <v>15</v>
      </c>
      <c r="B17" s="54">
        <v>5</v>
      </c>
      <c r="C17" s="54">
        <v>11</v>
      </c>
      <c r="D17" s="54">
        <v>7</v>
      </c>
      <c r="E17" s="54">
        <v>8</v>
      </c>
      <c r="F17" s="54">
        <v>11</v>
      </c>
      <c r="G17" s="54">
        <v>7</v>
      </c>
      <c r="H17" s="54">
        <v>8</v>
      </c>
      <c r="I17" s="54">
        <v>12</v>
      </c>
      <c r="J17" s="54">
        <v>10</v>
      </c>
      <c r="K17" s="54">
        <v>12</v>
      </c>
      <c r="L17" s="54">
        <v>9</v>
      </c>
      <c r="M17" s="54">
        <v>7</v>
      </c>
      <c r="N17" s="54">
        <v>3</v>
      </c>
      <c r="O17" s="54">
        <v>12</v>
      </c>
      <c r="P17" s="54">
        <v>11</v>
      </c>
      <c r="Q17" s="54">
        <v>13</v>
      </c>
      <c r="R17" s="54">
        <v>7</v>
      </c>
      <c r="S17" s="54">
        <v>8</v>
      </c>
      <c r="T17" s="54">
        <v>10</v>
      </c>
      <c r="U17" s="54">
        <v>5</v>
      </c>
      <c r="V17" s="54">
        <v>13</v>
      </c>
      <c r="W17" s="54">
        <v>7</v>
      </c>
      <c r="X17" s="54">
        <v>8</v>
      </c>
      <c r="Y17" s="54">
        <v>8</v>
      </c>
      <c r="Z17" s="54">
        <v>8</v>
      </c>
      <c r="AA17" s="54">
        <v>13</v>
      </c>
      <c r="AB17" s="54">
        <v>10</v>
      </c>
      <c r="AC17" s="54">
        <v>10</v>
      </c>
      <c r="AD17" s="54">
        <v>6</v>
      </c>
      <c r="AE17" s="54">
        <v>8</v>
      </c>
      <c r="AF17" s="54"/>
      <c r="AG17" s="5">
        <f t="shared" si="2"/>
        <v>267</v>
      </c>
    </row>
    <row r="18" spans="1:33" ht="18.75" x14ac:dyDescent="0.25">
      <c r="A18" s="56" t="s">
        <v>16</v>
      </c>
      <c r="B18" s="54">
        <v>6</v>
      </c>
      <c r="C18" s="54">
        <v>5</v>
      </c>
      <c r="D18" s="54">
        <v>5</v>
      </c>
      <c r="E18" s="54">
        <v>10</v>
      </c>
      <c r="F18" s="54">
        <v>1</v>
      </c>
      <c r="G18" s="54">
        <v>4</v>
      </c>
      <c r="H18" s="54">
        <v>7</v>
      </c>
      <c r="I18" s="54">
        <v>7</v>
      </c>
      <c r="J18" s="54">
        <v>9</v>
      </c>
      <c r="K18" s="54">
        <v>5</v>
      </c>
      <c r="L18" s="54">
        <v>10</v>
      </c>
      <c r="M18" s="54">
        <v>7</v>
      </c>
      <c r="N18" s="54">
        <v>7</v>
      </c>
      <c r="O18" s="54">
        <v>6</v>
      </c>
      <c r="P18" s="54">
        <v>6</v>
      </c>
      <c r="Q18" s="54">
        <v>7</v>
      </c>
      <c r="R18" s="54">
        <v>3</v>
      </c>
      <c r="S18" s="54">
        <v>9</v>
      </c>
      <c r="T18" s="54">
        <v>2</v>
      </c>
      <c r="U18" s="54">
        <v>1</v>
      </c>
      <c r="V18" s="54">
        <v>4</v>
      </c>
      <c r="W18" s="54">
        <v>17</v>
      </c>
      <c r="X18" s="54">
        <v>9</v>
      </c>
      <c r="Y18" s="54">
        <v>5</v>
      </c>
      <c r="Z18" s="54">
        <v>11</v>
      </c>
      <c r="AA18" s="54">
        <v>9</v>
      </c>
      <c r="AB18" s="54">
        <v>11</v>
      </c>
      <c r="AC18" s="54">
        <v>9</v>
      </c>
      <c r="AD18" s="54">
        <v>7</v>
      </c>
      <c r="AE18" s="54">
        <v>9</v>
      </c>
      <c r="AF18" s="54"/>
      <c r="AG18" s="5">
        <f t="shared" si="2"/>
        <v>208</v>
      </c>
    </row>
    <row r="19" spans="1:33" ht="18.75" x14ac:dyDescent="0.25">
      <c r="A19" s="56" t="s">
        <v>17</v>
      </c>
      <c r="B19" s="54">
        <v>6</v>
      </c>
      <c r="C19" s="54">
        <v>2</v>
      </c>
      <c r="D19" s="54">
        <v>4</v>
      </c>
      <c r="E19" s="54">
        <v>2</v>
      </c>
      <c r="F19" s="54">
        <v>3</v>
      </c>
      <c r="G19" s="54">
        <v>4</v>
      </c>
      <c r="H19" s="54">
        <v>4</v>
      </c>
      <c r="I19" s="54">
        <v>3</v>
      </c>
      <c r="J19" s="54">
        <v>3</v>
      </c>
      <c r="K19" s="54">
        <v>6</v>
      </c>
      <c r="L19" s="54">
        <v>0</v>
      </c>
      <c r="M19" s="54">
        <v>7</v>
      </c>
      <c r="N19" s="54">
        <v>8</v>
      </c>
      <c r="O19" s="54">
        <v>8</v>
      </c>
      <c r="P19" s="54">
        <v>4</v>
      </c>
      <c r="Q19" s="54">
        <v>6</v>
      </c>
      <c r="R19" s="54">
        <v>8</v>
      </c>
      <c r="S19" s="54">
        <v>4</v>
      </c>
      <c r="T19" s="54">
        <v>1</v>
      </c>
      <c r="U19" s="54">
        <v>3</v>
      </c>
      <c r="V19" s="54">
        <v>3</v>
      </c>
      <c r="W19" s="54">
        <v>6</v>
      </c>
      <c r="X19" s="54">
        <v>8</v>
      </c>
      <c r="Y19" s="54">
        <v>7</v>
      </c>
      <c r="Z19" s="54">
        <v>5</v>
      </c>
      <c r="AA19" s="54">
        <v>4</v>
      </c>
      <c r="AB19" s="54">
        <v>4</v>
      </c>
      <c r="AC19" s="54">
        <v>5</v>
      </c>
      <c r="AD19" s="54">
        <v>9</v>
      </c>
      <c r="AE19" s="54">
        <v>4</v>
      </c>
      <c r="AF19" s="54"/>
      <c r="AG19" s="5">
        <f t="shared" si="2"/>
        <v>141</v>
      </c>
    </row>
    <row r="20" spans="1:33" ht="18.75" x14ac:dyDescent="0.25">
      <c r="A20" s="56" t="s">
        <v>18</v>
      </c>
      <c r="B20" s="54">
        <v>0</v>
      </c>
      <c r="C20" s="54">
        <v>3</v>
      </c>
      <c r="D20" s="54">
        <v>3</v>
      </c>
      <c r="E20" s="54">
        <v>1</v>
      </c>
      <c r="F20" s="54">
        <v>1</v>
      </c>
      <c r="G20" s="54">
        <v>1</v>
      </c>
      <c r="H20" s="54">
        <v>0</v>
      </c>
      <c r="I20" s="54">
        <v>1</v>
      </c>
      <c r="J20" s="54">
        <v>3</v>
      </c>
      <c r="K20" s="54">
        <v>4</v>
      </c>
      <c r="L20" s="54">
        <v>6</v>
      </c>
      <c r="M20" s="54">
        <v>2</v>
      </c>
      <c r="N20" s="54">
        <v>6</v>
      </c>
      <c r="O20" s="54">
        <v>3</v>
      </c>
      <c r="P20" s="54">
        <v>2</v>
      </c>
      <c r="Q20" s="54">
        <v>4</v>
      </c>
      <c r="R20" s="54">
        <v>8</v>
      </c>
      <c r="S20" s="54">
        <v>2</v>
      </c>
      <c r="T20" s="54">
        <v>2</v>
      </c>
      <c r="U20" s="54">
        <v>5</v>
      </c>
      <c r="V20" s="54">
        <v>4</v>
      </c>
      <c r="W20" s="54">
        <v>3</v>
      </c>
      <c r="X20" s="54">
        <v>0</v>
      </c>
      <c r="Y20" s="54">
        <v>5</v>
      </c>
      <c r="Z20" s="54">
        <v>3</v>
      </c>
      <c r="AA20" s="54">
        <v>3</v>
      </c>
      <c r="AB20" s="54">
        <v>2</v>
      </c>
      <c r="AC20" s="54">
        <v>6</v>
      </c>
      <c r="AD20" s="54">
        <v>3</v>
      </c>
      <c r="AE20" s="54">
        <v>3</v>
      </c>
      <c r="AF20" s="54"/>
      <c r="AG20" s="5">
        <f t="shared" si="2"/>
        <v>89</v>
      </c>
    </row>
    <row r="21" spans="1:33" ht="15.75" customHeight="1" x14ac:dyDescent="0.25">
      <c r="A21" s="56" t="s">
        <v>19</v>
      </c>
      <c r="B21" s="54">
        <v>2</v>
      </c>
      <c r="C21" s="54">
        <v>0</v>
      </c>
      <c r="D21" s="54">
        <v>2</v>
      </c>
      <c r="E21" s="54">
        <v>3</v>
      </c>
      <c r="F21" s="54">
        <v>0</v>
      </c>
      <c r="G21" s="54">
        <v>1</v>
      </c>
      <c r="H21" s="54">
        <v>3</v>
      </c>
      <c r="I21" s="54">
        <v>2</v>
      </c>
      <c r="J21" s="54">
        <v>2</v>
      </c>
      <c r="K21" s="54">
        <v>1</v>
      </c>
      <c r="L21" s="54">
        <v>5</v>
      </c>
      <c r="M21" s="54">
        <v>6</v>
      </c>
      <c r="N21" s="54">
        <v>5</v>
      </c>
      <c r="O21" s="54">
        <v>1</v>
      </c>
      <c r="P21" s="54">
        <v>4</v>
      </c>
      <c r="Q21" s="54">
        <v>2</v>
      </c>
      <c r="R21" s="54">
        <v>2</v>
      </c>
      <c r="S21" s="54">
        <v>2</v>
      </c>
      <c r="T21" s="54">
        <v>0</v>
      </c>
      <c r="U21" s="54">
        <v>0</v>
      </c>
      <c r="V21" s="54">
        <v>1</v>
      </c>
      <c r="W21" s="54">
        <v>1</v>
      </c>
      <c r="X21" s="54">
        <v>3</v>
      </c>
      <c r="Y21" s="54">
        <v>1</v>
      </c>
      <c r="Z21" s="54">
        <v>5</v>
      </c>
      <c r="AA21" s="54">
        <v>2</v>
      </c>
      <c r="AB21" s="54">
        <v>1</v>
      </c>
      <c r="AC21" s="54">
        <v>0</v>
      </c>
      <c r="AD21" s="54">
        <v>4</v>
      </c>
      <c r="AE21" s="54">
        <v>2</v>
      </c>
      <c r="AF21" s="54"/>
      <c r="AG21" s="5">
        <f t="shared" si="2"/>
        <v>63</v>
      </c>
    </row>
    <row r="22" spans="1:33" ht="15.75" customHeight="1" x14ac:dyDescent="0.25">
      <c r="A22" s="56" t="s">
        <v>20</v>
      </c>
      <c r="B22" s="54">
        <v>1</v>
      </c>
      <c r="C22" s="54">
        <v>3</v>
      </c>
      <c r="D22" s="54">
        <v>4</v>
      </c>
      <c r="E22" s="54">
        <v>1</v>
      </c>
      <c r="F22" s="54">
        <v>0</v>
      </c>
      <c r="G22" s="54">
        <v>1</v>
      </c>
      <c r="H22" s="54">
        <v>4</v>
      </c>
      <c r="I22" s="54">
        <v>1</v>
      </c>
      <c r="J22" s="54">
        <v>1</v>
      </c>
      <c r="K22" s="54">
        <v>2</v>
      </c>
      <c r="L22" s="54">
        <v>2</v>
      </c>
      <c r="M22" s="54">
        <v>0</v>
      </c>
      <c r="N22" s="54">
        <v>0</v>
      </c>
      <c r="O22" s="54">
        <v>1</v>
      </c>
      <c r="P22" s="54">
        <v>3</v>
      </c>
      <c r="Q22" s="54">
        <v>2</v>
      </c>
      <c r="R22" s="54">
        <v>2</v>
      </c>
      <c r="S22" s="54">
        <v>2</v>
      </c>
      <c r="T22" s="54">
        <v>4</v>
      </c>
      <c r="U22" s="54">
        <v>2</v>
      </c>
      <c r="V22" s="54">
        <v>1</v>
      </c>
      <c r="W22" s="54">
        <v>1</v>
      </c>
      <c r="X22" s="54">
        <v>1</v>
      </c>
      <c r="Y22" s="54">
        <v>3</v>
      </c>
      <c r="Z22" s="54">
        <v>4</v>
      </c>
      <c r="AA22" s="54">
        <v>1</v>
      </c>
      <c r="AB22" s="54">
        <v>1</v>
      </c>
      <c r="AC22" s="54">
        <v>3</v>
      </c>
      <c r="AD22" s="54">
        <v>0</v>
      </c>
      <c r="AE22" s="54">
        <v>2</v>
      </c>
      <c r="AF22" s="54"/>
      <c r="AG22" s="5">
        <f t="shared" si="2"/>
        <v>53</v>
      </c>
    </row>
    <row r="23" spans="1:33" ht="15.75" customHeight="1" x14ac:dyDescent="0.25">
      <c r="A23" s="56" t="s">
        <v>21</v>
      </c>
      <c r="B23" s="54">
        <v>1</v>
      </c>
      <c r="C23" s="54">
        <v>1</v>
      </c>
      <c r="D23" s="54">
        <v>3</v>
      </c>
      <c r="E23" s="54">
        <v>0</v>
      </c>
      <c r="F23" s="54">
        <v>2</v>
      </c>
      <c r="G23" s="54">
        <v>1</v>
      </c>
      <c r="H23" s="54">
        <v>1</v>
      </c>
      <c r="I23" s="54">
        <v>0</v>
      </c>
      <c r="J23" s="54">
        <v>0</v>
      </c>
      <c r="K23" s="54">
        <v>0</v>
      </c>
      <c r="L23" s="54">
        <v>0</v>
      </c>
      <c r="M23" s="54">
        <v>2</v>
      </c>
      <c r="N23" s="54">
        <v>0</v>
      </c>
      <c r="O23" s="54">
        <v>5</v>
      </c>
      <c r="P23" s="54">
        <v>4</v>
      </c>
      <c r="Q23" s="54">
        <v>2</v>
      </c>
      <c r="R23" s="54">
        <v>1</v>
      </c>
      <c r="S23" s="54">
        <v>0</v>
      </c>
      <c r="T23" s="54">
        <v>1</v>
      </c>
      <c r="U23" s="54">
        <v>1</v>
      </c>
      <c r="V23" s="54">
        <v>0</v>
      </c>
      <c r="W23" s="54">
        <v>0</v>
      </c>
      <c r="X23" s="54">
        <v>1</v>
      </c>
      <c r="Y23" s="54">
        <v>3</v>
      </c>
      <c r="Z23" s="54">
        <v>1</v>
      </c>
      <c r="AA23" s="54">
        <v>2</v>
      </c>
      <c r="AB23" s="54">
        <v>0</v>
      </c>
      <c r="AC23" s="54">
        <v>2</v>
      </c>
      <c r="AD23" s="54">
        <v>1</v>
      </c>
      <c r="AE23" s="54">
        <v>0</v>
      </c>
      <c r="AF23" s="54"/>
      <c r="AG23" s="5">
        <f t="shared" si="2"/>
        <v>35</v>
      </c>
    </row>
    <row r="24" spans="1:33" ht="15.75" customHeight="1" x14ac:dyDescent="0.25">
      <c r="A24" s="56" t="s">
        <v>22</v>
      </c>
      <c r="B24" s="54">
        <v>0</v>
      </c>
      <c r="C24" s="54">
        <v>2</v>
      </c>
      <c r="D24" s="54">
        <v>0</v>
      </c>
      <c r="E24" s="54">
        <v>2</v>
      </c>
      <c r="F24" s="54">
        <v>0</v>
      </c>
      <c r="G24" s="54">
        <v>0</v>
      </c>
      <c r="H24" s="54">
        <v>1</v>
      </c>
      <c r="I24" s="54">
        <v>4</v>
      </c>
      <c r="J24" s="54">
        <v>0</v>
      </c>
      <c r="K24" s="54">
        <v>1</v>
      </c>
      <c r="L24" s="54">
        <v>3</v>
      </c>
      <c r="M24" s="54">
        <v>2</v>
      </c>
      <c r="N24" s="54">
        <v>0</v>
      </c>
      <c r="O24" s="54">
        <v>1</v>
      </c>
      <c r="P24" s="54">
        <v>2</v>
      </c>
      <c r="Q24" s="54">
        <v>2</v>
      </c>
      <c r="R24" s="54">
        <v>0</v>
      </c>
      <c r="S24" s="54">
        <v>1</v>
      </c>
      <c r="T24" s="54">
        <v>2</v>
      </c>
      <c r="U24" s="54">
        <v>2</v>
      </c>
      <c r="V24" s="54">
        <v>0</v>
      </c>
      <c r="W24" s="54">
        <v>0</v>
      </c>
      <c r="X24" s="54">
        <v>1</v>
      </c>
      <c r="Y24" s="54">
        <v>0</v>
      </c>
      <c r="Z24" s="54">
        <v>1</v>
      </c>
      <c r="AA24" s="54">
        <v>1</v>
      </c>
      <c r="AB24" s="54">
        <v>0</v>
      </c>
      <c r="AC24" s="54">
        <v>0</v>
      </c>
      <c r="AD24" s="54">
        <v>0</v>
      </c>
      <c r="AE24" s="54">
        <v>3</v>
      </c>
      <c r="AF24" s="54"/>
      <c r="AG24" s="5">
        <f t="shared" si="2"/>
        <v>31</v>
      </c>
    </row>
    <row r="25" spans="1:33" ht="15.75" customHeight="1" x14ac:dyDescent="0.25">
      <c r="A25" s="56" t="s">
        <v>23</v>
      </c>
      <c r="B25" s="54">
        <v>1</v>
      </c>
      <c r="C25" s="54">
        <v>0</v>
      </c>
      <c r="D25" s="54">
        <v>0</v>
      </c>
      <c r="E25" s="54">
        <v>1</v>
      </c>
      <c r="F25" s="54">
        <v>1</v>
      </c>
      <c r="G25" s="54">
        <v>1</v>
      </c>
      <c r="H25" s="54">
        <v>0</v>
      </c>
      <c r="I25" s="54">
        <v>1</v>
      </c>
      <c r="J25" s="54">
        <v>0</v>
      </c>
      <c r="K25" s="54">
        <v>2</v>
      </c>
      <c r="L25" s="54">
        <v>0</v>
      </c>
      <c r="M25" s="54">
        <v>0</v>
      </c>
      <c r="N25" s="54">
        <v>2</v>
      </c>
      <c r="O25" s="54">
        <v>0</v>
      </c>
      <c r="P25" s="54">
        <v>1</v>
      </c>
      <c r="Q25" s="54">
        <v>3</v>
      </c>
      <c r="R25" s="54">
        <v>0</v>
      </c>
      <c r="S25" s="54">
        <v>0</v>
      </c>
      <c r="T25" s="54">
        <v>1</v>
      </c>
      <c r="U25" s="54">
        <v>0</v>
      </c>
      <c r="V25" s="54">
        <v>1</v>
      </c>
      <c r="W25" s="54">
        <v>2</v>
      </c>
      <c r="X25" s="54">
        <v>1</v>
      </c>
      <c r="Y25" s="54">
        <v>0</v>
      </c>
      <c r="Z25" s="54">
        <v>0</v>
      </c>
      <c r="AA25" s="54">
        <v>1</v>
      </c>
      <c r="AB25" s="54">
        <v>2</v>
      </c>
      <c r="AC25" s="54">
        <v>2</v>
      </c>
      <c r="AD25" s="54">
        <v>0</v>
      </c>
      <c r="AE25" s="54">
        <v>1</v>
      </c>
      <c r="AF25" s="54"/>
      <c r="AG25" s="5">
        <f t="shared" si="2"/>
        <v>24</v>
      </c>
    </row>
    <row r="26" spans="1:33" ht="15.75" customHeight="1" x14ac:dyDescent="0.25">
      <c r="A26" s="56" t="s">
        <v>24</v>
      </c>
      <c r="B26" s="54">
        <v>0</v>
      </c>
      <c r="C26" s="54">
        <v>0</v>
      </c>
      <c r="D26" s="54">
        <v>1</v>
      </c>
      <c r="E26" s="54">
        <v>2</v>
      </c>
      <c r="F26" s="54">
        <v>0</v>
      </c>
      <c r="G26" s="54">
        <v>0</v>
      </c>
      <c r="H26" s="54">
        <v>0</v>
      </c>
      <c r="I26" s="54">
        <v>0</v>
      </c>
      <c r="J26" s="54">
        <v>1</v>
      </c>
      <c r="K26" s="54">
        <v>0</v>
      </c>
      <c r="L26" s="54">
        <v>1</v>
      </c>
      <c r="M26" s="54">
        <v>2</v>
      </c>
      <c r="N26" s="54">
        <v>1</v>
      </c>
      <c r="O26" s="54">
        <v>3</v>
      </c>
      <c r="P26" s="54">
        <v>2</v>
      </c>
      <c r="Q26" s="54">
        <v>1</v>
      </c>
      <c r="R26" s="54">
        <v>2</v>
      </c>
      <c r="S26" s="54">
        <v>0</v>
      </c>
      <c r="T26" s="54">
        <v>1</v>
      </c>
      <c r="U26" s="54">
        <v>0</v>
      </c>
      <c r="V26" s="54">
        <v>0</v>
      </c>
      <c r="W26" s="54">
        <v>0</v>
      </c>
      <c r="X26" s="54">
        <v>3</v>
      </c>
      <c r="Y26" s="54">
        <v>1</v>
      </c>
      <c r="Z26" s="54">
        <v>0</v>
      </c>
      <c r="AA26" s="54">
        <v>2</v>
      </c>
      <c r="AB26" s="54">
        <v>1</v>
      </c>
      <c r="AC26" s="54">
        <v>2</v>
      </c>
      <c r="AD26" s="54">
        <v>2</v>
      </c>
      <c r="AE26" s="54">
        <v>0</v>
      </c>
      <c r="AF26" s="54"/>
      <c r="AG26" s="5">
        <f t="shared" si="2"/>
        <v>28</v>
      </c>
    </row>
    <row r="27" spans="1:33" ht="15.75" customHeight="1" thickBot="1" x14ac:dyDescent="0.3">
      <c r="A27" s="57" t="s">
        <v>25</v>
      </c>
      <c r="B27" s="58">
        <v>0</v>
      </c>
      <c r="C27" s="58">
        <v>0</v>
      </c>
      <c r="D27" s="58">
        <v>0</v>
      </c>
      <c r="E27" s="58">
        <v>0</v>
      </c>
      <c r="F27" s="58">
        <v>0</v>
      </c>
      <c r="G27" s="58">
        <v>1</v>
      </c>
      <c r="H27" s="58">
        <v>0</v>
      </c>
      <c r="I27" s="58">
        <v>0</v>
      </c>
      <c r="J27" s="58">
        <v>0</v>
      </c>
      <c r="K27" s="58">
        <v>0</v>
      </c>
      <c r="L27" s="58">
        <v>0</v>
      </c>
      <c r="M27" s="58">
        <v>0</v>
      </c>
      <c r="N27" s="58">
        <v>1</v>
      </c>
      <c r="O27" s="58">
        <v>1</v>
      </c>
      <c r="P27" s="58">
        <v>0</v>
      </c>
      <c r="Q27" s="58">
        <v>0</v>
      </c>
      <c r="R27" s="58">
        <v>0</v>
      </c>
      <c r="S27" s="58">
        <v>4</v>
      </c>
      <c r="T27" s="58">
        <v>3</v>
      </c>
      <c r="U27" s="58">
        <v>1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B27" s="58">
        <v>0</v>
      </c>
      <c r="AC27" s="58">
        <v>4</v>
      </c>
      <c r="AD27" s="58">
        <v>0</v>
      </c>
      <c r="AE27" s="58">
        <v>0</v>
      </c>
      <c r="AF27" s="58"/>
      <c r="AG27" s="5">
        <f t="shared" si="2"/>
        <v>15</v>
      </c>
    </row>
    <row r="28" spans="1:33" ht="15.75" customHeight="1" x14ac:dyDescent="0.25">
      <c r="A28" s="59" t="s">
        <v>26</v>
      </c>
      <c r="B28" s="6">
        <f t="shared" ref="B28:AF28" si="3">SUM(B29:B52)</f>
        <v>125</v>
      </c>
      <c r="C28" s="6">
        <f t="shared" si="3"/>
        <v>114</v>
      </c>
      <c r="D28" s="6">
        <f t="shared" si="3"/>
        <v>119</v>
      </c>
      <c r="E28" s="6">
        <f t="shared" si="3"/>
        <v>116</v>
      </c>
      <c r="F28" s="6">
        <f t="shared" si="3"/>
        <v>108</v>
      </c>
      <c r="G28" s="6">
        <f t="shared" si="3"/>
        <v>149</v>
      </c>
      <c r="H28" s="6">
        <f t="shared" si="3"/>
        <v>144</v>
      </c>
      <c r="I28" s="6">
        <f t="shared" si="3"/>
        <v>125</v>
      </c>
      <c r="J28" s="6">
        <f t="shared" si="3"/>
        <v>119</v>
      </c>
      <c r="K28" s="6">
        <f t="shared" si="3"/>
        <v>112</v>
      </c>
      <c r="L28" s="6">
        <f t="shared" si="3"/>
        <v>109</v>
      </c>
      <c r="M28" s="6">
        <f t="shared" si="3"/>
        <v>126</v>
      </c>
      <c r="N28" s="6">
        <f t="shared" si="3"/>
        <v>171</v>
      </c>
      <c r="O28" s="6">
        <f t="shared" si="3"/>
        <v>174</v>
      </c>
      <c r="P28" s="6">
        <f t="shared" si="3"/>
        <v>122</v>
      </c>
      <c r="Q28" s="6">
        <f t="shared" si="3"/>
        <v>127</v>
      </c>
      <c r="R28" s="6">
        <f t="shared" si="3"/>
        <v>122</v>
      </c>
      <c r="S28" s="6">
        <f t="shared" si="3"/>
        <v>127</v>
      </c>
      <c r="T28" s="6">
        <f t="shared" si="3"/>
        <v>151</v>
      </c>
      <c r="U28" s="6">
        <f t="shared" si="3"/>
        <v>161</v>
      </c>
      <c r="V28" s="6">
        <f t="shared" si="3"/>
        <v>158</v>
      </c>
      <c r="W28" s="6">
        <f t="shared" si="3"/>
        <v>141</v>
      </c>
      <c r="X28" s="6">
        <f t="shared" si="3"/>
        <v>138</v>
      </c>
      <c r="Y28" s="6">
        <f t="shared" si="3"/>
        <v>128</v>
      </c>
      <c r="Z28" s="6">
        <f t="shared" si="3"/>
        <v>137</v>
      </c>
      <c r="AA28" s="6">
        <f t="shared" si="3"/>
        <v>123</v>
      </c>
      <c r="AB28" s="6">
        <f t="shared" si="3"/>
        <v>181</v>
      </c>
      <c r="AC28" s="6">
        <f t="shared" si="3"/>
        <v>173</v>
      </c>
      <c r="AD28" s="6">
        <f t="shared" si="3"/>
        <v>125</v>
      </c>
      <c r="AE28" s="6">
        <f t="shared" si="3"/>
        <v>133</v>
      </c>
      <c r="AF28" s="6">
        <f t="shared" si="3"/>
        <v>0</v>
      </c>
      <c r="AG28" s="7">
        <f t="shared" si="2"/>
        <v>4058</v>
      </c>
    </row>
    <row r="29" spans="1:33" ht="15.75" customHeight="1" x14ac:dyDescent="0.25">
      <c r="A29" s="53" t="s">
        <v>2</v>
      </c>
      <c r="B29" s="54">
        <v>0</v>
      </c>
      <c r="C29" s="55">
        <v>0</v>
      </c>
      <c r="D29" s="55">
        <v>0</v>
      </c>
      <c r="E29" s="55">
        <v>0</v>
      </c>
      <c r="F29" s="55">
        <v>0</v>
      </c>
      <c r="G29" s="55">
        <v>8</v>
      </c>
      <c r="H29" s="55">
        <v>3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5">
        <v>4</v>
      </c>
      <c r="O29" s="55">
        <v>3</v>
      </c>
      <c r="P29" s="55">
        <v>0</v>
      </c>
      <c r="Q29" s="55">
        <v>0</v>
      </c>
      <c r="R29" s="55">
        <v>0</v>
      </c>
      <c r="S29" s="55">
        <v>6</v>
      </c>
      <c r="T29" s="55">
        <v>0</v>
      </c>
      <c r="U29" s="55">
        <v>4</v>
      </c>
      <c r="V29" s="55">
        <v>1</v>
      </c>
      <c r="W29" s="55">
        <v>0</v>
      </c>
      <c r="X29" s="55">
        <v>0</v>
      </c>
      <c r="Y29" s="55">
        <v>0</v>
      </c>
      <c r="Z29" s="55">
        <v>0</v>
      </c>
      <c r="AA29" s="55">
        <v>0</v>
      </c>
      <c r="AB29" s="55">
        <v>4</v>
      </c>
      <c r="AC29" s="55">
        <v>2</v>
      </c>
      <c r="AD29" s="54">
        <v>0</v>
      </c>
      <c r="AE29" s="54">
        <v>0</v>
      </c>
      <c r="AF29" s="54"/>
      <c r="AG29" s="5">
        <f t="shared" si="2"/>
        <v>35</v>
      </c>
    </row>
    <row r="30" spans="1:33" ht="15.75" customHeight="1" x14ac:dyDescent="0.25">
      <c r="A30" s="56" t="s">
        <v>3</v>
      </c>
      <c r="B30" s="54">
        <v>0</v>
      </c>
      <c r="C30" s="54">
        <v>0</v>
      </c>
      <c r="D30" s="54">
        <v>0</v>
      </c>
      <c r="E30" s="54">
        <v>0</v>
      </c>
      <c r="F30" s="54">
        <v>0</v>
      </c>
      <c r="G30" s="54">
        <v>5</v>
      </c>
      <c r="H30" s="54">
        <v>8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6</v>
      </c>
      <c r="O30" s="54">
        <v>2</v>
      </c>
      <c r="P30" s="54">
        <v>0</v>
      </c>
      <c r="Q30" s="54">
        <v>0</v>
      </c>
      <c r="R30" s="54">
        <v>0</v>
      </c>
      <c r="S30" s="54">
        <v>6</v>
      </c>
      <c r="T30" s="54">
        <v>1</v>
      </c>
      <c r="U30" s="54">
        <v>4</v>
      </c>
      <c r="V30" s="54">
        <v>6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7</v>
      </c>
      <c r="AC30" s="54">
        <v>8</v>
      </c>
      <c r="AD30" s="54">
        <v>0</v>
      </c>
      <c r="AE30" s="54">
        <v>0</v>
      </c>
      <c r="AF30" s="54"/>
      <c r="AG30" s="5">
        <f t="shared" si="2"/>
        <v>53</v>
      </c>
    </row>
    <row r="31" spans="1:33" ht="15.75" customHeight="1" x14ac:dyDescent="0.25">
      <c r="A31" s="56" t="s">
        <v>4</v>
      </c>
      <c r="B31" s="54">
        <v>0</v>
      </c>
      <c r="C31" s="54">
        <v>0</v>
      </c>
      <c r="D31" s="54">
        <v>0</v>
      </c>
      <c r="E31" s="54">
        <v>0</v>
      </c>
      <c r="F31" s="54">
        <v>0</v>
      </c>
      <c r="G31" s="54">
        <v>11</v>
      </c>
      <c r="H31" s="54">
        <v>9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14</v>
      </c>
      <c r="O31" s="54">
        <v>15</v>
      </c>
      <c r="P31" s="54">
        <v>0</v>
      </c>
      <c r="Q31" s="54">
        <v>0</v>
      </c>
      <c r="R31" s="54">
        <v>0</v>
      </c>
      <c r="S31" s="54">
        <v>7</v>
      </c>
      <c r="T31" s="54">
        <v>10</v>
      </c>
      <c r="U31" s="54">
        <v>10</v>
      </c>
      <c r="V31" s="54">
        <v>7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8</v>
      </c>
      <c r="AC31" s="54">
        <v>7</v>
      </c>
      <c r="AD31" s="54">
        <v>0</v>
      </c>
      <c r="AE31" s="54">
        <v>0</v>
      </c>
      <c r="AF31" s="54"/>
      <c r="AG31" s="5">
        <f t="shared" si="2"/>
        <v>98</v>
      </c>
    </row>
    <row r="32" spans="1:33" ht="15.75" customHeight="1" x14ac:dyDescent="0.25">
      <c r="A32" s="56" t="s">
        <v>5</v>
      </c>
      <c r="B32" s="54">
        <v>0</v>
      </c>
      <c r="C32" s="54">
        <v>0</v>
      </c>
      <c r="D32" s="54">
        <v>0</v>
      </c>
      <c r="E32" s="54">
        <v>0</v>
      </c>
      <c r="F32" s="54">
        <v>0</v>
      </c>
      <c r="G32" s="54">
        <v>17</v>
      </c>
      <c r="H32" s="54">
        <v>5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13</v>
      </c>
      <c r="O32" s="54">
        <v>11</v>
      </c>
      <c r="P32" s="54">
        <v>0</v>
      </c>
      <c r="Q32" s="54">
        <v>0</v>
      </c>
      <c r="R32" s="54">
        <v>0</v>
      </c>
      <c r="S32" s="54">
        <v>8</v>
      </c>
      <c r="T32" s="54">
        <v>11</v>
      </c>
      <c r="U32" s="54">
        <v>14</v>
      </c>
      <c r="V32" s="54">
        <v>7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11</v>
      </c>
      <c r="AC32" s="54">
        <v>8</v>
      </c>
      <c r="AD32" s="54">
        <v>0</v>
      </c>
      <c r="AE32" s="54">
        <v>0</v>
      </c>
      <c r="AF32" s="54"/>
      <c r="AG32" s="5">
        <f t="shared" si="2"/>
        <v>105</v>
      </c>
    </row>
    <row r="33" spans="1:33" ht="15.75" customHeight="1" x14ac:dyDescent="0.25">
      <c r="A33" s="56" t="s">
        <v>6</v>
      </c>
      <c r="B33" s="54">
        <v>0</v>
      </c>
      <c r="C33" s="54">
        <v>0</v>
      </c>
      <c r="D33" s="54">
        <v>0</v>
      </c>
      <c r="E33" s="54">
        <v>0</v>
      </c>
      <c r="F33" s="54">
        <v>0</v>
      </c>
      <c r="G33" s="54">
        <v>8</v>
      </c>
      <c r="H33" s="54">
        <v>13</v>
      </c>
      <c r="I33" s="54">
        <v>0</v>
      </c>
      <c r="J33" s="54">
        <v>0</v>
      </c>
      <c r="K33" s="54">
        <v>0</v>
      </c>
      <c r="L33" s="54">
        <v>0</v>
      </c>
      <c r="M33" s="54">
        <v>0</v>
      </c>
      <c r="N33" s="54">
        <v>10</v>
      </c>
      <c r="O33" s="54">
        <v>11</v>
      </c>
      <c r="P33" s="54">
        <v>0</v>
      </c>
      <c r="Q33" s="54">
        <v>0</v>
      </c>
      <c r="R33" s="54">
        <v>7</v>
      </c>
      <c r="S33" s="54">
        <v>12</v>
      </c>
      <c r="T33" s="54">
        <v>15</v>
      </c>
      <c r="U33" s="54">
        <v>12</v>
      </c>
      <c r="V33" s="54">
        <v>8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8</v>
      </c>
      <c r="AC33" s="54">
        <v>11</v>
      </c>
      <c r="AD33" s="54">
        <v>0</v>
      </c>
      <c r="AE33" s="54">
        <v>0</v>
      </c>
      <c r="AF33" s="54"/>
      <c r="AG33" s="5">
        <f t="shared" si="2"/>
        <v>115</v>
      </c>
    </row>
    <row r="34" spans="1:33" ht="15.75" customHeight="1" x14ac:dyDescent="0.25">
      <c r="A34" s="56" t="s">
        <v>7</v>
      </c>
      <c r="B34" s="54">
        <v>0</v>
      </c>
      <c r="C34" s="54">
        <v>0</v>
      </c>
      <c r="D34" s="54">
        <v>0</v>
      </c>
      <c r="E34" s="54">
        <v>0</v>
      </c>
      <c r="F34" s="54">
        <v>0</v>
      </c>
      <c r="G34" s="54">
        <v>6</v>
      </c>
      <c r="H34" s="54">
        <v>10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9</v>
      </c>
      <c r="O34" s="54">
        <v>10</v>
      </c>
      <c r="P34" s="54">
        <v>0</v>
      </c>
      <c r="Q34" s="54">
        <v>0</v>
      </c>
      <c r="R34" s="54">
        <v>7</v>
      </c>
      <c r="S34" s="54">
        <v>3</v>
      </c>
      <c r="T34" s="54">
        <v>7</v>
      </c>
      <c r="U34" s="54">
        <v>12</v>
      </c>
      <c r="V34" s="54">
        <v>6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7</v>
      </c>
      <c r="AC34" s="54">
        <v>9</v>
      </c>
      <c r="AD34" s="54">
        <v>0</v>
      </c>
      <c r="AE34" s="54">
        <v>0</v>
      </c>
      <c r="AF34" s="54"/>
      <c r="AG34" s="5">
        <f t="shared" si="2"/>
        <v>86</v>
      </c>
    </row>
    <row r="35" spans="1:33" ht="15.75" customHeight="1" x14ac:dyDescent="0.25">
      <c r="A35" s="56" t="s">
        <v>8</v>
      </c>
      <c r="B35" s="54">
        <v>0</v>
      </c>
      <c r="C35" s="54">
        <v>0</v>
      </c>
      <c r="D35" s="54">
        <v>0</v>
      </c>
      <c r="E35" s="54">
        <v>0</v>
      </c>
      <c r="F35" s="54">
        <v>0</v>
      </c>
      <c r="G35" s="54">
        <v>7</v>
      </c>
      <c r="H35" s="54">
        <v>9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12</v>
      </c>
      <c r="O35" s="54">
        <v>7</v>
      </c>
      <c r="P35" s="54">
        <v>0</v>
      </c>
      <c r="Q35" s="54">
        <v>0</v>
      </c>
      <c r="R35" s="54">
        <v>2</v>
      </c>
      <c r="S35" s="54">
        <v>9</v>
      </c>
      <c r="T35" s="54">
        <v>16</v>
      </c>
      <c r="U35" s="54">
        <v>8</v>
      </c>
      <c r="V35" s="54">
        <v>15</v>
      </c>
      <c r="W35" s="54">
        <v>0</v>
      </c>
      <c r="X35" s="54">
        <v>0</v>
      </c>
      <c r="Y35" s="54">
        <v>1</v>
      </c>
      <c r="Z35" s="54">
        <v>0</v>
      </c>
      <c r="AA35" s="54">
        <v>0</v>
      </c>
      <c r="AB35" s="54">
        <v>12</v>
      </c>
      <c r="AC35" s="54">
        <v>8</v>
      </c>
      <c r="AD35" s="54">
        <v>0</v>
      </c>
      <c r="AE35" s="54">
        <v>0</v>
      </c>
      <c r="AF35" s="54"/>
      <c r="AG35" s="5">
        <f t="shared" si="2"/>
        <v>106</v>
      </c>
    </row>
    <row r="36" spans="1:33" ht="15.75" customHeight="1" x14ac:dyDescent="0.25">
      <c r="A36" s="56" t="s">
        <v>9</v>
      </c>
      <c r="B36" s="54">
        <v>0</v>
      </c>
      <c r="C36" s="54">
        <v>0</v>
      </c>
      <c r="D36" s="54">
        <v>0</v>
      </c>
      <c r="E36" s="54">
        <v>0</v>
      </c>
      <c r="F36" s="54">
        <v>0</v>
      </c>
      <c r="G36" s="54">
        <v>11</v>
      </c>
      <c r="H36" s="54">
        <v>10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10</v>
      </c>
      <c r="O36" s="54">
        <v>10</v>
      </c>
      <c r="P36" s="54">
        <v>0</v>
      </c>
      <c r="Q36" s="54">
        <v>0</v>
      </c>
      <c r="R36" s="54">
        <v>4</v>
      </c>
      <c r="S36" s="54">
        <v>10</v>
      </c>
      <c r="T36" s="54">
        <v>4</v>
      </c>
      <c r="U36" s="54">
        <v>3</v>
      </c>
      <c r="V36" s="54">
        <v>7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8</v>
      </c>
      <c r="AC36" s="54">
        <v>9</v>
      </c>
      <c r="AD36" s="54">
        <v>0</v>
      </c>
      <c r="AE36" s="54">
        <v>0</v>
      </c>
      <c r="AF36" s="54"/>
      <c r="AG36" s="5">
        <f t="shared" si="2"/>
        <v>86</v>
      </c>
    </row>
    <row r="37" spans="1:33" ht="15.75" customHeight="1" x14ac:dyDescent="0.25">
      <c r="A37" s="56" t="s">
        <v>10</v>
      </c>
      <c r="B37" s="54">
        <v>0</v>
      </c>
      <c r="C37" s="54">
        <v>0</v>
      </c>
      <c r="D37" s="54">
        <v>0</v>
      </c>
      <c r="E37" s="54">
        <v>0</v>
      </c>
      <c r="F37" s="54">
        <v>6</v>
      </c>
      <c r="G37" s="54">
        <v>9</v>
      </c>
      <c r="H37" s="54">
        <v>11</v>
      </c>
      <c r="I37" s="54">
        <v>0</v>
      </c>
      <c r="J37" s="54">
        <v>0</v>
      </c>
      <c r="K37" s="54">
        <v>0</v>
      </c>
      <c r="L37" s="54">
        <v>0</v>
      </c>
      <c r="M37" s="54">
        <v>6</v>
      </c>
      <c r="N37" s="54">
        <v>10</v>
      </c>
      <c r="O37" s="54">
        <v>12</v>
      </c>
      <c r="P37" s="54">
        <v>0</v>
      </c>
      <c r="Q37" s="54">
        <v>0</v>
      </c>
      <c r="R37" s="54">
        <v>4</v>
      </c>
      <c r="S37" s="54">
        <v>8</v>
      </c>
      <c r="T37" s="54">
        <v>10</v>
      </c>
      <c r="U37" s="54">
        <v>12</v>
      </c>
      <c r="V37" s="54">
        <v>6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17</v>
      </c>
      <c r="AC37" s="54">
        <v>11</v>
      </c>
      <c r="AD37" s="54">
        <v>0</v>
      </c>
      <c r="AE37" s="54">
        <v>0</v>
      </c>
      <c r="AF37" s="54"/>
      <c r="AG37" s="5">
        <f t="shared" si="2"/>
        <v>122</v>
      </c>
    </row>
    <row r="38" spans="1:33" ht="15.75" customHeight="1" x14ac:dyDescent="0.25">
      <c r="A38" s="56" t="s">
        <v>11</v>
      </c>
      <c r="B38" s="54">
        <v>7</v>
      </c>
      <c r="C38" s="54">
        <v>4</v>
      </c>
      <c r="D38" s="54">
        <v>10</v>
      </c>
      <c r="E38" s="54">
        <v>6</v>
      </c>
      <c r="F38" s="54">
        <v>11</v>
      </c>
      <c r="G38" s="54">
        <v>10</v>
      </c>
      <c r="H38" s="54">
        <v>11</v>
      </c>
      <c r="I38" s="54">
        <v>12</v>
      </c>
      <c r="J38" s="54">
        <v>12</v>
      </c>
      <c r="K38" s="54">
        <v>11</v>
      </c>
      <c r="L38" s="54">
        <v>6</v>
      </c>
      <c r="M38" s="54">
        <v>10</v>
      </c>
      <c r="N38" s="54">
        <v>11</v>
      </c>
      <c r="O38" s="54">
        <v>11</v>
      </c>
      <c r="P38" s="54">
        <v>11</v>
      </c>
      <c r="Q38" s="54">
        <v>19</v>
      </c>
      <c r="R38" s="54">
        <v>16</v>
      </c>
      <c r="S38" s="54">
        <v>6</v>
      </c>
      <c r="T38" s="54">
        <v>11</v>
      </c>
      <c r="U38" s="54">
        <v>13</v>
      </c>
      <c r="V38" s="54">
        <v>17</v>
      </c>
      <c r="W38" s="54">
        <v>11</v>
      </c>
      <c r="X38" s="54">
        <v>10</v>
      </c>
      <c r="Y38" s="54">
        <v>8</v>
      </c>
      <c r="Z38" s="54">
        <v>9</v>
      </c>
      <c r="AA38" s="54">
        <v>6</v>
      </c>
      <c r="AB38" s="54">
        <v>11</v>
      </c>
      <c r="AC38" s="54">
        <v>14</v>
      </c>
      <c r="AD38" s="54">
        <v>10</v>
      </c>
      <c r="AE38" s="54">
        <v>9</v>
      </c>
      <c r="AF38" s="54"/>
      <c r="AG38" s="5">
        <f t="shared" si="2"/>
        <v>313</v>
      </c>
    </row>
    <row r="39" spans="1:33" ht="15.75" customHeight="1" x14ac:dyDescent="0.25">
      <c r="A39" s="56" t="s">
        <v>12</v>
      </c>
      <c r="B39" s="54">
        <v>21</v>
      </c>
      <c r="C39" s="54">
        <v>19</v>
      </c>
      <c r="D39" s="54">
        <v>16</v>
      </c>
      <c r="E39" s="54">
        <v>14</v>
      </c>
      <c r="F39" s="54">
        <v>20</v>
      </c>
      <c r="G39" s="54">
        <v>11</v>
      </c>
      <c r="H39" s="54">
        <v>14</v>
      </c>
      <c r="I39" s="54">
        <v>15</v>
      </c>
      <c r="J39" s="54">
        <v>19</v>
      </c>
      <c r="K39" s="54">
        <v>16</v>
      </c>
      <c r="L39" s="54">
        <v>18</v>
      </c>
      <c r="M39" s="54">
        <v>12</v>
      </c>
      <c r="N39" s="54">
        <v>11</v>
      </c>
      <c r="O39" s="54">
        <v>13</v>
      </c>
      <c r="P39" s="54">
        <v>16</v>
      </c>
      <c r="Q39" s="54">
        <v>19</v>
      </c>
      <c r="R39" s="54">
        <v>17</v>
      </c>
      <c r="S39" s="54">
        <v>10</v>
      </c>
      <c r="T39" s="54">
        <v>11</v>
      </c>
      <c r="U39" s="54">
        <v>9</v>
      </c>
      <c r="V39" s="54">
        <v>18</v>
      </c>
      <c r="W39" s="54">
        <v>15</v>
      </c>
      <c r="X39" s="54">
        <v>20</v>
      </c>
      <c r="Y39" s="54">
        <v>17</v>
      </c>
      <c r="Z39" s="54">
        <v>18</v>
      </c>
      <c r="AA39" s="54">
        <v>22</v>
      </c>
      <c r="AB39" s="54">
        <v>18</v>
      </c>
      <c r="AC39" s="54">
        <v>8</v>
      </c>
      <c r="AD39" s="54">
        <v>11</v>
      </c>
      <c r="AE39" s="54">
        <v>23</v>
      </c>
      <c r="AF39" s="54"/>
      <c r="AG39" s="5">
        <f t="shared" si="2"/>
        <v>471</v>
      </c>
    </row>
    <row r="40" spans="1:33" ht="15.75" customHeight="1" x14ac:dyDescent="0.25">
      <c r="A40" s="56" t="s">
        <v>13</v>
      </c>
      <c r="B40" s="54">
        <v>13</v>
      </c>
      <c r="C40" s="54">
        <v>18</v>
      </c>
      <c r="D40" s="54">
        <v>22</v>
      </c>
      <c r="E40" s="54">
        <v>17</v>
      </c>
      <c r="F40" s="54">
        <v>15</v>
      </c>
      <c r="G40" s="54">
        <v>5</v>
      </c>
      <c r="H40" s="54">
        <v>8</v>
      </c>
      <c r="I40" s="54">
        <v>20</v>
      </c>
      <c r="J40" s="54">
        <v>15</v>
      </c>
      <c r="K40" s="54">
        <v>14</v>
      </c>
      <c r="L40" s="54">
        <v>14</v>
      </c>
      <c r="M40" s="54">
        <v>18</v>
      </c>
      <c r="N40" s="54">
        <v>11</v>
      </c>
      <c r="O40" s="54">
        <v>15</v>
      </c>
      <c r="P40" s="54">
        <v>21</v>
      </c>
      <c r="Q40" s="54">
        <v>15</v>
      </c>
      <c r="R40" s="54">
        <v>16</v>
      </c>
      <c r="S40" s="54">
        <v>3</v>
      </c>
      <c r="T40" s="54">
        <v>12</v>
      </c>
      <c r="U40" s="54">
        <v>17</v>
      </c>
      <c r="V40" s="54">
        <v>11</v>
      </c>
      <c r="W40" s="54">
        <v>15</v>
      </c>
      <c r="X40" s="54">
        <v>16</v>
      </c>
      <c r="Y40" s="54">
        <v>16</v>
      </c>
      <c r="Z40" s="54">
        <v>20</v>
      </c>
      <c r="AA40" s="54">
        <v>17</v>
      </c>
      <c r="AB40" s="54">
        <v>5</v>
      </c>
      <c r="AC40" s="54">
        <v>9</v>
      </c>
      <c r="AD40" s="54">
        <v>20</v>
      </c>
      <c r="AE40" s="54">
        <v>22</v>
      </c>
      <c r="AF40" s="54"/>
      <c r="AG40" s="5">
        <f t="shared" si="2"/>
        <v>440</v>
      </c>
    </row>
    <row r="41" spans="1:33" ht="15.75" customHeight="1" x14ac:dyDescent="0.25">
      <c r="A41" s="56" t="s">
        <v>14</v>
      </c>
      <c r="B41" s="54">
        <v>17</v>
      </c>
      <c r="C41" s="54">
        <v>14</v>
      </c>
      <c r="D41" s="54">
        <v>22</v>
      </c>
      <c r="E41" s="54">
        <v>24</v>
      </c>
      <c r="F41" s="54">
        <v>20</v>
      </c>
      <c r="G41" s="54">
        <v>8</v>
      </c>
      <c r="H41" s="54">
        <v>5</v>
      </c>
      <c r="I41" s="54">
        <v>18</v>
      </c>
      <c r="J41" s="54">
        <v>22</v>
      </c>
      <c r="K41" s="54">
        <v>16</v>
      </c>
      <c r="L41" s="54">
        <v>19</v>
      </c>
      <c r="M41" s="54">
        <v>22</v>
      </c>
      <c r="N41" s="54">
        <v>14</v>
      </c>
      <c r="O41" s="54">
        <v>10</v>
      </c>
      <c r="P41" s="54">
        <v>12</v>
      </c>
      <c r="Q41" s="54">
        <v>15</v>
      </c>
      <c r="R41" s="54">
        <v>9</v>
      </c>
      <c r="S41" s="54">
        <v>8</v>
      </c>
      <c r="T41" s="54">
        <v>9</v>
      </c>
      <c r="U41" s="54">
        <v>7</v>
      </c>
      <c r="V41" s="54">
        <v>15</v>
      </c>
      <c r="W41" s="54">
        <v>20</v>
      </c>
      <c r="X41" s="54">
        <v>18</v>
      </c>
      <c r="Y41" s="54">
        <v>15</v>
      </c>
      <c r="Z41" s="54">
        <v>26</v>
      </c>
      <c r="AA41" s="54">
        <v>22</v>
      </c>
      <c r="AB41" s="54">
        <v>11</v>
      </c>
      <c r="AC41" s="54">
        <v>8</v>
      </c>
      <c r="AD41" s="54">
        <v>20</v>
      </c>
      <c r="AE41" s="54">
        <v>19</v>
      </c>
      <c r="AF41" s="54"/>
      <c r="AG41" s="5">
        <f t="shared" si="2"/>
        <v>465</v>
      </c>
    </row>
    <row r="42" spans="1:33" ht="15.75" customHeight="1" x14ac:dyDescent="0.25">
      <c r="A42" s="56" t="s">
        <v>15</v>
      </c>
      <c r="B42" s="54">
        <v>10</v>
      </c>
      <c r="C42" s="54">
        <v>12</v>
      </c>
      <c r="D42" s="54">
        <v>19</v>
      </c>
      <c r="E42" s="54">
        <v>14</v>
      </c>
      <c r="F42" s="54">
        <v>18</v>
      </c>
      <c r="G42" s="54">
        <v>13</v>
      </c>
      <c r="H42" s="54">
        <v>9</v>
      </c>
      <c r="I42" s="54">
        <v>10</v>
      </c>
      <c r="J42" s="54">
        <v>15</v>
      </c>
      <c r="K42" s="54">
        <v>17</v>
      </c>
      <c r="L42" s="54">
        <v>9</v>
      </c>
      <c r="M42" s="54">
        <v>14</v>
      </c>
      <c r="N42" s="54">
        <v>7</v>
      </c>
      <c r="O42" s="54">
        <v>12</v>
      </c>
      <c r="P42" s="54">
        <v>22</v>
      </c>
      <c r="Q42" s="54">
        <v>14</v>
      </c>
      <c r="R42" s="54">
        <v>9</v>
      </c>
      <c r="S42" s="54">
        <v>8</v>
      </c>
      <c r="T42" s="54">
        <v>11</v>
      </c>
      <c r="U42" s="54">
        <v>11</v>
      </c>
      <c r="V42" s="54">
        <v>9</v>
      </c>
      <c r="W42" s="54">
        <v>16</v>
      </c>
      <c r="X42" s="54">
        <v>16</v>
      </c>
      <c r="Y42" s="54">
        <v>21</v>
      </c>
      <c r="Z42" s="54">
        <v>12</v>
      </c>
      <c r="AA42" s="54">
        <v>20</v>
      </c>
      <c r="AB42" s="54">
        <v>9</v>
      </c>
      <c r="AC42" s="54">
        <v>12</v>
      </c>
      <c r="AD42" s="54">
        <v>16</v>
      </c>
      <c r="AE42" s="54">
        <v>17</v>
      </c>
      <c r="AF42" s="54"/>
      <c r="AG42" s="5">
        <f t="shared" si="2"/>
        <v>402</v>
      </c>
    </row>
    <row r="43" spans="1:33" ht="15.75" customHeight="1" x14ac:dyDescent="0.25">
      <c r="A43" s="56" t="s">
        <v>16</v>
      </c>
      <c r="B43" s="54">
        <v>14</v>
      </c>
      <c r="C43" s="54">
        <v>14</v>
      </c>
      <c r="D43" s="54">
        <v>8</v>
      </c>
      <c r="E43" s="54">
        <v>10</v>
      </c>
      <c r="F43" s="54">
        <v>10</v>
      </c>
      <c r="G43" s="54">
        <v>5</v>
      </c>
      <c r="H43" s="54">
        <v>5</v>
      </c>
      <c r="I43" s="54">
        <v>13</v>
      </c>
      <c r="J43" s="54">
        <v>18</v>
      </c>
      <c r="K43" s="54">
        <v>10</v>
      </c>
      <c r="L43" s="54">
        <v>9</v>
      </c>
      <c r="M43" s="54">
        <v>9</v>
      </c>
      <c r="N43" s="54">
        <v>5</v>
      </c>
      <c r="O43" s="54">
        <v>9</v>
      </c>
      <c r="P43" s="54">
        <v>12</v>
      </c>
      <c r="Q43" s="54">
        <v>12</v>
      </c>
      <c r="R43" s="54">
        <v>7</v>
      </c>
      <c r="S43" s="54">
        <v>9</v>
      </c>
      <c r="T43" s="54">
        <v>4</v>
      </c>
      <c r="U43" s="54">
        <v>5</v>
      </c>
      <c r="V43" s="54">
        <v>3</v>
      </c>
      <c r="W43" s="54">
        <v>14</v>
      </c>
      <c r="X43" s="54">
        <v>11</v>
      </c>
      <c r="Y43" s="54">
        <v>8</v>
      </c>
      <c r="Z43" s="54">
        <v>14</v>
      </c>
      <c r="AA43" s="54">
        <v>13</v>
      </c>
      <c r="AB43" s="54">
        <v>8</v>
      </c>
      <c r="AC43" s="54">
        <v>12</v>
      </c>
      <c r="AD43" s="54">
        <v>6</v>
      </c>
      <c r="AE43" s="54">
        <v>11</v>
      </c>
      <c r="AF43" s="54"/>
      <c r="AG43" s="5">
        <f t="shared" si="2"/>
        <v>288</v>
      </c>
    </row>
    <row r="44" spans="1:33" ht="15.75" customHeight="1" x14ac:dyDescent="0.25">
      <c r="A44" s="56" t="s">
        <v>17</v>
      </c>
      <c r="B44" s="54">
        <v>5</v>
      </c>
      <c r="C44" s="54">
        <v>13</v>
      </c>
      <c r="D44" s="54">
        <v>8</v>
      </c>
      <c r="E44" s="54">
        <v>13</v>
      </c>
      <c r="F44" s="54">
        <v>2</v>
      </c>
      <c r="G44" s="54">
        <v>7</v>
      </c>
      <c r="H44" s="54">
        <v>5</v>
      </c>
      <c r="I44" s="54">
        <v>8</v>
      </c>
      <c r="J44" s="54">
        <v>10</v>
      </c>
      <c r="K44" s="54">
        <v>8</v>
      </c>
      <c r="L44" s="54">
        <v>7</v>
      </c>
      <c r="M44" s="54">
        <v>12</v>
      </c>
      <c r="N44" s="54">
        <v>9</v>
      </c>
      <c r="O44" s="54">
        <v>6</v>
      </c>
      <c r="P44" s="54">
        <v>9</v>
      </c>
      <c r="Q44" s="54">
        <v>8</v>
      </c>
      <c r="R44" s="54">
        <v>5</v>
      </c>
      <c r="S44" s="54">
        <v>5</v>
      </c>
      <c r="T44" s="54">
        <v>1</v>
      </c>
      <c r="U44" s="54">
        <v>7</v>
      </c>
      <c r="V44" s="54">
        <v>7</v>
      </c>
      <c r="W44" s="54">
        <v>10</v>
      </c>
      <c r="X44" s="54">
        <v>8</v>
      </c>
      <c r="Y44" s="54">
        <v>2</v>
      </c>
      <c r="Z44" s="54">
        <v>1</v>
      </c>
      <c r="AA44" s="54">
        <v>4</v>
      </c>
      <c r="AB44" s="54">
        <v>7</v>
      </c>
      <c r="AC44" s="54">
        <v>5</v>
      </c>
      <c r="AD44" s="54">
        <v>9</v>
      </c>
      <c r="AE44" s="54">
        <v>7</v>
      </c>
      <c r="AF44" s="54"/>
      <c r="AG44" s="5">
        <f t="shared" si="2"/>
        <v>208</v>
      </c>
    </row>
    <row r="45" spans="1:33" ht="15.75" customHeight="1" x14ac:dyDescent="0.25">
      <c r="A45" s="56" t="s">
        <v>18</v>
      </c>
      <c r="B45" s="54">
        <v>11</v>
      </c>
      <c r="C45" s="54">
        <v>7</v>
      </c>
      <c r="D45" s="54">
        <v>1</v>
      </c>
      <c r="E45" s="54">
        <v>8</v>
      </c>
      <c r="F45" s="54">
        <v>2</v>
      </c>
      <c r="G45" s="54">
        <v>1</v>
      </c>
      <c r="H45" s="54">
        <v>0</v>
      </c>
      <c r="I45" s="54">
        <v>12</v>
      </c>
      <c r="J45" s="54">
        <v>1</v>
      </c>
      <c r="K45" s="54">
        <v>11</v>
      </c>
      <c r="L45" s="54">
        <v>4</v>
      </c>
      <c r="M45" s="54">
        <v>7</v>
      </c>
      <c r="N45" s="54">
        <v>2</v>
      </c>
      <c r="O45" s="54">
        <v>5</v>
      </c>
      <c r="P45" s="54">
        <v>3</v>
      </c>
      <c r="Q45" s="54">
        <v>11</v>
      </c>
      <c r="R45" s="54">
        <v>2</v>
      </c>
      <c r="S45" s="54">
        <v>0</v>
      </c>
      <c r="T45" s="54">
        <v>2</v>
      </c>
      <c r="U45" s="54">
        <v>5</v>
      </c>
      <c r="V45" s="54">
        <v>9</v>
      </c>
      <c r="W45" s="54">
        <v>11</v>
      </c>
      <c r="X45" s="54">
        <v>9</v>
      </c>
      <c r="Y45" s="54">
        <v>13</v>
      </c>
      <c r="Z45" s="54">
        <v>5</v>
      </c>
      <c r="AA45" s="54">
        <v>8</v>
      </c>
      <c r="AB45" s="54">
        <v>8</v>
      </c>
      <c r="AC45" s="54">
        <v>7</v>
      </c>
      <c r="AD45" s="54">
        <v>7</v>
      </c>
      <c r="AE45" s="54">
        <v>7</v>
      </c>
      <c r="AF45" s="54"/>
      <c r="AG45" s="5">
        <f t="shared" si="2"/>
        <v>179</v>
      </c>
    </row>
    <row r="46" spans="1:33" ht="15.75" customHeight="1" x14ac:dyDescent="0.25">
      <c r="A46" s="56" t="s">
        <v>19</v>
      </c>
      <c r="B46" s="54">
        <v>13</v>
      </c>
      <c r="C46" s="54">
        <v>4</v>
      </c>
      <c r="D46" s="54">
        <v>4</v>
      </c>
      <c r="E46" s="54">
        <v>3</v>
      </c>
      <c r="F46" s="54">
        <v>1</v>
      </c>
      <c r="G46" s="54">
        <v>3</v>
      </c>
      <c r="H46" s="54">
        <v>1</v>
      </c>
      <c r="I46" s="54">
        <v>7</v>
      </c>
      <c r="J46" s="54">
        <v>0</v>
      </c>
      <c r="K46" s="54">
        <v>4</v>
      </c>
      <c r="L46" s="54">
        <v>7</v>
      </c>
      <c r="M46" s="54">
        <v>2</v>
      </c>
      <c r="N46" s="54">
        <v>1</v>
      </c>
      <c r="O46" s="54">
        <v>2</v>
      </c>
      <c r="P46" s="54">
        <v>3</v>
      </c>
      <c r="Q46" s="54">
        <v>3</v>
      </c>
      <c r="R46" s="54">
        <v>5</v>
      </c>
      <c r="S46" s="54">
        <v>4</v>
      </c>
      <c r="T46" s="54">
        <v>1</v>
      </c>
      <c r="U46" s="54">
        <v>4</v>
      </c>
      <c r="V46" s="54">
        <v>3</v>
      </c>
      <c r="W46" s="54">
        <v>10</v>
      </c>
      <c r="X46" s="54">
        <v>8</v>
      </c>
      <c r="Y46" s="54">
        <v>13</v>
      </c>
      <c r="Z46" s="54">
        <v>10</v>
      </c>
      <c r="AA46" s="54">
        <v>1</v>
      </c>
      <c r="AB46" s="54">
        <v>9</v>
      </c>
      <c r="AC46" s="54">
        <v>8</v>
      </c>
      <c r="AD46" s="54">
        <v>11</v>
      </c>
      <c r="AE46" s="54">
        <v>7</v>
      </c>
      <c r="AF46" s="54"/>
      <c r="AG46" s="5">
        <f t="shared" si="2"/>
        <v>152</v>
      </c>
    </row>
    <row r="47" spans="1:33" ht="15.75" customHeight="1" x14ac:dyDescent="0.25">
      <c r="A47" s="56" t="s">
        <v>20</v>
      </c>
      <c r="B47" s="54">
        <v>12</v>
      </c>
      <c r="C47" s="54">
        <v>2</v>
      </c>
      <c r="D47" s="54">
        <v>3</v>
      </c>
      <c r="E47" s="54">
        <v>1</v>
      </c>
      <c r="F47" s="54">
        <v>0</v>
      </c>
      <c r="G47" s="54">
        <v>0</v>
      </c>
      <c r="H47" s="54">
        <v>4</v>
      </c>
      <c r="I47" s="54">
        <v>5</v>
      </c>
      <c r="J47" s="54">
        <v>4</v>
      </c>
      <c r="K47" s="54">
        <v>2</v>
      </c>
      <c r="L47" s="54">
        <v>5</v>
      </c>
      <c r="M47" s="54">
        <v>5</v>
      </c>
      <c r="N47" s="54">
        <v>7</v>
      </c>
      <c r="O47" s="54">
        <v>1</v>
      </c>
      <c r="P47" s="54">
        <v>3</v>
      </c>
      <c r="Q47" s="54">
        <v>2</v>
      </c>
      <c r="R47" s="54">
        <v>6</v>
      </c>
      <c r="S47" s="54">
        <v>2</v>
      </c>
      <c r="T47" s="54">
        <v>1</v>
      </c>
      <c r="U47" s="54">
        <v>1</v>
      </c>
      <c r="V47" s="54">
        <v>1</v>
      </c>
      <c r="W47" s="54">
        <v>6</v>
      </c>
      <c r="X47" s="54">
        <v>10</v>
      </c>
      <c r="Y47" s="54">
        <v>3</v>
      </c>
      <c r="Z47" s="54">
        <v>16</v>
      </c>
      <c r="AA47" s="54">
        <v>0</v>
      </c>
      <c r="AB47" s="54">
        <v>4</v>
      </c>
      <c r="AC47" s="54">
        <v>3</v>
      </c>
      <c r="AD47" s="54">
        <v>11</v>
      </c>
      <c r="AE47" s="54">
        <v>3</v>
      </c>
      <c r="AF47" s="54"/>
      <c r="AG47" s="5">
        <f t="shared" si="2"/>
        <v>123</v>
      </c>
    </row>
    <row r="48" spans="1:33" ht="15.75" customHeight="1" x14ac:dyDescent="0.25">
      <c r="A48" s="56" t="s">
        <v>21</v>
      </c>
      <c r="B48" s="54">
        <v>1</v>
      </c>
      <c r="C48" s="54">
        <v>3</v>
      </c>
      <c r="D48" s="54">
        <v>5</v>
      </c>
      <c r="E48" s="54">
        <v>1</v>
      </c>
      <c r="F48" s="54">
        <v>1</v>
      </c>
      <c r="G48" s="54">
        <v>2</v>
      </c>
      <c r="H48" s="54">
        <v>3</v>
      </c>
      <c r="I48" s="54">
        <v>0</v>
      </c>
      <c r="J48" s="54">
        <v>2</v>
      </c>
      <c r="K48" s="54">
        <v>0</v>
      </c>
      <c r="L48" s="54">
        <v>3</v>
      </c>
      <c r="M48" s="54">
        <v>3</v>
      </c>
      <c r="N48" s="54">
        <v>1</v>
      </c>
      <c r="O48" s="54">
        <v>3</v>
      </c>
      <c r="P48" s="54">
        <v>3</v>
      </c>
      <c r="Q48" s="54">
        <v>3</v>
      </c>
      <c r="R48" s="54">
        <v>2</v>
      </c>
      <c r="S48" s="54">
        <v>0</v>
      </c>
      <c r="T48" s="54">
        <v>4</v>
      </c>
      <c r="U48" s="54">
        <v>0</v>
      </c>
      <c r="V48" s="54">
        <v>1</v>
      </c>
      <c r="W48" s="54">
        <v>9</v>
      </c>
      <c r="X48" s="54">
        <v>3</v>
      </c>
      <c r="Y48" s="54">
        <v>7</v>
      </c>
      <c r="Z48" s="54">
        <v>5</v>
      </c>
      <c r="AA48" s="54">
        <v>4</v>
      </c>
      <c r="AB48" s="54">
        <v>6</v>
      </c>
      <c r="AC48" s="54">
        <v>3</v>
      </c>
      <c r="AD48" s="54">
        <v>2</v>
      </c>
      <c r="AE48" s="54">
        <v>4</v>
      </c>
      <c r="AF48" s="54"/>
      <c r="AG48" s="5">
        <f t="shared" si="2"/>
        <v>84</v>
      </c>
    </row>
    <row r="49" spans="1:33" ht="15.75" customHeight="1" x14ac:dyDescent="0.25">
      <c r="A49" s="56" t="s">
        <v>22</v>
      </c>
      <c r="B49" s="54">
        <v>0</v>
      </c>
      <c r="C49" s="54">
        <v>2</v>
      </c>
      <c r="D49" s="54">
        <v>0</v>
      </c>
      <c r="E49" s="54">
        <v>2</v>
      </c>
      <c r="F49" s="54">
        <v>1</v>
      </c>
      <c r="G49" s="54">
        <v>0</v>
      </c>
      <c r="H49" s="54">
        <v>0</v>
      </c>
      <c r="I49" s="54">
        <v>3</v>
      </c>
      <c r="J49" s="54">
        <v>0</v>
      </c>
      <c r="K49" s="54">
        <v>1</v>
      </c>
      <c r="L49" s="54">
        <v>2</v>
      </c>
      <c r="M49" s="54">
        <v>2</v>
      </c>
      <c r="N49" s="54">
        <v>0</v>
      </c>
      <c r="O49" s="54">
        <v>3</v>
      </c>
      <c r="P49" s="54">
        <v>1</v>
      </c>
      <c r="Q49" s="54">
        <v>2</v>
      </c>
      <c r="R49" s="54">
        <v>0</v>
      </c>
      <c r="S49" s="54">
        <v>1</v>
      </c>
      <c r="T49" s="54">
        <v>2</v>
      </c>
      <c r="U49" s="54">
        <v>3</v>
      </c>
      <c r="V49" s="54">
        <v>0</v>
      </c>
      <c r="W49" s="54">
        <v>3</v>
      </c>
      <c r="X49" s="54">
        <v>3</v>
      </c>
      <c r="Y49" s="54">
        <v>3</v>
      </c>
      <c r="Z49" s="54">
        <v>1</v>
      </c>
      <c r="AA49" s="54">
        <v>3</v>
      </c>
      <c r="AB49" s="54">
        <v>0</v>
      </c>
      <c r="AC49" s="54">
        <v>5</v>
      </c>
      <c r="AD49" s="54">
        <v>0</v>
      </c>
      <c r="AE49" s="54">
        <v>0</v>
      </c>
      <c r="AF49" s="54"/>
      <c r="AG49" s="5">
        <f t="shared" si="2"/>
        <v>43</v>
      </c>
    </row>
    <row r="50" spans="1:33" ht="15.75" customHeight="1" x14ac:dyDescent="0.25">
      <c r="A50" s="56" t="s">
        <v>23</v>
      </c>
      <c r="B50" s="54">
        <v>1</v>
      </c>
      <c r="C50" s="54">
        <v>2</v>
      </c>
      <c r="D50" s="54">
        <v>0</v>
      </c>
      <c r="E50" s="54">
        <v>1</v>
      </c>
      <c r="F50" s="54">
        <v>1</v>
      </c>
      <c r="G50" s="54">
        <v>0</v>
      </c>
      <c r="H50" s="54">
        <v>1</v>
      </c>
      <c r="I50" s="54">
        <v>2</v>
      </c>
      <c r="J50" s="54">
        <v>0</v>
      </c>
      <c r="K50" s="54">
        <v>1</v>
      </c>
      <c r="L50" s="54">
        <v>1</v>
      </c>
      <c r="M50" s="54">
        <v>2</v>
      </c>
      <c r="N50" s="54">
        <v>2</v>
      </c>
      <c r="O50" s="54">
        <v>0</v>
      </c>
      <c r="P50" s="54">
        <v>3</v>
      </c>
      <c r="Q50" s="54">
        <v>3</v>
      </c>
      <c r="R50" s="54">
        <v>0</v>
      </c>
      <c r="S50" s="54">
        <v>0</v>
      </c>
      <c r="T50" s="54">
        <v>1</v>
      </c>
      <c r="U50" s="54">
        <v>0</v>
      </c>
      <c r="V50" s="54">
        <v>1</v>
      </c>
      <c r="W50" s="54">
        <v>0</v>
      </c>
      <c r="X50" s="54">
        <v>1</v>
      </c>
      <c r="Y50" s="54">
        <v>0</v>
      </c>
      <c r="Z50" s="54">
        <v>0</v>
      </c>
      <c r="AA50" s="54">
        <v>1</v>
      </c>
      <c r="AB50" s="54">
        <v>1</v>
      </c>
      <c r="AC50" s="54">
        <v>2</v>
      </c>
      <c r="AD50" s="54">
        <v>0</v>
      </c>
      <c r="AE50" s="54">
        <v>4</v>
      </c>
      <c r="AF50" s="54"/>
      <c r="AG50" s="5">
        <f t="shared" si="2"/>
        <v>31</v>
      </c>
    </row>
    <row r="51" spans="1:33" ht="15.75" customHeight="1" x14ac:dyDescent="0.25">
      <c r="A51" s="56" t="s">
        <v>24</v>
      </c>
      <c r="B51" s="54">
        <v>0</v>
      </c>
      <c r="C51" s="54">
        <v>0</v>
      </c>
      <c r="D51" s="54">
        <v>1</v>
      </c>
      <c r="E51" s="54">
        <v>2</v>
      </c>
      <c r="F51" s="54">
        <v>0</v>
      </c>
      <c r="G51" s="54">
        <v>1</v>
      </c>
      <c r="H51" s="54">
        <v>0</v>
      </c>
      <c r="I51" s="54">
        <v>0</v>
      </c>
      <c r="J51" s="54">
        <v>1</v>
      </c>
      <c r="K51" s="54">
        <v>1</v>
      </c>
      <c r="L51" s="54">
        <v>5</v>
      </c>
      <c r="M51" s="54">
        <v>2</v>
      </c>
      <c r="N51" s="54">
        <v>1</v>
      </c>
      <c r="O51" s="54">
        <v>0</v>
      </c>
      <c r="P51" s="54">
        <v>3</v>
      </c>
      <c r="Q51" s="54">
        <v>1</v>
      </c>
      <c r="R51" s="54">
        <v>1</v>
      </c>
      <c r="S51" s="54">
        <v>0</v>
      </c>
      <c r="T51" s="54">
        <v>1</v>
      </c>
      <c r="U51" s="54">
        <v>0</v>
      </c>
      <c r="V51" s="54">
        <v>0</v>
      </c>
      <c r="W51" s="54">
        <v>1</v>
      </c>
      <c r="X51" s="54">
        <v>5</v>
      </c>
      <c r="Y51" s="54">
        <v>1</v>
      </c>
      <c r="Z51" s="54">
        <v>0</v>
      </c>
      <c r="AA51" s="54">
        <v>1</v>
      </c>
      <c r="AB51" s="54">
        <v>2</v>
      </c>
      <c r="AC51" s="54">
        <v>1</v>
      </c>
      <c r="AD51" s="54">
        <v>1</v>
      </c>
      <c r="AE51" s="54">
        <v>0</v>
      </c>
      <c r="AF51" s="54"/>
      <c r="AG51" s="5">
        <f t="shared" si="2"/>
        <v>32</v>
      </c>
    </row>
    <row r="52" spans="1:33" ht="15.75" customHeight="1" thickBot="1" x14ac:dyDescent="0.3">
      <c r="A52" s="57" t="s">
        <v>25</v>
      </c>
      <c r="B52" s="58">
        <v>0</v>
      </c>
      <c r="C52" s="58">
        <v>0</v>
      </c>
      <c r="D52" s="58">
        <v>0</v>
      </c>
      <c r="E52" s="58">
        <v>0</v>
      </c>
      <c r="F52" s="58">
        <v>0</v>
      </c>
      <c r="G52" s="58">
        <v>1</v>
      </c>
      <c r="H52" s="58">
        <v>0</v>
      </c>
      <c r="I52" s="58">
        <v>0</v>
      </c>
      <c r="J52" s="58">
        <v>0</v>
      </c>
      <c r="K52" s="58">
        <v>0</v>
      </c>
      <c r="L52" s="58">
        <v>0</v>
      </c>
      <c r="M52" s="58">
        <v>0</v>
      </c>
      <c r="N52" s="58">
        <v>1</v>
      </c>
      <c r="O52" s="58">
        <v>3</v>
      </c>
      <c r="P52" s="58">
        <v>0</v>
      </c>
      <c r="Q52" s="58">
        <v>0</v>
      </c>
      <c r="R52" s="58">
        <v>3</v>
      </c>
      <c r="S52" s="58">
        <v>2</v>
      </c>
      <c r="T52" s="58">
        <v>6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1</v>
      </c>
      <c r="AB52" s="58">
        <v>0</v>
      </c>
      <c r="AC52" s="58">
        <v>3</v>
      </c>
      <c r="AD52" s="60">
        <v>1</v>
      </c>
      <c r="AE52" s="60">
        <v>0</v>
      </c>
      <c r="AF52" s="60"/>
      <c r="AG52" s="9">
        <f t="shared" si="2"/>
        <v>21</v>
      </c>
    </row>
    <row r="53" spans="1:33" ht="15.75" customHeight="1" thickBot="1" x14ac:dyDescent="0.3">
      <c r="A53" s="52" t="s">
        <v>27</v>
      </c>
      <c r="B53" s="1">
        <f t="shared" ref="B53:AF53" si="4">SUM(B54:B77)</f>
        <v>18</v>
      </c>
      <c r="C53" s="1">
        <f t="shared" si="4"/>
        <v>21</v>
      </c>
      <c r="D53" s="1">
        <f t="shared" si="4"/>
        <v>8</v>
      </c>
      <c r="E53" s="1">
        <f t="shared" si="4"/>
        <v>5</v>
      </c>
      <c r="F53" s="1">
        <f t="shared" si="4"/>
        <v>5</v>
      </c>
      <c r="G53" s="1">
        <f t="shared" si="4"/>
        <v>3</v>
      </c>
      <c r="H53" s="1">
        <f t="shared" si="4"/>
        <v>4</v>
      </c>
      <c r="I53" s="1">
        <f t="shared" si="4"/>
        <v>3</v>
      </c>
      <c r="J53" s="1">
        <f t="shared" si="4"/>
        <v>10</v>
      </c>
      <c r="K53" s="1">
        <f t="shared" si="4"/>
        <v>5</v>
      </c>
      <c r="L53" s="1">
        <f t="shared" si="4"/>
        <v>4</v>
      </c>
      <c r="M53" s="1">
        <f t="shared" si="4"/>
        <v>4</v>
      </c>
      <c r="N53" s="1">
        <f t="shared" si="4"/>
        <v>2</v>
      </c>
      <c r="O53" s="1">
        <f t="shared" si="4"/>
        <v>3</v>
      </c>
      <c r="P53" s="1">
        <f t="shared" si="4"/>
        <v>8</v>
      </c>
      <c r="Q53" s="1">
        <f t="shared" si="4"/>
        <v>9</v>
      </c>
      <c r="R53" s="1">
        <f t="shared" si="4"/>
        <v>5</v>
      </c>
      <c r="S53" s="1">
        <f t="shared" si="4"/>
        <v>3</v>
      </c>
      <c r="T53" s="1">
        <f t="shared" si="4"/>
        <v>4</v>
      </c>
      <c r="U53" s="1">
        <f t="shared" si="4"/>
        <v>9</v>
      </c>
      <c r="V53" s="1">
        <f t="shared" si="4"/>
        <v>11</v>
      </c>
      <c r="W53" s="1">
        <f t="shared" si="4"/>
        <v>33</v>
      </c>
      <c r="X53" s="1">
        <f t="shared" si="4"/>
        <v>27</v>
      </c>
      <c r="Y53" s="1">
        <f t="shared" si="4"/>
        <v>29</v>
      </c>
      <c r="Z53" s="1">
        <f t="shared" si="4"/>
        <v>21</v>
      </c>
      <c r="AA53" s="1">
        <f t="shared" si="4"/>
        <v>9</v>
      </c>
      <c r="AB53" s="1">
        <f t="shared" si="4"/>
        <v>21</v>
      </c>
      <c r="AC53" s="1">
        <f t="shared" si="4"/>
        <v>19</v>
      </c>
      <c r="AD53" s="1">
        <f t="shared" si="4"/>
        <v>30</v>
      </c>
      <c r="AE53" s="1">
        <f t="shared" si="4"/>
        <v>11</v>
      </c>
      <c r="AF53" s="1">
        <f t="shared" si="4"/>
        <v>0</v>
      </c>
      <c r="AG53" s="10">
        <f t="shared" si="2"/>
        <v>344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/>
      <c r="AG54" s="4">
        <f t="shared" si="2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/>
      <c r="AG55" s="5">
        <f t="shared" si="2"/>
        <v>0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1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2</v>
      </c>
      <c r="T56" s="54">
        <v>1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1</v>
      </c>
      <c r="AC56" s="54">
        <v>0</v>
      </c>
      <c r="AD56" s="54">
        <v>0</v>
      </c>
      <c r="AE56" s="54">
        <v>0</v>
      </c>
      <c r="AF56" s="54"/>
      <c r="AG56" s="5">
        <f t="shared" si="2"/>
        <v>5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/>
      <c r="AG57" s="5">
        <f t="shared" si="2"/>
        <v>0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1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1</v>
      </c>
      <c r="AC58" s="54">
        <v>0</v>
      </c>
      <c r="AD58" s="54">
        <v>0</v>
      </c>
      <c r="AE58" s="54">
        <v>0</v>
      </c>
      <c r="AF58" s="54"/>
      <c r="AG58" s="5">
        <f t="shared" si="2"/>
        <v>2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1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1</v>
      </c>
      <c r="AC59" s="54">
        <v>0</v>
      </c>
      <c r="AD59" s="54">
        <v>0</v>
      </c>
      <c r="AE59" s="54">
        <v>0</v>
      </c>
      <c r="AF59" s="54"/>
      <c r="AG59" s="5">
        <f t="shared" si="2"/>
        <v>2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1</v>
      </c>
      <c r="P60" s="54">
        <v>0</v>
      </c>
      <c r="Q60" s="54">
        <v>0</v>
      </c>
      <c r="R60" s="54">
        <v>1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1</v>
      </c>
      <c r="AD60" s="54">
        <v>0</v>
      </c>
      <c r="AE60" s="54">
        <v>0</v>
      </c>
      <c r="AF60" s="54"/>
      <c r="AG60" s="5">
        <f t="shared" si="2"/>
        <v>3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1</v>
      </c>
      <c r="Q61" s="54">
        <v>0</v>
      </c>
      <c r="R61" s="54">
        <v>0</v>
      </c>
      <c r="S61" s="54">
        <v>0</v>
      </c>
      <c r="T61" s="54">
        <v>1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2</v>
      </c>
      <c r="AD61" s="54">
        <v>0</v>
      </c>
      <c r="AE61" s="54">
        <v>0</v>
      </c>
      <c r="AF61" s="54"/>
      <c r="AG61" s="5">
        <f t="shared" si="2"/>
        <v>4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1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  <c r="S62" s="54">
        <v>0</v>
      </c>
      <c r="T62" s="54">
        <v>0</v>
      </c>
      <c r="U62" s="54">
        <v>1</v>
      </c>
      <c r="V62" s="54">
        <v>0</v>
      </c>
      <c r="W62" s="54">
        <v>0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0</v>
      </c>
      <c r="AE62" s="54">
        <v>0</v>
      </c>
      <c r="AF62" s="54"/>
      <c r="AG62" s="5">
        <f t="shared" si="2"/>
        <v>3</v>
      </c>
    </row>
    <row r="63" spans="1:33" ht="15.75" customHeight="1" x14ac:dyDescent="0.25">
      <c r="A63" s="56" t="s">
        <v>11</v>
      </c>
      <c r="B63" s="54">
        <v>2</v>
      </c>
      <c r="C63" s="54">
        <v>1</v>
      </c>
      <c r="D63" s="54">
        <v>0</v>
      </c>
      <c r="E63" s="54">
        <v>0</v>
      </c>
      <c r="F63" s="54">
        <v>1</v>
      </c>
      <c r="G63" s="54">
        <v>1</v>
      </c>
      <c r="H63" s="54">
        <v>1</v>
      </c>
      <c r="I63" s="54">
        <v>0</v>
      </c>
      <c r="J63" s="54">
        <v>1</v>
      </c>
      <c r="K63" s="54">
        <v>0</v>
      </c>
      <c r="L63" s="54">
        <v>1</v>
      </c>
      <c r="M63" s="54">
        <v>1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54">
        <v>0</v>
      </c>
      <c r="T63" s="54">
        <v>2</v>
      </c>
      <c r="U63" s="54">
        <v>3</v>
      </c>
      <c r="V63" s="54">
        <v>4</v>
      </c>
      <c r="W63" s="54">
        <v>0</v>
      </c>
      <c r="X63" s="54">
        <v>1</v>
      </c>
      <c r="Y63" s="54">
        <v>0</v>
      </c>
      <c r="Z63" s="54">
        <v>0</v>
      </c>
      <c r="AA63" s="54">
        <v>1</v>
      </c>
      <c r="AB63" s="54">
        <v>1</v>
      </c>
      <c r="AC63" s="54">
        <v>2</v>
      </c>
      <c r="AD63" s="54">
        <v>0</v>
      </c>
      <c r="AE63" s="54">
        <v>1</v>
      </c>
      <c r="AF63" s="54"/>
      <c r="AG63" s="5">
        <f t="shared" si="2"/>
        <v>24</v>
      </c>
    </row>
    <row r="64" spans="1:33" ht="15.75" customHeight="1" x14ac:dyDescent="0.25">
      <c r="A64" s="56" t="s">
        <v>12</v>
      </c>
      <c r="B64" s="54">
        <v>2</v>
      </c>
      <c r="C64" s="54">
        <v>1</v>
      </c>
      <c r="D64" s="54">
        <v>1</v>
      </c>
      <c r="E64" s="54">
        <v>0</v>
      </c>
      <c r="F64" s="54">
        <v>0</v>
      </c>
      <c r="G64" s="54">
        <v>0</v>
      </c>
      <c r="H64" s="54">
        <v>0</v>
      </c>
      <c r="I64" s="54">
        <v>0</v>
      </c>
      <c r="J64" s="54">
        <v>1</v>
      </c>
      <c r="K64" s="54">
        <v>0</v>
      </c>
      <c r="L64" s="54">
        <v>1</v>
      </c>
      <c r="M64" s="54">
        <v>0</v>
      </c>
      <c r="N64" s="54">
        <v>1</v>
      </c>
      <c r="O64" s="54">
        <v>0</v>
      </c>
      <c r="P64" s="54">
        <v>2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2</v>
      </c>
      <c r="W64" s="54">
        <v>1</v>
      </c>
      <c r="X64" s="54">
        <v>1</v>
      </c>
      <c r="Y64" s="54">
        <v>1</v>
      </c>
      <c r="Z64" s="54">
        <v>2</v>
      </c>
      <c r="AA64" s="54">
        <v>0</v>
      </c>
      <c r="AB64" s="54">
        <v>1</v>
      </c>
      <c r="AC64" s="54">
        <v>2</v>
      </c>
      <c r="AD64" s="54">
        <v>2</v>
      </c>
      <c r="AE64" s="54">
        <v>1</v>
      </c>
      <c r="AF64" s="54"/>
      <c r="AG64" s="5">
        <f t="shared" si="2"/>
        <v>22</v>
      </c>
    </row>
    <row r="65" spans="1:33" ht="15.75" customHeight="1" x14ac:dyDescent="0.25">
      <c r="A65" s="56" t="s">
        <v>13</v>
      </c>
      <c r="B65" s="54">
        <v>2</v>
      </c>
      <c r="C65" s="54">
        <v>1</v>
      </c>
      <c r="D65" s="54">
        <v>0</v>
      </c>
      <c r="E65" s="54">
        <v>1</v>
      </c>
      <c r="F65" s="54">
        <v>3</v>
      </c>
      <c r="G65" s="54">
        <v>0</v>
      </c>
      <c r="H65" s="54">
        <v>0</v>
      </c>
      <c r="I65" s="54">
        <v>0</v>
      </c>
      <c r="J65" s="54">
        <v>1</v>
      </c>
      <c r="K65" s="54">
        <v>0</v>
      </c>
      <c r="L65" s="54">
        <v>1</v>
      </c>
      <c r="M65" s="54">
        <v>1</v>
      </c>
      <c r="N65" s="54">
        <v>0</v>
      </c>
      <c r="O65" s="54">
        <v>0</v>
      </c>
      <c r="P65" s="54">
        <v>2</v>
      </c>
      <c r="Q65" s="54">
        <v>0</v>
      </c>
      <c r="R65" s="54">
        <v>0</v>
      </c>
      <c r="S65" s="54">
        <v>0</v>
      </c>
      <c r="T65" s="54">
        <v>0</v>
      </c>
      <c r="U65" s="54">
        <v>3</v>
      </c>
      <c r="V65" s="54">
        <v>0</v>
      </c>
      <c r="W65" s="54">
        <v>4</v>
      </c>
      <c r="X65" s="54">
        <v>5</v>
      </c>
      <c r="Y65" s="54">
        <v>5</v>
      </c>
      <c r="Z65" s="54">
        <v>5</v>
      </c>
      <c r="AA65" s="54">
        <v>0</v>
      </c>
      <c r="AB65" s="54">
        <v>3</v>
      </c>
      <c r="AC65" s="54">
        <v>1</v>
      </c>
      <c r="AD65" s="54">
        <v>5</v>
      </c>
      <c r="AE65" s="54">
        <v>2</v>
      </c>
      <c r="AF65" s="54"/>
      <c r="AG65" s="5">
        <f t="shared" si="2"/>
        <v>45</v>
      </c>
    </row>
    <row r="66" spans="1:33" ht="15.75" customHeight="1" x14ac:dyDescent="0.25">
      <c r="A66" s="56" t="s">
        <v>14</v>
      </c>
      <c r="B66" s="54">
        <v>0</v>
      </c>
      <c r="C66" s="54">
        <v>2</v>
      </c>
      <c r="D66" s="54">
        <v>3</v>
      </c>
      <c r="E66" s="54">
        <v>0</v>
      </c>
      <c r="F66" s="54">
        <v>1</v>
      </c>
      <c r="G66" s="54">
        <v>0</v>
      </c>
      <c r="H66" s="54">
        <v>0</v>
      </c>
      <c r="I66" s="54">
        <v>0</v>
      </c>
      <c r="J66" s="54">
        <v>5</v>
      </c>
      <c r="K66" s="54">
        <v>3</v>
      </c>
      <c r="L66" s="54">
        <v>0</v>
      </c>
      <c r="M66" s="54">
        <v>2</v>
      </c>
      <c r="N66" s="54">
        <v>0</v>
      </c>
      <c r="O66" s="54">
        <v>0</v>
      </c>
      <c r="P66" s="54">
        <v>1</v>
      </c>
      <c r="Q66" s="54">
        <v>1</v>
      </c>
      <c r="R66" s="54">
        <v>2</v>
      </c>
      <c r="S66" s="54">
        <v>1</v>
      </c>
      <c r="T66" s="54">
        <v>0</v>
      </c>
      <c r="U66" s="54">
        <v>0</v>
      </c>
      <c r="V66" s="54">
        <v>0</v>
      </c>
      <c r="W66" s="54">
        <v>2</v>
      </c>
      <c r="X66" s="54">
        <v>1</v>
      </c>
      <c r="Y66" s="54">
        <v>1</v>
      </c>
      <c r="Z66" s="54">
        <v>3</v>
      </c>
      <c r="AA66" s="54">
        <v>5</v>
      </c>
      <c r="AB66" s="54">
        <v>0</v>
      </c>
      <c r="AC66" s="54">
        <v>4</v>
      </c>
      <c r="AD66" s="54">
        <v>1</v>
      </c>
      <c r="AE66" s="54">
        <v>0</v>
      </c>
      <c r="AF66" s="54"/>
      <c r="AG66" s="5">
        <f t="shared" si="2"/>
        <v>38</v>
      </c>
    </row>
    <row r="67" spans="1:33" ht="15.75" customHeight="1" x14ac:dyDescent="0.25">
      <c r="A67" s="56" t="s">
        <v>15</v>
      </c>
      <c r="B67" s="54">
        <v>0</v>
      </c>
      <c r="C67" s="54">
        <v>1</v>
      </c>
      <c r="D67" s="54">
        <v>3</v>
      </c>
      <c r="E67" s="54">
        <v>1</v>
      </c>
      <c r="F67" s="54">
        <v>0</v>
      </c>
      <c r="G67" s="54">
        <v>0</v>
      </c>
      <c r="H67" s="54">
        <v>1</v>
      </c>
      <c r="I67" s="54">
        <v>1</v>
      </c>
      <c r="J67" s="54">
        <v>2</v>
      </c>
      <c r="K67" s="54">
        <v>1</v>
      </c>
      <c r="L67" s="54">
        <v>0</v>
      </c>
      <c r="M67" s="54">
        <v>0</v>
      </c>
      <c r="N67" s="54">
        <v>0</v>
      </c>
      <c r="O67" s="54">
        <v>0</v>
      </c>
      <c r="P67" s="54">
        <v>1</v>
      </c>
      <c r="Q67" s="54">
        <v>2</v>
      </c>
      <c r="R67" s="54">
        <v>0</v>
      </c>
      <c r="S67" s="54">
        <v>0</v>
      </c>
      <c r="T67" s="54">
        <v>0</v>
      </c>
      <c r="U67" s="54">
        <v>0</v>
      </c>
      <c r="V67" s="54">
        <v>0</v>
      </c>
      <c r="W67" s="54">
        <v>3</v>
      </c>
      <c r="X67" s="54">
        <v>10</v>
      </c>
      <c r="Y67" s="54">
        <v>6</v>
      </c>
      <c r="Z67" s="54">
        <v>3</v>
      </c>
      <c r="AA67" s="54">
        <v>0</v>
      </c>
      <c r="AB67" s="54">
        <v>0</v>
      </c>
      <c r="AC67" s="54">
        <v>2</v>
      </c>
      <c r="AD67" s="54">
        <v>3</v>
      </c>
      <c r="AE67" s="54">
        <v>1</v>
      </c>
      <c r="AF67" s="54"/>
      <c r="AG67" s="5">
        <f t="shared" ref="AG67:AG98" si="5">SUM(B67:AF67)</f>
        <v>41</v>
      </c>
    </row>
    <row r="68" spans="1:33" ht="15.75" customHeight="1" x14ac:dyDescent="0.25">
      <c r="A68" s="56" t="s">
        <v>16</v>
      </c>
      <c r="B68" s="54">
        <v>1</v>
      </c>
      <c r="C68" s="54">
        <v>11</v>
      </c>
      <c r="D68" s="54">
        <v>0</v>
      </c>
      <c r="E68" s="54">
        <v>2</v>
      </c>
      <c r="F68" s="54">
        <v>0</v>
      </c>
      <c r="G68" s="54">
        <v>0</v>
      </c>
      <c r="H68" s="54">
        <v>1</v>
      </c>
      <c r="I68" s="54">
        <v>2</v>
      </c>
      <c r="J68" s="54">
        <v>0</v>
      </c>
      <c r="K68" s="54">
        <v>0</v>
      </c>
      <c r="L68" s="54">
        <v>0</v>
      </c>
      <c r="M68" s="54">
        <v>0</v>
      </c>
      <c r="N68" s="54">
        <v>0</v>
      </c>
      <c r="O68" s="54">
        <v>0</v>
      </c>
      <c r="P68" s="54">
        <v>1</v>
      </c>
      <c r="Q68" s="54">
        <v>0</v>
      </c>
      <c r="R68" s="54">
        <v>0</v>
      </c>
      <c r="S68" s="54">
        <v>0</v>
      </c>
      <c r="T68" s="54">
        <v>0</v>
      </c>
      <c r="U68" s="54">
        <v>1</v>
      </c>
      <c r="V68" s="54">
        <v>0</v>
      </c>
      <c r="W68" s="54">
        <v>3</v>
      </c>
      <c r="X68" s="54">
        <v>0</v>
      </c>
      <c r="Y68" s="54">
        <v>7</v>
      </c>
      <c r="Z68" s="54">
        <v>0</v>
      </c>
      <c r="AA68" s="54">
        <v>0</v>
      </c>
      <c r="AB68" s="54">
        <v>2</v>
      </c>
      <c r="AC68" s="54">
        <v>1</v>
      </c>
      <c r="AD68" s="54">
        <v>8</v>
      </c>
      <c r="AE68" s="54">
        <v>0</v>
      </c>
      <c r="AF68" s="54"/>
      <c r="AG68" s="5">
        <f t="shared" si="5"/>
        <v>40</v>
      </c>
    </row>
    <row r="69" spans="1:33" ht="15.75" customHeight="1" x14ac:dyDescent="0.25">
      <c r="A69" s="56" t="s">
        <v>17</v>
      </c>
      <c r="B69" s="54">
        <v>0</v>
      </c>
      <c r="C69" s="54">
        <v>2</v>
      </c>
      <c r="D69" s="54">
        <v>1</v>
      </c>
      <c r="E69" s="54">
        <v>1</v>
      </c>
      <c r="F69" s="54">
        <v>0</v>
      </c>
      <c r="G69" s="54">
        <v>0</v>
      </c>
      <c r="H69" s="54">
        <v>0</v>
      </c>
      <c r="I69" s="54">
        <v>0</v>
      </c>
      <c r="J69" s="54">
        <v>0</v>
      </c>
      <c r="K69" s="54">
        <v>1</v>
      </c>
      <c r="L69" s="54">
        <v>1</v>
      </c>
      <c r="M69" s="54">
        <v>0</v>
      </c>
      <c r="N69" s="54">
        <v>0</v>
      </c>
      <c r="O69" s="54">
        <v>1</v>
      </c>
      <c r="P69" s="54">
        <v>0</v>
      </c>
      <c r="Q69" s="54">
        <v>1</v>
      </c>
      <c r="R69" s="54">
        <v>0</v>
      </c>
      <c r="S69" s="54">
        <v>0</v>
      </c>
      <c r="T69" s="54">
        <v>0</v>
      </c>
      <c r="U69" s="54">
        <v>0</v>
      </c>
      <c r="V69" s="54">
        <v>1</v>
      </c>
      <c r="W69" s="54">
        <v>1</v>
      </c>
      <c r="X69" s="54">
        <v>3</v>
      </c>
      <c r="Y69" s="54">
        <v>1</v>
      </c>
      <c r="Z69" s="54">
        <v>0</v>
      </c>
      <c r="AA69" s="54">
        <v>1</v>
      </c>
      <c r="AB69" s="54">
        <v>5</v>
      </c>
      <c r="AC69" s="54">
        <v>2</v>
      </c>
      <c r="AD69" s="54">
        <v>3</v>
      </c>
      <c r="AE69" s="54">
        <v>1</v>
      </c>
      <c r="AF69" s="54"/>
      <c r="AG69" s="5">
        <f t="shared" si="5"/>
        <v>26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0</v>
      </c>
      <c r="E70" s="54">
        <v>0</v>
      </c>
      <c r="F70" s="54">
        <v>0</v>
      </c>
      <c r="G70" s="54">
        <v>0</v>
      </c>
      <c r="H70" s="54">
        <v>0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1</v>
      </c>
      <c r="O70" s="54">
        <v>0</v>
      </c>
      <c r="P70" s="54">
        <v>0</v>
      </c>
      <c r="Q70" s="54">
        <v>1</v>
      </c>
      <c r="R70" s="54">
        <v>0</v>
      </c>
      <c r="S70" s="54">
        <v>0</v>
      </c>
      <c r="T70" s="54">
        <v>0</v>
      </c>
      <c r="U70" s="54">
        <v>0</v>
      </c>
      <c r="V70" s="54">
        <v>4</v>
      </c>
      <c r="W70" s="54">
        <v>2</v>
      </c>
      <c r="X70" s="54">
        <v>3</v>
      </c>
      <c r="Y70" s="54">
        <v>5</v>
      </c>
      <c r="Z70" s="54">
        <v>4</v>
      </c>
      <c r="AA70" s="54">
        <v>0</v>
      </c>
      <c r="AB70" s="54">
        <v>5</v>
      </c>
      <c r="AC70" s="54">
        <v>1</v>
      </c>
      <c r="AD70" s="55">
        <v>4</v>
      </c>
      <c r="AE70" s="55">
        <v>1</v>
      </c>
      <c r="AF70" s="55"/>
      <c r="AG70" s="5">
        <f t="shared" si="5"/>
        <v>31</v>
      </c>
    </row>
    <row r="71" spans="1:33" ht="15.75" customHeight="1" x14ac:dyDescent="0.25">
      <c r="A71" s="56" t="s">
        <v>19</v>
      </c>
      <c r="B71" s="54">
        <v>9</v>
      </c>
      <c r="C71" s="54">
        <v>2</v>
      </c>
      <c r="D71" s="54">
        <v>0</v>
      </c>
      <c r="E71" s="54">
        <v>0</v>
      </c>
      <c r="F71" s="54">
        <v>0</v>
      </c>
      <c r="G71" s="54">
        <v>0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4</v>
      </c>
      <c r="R71" s="54">
        <v>0</v>
      </c>
      <c r="S71" s="54">
        <v>0</v>
      </c>
      <c r="T71" s="54">
        <v>0</v>
      </c>
      <c r="U71" s="54">
        <v>0</v>
      </c>
      <c r="V71" s="54">
        <v>0</v>
      </c>
      <c r="W71" s="54">
        <v>7</v>
      </c>
      <c r="X71" s="54">
        <v>2</v>
      </c>
      <c r="Y71" s="54">
        <v>2</v>
      </c>
      <c r="Z71" s="54">
        <v>0</v>
      </c>
      <c r="AA71" s="54">
        <v>1</v>
      </c>
      <c r="AB71" s="54">
        <v>0</v>
      </c>
      <c r="AC71" s="54">
        <v>1</v>
      </c>
      <c r="AD71" s="55">
        <v>3</v>
      </c>
      <c r="AE71" s="55">
        <v>3</v>
      </c>
      <c r="AF71" s="55"/>
      <c r="AG71" s="5">
        <f t="shared" si="5"/>
        <v>34</v>
      </c>
    </row>
    <row r="72" spans="1:33" ht="15.75" customHeight="1" x14ac:dyDescent="0.25">
      <c r="A72" s="56" t="s">
        <v>20</v>
      </c>
      <c r="B72" s="54">
        <v>2</v>
      </c>
      <c r="C72" s="54">
        <v>0</v>
      </c>
      <c r="D72" s="54">
        <v>0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4</v>
      </c>
      <c r="X72" s="54">
        <v>1</v>
      </c>
      <c r="Y72" s="54">
        <v>0</v>
      </c>
      <c r="Z72" s="54">
        <v>3</v>
      </c>
      <c r="AA72" s="54">
        <v>0</v>
      </c>
      <c r="AB72" s="54">
        <v>1</v>
      </c>
      <c r="AC72" s="54">
        <v>0</v>
      </c>
      <c r="AD72" s="55">
        <v>1</v>
      </c>
      <c r="AE72" s="55">
        <v>0</v>
      </c>
      <c r="AF72" s="55"/>
      <c r="AG72" s="5">
        <f t="shared" si="5"/>
        <v>12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  <c r="S73" s="54">
        <v>0</v>
      </c>
      <c r="T73" s="54">
        <v>0</v>
      </c>
      <c r="U73" s="54">
        <v>0</v>
      </c>
      <c r="V73" s="54">
        <v>0</v>
      </c>
      <c r="W73" s="54">
        <v>2</v>
      </c>
      <c r="X73" s="54">
        <v>0</v>
      </c>
      <c r="Y73" s="54">
        <v>0</v>
      </c>
      <c r="Z73" s="54">
        <v>1</v>
      </c>
      <c r="AA73" s="54">
        <v>1</v>
      </c>
      <c r="AB73" s="54">
        <v>0</v>
      </c>
      <c r="AC73" s="54">
        <v>0</v>
      </c>
      <c r="AD73" s="55">
        <v>0</v>
      </c>
      <c r="AE73" s="55">
        <v>1</v>
      </c>
      <c r="AF73" s="55"/>
      <c r="AG73" s="5">
        <f t="shared" si="5"/>
        <v>6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1</v>
      </c>
      <c r="V74" s="54">
        <v>0</v>
      </c>
      <c r="W74" s="54">
        <v>3</v>
      </c>
      <c r="X74" s="54">
        <v>0</v>
      </c>
      <c r="Y74" s="54">
        <v>1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/>
      <c r="AG74" s="5">
        <f t="shared" si="5"/>
        <v>5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1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/>
      <c r="AG75" s="5">
        <f t="shared" si="5"/>
        <v>1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/>
      <c r="AG76" s="5">
        <f t="shared" si="5"/>
        <v>0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/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143</v>
      </c>
      <c r="C78" s="11">
        <f t="shared" si="6"/>
        <v>135</v>
      </c>
      <c r="D78" s="11">
        <f t="shared" si="6"/>
        <v>127</v>
      </c>
      <c r="E78" s="11">
        <f t="shared" si="6"/>
        <v>121</v>
      </c>
      <c r="F78" s="11">
        <f t="shared" si="6"/>
        <v>113</v>
      </c>
      <c r="G78" s="11">
        <f t="shared" si="6"/>
        <v>152</v>
      </c>
      <c r="H78" s="11">
        <f t="shared" si="6"/>
        <v>148</v>
      </c>
      <c r="I78" s="11">
        <f t="shared" si="6"/>
        <v>128</v>
      </c>
      <c r="J78" s="11">
        <f t="shared" si="6"/>
        <v>129</v>
      </c>
      <c r="K78" s="11">
        <f t="shared" si="6"/>
        <v>117</v>
      </c>
      <c r="L78" s="11">
        <f t="shared" si="6"/>
        <v>113</v>
      </c>
      <c r="M78" s="11">
        <f t="shared" si="6"/>
        <v>130</v>
      </c>
      <c r="N78" s="11">
        <f t="shared" si="6"/>
        <v>173</v>
      </c>
      <c r="O78" s="11">
        <f t="shared" si="6"/>
        <v>177</v>
      </c>
      <c r="P78" s="11">
        <f t="shared" si="6"/>
        <v>130</v>
      </c>
      <c r="Q78" s="11">
        <f t="shared" si="6"/>
        <v>136</v>
      </c>
      <c r="R78" s="11">
        <f t="shared" si="6"/>
        <v>127</v>
      </c>
      <c r="S78" s="11">
        <f t="shared" si="6"/>
        <v>130</v>
      </c>
      <c r="T78" s="11">
        <f t="shared" si="6"/>
        <v>155</v>
      </c>
      <c r="U78" s="11">
        <f t="shared" si="6"/>
        <v>170</v>
      </c>
      <c r="V78" s="11">
        <f t="shared" si="6"/>
        <v>169</v>
      </c>
      <c r="W78" s="11">
        <f t="shared" si="6"/>
        <v>174</v>
      </c>
      <c r="X78" s="11">
        <f t="shared" si="6"/>
        <v>165</v>
      </c>
      <c r="Y78" s="11">
        <f t="shared" si="6"/>
        <v>157</v>
      </c>
      <c r="Z78" s="11">
        <f t="shared" si="6"/>
        <v>158</v>
      </c>
      <c r="AA78" s="11">
        <f t="shared" si="6"/>
        <v>132</v>
      </c>
      <c r="AB78" s="11">
        <f t="shared" si="6"/>
        <v>202</v>
      </c>
      <c r="AC78" s="11">
        <f t="shared" si="6"/>
        <v>192</v>
      </c>
      <c r="AD78" s="11">
        <f t="shared" si="6"/>
        <v>155</v>
      </c>
      <c r="AE78" s="11">
        <f t="shared" si="6"/>
        <v>144</v>
      </c>
      <c r="AF78" s="11">
        <f t="shared" si="6"/>
        <v>0</v>
      </c>
      <c r="AG78" s="10">
        <f t="shared" si="5"/>
        <v>4402</v>
      </c>
    </row>
    <row r="79" spans="1:33" ht="19.5" customHeight="1" x14ac:dyDescent="0.25">
      <c r="A79" s="64" t="s">
        <v>29</v>
      </c>
      <c r="B79" s="3">
        <f t="shared" ref="B79" si="7">SUM(B4:B27)-B80</f>
        <v>143</v>
      </c>
      <c r="C79" s="3">
        <f t="shared" ref="C79" si="8">SUM(C4:C27)-C80</f>
        <v>135</v>
      </c>
      <c r="D79" s="3">
        <f t="shared" ref="D79:AF79" si="9">SUM(D4:D27)-D80</f>
        <v>127</v>
      </c>
      <c r="E79" s="3">
        <f t="shared" si="9"/>
        <v>121</v>
      </c>
      <c r="F79" s="3">
        <f t="shared" si="9"/>
        <v>113</v>
      </c>
      <c r="G79" s="3">
        <f t="shared" si="9"/>
        <v>152</v>
      </c>
      <c r="H79" s="3">
        <f t="shared" si="9"/>
        <v>148</v>
      </c>
      <c r="I79" s="3">
        <f t="shared" si="9"/>
        <v>128</v>
      </c>
      <c r="J79" s="3">
        <f t="shared" si="9"/>
        <v>129</v>
      </c>
      <c r="K79" s="3">
        <f t="shared" si="9"/>
        <v>117</v>
      </c>
      <c r="L79" s="3">
        <f t="shared" si="9"/>
        <v>113</v>
      </c>
      <c r="M79" s="3">
        <f t="shared" si="9"/>
        <v>130</v>
      </c>
      <c r="N79" s="3">
        <f t="shared" si="9"/>
        <v>173</v>
      </c>
      <c r="O79" s="3">
        <f t="shared" si="9"/>
        <v>177</v>
      </c>
      <c r="P79" s="3">
        <f t="shared" si="9"/>
        <v>130</v>
      </c>
      <c r="Q79" s="3">
        <f t="shared" si="9"/>
        <v>136</v>
      </c>
      <c r="R79" s="3">
        <f t="shared" si="9"/>
        <v>127</v>
      </c>
      <c r="S79" s="3">
        <f t="shared" si="9"/>
        <v>130</v>
      </c>
      <c r="T79" s="3">
        <f t="shared" si="9"/>
        <v>155</v>
      </c>
      <c r="U79" s="3">
        <f t="shared" si="9"/>
        <v>170</v>
      </c>
      <c r="V79" s="3">
        <f t="shared" si="9"/>
        <v>169</v>
      </c>
      <c r="W79" s="3">
        <f t="shared" si="9"/>
        <v>174</v>
      </c>
      <c r="X79" s="3">
        <f t="shared" si="9"/>
        <v>165</v>
      </c>
      <c r="Y79" s="3">
        <f t="shared" si="9"/>
        <v>157</v>
      </c>
      <c r="Z79" s="3">
        <f t="shared" si="9"/>
        <v>158</v>
      </c>
      <c r="AA79" s="3">
        <f t="shared" si="9"/>
        <v>132</v>
      </c>
      <c r="AB79" s="3">
        <f t="shared" si="9"/>
        <v>202</v>
      </c>
      <c r="AC79" s="3">
        <f t="shared" si="9"/>
        <v>192</v>
      </c>
      <c r="AD79" s="3">
        <f t="shared" si="9"/>
        <v>155</v>
      </c>
      <c r="AE79" s="3">
        <f t="shared" si="9"/>
        <v>144</v>
      </c>
      <c r="AF79" s="3">
        <f t="shared" si="9"/>
        <v>0</v>
      </c>
      <c r="AG79" s="4">
        <f t="shared" si="5"/>
        <v>4402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18</v>
      </c>
      <c r="C81" s="12">
        <f t="shared" si="10"/>
        <v>21</v>
      </c>
      <c r="D81" s="12">
        <f t="shared" si="10"/>
        <v>8</v>
      </c>
      <c r="E81" s="12">
        <f t="shared" si="10"/>
        <v>5</v>
      </c>
      <c r="F81" s="12">
        <f t="shared" si="10"/>
        <v>5</v>
      </c>
      <c r="G81" s="12">
        <f t="shared" si="10"/>
        <v>3</v>
      </c>
      <c r="H81" s="12">
        <f t="shared" si="10"/>
        <v>4</v>
      </c>
      <c r="I81" s="12">
        <f t="shared" si="10"/>
        <v>3</v>
      </c>
      <c r="J81" s="12">
        <f t="shared" si="10"/>
        <v>10</v>
      </c>
      <c r="K81" s="12">
        <f t="shared" si="10"/>
        <v>5</v>
      </c>
      <c r="L81" s="12">
        <f t="shared" si="10"/>
        <v>4</v>
      </c>
      <c r="M81" s="12">
        <f t="shared" si="10"/>
        <v>4</v>
      </c>
      <c r="N81" s="12">
        <f t="shared" si="10"/>
        <v>2</v>
      </c>
      <c r="O81" s="12">
        <f t="shared" si="10"/>
        <v>3</v>
      </c>
      <c r="P81" s="12">
        <f t="shared" si="10"/>
        <v>8</v>
      </c>
      <c r="Q81" s="12">
        <f t="shared" si="10"/>
        <v>9</v>
      </c>
      <c r="R81" s="12">
        <f t="shared" si="10"/>
        <v>5</v>
      </c>
      <c r="S81" s="12">
        <f t="shared" si="10"/>
        <v>3</v>
      </c>
      <c r="T81" s="12">
        <f t="shared" si="10"/>
        <v>4</v>
      </c>
      <c r="U81" s="12">
        <f t="shared" si="10"/>
        <v>9</v>
      </c>
      <c r="V81" s="12">
        <f t="shared" si="10"/>
        <v>11</v>
      </c>
      <c r="W81" s="12">
        <f t="shared" si="10"/>
        <v>33</v>
      </c>
      <c r="X81" s="12">
        <f t="shared" si="10"/>
        <v>27</v>
      </c>
      <c r="Y81" s="12">
        <f t="shared" si="10"/>
        <v>29</v>
      </c>
      <c r="Z81" s="12">
        <f t="shared" si="10"/>
        <v>21</v>
      </c>
      <c r="AA81" s="12">
        <f t="shared" si="10"/>
        <v>9</v>
      </c>
      <c r="AB81" s="12">
        <f t="shared" si="10"/>
        <v>21</v>
      </c>
      <c r="AC81" s="12">
        <f t="shared" si="10"/>
        <v>19</v>
      </c>
      <c r="AD81" s="12">
        <f t="shared" si="10"/>
        <v>30</v>
      </c>
      <c r="AE81" s="12">
        <f t="shared" si="10"/>
        <v>11</v>
      </c>
      <c r="AF81" s="12">
        <f t="shared" si="10"/>
        <v>0</v>
      </c>
      <c r="AG81" s="10">
        <f t="shared" si="5"/>
        <v>344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2</v>
      </c>
      <c r="H82" s="3">
        <f t="shared" si="11"/>
        <v>1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2</v>
      </c>
      <c r="P82" s="3">
        <f t="shared" si="11"/>
        <v>1</v>
      </c>
      <c r="Q82" s="3">
        <f t="shared" si="11"/>
        <v>0</v>
      </c>
      <c r="R82" s="3">
        <f t="shared" si="11"/>
        <v>2</v>
      </c>
      <c r="S82" s="3">
        <f t="shared" si="11"/>
        <v>2</v>
      </c>
      <c r="T82" s="3">
        <f t="shared" si="11"/>
        <v>2</v>
      </c>
      <c r="U82" s="3">
        <f t="shared" si="11"/>
        <v>1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3</v>
      </c>
      <c r="AC82" s="3">
        <f t="shared" si="11"/>
        <v>3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19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18</v>
      </c>
      <c r="C83" s="8">
        <f t="shared" si="12"/>
        <v>21</v>
      </c>
      <c r="D83" s="8">
        <f t="shared" si="12"/>
        <v>8</v>
      </c>
      <c r="E83" s="8">
        <f t="shared" si="12"/>
        <v>5</v>
      </c>
      <c r="F83" s="8">
        <f t="shared" si="12"/>
        <v>5</v>
      </c>
      <c r="G83" s="8">
        <f t="shared" si="12"/>
        <v>1</v>
      </c>
      <c r="H83" s="8">
        <f t="shared" si="12"/>
        <v>3</v>
      </c>
      <c r="I83" s="8">
        <f t="shared" si="12"/>
        <v>3</v>
      </c>
      <c r="J83" s="8">
        <f t="shared" si="12"/>
        <v>10</v>
      </c>
      <c r="K83" s="8">
        <f t="shared" si="12"/>
        <v>5</v>
      </c>
      <c r="L83" s="8">
        <f t="shared" si="12"/>
        <v>4</v>
      </c>
      <c r="M83" s="8">
        <f t="shared" si="12"/>
        <v>4</v>
      </c>
      <c r="N83" s="8">
        <f t="shared" si="12"/>
        <v>2</v>
      </c>
      <c r="O83" s="8">
        <f t="shared" si="12"/>
        <v>1</v>
      </c>
      <c r="P83" s="8">
        <f t="shared" si="12"/>
        <v>7</v>
      </c>
      <c r="Q83" s="8">
        <f t="shared" si="12"/>
        <v>9</v>
      </c>
      <c r="R83" s="8">
        <f t="shared" si="12"/>
        <v>3</v>
      </c>
      <c r="S83" s="8">
        <f t="shared" si="12"/>
        <v>1</v>
      </c>
      <c r="T83" s="8">
        <f t="shared" si="12"/>
        <v>2</v>
      </c>
      <c r="U83" s="8">
        <f t="shared" si="12"/>
        <v>8</v>
      </c>
      <c r="V83" s="8">
        <f t="shared" si="12"/>
        <v>11</v>
      </c>
      <c r="W83" s="8">
        <f t="shared" si="12"/>
        <v>33</v>
      </c>
      <c r="X83" s="8">
        <f t="shared" si="12"/>
        <v>27</v>
      </c>
      <c r="Y83" s="8">
        <f t="shared" si="12"/>
        <v>29</v>
      </c>
      <c r="Z83" s="8">
        <f t="shared" si="12"/>
        <v>21</v>
      </c>
      <c r="AA83" s="8">
        <f t="shared" si="12"/>
        <v>9</v>
      </c>
      <c r="AB83" s="8">
        <f t="shared" si="12"/>
        <v>18</v>
      </c>
      <c r="AC83" s="8">
        <f t="shared" si="12"/>
        <v>16</v>
      </c>
      <c r="AD83" s="8">
        <f t="shared" si="12"/>
        <v>30</v>
      </c>
      <c r="AE83" s="8">
        <f t="shared" si="12"/>
        <v>11</v>
      </c>
      <c r="AF83" s="8">
        <f t="shared" si="12"/>
        <v>0</v>
      </c>
      <c r="AG83" s="5">
        <f t="shared" si="5"/>
        <v>325</v>
      </c>
    </row>
    <row r="84" spans="1:34" ht="15.75" customHeight="1" thickBot="1" x14ac:dyDescent="0.3">
      <c r="A84" s="67" t="s">
        <v>32</v>
      </c>
      <c r="B84" s="14">
        <f t="shared" ref="B84:AF84" si="13">SUM(B85:B86)</f>
        <v>18</v>
      </c>
      <c r="C84" s="14">
        <f t="shared" si="13"/>
        <v>21</v>
      </c>
      <c r="D84" s="14">
        <f t="shared" si="13"/>
        <v>8</v>
      </c>
      <c r="E84" s="14">
        <f t="shared" si="13"/>
        <v>5</v>
      </c>
      <c r="F84" s="14">
        <f t="shared" si="13"/>
        <v>5</v>
      </c>
      <c r="G84" s="14">
        <f t="shared" si="13"/>
        <v>3</v>
      </c>
      <c r="H84" s="14">
        <f t="shared" si="13"/>
        <v>4</v>
      </c>
      <c r="I84" s="14">
        <f t="shared" si="13"/>
        <v>3</v>
      </c>
      <c r="J84" s="14">
        <f t="shared" si="13"/>
        <v>10</v>
      </c>
      <c r="K84" s="14">
        <f t="shared" si="13"/>
        <v>5</v>
      </c>
      <c r="L84" s="14">
        <f t="shared" si="13"/>
        <v>4</v>
      </c>
      <c r="M84" s="14">
        <f t="shared" si="13"/>
        <v>4</v>
      </c>
      <c r="N84" s="14">
        <f t="shared" si="13"/>
        <v>2</v>
      </c>
      <c r="O84" s="14">
        <f t="shared" si="13"/>
        <v>3</v>
      </c>
      <c r="P84" s="14">
        <f t="shared" si="13"/>
        <v>8</v>
      </c>
      <c r="Q84" s="14">
        <f t="shared" si="13"/>
        <v>9</v>
      </c>
      <c r="R84" s="14">
        <f t="shared" si="13"/>
        <v>5</v>
      </c>
      <c r="S84" s="14">
        <f t="shared" si="13"/>
        <v>3</v>
      </c>
      <c r="T84" s="14">
        <f t="shared" si="13"/>
        <v>4</v>
      </c>
      <c r="U84" s="14">
        <f t="shared" si="13"/>
        <v>9</v>
      </c>
      <c r="V84" s="14">
        <f t="shared" si="13"/>
        <v>11</v>
      </c>
      <c r="W84" s="14">
        <f t="shared" si="13"/>
        <v>33</v>
      </c>
      <c r="X84" s="14">
        <f t="shared" si="13"/>
        <v>27</v>
      </c>
      <c r="Y84" s="14">
        <f t="shared" si="13"/>
        <v>29</v>
      </c>
      <c r="Z84" s="14">
        <f t="shared" si="13"/>
        <v>21</v>
      </c>
      <c r="AA84" s="14">
        <f t="shared" si="13"/>
        <v>9</v>
      </c>
      <c r="AB84" s="14">
        <f t="shared" si="13"/>
        <v>21</v>
      </c>
      <c r="AC84" s="14">
        <f t="shared" si="13"/>
        <v>19</v>
      </c>
      <c r="AD84" s="14">
        <f t="shared" si="13"/>
        <v>30</v>
      </c>
      <c r="AE84" s="14">
        <f t="shared" si="13"/>
        <v>11</v>
      </c>
      <c r="AF84" s="14">
        <f t="shared" si="13"/>
        <v>0</v>
      </c>
      <c r="AG84" s="15">
        <f t="shared" si="5"/>
        <v>344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7</v>
      </c>
      <c r="C85" s="69">
        <v>1</v>
      </c>
      <c r="D85" s="69">
        <v>1</v>
      </c>
      <c r="E85" s="69">
        <v>1</v>
      </c>
      <c r="F85" s="69">
        <v>1</v>
      </c>
      <c r="G85" s="69">
        <v>2</v>
      </c>
      <c r="H85" s="69">
        <v>2</v>
      </c>
      <c r="I85" s="69">
        <v>2</v>
      </c>
      <c r="J85" s="69">
        <v>3</v>
      </c>
      <c r="K85" s="69">
        <v>1</v>
      </c>
      <c r="L85" s="69">
        <v>1</v>
      </c>
      <c r="M85" s="69">
        <v>1</v>
      </c>
      <c r="N85" s="69">
        <v>1</v>
      </c>
      <c r="O85" s="69">
        <v>0</v>
      </c>
      <c r="P85" s="69">
        <v>0</v>
      </c>
      <c r="Q85" s="69">
        <v>3</v>
      </c>
      <c r="R85" s="69">
        <v>0</v>
      </c>
      <c r="S85" s="69">
        <v>1</v>
      </c>
      <c r="T85" s="69">
        <v>0</v>
      </c>
      <c r="U85" s="69">
        <v>3</v>
      </c>
      <c r="V85" s="69">
        <v>3</v>
      </c>
      <c r="W85" s="69">
        <v>11</v>
      </c>
      <c r="X85" s="69">
        <v>8</v>
      </c>
      <c r="Y85" s="69">
        <v>9</v>
      </c>
      <c r="Z85" s="69">
        <v>5</v>
      </c>
      <c r="AA85" s="69">
        <v>1</v>
      </c>
      <c r="AB85" s="69">
        <v>5</v>
      </c>
      <c r="AC85" s="69">
        <v>3</v>
      </c>
      <c r="AD85" s="69">
        <v>8</v>
      </c>
      <c r="AE85" s="69">
        <v>1</v>
      </c>
      <c r="AF85" s="69"/>
      <c r="AG85" s="16">
        <f t="shared" si="5"/>
        <v>85</v>
      </c>
    </row>
    <row r="86" spans="1:34" ht="15.75" customHeight="1" thickBot="1" x14ac:dyDescent="0.3">
      <c r="A86" s="70" t="s">
        <v>34</v>
      </c>
      <c r="B86" s="71">
        <v>11</v>
      </c>
      <c r="C86" s="71">
        <v>20</v>
      </c>
      <c r="D86" s="71">
        <v>7</v>
      </c>
      <c r="E86" s="71">
        <v>4</v>
      </c>
      <c r="F86" s="71">
        <v>4</v>
      </c>
      <c r="G86" s="71">
        <v>1</v>
      </c>
      <c r="H86" s="71">
        <v>2</v>
      </c>
      <c r="I86" s="71">
        <v>1</v>
      </c>
      <c r="J86" s="71">
        <v>7</v>
      </c>
      <c r="K86" s="71">
        <v>4</v>
      </c>
      <c r="L86" s="71">
        <v>3</v>
      </c>
      <c r="M86" s="71">
        <v>3</v>
      </c>
      <c r="N86" s="71">
        <v>1</v>
      </c>
      <c r="O86" s="71">
        <v>3</v>
      </c>
      <c r="P86" s="71">
        <v>8</v>
      </c>
      <c r="Q86" s="71">
        <v>6</v>
      </c>
      <c r="R86" s="71">
        <v>5</v>
      </c>
      <c r="S86" s="71">
        <v>2</v>
      </c>
      <c r="T86" s="71">
        <v>4</v>
      </c>
      <c r="U86" s="71">
        <v>6</v>
      </c>
      <c r="V86" s="71">
        <v>8</v>
      </c>
      <c r="W86" s="71">
        <v>22</v>
      </c>
      <c r="X86" s="71">
        <v>19</v>
      </c>
      <c r="Y86" s="71">
        <v>20</v>
      </c>
      <c r="Z86" s="71">
        <v>16</v>
      </c>
      <c r="AA86" s="71">
        <v>8</v>
      </c>
      <c r="AB86" s="71">
        <v>16</v>
      </c>
      <c r="AC86" s="71">
        <v>16</v>
      </c>
      <c r="AD86" s="71">
        <v>22</v>
      </c>
      <c r="AE86" s="71">
        <v>10</v>
      </c>
      <c r="AF86" s="71"/>
      <c r="AG86" s="17">
        <f t="shared" si="5"/>
        <v>259</v>
      </c>
    </row>
    <row r="87" spans="1:34" ht="15.75" customHeight="1" thickBot="1" x14ac:dyDescent="0.3">
      <c r="A87" s="72" t="s">
        <v>35</v>
      </c>
      <c r="B87" s="18">
        <f t="shared" ref="B87:AF87" si="14">SUM(B88:B92)</f>
        <v>18</v>
      </c>
      <c r="C87" s="18">
        <f t="shared" si="14"/>
        <v>21</v>
      </c>
      <c r="D87" s="18">
        <f t="shared" si="14"/>
        <v>8</v>
      </c>
      <c r="E87" s="18">
        <f t="shared" si="14"/>
        <v>5</v>
      </c>
      <c r="F87" s="18">
        <f t="shared" si="14"/>
        <v>5</v>
      </c>
      <c r="G87" s="18">
        <f t="shared" si="14"/>
        <v>3</v>
      </c>
      <c r="H87" s="18">
        <f t="shared" si="14"/>
        <v>4</v>
      </c>
      <c r="I87" s="18">
        <f t="shared" si="14"/>
        <v>3</v>
      </c>
      <c r="J87" s="18">
        <f t="shared" si="14"/>
        <v>10</v>
      </c>
      <c r="K87" s="18">
        <f t="shared" si="14"/>
        <v>5</v>
      </c>
      <c r="L87" s="18">
        <f t="shared" si="14"/>
        <v>4</v>
      </c>
      <c r="M87" s="18">
        <f t="shared" si="14"/>
        <v>4</v>
      </c>
      <c r="N87" s="18">
        <f t="shared" si="14"/>
        <v>2</v>
      </c>
      <c r="O87" s="18">
        <f t="shared" si="14"/>
        <v>3</v>
      </c>
      <c r="P87" s="18">
        <f t="shared" si="14"/>
        <v>8</v>
      </c>
      <c r="Q87" s="18">
        <f t="shared" si="14"/>
        <v>9</v>
      </c>
      <c r="R87" s="18">
        <f t="shared" si="14"/>
        <v>5</v>
      </c>
      <c r="S87" s="18">
        <f t="shared" si="14"/>
        <v>3</v>
      </c>
      <c r="T87" s="18">
        <f t="shared" si="14"/>
        <v>4</v>
      </c>
      <c r="U87" s="18">
        <f t="shared" si="14"/>
        <v>9</v>
      </c>
      <c r="V87" s="18">
        <f t="shared" si="14"/>
        <v>11</v>
      </c>
      <c r="W87" s="18">
        <f t="shared" si="14"/>
        <v>33</v>
      </c>
      <c r="X87" s="18">
        <f t="shared" si="14"/>
        <v>27</v>
      </c>
      <c r="Y87" s="18">
        <f t="shared" si="14"/>
        <v>29</v>
      </c>
      <c r="Z87" s="18">
        <f t="shared" si="14"/>
        <v>21</v>
      </c>
      <c r="AA87" s="18">
        <f t="shared" si="14"/>
        <v>9</v>
      </c>
      <c r="AB87" s="18">
        <f t="shared" si="14"/>
        <v>21</v>
      </c>
      <c r="AC87" s="18">
        <f t="shared" si="14"/>
        <v>19</v>
      </c>
      <c r="AD87" s="18">
        <f t="shared" si="14"/>
        <v>30</v>
      </c>
      <c r="AE87" s="18">
        <f t="shared" si="14"/>
        <v>11</v>
      </c>
      <c r="AF87" s="18">
        <f t="shared" si="14"/>
        <v>0</v>
      </c>
      <c r="AG87" s="19">
        <f t="shared" si="5"/>
        <v>344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6</v>
      </c>
      <c r="C88" s="60">
        <v>4</v>
      </c>
      <c r="D88" s="60">
        <v>1</v>
      </c>
      <c r="E88" s="60">
        <v>2</v>
      </c>
      <c r="F88" s="60">
        <v>1</v>
      </c>
      <c r="G88" s="60">
        <v>2</v>
      </c>
      <c r="H88" s="60">
        <v>3</v>
      </c>
      <c r="I88" s="60">
        <v>1</v>
      </c>
      <c r="J88" s="60">
        <v>3</v>
      </c>
      <c r="K88" s="60">
        <v>1</v>
      </c>
      <c r="L88" s="60">
        <v>2</v>
      </c>
      <c r="M88" s="60">
        <v>1</v>
      </c>
      <c r="N88" s="60">
        <v>2</v>
      </c>
      <c r="O88" s="60">
        <v>3</v>
      </c>
      <c r="P88" s="60">
        <v>4</v>
      </c>
      <c r="Q88" s="60">
        <v>2</v>
      </c>
      <c r="R88" s="60">
        <v>4</v>
      </c>
      <c r="S88" s="60">
        <v>3</v>
      </c>
      <c r="T88" s="60">
        <v>3</v>
      </c>
      <c r="U88" s="60">
        <v>1</v>
      </c>
      <c r="V88" s="60">
        <v>0</v>
      </c>
      <c r="W88" s="60">
        <v>10</v>
      </c>
      <c r="X88" s="60">
        <v>7</v>
      </c>
      <c r="Y88" s="60">
        <v>17</v>
      </c>
      <c r="Z88" s="60">
        <v>7</v>
      </c>
      <c r="AA88" s="60">
        <v>3</v>
      </c>
      <c r="AB88" s="60">
        <v>6</v>
      </c>
      <c r="AC88" s="60">
        <v>2</v>
      </c>
      <c r="AD88" s="60">
        <v>9</v>
      </c>
      <c r="AE88" s="60">
        <v>3</v>
      </c>
      <c r="AF88" s="60"/>
      <c r="AG88" s="4">
        <f t="shared" si="5"/>
        <v>113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/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1</v>
      </c>
      <c r="X90" s="60">
        <v>0</v>
      </c>
      <c r="Y90" s="60">
        <v>1</v>
      </c>
      <c r="Z90" s="60">
        <v>0</v>
      </c>
      <c r="AA90" s="60">
        <v>0</v>
      </c>
      <c r="AB90" s="60">
        <v>0</v>
      </c>
      <c r="AC90" s="60">
        <v>0</v>
      </c>
      <c r="AD90" s="60">
        <v>1</v>
      </c>
      <c r="AE90" s="60">
        <v>0</v>
      </c>
      <c r="AF90" s="60"/>
      <c r="AG90" s="5">
        <f t="shared" si="5"/>
        <v>3</v>
      </c>
    </row>
    <row r="91" spans="1:34" ht="15.75" customHeight="1" x14ac:dyDescent="0.25">
      <c r="A91" s="74" t="s">
        <v>39</v>
      </c>
      <c r="B91" s="60">
        <v>12</v>
      </c>
      <c r="C91" s="60">
        <v>10</v>
      </c>
      <c r="D91" s="60">
        <v>4</v>
      </c>
      <c r="E91" s="60">
        <v>1</v>
      </c>
      <c r="F91" s="60">
        <v>3</v>
      </c>
      <c r="G91" s="60">
        <v>1</v>
      </c>
      <c r="H91" s="60">
        <v>1</v>
      </c>
      <c r="I91" s="60">
        <v>0</v>
      </c>
      <c r="J91" s="60">
        <v>6</v>
      </c>
      <c r="K91" s="60">
        <v>3</v>
      </c>
      <c r="L91" s="60">
        <v>1</v>
      </c>
      <c r="M91" s="60">
        <v>2</v>
      </c>
      <c r="N91" s="60">
        <v>0</v>
      </c>
      <c r="O91" s="60">
        <v>0</v>
      </c>
      <c r="P91" s="60">
        <v>3</v>
      </c>
      <c r="Q91" s="60">
        <v>4</v>
      </c>
      <c r="R91" s="60">
        <v>0</v>
      </c>
      <c r="S91" s="60">
        <v>0</v>
      </c>
      <c r="T91" s="60">
        <v>1</v>
      </c>
      <c r="U91" s="60">
        <v>5</v>
      </c>
      <c r="V91" s="60">
        <v>5</v>
      </c>
      <c r="W91" s="60">
        <v>16</v>
      </c>
      <c r="X91" s="60">
        <v>13</v>
      </c>
      <c r="Y91" s="60">
        <v>7</v>
      </c>
      <c r="Z91" s="60">
        <v>7</v>
      </c>
      <c r="AA91" s="60">
        <v>5</v>
      </c>
      <c r="AB91" s="60">
        <v>7</v>
      </c>
      <c r="AC91" s="60">
        <v>12</v>
      </c>
      <c r="AD91" s="60">
        <v>16</v>
      </c>
      <c r="AE91" s="60">
        <v>8</v>
      </c>
      <c r="AF91" s="60"/>
      <c r="AG91" s="5">
        <f t="shared" si="5"/>
        <v>153</v>
      </c>
    </row>
    <row r="92" spans="1:34" ht="15.75" customHeight="1" thickBot="1" x14ac:dyDescent="0.3">
      <c r="A92" s="74" t="s">
        <v>40</v>
      </c>
      <c r="B92" s="60">
        <v>0</v>
      </c>
      <c r="C92" s="60">
        <v>7</v>
      </c>
      <c r="D92" s="60">
        <v>3</v>
      </c>
      <c r="E92" s="60">
        <v>2</v>
      </c>
      <c r="F92" s="60">
        <v>1</v>
      </c>
      <c r="G92" s="60">
        <v>0</v>
      </c>
      <c r="H92" s="60">
        <v>0</v>
      </c>
      <c r="I92" s="60">
        <v>2</v>
      </c>
      <c r="J92" s="60">
        <v>1</v>
      </c>
      <c r="K92" s="60">
        <v>1</v>
      </c>
      <c r="L92" s="60">
        <v>1</v>
      </c>
      <c r="M92" s="60">
        <v>1</v>
      </c>
      <c r="N92" s="60">
        <v>0</v>
      </c>
      <c r="O92" s="60">
        <v>0</v>
      </c>
      <c r="P92" s="60">
        <v>1</v>
      </c>
      <c r="Q92" s="60">
        <v>3</v>
      </c>
      <c r="R92" s="60">
        <v>1</v>
      </c>
      <c r="S92" s="60">
        <v>0</v>
      </c>
      <c r="T92" s="60">
        <v>0</v>
      </c>
      <c r="U92" s="60">
        <v>3</v>
      </c>
      <c r="V92" s="60">
        <v>6</v>
      </c>
      <c r="W92" s="60">
        <v>6</v>
      </c>
      <c r="X92" s="60">
        <v>7</v>
      </c>
      <c r="Y92" s="60">
        <v>4</v>
      </c>
      <c r="Z92" s="60">
        <v>7</v>
      </c>
      <c r="AA92" s="60">
        <v>1</v>
      </c>
      <c r="AB92" s="60">
        <v>8</v>
      </c>
      <c r="AC92" s="60">
        <v>5</v>
      </c>
      <c r="AD92" s="60">
        <v>4</v>
      </c>
      <c r="AE92" s="60">
        <v>0</v>
      </c>
      <c r="AF92" s="60"/>
      <c r="AG92" s="5">
        <f t="shared" si="5"/>
        <v>75</v>
      </c>
    </row>
    <row r="93" spans="1:34" ht="15.75" customHeight="1" x14ac:dyDescent="0.25">
      <c r="A93" s="75" t="s">
        <v>41</v>
      </c>
      <c r="B93" s="20">
        <f t="shared" ref="B93:AF93" si="15">+B94+B100</f>
        <v>125</v>
      </c>
      <c r="C93" s="20">
        <f t="shared" si="15"/>
        <v>114</v>
      </c>
      <c r="D93" s="20">
        <f t="shared" si="15"/>
        <v>119</v>
      </c>
      <c r="E93" s="20">
        <f t="shared" si="15"/>
        <v>116</v>
      </c>
      <c r="F93" s="20">
        <f t="shared" si="15"/>
        <v>108</v>
      </c>
      <c r="G93" s="20">
        <f t="shared" si="15"/>
        <v>149</v>
      </c>
      <c r="H93" s="20">
        <f t="shared" si="15"/>
        <v>144</v>
      </c>
      <c r="I93" s="20">
        <f t="shared" si="15"/>
        <v>125</v>
      </c>
      <c r="J93" s="20">
        <f t="shared" si="15"/>
        <v>119</v>
      </c>
      <c r="K93" s="20">
        <f t="shared" si="15"/>
        <v>112</v>
      </c>
      <c r="L93" s="20">
        <f t="shared" si="15"/>
        <v>109</v>
      </c>
      <c r="M93" s="20">
        <f t="shared" si="15"/>
        <v>126</v>
      </c>
      <c r="N93" s="20">
        <f t="shared" si="15"/>
        <v>171</v>
      </c>
      <c r="O93" s="20">
        <f t="shared" si="15"/>
        <v>174</v>
      </c>
      <c r="P93" s="20">
        <f t="shared" si="15"/>
        <v>122</v>
      </c>
      <c r="Q93" s="20">
        <f t="shared" si="15"/>
        <v>127</v>
      </c>
      <c r="R93" s="20">
        <f t="shared" si="15"/>
        <v>122</v>
      </c>
      <c r="S93" s="20">
        <f t="shared" si="15"/>
        <v>127</v>
      </c>
      <c r="T93" s="20">
        <f t="shared" si="15"/>
        <v>151</v>
      </c>
      <c r="U93" s="20">
        <f t="shared" si="15"/>
        <v>161</v>
      </c>
      <c r="V93" s="20">
        <f t="shared" si="15"/>
        <v>158</v>
      </c>
      <c r="W93" s="20">
        <f t="shared" si="15"/>
        <v>141</v>
      </c>
      <c r="X93" s="20">
        <f t="shared" si="15"/>
        <v>138</v>
      </c>
      <c r="Y93" s="20">
        <f t="shared" si="15"/>
        <v>128</v>
      </c>
      <c r="Z93" s="20">
        <f t="shared" si="15"/>
        <v>137</v>
      </c>
      <c r="AA93" s="20">
        <f t="shared" si="15"/>
        <v>123</v>
      </c>
      <c r="AB93" s="20">
        <f t="shared" si="15"/>
        <v>181</v>
      </c>
      <c r="AC93" s="20">
        <f t="shared" si="15"/>
        <v>173</v>
      </c>
      <c r="AD93" s="20">
        <f t="shared" si="15"/>
        <v>125</v>
      </c>
      <c r="AE93" s="20">
        <f t="shared" si="15"/>
        <v>133</v>
      </c>
      <c r="AF93" s="20">
        <f t="shared" si="15"/>
        <v>0</v>
      </c>
      <c r="AG93" s="5">
        <f t="shared" si="5"/>
        <v>4058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24</v>
      </c>
      <c r="C94" s="21">
        <f t="shared" si="16"/>
        <v>28</v>
      </c>
      <c r="D94" s="21">
        <f t="shared" si="16"/>
        <v>24</v>
      </c>
      <c r="E94" s="21">
        <f t="shared" si="16"/>
        <v>23</v>
      </c>
      <c r="F94" s="21">
        <f t="shared" si="16"/>
        <v>11</v>
      </c>
      <c r="G94" s="21">
        <f t="shared" si="16"/>
        <v>28</v>
      </c>
      <c r="H94" s="21">
        <f t="shared" si="16"/>
        <v>38</v>
      </c>
      <c r="I94" s="21">
        <f t="shared" si="16"/>
        <v>32</v>
      </c>
      <c r="J94" s="21">
        <f t="shared" si="16"/>
        <v>20</v>
      </c>
      <c r="K94" s="21">
        <f t="shared" si="16"/>
        <v>32</v>
      </c>
      <c r="L94" s="21">
        <f t="shared" si="16"/>
        <v>14</v>
      </c>
      <c r="M94" s="21">
        <f t="shared" si="16"/>
        <v>21</v>
      </c>
      <c r="N94" s="21">
        <f t="shared" si="16"/>
        <v>28</v>
      </c>
      <c r="O94" s="21">
        <f t="shared" si="16"/>
        <v>40</v>
      </c>
      <c r="P94" s="21">
        <f t="shared" si="16"/>
        <v>22</v>
      </c>
      <c r="Q94" s="21">
        <f t="shared" si="16"/>
        <v>27</v>
      </c>
      <c r="R94" s="21">
        <f t="shared" si="16"/>
        <v>16</v>
      </c>
      <c r="S94" s="21">
        <f t="shared" si="16"/>
        <v>15</v>
      </c>
      <c r="T94" s="21">
        <f t="shared" si="16"/>
        <v>29</v>
      </c>
      <c r="U94" s="21">
        <f t="shared" si="16"/>
        <v>26</v>
      </c>
      <c r="V94" s="21">
        <f t="shared" si="16"/>
        <v>18</v>
      </c>
      <c r="W94" s="21">
        <f t="shared" si="16"/>
        <v>22</v>
      </c>
      <c r="X94" s="21">
        <f t="shared" si="16"/>
        <v>23</v>
      </c>
      <c r="Y94" s="21">
        <f t="shared" si="16"/>
        <v>15</v>
      </c>
      <c r="Z94" s="21">
        <f t="shared" si="16"/>
        <v>15</v>
      </c>
      <c r="AA94" s="21">
        <f t="shared" si="16"/>
        <v>14</v>
      </c>
      <c r="AB94" s="21">
        <f t="shared" si="16"/>
        <v>16</v>
      </c>
      <c r="AC94" s="21">
        <f t="shared" si="16"/>
        <v>19</v>
      </c>
      <c r="AD94" s="21">
        <f t="shared" si="16"/>
        <v>16</v>
      </c>
      <c r="AE94" s="21">
        <f t="shared" si="16"/>
        <v>18</v>
      </c>
      <c r="AF94" s="21">
        <f t="shared" si="16"/>
        <v>0</v>
      </c>
      <c r="AG94" s="5">
        <f t="shared" si="5"/>
        <v>674</v>
      </c>
    </row>
    <row r="95" spans="1:34" ht="15.75" customHeight="1" x14ac:dyDescent="0.25">
      <c r="A95" s="78" t="s">
        <v>43</v>
      </c>
      <c r="B95" s="54">
        <v>0</v>
      </c>
      <c r="C95" s="54">
        <v>0</v>
      </c>
      <c r="D95" s="54">
        <v>0</v>
      </c>
      <c r="E95" s="54">
        <v>0</v>
      </c>
      <c r="F95" s="54">
        <v>1</v>
      </c>
      <c r="G95" s="54">
        <v>1</v>
      </c>
      <c r="H95" s="54">
        <v>0</v>
      </c>
      <c r="I95" s="54">
        <v>0</v>
      </c>
      <c r="J95" s="54">
        <v>0</v>
      </c>
      <c r="K95" s="54">
        <v>1</v>
      </c>
      <c r="L95" s="54">
        <v>0</v>
      </c>
      <c r="M95" s="54">
        <v>0</v>
      </c>
      <c r="N95" s="54">
        <v>1</v>
      </c>
      <c r="O95" s="54">
        <v>0</v>
      </c>
      <c r="P95" s="54">
        <v>0</v>
      </c>
      <c r="Q95" s="54">
        <v>0</v>
      </c>
      <c r="R95" s="54">
        <v>0</v>
      </c>
      <c r="S95" s="54">
        <v>1</v>
      </c>
      <c r="T95" s="54">
        <v>2</v>
      </c>
      <c r="U95" s="54">
        <v>0</v>
      </c>
      <c r="V95" s="54">
        <v>1</v>
      </c>
      <c r="W95" s="54">
        <v>1</v>
      </c>
      <c r="X95" s="54">
        <v>0</v>
      </c>
      <c r="Y95" s="54">
        <v>0</v>
      </c>
      <c r="Z95" s="54">
        <v>0</v>
      </c>
      <c r="AA95" s="54">
        <v>0</v>
      </c>
      <c r="AB95" s="54">
        <v>1</v>
      </c>
      <c r="AC95" s="54">
        <v>0</v>
      </c>
      <c r="AD95" s="54">
        <v>0</v>
      </c>
      <c r="AE95" s="54">
        <v>0</v>
      </c>
      <c r="AF95" s="54"/>
      <c r="AG95" s="5">
        <f t="shared" si="5"/>
        <v>10</v>
      </c>
    </row>
    <row r="96" spans="1:34" ht="15.75" customHeight="1" x14ac:dyDescent="0.25">
      <c r="A96" s="79" t="s">
        <v>44</v>
      </c>
      <c r="B96" s="54">
        <v>2</v>
      </c>
      <c r="C96" s="54">
        <v>1</v>
      </c>
      <c r="D96" s="54">
        <v>2</v>
      </c>
      <c r="E96" s="54">
        <v>2</v>
      </c>
      <c r="F96" s="54">
        <v>0</v>
      </c>
      <c r="G96" s="54">
        <v>3</v>
      </c>
      <c r="H96" s="54">
        <v>2</v>
      </c>
      <c r="I96" s="54">
        <v>4</v>
      </c>
      <c r="J96" s="54">
        <v>0</v>
      </c>
      <c r="K96" s="54">
        <v>2</v>
      </c>
      <c r="L96" s="54">
        <v>1</v>
      </c>
      <c r="M96" s="54">
        <v>3</v>
      </c>
      <c r="N96" s="54">
        <v>2</v>
      </c>
      <c r="O96" s="54">
        <v>6</v>
      </c>
      <c r="P96" s="54">
        <v>4</v>
      </c>
      <c r="Q96" s="54">
        <v>1</v>
      </c>
      <c r="R96" s="54">
        <v>2</v>
      </c>
      <c r="S96" s="54">
        <v>0</v>
      </c>
      <c r="T96" s="54">
        <v>4</v>
      </c>
      <c r="U96" s="54">
        <v>4</v>
      </c>
      <c r="V96" s="54">
        <v>0</v>
      </c>
      <c r="W96" s="54">
        <v>2</v>
      </c>
      <c r="X96" s="54">
        <v>0</v>
      </c>
      <c r="Y96" s="54">
        <v>0</v>
      </c>
      <c r="Z96" s="54">
        <v>1</v>
      </c>
      <c r="AA96" s="54">
        <v>0</v>
      </c>
      <c r="AB96" s="54">
        <v>2</v>
      </c>
      <c r="AC96" s="54">
        <v>1</v>
      </c>
      <c r="AD96" s="54">
        <v>0</v>
      </c>
      <c r="AE96" s="54">
        <v>1</v>
      </c>
      <c r="AF96" s="54"/>
      <c r="AG96" s="5">
        <f t="shared" si="5"/>
        <v>52</v>
      </c>
    </row>
    <row r="97" spans="1:33" ht="15.75" customHeight="1" x14ac:dyDescent="0.25">
      <c r="A97" s="80" t="s">
        <v>45</v>
      </c>
      <c r="B97" s="54">
        <v>7</v>
      </c>
      <c r="C97" s="54">
        <v>3</v>
      </c>
      <c r="D97" s="54">
        <v>7</v>
      </c>
      <c r="E97" s="54">
        <v>6</v>
      </c>
      <c r="F97" s="54">
        <v>3</v>
      </c>
      <c r="G97" s="54">
        <v>4</v>
      </c>
      <c r="H97" s="54">
        <v>5</v>
      </c>
      <c r="I97" s="54">
        <v>8</v>
      </c>
      <c r="J97" s="54">
        <v>1</v>
      </c>
      <c r="K97" s="54">
        <v>6</v>
      </c>
      <c r="L97" s="54">
        <v>4</v>
      </c>
      <c r="M97" s="54">
        <v>4</v>
      </c>
      <c r="N97" s="54">
        <v>5</v>
      </c>
      <c r="O97" s="54">
        <v>6</v>
      </c>
      <c r="P97" s="54">
        <v>7</v>
      </c>
      <c r="Q97" s="54">
        <v>7</v>
      </c>
      <c r="R97" s="54">
        <v>5</v>
      </c>
      <c r="S97" s="54">
        <v>4</v>
      </c>
      <c r="T97" s="54">
        <v>4</v>
      </c>
      <c r="U97" s="54">
        <v>7</v>
      </c>
      <c r="V97" s="54">
        <v>7</v>
      </c>
      <c r="W97" s="54">
        <v>4</v>
      </c>
      <c r="X97" s="54">
        <v>1</v>
      </c>
      <c r="Y97" s="54">
        <v>2</v>
      </c>
      <c r="Z97" s="54">
        <v>3</v>
      </c>
      <c r="AA97" s="54">
        <v>2</v>
      </c>
      <c r="AB97" s="54">
        <v>3</v>
      </c>
      <c r="AC97" s="54">
        <v>5</v>
      </c>
      <c r="AD97" s="54">
        <v>1</v>
      </c>
      <c r="AE97" s="54">
        <v>4</v>
      </c>
      <c r="AF97" s="54"/>
      <c r="AG97" s="5">
        <f t="shared" si="5"/>
        <v>135</v>
      </c>
    </row>
    <row r="98" spans="1:33" ht="15.75" customHeight="1" x14ac:dyDescent="0.25">
      <c r="A98" s="81" t="s">
        <v>46</v>
      </c>
      <c r="B98" s="54">
        <v>9</v>
      </c>
      <c r="C98" s="54">
        <v>13</v>
      </c>
      <c r="D98" s="54">
        <v>8</v>
      </c>
      <c r="E98" s="54">
        <v>12</v>
      </c>
      <c r="F98" s="54">
        <v>5</v>
      </c>
      <c r="G98" s="54">
        <v>11</v>
      </c>
      <c r="H98" s="54">
        <v>16</v>
      </c>
      <c r="I98" s="54">
        <v>10</v>
      </c>
      <c r="J98" s="54">
        <v>10</v>
      </c>
      <c r="K98" s="54">
        <v>13</v>
      </c>
      <c r="L98" s="54">
        <v>3</v>
      </c>
      <c r="M98" s="54">
        <v>10</v>
      </c>
      <c r="N98" s="54">
        <v>12</v>
      </c>
      <c r="O98" s="54">
        <v>13</v>
      </c>
      <c r="P98" s="54">
        <v>8</v>
      </c>
      <c r="Q98" s="54">
        <v>12</v>
      </c>
      <c r="R98" s="54">
        <v>5</v>
      </c>
      <c r="S98" s="54">
        <v>7</v>
      </c>
      <c r="T98" s="54">
        <v>11</v>
      </c>
      <c r="U98" s="54">
        <v>9</v>
      </c>
      <c r="V98" s="54">
        <v>4</v>
      </c>
      <c r="W98" s="54">
        <v>5</v>
      </c>
      <c r="X98" s="54">
        <v>13</v>
      </c>
      <c r="Y98" s="54">
        <v>5</v>
      </c>
      <c r="Z98" s="54">
        <v>3</v>
      </c>
      <c r="AA98" s="54">
        <v>7</v>
      </c>
      <c r="AB98" s="54">
        <v>6</v>
      </c>
      <c r="AC98" s="54">
        <v>5</v>
      </c>
      <c r="AD98" s="54">
        <v>8</v>
      </c>
      <c r="AE98" s="54">
        <v>6</v>
      </c>
      <c r="AF98" s="54"/>
      <c r="AG98" s="5">
        <f t="shared" si="5"/>
        <v>259</v>
      </c>
    </row>
    <row r="99" spans="1:33" ht="15.75" customHeight="1" x14ac:dyDescent="0.25">
      <c r="A99" s="82" t="s">
        <v>47</v>
      </c>
      <c r="B99" s="54">
        <v>6</v>
      </c>
      <c r="C99" s="54">
        <v>11</v>
      </c>
      <c r="D99" s="54">
        <v>7</v>
      </c>
      <c r="E99" s="54">
        <v>3</v>
      </c>
      <c r="F99" s="54">
        <v>2</v>
      </c>
      <c r="G99" s="54">
        <v>9</v>
      </c>
      <c r="H99" s="54">
        <v>15</v>
      </c>
      <c r="I99" s="54">
        <v>10</v>
      </c>
      <c r="J99" s="54">
        <v>9</v>
      </c>
      <c r="K99" s="54">
        <v>10</v>
      </c>
      <c r="L99" s="54">
        <v>6</v>
      </c>
      <c r="M99" s="54">
        <v>4</v>
      </c>
      <c r="N99" s="54">
        <v>8</v>
      </c>
      <c r="O99" s="54">
        <v>15</v>
      </c>
      <c r="P99" s="54">
        <v>3</v>
      </c>
      <c r="Q99" s="54">
        <v>7</v>
      </c>
      <c r="R99" s="54">
        <v>4</v>
      </c>
      <c r="S99" s="54">
        <v>3</v>
      </c>
      <c r="T99" s="54">
        <v>8</v>
      </c>
      <c r="U99" s="54">
        <v>6</v>
      </c>
      <c r="V99" s="54">
        <v>6</v>
      </c>
      <c r="W99" s="54">
        <v>10</v>
      </c>
      <c r="X99" s="54">
        <v>9</v>
      </c>
      <c r="Y99" s="54">
        <v>8</v>
      </c>
      <c r="Z99" s="54">
        <v>8</v>
      </c>
      <c r="AA99" s="54">
        <v>5</v>
      </c>
      <c r="AB99" s="54">
        <v>4</v>
      </c>
      <c r="AC99" s="54">
        <v>8</v>
      </c>
      <c r="AD99" s="54">
        <v>7</v>
      </c>
      <c r="AE99" s="54">
        <v>7</v>
      </c>
      <c r="AF99" s="54"/>
      <c r="AG99" s="5">
        <f t="shared" ref="AG99:AG162" si="17">SUM(B99:AF99)</f>
        <v>218</v>
      </c>
    </row>
    <row r="100" spans="1:33" ht="15.75" customHeight="1" x14ac:dyDescent="0.25">
      <c r="A100" s="76" t="s">
        <v>48</v>
      </c>
      <c r="B100" s="21">
        <f t="shared" ref="B100:AF100" si="18">SUM(B101:B115)</f>
        <v>101</v>
      </c>
      <c r="C100" s="21">
        <f t="shared" si="18"/>
        <v>86</v>
      </c>
      <c r="D100" s="21">
        <f t="shared" si="18"/>
        <v>95</v>
      </c>
      <c r="E100" s="21">
        <f t="shared" si="18"/>
        <v>93</v>
      </c>
      <c r="F100" s="21">
        <f t="shared" si="18"/>
        <v>97</v>
      </c>
      <c r="G100" s="21">
        <f t="shared" si="18"/>
        <v>121</v>
      </c>
      <c r="H100" s="21">
        <f t="shared" si="18"/>
        <v>106</v>
      </c>
      <c r="I100" s="21">
        <f t="shared" si="18"/>
        <v>93</v>
      </c>
      <c r="J100" s="21">
        <f t="shared" si="18"/>
        <v>99</v>
      </c>
      <c r="K100" s="21">
        <f t="shared" si="18"/>
        <v>80</v>
      </c>
      <c r="L100" s="21">
        <f t="shared" si="18"/>
        <v>95</v>
      </c>
      <c r="M100" s="21">
        <f t="shared" si="18"/>
        <v>105</v>
      </c>
      <c r="N100" s="21">
        <f t="shared" si="18"/>
        <v>143</v>
      </c>
      <c r="O100" s="21">
        <f t="shared" si="18"/>
        <v>134</v>
      </c>
      <c r="P100" s="21">
        <f t="shared" si="18"/>
        <v>100</v>
      </c>
      <c r="Q100" s="21">
        <f t="shared" si="18"/>
        <v>100</v>
      </c>
      <c r="R100" s="21">
        <f t="shared" si="18"/>
        <v>106</v>
      </c>
      <c r="S100" s="21">
        <f t="shared" si="18"/>
        <v>112</v>
      </c>
      <c r="T100" s="21">
        <f t="shared" si="18"/>
        <v>122</v>
      </c>
      <c r="U100" s="21">
        <f t="shared" si="18"/>
        <v>135</v>
      </c>
      <c r="V100" s="21">
        <f t="shared" si="18"/>
        <v>140</v>
      </c>
      <c r="W100" s="21">
        <f t="shared" si="18"/>
        <v>119</v>
      </c>
      <c r="X100" s="21">
        <f t="shared" si="18"/>
        <v>115</v>
      </c>
      <c r="Y100" s="21">
        <f t="shared" si="18"/>
        <v>113</v>
      </c>
      <c r="Z100" s="21">
        <f t="shared" si="18"/>
        <v>122</v>
      </c>
      <c r="AA100" s="21">
        <f t="shared" si="18"/>
        <v>109</v>
      </c>
      <c r="AB100" s="21">
        <f t="shared" si="18"/>
        <v>165</v>
      </c>
      <c r="AC100" s="21">
        <f t="shared" si="18"/>
        <v>154</v>
      </c>
      <c r="AD100" s="21">
        <f t="shared" si="18"/>
        <v>109</v>
      </c>
      <c r="AE100" s="21">
        <f t="shared" si="18"/>
        <v>115</v>
      </c>
      <c r="AF100" s="21">
        <f t="shared" si="18"/>
        <v>0</v>
      </c>
      <c r="AG100" s="5">
        <f t="shared" si="17"/>
        <v>3384</v>
      </c>
    </row>
    <row r="101" spans="1:33" ht="15.75" customHeight="1" x14ac:dyDescent="0.25">
      <c r="A101" s="82" t="s">
        <v>49</v>
      </c>
      <c r="B101" s="54">
        <v>7</v>
      </c>
      <c r="C101" s="54">
        <v>10</v>
      </c>
      <c r="D101" s="54">
        <v>13</v>
      </c>
      <c r="E101" s="54">
        <v>11</v>
      </c>
      <c r="F101" s="54">
        <v>8</v>
      </c>
      <c r="G101" s="54">
        <v>6</v>
      </c>
      <c r="H101" s="54">
        <v>4</v>
      </c>
      <c r="I101" s="54">
        <v>13</v>
      </c>
      <c r="J101" s="54">
        <v>8</v>
      </c>
      <c r="K101" s="54">
        <v>5</v>
      </c>
      <c r="L101" s="54">
        <v>8</v>
      </c>
      <c r="M101" s="54">
        <v>4</v>
      </c>
      <c r="N101" s="54">
        <v>9</v>
      </c>
      <c r="O101" s="54">
        <v>16</v>
      </c>
      <c r="P101" s="54">
        <v>5</v>
      </c>
      <c r="Q101" s="54">
        <v>6</v>
      </c>
      <c r="R101" s="54">
        <v>6</v>
      </c>
      <c r="S101" s="54">
        <v>8</v>
      </c>
      <c r="T101" s="54">
        <v>3</v>
      </c>
      <c r="U101" s="54">
        <v>2</v>
      </c>
      <c r="V101" s="54">
        <v>9</v>
      </c>
      <c r="W101" s="54">
        <v>13</v>
      </c>
      <c r="X101" s="54">
        <v>8</v>
      </c>
      <c r="Y101" s="54">
        <v>14</v>
      </c>
      <c r="Z101" s="54">
        <v>12</v>
      </c>
      <c r="AA101" s="54">
        <v>3</v>
      </c>
      <c r="AB101" s="54">
        <v>13</v>
      </c>
      <c r="AC101" s="54">
        <v>10</v>
      </c>
      <c r="AD101" s="54">
        <v>13</v>
      </c>
      <c r="AE101" s="54">
        <v>11</v>
      </c>
      <c r="AF101" s="54"/>
      <c r="AG101" s="5">
        <f t="shared" si="17"/>
        <v>258</v>
      </c>
    </row>
    <row r="102" spans="1:33" ht="15.75" customHeight="1" x14ac:dyDescent="0.25">
      <c r="A102" s="82" t="s">
        <v>50</v>
      </c>
      <c r="B102" s="54">
        <v>11</v>
      </c>
      <c r="C102" s="54">
        <v>11</v>
      </c>
      <c r="D102" s="54">
        <v>9</v>
      </c>
      <c r="E102" s="54">
        <v>5</v>
      </c>
      <c r="F102" s="54">
        <v>15</v>
      </c>
      <c r="G102" s="54">
        <v>13</v>
      </c>
      <c r="H102" s="54">
        <v>4</v>
      </c>
      <c r="I102" s="54">
        <v>13</v>
      </c>
      <c r="J102" s="54">
        <v>10</v>
      </c>
      <c r="K102" s="54">
        <v>3</v>
      </c>
      <c r="L102" s="54">
        <v>10</v>
      </c>
      <c r="M102" s="54">
        <v>10</v>
      </c>
      <c r="N102" s="54">
        <v>12</v>
      </c>
      <c r="O102" s="54">
        <v>15</v>
      </c>
      <c r="P102" s="54">
        <v>11</v>
      </c>
      <c r="Q102" s="54">
        <v>8</v>
      </c>
      <c r="R102" s="54">
        <v>11</v>
      </c>
      <c r="S102" s="54">
        <v>11</v>
      </c>
      <c r="T102" s="54">
        <v>6</v>
      </c>
      <c r="U102" s="54">
        <v>11</v>
      </c>
      <c r="V102" s="54">
        <v>9</v>
      </c>
      <c r="W102" s="54">
        <v>11</v>
      </c>
      <c r="X102" s="54">
        <v>9</v>
      </c>
      <c r="Y102" s="54">
        <v>8</v>
      </c>
      <c r="Z102" s="54">
        <v>10</v>
      </c>
      <c r="AA102" s="54">
        <v>14</v>
      </c>
      <c r="AB102" s="54">
        <v>7</v>
      </c>
      <c r="AC102" s="54">
        <v>14</v>
      </c>
      <c r="AD102" s="54">
        <v>13</v>
      </c>
      <c r="AE102" s="54">
        <v>10</v>
      </c>
      <c r="AF102" s="54"/>
      <c r="AG102" s="5">
        <f t="shared" si="17"/>
        <v>304</v>
      </c>
    </row>
    <row r="103" spans="1:33" ht="15.75" customHeight="1" x14ac:dyDescent="0.25">
      <c r="A103" s="78" t="s">
        <v>51</v>
      </c>
      <c r="B103" s="54">
        <v>9</v>
      </c>
      <c r="C103" s="54">
        <v>7</v>
      </c>
      <c r="D103" s="54">
        <v>6</v>
      </c>
      <c r="E103" s="54">
        <v>5</v>
      </c>
      <c r="F103" s="54">
        <v>13</v>
      </c>
      <c r="G103" s="54">
        <v>5</v>
      </c>
      <c r="H103" s="54">
        <v>13</v>
      </c>
      <c r="I103" s="54">
        <v>10</v>
      </c>
      <c r="J103" s="54">
        <v>4</v>
      </c>
      <c r="K103" s="54">
        <v>5</v>
      </c>
      <c r="L103" s="54">
        <v>3</v>
      </c>
      <c r="M103" s="54">
        <v>6</v>
      </c>
      <c r="N103" s="54">
        <v>7</v>
      </c>
      <c r="O103" s="54">
        <v>7</v>
      </c>
      <c r="P103" s="54">
        <v>5</v>
      </c>
      <c r="Q103" s="54">
        <v>8</v>
      </c>
      <c r="R103" s="54">
        <v>10</v>
      </c>
      <c r="S103" s="54">
        <v>8</v>
      </c>
      <c r="T103" s="54">
        <v>7</v>
      </c>
      <c r="U103" s="54">
        <v>10</v>
      </c>
      <c r="V103" s="54">
        <v>9</v>
      </c>
      <c r="W103" s="54">
        <v>11</v>
      </c>
      <c r="X103" s="54">
        <v>12</v>
      </c>
      <c r="Y103" s="54">
        <v>11</v>
      </c>
      <c r="Z103" s="54">
        <v>10</v>
      </c>
      <c r="AA103" s="54">
        <v>10</v>
      </c>
      <c r="AB103" s="54">
        <v>13</v>
      </c>
      <c r="AC103" s="54">
        <v>14</v>
      </c>
      <c r="AD103" s="54">
        <v>11</v>
      </c>
      <c r="AE103" s="54">
        <v>8</v>
      </c>
      <c r="AF103" s="54"/>
      <c r="AG103" s="5">
        <f t="shared" si="17"/>
        <v>257</v>
      </c>
    </row>
    <row r="104" spans="1:33" ht="15.75" customHeight="1" x14ac:dyDescent="0.25">
      <c r="A104" s="78" t="s">
        <v>52</v>
      </c>
      <c r="B104" s="54">
        <v>5</v>
      </c>
      <c r="C104" s="54">
        <v>2</v>
      </c>
      <c r="D104" s="54">
        <v>7</v>
      </c>
      <c r="E104" s="54">
        <v>6</v>
      </c>
      <c r="F104" s="54">
        <v>4</v>
      </c>
      <c r="G104" s="54">
        <v>15</v>
      </c>
      <c r="H104" s="54">
        <v>7</v>
      </c>
      <c r="I104" s="54">
        <v>6</v>
      </c>
      <c r="J104" s="54">
        <v>6</v>
      </c>
      <c r="K104" s="54">
        <v>6</v>
      </c>
      <c r="L104" s="54">
        <v>5</v>
      </c>
      <c r="M104" s="54">
        <v>7</v>
      </c>
      <c r="N104" s="54">
        <v>11</v>
      </c>
      <c r="O104" s="54">
        <v>10</v>
      </c>
      <c r="P104" s="54">
        <v>5</v>
      </c>
      <c r="Q104" s="54">
        <v>3</v>
      </c>
      <c r="R104" s="54">
        <v>8</v>
      </c>
      <c r="S104" s="54">
        <v>10</v>
      </c>
      <c r="T104" s="54">
        <v>14</v>
      </c>
      <c r="U104" s="54">
        <v>12</v>
      </c>
      <c r="V104" s="54">
        <v>7</v>
      </c>
      <c r="W104" s="54">
        <v>9</v>
      </c>
      <c r="X104" s="54">
        <v>9</v>
      </c>
      <c r="Y104" s="54">
        <v>6</v>
      </c>
      <c r="Z104" s="54">
        <v>8</v>
      </c>
      <c r="AA104" s="54">
        <v>7</v>
      </c>
      <c r="AB104" s="54">
        <v>10</v>
      </c>
      <c r="AC104" s="54">
        <v>11</v>
      </c>
      <c r="AD104" s="54">
        <v>4</v>
      </c>
      <c r="AE104" s="54">
        <v>6</v>
      </c>
      <c r="AF104" s="54"/>
      <c r="AG104" s="5">
        <f t="shared" si="17"/>
        <v>226</v>
      </c>
    </row>
    <row r="105" spans="1:33" ht="15.75" customHeight="1" x14ac:dyDescent="0.25">
      <c r="A105" s="78" t="s">
        <v>53</v>
      </c>
      <c r="B105" s="54">
        <v>7</v>
      </c>
      <c r="C105" s="54">
        <v>5</v>
      </c>
      <c r="D105" s="54">
        <v>7</v>
      </c>
      <c r="E105" s="54">
        <v>4</v>
      </c>
      <c r="F105" s="54">
        <v>7</v>
      </c>
      <c r="G105" s="54">
        <v>8</v>
      </c>
      <c r="H105" s="54">
        <v>10</v>
      </c>
      <c r="I105" s="54">
        <v>7</v>
      </c>
      <c r="J105" s="54">
        <v>8</v>
      </c>
      <c r="K105" s="54">
        <v>10</v>
      </c>
      <c r="L105" s="54">
        <v>11</v>
      </c>
      <c r="M105" s="54">
        <v>7</v>
      </c>
      <c r="N105" s="54">
        <v>14</v>
      </c>
      <c r="O105" s="54">
        <v>9</v>
      </c>
      <c r="P105" s="54">
        <v>12</v>
      </c>
      <c r="Q105" s="54">
        <v>10</v>
      </c>
      <c r="R105" s="54">
        <v>11</v>
      </c>
      <c r="S105" s="54">
        <v>9</v>
      </c>
      <c r="T105" s="54">
        <v>12</v>
      </c>
      <c r="U105" s="54">
        <v>8</v>
      </c>
      <c r="V105" s="54">
        <v>14</v>
      </c>
      <c r="W105" s="54">
        <v>9</v>
      </c>
      <c r="X105" s="54">
        <v>4</v>
      </c>
      <c r="Y105" s="54">
        <v>11</v>
      </c>
      <c r="Z105" s="54">
        <v>1</v>
      </c>
      <c r="AA105" s="54">
        <v>9</v>
      </c>
      <c r="AB105" s="54">
        <v>6</v>
      </c>
      <c r="AC105" s="54">
        <v>10</v>
      </c>
      <c r="AD105" s="54">
        <v>9</v>
      </c>
      <c r="AE105" s="54">
        <v>12</v>
      </c>
      <c r="AF105" s="54"/>
      <c r="AG105" s="5">
        <f t="shared" si="17"/>
        <v>261</v>
      </c>
    </row>
    <row r="106" spans="1:33" ht="15.75" customHeight="1" x14ac:dyDescent="0.25">
      <c r="A106" s="78" t="s">
        <v>54</v>
      </c>
      <c r="B106" s="54">
        <v>7</v>
      </c>
      <c r="C106" s="54">
        <v>9</v>
      </c>
      <c r="D106" s="54">
        <v>3</v>
      </c>
      <c r="E106" s="54">
        <v>7</v>
      </c>
      <c r="F106" s="54">
        <v>5</v>
      </c>
      <c r="G106" s="54">
        <v>4</v>
      </c>
      <c r="H106" s="54">
        <v>4</v>
      </c>
      <c r="I106" s="54">
        <v>5</v>
      </c>
      <c r="J106" s="54">
        <v>3</v>
      </c>
      <c r="K106" s="54">
        <v>2</v>
      </c>
      <c r="L106" s="54">
        <v>4</v>
      </c>
      <c r="M106" s="54">
        <v>8</v>
      </c>
      <c r="N106" s="54">
        <v>12</v>
      </c>
      <c r="O106" s="54">
        <v>9</v>
      </c>
      <c r="P106" s="54">
        <v>9</v>
      </c>
      <c r="Q106" s="54">
        <v>7</v>
      </c>
      <c r="R106" s="54">
        <v>9</v>
      </c>
      <c r="S106" s="54">
        <v>8</v>
      </c>
      <c r="T106" s="54">
        <v>9</v>
      </c>
      <c r="U106" s="54">
        <v>8</v>
      </c>
      <c r="V106" s="54">
        <v>11</v>
      </c>
      <c r="W106" s="54">
        <v>5</v>
      </c>
      <c r="X106" s="54">
        <v>11</v>
      </c>
      <c r="Y106" s="54">
        <v>6</v>
      </c>
      <c r="Z106" s="54">
        <v>7</v>
      </c>
      <c r="AA106" s="54">
        <v>9</v>
      </c>
      <c r="AB106" s="54">
        <v>12</v>
      </c>
      <c r="AC106" s="54">
        <v>10</v>
      </c>
      <c r="AD106" s="54">
        <v>5</v>
      </c>
      <c r="AE106" s="54">
        <v>3</v>
      </c>
      <c r="AF106" s="54"/>
      <c r="AG106" s="5">
        <f t="shared" si="17"/>
        <v>211</v>
      </c>
    </row>
    <row r="107" spans="1:33" ht="15.75" customHeight="1" x14ac:dyDescent="0.25">
      <c r="A107" s="78" t="s">
        <v>55</v>
      </c>
      <c r="B107" s="54">
        <v>7</v>
      </c>
      <c r="C107" s="54">
        <v>4</v>
      </c>
      <c r="D107" s="54">
        <v>4</v>
      </c>
      <c r="E107" s="54">
        <v>6</v>
      </c>
      <c r="F107" s="54">
        <v>6</v>
      </c>
      <c r="G107" s="54">
        <v>7</v>
      </c>
      <c r="H107" s="54">
        <v>12</v>
      </c>
      <c r="I107" s="54">
        <v>6</v>
      </c>
      <c r="J107" s="54">
        <v>7</v>
      </c>
      <c r="K107" s="54">
        <v>3</v>
      </c>
      <c r="L107" s="54">
        <v>6</v>
      </c>
      <c r="M107" s="54">
        <v>7</v>
      </c>
      <c r="N107" s="54">
        <v>7</v>
      </c>
      <c r="O107" s="54">
        <v>5</v>
      </c>
      <c r="P107" s="54">
        <v>8</v>
      </c>
      <c r="Q107" s="54">
        <v>7</v>
      </c>
      <c r="R107" s="54">
        <v>4</v>
      </c>
      <c r="S107" s="54">
        <v>7</v>
      </c>
      <c r="T107" s="54">
        <v>9</v>
      </c>
      <c r="U107" s="54">
        <v>9</v>
      </c>
      <c r="V107" s="54">
        <v>13</v>
      </c>
      <c r="W107" s="54">
        <v>6</v>
      </c>
      <c r="X107" s="54">
        <v>7</v>
      </c>
      <c r="Y107" s="54">
        <v>16</v>
      </c>
      <c r="Z107" s="54">
        <v>11</v>
      </c>
      <c r="AA107" s="54">
        <v>11</v>
      </c>
      <c r="AB107" s="54">
        <v>11</v>
      </c>
      <c r="AC107" s="54">
        <v>17</v>
      </c>
      <c r="AD107" s="54">
        <v>4</v>
      </c>
      <c r="AE107" s="54">
        <v>6</v>
      </c>
      <c r="AF107" s="54"/>
      <c r="AG107" s="5">
        <f t="shared" si="17"/>
        <v>233</v>
      </c>
    </row>
    <row r="108" spans="1:33" ht="15.75" customHeight="1" x14ac:dyDescent="0.25">
      <c r="A108" s="78" t="s">
        <v>56</v>
      </c>
      <c r="B108" s="54">
        <v>9</v>
      </c>
      <c r="C108" s="54">
        <v>7</v>
      </c>
      <c r="D108" s="54">
        <v>8</v>
      </c>
      <c r="E108" s="54">
        <v>8</v>
      </c>
      <c r="F108" s="54">
        <v>6</v>
      </c>
      <c r="G108" s="54">
        <v>9</v>
      </c>
      <c r="H108" s="54">
        <v>12</v>
      </c>
      <c r="I108" s="54">
        <v>4</v>
      </c>
      <c r="J108" s="54">
        <v>6</v>
      </c>
      <c r="K108" s="54">
        <v>9</v>
      </c>
      <c r="L108" s="54">
        <v>8</v>
      </c>
      <c r="M108" s="54">
        <v>6</v>
      </c>
      <c r="N108" s="54">
        <v>9</v>
      </c>
      <c r="O108" s="54">
        <v>17</v>
      </c>
      <c r="P108" s="54">
        <v>6</v>
      </c>
      <c r="Q108" s="54">
        <v>12</v>
      </c>
      <c r="R108" s="54">
        <v>5</v>
      </c>
      <c r="S108" s="54">
        <v>9</v>
      </c>
      <c r="T108" s="54">
        <v>5</v>
      </c>
      <c r="U108" s="54">
        <v>16</v>
      </c>
      <c r="V108" s="54">
        <v>10</v>
      </c>
      <c r="W108" s="54">
        <v>9</v>
      </c>
      <c r="X108" s="54">
        <v>11</v>
      </c>
      <c r="Y108" s="54">
        <v>6</v>
      </c>
      <c r="Z108" s="54">
        <v>12</v>
      </c>
      <c r="AA108" s="54">
        <v>10</v>
      </c>
      <c r="AB108" s="54">
        <v>14</v>
      </c>
      <c r="AC108" s="54">
        <v>11</v>
      </c>
      <c r="AD108" s="54">
        <v>5</v>
      </c>
      <c r="AE108" s="54">
        <v>11</v>
      </c>
      <c r="AF108" s="54"/>
      <c r="AG108" s="5">
        <f t="shared" si="17"/>
        <v>270</v>
      </c>
    </row>
    <row r="109" spans="1:33" ht="15.75" customHeight="1" x14ac:dyDescent="0.25">
      <c r="A109" s="78" t="s">
        <v>57</v>
      </c>
      <c r="B109" s="54">
        <v>11</v>
      </c>
      <c r="C109" s="54">
        <v>5</v>
      </c>
      <c r="D109" s="54">
        <v>10</v>
      </c>
      <c r="E109" s="54">
        <v>11</v>
      </c>
      <c r="F109" s="54">
        <v>9</v>
      </c>
      <c r="G109" s="54">
        <v>10</v>
      </c>
      <c r="H109" s="54">
        <v>9</v>
      </c>
      <c r="I109" s="54">
        <v>5</v>
      </c>
      <c r="J109" s="54">
        <v>6</v>
      </c>
      <c r="K109" s="54">
        <v>6</v>
      </c>
      <c r="L109" s="54">
        <v>10</v>
      </c>
      <c r="M109" s="54">
        <v>14</v>
      </c>
      <c r="N109" s="54">
        <v>11</v>
      </c>
      <c r="O109" s="54">
        <v>14</v>
      </c>
      <c r="P109" s="54">
        <v>9</v>
      </c>
      <c r="Q109" s="54">
        <v>11</v>
      </c>
      <c r="R109" s="54">
        <v>7</v>
      </c>
      <c r="S109" s="54">
        <v>6</v>
      </c>
      <c r="T109" s="54">
        <v>13</v>
      </c>
      <c r="U109" s="54">
        <v>12</v>
      </c>
      <c r="V109" s="54">
        <v>16</v>
      </c>
      <c r="W109" s="54">
        <v>14</v>
      </c>
      <c r="X109" s="54">
        <v>11</v>
      </c>
      <c r="Y109" s="54">
        <v>4</v>
      </c>
      <c r="Z109" s="54">
        <v>12</v>
      </c>
      <c r="AA109" s="54">
        <v>7</v>
      </c>
      <c r="AB109" s="54">
        <v>16</v>
      </c>
      <c r="AC109" s="54">
        <v>13</v>
      </c>
      <c r="AD109" s="54">
        <v>9</v>
      </c>
      <c r="AE109" s="54">
        <v>11</v>
      </c>
      <c r="AF109" s="54"/>
      <c r="AG109" s="5">
        <f t="shared" si="17"/>
        <v>302</v>
      </c>
    </row>
    <row r="110" spans="1:33" ht="15.75" customHeight="1" x14ac:dyDescent="0.25">
      <c r="A110" s="78" t="s">
        <v>58</v>
      </c>
      <c r="B110" s="54">
        <v>4</v>
      </c>
      <c r="C110" s="54">
        <v>8</v>
      </c>
      <c r="D110" s="54">
        <v>10</v>
      </c>
      <c r="E110" s="54">
        <v>7</v>
      </c>
      <c r="F110" s="54">
        <v>5</v>
      </c>
      <c r="G110" s="54">
        <v>12</v>
      </c>
      <c r="H110" s="54">
        <v>6</v>
      </c>
      <c r="I110" s="54">
        <v>7</v>
      </c>
      <c r="J110" s="54">
        <v>8</v>
      </c>
      <c r="K110" s="54">
        <v>10</v>
      </c>
      <c r="L110" s="54">
        <v>7</v>
      </c>
      <c r="M110" s="54">
        <v>13</v>
      </c>
      <c r="N110" s="54">
        <v>11</v>
      </c>
      <c r="O110" s="54">
        <v>6</v>
      </c>
      <c r="P110" s="54">
        <v>11</v>
      </c>
      <c r="Q110" s="54">
        <v>7</v>
      </c>
      <c r="R110" s="54">
        <v>7</v>
      </c>
      <c r="S110" s="54">
        <v>11</v>
      </c>
      <c r="T110" s="54">
        <v>9</v>
      </c>
      <c r="U110" s="54">
        <v>11</v>
      </c>
      <c r="V110" s="54">
        <v>13</v>
      </c>
      <c r="W110" s="54">
        <v>7</v>
      </c>
      <c r="X110" s="54">
        <v>10</v>
      </c>
      <c r="Y110" s="54">
        <v>5</v>
      </c>
      <c r="Z110" s="54">
        <v>10</v>
      </c>
      <c r="AA110" s="54">
        <v>10</v>
      </c>
      <c r="AB110" s="54">
        <v>22</v>
      </c>
      <c r="AC110" s="54">
        <v>8</v>
      </c>
      <c r="AD110" s="54">
        <v>3</v>
      </c>
      <c r="AE110" s="54">
        <v>7</v>
      </c>
      <c r="AF110" s="54"/>
      <c r="AG110" s="5">
        <f t="shared" si="17"/>
        <v>265</v>
      </c>
    </row>
    <row r="111" spans="1:33" ht="15.75" customHeight="1" x14ac:dyDescent="0.25">
      <c r="A111" s="78" t="s">
        <v>59</v>
      </c>
      <c r="B111" s="54">
        <v>6</v>
      </c>
      <c r="C111" s="54">
        <v>4</v>
      </c>
      <c r="D111" s="54">
        <v>5</v>
      </c>
      <c r="E111" s="54">
        <v>4</v>
      </c>
      <c r="F111" s="54">
        <v>5</v>
      </c>
      <c r="G111" s="54">
        <v>7</v>
      </c>
      <c r="H111" s="54">
        <v>9</v>
      </c>
      <c r="I111" s="54">
        <v>6</v>
      </c>
      <c r="J111" s="54">
        <v>7</v>
      </c>
      <c r="K111" s="54">
        <v>5</v>
      </c>
      <c r="L111" s="54">
        <v>11</v>
      </c>
      <c r="M111" s="54">
        <v>4</v>
      </c>
      <c r="N111" s="54">
        <v>15</v>
      </c>
      <c r="O111" s="54">
        <v>5</v>
      </c>
      <c r="P111" s="54">
        <v>5</v>
      </c>
      <c r="Q111" s="54">
        <v>3</v>
      </c>
      <c r="R111" s="54">
        <v>10</v>
      </c>
      <c r="S111" s="54">
        <v>5</v>
      </c>
      <c r="T111" s="54">
        <v>6</v>
      </c>
      <c r="U111" s="54">
        <v>10</v>
      </c>
      <c r="V111" s="54">
        <v>7</v>
      </c>
      <c r="W111" s="54">
        <v>6</v>
      </c>
      <c r="X111" s="54">
        <v>6</v>
      </c>
      <c r="Y111" s="54">
        <v>4</v>
      </c>
      <c r="Z111" s="54">
        <v>7</v>
      </c>
      <c r="AA111" s="54">
        <v>5</v>
      </c>
      <c r="AB111" s="54">
        <v>8</v>
      </c>
      <c r="AC111" s="54">
        <v>4</v>
      </c>
      <c r="AD111" s="54">
        <v>8</v>
      </c>
      <c r="AE111" s="54">
        <v>13</v>
      </c>
      <c r="AF111" s="54"/>
      <c r="AG111" s="5">
        <f t="shared" si="17"/>
        <v>200</v>
      </c>
    </row>
    <row r="112" spans="1:33" ht="15.75" customHeight="1" x14ac:dyDescent="0.25">
      <c r="A112" s="78" t="s">
        <v>60</v>
      </c>
      <c r="B112" s="54">
        <v>8</v>
      </c>
      <c r="C112" s="54">
        <v>4</v>
      </c>
      <c r="D112" s="54">
        <v>3</v>
      </c>
      <c r="E112" s="54">
        <v>9</v>
      </c>
      <c r="F112" s="54">
        <v>6</v>
      </c>
      <c r="G112" s="54">
        <v>4</v>
      </c>
      <c r="H112" s="54">
        <v>7</v>
      </c>
      <c r="I112" s="54">
        <v>3</v>
      </c>
      <c r="J112" s="54">
        <v>8</v>
      </c>
      <c r="K112" s="54">
        <v>5</v>
      </c>
      <c r="L112" s="54">
        <v>1</v>
      </c>
      <c r="M112" s="54">
        <v>4</v>
      </c>
      <c r="N112" s="54">
        <v>10</v>
      </c>
      <c r="O112" s="54">
        <v>6</v>
      </c>
      <c r="P112" s="54">
        <v>3</v>
      </c>
      <c r="Q112" s="54">
        <v>6</v>
      </c>
      <c r="R112" s="54">
        <v>4</v>
      </c>
      <c r="S112" s="54">
        <v>8</v>
      </c>
      <c r="T112" s="54">
        <v>12</v>
      </c>
      <c r="U112" s="54">
        <v>12</v>
      </c>
      <c r="V112" s="54">
        <v>9</v>
      </c>
      <c r="W112" s="54">
        <v>5</v>
      </c>
      <c r="X112" s="54">
        <v>5</v>
      </c>
      <c r="Y112" s="54">
        <v>7</v>
      </c>
      <c r="Z112" s="54">
        <v>5</v>
      </c>
      <c r="AA112" s="54">
        <v>4</v>
      </c>
      <c r="AB112" s="54">
        <v>17</v>
      </c>
      <c r="AC112" s="54">
        <v>12</v>
      </c>
      <c r="AD112" s="54">
        <v>10</v>
      </c>
      <c r="AE112" s="54">
        <v>4</v>
      </c>
      <c r="AF112" s="54"/>
      <c r="AG112" s="5">
        <f t="shared" si="17"/>
        <v>201</v>
      </c>
    </row>
    <row r="113" spans="1:37" ht="15.75" customHeight="1" x14ac:dyDescent="0.25">
      <c r="A113" s="78" t="s">
        <v>61</v>
      </c>
      <c r="B113" s="54">
        <v>3</v>
      </c>
      <c r="C113" s="54">
        <v>3</v>
      </c>
      <c r="D113" s="54">
        <v>3</v>
      </c>
      <c r="E113" s="54">
        <v>5</v>
      </c>
      <c r="F113" s="54">
        <v>3</v>
      </c>
      <c r="G113" s="54">
        <v>13</v>
      </c>
      <c r="H113" s="54">
        <v>4</v>
      </c>
      <c r="I113" s="54">
        <v>3</v>
      </c>
      <c r="J113" s="54">
        <v>7</v>
      </c>
      <c r="K113" s="54">
        <v>5</v>
      </c>
      <c r="L113" s="54">
        <v>6</v>
      </c>
      <c r="M113" s="54">
        <v>4</v>
      </c>
      <c r="N113" s="54">
        <v>8</v>
      </c>
      <c r="O113" s="54">
        <v>7</v>
      </c>
      <c r="P113" s="54">
        <v>5</v>
      </c>
      <c r="Q113" s="54">
        <v>3</v>
      </c>
      <c r="R113" s="54">
        <v>6</v>
      </c>
      <c r="S113" s="54">
        <v>5</v>
      </c>
      <c r="T113" s="54">
        <v>5</v>
      </c>
      <c r="U113" s="54">
        <v>7</v>
      </c>
      <c r="V113" s="54">
        <v>6</v>
      </c>
      <c r="W113" s="54">
        <v>10</v>
      </c>
      <c r="X113" s="54">
        <v>4</v>
      </c>
      <c r="Y113" s="54">
        <v>9</v>
      </c>
      <c r="Z113" s="54">
        <v>7</v>
      </c>
      <c r="AA113" s="54">
        <v>5</v>
      </c>
      <c r="AB113" s="54">
        <v>2</v>
      </c>
      <c r="AC113" s="54">
        <v>4</v>
      </c>
      <c r="AD113" s="54">
        <v>6</v>
      </c>
      <c r="AE113" s="54">
        <v>5</v>
      </c>
      <c r="AF113" s="54"/>
      <c r="AG113" s="5">
        <f t="shared" si="17"/>
        <v>163</v>
      </c>
    </row>
    <row r="114" spans="1:37" ht="15.75" customHeight="1" x14ac:dyDescent="0.25">
      <c r="A114" s="78" t="s">
        <v>62</v>
      </c>
      <c r="B114" s="54">
        <v>7</v>
      </c>
      <c r="C114" s="54">
        <v>7</v>
      </c>
      <c r="D114" s="54">
        <v>7</v>
      </c>
      <c r="E114" s="54">
        <v>5</v>
      </c>
      <c r="F114" s="54">
        <v>5</v>
      </c>
      <c r="G114" s="54">
        <v>8</v>
      </c>
      <c r="H114" s="54">
        <v>5</v>
      </c>
      <c r="I114" s="54">
        <v>5</v>
      </c>
      <c r="J114" s="54">
        <v>11</v>
      </c>
      <c r="K114" s="54">
        <v>6</v>
      </c>
      <c r="L114" s="54">
        <v>5</v>
      </c>
      <c r="M114" s="54">
        <v>11</v>
      </c>
      <c r="N114" s="54">
        <v>7</v>
      </c>
      <c r="O114" s="54">
        <v>8</v>
      </c>
      <c r="P114" s="54">
        <v>6</v>
      </c>
      <c r="Q114" s="54">
        <v>9</v>
      </c>
      <c r="R114" s="54">
        <v>8</v>
      </c>
      <c r="S114" s="54">
        <v>7</v>
      </c>
      <c r="T114" s="54">
        <v>12</v>
      </c>
      <c r="U114" s="54">
        <v>7</v>
      </c>
      <c r="V114" s="54">
        <v>7</v>
      </c>
      <c r="W114" s="54">
        <v>4</v>
      </c>
      <c r="X114" s="54">
        <v>8</v>
      </c>
      <c r="Y114" s="54">
        <v>6</v>
      </c>
      <c r="Z114" s="54">
        <v>10</v>
      </c>
      <c r="AA114" s="54">
        <v>5</v>
      </c>
      <c r="AB114" s="54">
        <v>14</v>
      </c>
      <c r="AC114" s="54">
        <v>16</v>
      </c>
      <c r="AD114" s="54">
        <v>9</v>
      </c>
      <c r="AE114" s="54">
        <v>8</v>
      </c>
      <c r="AF114" s="54"/>
      <c r="AG114" s="5">
        <f t="shared" si="17"/>
        <v>233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43</v>
      </c>
      <c r="C116" s="20">
        <f t="shared" si="19"/>
        <v>39</v>
      </c>
      <c r="D116" s="20">
        <f t="shared" si="19"/>
        <v>34</v>
      </c>
      <c r="E116" s="20">
        <f t="shared" si="19"/>
        <v>32</v>
      </c>
      <c r="F116" s="20">
        <f t="shared" si="19"/>
        <v>28</v>
      </c>
      <c r="G116" s="20">
        <f t="shared" si="19"/>
        <v>40</v>
      </c>
      <c r="H116" s="20">
        <f t="shared" si="19"/>
        <v>41</v>
      </c>
      <c r="I116" s="20">
        <f t="shared" si="19"/>
        <v>40</v>
      </c>
      <c r="J116" s="20">
        <f t="shared" si="19"/>
        <v>34</v>
      </c>
      <c r="K116" s="20">
        <f t="shared" si="19"/>
        <v>35</v>
      </c>
      <c r="L116" s="20">
        <f t="shared" si="19"/>
        <v>28</v>
      </c>
      <c r="M116" s="20">
        <f t="shared" si="19"/>
        <v>41</v>
      </c>
      <c r="N116" s="20">
        <f t="shared" si="19"/>
        <v>54</v>
      </c>
      <c r="O116" s="20">
        <f t="shared" si="19"/>
        <v>46</v>
      </c>
      <c r="P116" s="20">
        <f t="shared" si="19"/>
        <v>37</v>
      </c>
      <c r="Q116" s="20">
        <f t="shared" si="19"/>
        <v>35</v>
      </c>
      <c r="R116" s="20">
        <f t="shared" si="19"/>
        <v>33</v>
      </c>
      <c r="S116" s="20">
        <f t="shared" si="19"/>
        <v>46</v>
      </c>
      <c r="T116" s="20">
        <f t="shared" si="19"/>
        <v>51</v>
      </c>
      <c r="U116" s="20">
        <f t="shared" si="19"/>
        <v>44</v>
      </c>
      <c r="V116" s="20">
        <f t="shared" si="19"/>
        <v>53</v>
      </c>
      <c r="W116" s="20">
        <f t="shared" si="19"/>
        <v>54</v>
      </c>
      <c r="X116" s="20">
        <f t="shared" si="19"/>
        <v>53</v>
      </c>
      <c r="Y116" s="20">
        <f t="shared" si="19"/>
        <v>48</v>
      </c>
      <c r="Z116" s="20">
        <f t="shared" si="19"/>
        <v>49</v>
      </c>
      <c r="AA116" s="20">
        <f t="shared" si="19"/>
        <v>33</v>
      </c>
      <c r="AB116" s="20">
        <f t="shared" si="19"/>
        <v>73</v>
      </c>
      <c r="AC116" s="20">
        <f t="shared" si="19"/>
        <v>50</v>
      </c>
      <c r="AD116" s="20">
        <f t="shared" si="19"/>
        <v>49</v>
      </c>
      <c r="AE116" s="20">
        <f t="shared" si="19"/>
        <v>41</v>
      </c>
      <c r="AF116" s="20">
        <f t="shared" si="19"/>
        <v>0</v>
      </c>
      <c r="AG116" s="5">
        <f t="shared" si="17"/>
        <v>1284</v>
      </c>
      <c r="AK116" s="84">
        <v>612</v>
      </c>
    </row>
    <row r="117" spans="1:37" ht="15.75" customHeight="1" x14ac:dyDescent="0.25">
      <c r="A117" s="85" t="s">
        <v>64</v>
      </c>
      <c r="B117" s="54">
        <v>38</v>
      </c>
      <c r="C117" s="54">
        <v>34</v>
      </c>
      <c r="D117" s="54">
        <v>29</v>
      </c>
      <c r="E117" s="54">
        <v>28</v>
      </c>
      <c r="F117" s="54">
        <v>27</v>
      </c>
      <c r="G117" s="54">
        <v>39</v>
      </c>
      <c r="H117" s="54">
        <v>35</v>
      </c>
      <c r="I117" s="54">
        <v>28</v>
      </c>
      <c r="J117" s="54">
        <v>31</v>
      </c>
      <c r="K117" s="54">
        <v>31</v>
      </c>
      <c r="L117" s="54">
        <v>24</v>
      </c>
      <c r="M117" s="54">
        <v>37</v>
      </c>
      <c r="N117" s="54">
        <v>43</v>
      </c>
      <c r="O117" s="54">
        <v>35</v>
      </c>
      <c r="P117" s="54">
        <v>26</v>
      </c>
      <c r="Q117" s="54">
        <v>29</v>
      </c>
      <c r="R117" s="54">
        <v>27</v>
      </c>
      <c r="S117" s="54">
        <v>38</v>
      </c>
      <c r="T117" s="54">
        <v>39</v>
      </c>
      <c r="U117" s="54">
        <v>38</v>
      </c>
      <c r="V117" s="54">
        <v>44</v>
      </c>
      <c r="W117" s="54">
        <v>41</v>
      </c>
      <c r="X117" s="54">
        <v>48</v>
      </c>
      <c r="Y117" s="54">
        <v>40</v>
      </c>
      <c r="Z117" s="54">
        <v>40</v>
      </c>
      <c r="AA117" s="54">
        <v>29</v>
      </c>
      <c r="AB117" s="54">
        <v>67</v>
      </c>
      <c r="AC117" s="54">
        <v>41</v>
      </c>
      <c r="AD117" s="54">
        <v>46</v>
      </c>
      <c r="AE117" s="54">
        <v>35</v>
      </c>
      <c r="AF117" s="54"/>
      <c r="AG117" s="5">
        <f t="shared" si="17"/>
        <v>1087</v>
      </c>
      <c r="AK117" s="84">
        <v>613</v>
      </c>
    </row>
    <row r="118" spans="1:37" ht="15.75" customHeight="1" thickBot="1" x14ac:dyDescent="0.3">
      <c r="A118" s="86" t="s">
        <v>76</v>
      </c>
      <c r="B118" s="87">
        <v>5</v>
      </c>
      <c r="C118" s="87">
        <v>5</v>
      </c>
      <c r="D118" s="87">
        <v>5</v>
      </c>
      <c r="E118" s="87">
        <v>4</v>
      </c>
      <c r="F118" s="87">
        <v>1</v>
      </c>
      <c r="G118" s="87">
        <v>1</v>
      </c>
      <c r="H118" s="87">
        <v>6</v>
      </c>
      <c r="I118" s="87">
        <v>12</v>
      </c>
      <c r="J118" s="87">
        <v>3</v>
      </c>
      <c r="K118" s="87">
        <v>4</v>
      </c>
      <c r="L118" s="87">
        <v>4</v>
      </c>
      <c r="M118" s="87">
        <v>4</v>
      </c>
      <c r="N118" s="87">
        <v>11</v>
      </c>
      <c r="O118" s="87">
        <v>11</v>
      </c>
      <c r="P118" s="87">
        <v>11</v>
      </c>
      <c r="Q118" s="87">
        <v>6</v>
      </c>
      <c r="R118" s="87">
        <v>6</v>
      </c>
      <c r="S118" s="87">
        <v>8</v>
      </c>
      <c r="T118" s="87">
        <v>12</v>
      </c>
      <c r="U118" s="87">
        <v>6</v>
      </c>
      <c r="V118" s="87">
        <v>9</v>
      </c>
      <c r="W118" s="87">
        <v>13</v>
      </c>
      <c r="X118" s="87">
        <v>5</v>
      </c>
      <c r="Y118" s="87">
        <v>8</v>
      </c>
      <c r="Z118" s="87">
        <v>9</v>
      </c>
      <c r="AA118" s="87">
        <v>4</v>
      </c>
      <c r="AB118" s="87">
        <v>6</v>
      </c>
      <c r="AC118" s="87">
        <v>9</v>
      </c>
      <c r="AD118" s="87">
        <v>3</v>
      </c>
      <c r="AE118" s="87">
        <v>6</v>
      </c>
      <c r="AF118" s="87"/>
      <c r="AG118" s="5">
        <f t="shared" si="17"/>
        <v>197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125</v>
      </c>
      <c r="C119" s="20">
        <f t="shared" si="20"/>
        <v>114</v>
      </c>
      <c r="D119" s="20">
        <f t="shared" si="20"/>
        <v>119</v>
      </c>
      <c r="E119" s="20">
        <f t="shared" si="20"/>
        <v>116</v>
      </c>
      <c r="F119" s="20">
        <f t="shared" si="20"/>
        <v>108</v>
      </c>
      <c r="G119" s="20">
        <f t="shared" si="20"/>
        <v>149</v>
      </c>
      <c r="H119" s="20">
        <f t="shared" si="20"/>
        <v>144</v>
      </c>
      <c r="I119" s="20">
        <f t="shared" si="20"/>
        <v>125</v>
      </c>
      <c r="J119" s="20">
        <f t="shared" si="20"/>
        <v>119</v>
      </c>
      <c r="K119" s="20">
        <f t="shared" si="20"/>
        <v>112</v>
      </c>
      <c r="L119" s="20">
        <f t="shared" si="20"/>
        <v>109</v>
      </c>
      <c r="M119" s="20">
        <f t="shared" si="20"/>
        <v>126</v>
      </c>
      <c r="N119" s="20">
        <f t="shared" si="20"/>
        <v>171</v>
      </c>
      <c r="O119" s="20">
        <f t="shared" si="20"/>
        <v>174</v>
      </c>
      <c r="P119" s="20">
        <f t="shared" si="20"/>
        <v>122</v>
      </c>
      <c r="Q119" s="20">
        <f t="shared" si="20"/>
        <v>127</v>
      </c>
      <c r="R119" s="20">
        <f t="shared" si="20"/>
        <v>122</v>
      </c>
      <c r="S119" s="20">
        <f t="shared" si="20"/>
        <v>127</v>
      </c>
      <c r="T119" s="20">
        <f t="shared" si="20"/>
        <v>151</v>
      </c>
      <c r="U119" s="20">
        <f t="shared" si="20"/>
        <v>161</v>
      </c>
      <c r="V119" s="20">
        <f t="shared" si="20"/>
        <v>158</v>
      </c>
      <c r="W119" s="20">
        <f t="shared" si="20"/>
        <v>141</v>
      </c>
      <c r="X119" s="20">
        <f t="shared" si="20"/>
        <v>138</v>
      </c>
      <c r="Y119" s="20">
        <f t="shared" si="20"/>
        <v>128</v>
      </c>
      <c r="Z119" s="20">
        <f t="shared" si="20"/>
        <v>137</v>
      </c>
      <c r="AA119" s="20">
        <f t="shared" si="20"/>
        <v>123</v>
      </c>
      <c r="AB119" s="20">
        <f t="shared" si="20"/>
        <v>181</v>
      </c>
      <c r="AC119" s="20">
        <f t="shared" si="20"/>
        <v>173</v>
      </c>
      <c r="AD119" s="20">
        <f t="shared" si="20"/>
        <v>125</v>
      </c>
      <c r="AE119" s="20">
        <f t="shared" si="20"/>
        <v>133</v>
      </c>
      <c r="AF119" s="20">
        <f t="shared" si="20"/>
        <v>0</v>
      </c>
      <c r="AG119" s="7">
        <f t="shared" si="17"/>
        <v>4058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32</v>
      </c>
      <c r="C120" s="54">
        <v>28</v>
      </c>
      <c r="D120" s="54">
        <v>27</v>
      </c>
      <c r="E120" s="54">
        <v>27</v>
      </c>
      <c r="F120" s="54">
        <v>26</v>
      </c>
      <c r="G120" s="54">
        <v>37</v>
      </c>
      <c r="H120" s="54">
        <v>35</v>
      </c>
      <c r="I120" s="54">
        <v>27</v>
      </c>
      <c r="J120" s="54">
        <v>30</v>
      </c>
      <c r="K120" s="54">
        <v>30</v>
      </c>
      <c r="L120" s="54">
        <v>23</v>
      </c>
      <c r="M120" s="54">
        <v>35</v>
      </c>
      <c r="N120" s="54">
        <v>41</v>
      </c>
      <c r="O120" s="54">
        <v>35</v>
      </c>
      <c r="P120" s="54">
        <v>25</v>
      </c>
      <c r="Q120" s="54">
        <v>28</v>
      </c>
      <c r="R120" s="54">
        <v>27</v>
      </c>
      <c r="S120" s="54">
        <v>38</v>
      </c>
      <c r="T120" s="54">
        <v>36</v>
      </c>
      <c r="U120" s="54">
        <v>35</v>
      </c>
      <c r="V120" s="54">
        <v>43</v>
      </c>
      <c r="W120" s="54">
        <v>34</v>
      </c>
      <c r="X120" s="54">
        <v>40</v>
      </c>
      <c r="Y120" s="54">
        <v>32</v>
      </c>
      <c r="Z120" s="54">
        <v>35</v>
      </c>
      <c r="AA120" s="54">
        <v>27</v>
      </c>
      <c r="AB120" s="54">
        <v>54</v>
      </c>
      <c r="AC120" s="54">
        <v>38</v>
      </c>
      <c r="AD120" s="54">
        <v>38</v>
      </c>
      <c r="AE120" s="54">
        <v>34</v>
      </c>
      <c r="AF120" s="54"/>
      <c r="AG120" s="5">
        <f t="shared" si="17"/>
        <v>997</v>
      </c>
      <c r="AK120" s="88" t="s">
        <v>130</v>
      </c>
    </row>
    <row r="121" spans="1:37" ht="15.75" customHeight="1" x14ac:dyDescent="0.25">
      <c r="A121" s="85" t="s">
        <v>65</v>
      </c>
      <c r="B121" s="54">
        <v>2</v>
      </c>
      <c r="C121" s="54">
        <v>0</v>
      </c>
      <c r="D121" s="54">
        <v>3</v>
      </c>
      <c r="E121" s="54">
        <v>1</v>
      </c>
      <c r="F121" s="54">
        <v>2</v>
      </c>
      <c r="G121" s="54">
        <v>1</v>
      </c>
      <c r="H121" s="54">
        <v>4</v>
      </c>
      <c r="I121" s="54">
        <v>4</v>
      </c>
      <c r="J121" s="54">
        <v>1</v>
      </c>
      <c r="K121" s="54">
        <v>2</v>
      </c>
      <c r="L121" s="54">
        <v>4</v>
      </c>
      <c r="M121" s="54">
        <v>1</v>
      </c>
      <c r="N121" s="54">
        <v>2</v>
      </c>
      <c r="O121" s="54">
        <v>1</v>
      </c>
      <c r="P121" s="54">
        <v>2</v>
      </c>
      <c r="Q121" s="54">
        <v>2</v>
      </c>
      <c r="R121" s="54">
        <v>1</v>
      </c>
      <c r="S121" s="54">
        <v>5</v>
      </c>
      <c r="T121" s="54">
        <v>6</v>
      </c>
      <c r="U121" s="54">
        <v>1</v>
      </c>
      <c r="V121" s="54">
        <v>4</v>
      </c>
      <c r="W121" s="54">
        <v>2</v>
      </c>
      <c r="X121" s="54">
        <v>4</v>
      </c>
      <c r="Y121" s="54">
        <v>5</v>
      </c>
      <c r="Z121" s="54">
        <v>1</v>
      </c>
      <c r="AA121" s="54">
        <v>1</v>
      </c>
      <c r="AB121" s="54">
        <v>3</v>
      </c>
      <c r="AC121" s="54">
        <v>2</v>
      </c>
      <c r="AD121" s="54">
        <v>3</v>
      </c>
      <c r="AE121" s="54">
        <v>1</v>
      </c>
      <c r="AF121" s="54"/>
      <c r="AG121" s="5">
        <f t="shared" si="17"/>
        <v>71</v>
      </c>
      <c r="AK121" s="84" t="s">
        <v>131</v>
      </c>
    </row>
    <row r="122" spans="1:37" ht="15.75" customHeight="1" x14ac:dyDescent="0.25">
      <c r="A122" s="85" t="s">
        <v>66</v>
      </c>
      <c r="B122" s="54">
        <v>8</v>
      </c>
      <c r="C122" s="54">
        <v>4</v>
      </c>
      <c r="D122" s="54">
        <v>10</v>
      </c>
      <c r="E122" s="54">
        <v>7</v>
      </c>
      <c r="F122" s="54">
        <v>4</v>
      </c>
      <c r="G122" s="54">
        <v>6</v>
      </c>
      <c r="H122" s="54">
        <v>7</v>
      </c>
      <c r="I122" s="54">
        <v>7</v>
      </c>
      <c r="J122" s="54">
        <v>8</v>
      </c>
      <c r="K122" s="54">
        <v>4</v>
      </c>
      <c r="L122" s="54">
        <v>4</v>
      </c>
      <c r="M122" s="54">
        <v>10</v>
      </c>
      <c r="N122" s="54">
        <v>8</v>
      </c>
      <c r="O122" s="54">
        <v>11</v>
      </c>
      <c r="P122" s="54">
        <v>6</v>
      </c>
      <c r="Q122" s="54">
        <v>3</v>
      </c>
      <c r="R122" s="54">
        <v>7</v>
      </c>
      <c r="S122" s="54">
        <v>4</v>
      </c>
      <c r="T122" s="54">
        <v>6</v>
      </c>
      <c r="U122" s="54">
        <v>2</v>
      </c>
      <c r="V122" s="54">
        <v>7</v>
      </c>
      <c r="W122" s="54">
        <v>7</v>
      </c>
      <c r="X122" s="54">
        <v>5</v>
      </c>
      <c r="Y122" s="54">
        <v>11</v>
      </c>
      <c r="Z122" s="54">
        <v>13</v>
      </c>
      <c r="AA122" s="54">
        <v>6</v>
      </c>
      <c r="AB122" s="54">
        <v>5</v>
      </c>
      <c r="AC122" s="54">
        <v>5</v>
      </c>
      <c r="AD122" s="54">
        <v>8</v>
      </c>
      <c r="AE122" s="54">
        <v>6</v>
      </c>
      <c r="AF122" s="54"/>
      <c r="AG122" s="5">
        <f t="shared" si="17"/>
        <v>199</v>
      </c>
      <c r="AK122" s="88" t="s">
        <v>132</v>
      </c>
    </row>
    <row r="123" spans="1:37" ht="15.75" customHeight="1" x14ac:dyDescent="0.25">
      <c r="A123" s="85" t="s">
        <v>67</v>
      </c>
      <c r="B123" s="54">
        <v>5</v>
      </c>
      <c r="C123" s="54">
        <v>4</v>
      </c>
      <c r="D123" s="54">
        <v>1</v>
      </c>
      <c r="E123" s="54">
        <v>8</v>
      </c>
      <c r="F123" s="54">
        <v>5</v>
      </c>
      <c r="G123" s="54">
        <v>2</v>
      </c>
      <c r="H123" s="54">
        <v>4</v>
      </c>
      <c r="I123" s="54">
        <v>0</v>
      </c>
      <c r="J123" s="54">
        <v>2</v>
      </c>
      <c r="K123" s="54">
        <v>4</v>
      </c>
      <c r="L123" s="54">
        <v>3</v>
      </c>
      <c r="M123" s="54">
        <v>5</v>
      </c>
      <c r="N123" s="54">
        <v>8</v>
      </c>
      <c r="O123" s="54">
        <v>7</v>
      </c>
      <c r="P123" s="54">
        <v>4</v>
      </c>
      <c r="Q123" s="54">
        <v>9</v>
      </c>
      <c r="R123" s="54">
        <v>4</v>
      </c>
      <c r="S123" s="54">
        <v>2</v>
      </c>
      <c r="T123" s="54">
        <v>4</v>
      </c>
      <c r="U123" s="54">
        <v>4</v>
      </c>
      <c r="V123" s="54">
        <v>9</v>
      </c>
      <c r="W123" s="54">
        <v>5</v>
      </c>
      <c r="X123" s="54">
        <v>7</v>
      </c>
      <c r="Y123" s="54">
        <v>6</v>
      </c>
      <c r="Z123" s="54">
        <v>3</v>
      </c>
      <c r="AA123" s="54">
        <v>2</v>
      </c>
      <c r="AB123" s="54">
        <v>7</v>
      </c>
      <c r="AC123" s="54">
        <v>6</v>
      </c>
      <c r="AD123" s="54">
        <v>3</v>
      </c>
      <c r="AE123" s="54">
        <v>4</v>
      </c>
      <c r="AF123" s="54"/>
      <c r="AG123" s="5">
        <f t="shared" si="17"/>
        <v>137</v>
      </c>
      <c r="AK123" s="84" t="s">
        <v>133</v>
      </c>
    </row>
    <row r="124" spans="1:37" ht="15.75" customHeight="1" x14ac:dyDescent="0.25">
      <c r="A124" s="85" t="s">
        <v>68</v>
      </c>
      <c r="B124" s="54">
        <v>12</v>
      </c>
      <c r="C124" s="54">
        <v>10</v>
      </c>
      <c r="D124" s="54">
        <v>7</v>
      </c>
      <c r="E124" s="54">
        <v>4</v>
      </c>
      <c r="F124" s="54">
        <v>10</v>
      </c>
      <c r="G124" s="54">
        <v>11</v>
      </c>
      <c r="H124" s="54">
        <v>13</v>
      </c>
      <c r="I124" s="54">
        <v>9</v>
      </c>
      <c r="J124" s="54">
        <v>8</v>
      </c>
      <c r="K124" s="54">
        <v>9</v>
      </c>
      <c r="L124" s="54">
        <v>6</v>
      </c>
      <c r="M124" s="54">
        <v>10</v>
      </c>
      <c r="N124" s="54">
        <v>13</v>
      </c>
      <c r="O124" s="54">
        <v>13</v>
      </c>
      <c r="P124" s="54">
        <v>9</v>
      </c>
      <c r="Q124" s="54">
        <v>6</v>
      </c>
      <c r="R124" s="54">
        <v>10</v>
      </c>
      <c r="S124" s="54">
        <v>10</v>
      </c>
      <c r="T124" s="54">
        <v>12</v>
      </c>
      <c r="U124" s="54">
        <v>7</v>
      </c>
      <c r="V124" s="54">
        <v>10</v>
      </c>
      <c r="W124" s="54">
        <v>13</v>
      </c>
      <c r="X124" s="54">
        <v>9</v>
      </c>
      <c r="Y124" s="54">
        <v>8</v>
      </c>
      <c r="Z124" s="54">
        <v>5</v>
      </c>
      <c r="AA124" s="54">
        <v>10</v>
      </c>
      <c r="AB124" s="54">
        <v>15</v>
      </c>
      <c r="AC124" s="54">
        <v>10</v>
      </c>
      <c r="AD124" s="54">
        <v>13</v>
      </c>
      <c r="AE124" s="54">
        <v>10</v>
      </c>
      <c r="AF124" s="54"/>
      <c r="AG124" s="5">
        <f t="shared" si="17"/>
        <v>292</v>
      </c>
      <c r="AK124" s="88" t="s">
        <v>134</v>
      </c>
    </row>
    <row r="125" spans="1:37" ht="15.75" customHeight="1" x14ac:dyDescent="0.25">
      <c r="A125" s="85" t="s">
        <v>69</v>
      </c>
      <c r="B125" s="54">
        <v>49</v>
      </c>
      <c r="C125" s="54">
        <v>56</v>
      </c>
      <c r="D125" s="54">
        <v>57</v>
      </c>
      <c r="E125" s="54">
        <v>61</v>
      </c>
      <c r="F125" s="54">
        <v>53</v>
      </c>
      <c r="G125" s="54">
        <v>74</v>
      </c>
      <c r="H125" s="54">
        <v>63</v>
      </c>
      <c r="I125" s="54">
        <v>60</v>
      </c>
      <c r="J125" s="54">
        <v>57</v>
      </c>
      <c r="K125" s="54">
        <v>49</v>
      </c>
      <c r="L125" s="54">
        <v>58</v>
      </c>
      <c r="M125" s="54">
        <v>59</v>
      </c>
      <c r="N125" s="54">
        <v>67</v>
      </c>
      <c r="O125" s="54">
        <v>90</v>
      </c>
      <c r="P125" s="54">
        <v>52</v>
      </c>
      <c r="Q125" s="54">
        <v>68</v>
      </c>
      <c r="R125" s="54">
        <v>59</v>
      </c>
      <c r="S125" s="54">
        <v>51</v>
      </c>
      <c r="T125" s="54">
        <v>61</v>
      </c>
      <c r="U125" s="54">
        <v>90</v>
      </c>
      <c r="V125" s="54">
        <v>65</v>
      </c>
      <c r="W125" s="54">
        <v>58</v>
      </c>
      <c r="X125" s="54">
        <v>59</v>
      </c>
      <c r="Y125" s="54">
        <v>51</v>
      </c>
      <c r="Z125" s="54">
        <v>60</v>
      </c>
      <c r="AA125" s="54">
        <v>63</v>
      </c>
      <c r="AB125" s="54">
        <v>79</v>
      </c>
      <c r="AC125" s="54">
        <v>88</v>
      </c>
      <c r="AD125" s="54">
        <v>48</v>
      </c>
      <c r="AE125" s="54">
        <v>61</v>
      </c>
      <c r="AF125" s="54"/>
      <c r="AG125" s="5">
        <f t="shared" si="17"/>
        <v>1866</v>
      </c>
      <c r="AK125" s="88" t="s">
        <v>135</v>
      </c>
    </row>
    <row r="126" spans="1:37" ht="15.75" customHeight="1" x14ac:dyDescent="0.25">
      <c r="A126" s="85" t="s">
        <v>70</v>
      </c>
      <c r="B126" s="54">
        <v>3</v>
      </c>
      <c r="C126" s="54">
        <v>2</v>
      </c>
      <c r="D126" s="54">
        <v>1</v>
      </c>
      <c r="E126" s="54">
        <v>0</v>
      </c>
      <c r="F126" s="54">
        <v>3</v>
      </c>
      <c r="G126" s="54">
        <v>4</v>
      </c>
      <c r="H126" s="54">
        <v>0</v>
      </c>
      <c r="I126" s="54">
        <v>1</v>
      </c>
      <c r="J126" s="54">
        <v>0</v>
      </c>
      <c r="K126" s="54">
        <v>3</v>
      </c>
      <c r="L126" s="54">
        <v>1</v>
      </c>
      <c r="M126" s="54">
        <v>1</v>
      </c>
      <c r="N126" s="54">
        <v>4</v>
      </c>
      <c r="O126" s="54">
        <v>0</v>
      </c>
      <c r="P126" s="54">
        <v>2</v>
      </c>
      <c r="Q126" s="54">
        <v>0</v>
      </c>
      <c r="R126" s="54">
        <v>0</v>
      </c>
      <c r="S126" s="54">
        <v>0</v>
      </c>
      <c r="T126" s="54">
        <v>2</v>
      </c>
      <c r="U126" s="54">
        <v>1</v>
      </c>
      <c r="V126" s="54">
        <v>1</v>
      </c>
      <c r="W126" s="54">
        <v>1</v>
      </c>
      <c r="X126" s="54">
        <v>2</v>
      </c>
      <c r="Y126" s="54">
        <v>2</v>
      </c>
      <c r="Z126" s="54">
        <v>7</v>
      </c>
      <c r="AA126" s="54">
        <v>3</v>
      </c>
      <c r="AB126" s="54">
        <v>1</v>
      </c>
      <c r="AC126" s="54">
        <v>5</v>
      </c>
      <c r="AD126" s="54">
        <v>0</v>
      </c>
      <c r="AE126" s="54">
        <v>3</v>
      </c>
      <c r="AF126" s="54"/>
      <c r="AG126" s="5">
        <f t="shared" si="17"/>
        <v>53</v>
      </c>
      <c r="AK126" s="84" t="s">
        <v>136</v>
      </c>
    </row>
    <row r="127" spans="1:37" ht="15.75" customHeight="1" x14ac:dyDescent="0.25">
      <c r="A127" s="85" t="s">
        <v>71</v>
      </c>
      <c r="B127" s="54">
        <v>4</v>
      </c>
      <c r="C127" s="54">
        <v>1</v>
      </c>
      <c r="D127" s="54">
        <v>0</v>
      </c>
      <c r="E127" s="54">
        <v>1</v>
      </c>
      <c r="F127" s="54">
        <v>0</v>
      </c>
      <c r="G127" s="54">
        <v>2</v>
      </c>
      <c r="H127" s="54">
        <v>3</v>
      </c>
      <c r="I127" s="54">
        <v>2</v>
      </c>
      <c r="J127" s="54">
        <v>0</v>
      </c>
      <c r="K127" s="54">
        <v>1</v>
      </c>
      <c r="L127" s="54">
        <v>2</v>
      </c>
      <c r="M127" s="54">
        <v>0</v>
      </c>
      <c r="N127" s="54">
        <v>1</v>
      </c>
      <c r="O127" s="54">
        <v>0</v>
      </c>
      <c r="P127" s="54">
        <v>1</v>
      </c>
      <c r="Q127" s="54">
        <v>1</v>
      </c>
      <c r="R127" s="54">
        <v>0</v>
      </c>
      <c r="S127" s="54">
        <v>0</v>
      </c>
      <c r="T127" s="54">
        <v>3</v>
      </c>
      <c r="U127" s="54">
        <v>2</v>
      </c>
      <c r="V127" s="54">
        <v>5</v>
      </c>
      <c r="W127" s="54">
        <v>1</v>
      </c>
      <c r="X127" s="54">
        <v>1</v>
      </c>
      <c r="Y127" s="54">
        <v>0</v>
      </c>
      <c r="Z127" s="54">
        <v>2</v>
      </c>
      <c r="AA127" s="54">
        <v>2</v>
      </c>
      <c r="AB127" s="54">
        <v>1</v>
      </c>
      <c r="AC127" s="54">
        <v>2</v>
      </c>
      <c r="AD127" s="54">
        <v>0</v>
      </c>
      <c r="AE127" s="54">
        <v>1</v>
      </c>
      <c r="AF127" s="54"/>
      <c r="AG127" s="5">
        <f t="shared" si="17"/>
        <v>39</v>
      </c>
      <c r="AK127" s="88" t="s">
        <v>137</v>
      </c>
    </row>
    <row r="128" spans="1:37" ht="15.75" customHeight="1" x14ac:dyDescent="0.25">
      <c r="A128" s="56" t="s">
        <v>72</v>
      </c>
      <c r="B128" s="54">
        <v>2</v>
      </c>
      <c r="C128" s="54">
        <v>1</v>
      </c>
      <c r="D128" s="54">
        <v>1</v>
      </c>
      <c r="E128" s="54">
        <v>0</v>
      </c>
      <c r="F128" s="54">
        <v>0</v>
      </c>
      <c r="G128" s="54">
        <v>1</v>
      </c>
      <c r="H128" s="54">
        <v>1</v>
      </c>
      <c r="I128" s="54">
        <v>0</v>
      </c>
      <c r="J128" s="54">
        <v>2</v>
      </c>
      <c r="K128" s="54">
        <v>1</v>
      </c>
      <c r="L128" s="54">
        <v>2</v>
      </c>
      <c r="M128" s="54">
        <v>1</v>
      </c>
      <c r="N128" s="54">
        <v>3</v>
      </c>
      <c r="O128" s="54">
        <v>2</v>
      </c>
      <c r="P128" s="54">
        <v>3</v>
      </c>
      <c r="Q128" s="54">
        <v>0</v>
      </c>
      <c r="R128" s="54">
        <v>0</v>
      </c>
      <c r="S128" s="54">
        <v>0</v>
      </c>
      <c r="T128" s="54">
        <v>0</v>
      </c>
      <c r="U128" s="54">
        <v>3</v>
      </c>
      <c r="V128" s="54">
        <v>1</v>
      </c>
      <c r="W128" s="54">
        <v>0</v>
      </c>
      <c r="X128" s="54">
        <v>2</v>
      </c>
      <c r="Y128" s="54">
        <v>2</v>
      </c>
      <c r="Z128" s="54">
        <v>1</v>
      </c>
      <c r="AA128" s="54">
        <v>3</v>
      </c>
      <c r="AB128" s="54">
        <v>2</v>
      </c>
      <c r="AC128" s="54">
        <v>2</v>
      </c>
      <c r="AD128" s="54">
        <v>1</v>
      </c>
      <c r="AE128" s="54">
        <v>2</v>
      </c>
      <c r="AF128" s="54"/>
      <c r="AG128" s="5">
        <f t="shared" si="17"/>
        <v>39</v>
      </c>
      <c r="AK128" s="88" t="s">
        <v>138</v>
      </c>
    </row>
    <row r="129" spans="1:37" ht="15.75" customHeight="1" x14ac:dyDescent="0.25">
      <c r="A129" s="56" t="s">
        <v>73</v>
      </c>
      <c r="B129" s="54">
        <v>0</v>
      </c>
      <c r="C129" s="54">
        <v>2</v>
      </c>
      <c r="D129" s="54">
        <v>1</v>
      </c>
      <c r="E129" s="54">
        <v>1</v>
      </c>
      <c r="F129" s="54">
        <v>0</v>
      </c>
      <c r="G129" s="54">
        <v>1</v>
      </c>
      <c r="H129" s="54">
        <v>0</v>
      </c>
      <c r="I129" s="54">
        <v>1</v>
      </c>
      <c r="J129" s="54">
        <v>2</v>
      </c>
      <c r="K129" s="54">
        <v>0</v>
      </c>
      <c r="L129" s="54">
        <v>0</v>
      </c>
      <c r="M129" s="54">
        <v>0</v>
      </c>
      <c r="N129" s="54">
        <v>1</v>
      </c>
      <c r="O129" s="54">
        <v>0</v>
      </c>
      <c r="P129" s="54">
        <v>2</v>
      </c>
      <c r="Q129" s="54">
        <v>0</v>
      </c>
      <c r="R129" s="54">
        <v>1</v>
      </c>
      <c r="S129" s="54">
        <v>1</v>
      </c>
      <c r="T129" s="54">
        <v>1</v>
      </c>
      <c r="U129" s="54">
        <v>3</v>
      </c>
      <c r="V129" s="54">
        <v>0</v>
      </c>
      <c r="W129" s="54">
        <v>1</v>
      </c>
      <c r="X129" s="54">
        <v>0</v>
      </c>
      <c r="Y129" s="54">
        <v>1</v>
      </c>
      <c r="Z129" s="54">
        <v>1</v>
      </c>
      <c r="AA129" s="54">
        <v>0</v>
      </c>
      <c r="AB129" s="54">
        <v>1</v>
      </c>
      <c r="AC129" s="54">
        <v>2</v>
      </c>
      <c r="AD129" s="54">
        <v>2</v>
      </c>
      <c r="AE129" s="54">
        <v>2</v>
      </c>
      <c r="AF129" s="54"/>
      <c r="AG129" s="5">
        <f t="shared" si="17"/>
        <v>27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0</v>
      </c>
      <c r="D130" s="54">
        <v>0</v>
      </c>
      <c r="E130" s="54">
        <v>0</v>
      </c>
      <c r="F130" s="54">
        <v>0</v>
      </c>
      <c r="G130" s="54">
        <v>0</v>
      </c>
      <c r="H130" s="54">
        <v>0</v>
      </c>
      <c r="I130" s="54">
        <v>0</v>
      </c>
      <c r="J130" s="54">
        <v>0</v>
      </c>
      <c r="K130" s="54">
        <v>0</v>
      </c>
      <c r="L130" s="54">
        <v>0</v>
      </c>
      <c r="M130" s="54">
        <v>0</v>
      </c>
      <c r="N130" s="54">
        <v>0</v>
      </c>
      <c r="O130" s="54">
        <v>1</v>
      </c>
      <c r="P130" s="54">
        <v>1</v>
      </c>
      <c r="Q130" s="54">
        <v>0</v>
      </c>
      <c r="R130" s="54">
        <v>0</v>
      </c>
      <c r="S130" s="54">
        <v>2</v>
      </c>
      <c r="T130" s="54">
        <v>1</v>
      </c>
      <c r="U130" s="54">
        <v>0</v>
      </c>
      <c r="V130" s="54">
        <v>0</v>
      </c>
      <c r="W130" s="54">
        <v>0</v>
      </c>
      <c r="X130" s="54">
        <v>1</v>
      </c>
      <c r="Y130" s="54">
        <v>0</v>
      </c>
      <c r="Z130" s="54">
        <v>0</v>
      </c>
      <c r="AA130" s="54">
        <v>0</v>
      </c>
      <c r="AB130" s="54">
        <v>2</v>
      </c>
      <c r="AC130" s="54">
        <v>0</v>
      </c>
      <c r="AD130" s="54">
        <v>1</v>
      </c>
      <c r="AE130" s="54">
        <v>0</v>
      </c>
      <c r="AF130" s="54"/>
      <c r="AG130" s="5">
        <f t="shared" si="17"/>
        <v>9</v>
      </c>
      <c r="AK130" s="84" t="s">
        <v>140</v>
      </c>
    </row>
    <row r="131" spans="1:37" ht="15.75" customHeight="1" x14ac:dyDescent="0.25">
      <c r="A131" s="85" t="s">
        <v>75</v>
      </c>
      <c r="B131" s="54">
        <v>4</v>
      </c>
      <c r="C131" s="54">
        <v>4</v>
      </c>
      <c r="D131" s="54">
        <v>6</v>
      </c>
      <c r="E131" s="54">
        <v>2</v>
      </c>
      <c r="F131" s="54">
        <v>3</v>
      </c>
      <c r="G131" s="54">
        <v>8</v>
      </c>
      <c r="H131" s="54">
        <v>7</v>
      </c>
      <c r="I131" s="54">
        <v>3</v>
      </c>
      <c r="J131" s="54">
        <v>5</v>
      </c>
      <c r="K131" s="54">
        <v>5</v>
      </c>
      <c r="L131" s="54">
        <v>2</v>
      </c>
      <c r="M131" s="54">
        <v>0</v>
      </c>
      <c r="N131" s="54">
        <v>11</v>
      </c>
      <c r="O131" s="54">
        <v>5</v>
      </c>
      <c r="P131" s="54">
        <v>5</v>
      </c>
      <c r="Q131" s="54">
        <v>4</v>
      </c>
      <c r="R131" s="54">
        <v>6</v>
      </c>
      <c r="S131" s="54">
        <v>5</v>
      </c>
      <c r="T131" s="54">
        <v>6</v>
      </c>
      <c r="U131" s="54">
        <v>6</v>
      </c>
      <c r="V131" s="54">
        <v>6</v>
      </c>
      <c r="W131" s="54">
        <v>10</v>
      </c>
      <c r="X131" s="54">
        <v>4</v>
      </c>
      <c r="Y131" s="54">
        <v>3</v>
      </c>
      <c r="Z131" s="54">
        <v>1</v>
      </c>
      <c r="AA131" s="54">
        <v>3</v>
      </c>
      <c r="AB131" s="54">
        <v>6</v>
      </c>
      <c r="AC131" s="54">
        <v>6</v>
      </c>
      <c r="AD131" s="54">
        <v>4</v>
      </c>
      <c r="AE131" s="54">
        <v>5</v>
      </c>
      <c r="AF131" s="54"/>
      <c r="AG131" s="5">
        <f t="shared" si="17"/>
        <v>145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4</v>
      </c>
      <c r="C132" s="87">
        <v>2</v>
      </c>
      <c r="D132" s="87">
        <v>5</v>
      </c>
      <c r="E132" s="87">
        <v>4</v>
      </c>
      <c r="F132" s="87">
        <v>2</v>
      </c>
      <c r="G132" s="87">
        <v>2</v>
      </c>
      <c r="H132" s="87">
        <v>7</v>
      </c>
      <c r="I132" s="87">
        <v>11</v>
      </c>
      <c r="J132" s="87">
        <v>4</v>
      </c>
      <c r="K132" s="87">
        <v>4</v>
      </c>
      <c r="L132" s="87">
        <v>4</v>
      </c>
      <c r="M132" s="87">
        <v>4</v>
      </c>
      <c r="N132" s="87">
        <v>12</v>
      </c>
      <c r="O132" s="87">
        <v>9</v>
      </c>
      <c r="P132" s="87">
        <v>10</v>
      </c>
      <c r="Q132" s="87">
        <v>6</v>
      </c>
      <c r="R132" s="87">
        <v>7</v>
      </c>
      <c r="S132" s="87">
        <v>9</v>
      </c>
      <c r="T132" s="87">
        <v>13</v>
      </c>
      <c r="U132" s="87">
        <v>7</v>
      </c>
      <c r="V132" s="87">
        <v>7</v>
      </c>
      <c r="W132" s="87">
        <v>9</v>
      </c>
      <c r="X132" s="87">
        <v>4</v>
      </c>
      <c r="Y132" s="87">
        <v>7</v>
      </c>
      <c r="Z132" s="87">
        <v>8</v>
      </c>
      <c r="AA132" s="87">
        <v>3</v>
      </c>
      <c r="AB132" s="87">
        <v>5</v>
      </c>
      <c r="AC132" s="87">
        <v>7</v>
      </c>
      <c r="AD132" s="87">
        <v>4</v>
      </c>
      <c r="AE132" s="87">
        <v>4</v>
      </c>
      <c r="AF132" s="87"/>
      <c r="AG132" s="9">
        <f t="shared" si="17"/>
        <v>184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125</v>
      </c>
      <c r="C133" s="14">
        <f t="shared" si="21"/>
        <v>114</v>
      </c>
      <c r="D133" s="14">
        <f t="shared" si="21"/>
        <v>119</v>
      </c>
      <c r="E133" s="14">
        <f t="shared" si="21"/>
        <v>116</v>
      </c>
      <c r="F133" s="14">
        <f t="shared" si="21"/>
        <v>108</v>
      </c>
      <c r="G133" s="14">
        <f t="shared" si="21"/>
        <v>149</v>
      </c>
      <c r="H133" s="14">
        <f t="shared" si="21"/>
        <v>144</v>
      </c>
      <c r="I133" s="14">
        <f t="shared" si="21"/>
        <v>125</v>
      </c>
      <c r="J133" s="14">
        <f t="shared" si="21"/>
        <v>119</v>
      </c>
      <c r="K133" s="14">
        <f t="shared" si="21"/>
        <v>112</v>
      </c>
      <c r="L133" s="14">
        <f t="shared" si="21"/>
        <v>109</v>
      </c>
      <c r="M133" s="14">
        <f t="shared" si="21"/>
        <v>126</v>
      </c>
      <c r="N133" s="14">
        <f t="shared" si="21"/>
        <v>171</v>
      </c>
      <c r="O133" s="14">
        <f t="shared" si="21"/>
        <v>174</v>
      </c>
      <c r="P133" s="14">
        <f t="shared" si="21"/>
        <v>122</v>
      </c>
      <c r="Q133" s="14">
        <f t="shared" si="21"/>
        <v>127</v>
      </c>
      <c r="R133" s="14">
        <f t="shared" si="21"/>
        <v>122</v>
      </c>
      <c r="S133" s="14">
        <f t="shared" si="21"/>
        <v>127</v>
      </c>
      <c r="T133" s="14">
        <f t="shared" si="21"/>
        <v>151</v>
      </c>
      <c r="U133" s="14">
        <f t="shared" si="21"/>
        <v>161</v>
      </c>
      <c r="V133" s="14">
        <f t="shared" si="21"/>
        <v>158</v>
      </c>
      <c r="W133" s="14">
        <f t="shared" si="21"/>
        <v>141</v>
      </c>
      <c r="X133" s="14">
        <f t="shared" si="21"/>
        <v>138</v>
      </c>
      <c r="Y133" s="14">
        <f t="shared" si="21"/>
        <v>128</v>
      </c>
      <c r="Z133" s="14">
        <f t="shared" si="21"/>
        <v>137</v>
      </c>
      <c r="AA133" s="14">
        <f t="shared" si="21"/>
        <v>123</v>
      </c>
      <c r="AB133" s="14">
        <f t="shared" si="21"/>
        <v>181</v>
      </c>
      <c r="AC133" s="14">
        <f t="shared" si="21"/>
        <v>173</v>
      </c>
      <c r="AD133" s="14">
        <f t="shared" si="21"/>
        <v>125</v>
      </c>
      <c r="AE133" s="14">
        <f t="shared" si="21"/>
        <v>133</v>
      </c>
      <c r="AF133" s="14">
        <f t="shared" si="21"/>
        <v>0</v>
      </c>
      <c r="AG133" s="10">
        <f t="shared" si="17"/>
        <v>4058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18</v>
      </c>
      <c r="C134" s="22">
        <f t="shared" si="22"/>
        <v>21</v>
      </c>
      <c r="D134" s="22">
        <f t="shared" si="22"/>
        <v>8</v>
      </c>
      <c r="E134" s="22">
        <f t="shared" si="22"/>
        <v>5</v>
      </c>
      <c r="F134" s="22">
        <f t="shared" si="22"/>
        <v>5</v>
      </c>
      <c r="G134" s="22">
        <f t="shared" si="22"/>
        <v>3</v>
      </c>
      <c r="H134" s="22">
        <f t="shared" si="22"/>
        <v>4</v>
      </c>
      <c r="I134" s="22">
        <f t="shared" si="22"/>
        <v>3</v>
      </c>
      <c r="J134" s="22">
        <f t="shared" si="22"/>
        <v>10</v>
      </c>
      <c r="K134" s="22">
        <f t="shared" si="22"/>
        <v>5</v>
      </c>
      <c r="L134" s="22">
        <f t="shared" si="22"/>
        <v>4</v>
      </c>
      <c r="M134" s="22">
        <f t="shared" si="22"/>
        <v>4</v>
      </c>
      <c r="N134" s="22">
        <f t="shared" si="22"/>
        <v>2</v>
      </c>
      <c r="O134" s="22">
        <f t="shared" si="22"/>
        <v>3</v>
      </c>
      <c r="P134" s="22">
        <f t="shared" si="22"/>
        <v>8</v>
      </c>
      <c r="Q134" s="22">
        <f t="shared" si="22"/>
        <v>9</v>
      </c>
      <c r="R134" s="22">
        <f t="shared" si="22"/>
        <v>5</v>
      </c>
      <c r="S134" s="22">
        <f t="shared" si="22"/>
        <v>3</v>
      </c>
      <c r="T134" s="22">
        <f t="shared" si="22"/>
        <v>4</v>
      </c>
      <c r="U134" s="22">
        <f t="shared" si="22"/>
        <v>9</v>
      </c>
      <c r="V134" s="22">
        <f t="shared" si="22"/>
        <v>11</v>
      </c>
      <c r="W134" s="22">
        <f t="shared" si="22"/>
        <v>33</v>
      </c>
      <c r="X134" s="22">
        <f t="shared" si="22"/>
        <v>27</v>
      </c>
      <c r="Y134" s="22">
        <f t="shared" si="22"/>
        <v>29</v>
      </c>
      <c r="Z134" s="22">
        <f t="shared" si="22"/>
        <v>21</v>
      </c>
      <c r="AA134" s="22">
        <f t="shared" si="22"/>
        <v>9</v>
      </c>
      <c r="AB134" s="22">
        <f t="shared" si="22"/>
        <v>21</v>
      </c>
      <c r="AC134" s="22">
        <f t="shared" si="22"/>
        <v>19</v>
      </c>
      <c r="AD134" s="22">
        <f t="shared" si="22"/>
        <v>30</v>
      </c>
      <c r="AE134" s="22">
        <f t="shared" si="22"/>
        <v>11</v>
      </c>
      <c r="AF134" s="22">
        <f t="shared" si="22"/>
        <v>0</v>
      </c>
      <c r="AG134" s="23">
        <f t="shared" si="17"/>
        <v>344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0</v>
      </c>
      <c r="E135" s="1">
        <f t="shared" si="23"/>
        <v>1</v>
      </c>
      <c r="F135" s="1">
        <f t="shared" si="23"/>
        <v>1</v>
      </c>
      <c r="G135" s="1">
        <f t="shared" si="23"/>
        <v>0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0</v>
      </c>
      <c r="M135" s="1">
        <f t="shared" si="23"/>
        <v>0</v>
      </c>
      <c r="N135" s="1">
        <f t="shared" si="23"/>
        <v>3</v>
      </c>
      <c r="O135" s="1">
        <f t="shared" si="23"/>
        <v>0</v>
      </c>
      <c r="P135" s="1">
        <f t="shared" si="23"/>
        <v>0</v>
      </c>
      <c r="Q135" s="1">
        <f t="shared" si="23"/>
        <v>2</v>
      </c>
      <c r="R135" s="1">
        <f t="shared" si="23"/>
        <v>2</v>
      </c>
      <c r="S135" s="1">
        <f t="shared" si="23"/>
        <v>1</v>
      </c>
      <c r="T135" s="1">
        <f t="shared" si="23"/>
        <v>2</v>
      </c>
      <c r="U135" s="1">
        <f t="shared" si="23"/>
        <v>1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1</v>
      </c>
      <c r="Z135" s="1">
        <f t="shared" si="23"/>
        <v>1</v>
      </c>
      <c r="AA135" s="1">
        <f t="shared" si="23"/>
        <v>0</v>
      </c>
      <c r="AB135" s="1">
        <f t="shared" si="23"/>
        <v>1</v>
      </c>
      <c r="AC135" s="1">
        <f t="shared" si="23"/>
        <v>0</v>
      </c>
      <c r="AD135" s="1">
        <f t="shared" si="23"/>
        <v>1</v>
      </c>
      <c r="AE135" s="1">
        <f t="shared" si="23"/>
        <v>0</v>
      </c>
      <c r="AF135" s="1">
        <f t="shared" si="23"/>
        <v>0</v>
      </c>
      <c r="AG135" s="2">
        <f t="shared" si="17"/>
        <v>17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0</v>
      </c>
      <c r="D136" s="91">
        <v>0</v>
      </c>
      <c r="E136" s="91">
        <v>0</v>
      </c>
      <c r="F136" s="91">
        <v>1</v>
      </c>
      <c r="G136" s="91">
        <v>0</v>
      </c>
      <c r="H136" s="91">
        <v>0</v>
      </c>
      <c r="I136" s="91">
        <v>0</v>
      </c>
      <c r="J136" s="91">
        <v>0</v>
      </c>
      <c r="K136" s="91">
        <v>0</v>
      </c>
      <c r="L136" s="91">
        <v>0</v>
      </c>
      <c r="M136" s="91">
        <v>0</v>
      </c>
      <c r="N136" s="91">
        <v>3</v>
      </c>
      <c r="O136" s="91">
        <v>0</v>
      </c>
      <c r="P136" s="91">
        <v>0</v>
      </c>
      <c r="Q136" s="91">
        <v>2</v>
      </c>
      <c r="R136" s="91">
        <v>2</v>
      </c>
      <c r="S136" s="91">
        <v>1</v>
      </c>
      <c r="T136" s="91">
        <v>2</v>
      </c>
      <c r="U136" s="91">
        <v>1</v>
      </c>
      <c r="V136" s="91">
        <v>0</v>
      </c>
      <c r="W136" s="91">
        <v>0</v>
      </c>
      <c r="X136" s="91">
        <v>0</v>
      </c>
      <c r="Y136" s="91">
        <v>1</v>
      </c>
      <c r="Z136" s="91">
        <v>1</v>
      </c>
      <c r="AA136" s="91">
        <v>0</v>
      </c>
      <c r="AB136" s="91">
        <v>1</v>
      </c>
      <c r="AC136" s="91">
        <v>0</v>
      </c>
      <c r="AD136" s="91">
        <v>1</v>
      </c>
      <c r="AE136" s="91">
        <v>0</v>
      </c>
      <c r="AF136" s="91"/>
      <c r="AG136" s="28">
        <f t="shared" si="17"/>
        <v>16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1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/>
      <c r="AG137" s="29">
        <f t="shared" si="17"/>
        <v>1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/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2</v>
      </c>
      <c r="C139" s="31">
        <f t="shared" si="24"/>
        <v>3</v>
      </c>
      <c r="D139" s="31">
        <f t="shared" si="24"/>
        <v>3</v>
      </c>
      <c r="E139" s="31">
        <f t="shared" si="24"/>
        <v>3</v>
      </c>
      <c r="F139" s="31">
        <f t="shared" si="24"/>
        <v>2</v>
      </c>
      <c r="G139" s="31">
        <f t="shared" si="24"/>
        <v>6</v>
      </c>
      <c r="H139" s="31">
        <f t="shared" si="24"/>
        <v>4</v>
      </c>
      <c r="I139" s="31">
        <f t="shared" si="24"/>
        <v>1</v>
      </c>
      <c r="J139" s="31">
        <f t="shared" si="24"/>
        <v>3</v>
      </c>
      <c r="K139" s="31">
        <f t="shared" si="24"/>
        <v>1</v>
      </c>
      <c r="L139" s="31">
        <f t="shared" si="24"/>
        <v>2</v>
      </c>
      <c r="M139" s="31">
        <f t="shared" si="24"/>
        <v>7</v>
      </c>
      <c r="N139" s="31">
        <f t="shared" si="24"/>
        <v>7</v>
      </c>
      <c r="O139" s="31">
        <f t="shared" si="24"/>
        <v>5</v>
      </c>
      <c r="P139" s="31">
        <f t="shared" si="24"/>
        <v>0</v>
      </c>
      <c r="Q139" s="31">
        <f t="shared" si="24"/>
        <v>2</v>
      </c>
      <c r="R139" s="31">
        <f t="shared" si="24"/>
        <v>3</v>
      </c>
      <c r="S139" s="31">
        <f t="shared" si="24"/>
        <v>2</v>
      </c>
      <c r="T139" s="31">
        <f t="shared" si="24"/>
        <v>5</v>
      </c>
      <c r="U139" s="31">
        <f t="shared" si="24"/>
        <v>4</v>
      </c>
      <c r="V139" s="31">
        <f t="shared" si="24"/>
        <v>1</v>
      </c>
      <c r="W139" s="31">
        <f t="shared" si="24"/>
        <v>1</v>
      </c>
      <c r="X139" s="31">
        <f t="shared" si="24"/>
        <v>4</v>
      </c>
      <c r="Y139" s="31">
        <f t="shared" si="24"/>
        <v>5</v>
      </c>
      <c r="Z139" s="31">
        <f t="shared" si="24"/>
        <v>0</v>
      </c>
      <c r="AA139" s="31">
        <f t="shared" si="24"/>
        <v>2</v>
      </c>
      <c r="AB139" s="31">
        <f t="shared" si="24"/>
        <v>8</v>
      </c>
      <c r="AC139" s="31">
        <f t="shared" si="24"/>
        <v>1</v>
      </c>
      <c r="AD139" s="31">
        <f t="shared" si="24"/>
        <v>1</v>
      </c>
      <c r="AE139" s="31">
        <f t="shared" si="24"/>
        <v>7</v>
      </c>
      <c r="AF139" s="31">
        <f t="shared" si="24"/>
        <v>0</v>
      </c>
      <c r="AG139" s="32">
        <f t="shared" si="17"/>
        <v>95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0</v>
      </c>
      <c r="E140" s="97">
        <v>0</v>
      </c>
      <c r="F140" s="97">
        <v>0</v>
      </c>
      <c r="G140" s="97">
        <v>0</v>
      </c>
      <c r="H140" s="97">
        <v>0</v>
      </c>
      <c r="I140" s="97">
        <v>0</v>
      </c>
      <c r="J140" s="97">
        <v>0</v>
      </c>
      <c r="K140" s="97">
        <v>1</v>
      </c>
      <c r="L140" s="97">
        <v>0</v>
      </c>
      <c r="M140" s="97">
        <v>0</v>
      </c>
      <c r="N140" s="97">
        <v>0</v>
      </c>
      <c r="O140" s="97">
        <v>0</v>
      </c>
      <c r="P140" s="97">
        <v>0</v>
      </c>
      <c r="Q140" s="97">
        <v>0</v>
      </c>
      <c r="R140" s="97">
        <v>0</v>
      </c>
      <c r="S140" s="97">
        <v>0</v>
      </c>
      <c r="T140" s="97">
        <v>1</v>
      </c>
      <c r="U140" s="97">
        <v>0</v>
      </c>
      <c r="V140" s="97">
        <v>0</v>
      </c>
      <c r="W140" s="97">
        <v>0</v>
      </c>
      <c r="X140" s="97">
        <v>1</v>
      </c>
      <c r="Y140" s="97">
        <v>0</v>
      </c>
      <c r="Z140" s="97">
        <v>0</v>
      </c>
      <c r="AA140" s="97">
        <v>0</v>
      </c>
      <c r="AB140" s="97">
        <v>1</v>
      </c>
      <c r="AC140" s="97">
        <v>0</v>
      </c>
      <c r="AD140" s="97">
        <v>0</v>
      </c>
      <c r="AE140" s="97">
        <v>1</v>
      </c>
      <c r="AF140" s="97"/>
      <c r="AG140" s="33">
        <f t="shared" si="17"/>
        <v>5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2</v>
      </c>
      <c r="C141" s="98">
        <v>3</v>
      </c>
      <c r="D141" s="98">
        <v>3</v>
      </c>
      <c r="E141" s="98">
        <v>3</v>
      </c>
      <c r="F141" s="98">
        <v>2</v>
      </c>
      <c r="G141" s="98">
        <v>6</v>
      </c>
      <c r="H141" s="98">
        <v>4</v>
      </c>
      <c r="I141" s="98">
        <v>1</v>
      </c>
      <c r="J141" s="98">
        <v>3</v>
      </c>
      <c r="K141" s="98">
        <v>0</v>
      </c>
      <c r="L141" s="98">
        <v>2</v>
      </c>
      <c r="M141" s="98">
        <v>7</v>
      </c>
      <c r="N141" s="98">
        <v>7</v>
      </c>
      <c r="O141" s="98">
        <v>5</v>
      </c>
      <c r="P141" s="98">
        <v>0</v>
      </c>
      <c r="Q141" s="98">
        <v>2</v>
      </c>
      <c r="R141" s="98">
        <v>3</v>
      </c>
      <c r="S141" s="98">
        <v>2</v>
      </c>
      <c r="T141" s="98">
        <v>4</v>
      </c>
      <c r="U141" s="98">
        <v>4</v>
      </c>
      <c r="V141" s="98">
        <v>1</v>
      </c>
      <c r="W141" s="98">
        <v>1</v>
      </c>
      <c r="X141" s="98">
        <v>3</v>
      </c>
      <c r="Y141" s="98">
        <v>5</v>
      </c>
      <c r="Z141" s="98">
        <v>0</v>
      </c>
      <c r="AA141" s="98">
        <v>2</v>
      </c>
      <c r="AB141" s="98">
        <v>7</v>
      </c>
      <c r="AC141" s="98">
        <v>1</v>
      </c>
      <c r="AD141" s="98">
        <v>1</v>
      </c>
      <c r="AE141" s="98">
        <v>6</v>
      </c>
      <c r="AF141" s="98"/>
      <c r="AG141" s="34">
        <f t="shared" si="17"/>
        <v>90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42</v>
      </c>
      <c r="C144" s="37">
        <f t="shared" si="25"/>
        <v>30</v>
      </c>
      <c r="D144" s="37">
        <f t="shared" si="25"/>
        <v>33</v>
      </c>
      <c r="E144" s="37">
        <f t="shared" si="25"/>
        <v>38</v>
      </c>
      <c r="F144" s="37">
        <f t="shared" si="25"/>
        <v>35</v>
      </c>
      <c r="G144" s="37">
        <f t="shared" si="25"/>
        <v>43</v>
      </c>
      <c r="H144" s="37">
        <f t="shared" si="25"/>
        <v>48</v>
      </c>
      <c r="I144" s="37">
        <f t="shared" si="25"/>
        <v>45</v>
      </c>
      <c r="J144" s="37">
        <f t="shared" si="25"/>
        <v>37</v>
      </c>
      <c r="K144" s="37">
        <f t="shared" si="25"/>
        <v>26</v>
      </c>
      <c r="L144" s="37">
        <f t="shared" si="25"/>
        <v>25</v>
      </c>
      <c r="M144" s="37">
        <f t="shared" si="25"/>
        <v>35</v>
      </c>
      <c r="N144" s="37">
        <f t="shared" si="25"/>
        <v>56</v>
      </c>
      <c r="O144" s="37">
        <f t="shared" si="25"/>
        <v>56</v>
      </c>
      <c r="P144" s="37">
        <f t="shared" si="25"/>
        <v>45</v>
      </c>
      <c r="Q144" s="37">
        <f t="shared" si="25"/>
        <v>43</v>
      </c>
      <c r="R144" s="37">
        <f t="shared" si="25"/>
        <v>35</v>
      </c>
      <c r="S144" s="37">
        <f t="shared" si="25"/>
        <v>40</v>
      </c>
      <c r="T144" s="37">
        <f t="shared" si="25"/>
        <v>24</v>
      </c>
      <c r="U144" s="37">
        <f t="shared" si="25"/>
        <v>65</v>
      </c>
      <c r="V144" s="37">
        <f t="shared" si="25"/>
        <v>43</v>
      </c>
      <c r="W144" s="37">
        <f t="shared" si="25"/>
        <v>64</v>
      </c>
      <c r="X144" s="37">
        <f t="shared" si="25"/>
        <v>52</v>
      </c>
      <c r="Y144" s="37">
        <f t="shared" si="25"/>
        <v>26</v>
      </c>
      <c r="Z144" s="37">
        <f t="shared" si="25"/>
        <v>31</v>
      </c>
      <c r="AA144" s="37">
        <f t="shared" si="25"/>
        <v>34</v>
      </c>
      <c r="AB144" s="37">
        <f t="shared" si="25"/>
        <v>40</v>
      </c>
      <c r="AC144" s="37">
        <f t="shared" si="25"/>
        <v>36</v>
      </c>
      <c r="AD144" s="37">
        <f t="shared" si="25"/>
        <v>47</v>
      </c>
      <c r="AE144" s="37">
        <f t="shared" si="25"/>
        <v>36</v>
      </c>
      <c r="AF144" s="37">
        <f t="shared" si="25"/>
        <v>0</v>
      </c>
      <c r="AG144" s="24">
        <f t="shared" si="17"/>
        <v>1210</v>
      </c>
      <c r="AK144" s="84" t="s">
        <v>154</v>
      </c>
    </row>
    <row r="145" spans="1:37" ht="15.75" customHeight="1" x14ac:dyDescent="0.25">
      <c r="A145" s="104" t="s">
        <v>91</v>
      </c>
      <c r="B145" s="105">
        <v>2</v>
      </c>
      <c r="C145" s="105">
        <v>0</v>
      </c>
      <c r="D145" s="105">
        <v>3</v>
      </c>
      <c r="E145" s="105">
        <v>2</v>
      </c>
      <c r="F145" s="105">
        <v>4</v>
      </c>
      <c r="G145" s="105">
        <v>1</v>
      </c>
      <c r="H145" s="105">
        <v>2</v>
      </c>
      <c r="I145" s="105">
        <v>0</v>
      </c>
      <c r="J145" s="105">
        <v>0</v>
      </c>
      <c r="K145" s="105">
        <v>0</v>
      </c>
      <c r="L145" s="105">
        <v>1</v>
      </c>
      <c r="M145" s="105">
        <v>1</v>
      </c>
      <c r="N145" s="105">
        <v>8</v>
      </c>
      <c r="O145" s="105">
        <v>1</v>
      </c>
      <c r="P145" s="105">
        <v>0</v>
      </c>
      <c r="Q145" s="105">
        <v>0</v>
      </c>
      <c r="R145" s="105">
        <v>4</v>
      </c>
      <c r="S145" s="105">
        <v>1</v>
      </c>
      <c r="T145" s="105">
        <v>2</v>
      </c>
      <c r="U145" s="105">
        <v>4</v>
      </c>
      <c r="V145" s="105">
        <v>0</v>
      </c>
      <c r="W145" s="105">
        <v>1</v>
      </c>
      <c r="X145" s="105">
        <v>0</v>
      </c>
      <c r="Y145" s="105">
        <v>0</v>
      </c>
      <c r="Z145" s="105">
        <v>0</v>
      </c>
      <c r="AA145" s="105">
        <v>2</v>
      </c>
      <c r="AB145" s="105">
        <v>0</v>
      </c>
      <c r="AC145" s="105">
        <v>2</v>
      </c>
      <c r="AD145" s="105">
        <v>2</v>
      </c>
      <c r="AE145" s="105">
        <v>1</v>
      </c>
      <c r="AF145" s="105"/>
      <c r="AG145" s="38">
        <f t="shared" si="17"/>
        <v>44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/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5</v>
      </c>
      <c r="V147" s="77">
        <v>2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/>
      <c r="AG147" s="5">
        <f t="shared" si="17"/>
        <v>7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/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39</v>
      </c>
      <c r="C149" s="108">
        <v>29</v>
      </c>
      <c r="D149" s="108">
        <v>24</v>
      </c>
      <c r="E149" s="108">
        <v>32</v>
      </c>
      <c r="F149" s="108">
        <v>30</v>
      </c>
      <c r="G149" s="108">
        <v>42</v>
      </c>
      <c r="H149" s="108">
        <v>45</v>
      </c>
      <c r="I149" s="108">
        <v>43</v>
      </c>
      <c r="J149" s="108">
        <v>34</v>
      </c>
      <c r="K149" s="108">
        <v>24</v>
      </c>
      <c r="L149" s="108">
        <v>22</v>
      </c>
      <c r="M149" s="108">
        <v>34</v>
      </c>
      <c r="N149" s="108">
        <v>46</v>
      </c>
      <c r="O149" s="108">
        <v>55</v>
      </c>
      <c r="P149" s="108">
        <v>45</v>
      </c>
      <c r="Q149" s="108">
        <v>41</v>
      </c>
      <c r="R149" s="108">
        <v>28</v>
      </c>
      <c r="S149" s="108">
        <v>37</v>
      </c>
      <c r="T149" s="108">
        <v>21</v>
      </c>
      <c r="U149" s="108">
        <v>55</v>
      </c>
      <c r="V149" s="108">
        <v>39</v>
      </c>
      <c r="W149" s="108">
        <v>61</v>
      </c>
      <c r="X149" s="108">
        <v>49</v>
      </c>
      <c r="Y149" s="108">
        <v>23</v>
      </c>
      <c r="Z149" s="108">
        <v>28</v>
      </c>
      <c r="AA149" s="108">
        <v>29</v>
      </c>
      <c r="AB149" s="108">
        <v>37</v>
      </c>
      <c r="AC149" s="108">
        <v>34</v>
      </c>
      <c r="AD149" s="108">
        <v>44</v>
      </c>
      <c r="AE149" s="108">
        <v>32</v>
      </c>
      <c r="AF149" s="108"/>
      <c r="AG149" s="39">
        <f t="shared" si="17"/>
        <v>1102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1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1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/>
      <c r="AG153" s="5">
        <f t="shared" si="17"/>
        <v>2</v>
      </c>
      <c r="AK153" s="109" t="s">
        <v>126</v>
      </c>
    </row>
    <row r="154" spans="1:37" ht="15.75" customHeight="1" x14ac:dyDescent="0.25">
      <c r="A154" s="76" t="s">
        <v>100</v>
      </c>
      <c r="B154" s="77">
        <v>1</v>
      </c>
      <c r="C154" s="77">
        <v>1</v>
      </c>
      <c r="D154" s="77">
        <v>4</v>
      </c>
      <c r="E154" s="77">
        <v>3</v>
      </c>
      <c r="F154" s="77">
        <v>0</v>
      </c>
      <c r="G154" s="77">
        <v>0</v>
      </c>
      <c r="H154" s="77">
        <v>0</v>
      </c>
      <c r="I154" s="77">
        <v>2</v>
      </c>
      <c r="J154" s="77">
        <v>2</v>
      </c>
      <c r="K154" s="77">
        <v>2</v>
      </c>
      <c r="L154" s="77">
        <v>0</v>
      </c>
      <c r="M154" s="77">
        <v>0</v>
      </c>
      <c r="N154" s="77">
        <v>0</v>
      </c>
      <c r="O154" s="77">
        <v>0</v>
      </c>
      <c r="P154" s="77">
        <v>0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0</v>
      </c>
      <c r="W154" s="77">
        <v>0</v>
      </c>
      <c r="X154" s="77">
        <v>2</v>
      </c>
      <c r="Y154" s="77">
        <v>1</v>
      </c>
      <c r="Z154" s="77">
        <v>1</v>
      </c>
      <c r="AA154" s="77">
        <v>2</v>
      </c>
      <c r="AB154" s="77">
        <v>0</v>
      </c>
      <c r="AC154" s="77">
        <v>0</v>
      </c>
      <c r="AD154" s="77">
        <v>1</v>
      </c>
      <c r="AE154" s="77">
        <v>1</v>
      </c>
      <c r="AF154" s="77"/>
      <c r="AG154" s="5">
        <f t="shared" si="17"/>
        <v>23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0</v>
      </c>
      <c r="C158" s="111">
        <v>0</v>
      </c>
      <c r="D158" s="111">
        <v>2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2</v>
      </c>
      <c r="M158" s="111">
        <v>0</v>
      </c>
      <c r="N158" s="111">
        <v>2</v>
      </c>
      <c r="O158" s="111">
        <v>0</v>
      </c>
      <c r="P158" s="111">
        <v>0</v>
      </c>
      <c r="Q158" s="111">
        <v>0</v>
      </c>
      <c r="R158" s="111">
        <v>0</v>
      </c>
      <c r="S158" s="111">
        <v>1</v>
      </c>
      <c r="T158" s="111">
        <v>1</v>
      </c>
      <c r="U158" s="111">
        <v>1</v>
      </c>
      <c r="V158" s="111">
        <v>2</v>
      </c>
      <c r="W158" s="111">
        <v>2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1</v>
      </c>
      <c r="AF158" s="111"/>
      <c r="AG158" s="40">
        <f t="shared" si="17"/>
        <v>14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/>
      <c r="AG162" s="5">
        <f t="shared" si="17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1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/>
      <c r="AG165" s="5">
        <f t="shared" si="26"/>
        <v>1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1</v>
      </c>
      <c r="AC167" s="77">
        <v>0</v>
      </c>
      <c r="AD167" s="77">
        <v>0</v>
      </c>
      <c r="AE167" s="77">
        <v>0</v>
      </c>
      <c r="AF167" s="77"/>
      <c r="AG167" s="5">
        <f t="shared" si="26"/>
        <v>1</v>
      </c>
    </row>
    <row r="168" spans="1:34" ht="15.75" customHeight="1" x14ac:dyDescent="0.25">
      <c r="A168" s="76" t="s">
        <v>114</v>
      </c>
      <c r="B168" s="113">
        <v>0</v>
      </c>
      <c r="C168" s="113">
        <v>0</v>
      </c>
      <c r="D168" s="113">
        <v>0</v>
      </c>
      <c r="E168" s="113">
        <v>1</v>
      </c>
      <c r="F168" s="113">
        <v>1</v>
      </c>
      <c r="G168" s="113">
        <v>0</v>
      </c>
      <c r="H168" s="113">
        <v>0</v>
      </c>
      <c r="I168" s="113">
        <v>0</v>
      </c>
      <c r="J168" s="113">
        <v>1</v>
      </c>
      <c r="K168" s="113">
        <v>0</v>
      </c>
      <c r="L168" s="113">
        <v>0</v>
      </c>
      <c r="M168" s="113">
        <v>0</v>
      </c>
      <c r="N168" s="113">
        <v>0</v>
      </c>
      <c r="O168" s="113">
        <v>0</v>
      </c>
      <c r="P168" s="113">
        <v>0</v>
      </c>
      <c r="Q168" s="113">
        <v>2</v>
      </c>
      <c r="R168" s="113">
        <v>2</v>
      </c>
      <c r="S168" s="113">
        <v>1</v>
      </c>
      <c r="T168" s="113">
        <v>0</v>
      </c>
      <c r="U168" s="113">
        <v>0</v>
      </c>
      <c r="V168" s="113">
        <v>0</v>
      </c>
      <c r="W168" s="113">
        <v>0</v>
      </c>
      <c r="X168" s="113">
        <v>1</v>
      </c>
      <c r="Y168" s="113">
        <v>2</v>
      </c>
      <c r="Z168" s="113">
        <v>1</v>
      </c>
      <c r="AA168" s="113">
        <v>1</v>
      </c>
      <c r="AB168" s="113">
        <v>2</v>
      </c>
      <c r="AC168" s="113">
        <v>0</v>
      </c>
      <c r="AD168" s="113">
        <v>0</v>
      </c>
      <c r="AE168" s="113">
        <v>0</v>
      </c>
      <c r="AF168" s="113"/>
      <c r="AG168" s="5">
        <f t="shared" si="26"/>
        <v>15</v>
      </c>
    </row>
    <row r="169" spans="1:34" ht="15.75" customHeight="1" x14ac:dyDescent="0.25">
      <c r="A169" s="114" t="s">
        <v>115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1</v>
      </c>
      <c r="AF169" s="113"/>
      <c r="AG169" s="5">
        <f t="shared" si="26"/>
        <v>1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125</v>
      </c>
      <c r="C171" s="41">
        <f t="shared" si="27"/>
        <v>114</v>
      </c>
      <c r="D171" s="41">
        <f t="shared" si="27"/>
        <v>119</v>
      </c>
      <c r="E171" s="41">
        <f t="shared" si="27"/>
        <v>116</v>
      </c>
      <c r="F171" s="41">
        <f t="shared" si="27"/>
        <v>108</v>
      </c>
      <c r="G171" s="41">
        <f t="shared" si="27"/>
        <v>149</v>
      </c>
      <c r="H171" s="41">
        <f t="shared" si="27"/>
        <v>144</v>
      </c>
      <c r="I171" s="41">
        <f t="shared" si="27"/>
        <v>125</v>
      </c>
      <c r="J171" s="41">
        <f t="shared" si="27"/>
        <v>119</v>
      </c>
      <c r="K171" s="41">
        <f t="shared" si="27"/>
        <v>112</v>
      </c>
      <c r="L171" s="41">
        <f t="shared" si="27"/>
        <v>109</v>
      </c>
      <c r="M171" s="41">
        <f t="shared" si="27"/>
        <v>126</v>
      </c>
      <c r="N171" s="41">
        <f t="shared" si="27"/>
        <v>171</v>
      </c>
      <c r="O171" s="41">
        <f t="shared" si="27"/>
        <v>174</v>
      </c>
      <c r="P171" s="41">
        <f t="shared" si="27"/>
        <v>122</v>
      </c>
      <c r="Q171" s="41">
        <f t="shared" si="27"/>
        <v>127</v>
      </c>
      <c r="R171" s="41">
        <f t="shared" si="27"/>
        <v>122</v>
      </c>
      <c r="S171" s="41">
        <f t="shared" si="27"/>
        <v>127</v>
      </c>
      <c r="T171" s="41">
        <f t="shared" si="27"/>
        <v>151</v>
      </c>
      <c r="U171" s="41">
        <f t="shared" si="27"/>
        <v>161</v>
      </c>
      <c r="V171" s="41">
        <f t="shared" si="27"/>
        <v>158</v>
      </c>
      <c r="W171" s="41">
        <f t="shared" si="27"/>
        <v>141</v>
      </c>
      <c r="X171" s="41">
        <f t="shared" si="27"/>
        <v>138</v>
      </c>
      <c r="Y171" s="41">
        <f t="shared" si="27"/>
        <v>128</v>
      </c>
      <c r="Z171" s="41">
        <f t="shared" si="27"/>
        <v>137</v>
      </c>
      <c r="AA171" s="41">
        <f t="shared" si="27"/>
        <v>123</v>
      </c>
      <c r="AB171" s="41">
        <f t="shared" si="27"/>
        <v>181</v>
      </c>
      <c r="AC171" s="41">
        <f t="shared" si="27"/>
        <v>173</v>
      </c>
      <c r="AD171" s="41">
        <f t="shared" si="27"/>
        <v>125</v>
      </c>
      <c r="AE171" s="41">
        <f t="shared" si="27"/>
        <v>133</v>
      </c>
      <c r="AF171" s="41">
        <f t="shared" si="27"/>
        <v>0</v>
      </c>
      <c r="AG171" s="42">
        <f t="shared" si="26"/>
        <v>4058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/>
      <c r="AG172" s="43">
        <f t="shared" si="26"/>
        <v>0</v>
      </c>
    </row>
    <row r="173" spans="1:34" ht="15.75" customHeight="1" x14ac:dyDescent="0.25">
      <c r="A173" s="119" t="s">
        <v>37</v>
      </c>
      <c r="B173" s="120">
        <v>1</v>
      </c>
      <c r="C173" s="120">
        <v>1</v>
      </c>
      <c r="D173" s="120">
        <v>2</v>
      </c>
      <c r="E173" s="120">
        <v>1</v>
      </c>
      <c r="F173" s="120">
        <v>0</v>
      </c>
      <c r="G173" s="120">
        <v>0</v>
      </c>
      <c r="H173" s="120">
        <v>0</v>
      </c>
      <c r="I173" s="120">
        <v>2</v>
      </c>
      <c r="J173" s="120">
        <v>0</v>
      </c>
      <c r="K173" s="120">
        <v>1</v>
      </c>
      <c r="L173" s="120">
        <v>2</v>
      </c>
      <c r="M173" s="120">
        <v>3</v>
      </c>
      <c r="N173" s="120">
        <v>0</v>
      </c>
      <c r="O173" s="120">
        <v>2</v>
      </c>
      <c r="P173" s="120">
        <v>2</v>
      </c>
      <c r="Q173" s="120">
        <v>3</v>
      </c>
      <c r="R173" s="120">
        <v>2</v>
      </c>
      <c r="S173" s="120">
        <v>1</v>
      </c>
      <c r="T173" s="120">
        <v>1</v>
      </c>
      <c r="U173" s="120">
        <v>5</v>
      </c>
      <c r="V173" s="120">
        <v>2</v>
      </c>
      <c r="W173" s="120">
        <v>3</v>
      </c>
      <c r="X173" s="120">
        <v>1</v>
      </c>
      <c r="Y173" s="120">
        <v>2</v>
      </c>
      <c r="Z173" s="120">
        <v>1</v>
      </c>
      <c r="AA173" s="120">
        <v>0</v>
      </c>
      <c r="AB173" s="120">
        <v>1</v>
      </c>
      <c r="AC173" s="120">
        <v>4</v>
      </c>
      <c r="AD173" s="120">
        <v>0</v>
      </c>
      <c r="AE173" s="120">
        <v>1</v>
      </c>
      <c r="AF173" s="120"/>
      <c r="AG173" s="44">
        <f t="shared" si="26"/>
        <v>44</v>
      </c>
    </row>
    <row r="174" spans="1:34" ht="15.75" customHeight="1" x14ac:dyDescent="0.25">
      <c r="A174" s="119" t="s">
        <v>38</v>
      </c>
      <c r="B174" s="120">
        <v>18</v>
      </c>
      <c r="C174" s="120">
        <v>12</v>
      </c>
      <c r="D174" s="120">
        <v>15</v>
      </c>
      <c r="E174" s="120">
        <v>15</v>
      </c>
      <c r="F174" s="120">
        <v>23</v>
      </c>
      <c r="G174" s="120">
        <v>12</v>
      </c>
      <c r="H174" s="120">
        <v>10</v>
      </c>
      <c r="I174" s="120">
        <v>10</v>
      </c>
      <c r="J174" s="120">
        <v>16</v>
      </c>
      <c r="K174" s="120">
        <v>10</v>
      </c>
      <c r="L174" s="120">
        <v>13</v>
      </c>
      <c r="M174" s="120">
        <v>28</v>
      </c>
      <c r="N174" s="120">
        <v>20</v>
      </c>
      <c r="O174" s="120">
        <v>16</v>
      </c>
      <c r="P174" s="120">
        <v>12</v>
      </c>
      <c r="Q174" s="120">
        <v>12</v>
      </c>
      <c r="R174" s="120">
        <v>14</v>
      </c>
      <c r="S174" s="120">
        <v>14</v>
      </c>
      <c r="T174" s="120">
        <v>17</v>
      </c>
      <c r="U174" s="120">
        <v>21</v>
      </c>
      <c r="V174" s="120">
        <v>19</v>
      </c>
      <c r="W174" s="120">
        <v>24</v>
      </c>
      <c r="X174" s="120">
        <v>23</v>
      </c>
      <c r="Y174" s="120">
        <v>23</v>
      </c>
      <c r="Z174" s="120">
        <v>20</v>
      </c>
      <c r="AA174" s="120">
        <v>22</v>
      </c>
      <c r="AB174" s="120">
        <v>25</v>
      </c>
      <c r="AC174" s="120">
        <v>24</v>
      </c>
      <c r="AD174" s="120">
        <v>19</v>
      </c>
      <c r="AE174" s="120">
        <v>18</v>
      </c>
      <c r="AF174" s="120"/>
      <c r="AG174" s="44">
        <f t="shared" si="26"/>
        <v>525</v>
      </c>
    </row>
    <row r="175" spans="1:34" ht="15.75" customHeight="1" x14ac:dyDescent="0.25">
      <c r="A175" s="119" t="s">
        <v>39</v>
      </c>
      <c r="B175" s="120">
        <v>97</v>
      </c>
      <c r="C175" s="120">
        <v>86</v>
      </c>
      <c r="D175" s="120">
        <v>89</v>
      </c>
      <c r="E175" s="120">
        <v>81</v>
      </c>
      <c r="F175" s="120">
        <v>80</v>
      </c>
      <c r="G175" s="120">
        <v>121</v>
      </c>
      <c r="H175" s="120">
        <v>107</v>
      </c>
      <c r="I175" s="120">
        <v>102</v>
      </c>
      <c r="J175" s="120">
        <v>96</v>
      </c>
      <c r="K175" s="120">
        <v>82</v>
      </c>
      <c r="L175" s="120">
        <v>73</v>
      </c>
      <c r="M175" s="120">
        <v>79</v>
      </c>
      <c r="N175" s="120">
        <v>129</v>
      </c>
      <c r="O175" s="120">
        <v>118</v>
      </c>
      <c r="P175" s="120">
        <v>87</v>
      </c>
      <c r="Q175" s="120">
        <v>77</v>
      </c>
      <c r="R175" s="120">
        <v>79</v>
      </c>
      <c r="S175" s="120">
        <v>74</v>
      </c>
      <c r="T175" s="120">
        <v>114</v>
      </c>
      <c r="U175" s="120">
        <v>101</v>
      </c>
      <c r="V175" s="120">
        <v>114</v>
      </c>
      <c r="W175" s="120">
        <v>103</v>
      </c>
      <c r="X175" s="120">
        <v>95</v>
      </c>
      <c r="Y175" s="120">
        <v>90</v>
      </c>
      <c r="Z175" s="120">
        <v>94</v>
      </c>
      <c r="AA175" s="120">
        <v>89</v>
      </c>
      <c r="AB175" s="120">
        <v>116</v>
      </c>
      <c r="AC175" s="120">
        <v>139</v>
      </c>
      <c r="AD175" s="120">
        <v>103</v>
      </c>
      <c r="AE175" s="120">
        <v>110</v>
      </c>
      <c r="AF175" s="120"/>
      <c r="AG175" s="44">
        <f t="shared" si="26"/>
        <v>2925</v>
      </c>
    </row>
    <row r="176" spans="1:34" ht="15.75" customHeight="1" thickBot="1" x14ac:dyDescent="0.3">
      <c r="A176" s="121" t="s">
        <v>40</v>
      </c>
      <c r="B176" s="122">
        <v>9</v>
      </c>
      <c r="C176" s="122">
        <v>15</v>
      </c>
      <c r="D176" s="122">
        <v>13</v>
      </c>
      <c r="E176" s="122">
        <v>19</v>
      </c>
      <c r="F176" s="122">
        <v>5</v>
      </c>
      <c r="G176" s="122">
        <v>16</v>
      </c>
      <c r="H176" s="122">
        <v>27</v>
      </c>
      <c r="I176" s="122">
        <v>11</v>
      </c>
      <c r="J176" s="122">
        <v>7</v>
      </c>
      <c r="K176" s="122">
        <v>19</v>
      </c>
      <c r="L176" s="122">
        <v>21</v>
      </c>
      <c r="M176" s="122">
        <v>16</v>
      </c>
      <c r="N176" s="122">
        <v>22</v>
      </c>
      <c r="O176" s="122">
        <v>38</v>
      </c>
      <c r="P176" s="122">
        <v>21</v>
      </c>
      <c r="Q176" s="122">
        <v>35</v>
      </c>
      <c r="R176" s="122">
        <v>27</v>
      </c>
      <c r="S176" s="122">
        <v>38</v>
      </c>
      <c r="T176" s="122">
        <v>19</v>
      </c>
      <c r="U176" s="122">
        <v>34</v>
      </c>
      <c r="V176" s="122">
        <v>23</v>
      </c>
      <c r="W176" s="122">
        <v>11</v>
      </c>
      <c r="X176" s="122">
        <v>19</v>
      </c>
      <c r="Y176" s="122">
        <v>13</v>
      </c>
      <c r="Z176" s="122">
        <v>22</v>
      </c>
      <c r="AA176" s="122">
        <v>12</v>
      </c>
      <c r="AB176" s="122">
        <v>39</v>
      </c>
      <c r="AC176" s="122">
        <v>6</v>
      </c>
      <c r="AD176" s="122">
        <v>3</v>
      </c>
      <c r="AE176" s="122">
        <v>4</v>
      </c>
      <c r="AF176" s="122"/>
      <c r="AG176" s="45">
        <f t="shared" si="26"/>
        <v>564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11" priority="3" operator="lessThan">
      <formula>0</formula>
    </cfRule>
  </conditionalFormatting>
  <conditionalFormatting sqref="AH171">
    <cfRule type="cellIs" dxfId="10" priority="2" operator="equal">
      <formula>"X"</formula>
    </cfRule>
  </conditionalFormatting>
  <conditionalFormatting sqref="AH1:AH1048576">
    <cfRule type="cellIs" dxfId="9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C690F2C4-DA3D-4EAF-B406-627250D3146D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A47BF-E7D6-47E7-A2B2-C41C7057C96D}">
  <sheetPr codeName="Hoja32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AF4" sqref="AF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182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142</v>
      </c>
      <c r="C3" s="1">
        <f t="shared" si="1"/>
        <v>129</v>
      </c>
      <c r="D3" s="1">
        <f t="shared" si="1"/>
        <v>133</v>
      </c>
      <c r="E3" s="1">
        <f t="shared" si="1"/>
        <v>158</v>
      </c>
      <c r="F3" s="1">
        <f t="shared" si="1"/>
        <v>189</v>
      </c>
      <c r="G3" s="1">
        <f t="shared" si="1"/>
        <v>170</v>
      </c>
      <c r="H3" s="1">
        <f t="shared" si="1"/>
        <v>129</v>
      </c>
      <c r="I3" s="1">
        <f t="shared" si="1"/>
        <v>151</v>
      </c>
      <c r="J3" s="1">
        <f t="shared" si="1"/>
        <v>131</v>
      </c>
      <c r="K3" s="1">
        <f t="shared" si="1"/>
        <v>124</v>
      </c>
      <c r="L3" s="1">
        <f t="shared" si="1"/>
        <v>184</v>
      </c>
      <c r="M3" s="1">
        <f t="shared" si="1"/>
        <v>174</v>
      </c>
      <c r="N3" s="1">
        <f t="shared" si="1"/>
        <v>161</v>
      </c>
      <c r="O3" s="1">
        <f t="shared" si="1"/>
        <v>152</v>
      </c>
      <c r="P3" s="1">
        <f t="shared" si="1"/>
        <v>134</v>
      </c>
      <c r="Q3" s="1">
        <f t="shared" si="1"/>
        <v>129</v>
      </c>
      <c r="R3" s="1">
        <f t="shared" si="1"/>
        <v>131</v>
      </c>
      <c r="S3" s="1">
        <f t="shared" si="1"/>
        <v>187</v>
      </c>
      <c r="T3" s="1">
        <f t="shared" si="1"/>
        <v>192</v>
      </c>
      <c r="U3" s="1">
        <f t="shared" si="1"/>
        <v>147</v>
      </c>
      <c r="V3" s="1">
        <f t="shared" si="1"/>
        <v>139</v>
      </c>
      <c r="W3" s="1">
        <f t="shared" si="1"/>
        <v>138</v>
      </c>
      <c r="X3" s="1">
        <f t="shared" si="1"/>
        <v>145</v>
      </c>
      <c r="Y3" s="1">
        <f t="shared" si="1"/>
        <v>108</v>
      </c>
      <c r="Z3" s="1">
        <f t="shared" si="1"/>
        <v>188</v>
      </c>
      <c r="AA3" s="1">
        <f t="shared" si="1"/>
        <v>213</v>
      </c>
      <c r="AB3" s="1">
        <f t="shared" si="1"/>
        <v>152</v>
      </c>
      <c r="AC3" s="1">
        <f t="shared" si="1"/>
        <v>148</v>
      </c>
      <c r="AD3" s="1">
        <f t="shared" si="1"/>
        <v>130</v>
      </c>
      <c r="AE3" s="1">
        <f t="shared" si="1"/>
        <v>129</v>
      </c>
      <c r="AF3" s="1">
        <f t="shared" si="1"/>
        <v>189</v>
      </c>
      <c r="AG3" s="2">
        <f t="shared" ref="AG3:AG66" si="2">SUM(B3:AF3)</f>
        <v>4726</v>
      </c>
    </row>
    <row r="4" spans="1:33" ht="18.75" x14ac:dyDescent="0.25">
      <c r="A4" s="53" t="s">
        <v>2</v>
      </c>
      <c r="B4" s="54">
        <v>0</v>
      </c>
      <c r="C4" s="55">
        <v>0</v>
      </c>
      <c r="D4" s="55">
        <v>0</v>
      </c>
      <c r="E4" s="55">
        <v>3</v>
      </c>
      <c r="F4" s="55">
        <v>9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11</v>
      </c>
      <c r="M4" s="55">
        <v>5</v>
      </c>
      <c r="N4" s="55">
        <v>0</v>
      </c>
      <c r="O4" s="55">
        <v>0</v>
      </c>
      <c r="P4" s="55">
        <v>0</v>
      </c>
      <c r="Q4" s="55">
        <v>0</v>
      </c>
      <c r="R4" s="55">
        <v>0</v>
      </c>
      <c r="S4" s="55">
        <v>7</v>
      </c>
      <c r="T4" s="55">
        <v>8</v>
      </c>
      <c r="U4" s="55">
        <v>0</v>
      </c>
      <c r="V4" s="55">
        <v>0</v>
      </c>
      <c r="W4" s="55">
        <v>0</v>
      </c>
      <c r="X4" s="55">
        <v>0</v>
      </c>
      <c r="Y4" s="55">
        <v>0</v>
      </c>
      <c r="Z4" s="55">
        <v>14</v>
      </c>
      <c r="AA4" s="55">
        <v>9</v>
      </c>
      <c r="AB4" s="55">
        <v>0</v>
      </c>
      <c r="AC4" s="55">
        <v>0</v>
      </c>
      <c r="AD4" s="55">
        <v>0</v>
      </c>
      <c r="AE4" s="55">
        <v>0</v>
      </c>
      <c r="AF4" s="55">
        <v>13</v>
      </c>
      <c r="AG4" s="4">
        <f t="shared" si="2"/>
        <v>79</v>
      </c>
    </row>
    <row r="5" spans="1:33" ht="18.75" x14ac:dyDescent="0.25">
      <c r="A5" s="56" t="s">
        <v>3</v>
      </c>
      <c r="B5" s="54">
        <v>0</v>
      </c>
      <c r="C5" s="54">
        <v>0</v>
      </c>
      <c r="D5" s="54">
        <v>0</v>
      </c>
      <c r="E5" s="54">
        <v>10</v>
      </c>
      <c r="F5" s="54">
        <v>9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9</v>
      </c>
      <c r="M5" s="54">
        <v>8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54">
        <v>13</v>
      </c>
      <c r="T5" s="54">
        <v>10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10</v>
      </c>
      <c r="AA5" s="54">
        <v>14</v>
      </c>
      <c r="AB5" s="54">
        <v>0</v>
      </c>
      <c r="AC5" s="54">
        <v>0</v>
      </c>
      <c r="AD5" s="54">
        <v>0</v>
      </c>
      <c r="AE5" s="54">
        <v>0</v>
      </c>
      <c r="AF5" s="54">
        <v>9</v>
      </c>
      <c r="AG5" s="5">
        <f t="shared" si="2"/>
        <v>92</v>
      </c>
    </row>
    <row r="6" spans="1:33" ht="18.75" x14ac:dyDescent="0.25">
      <c r="A6" s="56" t="s">
        <v>4</v>
      </c>
      <c r="B6" s="54">
        <v>0</v>
      </c>
      <c r="C6" s="54">
        <v>0</v>
      </c>
      <c r="D6" s="54">
        <v>0</v>
      </c>
      <c r="E6" s="54">
        <v>6</v>
      </c>
      <c r="F6" s="54">
        <v>15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9</v>
      </c>
      <c r="M6" s="54">
        <v>11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54">
        <v>25</v>
      </c>
      <c r="T6" s="54">
        <v>16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12</v>
      </c>
      <c r="AA6" s="54">
        <v>23</v>
      </c>
      <c r="AB6" s="54">
        <v>0</v>
      </c>
      <c r="AC6" s="54">
        <v>0</v>
      </c>
      <c r="AD6" s="54">
        <v>0</v>
      </c>
      <c r="AE6" s="54">
        <v>0</v>
      </c>
      <c r="AF6" s="54">
        <v>17</v>
      </c>
      <c r="AG6" s="5">
        <f t="shared" si="2"/>
        <v>134</v>
      </c>
    </row>
    <row r="7" spans="1:33" ht="18.75" x14ac:dyDescent="0.25">
      <c r="A7" s="56" t="s">
        <v>5</v>
      </c>
      <c r="B7" s="54">
        <v>0</v>
      </c>
      <c r="C7" s="54">
        <v>0</v>
      </c>
      <c r="D7" s="54">
        <v>0</v>
      </c>
      <c r="E7" s="54">
        <v>9</v>
      </c>
      <c r="F7" s="54">
        <v>11</v>
      </c>
      <c r="G7" s="54">
        <v>0</v>
      </c>
      <c r="H7" s="54">
        <v>0</v>
      </c>
      <c r="I7" s="54">
        <v>0</v>
      </c>
      <c r="J7" s="54">
        <v>0</v>
      </c>
      <c r="K7" s="54">
        <v>0</v>
      </c>
      <c r="L7" s="54">
        <v>12</v>
      </c>
      <c r="M7" s="54">
        <v>14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54">
        <v>15</v>
      </c>
      <c r="T7" s="54">
        <v>7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13</v>
      </c>
      <c r="AA7" s="54">
        <v>14</v>
      </c>
      <c r="AB7" s="54">
        <v>0</v>
      </c>
      <c r="AC7" s="54">
        <v>0</v>
      </c>
      <c r="AD7" s="54">
        <v>0</v>
      </c>
      <c r="AE7" s="54">
        <v>0</v>
      </c>
      <c r="AF7" s="54">
        <v>11</v>
      </c>
      <c r="AG7" s="5">
        <f t="shared" si="2"/>
        <v>106</v>
      </c>
    </row>
    <row r="8" spans="1:33" ht="18.75" x14ac:dyDescent="0.25">
      <c r="A8" s="56" t="s">
        <v>6</v>
      </c>
      <c r="B8" s="54">
        <v>0</v>
      </c>
      <c r="C8" s="54">
        <v>0</v>
      </c>
      <c r="D8" s="54">
        <v>0</v>
      </c>
      <c r="E8" s="54">
        <v>8</v>
      </c>
      <c r="F8" s="54">
        <v>12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11</v>
      </c>
      <c r="M8" s="54">
        <v>9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54">
        <v>13</v>
      </c>
      <c r="T8" s="54">
        <v>15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13</v>
      </c>
      <c r="AA8" s="54">
        <v>12</v>
      </c>
      <c r="AB8" s="54">
        <v>0</v>
      </c>
      <c r="AC8" s="54">
        <v>0</v>
      </c>
      <c r="AD8" s="54">
        <v>0</v>
      </c>
      <c r="AE8" s="54">
        <v>0</v>
      </c>
      <c r="AF8" s="54">
        <v>16</v>
      </c>
      <c r="AG8" s="5">
        <f t="shared" si="2"/>
        <v>109</v>
      </c>
    </row>
    <row r="9" spans="1:33" ht="18.75" x14ac:dyDescent="0.25">
      <c r="A9" s="56" t="s">
        <v>7</v>
      </c>
      <c r="B9" s="54">
        <v>0</v>
      </c>
      <c r="C9" s="54">
        <v>0</v>
      </c>
      <c r="D9" s="54">
        <v>0</v>
      </c>
      <c r="E9" s="54">
        <v>6</v>
      </c>
      <c r="F9" s="54">
        <v>15</v>
      </c>
      <c r="G9" s="54">
        <v>0</v>
      </c>
      <c r="H9" s="54">
        <v>0</v>
      </c>
      <c r="I9" s="54">
        <v>0</v>
      </c>
      <c r="J9" s="54">
        <v>0</v>
      </c>
      <c r="K9" s="54">
        <v>0</v>
      </c>
      <c r="L9" s="54">
        <v>16</v>
      </c>
      <c r="M9" s="54">
        <v>12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4">
        <v>10</v>
      </c>
      <c r="T9" s="54">
        <v>14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10</v>
      </c>
      <c r="AA9" s="54">
        <v>11</v>
      </c>
      <c r="AB9" s="54">
        <v>0</v>
      </c>
      <c r="AC9" s="54">
        <v>0</v>
      </c>
      <c r="AD9" s="54">
        <v>0</v>
      </c>
      <c r="AE9" s="54">
        <v>0</v>
      </c>
      <c r="AF9" s="54">
        <v>10</v>
      </c>
      <c r="AG9" s="5">
        <f t="shared" si="2"/>
        <v>104</v>
      </c>
    </row>
    <row r="10" spans="1:33" ht="18.75" x14ac:dyDescent="0.25">
      <c r="A10" s="56" t="s">
        <v>8</v>
      </c>
      <c r="B10" s="54">
        <v>0</v>
      </c>
      <c r="C10" s="54">
        <v>0</v>
      </c>
      <c r="D10" s="54">
        <v>0</v>
      </c>
      <c r="E10" s="54">
        <v>13</v>
      </c>
      <c r="F10" s="54">
        <v>11</v>
      </c>
      <c r="G10" s="54">
        <v>0</v>
      </c>
      <c r="H10" s="54">
        <v>0</v>
      </c>
      <c r="I10" s="54">
        <v>0</v>
      </c>
      <c r="J10" s="54">
        <v>0</v>
      </c>
      <c r="K10" s="54">
        <v>0</v>
      </c>
      <c r="L10" s="54">
        <v>5</v>
      </c>
      <c r="M10" s="54">
        <v>11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9</v>
      </c>
      <c r="T10" s="54">
        <v>16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11</v>
      </c>
      <c r="AA10" s="54">
        <v>15</v>
      </c>
      <c r="AB10" s="54">
        <v>0</v>
      </c>
      <c r="AC10" s="54">
        <v>0</v>
      </c>
      <c r="AD10" s="54">
        <v>0</v>
      </c>
      <c r="AE10" s="54">
        <v>0</v>
      </c>
      <c r="AF10" s="54">
        <v>12</v>
      </c>
      <c r="AG10" s="5">
        <f t="shared" si="2"/>
        <v>103</v>
      </c>
    </row>
    <row r="11" spans="1:33" ht="18.75" x14ac:dyDescent="0.25">
      <c r="A11" s="56" t="s">
        <v>9</v>
      </c>
      <c r="B11" s="54">
        <v>0</v>
      </c>
      <c r="C11" s="54">
        <v>0</v>
      </c>
      <c r="D11" s="54">
        <v>7</v>
      </c>
      <c r="E11" s="54">
        <v>14</v>
      </c>
      <c r="F11" s="54">
        <v>18</v>
      </c>
      <c r="G11" s="54">
        <v>0</v>
      </c>
      <c r="H11" s="54">
        <v>0</v>
      </c>
      <c r="I11" s="54">
        <v>0</v>
      </c>
      <c r="J11" s="54">
        <v>0</v>
      </c>
      <c r="K11" s="54">
        <v>8</v>
      </c>
      <c r="L11" s="54">
        <v>20</v>
      </c>
      <c r="M11" s="54">
        <v>17</v>
      </c>
      <c r="N11" s="54">
        <v>0</v>
      </c>
      <c r="O11" s="54">
        <v>0</v>
      </c>
      <c r="P11" s="54">
        <v>0</v>
      </c>
      <c r="Q11" s="54">
        <v>0</v>
      </c>
      <c r="R11" s="54">
        <v>3</v>
      </c>
      <c r="S11" s="54">
        <v>10</v>
      </c>
      <c r="T11" s="54">
        <v>11</v>
      </c>
      <c r="U11" s="54">
        <v>0</v>
      </c>
      <c r="V11" s="54">
        <v>0</v>
      </c>
      <c r="W11" s="54">
        <v>0</v>
      </c>
      <c r="X11" s="54">
        <v>0</v>
      </c>
      <c r="Y11" s="54">
        <v>5</v>
      </c>
      <c r="Z11" s="54">
        <v>16</v>
      </c>
      <c r="AA11" s="54">
        <v>19</v>
      </c>
      <c r="AB11" s="54">
        <v>0</v>
      </c>
      <c r="AC11" s="54">
        <v>0</v>
      </c>
      <c r="AD11" s="54">
        <v>0</v>
      </c>
      <c r="AE11" s="54">
        <v>0</v>
      </c>
      <c r="AF11" s="54">
        <v>18</v>
      </c>
      <c r="AG11" s="5">
        <f t="shared" si="2"/>
        <v>166</v>
      </c>
    </row>
    <row r="12" spans="1:33" ht="18.75" x14ac:dyDescent="0.25">
      <c r="A12" s="56" t="s">
        <v>10</v>
      </c>
      <c r="B12" s="54">
        <v>1</v>
      </c>
      <c r="C12" s="54">
        <v>8</v>
      </c>
      <c r="D12" s="54">
        <v>36</v>
      </c>
      <c r="E12" s="54">
        <v>24</v>
      </c>
      <c r="F12" s="54">
        <v>20</v>
      </c>
      <c r="G12" s="54">
        <v>4</v>
      </c>
      <c r="H12" s="54">
        <v>4</v>
      </c>
      <c r="I12" s="54">
        <v>6</v>
      </c>
      <c r="J12" s="54">
        <v>7</v>
      </c>
      <c r="K12" s="54">
        <v>33</v>
      </c>
      <c r="L12" s="54">
        <v>23</v>
      </c>
      <c r="M12" s="54">
        <v>13</v>
      </c>
      <c r="N12" s="54">
        <v>0</v>
      </c>
      <c r="O12" s="54">
        <v>7</v>
      </c>
      <c r="P12" s="54">
        <v>3</v>
      </c>
      <c r="Q12" s="54">
        <v>11</v>
      </c>
      <c r="R12" s="54">
        <v>36</v>
      </c>
      <c r="S12" s="54">
        <v>12</v>
      </c>
      <c r="T12" s="54">
        <v>13</v>
      </c>
      <c r="U12" s="54">
        <v>0</v>
      </c>
      <c r="V12" s="54">
        <v>6</v>
      </c>
      <c r="W12" s="54">
        <v>3</v>
      </c>
      <c r="X12" s="54">
        <v>6</v>
      </c>
      <c r="Y12" s="54">
        <v>27</v>
      </c>
      <c r="Z12" s="54">
        <v>16</v>
      </c>
      <c r="AA12" s="54">
        <v>19</v>
      </c>
      <c r="AB12" s="54">
        <v>1</v>
      </c>
      <c r="AC12" s="54">
        <v>6</v>
      </c>
      <c r="AD12" s="54">
        <v>7</v>
      </c>
      <c r="AE12" s="54">
        <v>4</v>
      </c>
      <c r="AF12" s="54">
        <v>10</v>
      </c>
      <c r="AG12" s="5">
        <f t="shared" si="2"/>
        <v>366</v>
      </c>
    </row>
    <row r="13" spans="1:33" ht="18.75" x14ac:dyDescent="0.25">
      <c r="A13" s="56" t="s">
        <v>11</v>
      </c>
      <c r="B13" s="54">
        <v>56</v>
      </c>
      <c r="C13" s="54">
        <v>39</v>
      </c>
      <c r="D13" s="54">
        <v>17</v>
      </c>
      <c r="E13" s="54">
        <v>10</v>
      </c>
      <c r="F13" s="54">
        <v>13</v>
      </c>
      <c r="G13" s="54">
        <v>64</v>
      </c>
      <c r="H13" s="54">
        <v>58</v>
      </c>
      <c r="I13" s="54">
        <v>57</v>
      </c>
      <c r="J13" s="54">
        <v>44</v>
      </c>
      <c r="K13" s="54">
        <v>14</v>
      </c>
      <c r="L13" s="54">
        <v>8</v>
      </c>
      <c r="M13" s="54">
        <v>14</v>
      </c>
      <c r="N13" s="54">
        <v>66</v>
      </c>
      <c r="O13" s="54">
        <v>71</v>
      </c>
      <c r="P13" s="54">
        <v>68</v>
      </c>
      <c r="Q13" s="54">
        <v>40</v>
      </c>
      <c r="R13" s="54">
        <v>23</v>
      </c>
      <c r="S13" s="54">
        <v>17</v>
      </c>
      <c r="T13" s="54">
        <v>15</v>
      </c>
      <c r="U13" s="54">
        <v>55</v>
      </c>
      <c r="V13" s="54">
        <v>58</v>
      </c>
      <c r="W13" s="54">
        <v>58</v>
      </c>
      <c r="X13" s="54">
        <v>52</v>
      </c>
      <c r="Y13" s="54">
        <v>14</v>
      </c>
      <c r="Z13" s="54">
        <v>7</v>
      </c>
      <c r="AA13" s="54">
        <v>10</v>
      </c>
      <c r="AB13" s="54">
        <v>62</v>
      </c>
      <c r="AC13" s="54">
        <v>63</v>
      </c>
      <c r="AD13" s="54">
        <v>48</v>
      </c>
      <c r="AE13" s="54">
        <v>47</v>
      </c>
      <c r="AF13" s="54">
        <v>12</v>
      </c>
      <c r="AG13" s="5">
        <f t="shared" si="2"/>
        <v>1180</v>
      </c>
    </row>
    <row r="14" spans="1:33" ht="18.75" x14ac:dyDescent="0.25">
      <c r="A14" s="56" t="s">
        <v>12</v>
      </c>
      <c r="B14" s="54">
        <v>22</v>
      </c>
      <c r="C14" s="54">
        <v>17</v>
      </c>
      <c r="D14" s="54">
        <v>20</v>
      </c>
      <c r="E14" s="54">
        <v>6</v>
      </c>
      <c r="F14" s="54">
        <v>6</v>
      </c>
      <c r="G14" s="54">
        <v>21</v>
      </c>
      <c r="H14" s="54">
        <v>11</v>
      </c>
      <c r="I14" s="54">
        <v>21</v>
      </c>
      <c r="J14" s="54">
        <v>24</v>
      </c>
      <c r="K14" s="54">
        <v>21</v>
      </c>
      <c r="L14" s="54">
        <v>8</v>
      </c>
      <c r="M14" s="54">
        <v>15</v>
      </c>
      <c r="N14" s="54">
        <v>22</v>
      </c>
      <c r="O14" s="54">
        <v>19</v>
      </c>
      <c r="P14" s="54">
        <v>12</v>
      </c>
      <c r="Q14" s="54">
        <v>11</v>
      </c>
      <c r="R14" s="54">
        <v>14</v>
      </c>
      <c r="S14" s="54">
        <v>6</v>
      </c>
      <c r="T14" s="54">
        <v>11</v>
      </c>
      <c r="U14" s="54">
        <v>16</v>
      </c>
      <c r="V14" s="54">
        <v>17</v>
      </c>
      <c r="W14" s="54">
        <v>10</v>
      </c>
      <c r="X14" s="54">
        <v>20</v>
      </c>
      <c r="Y14" s="54">
        <v>11</v>
      </c>
      <c r="Z14" s="54">
        <v>10</v>
      </c>
      <c r="AA14" s="54">
        <v>8</v>
      </c>
      <c r="AB14" s="54">
        <v>20</v>
      </c>
      <c r="AC14" s="54">
        <v>15</v>
      </c>
      <c r="AD14" s="54">
        <v>11</v>
      </c>
      <c r="AE14" s="54">
        <v>16</v>
      </c>
      <c r="AF14" s="54">
        <v>17</v>
      </c>
      <c r="AG14" s="5">
        <f t="shared" si="2"/>
        <v>458</v>
      </c>
    </row>
    <row r="15" spans="1:33" ht="18.75" x14ac:dyDescent="0.25">
      <c r="A15" s="56" t="s">
        <v>13</v>
      </c>
      <c r="B15" s="54">
        <v>17</v>
      </c>
      <c r="C15" s="54">
        <v>22</v>
      </c>
      <c r="D15" s="54">
        <v>15</v>
      </c>
      <c r="E15" s="54">
        <v>8</v>
      </c>
      <c r="F15" s="54">
        <v>17</v>
      </c>
      <c r="G15" s="54">
        <v>21</v>
      </c>
      <c r="H15" s="54">
        <v>22</v>
      </c>
      <c r="I15" s="54">
        <v>16</v>
      </c>
      <c r="J15" s="54">
        <v>13</v>
      </c>
      <c r="K15" s="54">
        <v>6</v>
      </c>
      <c r="L15" s="54">
        <v>13</v>
      </c>
      <c r="M15" s="54">
        <v>9</v>
      </c>
      <c r="N15" s="54">
        <v>24</v>
      </c>
      <c r="O15" s="54">
        <v>4</v>
      </c>
      <c r="P15" s="54">
        <v>11</v>
      </c>
      <c r="Q15" s="54">
        <v>12</v>
      </c>
      <c r="R15" s="54">
        <v>16</v>
      </c>
      <c r="S15" s="54">
        <v>7</v>
      </c>
      <c r="T15" s="54">
        <v>6</v>
      </c>
      <c r="U15" s="54">
        <v>11</v>
      </c>
      <c r="V15" s="54">
        <v>10</v>
      </c>
      <c r="W15" s="54">
        <v>16</v>
      </c>
      <c r="X15" s="54">
        <v>18</v>
      </c>
      <c r="Y15" s="54">
        <v>8</v>
      </c>
      <c r="Z15" s="54">
        <v>16</v>
      </c>
      <c r="AA15" s="54">
        <v>13</v>
      </c>
      <c r="AB15" s="54">
        <v>22</v>
      </c>
      <c r="AC15" s="54">
        <v>14</v>
      </c>
      <c r="AD15" s="54">
        <v>17</v>
      </c>
      <c r="AE15" s="54">
        <v>9</v>
      </c>
      <c r="AF15" s="54">
        <v>5</v>
      </c>
      <c r="AG15" s="5">
        <f t="shared" si="2"/>
        <v>418</v>
      </c>
    </row>
    <row r="16" spans="1:33" ht="18.75" x14ac:dyDescent="0.25">
      <c r="A16" s="56" t="s">
        <v>14</v>
      </c>
      <c r="B16" s="54">
        <v>13</v>
      </c>
      <c r="C16" s="54">
        <v>11</v>
      </c>
      <c r="D16" s="54">
        <v>9</v>
      </c>
      <c r="E16" s="54">
        <v>9</v>
      </c>
      <c r="F16" s="54">
        <v>9</v>
      </c>
      <c r="G16" s="54">
        <v>22</v>
      </c>
      <c r="H16" s="54">
        <v>7</v>
      </c>
      <c r="I16" s="54">
        <v>8</v>
      </c>
      <c r="J16" s="54">
        <v>18</v>
      </c>
      <c r="K16" s="54">
        <v>15</v>
      </c>
      <c r="L16" s="54">
        <v>11</v>
      </c>
      <c r="M16" s="54">
        <v>6</v>
      </c>
      <c r="N16" s="54">
        <v>18</v>
      </c>
      <c r="O16" s="54">
        <v>15</v>
      </c>
      <c r="P16" s="54">
        <v>12</v>
      </c>
      <c r="Q16" s="54">
        <v>14</v>
      </c>
      <c r="R16" s="54">
        <v>8</v>
      </c>
      <c r="S16" s="54">
        <v>9</v>
      </c>
      <c r="T16" s="54">
        <v>10</v>
      </c>
      <c r="U16" s="54">
        <v>17</v>
      </c>
      <c r="V16" s="54">
        <v>15</v>
      </c>
      <c r="W16" s="54">
        <v>17</v>
      </c>
      <c r="X16" s="54">
        <v>11</v>
      </c>
      <c r="Y16" s="54">
        <v>8</v>
      </c>
      <c r="Z16" s="54">
        <v>7</v>
      </c>
      <c r="AA16" s="54">
        <v>13</v>
      </c>
      <c r="AB16" s="54">
        <v>7</v>
      </c>
      <c r="AC16" s="54">
        <v>13</v>
      </c>
      <c r="AD16" s="54">
        <v>9</v>
      </c>
      <c r="AE16" s="54">
        <v>18</v>
      </c>
      <c r="AF16" s="54">
        <v>4</v>
      </c>
      <c r="AG16" s="5">
        <f t="shared" si="2"/>
        <v>363</v>
      </c>
    </row>
    <row r="17" spans="1:33" ht="18.75" x14ac:dyDescent="0.25">
      <c r="A17" s="56" t="s">
        <v>15</v>
      </c>
      <c r="B17" s="54">
        <v>5</v>
      </c>
      <c r="C17" s="54">
        <v>7</v>
      </c>
      <c r="D17" s="54">
        <v>6</v>
      </c>
      <c r="E17" s="54">
        <v>6</v>
      </c>
      <c r="F17" s="54">
        <v>5</v>
      </c>
      <c r="G17" s="54">
        <v>14</v>
      </c>
      <c r="H17" s="54">
        <v>9</v>
      </c>
      <c r="I17" s="54">
        <v>9</v>
      </c>
      <c r="J17" s="54">
        <v>8</v>
      </c>
      <c r="K17" s="54">
        <v>7</v>
      </c>
      <c r="L17" s="54">
        <v>8</v>
      </c>
      <c r="M17" s="54">
        <v>7</v>
      </c>
      <c r="N17" s="54">
        <v>7</v>
      </c>
      <c r="O17" s="54">
        <v>11</v>
      </c>
      <c r="P17" s="54">
        <v>7</v>
      </c>
      <c r="Q17" s="54">
        <v>9</v>
      </c>
      <c r="R17" s="54">
        <v>11</v>
      </c>
      <c r="S17" s="54">
        <v>11</v>
      </c>
      <c r="T17" s="54">
        <v>9</v>
      </c>
      <c r="U17" s="54">
        <v>15</v>
      </c>
      <c r="V17" s="54">
        <v>12</v>
      </c>
      <c r="W17" s="54">
        <v>8</v>
      </c>
      <c r="X17" s="54">
        <v>10</v>
      </c>
      <c r="Y17" s="54">
        <v>11</v>
      </c>
      <c r="Z17" s="54">
        <v>11</v>
      </c>
      <c r="AA17" s="54">
        <v>8</v>
      </c>
      <c r="AB17" s="54">
        <v>12</v>
      </c>
      <c r="AC17" s="54">
        <v>17</v>
      </c>
      <c r="AD17" s="54">
        <v>8</v>
      </c>
      <c r="AE17" s="54">
        <v>8</v>
      </c>
      <c r="AF17" s="54">
        <v>7</v>
      </c>
      <c r="AG17" s="5">
        <f t="shared" si="2"/>
        <v>283</v>
      </c>
    </row>
    <row r="18" spans="1:33" ht="18.75" x14ac:dyDescent="0.25">
      <c r="A18" s="56" t="s">
        <v>16</v>
      </c>
      <c r="B18" s="54">
        <v>9</v>
      </c>
      <c r="C18" s="54">
        <v>10</v>
      </c>
      <c r="D18" s="54">
        <v>6</v>
      </c>
      <c r="E18" s="54">
        <v>4</v>
      </c>
      <c r="F18" s="54">
        <v>7</v>
      </c>
      <c r="G18" s="54">
        <v>8</v>
      </c>
      <c r="H18" s="54">
        <v>6</v>
      </c>
      <c r="I18" s="54">
        <v>15</v>
      </c>
      <c r="J18" s="54">
        <v>3</v>
      </c>
      <c r="K18" s="54">
        <v>5</v>
      </c>
      <c r="L18" s="54">
        <v>2</v>
      </c>
      <c r="M18" s="54">
        <v>8</v>
      </c>
      <c r="N18" s="54">
        <v>9</v>
      </c>
      <c r="O18" s="54">
        <v>11</v>
      </c>
      <c r="P18" s="54">
        <v>6</v>
      </c>
      <c r="Q18" s="54">
        <v>9</v>
      </c>
      <c r="R18" s="54">
        <v>7</v>
      </c>
      <c r="S18" s="54">
        <v>7</v>
      </c>
      <c r="T18" s="54">
        <v>8</v>
      </c>
      <c r="U18" s="54">
        <v>15</v>
      </c>
      <c r="V18" s="54">
        <v>6</v>
      </c>
      <c r="W18" s="54">
        <v>8</v>
      </c>
      <c r="X18" s="54">
        <v>8</v>
      </c>
      <c r="Y18" s="54">
        <v>7</v>
      </c>
      <c r="Z18" s="54">
        <v>5</v>
      </c>
      <c r="AA18" s="54">
        <v>9</v>
      </c>
      <c r="AB18" s="54">
        <v>8</v>
      </c>
      <c r="AC18" s="54">
        <v>7</v>
      </c>
      <c r="AD18" s="54">
        <v>8</v>
      </c>
      <c r="AE18" s="54">
        <v>4</v>
      </c>
      <c r="AF18" s="54">
        <v>9</v>
      </c>
      <c r="AG18" s="5">
        <f t="shared" si="2"/>
        <v>234</v>
      </c>
    </row>
    <row r="19" spans="1:33" ht="18.75" x14ac:dyDescent="0.25">
      <c r="A19" s="56" t="s">
        <v>17</v>
      </c>
      <c r="B19" s="54">
        <v>6</v>
      </c>
      <c r="C19" s="54">
        <v>6</v>
      </c>
      <c r="D19" s="54">
        <v>5</v>
      </c>
      <c r="E19" s="54">
        <v>3</v>
      </c>
      <c r="F19" s="54">
        <v>2</v>
      </c>
      <c r="G19" s="54">
        <v>9</v>
      </c>
      <c r="H19" s="54">
        <v>2</v>
      </c>
      <c r="I19" s="54">
        <v>7</v>
      </c>
      <c r="J19" s="54">
        <v>6</v>
      </c>
      <c r="K19" s="54">
        <v>5</v>
      </c>
      <c r="L19" s="54">
        <v>7</v>
      </c>
      <c r="M19" s="54">
        <v>3</v>
      </c>
      <c r="N19" s="54">
        <v>4</v>
      </c>
      <c r="O19" s="54">
        <v>3</v>
      </c>
      <c r="P19" s="54">
        <v>3</v>
      </c>
      <c r="Q19" s="54">
        <v>9</v>
      </c>
      <c r="R19" s="54">
        <v>7</v>
      </c>
      <c r="S19" s="54">
        <v>3</v>
      </c>
      <c r="T19" s="54">
        <v>7</v>
      </c>
      <c r="U19" s="54">
        <v>8</v>
      </c>
      <c r="V19" s="54">
        <v>9</v>
      </c>
      <c r="W19" s="54">
        <v>4</v>
      </c>
      <c r="X19" s="54">
        <v>7</v>
      </c>
      <c r="Y19" s="54">
        <v>7</v>
      </c>
      <c r="Z19" s="54">
        <v>3</v>
      </c>
      <c r="AA19" s="54">
        <v>4</v>
      </c>
      <c r="AB19" s="54">
        <v>7</v>
      </c>
      <c r="AC19" s="54">
        <v>3</v>
      </c>
      <c r="AD19" s="54">
        <v>6</v>
      </c>
      <c r="AE19" s="54">
        <v>9</v>
      </c>
      <c r="AF19" s="54">
        <v>5</v>
      </c>
      <c r="AG19" s="5">
        <f t="shared" si="2"/>
        <v>169</v>
      </c>
    </row>
    <row r="20" spans="1:33" ht="18.75" x14ac:dyDescent="0.25">
      <c r="A20" s="56" t="s">
        <v>18</v>
      </c>
      <c r="B20" s="54">
        <v>5</v>
      </c>
      <c r="C20" s="54">
        <v>1</v>
      </c>
      <c r="D20" s="54">
        <v>2</v>
      </c>
      <c r="E20" s="54">
        <v>4</v>
      </c>
      <c r="F20" s="54">
        <v>3</v>
      </c>
      <c r="G20" s="54">
        <v>2</v>
      </c>
      <c r="H20" s="54">
        <v>2</v>
      </c>
      <c r="I20" s="54">
        <v>4</v>
      </c>
      <c r="J20" s="54">
        <v>2</v>
      </c>
      <c r="K20" s="54">
        <v>3</v>
      </c>
      <c r="L20" s="54">
        <v>0</v>
      </c>
      <c r="M20" s="54">
        <v>1</v>
      </c>
      <c r="N20" s="54">
        <v>3</v>
      </c>
      <c r="O20" s="54">
        <v>3</v>
      </c>
      <c r="P20" s="54">
        <v>2</v>
      </c>
      <c r="Q20" s="54">
        <v>1</v>
      </c>
      <c r="R20" s="54">
        <v>1</v>
      </c>
      <c r="S20" s="54">
        <v>2</v>
      </c>
      <c r="T20" s="54">
        <v>6</v>
      </c>
      <c r="U20" s="54">
        <v>2</v>
      </c>
      <c r="V20" s="54">
        <v>0</v>
      </c>
      <c r="W20" s="54">
        <v>5</v>
      </c>
      <c r="X20" s="54">
        <v>2</v>
      </c>
      <c r="Y20" s="54">
        <v>4</v>
      </c>
      <c r="Z20" s="54">
        <v>5</v>
      </c>
      <c r="AA20" s="54">
        <v>5</v>
      </c>
      <c r="AB20" s="54">
        <v>3</v>
      </c>
      <c r="AC20" s="54">
        <v>2</v>
      </c>
      <c r="AD20" s="54">
        <v>4</v>
      </c>
      <c r="AE20" s="54">
        <v>4</v>
      </c>
      <c r="AF20" s="54">
        <v>6</v>
      </c>
      <c r="AG20" s="5">
        <f t="shared" si="2"/>
        <v>89</v>
      </c>
    </row>
    <row r="21" spans="1:33" ht="15.75" customHeight="1" x14ac:dyDescent="0.25">
      <c r="A21" s="56" t="s">
        <v>19</v>
      </c>
      <c r="B21" s="54">
        <v>2</v>
      </c>
      <c r="C21" s="54">
        <v>1</v>
      </c>
      <c r="D21" s="54">
        <v>2</v>
      </c>
      <c r="E21" s="54">
        <v>1</v>
      </c>
      <c r="F21" s="54">
        <v>1</v>
      </c>
      <c r="G21" s="54">
        <v>3</v>
      </c>
      <c r="H21" s="54">
        <v>2</v>
      </c>
      <c r="I21" s="54">
        <v>3</v>
      </c>
      <c r="J21" s="54">
        <v>2</v>
      </c>
      <c r="K21" s="54">
        <v>3</v>
      </c>
      <c r="L21" s="54">
        <v>1</v>
      </c>
      <c r="M21" s="54">
        <v>4</v>
      </c>
      <c r="N21" s="54">
        <v>2</v>
      </c>
      <c r="O21" s="54">
        <v>1</v>
      </c>
      <c r="P21" s="54">
        <v>2</v>
      </c>
      <c r="Q21" s="54">
        <v>2</v>
      </c>
      <c r="R21" s="54">
        <v>0</v>
      </c>
      <c r="S21" s="54">
        <v>3</v>
      </c>
      <c r="T21" s="54">
        <v>2</v>
      </c>
      <c r="U21" s="54">
        <v>4</v>
      </c>
      <c r="V21" s="54">
        <v>1</v>
      </c>
      <c r="W21" s="54">
        <v>3</v>
      </c>
      <c r="X21" s="54">
        <v>5</v>
      </c>
      <c r="Y21" s="54">
        <v>1</v>
      </c>
      <c r="Z21" s="54">
        <v>0</v>
      </c>
      <c r="AA21" s="54">
        <v>2</v>
      </c>
      <c r="AB21" s="54">
        <v>0</v>
      </c>
      <c r="AC21" s="54">
        <v>1</v>
      </c>
      <c r="AD21" s="54">
        <v>1</v>
      </c>
      <c r="AE21" s="54">
        <v>2</v>
      </c>
      <c r="AF21" s="54">
        <v>1</v>
      </c>
      <c r="AG21" s="5">
        <f t="shared" si="2"/>
        <v>58</v>
      </c>
    </row>
    <row r="22" spans="1:33" ht="15.75" customHeight="1" x14ac:dyDescent="0.25">
      <c r="A22" s="56" t="s">
        <v>20</v>
      </c>
      <c r="B22" s="54">
        <v>1</v>
      </c>
      <c r="C22" s="54">
        <v>2</v>
      </c>
      <c r="D22" s="54">
        <v>3</v>
      </c>
      <c r="E22" s="54">
        <v>3</v>
      </c>
      <c r="F22" s="54">
        <v>1</v>
      </c>
      <c r="G22" s="54">
        <v>0</v>
      </c>
      <c r="H22" s="54">
        <v>2</v>
      </c>
      <c r="I22" s="54">
        <v>3</v>
      </c>
      <c r="J22" s="54">
        <v>2</v>
      </c>
      <c r="K22" s="54">
        <v>1</v>
      </c>
      <c r="L22" s="54">
        <v>4</v>
      </c>
      <c r="M22" s="54">
        <v>1</v>
      </c>
      <c r="N22" s="54">
        <v>1</v>
      </c>
      <c r="O22" s="54">
        <v>0</v>
      </c>
      <c r="P22" s="54">
        <v>2</v>
      </c>
      <c r="Q22" s="54">
        <v>1</v>
      </c>
      <c r="R22" s="54">
        <v>0</v>
      </c>
      <c r="S22" s="54">
        <v>1</v>
      </c>
      <c r="T22" s="54">
        <v>4</v>
      </c>
      <c r="U22" s="54">
        <v>2</v>
      </c>
      <c r="V22" s="54">
        <v>0</v>
      </c>
      <c r="W22" s="54">
        <v>0</v>
      </c>
      <c r="X22" s="54">
        <v>2</v>
      </c>
      <c r="Y22" s="54">
        <v>1</v>
      </c>
      <c r="Z22" s="54">
        <v>1</v>
      </c>
      <c r="AA22" s="54">
        <v>1</v>
      </c>
      <c r="AB22" s="54">
        <v>1</v>
      </c>
      <c r="AC22" s="54">
        <v>2</v>
      </c>
      <c r="AD22" s="54">
        <v>3</v>
      </c>
      <c r="AE22" s="54">
        <v>2</v>
      </c>
      <c r="AF22" s="54">
        <v>1</v>
      </c>
      <c r="AG22" s="5">
        <f t="shared" si="2"/>
        <v>48</v>
      </c>
    </row>
    <row r="23" spans="1:33" ht="15.75" customHeight="1" x14ac:dyDescent="0.25">
      <c r="A23" s="56" t="s">
        <v>21</v>
      </c>
      <c r="B23" s="54">
        <v>3</v>
      </c>
      <c r="C23" s="54">
        <v>0</v>
      </c>
      <c r="D23" s="54">
        <v>1</v>
      </c>
      <c r="E23" s="54">
        <v>4</v>
      </c>
      <c r="F23" s="54">
        <v>2</v>
      </c>
      <c r="G23" s="54">
        <v>1</v>
      </c>
      <c r="H23" s="54">
        <v>0</v>
      </c>
      <c r="I23" s="54">
        <v>1</v>
      </c>
      <c r="J23" s="54">
        <v>0</v>
      </c>
      <c r="K23" s="54">
        <v>0</v>
      </c>
      <c r="L23" s="54">
        <v>0</v>
      </c>
      <c r="M23" s="54">
        <v>1</v>
      </c>
      <c r="N23" s="54">
        <v>2</v>
      </c>
      <c r="O23" s="54">
        <v>1</v>
      </c>
      <c r="P23" s="54">
        <v>3</v>
      </c>
      <c r="Q23" s="54">
        <v>0</v>
      </c>
      <c r="R23" s="54">
        <v>0</v>
      </c>
      <c r="S23" s="54">
        <v>1</v>
      </c>
      <c r="T23" s="54">
        <v>2</v>
      </c>
      <c r="U23" s="54">
        <v>0</v>
      </c>
      <c r="V23" s="54">
        <v>0</v>
      </c>
      <c r="W23" s="54">
        <v>1</v>
      </c>
      <c r="X23" s="54">
        <v>0</v>
      </c>
      <c r="Y23" s="54">
        <v>0</v>
      </c>
      <c r="Z23" s="54">
        <v>3</v>
      </c>
      <c r="AA23" s="54">
        <v>0</v>
      </c>
      <c r="AB23" s="54">
        <v>4</v>
      </c>
      <c r="AC23" s="54">
        <v>0</v>
      </c>
      <c r="AD23" s="54">
        <v>0</v>
      </c>
      <c r="AE23" s="54">
        <v>2</v>
      </c>
      <c r="AF23" s="54">
        <v>0</v>
      </c>
      <c r="AG23" s="5">
        <f t="shared" si="2"/>
        <v>32</v>
      </c>
    </row>
    <row r="24" spans="1:33" ht="15.75" customHeight="1" x14ac:dyDescent="0.25">
      <c r="A24" s="56" t="s">
        <v>22</v>
      </c>
      <c r="B24" s="54">
        <v>0</v>
      </c>
      <c r="C24" s="54">
        <v>2</v>
      </c>
      <c r="D24" s="54">
        <v>2</v>
      </c>
      <c r="E24" s="54">
        <v>2</v>
      </c>
      <c r="F24" s="54">
        <v>2</v>
      </c>
      <c r="G24" s="54">
        <v>1</v>
      </c>
      <c r="H24" s="54">
        <v>0</v>
      </c>
      <c r="I24" s="54">
        <v>0</v>
      </c>
      <c r="J24" s="54">
        <v>0</v>
      </c>
      <c r="K24" s="54">
        <v>0</v>
      </c>
      <c r="L24" s="54">
        <v>3</v>
      </c>
      <c r="M24" s="54">
        <v>4</v>
      </c>
      <c r="N24" s="54">
        <v>1</v>
      </c>
      <c r="O24" s="54">
        <v>2</v>
      </c>
      <c r="P24" s="54">
        <v>0</v>
      </c>
      <c r="Q24" s="54">
        <v>1</v>
      </c>
      <c r="R24" s="54">
        <v>0</v>
      </c>
      <c r="S24" s="54">
        <v>0</v>
      </c>
      <c r="T24" s="54">
        <v>0</v>
      </c>
      <c r="U24" s="54">
        <v>1</v>
      </c>
      <c r="V24" s="54">
        <v>3</v>
      </c>
      <c r="W24" s="54">
        <v>0</v>
      </c>
      <c r="X24" s="54">
        <v>1</v>
      </c>
      <c r="Y24" s="54">
        <v>2</v>
      </c>
      <c r="Z24" s="54">
        <v>2</v>
      </c>
      <c r="AA24" s="54">
        <v>0</v>
      </c>
      <c r="AB24" s="54">
        <v>3</v>
      </c>
      <c r="AC24" s="54">
        <v>1</v>
      </c>
      <c r="AD24" s="54">
        <v>3</v>
      </c>
      <c r="AE24" s="54">
        <v>0</v>
      </c>
      <c r="AF24" s="54">
        <v>2</v>
      </c>
      <c r="AG24" s="5">
        <f t="shared" si="2"/>
        <v>38</v>
      </c>
    </row>
    <row r="25" spans="1:33" ht="15.75" customHeight="1" x14ac:dyDescent="0.25">
      <c r="A25" s="56" t="s">
        <v>23</v>
      </c>
      <c r="B25" s="54">
        <v>0</v>
      </c>
      <c r="C25" s="54">
        <v>1</v>
      </c>
      <c r="D25" s="54">
        <v>1</v>
      </c>
      <c r="E25" s="54">
        <v>1</v>
      </c>
      <c r="F25" s="54">
        <v>0</v>
      </c>
      <c r="G25" s="54">
        <v>0</v>
      </c>
      <c r="H25" s="54">
        <v>1</v>
      </c>
      <c r="I25" s="54">
        <v>0</v>
      </c>
      <c r="J25" s="54">
        <v>1</v>
      </c>
      <c r="K25" s="54">
        <v>0</v>
      </c>
      <c r="L25" s="54">
        <v>2</v>
      </c>
      <c r="M25" s="54">
        <v>1</v>
      </c>
      <c r="N25" s="54">
        <v>2</v>
      </c>
      <c r="O25" s="54">
        <v>2</v>
      </c>
      <c r="P25" s="54">
        <v>3</v>
      </c>
      <c r="Q25" s="54">
        <v>3</v>
      </c>
      <c r="R25" s="54">
        <v>4</v>
      </c>
      <c r="S25" s="54">
        <v>1</v>
      </c>
      <c r="T25" s="54">
        <v>2</v>
      </c>
      <c r="U25" s="54">
        <v>1</v>
      </c>
      <c r="V25" s="54">
        <v>0</v>
      </c>
      <c r="W25" s="54">
        <v>0</v>
      </c>
      <c r="X25" s="54">
        <v>1</v>
      </c>
      <c r="Y25" s="54">
        <v>1</v>
      </c>
      <c r="Z25" s="54">
        <v>0</v>
      </c>
      <c r="AA25" s="54">
        <v>1</v>
      </c>
      <c r="AB25" s="54">
        <v>2</v>
      </c>
      <c r="AC25" s="54">
        <v>3</v>
      </c>
      <c r="AD25" s="54">
        <v>4</v>
      </c>
      <c r="AE25" s="54">
        <v>2</v>
      </c>
      <c r="AF25" s="54">
        <v>1</v>
      </c>
      <c r="AG25" s="5">
        <f t="shared" si="2"/>
        <v>41</v>
      </c>
    </row>
    <row r="26" spans="1:33" ht="15.75" customHeight="1" x14ac:dyDescent="0.25">
      <c r="A26" s="56" t="s">
        <v>24</v>
      </c>
      <c r="B26" s="54">
        <v>2</v>
      </c>
      <c r="C26" s="54">
        <v>2</v>
      </c>
      <c r="D26" s="54">
        <v>0</v>
      </c>
      <c r="E26" s="54">
        <v>1</v>
      </c>
      <c r="F26" s="54">
        <v>1</v>
      </c>
      <c r="G26" s="54">
        <v>0</v>
      </c>
      <c r="H26" s="54">
        <v>3</v>
      </c>
      <c r="I26" s="54">
        <v>1</v>
      </c>
      <c r="J26" s="54">
        <v>0</v>
      </c>
      <c r="K26" s="54">
        <v>1</v>
      </c>
      <c r="L26" s="54">
        <v>0</v>
      </c>
      <c r="M26" s="54">
        <v>0</v>
      </c>
      <c r="N26" s="54">
        <v>0</v>
      </c>
      <c r="O26" s="54">
        <v>2</v>
      </c>
      <c r="P26" s="54">
        <v>0</v>
      </c>
      <c r="Q26" s="54">
        <v>4</v>
      </c>
      <c r="R26" s="54">
        <v>1</v>
      </c>
      <c r="S26" s="54">
        <v>2</v>
      </c>
      <c r="T26" s="54">
        <v>0</v>
      </c>
      <c r="U26" s="54">
        <v>0</v>
      </c>
      <c r="V26" s="54">
        <v>2</v>
      </c>
      <c r="W26" s="54">
        <v>4</v>
      </c>
      <c r="X26" s="54">
        <v>2</v>
      </c>
      <c r="Y26" s="54">
        <v>0</v>
      </c>
      <c r="Z26" s="54">
        <v>0</v>
      </c>
      <c r="AA26" s="54">
        <v>1</v>
      </c>
      <c r="AB26" s="54">
        <v>0</v>
      </c>
      <c r="AC26" s="54">
        <v>1</v>
      </c>
      <c r="AD26" s="54">
        <v>1</v>
      </c>
      <c r="AE26" s="54">
        <v>1</v>
      </c>
      <c r="AF26" s="54">
        <v>2</v>
      </c>
      <c r="AG26" s="5">
        <f t="shared" si="2"/>
        <v>34</v>
      </c>
    </row>
    <row r="27" spans="1:33" ht="15.75" customHeight="1" thickBot="1" x14ac:dyDescent="0.3">
      <c r="A27" s="57" t="s">
        <v>25</v>
      </c>
      <c r="B27" s="58">
        <v>0</v>
      </c>
      <c r="C27" s="58">
        <v>0</v>
      </c>
      <c r="D27" s="58">
        <v>1</v>
      </c>
      <c r="E27" s="58">
        <v>3</v>
      </c>
      <c r="F27" s="58">
        <v>0</v>
      </c>
      <c r="G27" s="58">
        <v>0</v>
      </c>
      <c r="H27" s="58">
        <v>0</v>
      </c>
      <c r="I27" s="58">
        <v>0</v>
      </c>
      <c r="J27" s="58">
        <v>1</v>
      </c>
      <c r="K27" s="58">
        <v>2</v>
      </c>
      <c r="L27" s="58">
        <v>1</v>
      </c>
      <c r="M27" s="58">
        <v>0</v>
      </c>
      <c r="N27" s="58">
        <v>0</v>
      </c>
      <c r="O27" s="58">
        <v>0</v>
      </c>
      <c r="P27" s="58">
        <v>0</v>
      </c>
      <c r="Q27" s="58">
        <v>2</v>
      </c>
      <c r="R27" s="58">
        <v>0</v>
      </c>
      <c r="S27" s="58">
        <v>3</v>
      </c>
      <c r="T27" s="58">
        <v>0</v>
      </c>
      <c r="U27" s="58">
        <v>0</v>
      </c>
      <c r="V27" s="58">
        <v>0</v>
      </c>
      <c r="W27" s="58">
        <v>1</v>
      </c>
      <c r="X27" s="58">
        <v>0</v>
      </c>
      <c r="Y27" s="58">
        <v>1</v>
      </c>
      <c r="Z27" s="58">
        <v>3</v>
      </c>
      <c r="AA27" s="58">
        <v>2</v>
      </c>
      <c r="AB27" s="58">
        <v>0</v>
      </c>
      <c r="AC27" s="58">
        <v>0</v>
      </c>
      <c r="AD27" s="58">
        <v>0</v>
      </c>
      <c r="AE27" s="58">
        <v>1</v>
      </c>
      <c r="AF27" s="58">
        <v>1</v>
      </c>
      <c r="AG27" s="5">
        <f t="shared" si="2"/>
        <v>22</v>
      </c>
    </row>
    <row r="28" spans="1:33" ht="15.75" customHeight="1" x14ac:dyDescent="0.25">
      <c r="A28" s="59" t="s">
        <v>26</v>
      </c>
      <c r="B28" s="6">
        <f t="shared" ref="B28:AF28" si="3">SUM(B29:B52)</f>
        <v>122</v>
      </c>
      <c r="C28" s="6">
        <f t="shared" si="3"/>
        <v>126</v>
      </c>
      <c r="D28" s="6">
        <f t="shared" si="3"/>
        <v>126</v>
      </c>
      <c r="E28" s="6">
        <f t="shared" si="3"/>
        <v>155</v>
      </c>
      <c r="F28" s="6">
        <f t="shared" si="3"/>
        <v>187</v>
      </c>
      <c r="G28" s="6">
        <f t="shared" si="3"/>
        <v>149</v>
      </c>
      <c r="H28" s="6">
        <f t="shared" si="3"/>
        <v>122</v>
      </c>
      <c r="I28" s="6">
        <f t="shared" si="3"/>
        <v>138</v>
      </c>
      <c r="J28" s="6">
        <f t="shared" si="3"/>
        <v>123</v>
      </c>
      <c r="K28" s="6">
        <f t="shared" si="3"/>
        <v>119</v>
      </c>
      <c r="L28" s="6">
        <f t="shared" si="3"/>
        <v>181</v>
      </c>
      <c r="M28" s="6">
        <f t="shared" si="3"/>
        <v>167</v>
      </c>
      <c r="N28" s="6">
        <f t="shared" si="3"/>
        <v>145</v>
      </c>
      <c r="O28" s="6">
        <f t="shared" si="3"/>
        <v>135</v>
      </c>
      <c r="P28" s="6">
        <f t="shared" si="3"/>
        <v>125</v>
      </c>
      <c r="Q28" s="6">
        <f t="shared" si="3"/>
        <v>128</v>
      </c>
      <c r="R28" s="6">
        <f t="shared" si="3"/>
        <v>122</v>
      </c>
      <c r="S28" s="6">
        <f t="shared" si="3"/>
        <v>176</v>
      </c>
      <c r="T28" s="6">
        <f t="shared" si="3"/>
        <v>187</v>
      </c>
      <c r="U28" s="6">
        <f t="shared" si="3"/>
        <v>141</v>
      </c>
      <c r="V28" s="6">
        <f t="shared" si="3"/>
        <v>129</v>
      </c>
      <c r="W28" s="6">
        <f t="shared" si="3"/>
        <v>126</v>
      </c>
      <c r="X28" s="6">
        <f t="shared" si="3"/>
        <v>128</v>
      </c>
      <c r="Y28" s="6">
        <f t="shared" si="3"/>
        <v>105</v>
      </c>
      <c r="Z28" s="6">
        <f t="shared" si="3"/>
        <v>186</v>
      </c>
      <c r="AA28" s="6">
        <f t="shared" si="3"/>
        <v>189</v>
      </c>
      <c r="AB28" s="6">
        <f t="shared" si="3"/>
        <v>132</v>
      </c>
      <c r="AC28" s="6">
        <f t="shared" si="3"/>
        <v>118</v>
      </c>
      <c r="AD28" s="6">
        <f t="shared" si="3"/>
        <v>124</v>
      </c>
      <c r="AE28" s="6">
        <f t="shared" si="3"/>
        <v>119</v>
      </c>
      <c r="AF28" s="6">
        <f t="shared" si="3"/>
        <v>189</v>
      </c>
      <c r="AG28" s="7">
        <f t="shared" si="2"/>
        <v>4419</v>
      </c>
    </row>
    <row r="29" spans="1:33" ht="15.75" customHeight="1" x14ac:dyDescent="0.25">
      <c r="A29" s="53" t="s">
        <v>2</v>
      </c>
      <c r="B29" s="54">
        <v>0</v>
      </c>
      <c r="C29" s="55">
        <v>0</v>
      </c>
      <c r="D29" s="55">
        <v>0</v>
      </c>
      <c r="E29" s="55">
        <v>5</v>
      </c>
      <c r="F29" s="55">
        <v>5</v>
      </c>
      <c r="G29" s="55">
        <v>0</v>
      </c>
      <c r="H29" s="55">
        <v>0</v>
      </c>
      <c r="I29" s="55">
        <v>0</v>
      </c>
      <c r="J29" s="55">
        <v>0</v>
      </c>
      <c r="K29" s="55">
        <v>0</v>
      </c>
      <c r="L29" s="55">
        <v>2</v>
      </c>
      <c r="M29" s="55">
        <v>0</v>
      </c>
      <c r="N29" s="55">
        <v>0</v>
      </c>
      <c r="O29" s="55">
        <v>0</v>
      </c>
      <c r="P29" s="55">
        <v>0</v>
      </c>
      <c r="Q29" s="55">
        <v>0</v>
      </c>
      <c r="R29" s="55">
        <v>0</v>
      </c>
      <c r="S29" s="55">
        <v>0</v>
      </c>
      <c r="T29" s="55">
        <v>2</v>
      </c>
      <c r="U29" s="55">
        <v>0</v>
      </c>
      <c r="V29" s="55">
        <v>0</v>
      </c>
      <c r="W29" s="55">
        <v>0</v>
      </c>
      <c r="X29" s="55">
        <v>0</v>
      </c>
      <c r="Y29" s="55">
        <v>0</v>
      </c>
      <c r="Z29" s="55">
        <v>10</v>
      </c>
      <c r="AA29" s="55">
        <v>6</v>
      </c>
      <c r="AB29" s="55">
        <v>0</v>
      </c>
      <c r="AC29" s="55">
        <v>0</v>
      </c>
      <c r="AD29" s="54">
        <v>0</v>
      </c>
      <c r="AE29" s="54">
        <v>0</v>
      </c>
      <c r="AF29" s="54">
        <v>3</v>
      </c>
      <c r="AG29" s="5">
        <f t="shared" si="2"/>
        <v>33</v>
      </c>
    </row>
    <row r="30" spans="1:33" ht="15.75" customHeight="1" x14ac:dyDescent="0.25">
      <c r="A30" s="56" t="s">
        <v>3</v>
      </c>
      <c r="B30" s="54">
        <v>0</v>
      </c>
      <c r="C30" s="54">
        <v>0</v>
      </c>
      <c r="D30" s="54">
        <v>0</v>
      </c>
      <c r="E30" s="54">
        <v>6</v>
      </c>
      <c r="F30" s="54">
        <v>7</v>
      </c>
      <c r="G30" s="54">
        <v>0</v>
      </c>
      <c r="H30" s="54">
        <v>0</v>
      </c>
      <c r="I30" s="54">
        <v>0</v>
      </c>
      <c r="J30" s="54">
        <v>0</v>
      </c>
      <c r="K30" s="54">
        <v>0</v>
      </c>
      <c r="L30" s="54">
        <v>12</v>
      </c>
      <c r="M30" s="54">
        <v>6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11</v>
      </c>
      <c r="T30" s="54">
        <v>9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12</v>
      </c>
      <c r="AA30" s="54">
        <v>7</v>
      </c>
      <c r="AB30" s="54">
        <v>0</v>
      </c>
      <c r="AC30" s="54">
        <v>0</v>
      </c>
      <c r="AD30" s="54">
        <v>0</v>
      </c>
      <c r="AE30" s="54">
        <v>0</v>
      </c>
      <c r="AF30" s="54">
        <v>17</v>
      </c>
      <c r="AG30" s="5">
        <f t="shared" si="2"/>
        <v>87</v>
      </c>
    </row>
    <row r="31" spans="1:33" ht="15.75" customHeight="1" x14ac:dyDescent="0.25">
      <c r="A31" s="56" t="s">
        <v>4</v>
      </c>
      <c r="B31" s="54">
        <v>0</v>
      </c>
      <c r="C31" s="54">
        <v>0</v>
      </c>
      <c r="D31" s="54">
        <v>0</v>
      </c>
      <c r="E31" s="54">
        <v>9</v>
      </c>
      <c r="F31" s="54">
        <v>15</v>
      </c>
      <c r="G31" s="54">
        <v>0</v>
      </c>
      <c r="H31" s="54">
        <v>0</v>
      </c>
      <c r="I31" s="54">
        <v>0</v>
      </c>
      <c r="J31" s="54">
        <v>0</v>
      </c>
      <c r="K31" s="54">
        <v>0</v>
      </c>
      <c r="L31" s="54">
        <v>14</v>
      </c>
      <c r="M31" s="54">
        <v>11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54">
        <v>12</v>
      </c>
      <c r="T31" s="54">
        <v>14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8</v>
      </c>
      <c r="AA31" s="54">
        <v>11</v>
      </c>
      <c r="AB31" s="54">
        <v>0</v>
      </c>
      <c r="AC31" s="54">
        <v>0</v>
      </c>
      <c r="AD31" s="54">
        <v>0</v>
      </c>
      <c r="AE31" s="54">
        <v>0</v>
      </c>
      <c r="AF31" s="54">
        <v>13</v>
      </c>
      <c r="AG31" s="5">
        <f t="shared" si="2"/>
        <v>107</v>
      </c>
    </row>
    <row r="32" spans="1:33" ht="15.75" customHeight="1" x14ac:dyDescent="0.25">
      <c r="A32" s="56" t="s">
        <v>5</v>
      </c>
      <c r="B32" s="54">
        <v>0</v>
      </c>
      <c r="C32" s="54">
        <v>0</v>
      </c>
      <c r="D32" s="54">
        <v>0</v>
      </c>
      <c r="E32" s="54">
        <v>8</v>
      </c>
      <c r="F32" s="54">
        <v>13</v>
      </c>
      <c r="G32" s="54">
        <v>0</v>
      </c>
      <c r="H32" s="54">
        <v>0</v>
      </c>
      <c r="I32" s="54">
        <v>0</v>
      </c>
      <c r="J32" s="54">
        <v>0</v>
      </c>
      <c r="K32" s="54">
        <v>0</v>
      </c>
      <c r="L32" s="54">
        <v>9</v>
      </c>
      <c r="M32" s="54">
        <v>8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7</v>
      </c>
      <c r="T32" s="54">
        <v>9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14</v>
      </c>
      <c r="AA32" s="54">
        <v>14</v>
      </c>
      <c r="AB32" s="54">
        <v>0</v>
      </c>
      <c r="AC32" s="54">
        <v>0</v>
      </c>
      <c r="AD32" s="54">
        <v>0</v>
      </c>
      <c r="AE32" s="54">
        <v>0</v>
      </c>
      <c r="AF32" s="54">
        <v>10</v>
      </c>
      <c r="AG32" s="5">
        <f t="shared" si="2"/>
        <v>92</v>
      </c>
    </row>
    <row r="33" spans="1:33" ht="15.75" customHeight="1" x14ac:dyDescent="0.25">
      <c r="A33" s="56" t="s">
        <v>6</v>
      </c>
      <c r="B33" s="54">
        <v>0</v>
      </c>
      <c r="C33" s="54">
        <v>0</v>
      </c>
      <c r="D33" s="54">
        <v>0</v>
      </c>
      <c r="E33" s="54">
        <v>9</v>
      </c>
      <c r="F33" s="54">
        <v>12</v>
      </c>
      <c r="G33" s="54">
        <v>0</v>
      </c>
      <c r="H33" s="54">
        <v>0</v>
      </c>
      <c r="I33" s="54">
        <v>0</v>
      </c>
      <c r="J33" s="54">
        <v>0</v>
      </c>
      <c r="K33" s="54">
        <v>0</v>
      </c>
      <c r="L33" s="54">
        <v>12</v>
      </c>
      <c r="M33" s="54">
        <v>12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54">
        <v>10</v>
      </c>
      <c r="T33" s="54">
        <v>11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12</v>
      </c>
      <c r="AA33" s="54">
        <v>12</v>
      </c>
      <c r="AB33" s="54">
        <v>0</v>
      </c>
      <c r="AC33" s="54">
        <v>0</v>
      </c>
      <c r="AD33" s="54">
        <v>0</v>
      </c>
      <c r="AE33" s="54">
        <v>0</v>
      </c>
      <c r="AF33" s="54">
        <v>14</v>
      </c>
      <c r="AG33" s="5">
        <f t="shared" si="2"/>
        <v>104</v>
      </c>
    </row>
    <row r="34" spans="1:33" ht="15.75" customHeight="1" x14ac:dyDescent="0.25">
      <c r="A34" s="56" t="s">
        <v>7</v>
      </c>
      <c r="B34" s="54">
        <v>0</v>
      </c>
      <c r="C34" s="54">
        <v>0</v>
      </c>
      <c r="D34" s="54">
        <v>0</v>
      </c>
      <c r="E34" s="54">
        <v>3</v>
      </c>
      <c r="F34" s="54">
        <v>12</v>
      </c>
      <c r="G34" s="54">
        <v>0</v>
      </c>
      <c r="H34" s="54">
        <v>0</v>
      </c>
      <c r="I34" s="54">
        <v>0</v>
      </c>
      <c r="J34" s="54">
        <v>0</v>
      </c>
      <c r="K34" s="54">
        <v>0</v>
      </c>
      <c r="L34" s="54">
        <v>15</v>
      </c>
      <c r="M34" s="54">
        <v>6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54">
        <v>6</v>
      </c>
      <c r="T34" s="54">
        <v>10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10</v>
      </c>
      <c r="AA34" s="54">
        <v>7</v>
      </c>
      <c r="AB34" s="54">
        <v>0</v>
      </c>
      <c r="AC34" s="54">
        <v>0</v>
      </c>
      <c r="AD34" s="54">
        <v>0</v>
      </c>
      <c r="AE34" s="54">
        <v>0</v>
      </c>
      <c r="AF34" s="54">
        <v>12</v>
      </c>
      <c r="AG34" s="5">
        <f t="shared" si="2"/>
        <v>81</v>
      </c>
    </row>
    <row r="35" spans="1:33" ht="15.75" customHeight="1" x14ac:dyDescent="0.25">
      <c r="A35" s="56" t="s">
        <v>8</v>
      </c>
      <c r="B35" s="54">
        <v>0</v>
      </c>
      <c r="C35" s="54">
        <v>0</v>
      </c>
      <c r="D35" s="54">
        <v>0</v>
      </c>
      <c r="E35" s="54">
        <v>9</v>
      </c>
      <c r="F35" s="54">
        <v>13</v>
      </c>
      <c r="G35" s="54">
        <v>0</v>
      </c>
      <c r="H35" s="54">
        <v>0</v>
      </c>
      <c r="I35" s="54">
        <v>0</v>
      </c>
      <c r="J35" s="54">
        <v>0</v>
      </c>
      <c r="K35" s="54">
        <v>0</v>
      </c>
      <c r="L35" s="54">
        <v>7</v>
      </c>
      <c r="M35" s="54">
        <v>8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54">
        <v>7</v>
      </c>
      <c r="T35" s="54">
        <v>11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5</v>
      </c>
      <c r="AA35" s="54">
        <v>10</v>
      </c>
      <c r="AB35" s="54">
        <v>0</v>
      </c>
      <c r="AC35" s="54">
        <v>0</v>
      </c>
      <c r="AD35" s="54">
        <v>0</v>
      </c>
      <c r="AE35" s="54">
        <v>0</v>
      </c>
      <c r="AF35" s="54">
        <v>12</v>
      </c>
      <c r="AG35" s="5">
        <f t="shared" si="2"/>
        <v>82</v>
      </c>
    </row>
    <row r="36" spans="1:33" ht="15.75" customHeight="1" x14ac:dyDescent="0.25">
      <c r="A36" s="56" t="s">
        <v>9</v>
      </c>
      <c r="B36" s="54">
        <v>0</v>
      </c>
      <c r="C36" s="54">
        <v>0</v>
      </c>
      <c r="D36" s="54">
        <v>0</v>
      </c>
      <c r="E36" s="54">
        <v>11</v>
      </c>
      <c r="F36" s="54">
        <v>11</v>
      </c>
      <c r="G36" s="54">
        <v>0</v>
      </c>
      <c r="H36" s="54">
        <v>0</v>
      </c>
      <c r="I36" s="54">
        <v>0</v>
      </c>
      <c r="J36" s="54">
        <v>0</v>
      </c>
      <c r="K36" s="54">
        <v>0</v>
      </c>
      <c r="L36" s="54">
        <v>10</v>
      </c>
      <c r="M36" s="54">
        <v>17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6</v>
      </c>
      <c r="T36" s="54">
        <v>15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17</v>
      </c>
      <c r="AA36" s="54">
        <v>14</v>
      </c>
      <c r="AB36" s="54">
        <v>0</v>
      </c>
      <c r="AC36" s="54">
        <v>0</v>
      </c>
      <c r="AD36" s="54">
        <v>0</v>
      </c>
      <c r="AE36" s="54">
        <v>0</v>
      </c>
      <c r="AF36" s="54">
        <v>13</v>
      </c>
      <c r="AG36" s="5">
        <f t="shared" si="2"/>
        <v>114</v>
      </c>
    </row>
    <row r="37" spans="1:33" ht="15.75" customHeight="1" x14ac:dyDescent="0.25">
      <c r="A37" s="56" t="s">
        <v>10</v>
      </c>
      <c r="B37" s="54">
        <v>0</v>
      </c>
      <c r="C37" s="54">
        <v>0</v>
      </c>
      <c r="D37" s="54">
        <v>18</v>
      </c>
      <c r="E37" s="54">
        <v>11</v>
      </c>
      <c r="F37" s="54">
        <v>12</v>
      </c>
      <c r="G37" s="54">
        <v>0</v>
      </c>
      <c r="H37" s="54">
        <v>0</v>
      </c>
      <c r="I37" s="54">
        <v>0</v>
      </c>
      <c r="J37" s="54">
        <v>0</v>
      </c>
      <c r="K37" s="54">
        <v>12</v>
      </c>
      <c r="L37" s="54">
        <v>15</v>
      </c>
      <c r="M37" s="54">
        <v>13</v>
      </c>
      <c r="N37" s="54">
        <v>0</v>
      </c>
      <c r="O37" s="54">
        <v>0</v>
      </c>
      <c r="P37" s="54">
        <v>0</v>
      </c>
      <c r="Q37" s="54">
        <v>0</v>
      </c>
      <c r="R37" s="54">
        <v>8</v>
      </c>
      <c r="S37" s="54">
        <v>15</v>
      </c>
      <c r="T37" s="54">
        <v>21</v>
      </c>
      <c r="U37" s="54">
        <v>0</v>
      </c>
      <c r="V37" s="54">
        <v>0</v>
      </c>
      <c r="W37" s="54">
        <v>0</v>
      </c>
      <c r="X37" s="54">
        <v>0</v>
      </c>
      <c r="Y37" s="54">
        <v>3</v>
      </c>
      <c r="Z37" s="54">
        <v>12</v>
      </c>
      <c r="AA37" s="54">
        <v>15</v>
      </c>
      <c r="AB37" s="54">
        <v>0</v>
      </c>
      <c r="AC37" s="54">
        <v>0</v>
      </c>
      <c r="AD37" s="54">
        <v>0</v>
      </c>
      <c r="AE37" s="54">
        <v>0</v>
      </c>
      <c r="AF37" s="54">
        <v>14</v>
      </c>
      <c r="AG37" s="5">
        <f t="shared" si="2"/>
        <v>169</v>
      </c>
    </row>
    <row r="38" spans="1:33" ht="15.75" customHeight="1" x14ac:dyDescent="0.25">
      <c r="A38" s="56" t="s">
        <v>11</v>
      </c>
      <c r="B38" s="54">
        <v>7</v>
      </c>
      <c r="C38" s="54">
        <v>10</v>
      </c>
      <c r="D38" s="54">
        <v>10</v>
      </c>
      <c r="E38" s="54">
        <v>10</v>
      </c>
      <c r="F38" s="54">
        <v>19</v>
      </c>
      <c r="G38" s="54">
        <v>12</v>
      </c>
      <c r="H38" s="54">
        <v>24</v>
      </c>
      <c r="I38" s="54">
        <v>12</v>
      </c>
      <c r="J38" s="54">
        <v>13</v>
      </c>
      <c r="K38" s="54">
        <v>10</v>
      </c>
      <c r="L38" s="54">
        <v>21</v>
      </c>
      <c r="M38" s="54">
        <v>19</v>
      </c>
      <c r="N38" s="54">
        <v>17</v>
      </c>
      <c r="O38" s="54">
        <v>12</v>
      </c>
      <c r="P38" s="54">
        <v>6</v>
      </c>
      <c r="Q38" s="54">
        <v>10</v>
      </c>
      <c r="R38" s="54">
        <v>11</v>
      </c>
      <c r="S38" s="54">
        <v>14</v>
      </c>
      <c r="T38" s="54">
        <v>9</v>
      </c>
      <c r="U38" s="54">
        <v>6</v>
      </c>
      <c r="V38" s="54">
        <v>8</v>
      </c>
      <c r="W38" s="54">
        <v>7</v>
      </c>
      <c r="X38" s="54">
        <v>4</v>
      </c>
      <c r="Y38" s="54">
        <v>15</v>
      </c>
      <c r="Z38" s="54">
        <v>12</v>
      </c>
      <c r="AA38" s="54">
        <v>17</v>
      </c>
      <c r="AB38" s="54">
        <v>13</v>
      </c>
      <c r="AC38" s="54">
        <v>9</v>
      </c>
      <c r="AD38" s="54">
        <v>13</v>
      </c>
      <c r="AE38" s="54">
        <v>2</v>
      </c>
      <c r="AF38" s="54">
        <v>15</v>
      </c>
      <c r="AG38" s="5">
        <f t="shared" si="2"/>
        <v>367</v>
      </c>
    </row>
    <row r="39" spans="1:33" ht="15.75" customHeight="1" x14ac:dyDescent="0.25">
      <c r="A39" s="56" t="s">
        <v>12</v>
      </c>
      <c r="B39" s="54">
        <v>16</v>
      </c>
      <c r="C39" s="54">
        <v>21</v>
      </c>
      <c r="D39" s="54">
        <v>8</v>
      </c>
      <c r="E39" s="54">
        <v>9</v>
      </c>
      <c r="F39" s="54">
        <v>11</v>
      </c>
      <c r="G39" s="54">
        <v>19</v>
      </c>
      <c r="H39" s="54">
        <v>10</v>
      </c>
      <c r="I39" s="54">
        <v>16</v>
      </c>
      <c r="J39" s="54">
        <v>17</v>
      </c>
      <c r="K39" s="54">
        <v>11</v>
      </c>
      <c r="L39" s="54">
        <v>9</v>
      </c>
      <c r="M39" s="54">
        <v>7</v>
      </c>
      <c r="N39" s="54">
        <v>18</v>
      </c>
      <c r="O39" s="54">
        <v>18</v>
      </c>
      <c r="P39" s="54">
        <v>15</v>
      </c>
      <c r="Q39" s="54">
        <v>22</v>
      </c>
      <c r="R39" s="54">
        <v>13</v>
      </c>
      <c r="S39" s="54">
        <v>11</v>
      </c>
      <c r="T39" s="54">
        <v>15</v>
      </c>
      <c r="U39" s="54">
        <v>23</v>
      </c>
      <c r="V39" s="54">
        <v>25</v>
      </c>
      <c r="W39" s="54">
        <v>18</v>
      </c>
      <c r="X39" s="54">
        <v>22</v>
      </c>
      <c r="Y39" s="54">
        <v>12</v>
      </c>
      <c r="Z39" s="54">
        <v>18</v>
      </c>
      <c r="AA39" s="54">
        <v>11</v>
      </c>
      <c r="AB39" s="54">
        <v>16</v>
      </c>
      <c r="AC39" s="54">
        <v>15</v>
      </c>
      <c r="AD39" s="54">
        <v>18</v>
      </c>
      <c r="AE39" s="54">
        <v>24</v>
      </c>
      <c r="AF39" s="54">
        <v>11</v>
      </c>
      <c r="AG39" s="5">
        <f t="shared" si="2"/>
        <v>479</v>
      </c>
    </row>
    <row r="40" spans="1:33" ht="15.75" customHeight="1" x14ac:dyDescent="0.25">
      <c r="A40" s="56" t="s">
        <v>13</v>
      </c>
      <c r="B40" s="54">
        <v>21</v>
      </c>
      <c r="C40" s="54">
        <v>21</v>
      </c>
      <c r="D40" s="54">
        <v>19</v>
      </c>
      <c r="E40" s="54">
        <v>11</v>
      </c>
      <c r="F40" s="54">
        <v>12</v>
      </c>
      <c r="G40" s="54">
        <v>24</v>
      </c>
      <c r="H40" s="54">
        <v>19</v>
      </c>
      <c r="I40" s="54">
        <v>18</v>
      </c>
      <c r="J40" s="54">
        <v>22</v>
      </c>
      <c r="K40" s="54">
        <v>25</v>
      </c>
      <c r="L40" s="54">
        <v>12</v>
      </c>
      <c r="M40" s="54">
        <v>12</v>
      </c>
      <c r="N40" s="54">
        <v>24</v>
      </c>
      <c r="O40" s="54">
        <v>14</v>
      </c>
      <c r="P40" s="54">
        <v>27</v>
      </c>
      <c r="Q40" s="54">
        <v>24</v>
      </c>
      <c r="R40" s="54">
        <v>17</v>
      </c>
      <c r="S40" s="54">
        <v>17</v>
      </c>
      <c r="T40" s="54">
        <v>8</v>
      </c>
      <c r="U40" s="54">
        <v>18</v>
      </c>
      <c r="V40" s="54">
        <v>19</v>
      </c>
      <c r="W40" s="54">
        <v>24</v>
      </c>
      <c r="X40" s="54">
        <v>23</v>
      </c>
      <c r="Y40" s="54">
        <v>19</v>
      </c>
      <c r="Z40" s="54">
        <v>6</v>
      </c>
      <c r="AA40" s="54">
        <v>8</v>
      </c>
      <c r="AB40" s="54">
        <v>17</v>
      </c>
      <c r="AC40" s="54">
        <v>14</v>
      </c>
      <c r="AD40" s="54">
        <v>20</v>
      </c>
      <c r="AE40" s="54">
        <v>14</v>
      </c>
      <c r="AF40" s="54">
        <v>14</v>
      </c>
      <c r="AG40" s="5">
        <f t="shared" si="2"/>
        <v>543</v>
      </c>
    </row>
    <row r="41" spans="1:33" ht="15.75" customHeight="1" x14ac:dyDescent="0.25">
      <c r="A41" s="56" t="s">
        <v>14</v>
      </c>
      <c r="B41" s="54">
        <v>19</v>
      </c>
      <c r="C41" s="54">
        <v>19</v>
      </c>
      <c r="D41" s="54">
        <v>18</v>
      </c>
      <c r="E41" s="54">
        <v>15</v>
      </c>
      <c r="F41" s="54">
        <v>7</v>
      </c>
      <c r="G41" s="54">
        <v>24</v>
      </c>
      <c r="H41" s="54">
        <v>13</v>
      </c>
      <c r="I41" s="54">
        <v>18</v>
      </c>
      <c r="J41" s="54">
        <v>16</v>
      </c>
      <c r="K41" s="54">
        <v>19</v>
      </c>
      <c r="L41" s="54">
        <v>11</v>
      </c>
      <c r="M41" s="54">
        <v>6</v>
      </c>
      <c r="N41" s="54">
        <v>21</v>
      </c>
      <c r="O41" s="54">
        <v>19</v>
      </c>
      <c r="P41" s="54">
        <v>17</v>
      </c>
      <c r="Q41" s="54">
        <v>14</v>
      </c>
      <c r="R41" s="54">
        <v>25</v>
      </c>
      <c r="S41" s="54">
        <v>8</v>
      </c>
      <c r="T41" s="54">
        <v>9</v>
      </c>
      <c r="U41" s="54">
        <v>16</v>
      </c>
      <c r="V41" s="54">
        <v>22</v>
      </c>
      <c r="W41" s="54">
        <v>13</v>
      </c>
      <c r="X41" s="54">
        <v>21</v>
      </c>
      <c r="Y41" s="54">
        <v>18</v>
      </c>
      <c r="Z41" s="54">
        <v>10</v>
      </c>
      <c r="AA41" s="54">
        <v>12</v>
      </c>
      <c r="AB41" s="54">
        <v>16</v>
      </c>
      <c r="AC41" s="54">
        <v>14</v>
      </c>
      <c r="AD41" s="54">
        <v>23</v>
      </c>
      <c r="AE41" s="54">
        <v>15</v>
      </c>
      <c r="AF41" s="54">
        <v>5</v>
      </c>
      <c r="AG41" s="5">
        <f t="shared" si="2"/>
        <v>483</v>
      </c>
    </row>
    <row r="42" spans="1:33" ht="15.75" customHeight="1" x14ac:dyDescent="0.25">
      <c r="A42" s="56" t="s">
        <v>15</v>
      </c>
      <c r="B42" s="54">
        <v>12</v>
      </c>
      <c r="C42" s="54">
        <v>15</v>
      </c>
      <c r="D42" s="54">
        <v>16</v>
      </c>
      <c r="E42" s="54">
        <v>7</v>
      </c>
      <c r="F42" s="54">
        <v>10</v>
      </c>
      <c r="G42" s="54">
        <v>16</v>
      </c>
      <c r="H42" s="54">
        <v>17</v>
      </c>
      <c r="I42" s="54">
        <v>15</v>
      </c>
      <c r="J42" s="54">
        <v>15</v>
      </c>
      <c r="K42" s="54">
        <v>12</v>
      </c>
      <c r="L42" s="54">
        <v>7</v>
      </c>
      <c r="M42" s="54">
        <v>12</v>
      </c>
      <c r="N42" s="54">
        <v>16</v>
      </c>
      <c r="O42" s="54">
        <v>20</v>
      </c>
      <c r="P42" s="54">
        <v>13</v>
      </c>
      <c r="Q42" s="54">
        <v>18</v>
      </c>
      <c r="R42" s="54">
        <v>9</v>
      </c>
      <c r="S42" s="54">
        <v>6</v>
      </c>
      <c r="T42" s="54">
        <v>15</v>
      </c>
      <c r="U42" s="54">
        <v>19</v>
      </c>
      <c r="V42" s="54">
        <v>17</v>
      </c>
      <c r="W42" s="54">
        <v>14</v>
      </c>
      <c r="X42" s="54">
        <v>16</v>
      </c>
      <c r="Y42" s="54">
        <v>7</v>
      </c>
      <c r="Z42" s="54">
        <v>9</v>
      </c>
      <c r="AA42" s="54">
        <v>8</v>
      </c>
      <c r="AB42" s="54">
        <v>14</v>
      </c>
      <c r="AC42" s="54">
        <v>20</v>
      </c>
      <c r="AD42" s="54">
        <v>15</v>
      </c>
      <c r="AE42" s="54">
        <v>17</v>
      </c>
      <c r="AF42" s="54">
        <v>5</v>
      </c>
      <c r="AG42" s="5">
        <f t="shared" si="2"/>
        <v>412</v>
      </c>
    </row>
    <row r="43" spans="1:33" ht="15.75" customHeight="1" x14ac:dyDescent="0.25">
      <c r="A43" s="56" t="s">
        <v>16</v>
      </c>
      <c r="B43" s="54">
        <v>12</v>
      </c>
      <c r="C43" s="54">
        <v>10</v>
      </c>
      <c r="D43" s="54">
        <v>11</v>
      </c>
      <c r="E43" s="54">
        <v>8</v>
      </c>
      <c r="F43" s="54">
        <v>11</v>
      </c>
      <c r="G43" s="54">
        <v>9</v>
      </c>
      <c r="H43" s="54">
        <v>16</v>
      </c>
      <c r="I43" s="54">
        <v>15</v>
      </c>
      <c r="J43" s="54">
        <v>7</v>
      </c>
      <c r="K43" s="54">
        <v>8</v>
      </c>
      <c r="L43" s="54">
        <v>7</v>
      </c>
      <c r="M43" s="54">
        <v>12</v>
      </c>
      <c r="N43" s="54">
        <v>14</v>
      </c>
      <c r="O43" s="54">
        <v>14</v>
      </c>
      <c r="P43" s="54">
        <v>13</v>
      </c>
      <c r="Q43" s="54">
        <v>10</v>
      </c>
      <c r="R43" s="54">
        <v>9</v>
      </c>
      <c r="S43" s="54">
        <v>8</v>
      </c>
      <c r="T43" s="54">
        <v>7</v>
      </c>
      <c r="U43" s="54">
        <v>12</v>
      </c>
      <c r="V43" s="54">
        <v>12</v>
      </c>
      <c r="W43" s="54">
        <v>10</v>
      </c>
      <c r="X43" s="54">
        <v>10</v>
      </c>
      <c r="Y43" s="54">
        <v>6</v>
      </c>
      <c r="Z43" s="54">
        <v>11</v>
      </c>
      <c r="AA43" s="54">
        <v>4</v>
      </c>
      <c r="AB43" s="54">
        <v>9</v>
      </c>
      <c r="AC43" s="54">
        <v>10</v>
      </c>
      <c r="AD43" s="54">
        <v>10</v>
      </c>
      <c r="AE43" s="54">
        <v>10</v>
      </c>
      <c r="AF43" s="54">
        <v>6</v>
      </c>
      <c r="AG43" s="5">
        <f t="shared" si="2"/>
        <v>311</v>
      </c>
    </row>
    <row r="44" spans="1:33" ht="15.75" customHeight="1" x14ac:dyDescent="0.25">
      <c r="A44" s="56" t="s">
        <v>17</v>
      </c>
      <c r="B44" s="54">
        <v>3</v>
      </c>
      <c r="C44" s="54">
        <v>5</v>
      </c>
      <c r="D44" s="54">
        <v>9</v>
      </c>
      <c r="E44" s="54">
        <v>5</v>
      </c>
      <c r="F44" s="54">
        <v>6</v>
      </c>
      <c r="G44" s="54">
        <v>10</v>
      </c>
      <c r="H44" s="54">
        <v>7</v>
      </c>
      <c r="I44" s="54">
        <v>5</v>
      </c>
      <c r="J44" s="54">
        <v>6</v>
      </c>
      <c r="K44" s="54">
        <v>5</v>
      </c>
      <c r="L44" s="54">
        <v>8</v>
      </c>
      <c r="M44" s="54">
        <v>4</v>
      </c>
      <c r="N44" s="54">
        <v>8</v>
      </c>
      <c r="O44" s="54">
        <v>10</v>
      </c>
      <c r="P44" s="54">
        <v>10</v>
      </c>
      <c r="Q44" s="54">
        <v>5</v>
      </c>
      <c r="R44" s="54">
        <v>7</v>
      </c>
      <c r="S44" s="54">
        <v>11</v>
      </c>
      <c r="T44" s="54">
        <v>7</v>
      </c>
      <c r="U44" s="54">
        <v>8</v>
      </c>
      <c r="V44" s="54">
        <v>9</v>
      </c>
      <c r="W44" s="54">
        <v>4</v>
      </c>
      <c r="X44" s="54">
        <v>6</v>
      </c>
      <c r="Y44" s="54">
        <v>7</v>
      </c>
      <c r="Z44" s="54">
        <v>4</v>
      </c>
      <c r="AA44" s="54">
        <v>11</v>
      </c>
      <c r="AB44" s="54">
        <v>10</v>
      </c>
      <c r="AC44" s="54">
        <v>11</v>
      </c>
      <c r="AD44" s="54">
        <v>2</v>
      </c>
      <c r="AE44" s="54">
        <v>4</v>
      </c>
      <c r="AF44" s="54">
        <v>10</v>
      </c>
      <c r="AG44" s="5">
        <f t="shared" si="2"/>
        <v>217</v>
      </c>
    </row>
    <row r="45" spans="1:33" ht="15.75" customHeight="1" x14ac:dyDescent="0.25">
      <c r="A45" s="56" t="s">
        <v>18</v>
      </c>
      <c r="B45" s="54">
        <v>10</v>
      </c>
      <c r="C45" s="54">
        <v>3</v>
      </c>
      <c r="D45" s="54">
        <v>4</v>
      </c>
      <c r="E45" s="54">
        <v>3</v>
      </c>
      <c r="F45" s="54">
        <v>3</v>
      </c>
      <c r="G45" s="54">
        <v>11</v>
      </c>
      <c r="H45" s="54">
        <v>5</v>
      </c>
      <c r="I45" s="54">
        <v>8</v>
      </c>
      <c r="J45" s="54">
        <v>8</v>
      </c>
      <c r="K45" s="54">
        <v>6</v>
      </c>
      <c r="L45" s="54">
        <v>0</v>
      </c>
      <c r="M45" s="54">
        <v>2</v>
      </c>
      <c r="N45" s="54">
        <v>13</v>
      </c>
      <c r="O45" s="54">
        <v>9</v>
      </c>
      <c r="P45" s="54">
        <v>11</v>
      </c>
      <c r="Q45" s="54">
        <v>4</v>
      </c>
      <c r="R45" s="54">
        <v>10</v>
      </c>
      <c r="S45" s="54">
        <v>11</v>
      </c>
      <c r="T45" s="54">
        <v>2</v>
      </c>
      <c r="U45" s="54">
        <v>10</v>
      </c>
      <c r="V45" s="54">
        <v>6</v>
      </c>
      <c r="W45" s="54">
        <v>7</v>
      </c>
      <c r="X45" s="54">
        <v>7</v>
      </c>
      <c r="Y45" s="54">
        <v>5</v>
      </c>
      <c r="Z45" s="54">
        <v>6</v>
      </c>
      <c r="AA45" s="54">
        <v>5</v>
      </c>
      <c r="AB45" s="54">
        <v>7</v>
      </c>
      <c r="AC45" s="54">
        <v>5</v>
      </c>
      <c r="AD45" s="54">
        <v>7</v>
      </c>
      <c r="AE45" s="54">
        <v>8</v>
      </c>
      <c r="AF45" s="54">
        <v>0</v>
      </c>
      <c r="AG45" s="5">
        <f t="shared" si="2"/>
        <v>196</v>
      </c>
    </row>
    <row r="46" spans="1:33" ht="15.75" customHeight="1" x14ac:dyDescent="0.25">
      <c r="A46" s="56" t="s">
        <v>19</v>
      </c>
      <c r="B46" s="54">
        <v>9</v>
      </c>
      <c r="C46" s="54">
        <v>9</v>
      </c>
      <c r="D46" s="54">
        <v>1</v>
      </c>
      <c r="E46" s="54">
        <v>1</v>
      </c>
      <c r="F46" s="54">
        <v>1</v>
      </c>
      <c r="G46" s="54">
        <v>14</v>
      </c>
      <c r="H46" s="54">
        <v>1</v>
      </c>
      <c r="I46" s="54">
        <v>11</v>
      </c>
      <c r="J46" s="54">
        <v>8</v>
      </c>
      <c r="K46" s="54">
        <v>3</v>
      </c>
      <c r="L46" s="54">
        <v>0</v>
      </c>
      <c r="M46" s="54">
        <v>4</v>
      </c>
      <c r="N46" s="54">
        <v>7</v>
      </c>
      <c r="O46" s="54">
        <v>10</v>
      </c>
      <c r="P46" s="54">
        <v>1</v>
      </c>
      <c r="Q46" s="54">
        <v>7</v>
      </c>
      <c r="R46" s="54">
        <v>6</v>
      </c>
      <c r="S46" s="54">
        <v>6</v>
      </c>
      <c r="T46" s="54">
        <v>0</v>
      </c>
      <c r="U46" s="54">
        <v>14</v>
      </c>
      <c r="V46" s="54">
        <v>6</v>
      </c>
      <c r="W46" s="54">
        <v>13</v>
      </c>
      <c r="X46" s="54">
        <v>9</v>
      </c>
      <c r="Y46" s="54">
        <v>3</v>
      </c>
      <c r="Z46" s="54">
        <v>3</v>
      </c>
      <c r="AA46" s="54">
        <v>10</v>
      </c>
      <c r="AB46" s="54">
        <v>5</v>
      </c>
      <c r="AC46" s="54">
        <v>7</v>
      </c>
      <c r="AD46" s="54">
        <v>2</v>
      </c>
      <c r="AE46" s="54">
        <v>9</v>
      </c>
      <c r="AF46" s="54">
        <v>2</v>
      </c>
      <c r="AG46" s="5">
        <f t="shared" si="2"/>
        <v>182</v>
      </c>
    </row>
    <row r="47" spans="1:33" ht="15.75" customHeight="1" x14ac:dyDescent="0.25">
      <c r="A47" s="56" t="s">
        <v>20</v>
      </c>
      <c r="B47" s="54">
        <v>8</v>
      </c>
      <c r="C47" s="54">
        <v>8</v>
      </c>
      <c r="D47" s="54">
        <v>1</v>
      </c>
      <c r="E47" s="54">
        <v>4</v>
      </c>
      <c r="F47" s="54">
        <v>1</v>
      </c>
      <c r="G47" s="54">
        <v>7</v>
      </c>
      <c r="H47" s="54">
        <v>4</v>
      </c>
      <c r="I47" s="54">
        <v>14</v>
      </c>
      <c r="J47" s="54">
        <v>1</v>
      </c>
      <c r="K47" s="54">
        <v>2</v>
      </c>
      <c r="L47" s="54">
        <v>2</v>
      </c>
      <c r="M47" s="54">
        <v>2</v>
      </c>
      <c r="N47" s="54">
        <v>1</v>
      </c>
      <c r="O47" s="54">
        <v>1</v>
      </c>
      <c r="P47" s="54">
        <v>4</v>
      </c>
      <c r="Q47" s="54">
        <v>3</v>
      </c>
      <c r="R47" s="54">
        <v>1</v>
      </c>
      <c r="S47" s="54">
        <v>3</v>
      </c>
      <c r="T47" s="54">
        <v>6</v>
      </c>
      <c r="U47" s="54">
        <v>10</v>
      </c>
      <c r="V47" s="54">
        <v>0</v>
      </c>
      <c r="W47" s="54">
        <v>9</v>
      </c>
      <c r="X47" s="54">
        <v>3</v>
      </c>
      <c r="Y47" s="54">
        <v>2</v>
      </c>
      <c r="Z47" s="54">
        <v>0</v>
      </c>
      <c r="AA47" s="54">
        <v>4</v>
      </c>
      <c r="AB47" s="54">
        <v>4</v>
      </c>
      <c r="AC47" s="54">
        <v>6</v>
      </c>
      <c r="AD47" s="54">
        <v>5</v>
      </c>
      <c r="AE47" s="54">
        <v>5</v>
      </c>
      <c r="AF47" s="54">
        <v>4</v>
      </c>
      <c r="AG47" s="5">
        <f t="shared" si="2"/>
        <v>125</v>
      </c>
    </row>
    <row r="48" spans="1:33" ht="15.75" customHeight="1" x14ac:dyDescent="0.25">
      <c r="A48" s="56" t="s">
        <v>21</v>
      </c>
      <c r="B48" s="54">
        <v>2</v>
      </c>
      <c r="C48" s="54">
        <v>0</v>
      </c>
      <c r="D48" s="54">
        <v>6</v>
      </c>
      <c r="E48" s="54">
        <v>3</v>
      </c>
      <c r="F48" s="54">
        <v>3</v>
      </c>
      <c r="G48" s="54">
        <v>3</v>
      </c>
      <c r="H48" s="54">
        <v>1</v>
      </c>
      <c r="I48" s="54">
        <v>4</v>
      </c>
      <c r="J48" s="54">
        <v>6</v>
      </c>
      <c r="K48" s="54">
        <v>2</v>
      </c>
      <c r="L48" s="54">
        <v>3</v>
      </c>
      <c r="M48" s="54">
        <v>1</v>
      </c>
      <c r="N48" s="54">
        <v>2</v>
      </c>
      <c r="O48" s="54">
        <v>1</v>
      </c>
      <c r="P48" s="54">
        <v>4</v>
      </c>
      <c r="Q48" s="54">
        <v>1</v>
      </c>
      <c r="R48" s="54">
        <v>0</v>
      </c>
      <c r="S48" s="54">
        <v>1</v>
      </c>
      <c r="T48" s="54">
        <v>2</v>
      </c>
      <c r="U48" s="54">
        <v>3</v>
      </c>
      <c r="V48" s="54">
        <v>1</v>
      </c>
      <c r="W48" s="54">
        <v>2</v>
      </c>
      <c r="X48" s="54">
        <v>3</v>
      </c>
      <c r="Y48" s="54">
        <v>0</v>
      </c>
      <c r="Z48" s="54">
        <v>2</v>
      </c>
      <c r="AA48" s="54">
        <v>0</v>
      </c>
      <c r="AB48" s="54">
        <v>10</v>
      </c>
      <c r="AC48" s="54">
        <v>0</v>
      </c>
      <c r="AD48" s="54">
        <v>1</v>
      </c>
      <c r="AE48" s="54">
        <v>1</v>
      </c>
      <c r="AF48" s="54">
        <v>2</v>
      </c>
      <c r="AG48" s="5">
        <f t="shared" si="2"/>
        <v>70</v>
      </c>
    </row>
    <row r="49" spans="1:33" ht="15.75" customHeight="1" x14ac:dyDescent="0.25">
      <c r="A49" s="56" t="s">
        <v>22</v>
      </c>
      <c r="B49" s="54">
        <v>1</v>
      </c>
      <c r="C49" s="54">
        <v>2</v>
      </c>
      <c r="D49" s="54">
        <v>1</v>
      </c>
      <c r="E49" s="54">
        <v>4</v>
      </c>
      <c r="F49" s="54">
        <v>0</v>
      </c>
      <c r="G49" s="54">
        <v>0</v>
      </c>
      <c r="H49" s="54">
        <v>0</v>
      </c>
      <c r="I49" s="54">
        <v>1</v>
      </c>
      <c r="J49" s="54">
        <v>0</v>
      </c>
      <c r="K49" s="54">
        <v>0</v>
      </c>
      <c r="L49" s="54">
        <v>1</v>
      </c>
      <c r="M49" s="54">
        <v>2</v>
      </c>
      <c r="N49" s="54">
        <v>1</v>
      </c>
      <c r="O49" s="54">
        <v>2</v>
      </c>
      <c r="P49" s="54">
        <v>1</v>
      </c>
      <c r="Q49" s="54">
        <v>1</v>
      </c>
      <c r="R49" s="54">
        <v>0</v>
      </c>
      <c r="S49" s="54">
        <v>0</v>
      </c>
      <c r="T49" s="54">
        <v>3</v>
      </c>
      <c r="U49" s="54">
        <v>1</v>
      </c>
      <c r="V49" s="54">
        <v>1</v>
      </c>
      <c r="W49" s="54">
        <v>0</v>
      </c>
      <c r="X49" s="54">
        <v>1</v>
      </c>
      <c r="Y49" s="54">
        <v>2</v>
      </c>
      <c r="Z49" s="54">
        <v>1</v>
      </c>
      <c r="AA49" s="54">
        <v>0</v>
      </c>
      <c r="AB49" s="54">
        <v>6</v>
      </c>
      <c r="AC49" s="54">
        <v>3</v>
      </c>
      <c r="AD49" s="54">
        <v>3</v>
      </c>
      <c r="AE49" s="54">
        <v>1</v>
      </c>
      <c r="AF49" s="54">
        <v>0</v>
      </c>
      <c r="AG49" s="5">
        <f t="shared" si="2"/>
        <v>39</v>
      </c>
    </row>
    <row r="50" spans="1:33" ht="15.75" customHeight="1" x14ac:dyDescent="0.25">
      <c r="A50" s="56" t="s">
        <v>23</v>
      </c>
      <c r="B50" s="54">
        <v>0</v>
      </c>
      <c r="C50" s="54">
        <v>1</v>
      </c>
      <c r="D50" s="54">
        <v>2</v>
      </c>
      <c r="E50" s="54">
        <v>1</v>
      </c>
      <c r="F50" s="54">
        <v>2</v>
      </c>
      <c r="G50" s="54">
        <v>0</v>
      </c>
      <c r="H50" s="54">
        <v>1</v>
      </c>
      <c r="I50" s="54">
        <v>0</v>
      </c>
      <c r="J50" s="54">
        <v>1</v>
      </c>
      <c r="K50" s="54">
        <v>0</v>
      </c>
      <c r="L50" s="54">
        <v>3</v>
      </c>
      <c r="M50" s="54">
        <v>3</v>
      </c>
      <c r="N50" s="54">
        <v>2</v>
      </c>
      <c r="O50" s="54">
        <v>2</v>
      </c>
      <c r="P50" s="54">
        <v>0</v>
      </c>
      <c r="Q50" s="54">
        <v>3</v>
      </c>
      <c r="R50" s="54">
        <v>3</v>
      </c>
      <c r="S50" s="54">
        <v>1</v>
      </c>
      <c r="T50" s="54">
        <v>1</v>
      </c>
      <c r="U50" s="54">
        <v>1</v>
      </c>
      <c r="V50" s="54">
        <v>1</v>
      </c>
      <c r="W50" s="54">
        <v>0</v>
      </c>
      <c r="X50" s="54">
        <v>0</v>
      </c>
      <c r="Y50" s="54">
        <v>1</v>
      </c>
      <c r="Z50" s="54">
        <v>2</v>
      </c>
      <c r="AA50" s="54">
        <v>1</v>
      </c>
      <c r="AB50" s="54">
        <v>3</v>
      </c>
      <c r="AC50" s="54">
        <v>2</v>
      </c>
      <c r="AD50" s="54">
        <v>4</v>
      </c>
      <c r="AE50" s="54">
        <v>1</v>
      </c>
      <c r="AF50" s="54">
        <v>2</v>
      </c>
      <c r="AG50" s="5">
        <f t="shared" si="2"/>
        <v>44</v>
      </c>
    </row>
    <row r="51" spans="1:33" ht="15.75" customHeight="1" x14ac:dyDescent="0.25">
      <c r="A51" s="56" t="s">
        <v>24</v>
      </c>
      <c r="B51" s="54">
        <v>1</v>
      </c>
      <c r="C51" s="54">
        <v>2</v>
      </c>
      <c r="D51" s="54">
        <v>1</v>
      </c>
      <c r="E51" s="54">
        <v>2</v>
      </c>
      <c r="F51" s="54">
        <v>0</v>
      </c>
      <c r="G51" s="54">
        <v>0</v>
      </c>
      <c r="H51" s="54">
        <v>2</v>
      </c>
      <c r="I51" s="54">
        <v>0</v>
      </c>
      <c r="J51" s="54">
        <v>0</v>
      </c>
      <c r="K51" s="54">
        <v>0</v>
      </c>
      <c r="L51" s="54">
        <v>1</v>
      </c>
      <c r="M51" s="54">
        <v>0</v>
      </c>
      <c r="N51" s="54">
        <v>1</v>
      </c>
      <c r="O51" s="54">
        <v>3</v>
      </c>
      <c r="P51" s="54">
        <v>3</v>
      </c>
      <c r="Q51" s="54">
        <v>4</v>
      </c>
      <c r="R51" s="54">
        <v>1</v>
      </c>
      <c r="S51" s="54">
        <v>1</v>
      </c>
      <c r="T51" s="54">
        <v>1</v>
      </c>
      <c r="U51" s="54">
        <v>0</v>
      </c>
      <c r="V51" s="54">
        <v>2</v>
      </c>
      <c r="W51" s="54">
        <v>4</v>
      </c>
      <c r="X51" s="54">
        <v>1</v>
      </c>
      <c r="Y51" s="54">
        <v>0</v>
      </c>
      <c r="Z51" s="54">
        <v>0</v>
      </c>
      <c r="AA51" s="54">
        <v>0</v>
      </c>
      <c r="AB51" s="54">
        <v>2</v>
      </c>
      <c r="AC51" s="54">
        <v>2</v>
      </c>
      <c r="AD51" s="54">
        <v>1</v>
      </c>
      <c r="AE51" s="54">
        <v>1</v>
      </c>
      <c r="AF51" s="54">
        <v>2</v>
      </c>
      <c r="AG51" s="5">
        <f t="shared" si="2"/>
        <v>38</v>
      </c>
    </row>
    <row r="52" spans="1:33" ht="15.75" customHeight="1" thickBot="1" x14ac:dyDescent="0.3">
      <c r="A52" s="57" t="s">
        <v>25</v>
      </c>
      <c r="B52" s="58">
        <v>1</v>
      </c>
      <c r="C52" s="58">
        <v>0</v>
      </c>
      <c r="D52" s="58">
        <v>1</v>
      </c>
      <c r="E52" s="58">
        <v>1</v>
      </c>
      <c r="F52" s="58">
        <v>1</v>
      </c>
      <c r="G52" s="58">
        <v>0</v>
      </c>
      <c r="H52" s="58">
        <v>2</v>
      </c>
      <c r="I52" s="58">
        <v>1</v>
      </c>
      <c r="J52" s="58">
        <v>3</v>
      </c>
      <c r="K52" s="58">
        <v>4</v>
      </c>
      <c r="L52" s="58">
        <v>0</v>
      </c>
      <c r="M52" s="58">
        <v>0</v>
      </c>
      <c r="N52" s="58">
        <v>0</v>
      </c>
      <c r="O52" s="58">
        <v>0</v>
      </c>
      <c r="P52" s="58">
        <v>0</v>
      </c>
      <c r="Q52" s="58">
        <v>2</v>
      </c>
      <c r="R52" s="58">
        <v>2</v>
      </c>
      <c r="S52" s="58">
        <v>4</v>
      </c>
      <c r="T52" s="58">
        <v>0</v>
      </c>
      <c r="U52" s="58">
        <v>0</v>
      </c>
      <c r="V52" s="58">
        <v>0</v>
      </c>
      <c r="W52" s="58">
        <v>1</v>
      </c>
      <c r="X52" s="58">
        <v>2</v>
      </c>
      <c r="Y52" s="58">
        <v>5</v>
      </c>
      <c r="Z52" s="58">
        <v>2</v>
      </c>
      <c r="AA52" s="58">
        <v>2</v>
      </c>
      <c r="AB52" s="58">
        <v>0</v>
      </c>
      <c r="AC52" s="58">
        <v>0</v>
      </c>
      <c r="AD52" s="60">
        <v>0</v>
      </c>
      <c r="AE52" s="60">
        <v>7</v>
      </c>
      <c r="AF52" s="60">
        <v>3</v>
      </c>
      <c r="AG52" s="9">
        <f t="shared" si="2"/>
        <v>44</v>
      </c>
    </row>
    <row r="53" spans="1:33" ht="15.75" customHeight="1" thickBot="1" x14ac:dyDescent="0.3">
      <c r="A53" s="52" t="s">
        <v>27</v>
      </c>
      <c r="B53" s="1">
        <f t="shared" ref="B53:AF53" si="4">SUM(B54:B77)</f>
        <v>20</v>
      </c>
      <c r="C53" s="1">
        <f t="shared" si="4"/>
        <v>3</v>
      </c>
      <c r="D53" s="1">
        <f t="shared" si="4"/>
        <v>7</v>
      </c>
      <c r="E53" s="1">
        <f t="shared" si="4"/>
        <v>3</v>
      </c>
      <c r="F53" s="1">
        <f t="shared" si="4"/>
        <v>2</v>
      </c>
      <c r="G53" s="1">
        <f t="shared" si="4"/>
        <v>21</v>
      </c>
      <c r="H53" s="1">
        <f t="shared" si="4"/>
        <v>7</v>
      </c>
      <c r="I53" s="1">
        <f t="shared" si="4"/>
        <v>13</v>
      </c>
      <c r="J53" s="1">
        <f t="shared" si="4"/>
        <v>8</v>
      </c>
      <c r="K53" s="1">
        <f t="shared" si="4"/>
        <v>5</v>
      </c>
      <c r="L53" s="1">
        <f t="shared" si="4"/>
        <v>3</v>
      </c>
      <c r="M53" s="1">
        <f t="shared" si="4"/>
        <v>7</v>
      </c>
      <c r="N53" s="1">
        <f t="shared" si="4"/>
        <v>16</v>
      </c>
      <c r="O53" s="1">
        <f t="shared" si="4"/>
        <v>17</v>
      </c>
      <c r="P53" s="1">
        <f t="shared" si="4"/>
        <v>9</v>
      </c>
      <c r="Q53" s="1">
        <f t="shared" si="4"/>
        <v>1</v>
      </c>
      <c r="R53" s="1">
        <f t="shared" si="4"/>
        <v>9</v>
      </c>
      <c r="S53" s="1">
        <f t="shared" si="4"/>
        <v>11</v>
      </c>
      <c r="T53" s="1">
        <f t="shared" si="4"/>
        <v>5</v>
      </c>
      <c r="U53" s="1">
        <f t="shared" si="4"/>
        <v>6</v>
      </c>
      <c r="V53" s="1">
        <f t="shared" si="4"/>
        <v>10</v>
      </c>
      <c r="W53" s="1">
        <f t="shared" si="4"/>
        <v>12</v>
      </c>
      <c r="X53" s="1">
        <f t="shared" si="4"/>
        <v>17</v>
      </c>
      <c r="Y53" s="1">
        <f t="shared" si="4"/>
        <v>3</v>
      </c>
      <c r="Z53" s="1">
        <f t="shared" si="4"/>
        <v>2</v>
      </c>
      <c r="AA53" s="1">
        <f t="shared" si="4"/>
        <v>24</v>
      </c>
      <c r="AB53" s="1">
        <f t="shared" si="4"/>
        <v>20</v>
      </c>
      <c r="AC53" s="1">
        <f t="shared" si="4"/>
        <v>30</v>
      </c>
      <c r="AD53" s="1">
        <f t="shared" si="4"/>
        <v>6</v>
      </c>
      <c r="AE53" s="1">
        <f t="shared" si="4"/>
        <v>10</v>
      </c>
      <c r="AF53" s="1">
        <f t="shared" si="4"/>
        <v>0</v>
      </c>
      <c r="AG53" s="10">
        <f t="shared" si="2"/>
        <v>307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1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1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0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0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0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1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1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1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1</v>
      </c>
      <c r="M59" s="54">
        <v>2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1</v>
      </c>
      <c r="T59" s="54">
        <v>1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">
        <f t="shared" si="2"/>
        <v>6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1</v>
      </c>
      <c r="AA60" s="54">
        <v>1</v>
      </c>
      <c r="AB60" s="54">
        <v>0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2"/>
        <v>2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1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">
        <f t="shared" si="2"/>
        <v>1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0</v>
      </c>
      <c r="F62" s="54">
        <v>1</v>
      </c>
      <c r="G62" s="54">
        <v>0</v>
      </c>
      <c r="H62" s="54">
        <v>0</v>
      </c>
      <c r="I62" s="54">
        <v>0</v>
      </c>
      <c r="J62" s="54">
        <v>0</v>
      </c>
      <c r="K62" s="54">
        <v>1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1</v>
      </c>
      <c r="Z62" s="54">
        <v>0</v>
      </c>
      <c r="AA62" s="54">
        <v>2</v>
      </c>
      <c r="AB62" s="54">
        <v>0</v>
      </c>
      <c r="AC62" s="54">
        <v>0</v>
      </c>
      <c r="AD62" s="54">
        <v>0</v>
      </c>
      <c r="AE62" s="54">
        <v>0</v>
      </c>
      <c r="AF62" s="54">
        <v>0</v>
      </c>
      <c r="AG62" s="5">
        <f t="shared" si="2"/>
        <v>5</v>
      </c>
    </row>
    <row r="63" spans="1:33" ht="15.75" customHeight="1" x14ac:dyDescent="0.25">
      <c r="A63" s="56" t="s">
        <v>11</v>
      </c>
      <c r="B63" s="54">
        <v>0</v>
      </c>
      <c r="C63" s="54">
        <v>1</v>
      </c>
      <c r="D63" s="54">
        <v>0</v>
      </c>
      <c r="E63" s="54">
        <v>0</v>
      </c>
      <c r="F63" s="54">
        <v>0</v>
      </c>
      <c r="G63" s="54">
        <v>0</v>
      </c>
      <c r="H63" s="54">
        <v>0</v>
      </c>
      <c r="I63" s="54">
        <v>0</v>
      </c>
      <c r="J63" s="54">
        <v>1</v>
      </c>
      <c r="K63" s="54">
        <v>0</v>
      </c>
      <c r="L63" s="54">
        <v>0</v>
      </c>
      <c r="M63" s="54">
        <v>0</v>
      </c>
      <c r="N63" s="54">
        <v>1</v>
      </c>
      <c r="O63" s="54">
        <v>1</v>
      </c>
      <c r="P63" s="54">
        <v>0</v>
      </c>
      <c r="Q63" s="54">
        <v>0</v>
      </c>
      <c r="R63" s="54">
        <v>0</v>
      </c>
      <c r="S63" s="54">
        <v>3</v>
      </c>
      <c r="T63" s="54">
        <v>0</v>
      </c>
      <c r="U63" s="54">
        <v>1</v>
      </c>
      <c r="V63" s="54">
        <v>1</v>
      </c>
      <c r="W63" s="54">
        <v>0</v>
      </c>
      <c r="X63" s="54">
        <v>0</v>
      </c>
      <c r="Y63" s="54">
        <v>0</v>
      </c>
      <c r="Z63" s="54">
        <v>0</v>
      </c>
      <c r="AA63" s="54">
        <v>2</v>
      </c>
      <c r="AB63" s="54">
        <v>0</v>
      </c>
      <c r="AC63" s="54">
        <v>0</v>
      </c>
      <c r="AD63" s="54">
        <v>0</v>
      </c>
      <c r="AE63" s="54">
        <v>0</v>
      </c>
      <c r="AF63" s="54">
        <v>0</v>
      </c>
      <c r="AG63" s="5">
        <f t="shared" si="2"/>
        <v>11</v>
      </c>
    </row>
    <row r="64" spans="1:33" ht="15.75" customHeight="1" x14ac:dyDescent="0.25">
      <c r="A64" s="56" t="s">
        <v>12</v>
      </c>
      <c r="B64" s="54">
        <v>1</v>
      </c>
      <c r="C64" s="54">
        <v>0</v>
      </c>
      <c r="D64" s="54">
        <v>0</v>
      </c>
      <c r="E64" s="54">
        <v>0</v>
      </c>
      <c r="F64" s="54">
        <v>0</v>
      </c>
      <c r="G64" s="54">
        <v>0</v>
      </c>
      <c r="H64" s="54">
        <v>0</v>
      </c>
      <c r="I64" s="54">
        <v>2</v>
      </c>
      <c r="J64" s="54">
        <v>0</v>
      </c>
      <c r="K64" s="54">
        <v>0</v>
      </c>
      <c r="L64" s="54">
        <v>0</v>
      </c>
      <c r="M64" s="54">
        <v>1</v>
      </c>
      <c r="N64" s="54">
        <v>2</v>
      </c>
      <c r="O64" s="54">
        <v>2</v>
      </c>
      <c r="P64" s="54">
        <v>1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0</v>
      </c>
      <c r="W64" s="54">
        <v>1</v>
      </c>
      <c r="X64" s="54">
        <v>0</v>
      </c>
      <c r="Y64" s="54">
        <v>0</v>
      </c>
      <c r="Z64" s="54">
        <v>0</v>
      </c>
      <c r="AA64" s="54">
        <v>0</v>
      </c>
      <c r="AB64" s="54">
        <v>1</v>
      </c>
      <c r="AC64" s="54">
        <v>3</v>
      </c>
      <c r="AD64" s="54">
        <v>1</v>
      </c>
      <c r="AE64" s="54">
        <v>0</v>
      </c>
      <c r="AF64" s="54">
        <v>0</v>
      </c>
      <c r="AG64" s="5">
        <f t="shared" si="2"/>
        <v>15</v>
      </c>
    </row>
    <row r="65" spans="1:33" ht="15.75" customHeight="1" x14ac:dyDescent="0.25">
      <c r="A65" s="56" t="s">
        <v>13</v>
      </c>
      <c r="B65" s="54">
        <v>3</v>
      </c>
      <c r="C65" s="54">
        <v>0</v>
      </c>
      <c r="D65" s="54">
        <v>0</v>
      </c>
      <c r="E65" s="54">
        <v>0</v>
      </c>
      <c r="F65" s="54">
        <v>0</v>
      </c>
      <c r="G65" s="54">
        <v>1</v>
      </c>
      <c r="H65" s="54">
        <v>0</v>
      </c>
      <c r="I65" s="54">
        <v>1</v>
      </c>
      <c r="J65" s="54">
        <v>1</v>
      </c>
      <c r="K65" s="54">
        <v>1</v>
      </c>
      <c r="L65" s="54">
        <v>0</v>
      </c>
      <c r="M65" s="54">
        <v>1</v>
      </c>
      <c r="N65" s="54">
        <v>0</v>
      </c>
      <c r="O65" s="54">
        <v>1</v>
      </c>
      <c r="P65" s="54">
        <v>0</v>
      </c>
      <c r="Q65" s="54">
        <v>0</v>
      </c>
      <c r="R65" s="54">
        <v>3</v>
      </c>
      <c r="S65" s="54">
        <v>0</v>
      </c>
      <c r="T65" s="54">
        <v>0</v>
      </c>
      <c r="U65" s="54">
        <v>0</v>
      </c>
      <c r="V65" s="54">
        <v>1</v>
      </c>
      <c r="W65" s="54">
        <v>0</v>
      </c>
      <c r="X65" s="54">
        <v>7</v>
      </c>
      <c r="Y65" s="54">
        <v>0</v>
      </c>
      <c r="Z65" s="54">
        <v>0</v>
      </c>
      <c r="AA65" s="54">
        <v>0</v>
      </c>
      <c r="AB65" s="54">
        <v>0</v>
      </c>
      <c r="AC65" s="54">
        <v>2</v>
      </c>
      <c r="AD65" s="54">
        <v>0</v>
      </c>
      <c r="AE65" s="54">
        <v>1</v>
      </c>
      <c r="AF65" s="54">
        <v>0</v>
      </c>
      <c r="AG65" s="5">
        <f t="shared" si="2"/>
        <v>23</v>
      </c>
    </row>
    <row r="66" spans="1:33" ht="15.75" customHeight="1" x14ac:dyDescent="0.25">
      <c r="A66" s="56" t="s">
        <v>14</v>
      </c>
      <c r="B66" s="54">
        <v>3</v>
      </c>
      <c r="C66" s="54">
        <v>1</v>
      </c>
      <c r="D66" s="54">
        <v>5</v>
      </c>
      <c r="E66" s="54">
        <v>0</v>
      </c>
      <c r="F66" s="54">
        <v>0</v>
      </c>
      <c r="G66" s="54">
        <v>0</v>
      </c>
      <c r="H66" s="54">
        <v>1</v>
      </c>
      <c r="I66" s="54">
        <v>2</v>
      </c>
      <c r="J66" s="54">
        <v>5</v>
      </c>
      <c r="K66" s="54">
        <v>1</v>
      </c>
      <c r="L66" s="54">
        <v>1</v>
      </c>
      <c r="M66" s="54">
        <v>0</v>
      </c>
      <c r="N66" s="54">
        <v>3</v>
      </c>
      <c r="O66" s="54">
        <v>1</v>
      </c>
      <c r="P66" s="54">
        <v>0</v>
      </c>
      <c r="Q66" s="54">
        <v>0</v>
      </c>
      <c r="R66" s="54">
        <v>2</v>
      </c>
      <c r="S66" s="54">
        <v>1</v>
      </c>
      <c r="T66" s="54">
        <v>0</v>
      </c>
      <c r="U66" s="54">
        <v>2</v>
      </c>
      <c r="V66" s="54">
        <v>0</v>
      </c>
      <c r="W66" s="54">
        <v>1</v>
      </c>
      <c r="X66" s="54">
        <v>2</v>
      </c>
      <c r="Y66" s="54">
        <v>0</v>
      </c>
      <c r="Z66" s="54">
        <v>0</v>
      </c>
      <c r="AA66" s="54">
        <v>0</v>
      </c>
      <c r="AB66" s="54">
        <v>0</v>
      </c>
      <c r="AC66" s="54">
        <v>1</v>
      </c>
      <c r="AD66" s="54">
        <v>3</v>
      </c>
      <c r="AE66" s="54">
        <v>5</v>
      </c>
      <c r="AF66" s="54">
        <v>0</v>
      </c>
      <c r="AG66" s="5">
        <f t="shared" si="2"/>
        <v>40</v>
      </c>
    </row>
    <row r="67" spans="1:33" ht="15.75" customHeight="1" x14ac:dyDescent="0.25">
      <c r="A67" s="56" t="s">
        <v>15</v>
      </c>
      <c r="B67" s="54">
        <v>3</v>
      </c>
      <c r="C67" s="54">
        <v>1</v>
      </c>
      <c r="D67" s="54">
        <v>1</v>
      </c>
      <c r="E67" s="54">
        <v>0</v>
      </c>
      <c r="F67" s="54">
        <v>0</v>
      </c>
      <c r="G67" s="54">
        <v>8</v>
      </c>
      <c r="H67" s="54">
        <v>3</v>
      </c>
      <c r="I67" s="54">
        <v>2</v>
      </c>
      <c r="J67" s="54">
        <v>0</v>
      </c>
      <c r="K67" s="54">
        <v>0</v>
      </c>
      <c r="L67" s="54">
        <v>1</v>
      </c>
      <c r="M67" s="54">
        <v>0</v>
      </c>
      <c r="N67" s="54">
        <v>3</v>
      </c>
      <c r="O67" s="54">
        <v>1</v>
      </c>
      <c r="P67" s="54">
        <v>1</v>
      </c>
      <c r="Q67" s="54">
        <v>1</v>
      </c>
      <c r="R67" s="54">
        <v>2</v>
      </c>
      <c r="S67" s="54">
        <v>3</v>
      </c>
      <c r="T67" s="54">
        <v>0</v>
      </c>
      <c r="U67" s="54">
        <v>1</v>
      </c>
      <c r="V67" s="54">
        <v>1</v>
      </c>
      <c r="W67" s="54">
        <v>0</v>
      </c>
      <c r="X67" s="54">
        <v>5</v>
      </c>
      <c r="Y67" s="54">
        <v>1</v>
      </c>
      <c r="Z67" s="54">
        <v>0</v>
      </c>
      <c r="AA67" s="54">
        <v>2</v>
      </c>
      <c r="AB67" s="54">
        <v>1</v>
      </c>
      <c r="AC67" s="54">
        <v>0</v>
      </c>
      <c r="AD67" s="54">
        <v>0</v>
      </c>
      <c r="AE67" s="54">
        <v>3</v>
      </c>
      <c r="AF67" s="54">
        <v>0</v>
      </c>
      <c r="AG67" s="5">
        <f t="shared" ref="AG67:AG98" si="5">SUM(B67:AF67)</f>
        <v>44</v>
      </c>
    </row>
    <row r="68" spans="1:33" ht="15.75" customHeight="1" x14ac:dyDescent="0.25">
      <c r="A68" s="56" t="s">
        <v>16</v>
      </c>
      <c r="B68" s="54">
        <v>0</v>
      </c>
      <c r="C68" s="54">
        <v>0</v>
      </c>
      <c r="D68" s="54">
        <v>1</v>
      </c>
      <c r="E68" s="54">
        <v>0</v>
      </c>
      <c r="F68" s="54">
        <v>0</v>
      </c>
      <c r="G68" s="54">
        <v>1</v>
      </c>
      <c r="H68" s="54">
        <v>1</v>
      </c>
      <c r="I68" s="54">
        <v>2</v>
      </c>
      <c r="J68" s="54">
        <v>0</v>
      </c>
      <c r="K68" s="54">
        <v>0</v>
      </c>
      <c r="L68" s="54">
        <v>0</v>
      </c>
      <c r="M68" s="54">
        <v>0</v>
      </c>
      <c r="N68" s="54">
        <v>3</v>
      </c>
      <c r="O68" s="54">
        <v>1</v>
      </c>
      <c r="P68" s="54">
        <v>4</v>
      </c>
      <c r="Q68" s="54">
        <v>0</v>
      </c>
      <c r="R68" s="54">
        <v>1</v>
      </c>
      <c r="S68" s="54">
        <v>1</v>
      </c>
      <c r="T68" s="54">
        <v>1</v>
      </c>
      <c r="U68" s="54">
        <v>2</v>
      </c>
      <c r="V68" s="54">
        <v>3</v>
      </c>
      <c r="W68" s="54">
        <v>1</v>
      </c>
      <c r="X68" s="54">
        <v>1</v>
      </c>
      <c r="Y68" s="54">
        <v>0</v>
      </c>
      <c r="Z68" s="54">
        <v>0</v>
      </c>
      <c r="AA68" s="54">
        <v>2</v>
      </c>
      <c r="AB68" s="54">
        <v>3</v>
      </c>
      <c r="AC68" s="54">
        <v>8</v>
      </c>
      <c r="AD68" s="54">
        <v>1</v>
      </c>
      <c r="AE68" s="54">
        <v>0</v>
      </c>
      <c r="AF68" s="54">
        <v>0</v>
      </c>
      <c r="AG68" s="5">
        <f t="shared" si="5"/>
        <v>37</v>
      </c>
    </row>
    <row r="69" spans="1:33" ht="15.75" customHeight="1" x14ac:dyDescent="0.25">
      <c r="A69" s="56" t="s">
        <v>17</v>
      </c>
      <c r="B69" s="54">
        <v>2</v>
      </c>
      <c r="C69" s="54">
        <v>0</v>
      </c>
      <c r="D69" s="54">
        <v>0</v>
      </c>
      <c r="E69" s="54">
        <v>1</v>
      </c>
      <c r="F69" s="54">
        <v>0</v>
      </c>
      <c r="G69" s="54">
        <v>2</v>
      </c>
      <c r="H69" s="54">
        <v>1</v>
      </c>
      <c r="I69" s="54">
        <v>0</v>
      </c>
      <c r="J69" s="54">
        <v>1</v>
      </c>
      <c r="K69" s="54">
        <v>1</v>
      </c>
      <c r="L69" s="54">
        <v>0</v>
      </c>
      <c r="M69" s="54">
        <v>2</v>
      </c>
      <c r="N69" s="54">
        <v>2</v>
      </c>
      <c r="O69" s="54">
        <v>5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2</v>
      </c>
      <c r="W69" s="54">
        <v>5</v>
      </c>
      <c r="X69" s="54">
        <v>0</v>
      </c>
      <c r="Y69" s="54">
        <v>0</v>
      </c>
      <c r="Z69" s="54">
        <v>0</v>
      </c>
      <c r="AA69" s="54">
        <v>0</v>
      </c>
      <c r="AB69" s="54">
        <v>3</v>
      </c>
      <c r="AC69" s="54">
        <v>1</v>
      </c>
      <c r="AD69" s="54">
        <v>1</v>
      </c>
      <c r="AE69" s="54">
        <v>0</v>
      </c>
      <c r="AF69" s="54">
        <v>0</v>
      </c>
      <c r="AG69" s="5">
        <f t="shared" si="5"/>
        <v>29</v>
      </c>
    </row>
    <row r="70" spans="1:33" ht="15.75" customHeight="1" x14ac:dyDescent="0.25">
      <c r="A70" s="56" t="s">
        <v>18</v>
      </c>
      <c r="B70" s="54">
        <v>3</v>
      </c>
      <c r="C70" s="54">
        <v>0</v>
      </c>
      <c r="D70" s="54">
        <v>0</v>
      </c>
      <c r="E70" s="54">
        <v>0</v>
      </c>
      <c r="F70" s="54">
        <v>0</v>
      </c>
      <c r="G70" s="54">
        <v>1</v>
      </c>
      <c r="H70" s="54">
        <v>0</v>
      </c>
      <c r="I70" s="54">
        <v>3</v>
      </c>
      <c r="J70" s="54">
        <v>0</v>
      </c>
      <c r="K70" s="54">
        <v>1</v>
      </c>
      <c r="L70" s="54">
        <v>0</v>
      </c>
      <c r="M70" s="54">
        <v>0</v>
      </c>
      <c r="N70" s="54">
        <v>2</v>
      </c>
      <c r="O70" s="54">
        <v>2</v>
      </c>
      <c r="P70" s="54">
        <v>3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1</v>
      </c>
      <c r="W70" s="54">
        <v>1</v>
      </c>
      <c r="X70" s="54">
        <v>1</v>
      </c>
      <c r="Y70" s="54">
        <v>0</v>
      </c>
      <c r="Z70" s="54">
        <v>0</v>
      </c>
      <c r="AA70" s="54">
        <v>9</v>
      </c>
      <c r="AB70" s="54">
        <v>0</v>
      </c>
      <c r="AC70" s="54">
        <v>8</v>
      </c>
      <c r="AD70" s="55">
        <v>0</v>
      </c>
      <c r="AE70" s="55">
        <v>0</v>
      </c>
      <c r="AF70" s="55">
        <v>0</v>
      </c>
      <c r="AG70" s="5">
        <f t="shared" si="5"/>
        <v>35</v>
      </c>
    </row>
    <row r="71" spans="1:33" ht="15.75" customHeight="1" x14ac:dyDescent="0.25">
      <c r="A71" s="56" t="s">
        <v>19</v>
      </c>
      <c r="B71" s="54">
        <v>2</v>
      </c>
      <c r="C71" s="54">
        <v>0</v>
      </c>
      <c r="D71" s="54">
        <v>0</v>
      </c>
      <c r="E71" s="54">
        <v>0</v>
      </c>
      <c r="F71" s="54">
        <v>0</v>
      </c>
      <c r="G71" s="54">
        <v>6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2</v>
      </c>
      <c r="P71" s="54">
        <v>0</v>
      </c>
      <c r="Q71" s="54">
        <v>0</v>
      </c>
      <c r="R71" s="54">
        <v>0</v>
      </c>
      <c r="S71" s="54">
        <v>1</v>
      </c>
      <c r="T71" s="54">
        <v>1</v>
      </c>
      <c r="U71" s="54">
        <v>0</v>
      </c>
      <c r="V71" s="54">
        <v>0</v>
      </c>
      <c r="W71" s="54">
        <v>3</v>
      </c>
      <c r="X71" s="54">
        <v>0</v>
      </c>
      <c r="Y71" s="54">
        <v>0</v>
      </c>
      <c r="Z71" s="54">
        <v>0</v>
      </c>
      <c r="AA71" s="54">
        <v>6</v>
      </c>
      <c r="AB71" s="54">
        <v>5</v>
      </c>
      <c r="AC71" s="54">
        <v>3</v>
      </c>
      <c r="AD71" s="55">
        <v>0</v>
      </c>
      <c r="AE71" s="55">
        <v>1</v>
      </c>
      <c r="AF71" s="55">
        <v>0</v>
      </c>
      <c r="AG71" s="5">
        <f t="shared" si="5"/>
        <v>30</v>
      </c>
    </row>
    <row r="72" spans="1:33" ht="15.75" customHeight="1" x14ac:dyDescent="0.25">
      <c r="A72" s="56" t="s">
        <v>20</v>
      </c>
      <c r="B72" s="54">
        <v>3</v>
      </c>
      <c r="C72" s="54">
        <v>0</v>
      </c>
      <c r="D72" s="54">
        <v>0</v>
      </c>
      <c r="E72" s="54">
        <v>0</v>
      </c>
      <c r="F72" s="54">
        <v>0</v>
      </c>
      <c r="G72" s="54">
        <v>1</v>
      </c>
      <c r="H72" s="54">
        <v>1</v>
      </c>
      <c r="I72" s="54">
        <v>1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1</v>
      </c>
      <c r="P72" s="54">
        <v>0</v>
      </c>
      <c r="Q72" s="54">
        <v>0</v>
      </c>
      <c r="R72" s="54">
        <v>1</v>
      </c>
      <c r="S72" s="54">
        <v>0</v>
      </c>
      <c r="T72" s="54">
        <v>1</v>
      </c>
      <c r="U72" s="54">
        <v>0</v>
      </c>
      <c r="V72" s="54">
        <v>0</v>
      </c>
      <c r="W72" s="54">
        <v>0</v>
      </c>
      <c r="X72" s="54">
        <v>1</v>
      </c>
      <c r="Y72" s="54">
        <v>1</v>
      </c>
      <c r="Z72" s="54">
        <v>0</v>
      </c>
      <c r="AA72" s="54">
        <v>0</v>
      </c>
      <c r="AB72" s="54">
        <v>4</v>
      </c>
      <c r="AC72" s="54">
        <v>4</v>
      </c>
      <c r="AD72" s="55">
        <v>0</v>
      </c>
      <c r="AE72" s="55">
        <v>0</v>
      </c>
      <c r="AF72" s="55">
        <v>0</v>
      </c>
      <c r="AG72" s="5">
        <f t="shared" si="5"/>
        <v>19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1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1</v>
      </c>
      <c r="AA73" s="54">
        <v>0</v>
      </c>
      <c r="AB73" s="54">
        <v>3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5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1</v>
      </c>
      <c r="F74" s="54">
        <v>0</v>
      </c>
      <c r="G74" s="54">
        <v>1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1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3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0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142</v>
      </c>
      <c r="C78" s="11">
        <f t="shared" si="6"/>
        <v>129</v>
      </c>
      <c r="D78" s="11">
        <f t="shared" si="6"/>
        <v>133</v>
      </c>
      <c r="E78" s="11">
        <f t="shared" si="6"/>
        <v>158</v>
      </c>
      <c r="F78" s="11">
        <f t="shared" si="6"/>
        <v>189</v>
      </c>
      <c r="G78" s="11">
        <f t="shared" si="6"/>
        <v>170</v>
      </c>
      <c r="H78" s="11">
        <f t="shared" si="6"/>
        <v>129</v>
      </c>
      <c r="I78" s="11">
        <f t="shared" si="6"/>
        <v>151</v>
      </c>
      <c r="J78" s="11">
        <f t="shared" si="6"/>
        <v>131</v>
      </c>
      <c r="K78" s="11">
        <f t="shared" si="6"/>
        <v>124</v>
      </c>
      <c r="L78" s="11">
        <f t="shared" si="6"/>
        <v>184</v>
      </c>
      <c r="M78" s="11">
        <f t="shared" si="6"/>
        <v>174</v>
      </c>
      <c r="N78" s="11">
        <f t="shared" si="6"/>
        <v>161</v>
      </c>
      <c r="O78" s="11">
        <f t="shared" si="6"/>
        <v>152</v>
      </c>
      <c r="P78" s="11">
        <f t="shared" si="6"/>
        <v>134</v>
      </c>
      <c r="Q78" s="11">
        <f t="shared" si="6"/>
        <v>129</v>
      </c>
      <c r="R78" s="11">
        <f t="shared" si="6"/>
        <v>131</v>
      </c>
      <c r="S78" s="11">
        <f t="shared" si="6"/>
        <v>187</v>
      </c>
      <c r="T78" s="11">
        <f t="shared" si="6"/>
        <v>192</v>
      </c>
      <c r="U78" s="11">
        <f t="shared" si="6"/>
        <v>147</v>
      </c>
      <c r="V78" s="11">
        <f t="shared" si="6"/>
        <v>139</v>
      </c>
      <c r="W78" s="11">
        <f t="shared" si="6"/>
        <v>138</v>
      </c>
      <c r="X78" s="11">
        <f t="shared" si="6"/>
        <v>145</v>
      </c>
      <c r="Y78" s="11">
        <f t="shared" si="6"/>
        <v>108</v>
      </c>
      <c r="Z78" s="11">
        <f t="shared" si="6"/>
        <v>188</v>
      </c>
      <c r="AA78" s="11">
        <f t="shared" si="6"/>
        <v>213</v>
      </c>
      <c r="AB78" s="11">
        <f t="shared" si="6"/>
        <v>152</v>
      </c>
      <c r="AC78" s="11">
        <f t="shared" si="6"/>
        <v>148</v>
      </c>
      <c r="AD78" s="11">
        <f t="shared" si="6"/>
        <v>130</v>
      </c>
      <c r="AE78" s="11">
        <f t="shared" si="6"/>
        <v>129</v>
      </c>
      <c r="AF78" s="11">
        <f t="shared" si="6"/>
        <v>189</v>
      </c>
      <c r="AG78" s="10">
        <f t="shared" si="5"/>
        <v>4726</v>
      </c>
    </row>
    <row r="79" spans="1:33" ht="19.5" customHeight="1" x14ac:dyDescent="0.25">
      <c r="A79" s="64" t="s">
        <v>29</v>
      </c>
      <c r="B79" s="3">
        <f t="shared" ref="B79" si="7">SUM(B4:B27)-B80</f>
        <v>142</v>
      </c>
      <c r="C79" s="3">
        <f t="shared" ref="C79" si="8">SUM(C4:C27)-C80</f>
        <v>129</v>
      </c>
      <c r="D79" s="3">
        <f t="shared" ref="D79:AF79" si="9">SUM(D4:D27)-D80</f>
        <v>133</v>
      </c>
      <c r="E79" s="3">
        <f t="shared" si="9"/>
        <v>158</v>
      </c>
      <c r="F79" s="3">
        <f t="shared" si="9"/>
        <v>189</v>
      </c>
      <c r="G79" s="3">
        <f t="shared" si="9"/>
        <v>170</v>
      </c>
      <c r="H79" s="3">
        <f t="shared" si="9"/>
        <v>129</v>
      </c>
      <c r="I79" s="3">
        <f t="shared" si="9"/>
        <v>151</v>
      </c>
      <c r="J79" s="3">
        <f t="shared" si="9"/>
        <v>131</v>
      </c>
      <c r="K79" s="3">
        <f t="shared" si="9"/>
        <v>124</v>
      </c>
      <c r="L79" s="3">
        <f t="shared" si="9"/>
        <v>184</v>
      </c>
      <c r="M79" s="3">
        <f t="shared" si="9"/>
        <v>174</v>
      </c>
      <c r="N79" s="3">
        <f t="shared" si="9"/>
        <v>161</v>
      </c>
      <c r="O79" s="3">
        <f t="shared" si="9"/>
        <v>152</v>
      </c>
      <c r="P79" s="3">
        <f t="shared" si="9"/>
        <v>134</v>
      </c>
      <c r="Q79" s="3">
        <f t="shared" si="9"/>
        <v>129</v>
      </c>
      <c r="R79" s="3">
        <f t="shared" si="9"/>
        <v>131</v>
      </c>
      <c r="S79" s="3">
        <f t="shared" si="9"/>
        <v>187</v>
      </c>
      <c r="T79" s="3">
        <f t="shared" si="9"/>
        <v>192</v>
      </c>
      <c r="U79" s="3">
        <f t="shared" si="9"/>
        <v>147</v>
      </c>
      <c r="V79" s="3">
        <f t="shared" si="9"/>
        <v>139</v>
      </c>
      <c r="W79" s="3">
        <f t="shared" si="9"/>
        <v>138</v>
      </c>
      <c r="X79" s="3">
        <f t="shared" si="9"/>
        <v>145</v>
      </c>
      <c r="Y79" s="3">
        <f t="shared" si="9"/>
        <v>108</v>
      </c>
      <c r="Z79" s="3">
        <f t="shared" si="9"/>
        <v>188</v>
      </c>
      <c r="AA79" s="3">
        <f t="shared" si="9"/>
        <v>213</v>
      </c>
      <c r="AB79" s="3">
        <f t="shared" si="9"/>
        <v>152</v>
      </c>
      <c r="AC79" s="3">
        <f t="shared" si="9"/>
        <v>148</v>
      </c>
      <c r="AD79" s="3">
        <f t="shared" si="9"/>
        <v>130</v>
      </c>
      <c r="AE79" s="3">
        <f t="shared" si="9"/>
        <v>129</v>
      </c>
      <c r="AF79" s="3">
        <f t="shared" si="9"/>
        <v>189</v>
      </c>
      <c r="AG79" s="4">
        <f t="shared" si="5"/>
        <v>4726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20</v>
      </c>
      <c r="C81" s="12">
        <f t="shared" si="10"/>
        <v>3</v>
      </c>
      <c r="D81" s="12">
        <f t="shared" si="10"/>
        <v>7</v>
      </c>
      <c r="E81" s="12">
        <f t="shared" si="10"/>
        <v>3</v>
      </c>
      <c r="F81" s="12">
        <f t="shared" si="10"/>
        <v>2</v>
      </c>
      <c r="G81" s="12">
        <f t="shared" si="10"/>
        <v>21</v>
      </c>
      <c r="H81" s="12">
        <f t="shared" si="10"/>
        <v>7</v>
      </c>
      <c r="I81" s="12">
        <f t="shared" si="10"/>
        <v>13</v>
      </c>
      <c r="J81" s="12">
        <f t="shared" si="10"/>
        <v>8</v>
      </c>
      <c r="K81" s="12">
        <f t="shared" si="10"/>
        <v>5</v>
      </c>
      <c r="L81" s="12">
        <f t="shared" si="10"/>
        <v>3</v>
      </c>
      <c r="M81" s="12">
        <f t="shared" si="10"/>
        <v>7</v>
      </c>
      <c r="N81" s="12">
        <f t="shared" si="10"/>
        <v>16</v>
      </c>
      <c r="O81" s="12">
        <f t="shared" si="10"/>
        <v>17</v>
      </c>
      <c r="P81" s="12">
        <f t="shared" si="10"/>
        <v>9</v>
      </c>
      <c r="Q81" s="12">
        <f t="shared" si="10"/>
        <v>1</v>
      </c>
      <c r="R81" s="12">
        <f t="shared" si="10"/>
        <v>9</v>
      </c>
      <c r="S81" s="12">
        <f t="shared" si="10"/>
        <v>11</v>
      </c>
      <c r="T81" s="12">
        <f t="shared" si="10"/>
        <v>5</v>
      </c>
      <c r="U81" s="12">
        <f t="shared" si="10"/>
        <v>6</v>
      </c>
      <c r="V81" s="12">
        <f t="shared" si="10"/>
        <v>10</v>
      </c>
      <c r="W81" s="12">
        <f t="shared" si="10"/>
        <v>12</v>
      </c>
      <c r="X81" s="12">
        <f t="shared" si="10"/>
        <v>17</v>
      </c>
      <c r="Y81" s="12">
        <f t="shared" si="10"/>
        <v>3</v>
      </c>
      <c r="Z81" s="12">
        <f t="shared" si="10"/>
        <v>2</v>
      </c>
      <c r="AA81" s="12">
        <f t="shared" si="10"/>
        <v>24</v>
      </c>
      <c r="AB81" s="12">
        <f t="shared" si="10"/>
        <v>20</v>
      </c>
      <c r="AC81" s="12">
        <f t="shared" si="10"/>
        <v>30</v>
      </c>
      <c r="AD81" s="12">
        <f t="shared" si="10"/>
        <v>6</v>
      </c>
      <c r="AE81" s="12">
        <f t="shared" si="10"/>
        <v>10</v>
      </c>
      <c r="AF81" s="12">
        <f t="shared" si="10"/>
        <v>0</v>
      </c>
      <c r="AG81" s="10">
        <f t="shared" si="5"/>
        <v>307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1</v>
      </c>
      <c r="F82" s="3">
        <f t="shared" si="11"/>
        <v>2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1</v>
      </c>
      <c r="L82" s="3">
        <f t="shared" si="11"/>
        <v>1</v>
      </c>
      <c r="M82" s="3">
        <f t="shared" si="11"/>
        <v>3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2</v>
      </c>
      <c r="T82" s="3">
        <f t="shared" si="11"/>
        <v>1</v>
      </c>
      <c r="U82" s="3">
        <f t="shared" si="11"/>
        <v>0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1</v>
      </c>
      <c r="Z82" s="3">
        <f t="shared" si="11"/>
        <v>1</v>
      </c>
      <c r="AA82" s="3">
        <f t="shared" si="11"/>
        <v>3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16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20</v>
      </c>
      <c r="C83" s="8">
        <f t="shared" si="12"/>
        <v>3</v>
      </c>
      <c r="D83" s="8">
        <f t="shared" si="12"/>
        <v>7</v>
      </c>
      <c r="E83" s="8">
        <f t="shared" si="12"/>
        <v>2</v>
      </c>
      <c r="F83" s="8">
        <f t="shared" si="12"/>
        <v>0</v>
      </c>
      <c r="G83" s="8">
        <f t="shared" si="12"/>
        <v>21</v>
      </c>
      <c r="H83" s="8">
        <f t="shared" si="12"/>
        <v>7</v>
      </c>
      <c r="I83" s="8">
        <f t="shared" si="12"/>
        <v>13</v>
      </c>
      <c r="J83" s="8">
        <f t="shared" si="12"/>
        <v>8</v>
      </c>
      <c r="K83" s="8">
        <f t="shared" si="12"/>
        <v>4</v>
      </c>
      <c r="L83" s="8">
        <f t="shared" si="12"/>
        <v>2</v>
      </c>
      <c r="M83" s="8">
        <f t="shared" si="12"/>
        <v>4</v>
      </c>
      <c r="N83" s="8">
        <f t="shared" si="12"/>
        <v>16</v>
      </c>
      <c r="O83" s="8">
        <f t="shared" si="12"/>
        <v>17</v>
      </c>
      <c r="P83" s="8">
        <f t="shared" si="12"/>
        <v>9</v>
      </c>
      <c r="Q83" s="8">
        <f t="shared" si="12"/>
        <v>1</v>
      </c>
      <c r="R83" s="8">
        <f t="shared" si="12"/>
        <v>9</v>
      </c>
      <c r="S83" s="8">
        <f t="shared" si="12"/>
        <v>9</v>
      </c>
      <c r="T83" s="8">
        <f t="shared" si="12"/>
        <v>4</v>
      </c>
      <c r="U83" s="8">
        <f t="shared" si="12"/>
        <v>6</v>
      </c>
      <c r="V83" s="8">
        <f t="shared" si="12"/>
        <v>10</v>
      </c>
      <c r="W83" s="8">
        <f t="shared" si="12"/>
        <v>12</v>
      </c>
      <c r="X83" s="8">
        <f t="shared" si="12"/>
        <v>17</v>
      </c>
      <c r="Y83" s="8">
        <f t="shared" si="12"/>
        <v>2</v>
      </c>
      <c r="Z83" s="8">
        <f t="shared" si="12"/>
        <v>1</v>
      </c>
      <c r="AA83" s="8">
        <f t="shared" si="12"/>
        <v>21</v>
      </c>
      <c r="AB83" s="8">
        <f t="shared" si="12"/>
        <v>20</v>
      </c>
      <c r="AC83" s="8">
        <f t="shared" si="12"/>
        <v>30</v>
      </c>
      <c r="AD83" s="8">
        <f t="shared" si="12"/>
        <v>6</v>
      </c>
      <c r="AE83" s="8">
        <f t="shared" si="12"/>
        <v>10</v>
      </c>
      <c r="AF83" s="8">
        <f t="shared" si="12"/>
        <v>0</v>
      </c>
      <c r="AG83" s="5">
        <f t="shared" si="5"/>
        <v>291</v>
      </c>
    </row>
    <row r="84" spans="1:34" ht="15.75" customHeight="1" thickBot="1" x14ac:dyDescent="0.3">
      <c r="A84" s="67" t="s">
        <v>32</v>
      </c>
      <c r="B84" s="14">
        <f t="shared" ref="B84:AF84" si="13">SUM(B85:B86)</f>
        <v>20</v>
      </c>
      <c r="C84" s="14">
        <f t="shared" si="13"/>
        <v>3</v>
      </c>
      <c r="D84" s="14">
        <f t="shared" si="13"/>
        <v>7</v>
      </c>
      <c r="E84" s="14">
        <f t="shared" si="13"/>
        <v>3</v>
      </c>
      <c r="F84" s="14">
        <f t="shared" si="13"/>
        <v>2</v>
      </c>
      <c r="G84" s="14">
        <f t="shared" si="13"/>
        <v>21</v>
      </c>
      <c r="H84" s="14">
        <f t="shared" si="13"/>
        <v>7</v>
      </c>
      <c r="I84" s="14">
        <f t="shared" si="13"/>
        <v>13</v>
      </c>
      <c r="J84" s="14">
        <f t="shared" si="13"/>
        <v>8</v>
      </c>
      <c r="K84" s="14">
        <f t="shared" si="13"/>
        <v>5</v>
      </c>
      <c r="L84" s="14">
        <f t="shared" si="13"/>
        <v>3</v>
      </c>
      <c r="M84" s="14">
        <f t="shared" si="13"/>
        <v>7</v>
      </c>
      <c r="N84" s="14">
        <f t="shared" si="13"/>
        <v>16</v>
      </c>
      <c r="O84" s="14">
        <f t="shared" si="13"/>
        <v>17</v>
      </c>
      <c r="P84" s="14">
        <f t="shared" si="13"/>
        <v>9</v>
      </c>
      <c r="Q84" s="14">
        <f t="shared" si="13"/>
        <v>1</v>
      </c>
      <c r="R84" s="14">
        <f t="shared" si="13"/>
        <v>9</v>
      </c>
      <c r="S84" s="14">
        <f t="shared" si="13"/>
        <v>11</v>
      </c>
      <c r="T84" s="14">
        <f t="shared" si="13"/>
        <v>5</v>
      </c>
      <c r="U84" s="14">
        <f t="shared" si="13"/>
        <v>6</v>
      </c>
      <c r="V84" s="14">
        <f t="shared" si="13"/>
        <v>10</v>
      </c>
      <c r="W84" s="14">
        <f t="shared" si="13"/>
        <v>12</v>
      </c>
      <c r="X84" s="14">
        <f t="shared" si="13"/>
        <v>17</v>
      </c>
      <c r="Y84" s="14">
        <f t="shared" si="13"/>
        <v>3</v>
      </c>
      <c r="Z84" s="14">
        <f t="shared" si="13"/>
        <v>2</v>
      </c>
      <c r="AA84" s="14">
        <f t="shared" si="13"/>
        <v>24</v>
      </c>
      <c r="AB84" s="14">
        <f t="shared" si="13"/>
        <v>20</v>
      </c>
      <c r="AC84" s="14">
        <f t="shared" si="13"/>
        <v>30</v>
      </c>
      <c r="AD84" s="14">
        <f t="shared" si="13"/>
        <v>6</v>
      </c>
      <c r="AE84" s="14">
        <f t="shared" si="13"/>
        <v>10</v>
      </c>
      <c r="AF84" s="14">
        <f t="shared" si="13"/>
        <v>0</v>
      </c>
      <c r="AG84" s="15">
        <f t="shared" si="5"/>
        <v>307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7</v>
      </c>
      <c r="C85" s="69">
        <v>1</v>
      </c>
      <c r="D85" s="69">
        <v>1</v>
      </c>
      <c r="E85" s="69">
        <v>1</v>
      </c>
      <c r="F85" s="69">
        <v>0</v>
      </c>
      <c r="G85" s="69">
        <v>8</v>
      </c>
      <c r="H85" s="69">
        <v>0</v>
      </c>
      <c r="I85" s="69">
        <v>6</v>
      </c>
      <c r="J85" s="69">
        <v>1</v>
      </c>
      <c r="K85" s="69">
        <v>1</v>
      </c>
      <c r="L85" s="69">
        <v>1</v>
      </c>
      <c r="M85" s="69">
        <v>5</v>
      </c>
      <c r="N85" s="69">
        <v>7</v>
      </c>
      <c r="O85" s="69">
        <v>2</v>
      </c>
      <c r="P85" s="69">
        <v>2</v>
      </c>
      <c r="Q85" s="69">
        <v>0</v>
      </c>
      <c r="R85" s="69">
        <v>4</v>
      </c>
      <c r="S85" s="69">
        <v>2</v>
      </c>
      <c r="T85" s="69">
        <v>1</v>
      </c>
      <c r="U85" s="69">
        <v>2</v>
      </c>
      <c r="V85" s="69">
        <v>0</v>
      </c>
      <c r="W85" s="69">
        <v>4</v>
      </c>
      <c r="X85" s="69">
        <v>5</v>
      </c>
      <c r="Y85" s="69">
        <v>0</v>
      </c>
      <c r="Z85" s="69">
        <v>0</v>
      </c>
      <c r="AA85" s="69">
        <v>4</v>
      </c>
      <c r="AB85" s="69">
        <v>7</v>
      </c>
      <c r="AC85" s="69">
        <v>10</v>
      </c>
      <c r="AD85" s="69">
        <v>0</v>
      </c>
      <c r="AE85" s="69">
        <v>3</v>
      </c>
      <c r="AF85" s="69">
        <v>0</v>
      </c>
      <c r="AG85" s="16">
        <f t="shared" si="5"/>
        <v>85</v>
      </c>
    </row>
    <row r="86" spans="1:34" ht="15.75" customHeight="1" thickBot="1" x14ac:dyDescent="0.3">
      <c r="A86" s="70" t="s">
        <v>34</v>
      </c>
      <c r="B86" s="71">
        <v>13</v>
      </c>
      <c r="C86" s="71">
        <v>2</v>
      </c>
      <c r="D86" s="71">
        <v>6</v>
      </c>
      <c r="E86" s="71">
        <v>2</v>
      </c>
      <c r="F86" s="71">
        <v>2</v>
      </c>
      <c r="G86" s="71">
        <v>13</v>
      </c>
      <c r="H86" s="71">
        <v>7</v>
      </c>
      <c r="I86" s="71">
        <v>7</v>
      </c>
      <c r="J86" s="71">
        <v>7</v>
      </c>
      <c r="K86" s="71">
        <v>4</v>
      </c>
      <c r="L86" s="71">
        <v>2</v>
      </c>
      <c r="M86" s="71">
        <v>2</v>
      </c>
      <c r="N86" s="71">
        <v>9</v>
      </c>
      <c r="O86" s="71">
        <v>15</v>
      </c>
      <c r="P86" s="71">
        <v>7</v>
      </c>
      <c r="Q86" s="71">
        <v>1</v>
      </c>
      <c r="R86" s="71">
        <v>5</v>
      </c>
      <c r="S86" s="71">
        <v>9</v>
      </c>
      <c r="T86" s="71">
        <v>4</v>
      </c>
      <c r="U86" s="71">
        <v>4</v>
      </c>
      <c r="V86" s="71">
        <v>10</v>
      </c>
      <c r="W86" s="71">
        <v>8</v>
      </c>
      <c r="X86" s="71">
        <v>12</v>
      </c>
      <c r="Y86" s="71">
        <v>3</v>
      </c>
      <c r="Z86" s="71">
        <v>2</v>
      </c>
      <c r="AA86" s="71">
        <v>20</v>
      </c>
      <c r="AB86" s="71">
        <v>13</v>
      </c>
      <c r="AC86" s="71">
        <v>20</v>
      </c>
      <c r="AD86" s="71">
        <v>6</v>
      </c>
      <c r="AE86" s="71">
        <v>7</v>
      </c>
      <c r="AF86" s="71">
        <v>0</v>
      </c>
      <c r="AG86" s="17">
        <f t="shared" si="5"/>
        <v>222</v>
      </c>
    </row>
    <row r="87" spans="1:34" ht="15.75" customHeight="1" thickBot="1" x14ac:dyDescent="0.3">
      <c r="A87" s="72" t="s">
        <v>35</v>
      </c>
      <c r="B87" s="18">
        <f t="shared" ref="B87:AF87" si="14">SUM(B88:B92)</f>
        <v>20</v>
      </c>
      <c r="C87" s="18">
        <f t="shared" si="14"/>
        <v>3</v>
      </c>
      <c r="D87" s="18">
        <f t="shared" si="14"/>
        <v>7</v>
      </c>
      <c r="E87" s="18">
        <f t="shared" si="14"/>
        <v>3</v>
      </c>
      <c r="F87" s="18">
        <f t="shared" si="14"/>
        <v>2</v>
      </c>
      <c r="G87" s="18">
        <f t="shared" si="14"/>
        <v>21</v>
      </c>
      <c r="H87" s="18">
        <f t="shared" si="14"/>
        <v>7</v>
      </c>
      <c r="I87" s="18">
        <f t="shared" si="14"/>
        <v>13</v>
      </c>
      <c r="J87" s="18">
        <f t="shared" si="14"/>
        <v>8</v>
      </c>
      <c r="K87" s="18">
        <f t="shared" si="14"/>
        <v>5</v>
      </c>
      <c r="L87" s="18">
        <f t="shared" si="14"/>
        <v>3</v>
      </c>
      <c r="M87" s="18">
        <f t="shared" si="14"/>
        <v>7</v>
      </c>
      <c r="N87" s="18">
        <f t="shared" si="14"/>
        <v>16</v>
      </c>
      <c r="O87" s="18">
        <f t="shared" si="14"/>
        <v>17</v>
      </c>
      <c r="P87" s="18">
        <f t="shared" si="14"/>
        <v>9</v>
      </c>
      <c r="Q87" s="18">
        <f t="shared" si="14"/>
        <v>1</v>
      </c>
      <c r="R87" s="18">
        <f t="shared" si="14"/>
        <v>9</v>
      </c>
      <c r="S87" s="18">
        <f t="shared" si="14"/>
        <v>11</v>
      </c>
      <c r="T87" s="18">
        <f t="shared" si="14"/>
        <v>5</v>
      </c>
      <c r="U87" s="18">
        <f t="shared" si="14"/>
        <v>6</v>
      </c>
      <c r="V87" s="18">
        <f t="shared" si="14"/>
        <v>10</v>
      </c>
      <c r="W87" s="18">
        <f t="shared" si="14"/>
        <v>12</v>
      </c>
      <c r="X87" s="18">
        <f t="shared" si="14"/>
        <v>17</v>
      </c>
      <c r="Y87" s="18">
        <f t="shared" si="14"/>
        <v>3</v>
      </c>
      <c r="Z87" s="18">
        <f t="shared" si="14"/>
        <v>2</v>
      </c>
      <c r="AA87" s="18">
        <f t="shared" si="14"/>
        <v>24</v>
      </c>
      <c r="AB87" s="18">
        <f t="shared" si="14"/>
        <v>20</v>
      </c>
      <c r="AC87" s="18">
        <f t="shared" si="14"/>
        <v>30</v>
      </c>
      <c r="AD87" s="18">
        <f t="shared" si="14"/>
        <v>6</v>
      </c>
      <c r="AE87" s="18">
        <f t="shared" si="14"/>
        <v>10</v>
      </c>
      <c r="AF87" s="18">
        <f t="shared" si="14"/>
        <v>0</v>
      </c>
      <c r="AG87" s="19">
        <f t="shared" si="5"/>
        <v>307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1</v>
      </c>
      <c r="C88" s="60">
        <v>2</v>
      </c>
      <c r="D88" s="60">
        <v>0</v>
      </c>
      <c r="E88" s="60">
        <v>2</v>
      </c>
      <c r="F88" s="60">
        <v>2</v>
      </c>
      <c r="G88" s="60">
        <v>3</v>
      </c>
      <c r="H88" s="60">
        <v>2</v>
      </c>
      <c r="I88" s="60">
        <v>1</v>
      </c>
      <c r="J88" s="60">
        <v>1</v>
      </c>
      <c r="K88" s="60">
        <v>2</v>
      </c>
      <c r="L88" s="60">
        <v>3</v>
      </c>
      <c r="M88" s="60">
        <v>5</v>
      </c>
      <c r="N88" s="60">
        <v>6</v>
      </c>
      <c r="O88" s="60">
        <v>4</v>
      </c>
      <c r="P88" s="60">
        <v>1</v>
      </c>
      <c r="Q88" s="60">
        <v>0</v>
      </c>
      <c r="R88" s="60">
        <v>2</v>
      </c>
      <c r="S88" s="60">
        <v>6</v>
      </c>
      <c r="T88" s="60">
        <v>4</v>
      </c>
      <c r="U88" s="60">
        <v>3</v>
      </c>
      <c r="V88" s="60">
        <v>3</v>
      </c>
      <c r="W88" s="60">
        <v>3</v>
      </c>
      <c r="X88" s="60">
        <v>6</v>
      </c>
      <c r="Y88" s="60">
        <v>2</v>
      </c>
      <c r="Z88" s="60">
        <v>0</v>
      </c>
      <c r="AA88" s="60">
        <v>3</v>
      </c>
      <c r="AB88" s="60">
        <v>3</v>
      </c>
      <c r="AC88" s="60">
        <v>5</v>
      </c>
      <c r="AD88" s="60">
        <v>2</v>
      </c>
      <c r="AE88" s="60">
        <v>7</v>
      </c>
      <c r="AF88" s="60">
        <v>0</v>
      </c>
      <c r="AG88" s="4">
        <f t="shared" si="5"/>
        <v>84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1</v>
      </c>
      <c r="E90" s="60">
        <v>0</v>
      </c>
      <c r="F90" s="60">
        <v>0</v>
      </c>
      <c r="G90" s="60">
        <v>0</v>
      </c>
      <c r="H90" s="60">
        <v>0</v>
      </c>
      <c r="I90" s="60">
        <v>1</v>
      </c>
      <c r="J90" s="60">
        <v>1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1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1</v>
      </c>
      <c r="AD90" s="60">
        <v>0</v>
      </c>
      <c r="AE90" s="60">
        <v>0</v>
      </c>
      <c r="AF90" s="60">
        <v>0</v>
      </c>
      <c r="AG90" s="5">
        <f t="shared" si="5"/>
        <v>5</v>
      </c>
    </row>
    <row r="91" spans="1:34" ht="15.75" customHeight="1" x14ac:dyDescent="0.25">
      <c r="A91" s="74" t="s">
        <v>39</v>
      </c>
      <c r="B91" s="60">
        <v>14</v>
      </c>
      <c r="C91" s="60">
        <v>1</v>
      </c>
      <c r="D91" s="60">
        <v>5</v>
      </c>
      <c r="E91" s="60">
        <v>1</v>
      </c>
      <c r="F91" s="60">
        <v>0</v>
      </c>
      <c r="G91" s="60">
        <v>9</v>
      </c>
      <c r="H91" s="60">
        <v>3</v>
      </c>
      <c r="I91" s="60">
        <v>9</v>
      </c>
      <c r="J91" s="60">
        <v>5</v>
      </c>
      <c r="K91" s="60">
        <v>2</v>
      </c>
      <c r="L91" s="60">
        <v>0</v>
      </c>
      <c r="M91" s="60">
        <v>2</v>
      </c>
      <c r="N91" s="60">
        <v>9</v>
      </c>
      <c r="O91" s="60">
        <v>8</v>
      </c>
      <c r="P91" s="60">
        <v>6</v>
      </c>
      <c r="Q91" s="60">
        <v>1</v>
      </c>
      <c r="R91" s="60">
        <v>6</v>
      </c>
      <c r="S91" s="60">
        <v>2</v>
      </c>
      <c r="T91" s="60">
        <v>0</v>
      </c>
      <c r="U91" s="60">
        <v>3</v>
      </c>
      <c r="V91" s="60">
        <v>4</v>
      </c>
      <c r="W91" s="60">
        <v>8</v>
      </c>
      <c r="X91" s="60">
        <v>6</v>
      </c>
      <c r="Y91" s="60">
        <v>0</v>
      </c>
      <c r="Z91" s="60">
        <v>1</v>
      </c>
      <c r="AA91" s="60">
        <v>11</v>
      </c>
      <c r="AB91" s="60">
        <v>14</v>
      </c>
      <c r="AC91" s="60">
        <v>19</v>
      </c>
      <c r="AD91" s="60">
        <v>2</v>
      </c>
      <c r="AE91" s="60">
        <v>2</v>
      </c>
      <c r="AF91" s="60">
        <v>0</v>
      </c>
      <c r="AG91" s="5">
        <f t="shared" si="5"/>
        <v>153</v>
      </c>
    </row>
    <row r="92" spans="1:34" ht="15.75" customHeight="1" thickBot="1" x14ac:dyDescent="0.3">
      <c r="A92" s="74" t="s">
        <v>40</v>
      </c>
      <c r="B92" s="60">
        <v>5</v>
      </c>
      <c r="C92" s="60">
        <v>0</v>
      </c>
      <c r="D92" s="60">
        <v>1</v>
      </c>
      <c r="E92" s="60">
        <v>0</v>
      </c>
      <c r="F92" s="60">
        <v>0</v>
      </c>
      <c r="G92" s="60">
        <v>9</v>
      </c>
      <c r="H92" s="60">
        <v>2</v>
      </c>
      <c r="I92" s="60">
        <v>2</v>
      </c>
      <c r="J92" s="60">
        <v>1</v>
      </c>
      <c r="K92" s="60">
        <v>1</v>
      </c>
      <c r="L92" s="60">
        <v>0</v>
      </c>
      <c r="M92" s="60">
        <v>0</v>
      </c>
      <c r="N92" s="60">
        <v>1</v>
      </c>
      <c r="O92" s="60">
        <v>5</v>
      </c>
      <c r="P92" s="60">
        <v>2</v>
      </c>
      <c r="Q92" s="60">
        <v>0</v>
      </c>
      <c r="R92" s="60">
        <v>1</v>
      </c>
      <c r="S92" s="60">
        <v>3</v>
      </c>
      <c r="T92" s="60">
        <v>0</v>
      </c>
      <c r="U92" s="60">
        <v>0</v>
      </c>
      <c r="V92" s="60">
        <v>3</v>
      </c>
      <c r="W92" s="60">
        <v>1</v>
      </c>
      <c r="X92" s="60">
        <v>5</v>
      </c>
      <c r="Y92" s="60">
        <v>1</v>
      </c>
      <c r="Z92" s="60">
        <v>1</v>
      </c>
      <c r="AA92" s="60">
        <v>10</v>
      </c>
      <c r="AB92" s="60">
        <v>3</v>
      </c>
      <c r="AC92" s="60">
        <v>5</v>
      </c>
      <c r="AD92" s="60">
        <v>2</v>
      </c>
      <c r="AE92" s="60">
        <v>1</v>
      </c>
      <c r="AF92" s="60">
        <v>0</v>
      </c>
      <c r="AG92" s="5">
        <f t="shared" si="5"/>
        <v>65</v>
      </c>
    </row>
    <row r="93" spans="1:34" ht="15.75" customHeight="1" x14ac:dyDescent="0.25">
      <c r="A93" s="75" t="s">
        <v>41</v>
      </c>
      <c r="B93" s="20">
        <f t="shared" ref="B93:AF93" si="15">+B94+B100</f>
        <v>122</v>
      </c>
      <c r="C93" s="20">
        <f t="shared" si="15"/>
        <v>126</v>
      </c>
      <c r="D93" s="20">
        <f t="shared" si="15"/>
        <v>126</v>
      </c>
      <c r="E93" s="20">
        <f t="shared" si="15"/>
        <v>155</v>
      </c>
      <c r="F93" s="20">
        <f t="shared" si="15"/>
        <v>187</v>
      </c>
      <c r="G93" s="20">
        <f t="shared" si="15"/>
        <v>149</v>
      </c>
      <c r="H93" s="20">
        <f t="shared" si="15"/>
        <v>122</v>
      </c>
      <c r="I93" s="20">
        <f t="shared" si="15"/>
        <v>138</v>
      </c>
      <c r="J93" s="20">
        <f t="shared" si="15"/>
        <v>123</v>
      </c>
      <c r="K93" s="20">
        <f t="shared" si="15"/>
        <v>119</v>
      </c>
      <c r="L93" s="20">
        <f t="shared" si="15"/>
        <v>181</v>
      </c>
      <c r="M93" s="20">
        <f t="shared" si="15"/>
        <v>167</v>
      </c>
      <c r="N93" s="20">
        <f t="shared" si="15"/>
        <v>145</v>
      </c>
      <c r="O93" s="20">
        <f t="shared" si="15"/>
        <v>135</v>
      </c>
      <c r="P93" s="20">
        <f t="shared" si="15"/>
        <v>125</v>
      </c>
      <c r="Q93" s="20">
        <f t="shared" si="15"/>
        <v>128</v>
      </c>
      <c r="R93" s="20">
        <f t="shared" si="15"/>
        <v>122</v>
      </c>
      <c r="S93" s="20">
        <f t="shared" si="15"/>
        <v>176</v>
      </c>
      <c r="T93" s="20">
        <f t="shared" si="15"/>
        <v>187</v>
      </c>
      <c r="U93" s="20">
        <f t="shared" si="15"/>
        <v>141</v>
      </c>
      <c r="V93" s="20">
        <f t="shared" si="15"/>
        <v>129</v>
      </c>
      <c r="W93" s="20">
        <f t="shared" si="15"/>
        <v>126</v>
      </c>
      <c r="X93" s="20">
        <f t="shared" si="15"/>
        <v>128</v>
      </c>
      <c r="Y93" s="20">
        <f t="shared" si="15"/>
        <v>105</v>
      </c>
      <c r="Z93" s="20">
        <f t="shared" si="15"/>
        <v>186</v>
      </c>
      <c r="AA93" s="20">
        <f t="shared" si="15"/>
        <v>189</v>
      </c>
      <c r="AB93" s="20">
        <f t="shared" si="15"/>
        <v>132</v>
      </c>
      <c r="AC93" s="20">
        <f t="shared" si="15"/>
        <v>118</v>
      </c>
      <c r="AD93" s="20">
        <f t="shared" si="15"/>
        <v>124</v>
      </c>
      <c r="AE93" s="20">
        <f t="shared" si="15"/>
        <v>119</v>
      </c>
      <c r="AF93" s="20">
        <f t="shared" si="15"/>
        <v>189</v>
      </c>
      <c r="AG93" s="5">
        <f t="shared" si="5"/>
        <v>4419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21</v>
      </c>
      <c r="C94" s="21">
        <f t="shared" si="16"/>
        <v>22</v>
      </c>
      <c r="D94" s="21">
        <f t="shared" si="16"/>
        <v>15</v>
      </c>
      <c r="E94" s="21">
        <f t="shared" si="16"/>
        <v>26</v>
      </c>
      <c r="F94" s="21">
        <f t="shared" si="16"/>
        <v>35</v>
      </c>
      <c r="G94" s="21">
        <f t="shared" si="16"/>
        <v>31</v>
      </c>
      <c r="H94" s="21">
        <f t="shared" si="16"/>
        <v>25</v>
      </c>
      <c r="I94" s="21">
        <f t="shared" si="16"/>
        <v>25</v>
      </c>
      <c r="J94" s="21">
        <f t="shared" si="16"/>
        <v>15</v>
      </c>
      <c r="K94" s="21">
        <f t="shared" si="16"/>
        <v>28</v>
      </c>
      <c r="L94" s="21">
        <f t="shared" si="16"/>
        <v>27</v>
      </c>
      <c r="M94" s="21">
        <f t="shared" si="16"/>
        <v>26</v>
      </c>
      <c r="N94" s="21">
        <f t="shared" si="16"/>
        <v>41</v>
      </c>
      <c r="O94" s="21">
        <f t="shared" si="16"/>
        <v>27</v>
      </c>
      <c r="P94" s="21">
        <f t="shared" si="16"/>
        <v>20</v>
      </c>
      <c r="Q94" s="21">
        <f t="shared" si="16"/>
        <v>26</v>
      </c>
      <c r="R94" s="21">
        <f t="shared" si="16"/>
        <v>24</v>
      </c>
      <c r="S94" s="21">
        <f t="shared" si="16"/>
        <v>33</v>
      </c>
      <c r="T94" s="21">
        <f t="shared" si="16"/>
        <v>41</v>
      </c>
      <c r="U94" s="21">
        <f t="shared" si="16"/>
        <v>29</v>
      </c>
      <c r="V94" s="21">
        <f t="shared" si="16"/>
        <v>26</v>
      </c>
      <c r="W94" s="21">
        <f t="shared" si="16"/>
        <v>22</v>
      </c>
      <c r="X94" s="21">
        <f t="shared" si="16"/>
        <v>20</v>
      </c>
      <c r="Y94" s="21">
        <f t="shared" si="16"/>
        <v>20</v>
      </c>
      <c r="Z94" s="21">
        <f t="shared" si="16"/>
        <v>29</v>
      </c>
      <c r="AA94" s="21">
        <f t="shared" si="16"/>
        <v>25</v>
      </c>
      <c r="AB94" s="21">
        <f t="shared" si="16"/>
        <v>22</v>
      </c>
      <c r="AC94" s="21">
        <f t="shared" si="16"/>
        <v>17</v>
      </c>
      <c r="AD94" s="21">
        <f t="shared" si="16"/>
        <v>25</v>
      </c>
      <c r="AE94" s="21">
        <f t="shared" si="16"/>
        <v>18</v>
      </c>
      <c r="AF94" s="21">
        <f t="shared" si="16"/>
        <v>32</v>
      </c>
      <c r="AG94" s="5">
        <f t="shared" si="5"/>
        <v>793</v>
      </c>
    </row>
    <row r="95" spans="1:34" ht="15.75" customHeight="1" x14ac:dyDescent="0.25">
      <c r="A95" s="78" t="s">
        <v>43</v>
      </c>
      <c r="B95" s="54">
        <v>0</v>
      </c>
      <c r="C95" s="54">
        <v>0</v>
      </c>
      <c r="D95" s="54">
        <v>0</v>
      </c>
      <c r="E95" s="54">
        <v>1</v>
      </c>
      <c r="F95" s="54">
        <v>1</v>
      </c>
      <c r="G95" s="54">
        <v>1</v>
      </c>
      <c r="H95" s="54">
        <v>0</v>
      </c>
      <c r="I95" s="54">
        <v>1</v>
      </c>
      <c r="J95" s="54">
        <v>0</v>
      </c>
      <c r="K95" s="54">
        <v>0</v>
      </c>
      <c r="L95" s="54">
        <v>1</v>
      </c>
      <c r="M95" s="54">
        <v>2</v>
      </c>
      <c r="N95" s="54">
        <v>1</v>
      </c>
      <c r="O95" s="54">
        <v>0</v>
      </c>
      <c r="P95" s="54">
        <v>0</v>
      </c>
      <c r="Q95" s="54">
        <v>2</v>
      </c>
      <c r="R95" s="54">
        <v>0</v>
      </c>
      <c r="S95" s="54">
        <v>1</v>
      </c>
      <c r="T95" s="54">
        <v>1</v>
      </c>
      <c r="U95" s="54">
        <v>2</v>
      </c>
      <c r="V95" s="54">
        <v>0</v>
      </c>
      <c r="W95" s="54">
        <v>1</v>
      </c>
      <c r="X95" s="54">
        <v>0</v>
      </c>
      <c r="Y95" s="54">
        <v>0</v>
      </c>
      <c r="Z95" s="54">
        <v>1</v>
      </c>
      <c r="AA95" s="54">
        <v>1</v>
      </c>
      <c r="AB95" s="54">
        <v>0</v>
      </c>
      <c r="AC95" s="54">
        <v>0</v>
      </c>
      <c r="AD95" s="54">
        <v>1</v>
      </c>
      <c r="AE95" s="54">
        <v>0</v>
      </c>
      <c r="AF95" s="54">
        <v>0</v>
      </c>
      <c r="AG95" s="5">
        <f t="shared" si="5"/>
        <v>18</v>
      </c>
    </row>
    <row r="96" spans="1:34" ht="15.75" customHeight="1" x14ac:dyDescent="0.25">
      <c r="A96" s="79" t="s">
        <v>44</v>
      </c>
      <c r="B96" s="54">
        <v>0</v>
      </c>
      <c r="C96" s="54">
        <v>1</v>
      </c>
      <c r="D96" s="54">
        <v>1</v>
      </c>
      <c r="E96" s="54">
        <v>3</v>
      </c>
      <c r="F96" s="54">
        <v>1</v>
      </c>
      <c r="G96" s="54">
        <v>4</v>
      </c>
      <c r="H96" s="54">
        <v>0</v>
      </c>
      <c r="I96" s="54">
        <v>3</v>
      </c>
      <c r="J96" s="54">
        <v>0</v>
      </c>
      <c r="K96" s="54">
        <v>1</v>
      </c>
      <c r="L96" s="54">
        <v>1</v>
      </c>
      <c r="M96" s="54">
        <v>2</v>
      </c>
      <c r="N96" s="54">
        <v>4</v>
      </c>
      <c r="O96" s="54">
        <v>0</v>
      </c>
      <c r="P96" s="54">
        <v>0</v>
      </c>
      <c r="Q96" s="54">
        <v>0</v>
      </c>
      <c r="R96" s="54">
        <v>1</v>
      </c>
      <c r="S96" s="54">
        <v>3</v>
      </c>
      <c r="T96" s="54">
        <v>2</v>
      </c>
      <c r="U96" s="54">
        <v>1</v>
      </c>
      <c r="V96" s="54">
        <v>0</v>
      </c>
      <c r="W96" s="54">
        <v>3</v>
      </c>
      <c r="X96" s="54">
        <v>1</v>
      </c>
      <c r="Y96" s="54">
        <v>2</v>
      </c>
      <c r="Z96" s="54">
        <v>1</v>
      </c>
      <c r="AA96" s="54">
        <v>1</v>
      </c>
      <c r="AB96" s="54">
        <v>0</v>
      </c>
      <c r="AC96" s="54">
        <v>1</v>
      </c>
      <c r="AD96" s="54">
        <v>1</v>
      </c>
      <c r="AE96" s="54">
        <v>1</v>
      </c>
      <c r="AF96" s="54">
        <v>1</v>
      </c>
      <c r="AG96" s="5">
        <f t="shared" si="5"/>
        <v>40</v>
      </c>
    </row>
    <row r="97" spans="1:33" ht="15.75" customHeight="1" x14ac:dyDescent="0.25">
      <c r="A97" s="80" t="s">
        <v>45</v>
      </c>
      <c r="B97" s="54">
        <v>2</v>
      </c>
      <c r="C97" s="54">
        <v>5</v>
      </c>
      <c r="D97" s="54">
        <v>3</v>
      </c>
      <c r="E97" s="54">
        <v>6</v>
      </c>
      <c r="F97" s="54">
        <v>8</v>
      </c>
      <c r="G97" s="54">
        <v>7</v>
      </c>
      <c r="H97" s="54">
        <v>5</v>
      </c>
      <c r="I97" s="54">
        <v>2</v>
      </c>
      <c r="J97" s="54">
        <v>1</v>
      </c>
      <c r="K97" s="54">
        <v>4</v>
      </c>
      <c r="L97" s="54">
        <v>6</v>
      </c>
      <c r="M97" s="54">
        <v>5</v>
      </c>
      <c r="N97" s="54">
        <v>6</v>
      </c>
      <c r="O97" s="54">
        <v>5</v>
      </c>
      <c r="P97" s="54">
        <v>3</v>
      </c>
      <c r="Q97" s="54">
        <v>9</v>
      </c>
      <c r="R97" s="54">
        <v>2</v>
      </c>
      <c r="S97" s="54">
        <v>5</v>
      </c>
      <c r="T97" s="54">
        <v>2</v>
      </c>
      <c r="U97" s="54">
        <v>3</v>
      </c>
      <c r="V97" s="54">
        <v>4</v>
      </c>
      <c r="W97" s="54">
        <v>7</v>
      </c>
      <c r="X97" s="54">
        <v>2</v>
      </c>
      <c r="Y97" s="54">
        <v>2</v>
      </c>
      <c r="Z97" s="54">
        <v>2</v>
      </c>
      <c r="AA97" s="54">
        <v>4</v>
      </c>
      <c r="AB97" s="54">
        <v>2</v>
      </c>
      <c r="AC97" s="54">
        <v>4</v>
      </c>
      <c r="AD97" s="54">
        <v>3</v>
      </c>
      <c r="AE97" s="54">
        <v>1</v>
      </c>
      <c r="AF97" s="54">
        <v>5</v>
      </c>
      <c r="AG97" s="5">
        <f t="shared" si="5"/>
        <v>125</v>
      </c>
    </row>
    <row r="98" spans="1:33" ht="15.75" customHeight="1" x14ac:dyDescent="0.25">
      <c r="A98" s="81" t="s">
        <v>46</v>
      </c>
      <c r="B98" s="54">
        <v>7</v>
      </c>
      <c r="C98" s="54">
        <v>9</v>
      </c>
      <c r="D98" s="54">
        <v>6</v>
      </c>
      <c r="E98" s="54">
        <v>12</v>
      </c>
      <c r="F98" s="54">
        <v>12</v>
      </c>
      <c r="G98" s="54">
        <v>12</v>
      </c>
      <c r="H98" s="54">
        <v>11</v>
      </c>
      <c r="I98" s="54">
        <v>6</v>
      </c>
      <c r="J98" s="54">
        <v>11</v>
      </c>
      <c r="K98" s="54">
        <v>12</v>
      </c>
      <c r="L98" s="54">
        <v>15</v>
      </c>
      <c r="M98" s="54">
        <v>9</v>
      </c>
      <c r="N98" s="54">
        <v>16</v>
      </c>
      <c r="O98" s="54">
        <v>11</v>
      </c>
      <c r="P98" s="54">
        <v>10</v>
      </c>
      <c r="Q98" s="54">
        <v>5</v>
      </c>
      <c r="R98" s="54">
        <v>10</v>
      </c>
      <c r="S98" s="54">
        <v>12</v>
      </c>
      <c r="T98" s="54">
        <v>18</v>
      </c>
      <c r="U98" s="54">
        <v>12</v>
      </c>
      <c r="V98" s="54">
        <v>6</v>
      </c>
      <c r="W98" s="54">
        <v>4</v>
      </c>
      <c r="X98" s="54">
        <v>9</v>
      </c>
      <c r="Y98" s="54">
        <v>10</v>
      </c>
      <c r="Z98" s="54">
        <v>14</v>
      </c>
      <c r="AA98" s="54">
        <v>12</v>
      </c>
      <c r="AB98" s="54">
        <v>10</v>
      </c>
      <c r="AC98" s="54">
        <v>5</v>
      </c>
      <c r="AD98" s="54">
        <v>15</v>
      </c>
      <c r="AE98" s="54">
        <v>8</v>
      </c>
      <c r="AF98" s="54">
        <v>16</v>
      </c>
      <c r="AG98" s="5">
        <f t="shared" si="5"/>
        <v>325</v>
      </c>
    </row>
    <row r="99" spans="1:33" ht="15.75" customHeight="1" x14ac:dyDescent="0.25">
      <c r="A99" s="82" t="s">
        <v>47</v>
      </c>
      <c r="B99" s="54">
        <v>12</v>
      </c>
      <c r="C99" s="54">
        <v>7</v>
      </c>
      <c r="D99" s="54">
        <v>5</v>
      </c>
      <c r="E99" s="54">
        <v>4</v>
      </c>
      <c r="F99" s="54">
        <v>13</v>
      </c>
      <c r="G99" s="54">
        <v>7</v>
      </c>
      <c r="H99" s="54">
        <v>9</v>
      </c>
      <c r="I99" s="54">
        <v>13</v>
      </c>
      <c r="J99" s="54">
        <v>3</v>
      </c>
      <c r="K99" s="54">
        <v>11</v>
      </c>
      <c r="L99" s="54">
        <v>4</v>
      </c>
      <c r="M99" s="54">
        <v>8</v>
      </c>
      <c r="N99" s="54">
        <v>14</v>
      </c>
      <c r="O99" s="54">
        <v>11</v>
      </c>
      <c r="P99" s="54">
        <v>7</v>
      </c>
      <c r="Q99" s="54">
        <v>10</v>
      </c>
      <c r="R99" s="54">
        <v>11</v>
      </c>
      <c r="S99" s="54">
        <v>12</v>
      </c>
      <c r="T99" s="54">
        <v>18</v>
      </c>
      <c r="U99" s="54">
        <v>11</v>
      </c>
      <c r="V99" s="54">
        <v>16</v>
      </c>
      <c r="W99" s="54">
        <v>7</v>
      </c>
      <c r="X99" s="54">
        <v>8</v>
      </c>
      <c r="Y99" s="54">
        <v>6</v>
      </c>
      <c r="Z99" s="54">
        <v>11</v>
      </c>
      <c r="AA99" s="54">
        <v>7</v>
      </c>
      <c r="AB99" s="54">
        <v>10</v>
      </c>
      <c r="AC99" s="54">
        <v>7</v>
      </c>
      <c r="AD99" s="54">
        <v>5</v>
      </c>
      <c r="AE99" s="54">
        <v>8</v>
      </c>
      <c r="AF99" s="54">
        <v>10</v>
      </c>
      <c r="AG99" s="5">
        <f t="shared" ref="AG99:AG162" si="17">SUM(B99:AF99)</f>
        <v>285</v>
      </c>
    </row>
    <row r="100" spans="1:33" ht="15.75" customHeight="1" x14ac:dyDescent="0.25">
      <c r="A100" s="76" t="s">
        <v>48</v>
      </c>
      <c r="B100" s="21">
        <f t="shared" ref="B100:AF100" si="18">SUM(B101:B115)</f>
        <v>101</v>
      </c>
      <c r="C100" s="21">
        <f t="shared" si="18"/>
        <v>104</v>
      </c>
      <c r="D100" s="21">
        <f t="shared" si="18"/>
        <v>111</v>
      </c>
      <c r="E100" s="21">
        <f t="shared" si="18"/>
        <v>129</v>
      </c>
      <c r="F100" s="21">
        <f t="shared" si="18"/>
        <v>152</v>
      </c>
      <c r="G100" s="21">
        <f t="shared" si="18"/>
        <v>118</v>
      </c>
      <c r="H100" s="21">
        <f t="shared" si="18"/>
        <v>97</v>
      </c>
      <c r="I100" s="21">
        <f t="shared" si="18"/>
        <v>113</v>
      </c>
      <c r="J100" s="21">
        <f t="shared" si="18"/>
        <v>108</v>
      </c>
      <c r="K100" s="21">
        <f t="shared" si="18"/>
        <v>91</v>
      </c>
      <c r="L100" s="21">
        <f t="shared" si="18"/>
        <v>154</v>
      </c>
      <c r="M100" s="21">
        <f t="shared" si="18"/>
        <v>141</v>
      </c>
      <c r="N100" s="21">
        <f t="shared" si="18"/>
        <v>104</v>
      </c>
      <c r="O100" s="21">
        <f t="shared" si="18"/>
        <v>108</v>
      </c>
      <c r="P100" s="21">
        <f t="shared" si="18"/>
        <v>105</v>
      </c>
      <c r="Q100" s="21">
        <f t="shared" si="18"/>
        <v>102</v>
      </c>
      <c r="R100" s="21">
        <f t="shared" si="18"/>
        <v>98</v>
      </c>
      <c r="S100" s="21">
        <f t="shared" si="18"/>
        <v>143</v>
      </c>
      <c r="T100" s="21">
        <f t="shared" si="18"/>
        <v>146</v>
      </c>
      <c r="U100" s="21">
        <f t="shared" si="18"/>
        <v>112</v>
      </c>
      <c r="V100" s="21">
        <f t="shared" si="18"/>
        <v>103</v>
      </c>
      <c r="W100" s="21">
        <f t="shared" si="18"/>
        <v>104</v>
      </c>
      <c r="X100" s="21">
        <f t="shared" si="18"/>
        <v>108</v>
      </c>
      <c r="Y100" s="21">
        <f t="shared" si="18"/>
        <v>85</v>
      </c>
      <c r="Z100" s="21">
        <f t="shared" si="18"/>
        <v>157</v>
      </c>
      <c r="AA100" s="21">
        <f t="shared" si="18"/>
        <v>164</v>
      </c>
      <c r="AB100" s="21">
        <f t="shared" si="18"/>
        <v>110</v>
      </c>
      <c r="AC100" s="21">
        <f t="shared" si="18"/>
        <v>101</v>
      </c>
      <c r="AD100" s="21">
        <f t="shared" si="18"/>
        <v>99</v>
      </c>
      <c r="AE100" s="21">
        <f t="shared" si="18"/>
        <v>101</v>
      </c>
      <c r="AF100" s="21">
        <f t="shared" si="18"/>
        <v>157</v>
      </c>
      <c r="AG100" s="5">
        <f t="shared" si="17"/>
        <v>3626</v>
      </c>
    </row>
    <row r="101" spans="1:33" ht="15.75" customHeight="1" x14ac:dyDescent="0.25">
      <c r="A101" s="82" t="s">
        <v>49</v>
      </c>
      <c r="B101" s="54">
        <v>11</v>
      </c>
      <c r="C101" s="54">
        <v>6</v>
      </c>
      <c r="D101" s="54">
        <v>9</v>
      </c>
      <c r="E101" s="54">
        <v>10</v>
      </c>
      <c r="F101" s="54">
        <v>9</v>
      </c>
      <c r="G101" s="54">
        <v>6</v>
      </c>
      <c r="H101" s="54">
        <v>12</v>
      </c>
      <c r="I101" s="54">
        <v>11</v>
      </c>
      <c r="J101" s="54">
        <v>15</v>
      </c>
      <c r="K101" s="54">
        <v>9</v>
      </c>
      <c r="L101" s="54">
        <v>7</v>
      </c>
      <c r="M101" s="54">
        <v>10</v>
      </c>
      <c r="N101" s="54">
        <v>10</v>
      </c>
      <c r="O101" s="54">
        <v>10</v>
      </c>
      <c r="P101" s="54">
        <v>3</v>
      </c>
      <c r="Q101" s="54">
        <v>7</v>
      </c>
      <c r="R101" s="54">
        <v>6</v>
      </c>
      <c r="S101" s="54">
        <v>13</v>
      </c>
      <c r="T101" s="54">
        <v>12</v>
      </c>
      <c r="U101" s="54">
        <v>13</v>
      </c>
      <c r="V101" s="54">
        <v>10</v>
      </c>
      <c r="W101" s="54">
        <v>11</v>
      </c>
      <c r="X101" s="54">
        <v>12</v>
      </c>
      <c r="Y101" s="54">
        <v>6</v>
      </c>
      <c r="Z101" s="54">
        <v>8</v>
      </c>
      <c r="AA101" s="54">
        <v>14</v>
      </c>
      <c r="AB101" s="54">
        <v>14</v>
      </c>
      <c r="AC101" s="54">
        <v>10</v>
      </c>
      <c r="AD101" s="54">
        <v>7</v>
      </c>
      <c r="AE101" s="54">
        <v>6</v>
      </c>
      <c r="AF101" s="54">
        <v>12</v>
      </c>
      <c r="AG101" s="5">
        <f t="shared" si="17"/>
        <v>299</v>
      </c>
    </row>
    <row r="102" spans="1:33" ht="15.75" customHeight="1" x14ac:dyDescent="0.25">
      <c r="A102" s="82" t="s">
        <v>50</v>
      </c>
      <c r="B102" s="54">
        <v>7</v>
      </c>
      <c r="C102" s="54">
        <v>10</v>
      </c>
      <c r="D102" s="54">
        <v>11</v>
      </c>
      <c r="E102" s="54">
        <v>9</v>
      </c>
      <c r="F102" s="54">
        <v>9</v>
      </c>
      <c r="G102" s="54">
        <v>6</v>
      </c>
      <c r="H102" s="54">
        <v>7</v>
      </c>
      <c r="I102" s="54">
        <v>13</v>
      </c>
      <c r="J102" s="54">
        <v>13</v>
      </c>
      <c r="K102" s="54">
        <v>6</v>
      </c>
      <c r="L102" s="54">
        <v>15</v>
      </c>
      <c r="M102" s="54">
        <v>10</v>
      </c>
      <c r="N102" s="54">
        <v>7</v>
      </c>
      <c r="O102" s="54">
        <v>6</v>
      </c>
      <c r="P102" s="54">
        <v>5</v>
      </c>
      <c r="Q102" s="54">
        <v>6</v>
      </c>
      <c r="R102" s="54">
        <v>7</v>
      </c>
      <c r="S102" s="54">
        <v>7</v>
      </c>
      <c r="T102" s="54">
        <v>7</v>
      </c>
      <c r="U102" s="54">
        <v>12</v>
      </c>
      <c r="V102" s="54">
        <v>8</v>
      </c>
      <c r="W102" s="54">
        <v>8</v>
      </c>
      <c r="X102" s="54">
        <v>9</v>
      </c>
      <c r="Y102" s="54">
        <v>8</v>
      </c>
      <c r="Z102" s="54">
        <v>17</v>
      </c>
      <c r="AA102" s="54">
        <v>12</v>
      </c>
      <c r="AB102" s="54">
        <v>7</v>
      </c>
      <c r="AC102" s="54">
        <v>10</v>
      </c>
      <c r="AD102" s="54">
        <v>7</v>
      </c>
      <c r="AE102" s="54">
        <v>8</v>
      </c>
      <c r="AF102" s="54">
        <v>11</v>
      </c>
      <c r="AG102" s="5">
        <f t="shared" si="17"/>
        <v>278</v>
      </c>
    </row>
    <row r="103" spans="1:33" ht="15.75" customHeight="1" x14ac:dyDescent="0.25">
      <c r="A103" s="78" t="s">
        <v>51</v>
      </c>
      <c r="B103" s="54">
        <v>5</v>
      </c>
      <c r="C103" s="54">
        <v>9</v>
      </c>
      <c r="D103" s="54">
        <v>7</v>
      </c>
      <c r="E103" s="54">
        <v>9</v>
      </c>
      <c r="F103" s="54">
        <v>19</v>
      </c>
      <c r="G103" s="54">
        <v>7</v>
      </c>
      <c r="H103" s="54">
        <v>5</v>
      </c>
      <c r="I103" s="54">
        <v>6</v>
      </c>
      <c r="J103" s="54">
        <v>5</v>
      </c>
      <c r="K103" s="54">
        <v>7</v>
      </c>
      <c r="L103" s="54">
        <v>11</v>
      </c>
      <c r="M103" s="54">
        <v>11</v>
      </c>
      <c r="N103" s="54">
        <v>8</v>
      </c>
      <c r="O103" s="54">
        <v>6</v>
      </c>
      <c r="P103" s="54">
        <v>9</v>
      </c>
      <c r="Q103" s="54">
        <v>3</v>
      </c>
      <c r="R103" s="54">
        <v>5</v>
      </c>
      <c r="S103" s="54">
        <v>2</v>
      </c>
      <c r="T103" s="54">
        <v>11</v>
      </c>
      <c r="U103" s="54">
        <v>10</v>
      </c>
      <c r="V103" s="54">
        <v>14</v>
      </c>
      <c r="W103" s="54">
        <v>7</v>
      </c>
      <c r="X103" s="54">
        <v>9</v>
      </c>
      <c r="Y103" s="54">
        <v>10</v>
      </c>
      <c r="Z103" s="54">
        <v>10</v>
      </c>
      <c r="AA103" s="54">
        <v>10</v>
      </c>
      <c r="AB103" s="54">
        <v>10</v>
      </c>
      <c r="AC103" s="54">
        <v>6</v>
      </c>
      <c r="AD103" s="54">
        <v>7</v>
      </c>
      <c r="AE103" s="54">
        <v>11</v>
      </c>
      <c r="AF103" s="54">
        <v>13</v>
      </c>
      <c r="AG103" s="5">
        <f t="shared" si="17"/>
        <v>262</v>
      </c>
    </row>
    <row r="104" spans="1:33" ht="15.75" customHeight="1" x14ac:dyDescent="0.25">
      <c r="A104" s="78" t="s">
        <v>52</v>
      </c>
      <c r="B104" s="54">
        <v>3</v>
      </c>
      <c r="C104" s="54">
        <v>8</v>
      </c>
      <c r="D104" s="54">
        <v>11</v>
      </c>
      <c r="E104" s="54">
        <v>10</v>
      </c>
      <c r="F104" s="54">
        <v>6</v>
      </c>
      <c r="G104" s="54">
        <v>9</v>
      </c>
      <c r="H104" s="54">
        <v>10</v>
      </c>
      <c r="I104" s="54">
        <v>17</v>
      </c>
      <c r="J104" s="54">
        <v>7</v>
      </c>
      <c r="K104" s="54">
        <v>8</v>
      </c>
      <c r="L104" s="54">
        <v>21</v>
      </c>
      <c r="M104" s="54">
        <v>15</v>
      </c>
      <c r="N104" s="54">
        <v>11</v>
      </c>
      <c r="O104" s="54">
        <v>10</v>
      </c>
      <c r="P104" s="54">
        <v>12</v>
      </c>
      <c r="Q104" s="54">
        <v>10</v>
      </c>
      <c r="R104" s="54">
        <v>7</v>
      </c>
      <c r="S104" s="54">
        <v>10</v>
      </c>
      <c r="T104" s="54">
        <v>13</v>
      </c>
      <c r="U104" s="54">
        <v>14</v>
      </c>
      <c r="V104" s="54">
        <v>9</v>
      </c>
      <c r="W104" s="54">
        <v>9</v>
      </c>
      <c r="X104" s="54">
        <v>13</v>
      </c>
      <c r="Y104" s="54">
        <v>8</v>
      </c>
      <c r="Z104" s="54">
        <v>10</v>
      </c>
      <c r="AA104" s="54">
        <v>11</v>
      </c>
      <c r="AB104" s="54">
        <v>8</v>
      </c>
      <c r="AC104" s="54">
        <v>7</v>
      </c>
      <c r="AD104" s="54">
        <v>4</v>
      </c>
      <c r="AE104" s="54">
        <v>8</v>
      </c>
      <c r="AF104" s="54">
        <v>11</v>
      </c>
      <c r="AG104" s="5">
        <f t="shared" si="17"/>
        <v>310</v>
      </c>
    </row>
    <row r="105" spans="1:33" ht="15.75" customHeight="1" x14ac:dyDescent="0.25">
      <c r="A105" s="78" t="s">
        <v>53</v>
      </c>
      <c r="B105" s="54">
        <v>9</v>
      </c>
      <c r="C105" s="54">
        <v>12</v>
      </c>
      <c r="D105" s="54">
        <v>4</v>
      </c>
      <c r="E105" s="54">
        <v>8</v>
      </c>
      <c r="F105" s="54">
        <v>8</v>
      </c>
      <c r="G105" s="54">
        <v>18</v>
      </c>
      <c r="H105" s="54">
        <v>9</v>
      </c>
      <c r="I105" s="54">
        <v>15</v>
      </c>
      <c r="J105" s="54">
        <v>6</v>
      </c>
      <c r="K105" s="54">
        <v>7</v>
      </c>
      <c r="L105" s="54">
        <v>5</v>
      </c>
      <c r="M105" s="54">
        <v>9</v>
      </c>
      <c r="N105" s="54">
        <v>9</v>
      </c>
      <c r="O105" s="54">
        <v>13</v>
      </c>
      <c r="P105" s="54">
        <v>8</v>
      </c>
      <c r="Q105" s="54">
        <v>8</v>
      </c>
      <c r="R105" s="54">
        <v>5</v>
      </c>
      <c r="S105" s="54">
        <v>15</v>
      </c>
      <c r="T105" s="54">
        <v>14</v>
      </c>
      <c r="U105" s="54">
        <v>9</v>
      </c>
      <c r="V105" s="54">
        <v>6</v>
      </c>
      <c r="W105" s="54">
        <v>11</v>
      </c>
      <c r="X105" s="54">
        <v>7</v>
      </c>
      <c r="Y105" s="54">
        <v>8</v>
      </c>
      <c r="Z105" s="54">
        <v>16</v>
      </c>
      <c r="AA105" s="54">
        <v>13</v>
      </c>
      <c r="AB105" s="54">
        <v>9</v>
      </c>
      <c r="AC105" s="54">
        <v>6</v>
      </c>
      <c r="AD105" s="54">
        <v>11</v>
      </c>
      <c r="AE105" s="54">
        <v>6</v>
      </c>
      <c r="AF105" s="54">
        <v>13</v>
      </c>
      <c r="AG105" s="5">
        <f t="shared" si="17"/>
        <v>297</v>
      </c>
    </row>
    <row r="106" spans="1:33" ht="15.75" customHeight="1" x14ac:dyDescent="0.25">
      <c r="A106" s="78" t="s">
        <v>54</v>
      </c>
      <c r="B106" s="54">
        <v>9</v>
      </c>
      <c r="C106" s="54">
        <v>12</v>
      </c>
      <c r="D106" s="54">
        <v>5</v>
      </c>
      <c r="E106" s="54">
        <v>12</v>
      </c>
      <c r="F106" s="54">
        <v>15</v>
      </c>
      <c r="G106" s="54">
        <v>7</v>
      </c>
      <c r="H106" s="54">
        <v>10</v>
      </c>
      <c r="I106" s="54">
        <v>5</v>
      </c>
      <c r="J106" s="54">
        <v>9</v>
      </c>
      <c r="K106" s="54">
        <v>5</v>
      </c>
      <c r="L106" s="54">
        <v>8</v>
      </c>
      <c r="M106" s="54">
        <v>12</v>
      </c>
      <c r="N106" s="54">
        <v>6</v>
      </c>
      <c r="O106" s="54">
        <v>4</v>
      </c>
      <c r="P106" s="54">
        <v>5</v>
      </c>
      <c r="Q106" s="54">
        <v>2</v>
      </c>
      <c r="R106" s="54">
        <v>6</v>
      </c>
      <c r="S106" s="54">
        <v>11</v>
      </c>
      <c r="T106" s="54">
        <v>4</v>
      </c>
      <c r="U106" s="54">
        <v>8</v>
      </c>
      <c r="V106" s="54">
        <v>7</v>
      </c>
      <c r="W106" s="54">
        <v>3</v>
      </c>
      <c r="X106" s="54">
        <v>4</v>
      </c>
      <c r="Y106" s="54">
        <v>6</v>
      </c>
      <c r="Z106" s="54">
        <v>7</v>
      </c>
      <c r="AA106" s="54">
        <v>16</v>
      </c>
      <c r="AB106" s="54">
        <v>2</v>
      </c>
      <c r="AC106" s="54">
        <v>5</v>
      </c>
      <c r="AD106" s="54">
        <v>7</v>
      </c>
      <c r="AE106" s="54">
        <v>4</v>
      </c>
      <c r="AF106" s="54">
        <v>8</v>
      </c>
      <c r="AG106" s="5">
        <f t="shared" si="17"/>
        <v>224</v>
      </c>
    </row>
    <row r="107" spans="1:33" ht="15.75" customHeight="1" x14ac:dyDescent="0.25">
      <c r="A107" s="78" t="s">
        <v>55</v>
      </c>
      <c r="B107" s="54">
        <v>5</v>
      </c>
      <c r="C107" s="54">
        <v>4</v>
      </c>
      <c r="D107" s="54">
        <v>4</v>
      </c>
      <c r="E107" s="54">
        <v>13</v>
      </c>
      <c r="F107" s="54">
        <v>9</v>
      </c>
      <c r="G107" s="54">
        <v>9</v>
      </c>
      <c r="H107" s="54">
        <v>8</v>
      </c>
      <c r="I107" s="54">
        <v>2</v>
      </c>
      <c r="J107" s="54">
        <v>3</v>
      </c>
      <c r="K107" s="54">
        <v>6</v>
      </c>
      <c r="L107" s="54">
        <v>18</v>
      </c>
      <c r="M107" s="54">
        <v>5</v>
      </c>
      <c r="N107" s="54">
        <v>6</v>
      </c>
      <c r="O107" s="54">
        <v>8</v>
      </c>
      <c r="P107" s="54">
        <v>8</v>
      </c>
      <c r="Q107" s="54">
        <v>3</v>
      </c>
      <c r="R107" s="54">
        <v>10</v>
      </c>
      <c r="S107" s="54">
        <v>10</v>
      </c>
      <c r="T107" s="54">
        <v>11</v>
      </c>
      <c r="U107" s="54">
        <v>10</v>
      </c>
      <c r="V107" s="54">
        <v>5</v>
      </c>
      <c r="W107" s="54">
        <v>9</v>
      </c>
      <c r="X107" s="54">
        <v>9</v>
      </c>
      <c r="Y107" s="54">
        <v>7</v>
      </c>
      <c r="Z107" s="54">
        <v>16</v>
      </c>
      <c r="AA107" s="54">
        <v>12</v>
      </c>
      <c r="AB107" s="54">
        <v>5</v>
      </c>
      <c r="AC107" s="54">
        <v>6</v>
      </c>
      <c r="AD107" s="54">
        <v>8</v>
      </c>
      <c r="AE107" s="54">
        <v>7</v>
      </c>
      <c r="AF107" s="54">
        <v>5</v>
      </c>
      <c r="AG107" s="5">
        <f t="shared" si="17"/>
        <v>241</v>
      </c>
    </row>
    <row r="108" spans="1:33" ht="15.75" customHeight="1" x14ac:dyDescent="0.25">
      <c r="A108" s="78" t="s">
        <v>56</v>
      </c>
      <c r="B108" s="54">
        <v>9</v>
      </c>
      <c r="C108" s="54">
        <v>7</v>
      </c>
      <c r="D108" s="54">
        <v>9</v>
      </c>
      <c r="E108" s="54">
        <v>5</v>
      </c>
      <c r="F108" s="54">
        <v>13</v>
      </c>
      <c r="G108" s="54">
        <v>4</v>
      </c>
      <c r="H108" s="54">
        <v>4</v>
      </c>
      <c r="I108" s="54">
        <v>11</v>
      </c>
      <c r="J108" s="54">
        <v>5</v>
      </c>
      <c r="K108" s="54">
        <v>3</v>
      </c>
      <c r="L108" s="54">
        <v>8</v>
      </c>
      <c r="M108" s="54">
        <v>11</v>
      </c>
      <c r="N108" s="54">
        <v>4</v>
      </c>
      <c r="O108" s="54">
        <v>10</v>
      </c>
      <c r="P108" s="54">
        <v>13</v>
      </c>
      <c r="Q108" s="54">
        <v>15</v>
      </c>
      <c r="R108" s="54">
        <v>14</v>
      </c>
      <c r="S108" s="54">
        <v>13</v>
      </c>
      <c r="T108" s="54">
        <v>11</v>
      </c>
      <c r="U108" s="54">
        <v>6</v>
      </c>
      <c r="V108" s="54">
        <v>10</v>
      </c>
      <c r="W108" s="54">
        <v>7</v>
      </c>
      <c r="X108" s="54">
        <v>6</v>
      </c>
      <c r="Y108" s="54">
        <v>2</v>
      </c>
      <c r="Z108" s="54">
        <v>15</v>
      </c>
      <c r="AA108" s="54">
        <v>8</v>
      </c>
      <c r="AB108" s="54">
        <v>8</v>
      </c>
      <c r="AC108" s="54">
        <v>9</v>
      </c>
      <c r="AD108" s="54">
        <v>6</v>
      </c>
      <c r="AE108" s="54">
        <v>8</v>
      </c>
      <c r="AF108" s="54">
        <v>12</v>
      </c>
      <c r="AG108" s="5">
        <f t="shared" si="17"/>
        <v>266</v>
      </c>
    </row>
    <row r="109" spans="1:33" ht="15.75" customHeight="1" x14ac:dyDescent="0.25">
      <c r="A109" s="78" t="s">
        <v>57</v>
      </c>
      <c r="B109" s="54">
        <v>7</v>
      </c>
      <c r="C109" s="54">
        <v>3</v>
      </c>
      <c r="D109" s="54">
        <v>10</v>
      </c>
      <c r="E109" s="54">
        <v>12</v>
      </c>
      <c r="F109" s="54">
        <v>10</v>
      </c>
      <c r="G109" s="54">
        <v>13</v>
      </c>
      <c r="H109" s="54">
        <v>5</v>
      </c>
      <c r="I109" s="54">
        <v>5</v>
      </c>
      <c r="J109" s="54">
        <v>9</v>
      </c>
      <c r="K109" s="54">
        <v>10</v>
      </c>
      <c r="L109" s="54">
        <v>12</v>
      </c>
      <c r="M109" s="54">
        <v>10</v>
      </c>
      <c r="N109" s="54">
        <v>7</v>
      </c>
      <c r="O109" s="54">
        <v>12</v>
      </c>
      <c r="P109" s="54">
        <v>7</v>
      </c>
      <c r="Q109" s="54">
        <v>4</v>
      </c>
      <c r="R109" s="54">
        <v>11</v>
      </c>
      <c r="S109" s="54">
        <v>12</v>
      </c>
      <c r="T109" s="54">
        <v>12</v>
      </c>
      <c r="U109" s="54">
        <v>2</v>
      </c>
      <c r="V109" s="54">
        <v>8</v>
      </c>
      <c r="W109" s="54">
        <v>8</v>
      </c>
      <c r="X109" s="54">
        <v>9</v>
      </c>
      <c r="Y109" s="54">
        <v>7</v>
      </c>
      <c r="Z109" s="54">
        <v>11</v>
      </c>
      <c r="AA109" s="54">
        <v>17</v>
      </c>
      <c r="AB109" s="54">
        <v>8</v>
      </c>
      <c r="AC109" s="54">
        <v>9</v>
      </c>
      <c r="AD109" s="54">
        <v>5</v>
      </c>
      <c r="AE109" s="54">
        <v>7</v>
      </c>
      <c r="AF109" s="54">
        <v>18</v>
      </c>
      <c r="AG109" s="5">
        <f t="shared" si="17"/>
        <v>280</v>
      </c>
    </row>
    <row r="110" spans="1:33" ht="15.75" customHeight="1" x14ac:dyDescent="0.25">
      <c r="A110" s="78" t="s">
        <v>58</v>
      </c>
      <c r="B110" s="54">
        <v>6</v>
      </c>
      <c r="C110" s="54">
        <v>5</v>
      </c>
      <c r="D110" s="54">
        <v>8</v>
      </c>
      <c r="E110" s="54">
        <v>7</v>
      </c>
      <c r="F110" s="54">
        <v>13</v>
      </c>
      <c r="G110" s="54">
        <v>15</v>
      </c>
      <c r="H110" s="54">
        <v>8</v>
      </c>
      <c r="I110" s="54">
        <v>7</v>
      </c>
      <c r="J110" s="54">
        <v>7</v>
      </c>
      <c r="K110" s="54">
        <v>5</v>
      </c>
      <c r="L110" s="54">
        <v>16</v>
      </c>
      <c r="M110" s="54">
        <v>14</v>
      </c>
      <c r="N110" s="54">
        <v>5</v>
      </c>
      <c r="O110" s="54">
        <v>6</v>
      </c>
      <c r="P110" s="54">
        <v>6</v>
      </c>
      <c r="Q110" s="54">
        <v>10</v>
      </c>
      <c r="R110" s="54">
        <v>4</v>
      </c>
      <c r="S110" s="54">
        <v>10</v>
      </c>
      <c r="T110" s="54">
        <v>17</v>
      </c>
      <c r="U110" s="54">
        <v>8</v>
      </c>
      <c r="V110" s="54">
        <v>6</v>
      </c>
      <c r="W110" s="54">
        <v>5</v>
      </c>
      <c r="X110" s="54">
        <v>7</v>
      </c>
      <c r="Y110" s="54">
        <v>2</v>
      </c>
      <c r="Z110" s="54">
        <v>13</v>
      </c>
      <c r="AA110" s="54">
        <v>9</v>
      </c>
      <c r="AB110" s="54">
        <v>10</v>
      </c>
      <c r="AC110" s="54">
        <v>9</v>
      </c>
      <c r="AD110" s="54">
        <v>6</v>
      </c>
      <c r="AE110" s="54">
        <v>4</v>
      </c>
      <c r="AF110" s="54">
        <v>12</v>
      </c>
      <c r="AG110" s="5">
        <f t="shared" si="17"/>
        <v>260</v>
      </c>
    </row>
    <row r="111" spans="1:33" ht="15.75" customHeight="1" x14ac:dyDescent="0.25">
      <c r="A111" s="78" t="s">
        <v>59</v>
      </c>
      <c r="B111" s="54">
        <v>6</v>
      </c>
      <c r="C111" s="54">
        <v>12</v>
      </c>
      <c r="D111" s="54">
        <v>10</v>
      </c>
      <c r="E111" s="54">
        <v>13</v>
      </c>
      <c r="F111" s="54">
        <v>12</v>
      </c>
      <c r="G111" s="54">
        <v>7</v>
      </c>
      <c r="H111" s="54">
        <v>7</v>
      </c>
      <c r="I111" s="54">
        <v>4</v>
      </c>
      <c r="J111" s="54">
        <v>8</v>
      </c>
      <c r="K111" s="54">
        <v>12</v>
      </c>
      <c r="L111" s="54">
        <v>14</v>
      </c>
      <c r="M111" s="54">
        <v>5</v>
      </c>
      <c r="N111" s="54">
        <v>7</v>
      </c>
      <c r="O111" s="54">
        <v>8</v>
      </c>
      <c r="P111" s="54">
        <v>8</v>
      </c>
      <c r="Q111" s="54">
        <v>14</v>
      </c>
      <c r="R111" s="54">
        <v>4</v>
      </c>
      <c r="S111" s="54">
        <v>15</v>
      </c>
      <c r="T111" s="54">
        <v>11</v>
      </c>
      <c r="U111" s="54">
        <v>6</v>
      </c>
      <c r="V111" s="54">
        <v>8</v>
      </c>
      <c r="W111" s="54">
        <v>4</v>
      </c>
      <c r="X111" s="54">
        <v>4</v>
      </c>
      <c r="Y111" s="54">
        <v>5</v>
      </c>
      <c r="Z111" s="54">
        <v>12</v>
      </c>
      <c r="AA111" s="54">
        <v>7</v>
      </c>
      <c r="AB111" s="54">
        <v>10</v>
      </c>
      <c r="AC111" s="54">
        <v>6</v>
      </c>
      <c r="AD111" s="54">
        <v>9</v>
      </c>
      <c r="AE111" s="54">
        <v>11</v>
      </c>
      <c r="AF111" s="54">
        <v>10</v>
      </c>
      <c r="AG111" s="5">
        <f t="shared" si="17"/>
        <v>269</v>
      </c>
    </row>
    <row r="112" spans="1:33" ht="15.75" customHeight="1" x14ac:dyDescent="0.25">
      <c r="A112" s="78" t="s">
        <v>60</v>
      </c>
      <c r="B112" s="54">
        <v>10</v>
      </c>
      <c r="C112" s="54">
        <v>6</v>
      </c>
      <c r="D112" s="54">
        <v>11</v>
      </c>
      <c r="E112" s="54">
        <v>6</v>
      </c>
      <c r="F112" s="54">
        <v>12</v>
      </c>
      <c r="G112" s="54">
        <v>7</v>
      </c>
      <c r="H112" s="54">
        <v>4</v>
      </c>
      <c r="I112" s="54">
        <v>4</v>
      </c>
      <c r="J112" s="54">
        <v>9</v>
      </c>
      <c r="K112" s="54">
        <v>3</v>
      </c>
      <c r="L112" s="54">
        <v>6</v>
      </c>
      <c r="M112" s="54">
        <v>13</v>
      </c>
      <c r="N112" s="54">
        <v>9</v>
      </c>
      <c r="O112" s="54">
        <v>3</v>
      </c>
      <c r="P112" s="54">
        <v>5</v>
      </c>
      <c r="Q112" s="54">
        <v>5</v>
      </c>
      <c r="R112" s="54">
        <v>6</v>
      </c>
      <c r="S112" s="54">
        <v>7</v>
      </c>
      <c r="T112" s="54">
        <v>7</v>
      </c>
      <c r="U112" s="54">
        <v>3</v>
      </c>
      <c r="V112" s="54">
        <v>5</v>
      </c>
      <c r="W112" s="54">
        <v>8</v>
      </c>
      <c r="X112" s="54">
        <v>9</v>
      </c>
      <c r="Y112" s="54">
        <v>4</v>
      </c>
      <c r="Z112" s="54">
        <v>7</v>
      </c>
      <c r="AA112" s="54">
        <v>12</v>
      </c>
      <c r="AB112" s="54">
        <v>5</v>
      </c>
      <c r="AC112" s="54">
        <v>4</v>
      </c>
      <c r="AD112" s="54">
        <v>8</v>
      </c>
      <c r="AE112" s="54">
        <v>9</v>
      </c>
      <c r="AF112" s="54">
        <v>8</v>
      </c>
      <c r="AG112" s="5">
        <f t="shared" si="17"/>
        <v>215</v>
      </c>
    </row>
    <row r="113" spans="1:37" ht="15.75" customHeight="1" x14ac:dyDescent="0.25">
      <c r="A113" s="78" t="s">
        <v>61</v>
      </c>
      <c r="B113" s="54">
        <v>5</v>
      </c>
      <c r="C113" s="54">
        <v>2</v>
      </c>
      <c r="D113" s="54">
        <v>6</v>
      </c>
      <c r="E113" s="54">
        <v>7</v>
      </c>
      <c r="F113" s="54">
        <v>10</v>
      </c>
      <c r="G113" s="54">
        <v>5</v>
      </c>
      <c r="H113" s="54">
        <v>5</v>
      </c>
      <c r="I113" s="54">
        <v>10</v>
      </c>
      <c r="J113" s="54">
        <v>7</v>
      </c>
      <c r="K113" s="54">
        <v>6</v>
      </c>
      <c r="L113" s="54">
        <v>9</v>
      </c>
      <c r="M113" s="54">
        <v>7</v>
      </c>
      <c r="N113" s="54">
        <v>7</v>
      </c>
      <c r="O113" s="54">
        <v>4</v>
      </c>
      <c r="P113" s="54">
        <v>8</v>
      </c>
      <c r="Q113" s="54">
        <v>8</v>
      </c>
      <c r="R113" s="54">
        <v>9</v>
      </c>
      <c r="S113" s="54">
        <v>9</v>
      </c>
      <c r="T113" s="54">
        <v>4</v>
      </c>
      <c r="U113" s="54">
        <v>4</v>
      </c>
      <c r="V113" s="54">
        <v>1</v>
      </c>
      <c r="W113" s="54">
        <v>4</v>
      </c>
      <c r="X113" s="54">
        <v>3</v>
      </c>
      <c r="Y113" s="54">
        <v>3</v>
      </c>
      <c r="Z113" s="54">
        <v>7</v>
      </c>
      <c r="AA113" s="54">
        <v>8</v>
      </c>
      <c r="AB113" s="54">
        <v>5</v>
      </c>
      <c r="AC113" s="54">
        <v>4</v>
      </c>
      <c r="AD113" s="54">
        <v>5</v>
      </c>
      <c r="AE113" s="54">
        <v>4</v>
      </c>
      <c r="AF113" s="54">
        <v>9</v>
      </c>
      <c r="AG113" s="5">
        <f t="shared" si="17"/>
        <v>185</v>
      </c>
    </row>
    <row r="114" spans="1:37" ht="15.75" customHeight="1" x14ac:dyDescent="0.25">
      <c r="A114" s="78" t="s">
        <v>62</v>
      </c>
      <c r="B114" s="54">
        <v>9</v>
      </c>
      <c r="C114" s="54">
        <v>8</v>
      </c>
      <c r="D114" s="54">
        <v>6</v>
      </c>
      <c r="E114" s="54">
        <v>8</v>
      </c>
      <c r="F114" s="54">
        <v>7</v>
      </c>
      <c r="G114" s="54">
        <v>5</v>
      </c>
      <c r="H114" s="54">
        <v>3</v>
      </c>
      <c r="I114" s="54">
        <v>3</v>
      </c>
      <c r="J114" s="54">
        <v>5</v>
      </c>
      <c r="K114" s="54">
        <v>4</v>
      </c>
      <c r="L114" s="54">
        <v>4</v>
      </c>
      <c r="M114" s="54">
        <v>9</v>
      </c>
      <c r="N114" s="54">
        <v>8</v>
      </c>
      <c r="O114" s="54">
        <v>8</v>
      </c>
      <c r="P114" s="54">
        <v>8</v>
      </c>
      <c r="Q114" s="54">
        <v>7</v>
      </c>
      <c r="R114" s="54">
        <v>4</v>
      </c>
      <c r="S114" s="54">
        <v>9</v>
      </c>
      <c r="T114" s="54">
        <v>12</v>
      </c>
      <c r="U114" s="54">
        <v>7</v>
      </c>
      <c r="V114" s="54">
        <v>6</v>
      </c>
      <c r="W114" s="54">
        <v>10</v>
      </c>
      <c r="X114" s="54">
        <v>7</v>
      </c>
      <c r="Y114" s="54">
        <v>9</v>
      </c>
      <c r="Z114" s="54">
        <v>8</v>
      </c>
      <c r="AA114" s="54">
        <v>15</v>
      </c>
      <c r="AB114" s="54">
        <v>9</v>
      </c>
      <c r="AC114" s="54">
        <v>10</v>
      </c>
      <c r="AD114" s="54">
        <v>9</v>
      </c>
      <c r="AE114" s="54">
        <v>8</v>
      </c>
      <c r="AF114" s="54">
        <v>15</v>
      </c>
      <c r="AG114" s="5">
        <f t="shared" si="17"/>
        <v>240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38</v>
      </c>
      <c r="C116" s="20">
        <f t="shared" si="19"/>
        <v>30</v>
      </c>
      <c r="D116" s="20">
        <f t="shared" si="19"/>
        <v>37</v>
      </c>
      <c r="E116" s="20">
        <f t="shared" si="19"/>
        <v>49</v>
      </c>
      <c r="F116" s="20">
        <f t="shared" si="19"/>
        <v>46</v>
      </c>
      <c r="G116" s="20">
        <f t="shared" si="19"/>
        <v>54</v>
      </c>
      <c r="H116" s="20">
        <f t="shared" si="19"/>
        <v>25</v>
      </c>
      <c r="I116" s="20">
        <f t="shared" si="19"/>
        <v>39</v>
      </c>
      <c r="J116" s="20">
        <f t="shared" si="19"/>
        <v>31</v>
      </c>
      <c r="K116" s="20">
        <f t="shared" si="19"/>
        <v>37</v>
      </c>
      <c r="L116" s="20">
        <f t="shared" si="19"/>
        <v>54</v>
      </c>
      <c r="M116" s="20">
        <f t="shared" si="19"/>
        <v>35</v>
      </c>
      <c r="N116" s="20">
        <f t="shared" si="19"/>
        <v>50</v>
      </c>
      <c r="O116" s="20">
        <f t="shared" si="19"/>
        <v>47</v>
      </c>
      <c r="P116" s="20">
        <f t="shared" si="19"/>
        <v>39</v>
      </c>
      <c r="Q116" s="20">
        <f t="shared" si="19"/>
        <v>36</v>
      </c>
      <c r="R116" s="20">
        <f t="shared" si="19"/>
        <v>46</v>
      </c>
      <c r="S116" s="20">
        <f t="shared" si="19"/>
        <v>60</v>
      </c>
      <c r="T116" s="20">
        <f t="shared" si="19"/>
        <v>40</v>
      </c>
      <c r="U116" s="20">
        <f t="shared" si="19"/>
        <v>43</v>
      </c>
      <c r="V116" s="20">
        <f t="shared" si="19"/>
        <v>37</v>
      </c>
      <c r="W116" s="20">
        <f t="shared" si="19"/>
        <v>38</v>
      </c>
      <c r="X116" s="20">
        <f t="shared" si="19"/>
        <v>28</v>
      </c>
      <c r="Y116" s="20">
        <f t="shared" si="19"/>
        <v>28</v>
      </c>
      <c r="Z116" s="20">
        <f t="shared" si="19"/>
        <v>47</v>
      </c>
      <c r="AA116" s="20">
        <f t="shared" si="19"/>
        <v>54</v>
      </c>
      <c r="AB116" s="20">
        <f t="shared" si="19"/>
        <v>51</v>
      </c>
      <c r="AC116" s="20">
        <f t="shared" si="19"/>
        <v>50</v>
      </c>
      <c r="AD116" s="20">
        <f t="shared" si="19"/>
        <v>34</v>
      </c>
      <c r="AE116" s="20">
        <f t="shared" si="19"/>
        <v>40</v>
      </c>
      <c r="AF116" s="20">
        <f t="shared" si="19"/>
        <v>53</v>
      </c>
      <c r="AG116" s="5">
        <f t="shared" si="17"/>
        <v>1296</v>
      </c>
      <c r="AK116" s="84">
        <v>612</v>
      </c>
    </row>
    <row r="117" spans="1:37" ht="15.75" customHeight="1" x14ac:dyDescent="0.25">
      <c r="A117" s="85" t="s">
        <v>64</v>
      </c>
      <c r="B117" s="54">
        <v>32</v>
      </c>
      <c r="C117" s="54">
        <v>27</v>
      </c>
      <c r="D117" s="54">
        <v>30</v>
      </c>
      <c r="E117" s="54">
        <v>41</v>
      </c>
      <c r="F117" s="54">
        <v>40</v>
      </c>
      <c r="G117" s="54">
        <v>44</v>
      </c>
      <c r="H117" s="54">
        <v>20</v>
      </c>
      <c r="I117" s="54">
        <v>30</v>
      </c>
      <c r="J117" s="54">
        <v>25</v>
      </c>
      <c r="K117" s="54">
        <v>34</v>
      </c>
      <c r="L117" s="54">
        <v>43</v>
      </c>
      <c r="M117" s="54">
        <v>31</v>
      </c>
      <c r="N117" s="54">
        <v>43</v>
      </c>
      <c r="O117" s="54">
        <v>41</v>
      </c>
      <c r="P117" s="54">
        <v>37</v>
      </c>
      <c r="Q117" s="54">
        <v>27</v>
      </c>
      <c r="R117" s="54">
        <v>40</v>
      </c>
      <c r="S117" s="54">
        <v>53</v>
      </c>
      <c r="T117" s="54">
        <v>30</v>
      </c>
      <c r="U117" s="54">
        <v>34</v>
      </c>
      <c r="V117" s="54">
        <v>26</v>
      </c>
      <c r="W117" s="54">
        <v>34</v>
      </c>
      <c r="X117" s="54">
        <v>16</v>
      </c>
      <c r="Y117" s="54">
        <v>23</v>
      </c>
      <c r="Z117" s="54">
        <v>43</v>
      </c>
      <c r="AA117" s="54">
        <v>48</v>
      </c>
      <c r="AB117" s="54">
        <v>40</v>
      </c>
      <c r="AC117" s="54">
        <v>40</v>
      </c>
      <c r="AD117" s="54">
        <v>26</v>
      </c>
      <c r="AE117" s="54">
        <v>32</v>
      </c>
      <c r="AF117" s="54">
        <v>43</v>
      </c>
      <c r="AG117" s="5">
        <f t="shared" si="17"/>
        <v>1073</v>
      </c>
      <c r="AK117" s="84">
        <v>613</v>
      </c>
    </row>
    <row r="118" spans="1:37" ht="15.75" customHeight="1" thickBot="1" x14ac:dyDescent="0.3">
      <c r="A118" s="86" t="s">
        <v>76</v>
      </c>
      <c r="B118" s="87">
        <v>6</v>
      </c>
      <c r="C118" s="87">
        <v>3</v>
      </c>
      <c r="D118" s="87">
        <v>7</v>
      </c>
      <c r="E118" s="87">
        <v>8</v>
      </c>
      <c r="F118" s="87">
        <v>6</v>
      </c>
      <c r="G118" s="87">
        <v>10</v>
      </c>
      <c r="H118" s="87">
        <v>5</v>
      </c>
      <c r="I118" s="87">
        <v>9</v>
      </c>
      <c r="J118" s="87">
        <v>6</v>
      </c>
      <c r="K118" s="87">
        <v>3</v>
      </c>
      <c r="L118" s="87">
        <v>11</v>
      </c>
      <c r="M118" s="87">
        <v>4</v>
      </c>
      <c r="N118" s="87">
        <v>7</v>
      </c>
      <c r="O118" s="87">
        <v>6</v>
      </c>
      <c r="P118" s="87">
        <v>2</v>
      </c>
      <c r="Q118" s="87">
        <v>9</v>
      </c>
      <c r="R118" s="87">
        <v>6</v>
      </c>
      <c r="S118" s="87">
        <v>7</v>
      </c>
      <c r="T118" s="87">
        <v>10</v>
      </c>
      <c r="U118" s="87">
        <v>9</v>
      </c>
      <c r="V118" s="87">
        <v>11</v>
      </c>
      <c r="W118" s="87">
        <v>4</v>
      </c>
      <c r="X118" s="87">
        <v>12</v>
      </c>
      <c r="Y118" s="87">
        <v>5</v>
      </c>
      <c r="Z118" s="87">
        <v>4</v>
      </c>
      <c r="AA118" s="87">
        <v>6</v>
      </c>
      <c r="AB118" s="87">
        <v>11</v>
      </c>
      <c r="AC118" s="87">
        <v>10</v>
      </c>
      <c r="AD118" s="87">
        <v>8</v>
      </c>
      <c r="AE118" s="87">
        <v>8</v>
      </c>
      <c r="AF118" s="87">
        <v>10</v>
      </c>
      <c r="AG118" s="5">
        <f t="shared" si="17"/>
        <v>223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122</v>
      </c>
      <c r="C119" s="20">
        <f t="shared" si="20"/>
        <v>126</v>
      </c>
      <c r="D119" s="20">
        <f t="shared" si="20"/>
        <v>126</v>
      </c>
      <c r="E119" s="20">
        <f t="shared" si="20"/>
        <v>155</v>
      </c>
      <c r="F119" s="20">
        <f t="shared" si="20"/>
        <v>187</v>
      </c>
      <c r="G119" s="20">
        <f t="shared" si="20"/>
        <v>149</v>
      </c>
      <c r="H119" s="20">
        <f t="shared" si="20"/>
        <v>122</v>
      </c>
      <c r="I119" s="20">
        <f t="shared" si="20"/>
        <v>138</v>
      </c>
      <c r="J119" s="20">
        <f t="shared" si="20"/>
        <v>123</v>
      </c>
      <c r="K119" s="20">
        <f t="shared" si="20"/>
        <v>119</v>
      </c>
      <c r="L119" s="20">
        <f t="shared" si="20"/>
        <v>181</v>
      </c>
      <c r="M119" s="20">
        <f t="shared" si="20"/>
        <v>167</v>
      </c>
      <c r="N119" s="20">
        <f t="shared" si="20"/>
        <v>145</v>
      </c>
      <c r="O119" s="20">
        <f t="shared" si="20"/>
        <v>135</v>
      </c>
      <c r="P119" s="20">
        <f t="shared" si="20"/>
        <v>125</v>
      </c>
      <c r="Q119" s="20">
        <f t="shared" si="20"/>
        <v>128</v>
      </c>
      <c r="R119" s="20">
        <f t="shared" si="20"/>
        <v>122</v>
      </c>
      <c r="S119" s="20">
        <f t="shared" si="20"/>
        <v>176</v>
      </c>
      <c r="T119" s="20">
        <f t="shared" si="20"/>
        <v>187</v>
      </c>
      <c r="U119" s="20">
        <f t="shared" si="20"/>
        <v>141</v>
      </c>
      <c r="V119" s="20">
        <f t="shared" si="20"/>
        <v>129</v>
      </c>
      <c r="W119" s="20">
        <f t="shared" si="20"/>
        <v>126</v>
      </c>
      <c r="X119" s="20">
        <f t="shared" si="20"/>
        <v>128</v>
      </c>
      <c r="Y119" s="20">
        <f t="shared" si="20"/>
        <v>105</v>
      </c>
      <c r="Z119" s="20">
        <f t="shared" si="20"/>
        <v>186</v>
      </c>
      <c r="AA119" s="20">
        <f t="shared" si="20"/>
        <v>189</v>
      </c>
      <c r="AB119" s="20">
        <f t="shared" si="20"/>
        <v>132</v>
      </c>
      <c r="AC119" s="20">
        <f t="shared" si="20"/>
        <v>118</v>
      </c>
      <c r="AD119" s="20">
        <f t="shared" si="20"/>
        <v>124</v>
      </c>
      <c r="AE119" s="20">
        <f t="shared" si="20"/>
        <v>119</v>
      </c>
      <c r="AF119" s="20">
        <f t="shared" si="20"/>
        <v>189</v>
      </c>
      <c r="AG119" s="7">
        <f t="shared" si="17"/>
        <v>4419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29</v>
      </c>
      <c r="C120" s="54">
        <v>26</v>
      </c>
      <c r="D120" s="54">
        <v>30</v>
      </c>
      <c r="E120" s="54">
        <v>40</v>
      </c>
      <c r="F120" s="54">
        <v>40</v>
      </c>
      <c r="G120" s="54">
        <v>41</v>
      </c>
      <c r="H120" s="54">
        <v>18</v>
      </c>
      <c r="I120" s="54">
        <v>24</v>
      </c>
      <c r="J120" s="54">
        <v>23</v>
      </c>
      <c r="K120" s="54">
        <v>34</v>
      </c>
      <c r="L120" s="54">
        <v>43</v>
      </c>
      <c r="M120" s="54">
        <v>30</v>
      </c>
      <c r="N120" s="54">
        <v>39</v>
      </c>
      <c r="O120" s="54">
        <v>33</v>
      </c>
      <c r="P120" s="54">
        <v>37</v>
      </c>
      <c r="Q120" s="54">
        <v>27</v>
      </c>
      <c r="R120" s="54">
        <v>38</v>
      </c>
      <c r="S120" s="54">
        <v>50</v>
      </c>
      <c r="T120" s="54">
        <v>30</v>
      </c>
      <c r="U120" s="54">
        <v>32</v>
      </c>
      <c r="V120" s="54">
        <v>24</v>
      </c>
      <c r="W120" s="54">
        <v>32</v>
      </c>
      <c r="X120" s="54">
        <v>14</v>
      </c>
      <c r="Y120" s="54">
        <v>23</v>
      </c>
      <c r="Z120" s="54">
        <v>43</v>
      </c>
      <c r="AA120" s="54">
        <v>44</v>
      </c>
      <c r="AB120" s="54">
        <v>36</v>
      </c>
      <c r="AC120" s="54">
        <v>35</v>
      </c>
      <c r="AD120" s="54">
        <v>25</v>
      </c>
      <c r="AE120" s="54">
        <v>30</v>
      </c>
      <c r="AF120" s="54">
        <v>43</v>
      </c>
      <c r="AG120" s="5">
        <f t="shared" si="17"/>
        <v>1013</v>
      </c>
      <c r="AK120" s="88" t="s">
        <v>130</v>
      </c>
    </row>
    <row r="121" spans="1:37" ht="15.75" customHeight="1" x14ac:dyDescent="0.25">
      <c r="A121" s="85" t="s">
        <v>65</v>
      </c>
      <c r="B121" s="54">
        <v>3</v>
      </c>
      <c r="C121" s="54">
        <v>1</v>
      </c>
      <c r="D121" s="54">
        <v>1</v>
      </c>
      <c r="E121" s="54">
        <v>1</v>
      </c>
      <c r="F121" s="54">
        <v>2</v>
      </c>
      <c r="G121" s="54">
        <v>2</v>
      </c>
      <c r="H121" s="54">
        <v>4</v>
      </c>
      <c r="I121" s="54">
        <v>2</v>
      </c>
      <c r="J121" s="54">
        <v>2</v>
      </c>
      <c r="K121" s="54">
        <v>2</v>
      </c>
      <c r="L121" s="54">
        <v>1</v>
      </c>
      <c r="M121" s="54">
        <v>2</v>
      </c>
      <c r="N121" s="54">
        <v>4</v>
      </c>
      <c r="O121" s="54">
        <v>0</v>
      </c>
      <c r="P121" s="54">
        <v>4</v>
      </c>
      <c r="Q121" s="54">
        <v>4</v>
      </c>
      <c r="R121" s="54">
        <v>3</v>
      </c>
      <c r="S121" s="54">
        <v>4</v>
      </c>
      <c r="T121" s="54">
        <v>4</v>
      </c>
      <c r="U121" s="54">
        <v>0</v>
      </c>
      <c r="V121" s="54">
        <v>2</v>
      </c>
      <c r="W121" s="54">
        <v>5</v>
      </c>
      <c r="X121" s="54">
        <v>2</v>
      </c>
      <c r="Y121" s="54">
        <v>3</v>
      </c>
      <c r="Z121" s="54">
        <v>5</v>
      </c>
      <c r="AA121" s="54">
        <v>2</v>
      </c>
      <c r="AB121" s="54">
        <v>5</v>
      </c>
      <c r="AC121" s="54">
        <v>1</v>
      </c>
      <c r="AD121" s="54">
        <v>3</v>
      </c>
      <c r="AE121" s="54">
        <v>4</v>
      </c>
      <c r="AF121" s="54">
        <v>5</v>
      </c>
      <c r="AG121" s="5">
        <f t="shared" si="17"/>
        <v>83</v>
      </c>
      <c r="AK121" s="84" t="s">
        <v>131</v>
      </c>
    </row>
    <row r="122" spans="1:37" ht="15.75" customHeight="1" x14ac:dyDescent="0.25">
      <c r="A122" s="85" t="s">
        <v>66</v>
      </c>
      <c r="B122" s="54">
        <v>7</v>
      </c>
      <c r="C122" s="54">
        <v>10</v>
      </c>
      <c r="D122" s="54">
        <v>9</v>
      </c>
      <c r="E122" s="54">
        <v>10</v>
      </c>
      <c r="F122" s="54">
        <v>16</v>
      </c>
      <c r="G122" s="54">
        <v>8</v>
      </c>
      <c r="H122" s="54">
        <v>5</v>
      </c>
      <c r="I122" s="54">
        <v>8</v>
      </c>
      <c r="J122" s="54">
        <v>15</v>
      </c>
      <c r="K122" s="54">
        <v>9</v>
      </c>
      <c r="L122" s="54">
        <v>12</v>
      </c>
      <c r="M122" s="54">
        <v>9</v>
      </c>
      <c r="N122" s="54">
        <v>8</v>
      </c>
      <c r="O122" s="54">
        <v>7</v>
      </c>
      <c r="P122" s="54">
        <v>4</v>
      </c>
      <c r="Q122" s="54">
        <v>6</v>
      </c>
      <c r="R122" s="54">
        <v>7</v>
      </c>
      <c r="S122" s="54">
        <v>6</v>
      </c>
      <c r="T122" s="54">
        <v>6</v>
      </c>
      <c r="U122" s="54">
        <v>19</v>
      </c>
      <c r="V122" s="54">
        <v>8</v>
      </c>
      <c r="W122" s="54">
        <v>6</v>
      </c>
      <c r="X122" s="54">
        <v>5</v>
      </c>
      <c r="Y122" s="54">
        <v>5</v>
      </c>
      <c r="Z122" s="54">
        <v>9</v>
      </c>
      <c r="AA122" s="54">
        <v>10</v>
      </c>
      <c r="AB122" s="54">
        <v>5</v>
      </c>
      <c r="AC122" s="54">
        <v>6</v>
      </c>
      <c r="AD122" s="54">
        <v>3</v>
      </c>
      <c r="AE122" s="54">
        <v>7</v>
      </c>
      <c r="AF122" s="54">
        <v>5</v>
      </c>
      <c r="AG122" s="5">
        <f t="shared" si="17"/>
        <v>250</v>
      </c>
      <c r="AK122" s="88" t="s">
        <v>132</v>
      </c>
    </row>
    <row r="123" spans="1:37" ht="15.75" customHeight="1" x14ac:dyDescent="0.25">
      <c r="A123" s="85" t="s">
        <v>67</v>
      </c>
      <c r="B123" s="54">
        <v>5</v>
      </c>
      <c r="C123" s="54">
        <v>7</v>
      </c>
      <c r="D123" s="54">
        <v>4</v>
      </c>
      <c r="E123" s="54">
        <v>4</v>
      </c>
      <c r="F123" s="54">
        <v>13</v>
      </c>
      <c r="G123" s="54">
        <v>5</v>
      </c>
      <c r="H123" s="54">
        <v>3</v>
      </c>
      <c r="I123" s="54">
        <v>7</v>
      </c>
      <c r="J123" s="54">
        <v>2</v>
      </c>
      <c r="K123" s="54">
        <v>4</v>
      </c>
      <c r="L123" s="54">
        <v>5</v>
      </c>
      <c r="M123" s="54">
        <v>8</v>
      </c>
      <c r="N123" s="54">
        <v>5</v>
      </c>
      <c r="O123" s="54">
        <v>3</v>
      </c>
      <c r="P123" s="54">
        <v>7</v>
      </c>
      <c r="Q123" s="54">
        <v>2</v>
      </c>
      <c r="R123" s="54">
        <v>1</v>
      </c>
      <c r="S123" s="54">
        <v>4</v>
      </c>
      <c r="T123" s="54">
        <v>8</v>
      </c>
      <c r="U123" s="54">
        <v>4</v>
      </c>
      <c r="V123" s="54">
        <v>1</v>
      </c>
      <c r="W123" s="54">
        <v>6</v>
      </c>
      <c r="X123" s="54">
        <v>2</v>
      </c>
      <c r="Y123" s="54">
        <v>3</v>
      </c>
      <c r="Z123" s="54">
        <v>5</v>
      </c>
      <c r="AA123" s="54">
        <v>5</v>
      </c>
      <c r="AB123" s="54">
        <v>6</v>
      </c>
      <c r="AC123" s="54">
        <v>3</v>
      </c>
      <c r="AD123" s="54">
        <v>7</v>
      </c>
      <c r="AE123" s="54">
        <v>0</v>
      </c>
      <c r="AF123" s="54">
        <v>5</v>
      </c>
      <c r="AG123" s="5">
        <f t="shared" si="17"/>
        <v>144</v>
      </c>
      <c r="AK123" s="84" t="s">
        <v>133</v>
      </c>
    </row>
    <row r="124" spans="1:37" ht="15.75" customHeight="1" x14ac:dyDescent="0.25">
      <c r="A124" s="85" t="s">
        <v>68</v>
      </c>
      <c r="B124" s="54">
        <v>8</v>
      </c>
      <c r="C124" s="54">
        <v>7</v>
      </c>
      <c r="D124" s="54">
        <v>16</v>
      </c>
      <c r="E124" s="54">
        <v>9</v>
      </c>
      <c r="F124" s="54">
        <v>13</v>
      </c>
      <c r="G124" s="54">
        <v>16</v>
      </c>
      <c r="H124" s="54">
        <v>11</v>
      </c>
      <c r="I124" s="54">
        <v>7</v>
      </c>
      <c r="J124" s="54">
        <v>11</v>
      </c>
      <c r="K124" s="54">
        <v>7</v>
      </c>
      <c r="L124" s="54">
        <v>13</v>
      </c>
      <c r="M124" s="54">
        <v>7</v>
      </c>
      <c r="N124" s="54">
        <v>11</v>
      </c>
      <c r="O124" s="54">
        <v>8</v>
      </c>
      <c r="P124" s="54">
        <v>4</v>
      </c>
      <c r="Q124" s="54">
        <v>7</v>
      </c>
      <c r="R124" s="54">
        <v>15</v>
      </c>
      <c r="S124" s="54">
        <v>11</v>
      </c>
      <c r="T124" s="54">
        <v>14</v>
      </c>
      <c r="U124" s="54">
        <v>11</v>
      </c>
      <c r="V124" s="54">
        <v>5</v>
      </c>
      <c r="W124" s="54">
        <v>4</v>
      </c>
      <c r="X124" s="54">
        <v>15</v>
      </c>
      <c r="Y124" s="54">
        <v>6</v>
      </c>
      <c r="Z124" s="54">
        <v>8</v>
      </c>
      <c r="AA124" s="54">
        <v>16</v>
      </c>
      <c r="AB124" s="54">
        <v>4</v>
      </c>
      <c r="AC124" s="54">
        <v>9</v>
      </c>
      <c r="AD124" s="54">
        <v>14</v>
      </c>
      <c r="AE124" s="54">
        <v>7</v>
      </c>
      <c r="AF124" s="54">
        <v>17</v>
      </c>
      <c r="AG124" s="5">
        <f t="shared" si="17"/>
        <v>311</v>
      </c>
      <c r="AK124" s="88" t="s">
        <v>134</v>
      </c>
    </row>
    <row r="125" spans="1:37" ht="15.75" customHeight="1" x14ac:dyDescent="0.25">
      <c r="A125" s="85" t="s">
        <v>69</v>
      </c>
      <c r="B125" s="54">
        <v>51</v>
      </c>
      <c r="C125" s="54">
        <v>60</v>
      </c>
      <c r="D125" s="54">
        <v>51</v>
      </c>
      <c r="E125" s="54">
        <v>74</v>
      </c>
      <c r="F125" s="54">
        <v>77</v>
      </c>
      <c r="G125" s="54">
        <v>56</v>
      </c>
      <c r="H125" s="54">
        <v>60</v>
      </c>
      <c r="I125" s="54">
        <v>71</v>
      </c>
      <c r="J125" s="54">
        <v>55</v>
      </c>
      <c r="K125" s="54">
        <v>47</v>
      </c>
      <c r="L125" s="54">
        <v>82</v>
      </c>
      <c r="M125" s="54">
        <v>96</v>
      </c>
      <c r="N125" s="54">
        <v>61</v>
      </c>
      <c r="O125" s="54">
        <v>70</v>
      </c>
      <c r="P125" s="54">
        <v>59</v>
      </c>
      <c r="Q125" s="54">
        <v>64</v>
      </c>
      <c r="R125" s="54">
        <v>44</v>
      </c>
      <c r="S125" s="54">
        <v>83</v>
      </c>
      <c r="T125" s="54">
        <v>104</v>
      </c>
      <c r="U125" s="54">
        <v>55</v>
      </c>
      <c r="V125" s="54">
        <v>70</v>
      </c>
      <c r="W125" s="54">
        <v>63</v>
      </c>
      <c r="X125" s="54">
        <v>68</v>
      </c>
      <c r="Y125" s="54">
        <v>49</v>
      </c>
      <c r="Z125" s="54">
        <v>93</v>
      </c>
      <c r="AA125" s="54">
        <v>95</v>
      </c>
      <c r="AB125" s="54">
        <v>55</v>
      </c>
      <c r="AC125" s="54">
        <v>54</v>
      </c>
      <c r="AD125" s="54">
        <v>59</v>
      </c>
      <c r="AE125" s="54">
        <v>60</v>
      </c>
      <c r="AF125" s="54">
        <v>88</v>
      </c>
      <c r="AG125" s="5">
        <f t="shared" si="17"/>
        <v>2074</v>
      </c>
      <c r="AK125" s="88" t="s">
        <v>135</v>
      </c>
    </row>
    <row r="126" spans="1:37" ht="15.75" customHeight="1" x14ac:dyDescent="0.25">
      <c r="A126" s="85" t="s">
        <v>70</v>
      </c>
      <c r="B126" s="54">
        <v>3</v>
      </c>
      <c r="C126" s="54">
        <v>2</v>
      </c>
      <c r="D126" s="54">
        <v>0</v>
      </c>
      <c r="E126" s="54">
        <v>1</v>
      </c>
      <c r="F126" s="54">
        <v>6</v>
      </c>
      <c r="G126" s="54">
        <v>3</v>
      </c>
      <c r="H126" s="54">
        <v>0</v>
      </c>
      <c r="I126" s="54">
        <v>2</v>
      </c>
      <c r="J126" s="54">
        <v>4</v>
      </c>
      <c r="K126" s="54">
        <v>4</v>
      </c>
      <c r="L126" s="54">
        <v>3</v>
      </c>
      <c r="M126" s="54">
        <v>1</v>
      </c>
      <c r="N126" s="54">
        <v>4</v>
      </c>
      <c r="O126" s="54">
        <v>3</v>
      </c>
      <c r="P126" s="54">
        <v>0</v>
      </c>
      <c r="Q126" s="54">
        <v>3</v>
      </c>
      <c r="R126" s="54">
        <v>2</v>
      </c>
      <c r="S126" s="54">
        <v>2</v>
      </c>
      <c r="T126" s="54">
        <v>1</v>
      </c>
      <c r="U126" s="54">
        <v>5</v>
      </c>
      <c r="V126" s="54">
        <v>1</v>
      </c>
      <c r="W126" s="54">
        <v>0</v>
      </c>
      <c r="X126" s="54">
        <v>3</v>
      </c>
      <c r="Y126" s="54">
        <v>1</v>
      </c>
      <c r="Z126" s="54">
        <v>6</v>
      </c>
      <c r="AA126" s="54">
        <v>0</v>
      </c>
      <c r="AB126" s="54">
        <v>3</v>
      </c>
      <c r="AC126" s="54">
        <v>2</v>
      </c>
      <c r="AD126" s="54">
        <v>1</v>
      </c>
      <c r="AE126" s="54">
        <v>1</v>
      </c>
      <c r="AF126" s="54">
        <v>3</v>
      </c>
      <c r="AG126" s="5">
        <f t="shared" si="17"/>
        <v>70</v>
      </c>
      <c r="AK126" s="84" t="s">
        <v>136</v>
      </c>
    </row>
    <row r="127" spans="1:37" ht="15.75" customHeight="1" x14ac:dyDescent="0.25">
      <c r="A127" s="85" t="s">
        <v>71</v>
      </c>
      <c r="B127" s="54">
        <v>2</v>
      </c>
      <c r="C127" s="54">
        <v>0</v>
      </c>
      <c r="D127" s="54">
        <v>0</v>
      </c>
      <c r="E127" s="54">
        <v>4</v>
      </c>
      <c r="F127" s="54">
        <v>3</v>
      </c>
      <c r="G127" s="54">
        <v>2</v>
      </c>
      <c r="H127" s="54">
        <v>3</v>
      </c>
      <c r="I127" s="54">
        <v>1</v>
      </c>
      <c r="J127" s="54">
        <v>1</v>
      </c>
      <c r="K127" s="54">
        <v>2</v>
      </c>
      <c r="L127" s="54">
        <v>1</v>
      </c>
      <c r="M127" s="54">
        <v>2</v>
      </c>
      <c r="N127" s="54">
        <v>1</v>
      </c>
      <c r="O127" s="54">
        <v>1</v>
      </c>
      <c r="P127" s="54">
        <v>0</v>
      </c>
      <c r="Q127" s="54">
        <v>0</v>
      </c>
      <c r="R127" s="54">
        <v>1</v>
      </c>
      <c r="S127" s="54">
        <v>1</v>
      </c>
      <c r="T127" s="54">
        <v>1</v>
      </c>
      <c r="U127" s="54">
        <v>1</v>
      </c>
      <c r="V127" s="54">
        <v>1</v>
      </c>
      <c r="W127" s="54">
        <v>1</v>
      </c>
      <c r="X127" s="54">
        <v>0</v>
      </c>
      <c r="Y127" s="54">
        <v>0</v>
      </c>
      <c r="Z127" s="54">
        <v>2</v>
      </c>
      <c r="AA127" s="54">
        <v>2</v>
      </c>
      <c r="AB127" s="54">
        <v>1</v>
      </c>
      <c r="AC127" s="54">
        <v>0</v>
      </c>
      <c r="AD127" s="54">
        <v>0</v>
      </c>
      <c r="AE127" s="54">
        <v>1</v>
      </c>
      <c r="AF127" s="54">
        <v>1</v>
      </c>
      <c r="AG127" s="5">
        <f t="shared" si="17"/>
        <v>36</v>
      </c>
      <c r="AK127" s="88" t="s">
        <v>137</v>
      </c>
    </row>
    <row r="128" spans="1:37" ht="15.75" customHeight="1" x14ac:dyDescent="0.25">
      <c r="A128" s="56" t="s">
        <v>72</v>
      </c>
      <c r="B128" s="54">
        <v>1</v>
      </c>
      <c r="C128" s="54">
        <v>0</v>
      </c>
      <c r="D128" s="54">
        <v>0</v>
      </c>
      <c r="E128" s="54">
        <v>1</v>
      </c>
      <c r="F128" s="54">
        <v>2</v>
      </c>
      <c r="G128" s="54">
        <v>1</v>
      </c>
      <c r="H128" s="54">
        <v>0</v>
      </c>
      <c r="I128" s="54">
        <v>1</v>
      </c>
      <c r="J128" s="54">
        <v>0</v>
      </c>
      <c r="K128" s="54">
        <v>0</v>
      </c>
      <c r="L128" s="54">
        <v>1</v>
      </c>
      <c r="M128" s="54">
        <v>1</v>
      </c>
      <c r="N128" s="54">
        <v>0</v>
      </c>
      <c r="O128" s="54">
        <v>1</v>
      </c>
      <c r="P128" s="54">
        <v>1</v>
      </c>
      <c r="Q128" s="54">
        <v>1</v>
      </c>
      <c r="R128" s="54">
        <v>0</v>
      </c>
      <c r="S128" s="54">
        <v>3</v>
      </c>
      <c r="T128" s="54">
        <v>3</v>
      </c>
      <c r="U128" s="54">
        <v>1</v>
      </c>
      <c r="V128" s="54">
        <v>0</v>
      </c>
      <c r="W128" s="54">
        <v>1</v>
      </c>
      <c r="X128" s="54">
        <v>3</v>
      </c>
      <c r="Y128" s="54">
        <v>2</v>
      </c>
      <c r="Z128" s="54">
        <v>4</v>
      </c>
      <c r="AA128" s="54">
        <v>0</v>
      </c>
      <c r="AB128" s="54">
        <v>3</v>
      </c>
      <c r="AC128" s="54">
        <v>0</v>
      </c>
      <c r="AD128" s="54">
        <v>0</v>
      </c>
      <c r="AE128" s="54">
        <v>0</v>
      </c>
      <c r="AF128" s="54">
        <v>3</v>
      </c>
      <c r="AG128" s="5">
        <f t="shared" si="17"/>
        <v>34</v>
      </c>
      <c r="AK128" s="88" t="s">
        <v>138</v>
      </c>
    </row>
    <row r="129" spans="1:37" ht="15.75" customHeight="1" x14ac:dyDescent="0.25">
      <c r="A129" s="56" t="s">
        <v>73</v>
      </c>
      <c r="B129" s="54">
        <v>3</v>
      </c>
      <c r="C129" s="54">
        <v>2</v>
      </c>
      <c r="D129" s="54">
        <v>2</v>
      </c>
      <c r="E129" s="54">
        <v>0</v>
      </c>
      <c r="F129" s="54">
        <v>2</v>
      </c>
      <c r="G129" s="54">
        <v>1</v>
      </c>
      <c r="H129" s="54">
        <v>0</v>
      </c>
      <c r="I129" s="54">
        <v>1</v>
      </c>
      <c r="J129" s="54">
        <v>1</v>
      </c>
      <c r="K129" s="54">
        <v>2</v>
      </c>
      <c r="L129" s="54">
        <v>1</v>
      </c>
      <c r="M129" s="54">
        <v>3</v>
      </c>
      <c r="N129" s="54">
        <v>1</v>
      </c>
      <c r="O129" s="54">
        <v>0</v>
      </c>
      <c r="P129" s="54">
        <v>1</v>
      </c>
      <c r="Q129" s="54">
        <v>1</v>
      </c>
      <c r="R129" s="54">
        <v>1</v>
      </c>
      <c r="S129" s="54">
        <v>1</v>
      </c>
      <c r="T129" s="54">
        <v>1</v>
      </c>
      <c r="U129" s="54">
        <v>2</v>
      </c>
      <c r="V129" s="54">
        <v>2</v>
      </c>
      <c r="W129" s="54">
        <v>3</v>
      </c>
      <c r="X129" s="54">
        <v>2</v>
      </c>
      <c r="Y129" s="54">
        <v>3</v>
      </c>
      <c r="Z129" s="54">
        <v>0</v>
      </c>
      <c r="AA129" s="54">
        <v>2</v>
      </c>
      <c r="AB129" s="54">
        <v>1</v>
      </c>
      <c r="AC129" s="54">
        <v>0</v>
      </c>
      <c r="AD129" s="54">
        <v>1</v>
      </c>
      <c r="AE129" s="54">
        <v>0</v>
      </c>
      <c r="AF129" s="54">
        <v>2</v>
      </c>
      <c r="AG129" s="5">
        <f t="shared" si="17"/>
        <v>42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1</v>
      </c>
      <c r="D130" s="54">
        <v>2</v>
      </c>
      <c r="E130" s="54">
        <v>0</v>
      </c>
      <c r="F130" s="54">
        <v>0</v>
      </c>
      <c r="G130" s="54">
        <v>1</v>
      </c>
      <c r="H130" s="54">
        <v>0</v>
      </c>
      <c r="I130" s="54">
        <v>0</v>
      </c>
      <c r="J130" s="54">
        <v>0</v>
      </c>
      <c r="K130" s="54">
        <v>0</v>
      </c>
      <c r="L130" s="54">
        <v>0</v>
      </c>
      <c r="M130" s="54">
        <v>0</v>
      </c>
      <c r="N130" s="54">
        <v>1</v>
      </c>
      <c r="O130" s="54">
        <v>0</v>
      </c>
      <c r="P130" s="54">
        <v>1</v>
      </c>
      <c r="Q130" s="54">
        <v>0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4">
        <v>0</v>
      </c>
      <c r="X130" s="54">
        <v>0</v>
      </c>
      <c r="Y130" s="54">
        <v>1</v>
      </c>
      <c r="Z130" s="54">
        <v>0</v>
      </c>
      <c r="AA130" s="54">
        <v>0</v>
      </c>
      <c r="AB130" s="54">
        <v>0</v>
      </c>
      <c r="AC130" s="54">
        <v>0</v>
      </c>
      <c r="AD130" s="54">
        <v>0</v>
      </c>
      <c r="AE130" s="54">
        <v>0</v>
      </c>
      <c r="AF130" s="54">
        <v>0</v>
      </c>
      <c r="AG130" s="5">
        <f t="shared" si="17"/>
        <v>7</v>
      </c>
      <c r="AK130" s="84" t="s">
        <v>140</v>
      </c>
    </row>
    <row r="131" spans="1:37" ht="15.75" customHeight="1" x14ac:dyDescent="0.25">
      <c r="A131" s="85" t="s">
        <v>75</v>
      </c>
      <c r="B131" s="54">
        <v>6</v>
      </c>
      <c r="C131" s="54">
        <v>7</v>
      </c>
      <c r="D131" s="54">
        <v>5</v>
      </c>
      <c r="E131" s="54">
        <v>4</v>
      </c>
      <c r="F131" s="54">
        <v>7</v>
      </c>
      <c r="G131" s="54">
        <v>8</v>
      </c>
      <c r="H131" s="54">
        <v>13</v>
      </c>
      <c r="I131" s="54">
        <v>7</v>
      </c>
      <c r="J131" s="54">
        <v>5</v>
      </c>
      <c r="K131" s="54">
        <v>5</v>
      </c>
      <c r="L131" s="54">
        <v>8</v>
      </c>
      <c r="M131" s="54">
        <v>4</v>
      </c>
      <c r="N131" s="54">
        <v>4</v>
      </c>
      <c r="O131" s="54">
        <v>4</v>
      </c>
      <c r="P131" s="54">
        <v>6</v>
      </c>
      <c r="Q131" s="54">
        <v>4</v>
      </c>
      <c r="R131" s="54">
        <v>6</v>
      </c>
      <c r="S131" s="54">
        <v>6</v>
      </c>
      <c r="T131" s="54">
        <v>6</v>
      </c>
      <c r="U131" s="54">
        <v>3</v>
      </c>
      <c r="V131" s="54">
        <v>4</v>
      </c>
      <c r="W131" s="54">
        <v>2</v>
      </c>
      <c r="X131" s="54">
        <v>3</v>
      </c>
      <c r="Y131" s="54">
        <v>4</v>
      </c>
      <c r="Z131" s="54">
        <v>7</v>
      </c>
      <c r="AA131" s="54">
        <v>8</v>
      </c>
      <c r="AB131" s="54">
        <v>5</v>
      </c>
      <c r="AC131" s="54">
        <v>3</v>
      </c>
      <c r="AD131" s="54">
        <v>3</v>
      </c>
      <c r="AE131" s="54">
        <v>2</v>
      </c>
      <c r="AF131" s="54">
        <v>7</v>
      </c>
      <c r="AG131" s="5">
        <f t="shared" si="17"/>
        <v>166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4</v>
      </c>
      <c r="C132" s="87">
        <v>3</v>
      </c>
      <c r="D132" s="87">
        <v>6</v>
      </c>
      <c r="E132" s="87">
        <v>7</v>
      </c>
      <c r="F132" s="87">
        <v>6</v>
      </c>
      <c r="G132" s="87">
        <v>5</v>
      </c>
      <c r="H132" s="87">
        <v>5</v>
      </c>
      <c r="I132" s="87">
        <v>7</v>
      </c>
      <c r="J132" s="87">
        <v>4</v>
      </c>
      <c r="K132" s="87">
        <v>3</v>
      </c>
      <c r="L132" s="87">
        <v>11</v>
      </c>
      <c r="M132" s="87">
        <v>4</v>
      </c>
      <c r="N132" s="87">
        <v>6</v>
      </c>
      <c r="O132" s="87">
        <v>5</v>
      </c>
      <c r="P132" s="87">
        <v>1</v>
      </c>
      <c r="Q132" s="87">
        <v>9</v>
      </c>
      <c r="R132" s="87">
        <v>4</v>
      </c>
      <c r="S132" s="87">
        <v>5</v>
      </c>
      <c r="T132" s="87">
        <v>9</v>
      </c>
      <c r="U132" s="87">
        <v>8</v>
      </c>
      <c r="V132" s="87">
        <v>11</v>
      </c>
      <c r="W132" s="87">
        <v>3</v>
      </c>
      <c r="X132" s="87">
        <v>11</v>
      </c>
      <c r="Y132" s="87">
        <v>5</v>
      </c>
      <c r="Z132" s="87">
        <v>4</v>
      </c>
      <c r="AA132" s="87">
        <v>5</v>
      </c>
      <c r="AB132" s="87">
        <v>8</v>
      </c>
      <c r="AC132" s="87">
        <v>5</v>
      </c>
      <c r="AD132" s="87">
        <v>8</v>
      </c>
      <c r="AE132" s="87">
        <v>7</v>
      </c>
      <c r="AF132" s="87">
        <v>10</v>
      </c>
      <c r="AG132" s="9">
        <f t="shared" si="17"/>
        <v>189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122</v>
      </c>
      <c r="C133" s="14">
        <f t="shared" si="21"/>
        <v>126</v>
      </c>
      <c r="D133" s="14">
        <f t="shared" si="21"/>
        <v>126</v>
      </c>
      <c r="E133" s="14">
        <f t="shared" si="21"/>
        <v>155</v>
      </c>
      <c r="F133" s="14">
        <f t="shared" si="21"/>
        <v>187</v>
      </c>
      <c r="G133" s="14">
        <f t="shared" si="21"/>
        <v>149</v>
      </c>
      <c r="H133" s="14">
        <f t="shared" si="21"/>
        <v>122</v>
      </c>
      <c r="I133" s="14">
        <f t="shared" si="21"/>
        <v>138</v>
      </c>
      <c r="J133" s="14">
        <f t="shared" si="21"/>
        <v>123</v>
      </c>
      <c r="K133" s="14">
        <f t="shared" si="21"/>
        <v>119</v>
      </c>
      <c r="L133" s="14">
        <f t="shared" si="21"/>
        <v>181</v>
      </c>
      <c r="M133" s="14">
        <f t="shared" si="21"/>
        <v>167</v>
      </c>
      <c r="N133" s="14">
        <f t="shared" si="21"/>
        <v>145</v>
      </c>
      <c r="O133" s="14">
        <f t="shared" si="21"/>
        <v>135</v>
      </c>
      <c r="P133" s="14">
        <f t="shared" si="21"/>
        <v>125</v>
      </c>
      <c r="Q133" s="14">
        <f t="shared" si="21"/>
        <v>128</v>
      </c>
      <c r="R133" s="14">
        <f t="shared" si="21"/>
        <v>122</v>
      </c>
      <c r="S133" s="14">
        <f t="shared" si="21"/>
        <v>176</v>
      </c>
      <c r="T133" s="14">
        <f t="shared" si="21"/>
        <v>187</v>
      </c>
      <c r="U133" s="14">
        <f t="shared" si="21"/>
        <v>141</v>
      </c>
      <c r="V133" s="14">
        <f t="shared" si="21"/>
        <v>129</v>
      </c>
      <c r="W133" s="14">
        <f t="shared" si="21"/>
        <v>126</v>
      </c>
      <c r="X133" s="14">
        <f t="shared" si="21"/>
        <v>128</v>
      </c>
      <c r="Y133" s="14">
        <f t="shared" si="21"/>
        <v>105</v>
      </c>
      <c r="Z133" s="14">
        <f t="shared" si="21"/>
        <v>186</v>
      </c>
      <c r="AA133" s="14">
        <f t="shared" si="21"/>
        <v>189</v>
      </c>
      <c r="AB133" s="14">
        <f t="shared" si="21"/>
        <v>132</v>
      </c>
      <c r="AC133" s="14">
        <f t="shared" si="21"/>
        <v>118</v>
      </c>
      <c r="AD133" s="14">
        <f t="shared" si="21"/>
        <v>124</v>
      </c>
      <c r="AE133" s="14">
        <f t="shared" si="21"/>
        <v>119</v>
      </c>
      <c r="AF133" s="14">
        <f t="shared" si="21"/>
        <v>189</v>
      </c>
      <c r="AG133" s="10">
        <f t="shared" si="17"/>
        <v>4419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20</v>
      </c>
      <c r="C134" s="22">
        <f t="shared" si="22"/>
        <v>3</v>
      </c>
      <c r="D134" s="22">
        <f t="shared" si="22"/>
        <v>7</v>
      </c>
      <c r="E134" s="22">
        <f t="shared" si="22"/>
        <v>3</v>
      </c>
      <c r="F134" s="22">
        <f t="shared" si="22"/>
        <v>2</v>
      </c>
      <c r="G134" s="22">
        <f t="shared" si="22"/>
        <v>21</v>
      </c>
      <c r="H134" s="22">
        <f t="shared" si="22"/>
        <v>7</v>
      </c>
      <c r="I134" s="22">
        <f t="shared" si="22"/>
        <v>13</v>
      </c>
      <c r="J134" s="22">
        <f t="shared" si="22"/>
        <v>8</v>
      </c>
      <c r="K134" s="22">
        <f t="shared" si="22"/>
        <v>5</v>
      </c>
      <c r="L134" s="22">
        <f t="shared" si="22"/>
        <v>3</v>
      </c>
      <c r="M134" s="22">
        <f t="shared" si="22"/>
        <v>7</v>
      </c>
      <c r="N134" s="22">
        <f t="shared" si="22"/>
        <v>16</v>
      </c>
      <c r="O134" s="22">
        <f t="shared" si="22"/>
        <v>17</v>
      </c>
      <c r="P134" s="22">
        <f t="shared" si="22"/>
        <v>9</v>
      </c>
      <c r="Q134" s="22">
        <f t="shared" si="22"/>
        <v>1</v>
      </c>
      <c r="R134" s="22">
        <f t="shared" si="22"/>
        <v>9</v>
      </c>
      <c r="S134" s="22">
        <f t="shared" si="22"/>
        <v>11</v>
      </c>
      <c r="T134" s="22">
        <f t="shared" si="22"/>
        <v>5</v>
      </c>
      <c r="U134" s="22">
        <f t="shared" si="22"/>
        <v>6</v>
      </c>
      <c r="V134" s="22">
        <f t="shared" si="22"/>
        <v>10</v>
      </c>
      <c r="W134" s="22">
        <f t="shared" si="22"/>
        <v>12</v>
      </c>
      <c r="X134" s="22">
        <f t="shared" si="22"/>
        <v>17</v>
      </c>
      <c r="Y134" s="22">
        <f t="shared" si="22"/>
        <v>3</v>
      </c>
      <c r="Z134" s="22">
        <f t="shared" si="22"/>
        <v>2</v>
      </c>
      <c r="AA134" s="22">
        <f t="shared" si="22"/>
        <v>24</v>
      </c>
      <c r="AB134" s="22">
        <f t="shared" si="22"/>
        <v>20</v>
      </c>
      <c r="AC134" s="22">
        <f t="shared" si="22"/>
        <v>30</v>
      </c>
      <c r="AD134" s="22">
        <f t="shared" si="22"/>
        <v>6</v>
      </c>
      <c r="AE134" s="22">
        <f t="shared" si="22"/>
        <v>10</v>
      </c>
      <c r="AF134" s="22">
        <f t="shared" si="22"/>
        <v>0</v>
      </c>
      <c r="AG134" s="23">
        <f t="shared" si="17"/>
        <v>307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1</v>
      </c>
      <c r="E135" s="1">
        <f t="shared" si="23"/>
        <v>0</v>
      </c>
      <c r="F135" s="1">
        <f t="shared" si="23"/>
        <v>3</v>
      </c>
      <c r="G135" s="1">
        <f t="shared" si="23"/>
        <v>0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1</v>
      </c>
      <c r="M135" s="1">
        <f t="shared" si="23"/>
        <v>1</v>
      </c>
      <c r="N135" s="1">
        <f t="shared" si="23"/>
        <v>1</v>
      </c>
      <c r="O135" s="1">
        <f t="shared" si="23"/>
        <v>0</v>
      </c>
      <c r="P135" s="1">
        <f t="shared" si="23"/>
        <v>2</v>
      </c>
      <c r="Q135" s="1">
        <f t="shared" si="23"/>
        <v>0</v>
      </c>
      <c r="R135" s="1">
        <f t="shared" si="23"/>
        <v>0</v>
      </c>
      <c r="S135" s="1">
        <f t="shared" si="23"/>
        <v>1</v>
      </c>
      <c r="T135" s="1">
        <f t="shared" si="23"/>
        <v>0</v>
      </c>
      <c r="U135" s="1">
        <f t="shared" si="23"/>
        <v>0</v>
      </c>
      <c r="V135" s="1">
        <f t="shared" si="23"/>
        <v>0</v>
      </c>
      <c r="W135" s="1">
        <f t="shared" si="23"/>
        <v>0</v>
      </c>
      <c r="X135" s="1">
        <f t="shared" si="23"/>
        <v>1</v>
      </c>
      <c r="Y135" s="1">
        <f t="shared" si="23"/>
        <v>0</v>
      </c>
      <c r="Z135" s="1">
        <f t="shared" si="23"/>
        <v>1</v>
      </c>
      <c r="AA135" s="1">
        <f t="shared" si="23"/>
        <v>1</v>
      </c>
      <c r="AB135" s="1">
        <f t="shared" si="23"/>
        <v>0</v>
      </c>
      <c r="AC135" s="1">
        <f t="shared" si="23"/>
        <v>1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14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0</v>
      </c>
      <c r="D136" s="91">
        <v>1</v>
      </c>
      <c r="E136" s="91">
        <v>0</v>
      </c>
      <c r="F136" s="91">
        <v>3</v>
      </c>
      <c r="G136" s="91">
        <v>0</v>
      </c>
      <c r="H136" s="91">
        <v>0</v>
      </c>
      <c r="I136" s="91">
        <v>0</v>
      </c>
      <c r="J136" s="91">
        <v>0</v>
      </c>
      <c r="K136" s="91">
        <v>0</v>
      </c>
      <c r="L136" s="91">
        <v>1</v>
      </c>
      <c r="M136" s="91">
        <v>1</v>
      </c>
      <c r="N136" s="91">
        <v>1</v>
      </c>
      <c r="O136" s="91">
        <v>0</v>
      </c>
      <c r="P136" s="91">
        <v>2</v>
      </c>
      <c r="Q136" s="91">
        <v>0</v>
      </c>
      <c r="R136" s="91">
        <v>0</v>
      </c>
      <c r="S136" s="91">
        <v>1</v>
      </c>
      <c r="T136" s="91">
        <v>0</v>
      </c>
      <c r="U136" s="91">
        <v>0</v>
      </c>
      <c r="V136" s="91">
        <v>0</v>
      </c>
      <c r="W136" s="91">
        <v>0</v>
      </c>
      <c r="X136" s="91">
        <v>1</v>
      </c>
      <c r="Y136" s="91">
        <v>0</v>
      </c>
      <c r="Z136" s="91">
        <v>1</v>
      </c>
      <c r="AA136" s="91">
        <v>1</v>
      </c>
      <c r="AB136" s="91">
        <v>0</v>
      </c>
      <c r="AC136" s="91">
        <v>1</v>
      </c>
      <c r="AD136" s="91">
        <v>0</v>
      </c>
      <c r="AE136" s="91">
        <v>0</v>
      </c>
      <c r="AF136" s="91">
        <v>0</v>
      </c>
      <c r="AG136" s="28">
        <f t="shared" si="17"/>
        <v>14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3</v>
      </c>
      <c r="C139" s="31">
        <f t="shared" si="24"/>
        <v>4</v>
      </c>
      <c r="D139" s="31">
        <f t="shared" si="24"/>
        <v>7</v>
      </c>
      <c r="E139" s="31">
        <f t="shared" si="24"/>
        <v>5</v>
      </c>
      <c r="F139" s="31">
        <f t="shared" si="24"/>
        <v>10</v>
      </c>
      <c r="G139" s="31">
        <f t="shared" si="24"/>
        <v>3</v>
      </c>
      <c r="H139" s="31">
        <f t="shared" si="24"/>
        <v>5</v>
      </c>
      <c r="I139" s="31">
        <f t="shared" si="24"/>
        <v>3</v>
      </c>
      <c r="J139" s="31">
        <f t="shared" si="24"/>
        <v>2</v>
      </c>
      <c r="K139" s="31">
        <f t="shared" si="24"/>
        <v>4</v>
      </c>
      <c r="L139" s="31">
        <f t="shared" si="24"/>
        <v>3</v>
      </c>
      <c r="M139" s="31">
        <f t="shared" si="24"/>
        <v>1</v>
      </c>
      <c r="N139" s="31">
        <f t="shared" si="24"/>
        <v>1</v>
      </c>
      <c r="O139" s="31">
        <f t="shared" si="24"/>
        <v>1</v>
      </c>
      <c r="P139" s="31">
        <f t="shared" si="24"/>
        <v>7</v>
      </c>
      <c r="Q139" s="31">
        <f t="shared" si="24"/>
        <v>4</v>
      </c>
      <c r="R139" s="31">
        <f t="shared" si="24"/>
        <v>6</v>
      </c>
      <c r="S139" s="31">
        <f t="shared" si="24"/>
        <v>7</v>
      </c>
      <c r="T139" s="31">
        <f t="shared" si="24"/>
        <v>1</v>
      </c>
      <c r="U139" s="31">
        <f t="shared" si="24"/>
        <v>4</v>
      </c>
      <c r="V139" s="31">
        <f t="shared" si="24"/>
        <v>4</v>
      </c>
      <c r="W139" s="31">
        <f t="shared" si="24"/>
        <v>1</v>
      </c>
      <c r="X139" s="31">
        <f t="shared" si="24"/>
        <v>0</v>
      </c>
      <c r="Y139" s="31">
        <f t="shared" si="24"/>
        <v>1</v>
      </c>
      <c r="Z139" s="31">
        <f t="shared" si="24"/>
        <v>6</v>
      </c>
      <c r="AA139" s="31">
        <f t="shared" si="24"/>
        <v>5</v>
      </c>
      <c r="AB139" s="31">
        <f t="shared" si="24"/>
        <v>2</v>
      </c>
      <c r="AC139" s="31">
        <f t="shared" si="24"/>
        <v>3</v>
      </c>
      <c r="AD139" s="31">
        <f t="shared" si="24"/>
        <v>3</v>
      </c>
      <c r="AE139" s="31">
        <f t="shared" si="24"/>
        <v>5</v>
      </c>
      <c r="AF139" s="31">
        <f t="shared" si="24"/>
        <v>7</v>
      </c>
      <c r="AG139" s="32">
        <f t="shared" si="17"/>
        <v>118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0</v>
      </c>
      <c r="E140" s="97">
        <v>0</v>
      </c>
      <c r="F140" s="97">
        <v>1</v>
      </c>
      <c r="G140" s="97">
        <v>0</v>
      </c>
      <c r="H140" s="97">
        <v>0</v>
      </c>
      <c r="I140" s="97">
        <v>1</v>
      </c>
      <c r="J140" s="97">
        <v>0</v>
      </c>
      <c r="K140" s="97">
        <v>0</v>
      </c>
      <c r="L140" s="97">
        <v>1</v>
      </c>
      <c r="M140" s="97">
        <v>0</v>
      </c>
      <c r="N140" s="97">
        <v>0</v>
      </c>
      <c r="O140" s="97">
        <v>0</v>
      </c>
      <c r="P140" s="97">
        <v>0</v>
      </c>
      <c r="Q140" s="97">
        <v>1</v>
      </c>
      <c r="R140" s="97">
        <v>1</v>
      </c>
      <c r="S140" s="97">
        <v>3</v>
      </c>
      <c r="T140" s="97">
        <v>0</v>
      </c>
      <c r="U140" s="97">
        <v>1</v>
      </c>
      <c r="V140" s="97">
        <v>0</v>
      </c>
      <c r="W140" s="97">
        <v>0</v>
      </c>
      <c r="X140" s="97">
        <v>0</v>
      </c>
      <c r="Y140" s="97">
        <v>0</v>
      </c>
      <c r="Z140" s="97">
        <v>1</v>
      </c>
      <c r="AA140" s="97">
        <v>0</v>
      </c>
      <c r="AB140" s="97">
        <v>0</v>
      </c>
      <c r="AC140" s="97">
        <v>1</v>
      </c>
      <c r="AD140" s="97">
        <v>0</v>
      </c>
      <c r="AE140" s="97">
        <v>0</v>
      </c>
      <c r="AF140" s="97">
        <v>0</v>
      </c>
      <c r="AG140" s="33">
        <f t="shared" si="17"/>
        <v>11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3</v>
      </c>
      <c r="C141" s="98">
        <v>4</v>
      </c>
      <c r="D141" s="98">
        <v>7</v>
      </c>
      <c r="E141" s="98">
        <v>5</v>
      </c>
      <c r="F141" s="98">
        <v>9</v>
      </c>
      <c r="G141" s="98">
        <v>3</v>
      </c>
      <c r="H141" s="98">
        <v>5</v>
      </c>
      <c r="I141" s="98">
        <v>2</v>
      </c>
      <c r="J141" s="98">
        <v>2</v>
      </c>
      <c r="K141" s="98">
        <v>4</v>
      </c>
      <c r="L141" s="98">
        <v>2</v>
      </c>
      <c r="M141" s="98">
        <v>1</v>
      </c>
      <c r="N141" s="98">
        <v>1</v>
      </c>
      <c r="O141" s="98">
        <v>1</v>
      </c>
      <c r="P141" s="98">
        <v>7</v>
      </c>
      <c r="Q141" s="98">
        <v>3</v>
      </c>
      <c r="R141" s="98">
        <v>5</v>
      </c>
      <c r="S141" s="98">
        <v>4</v>
      </c>
      <c r="T141" s="98">
        <v>1</v>
      </c>
      <c r="U141" s="98">
        <v>3</v>
      </c>
      <c r="V141" s="98">
        <v>4</v>
      </c>
      <c r="W141" s="98">
        <v>1</v>
      </c>
      <c r="X141" s="98">
        <v>0</v>
      </c>
      <c r="Y141" s="98">
        <v>1</v>
      </c>
      <c r="Z141" s="98">
        <v>5</v>
      </c>
      <c r="AA141" s="98">
        <v>5</v>
      </c>
      <c r="AB141" s="98">
        <v>2</v>
      </c>
      <c r="AC141" s="98">
        <v>2</v>
      </c>
      <c r="AD141" s="98">
        <v>3</v>
      </c>
      <c r="AE141" s="98">
        <v>5</v>
      </c>
      <c r="AF141" s="98">
        <v>7</v>
      </c>
      <c r="AG141" s="34">
        <f t="shared" si="17"/>
        <v>107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37</v>
      </c>
      <c r="C144" s="37">
        <f t="shared" si="25"/>
        <v>36</v>
      </c>
      <c r="D144" s="37">
        <f t="shared" si="25"/>
        <v>39</v>
      </c>
      <c r="E144" s="37">
        <f t="shared" si="25"/>
        <v>40</v>
      </c>
      <c r="F144" s="37">
        <f t="shared" si="25"/>
        <v>44</v>
      </c>
      <c r="G144" s="37">
        <f t="shared" si="25"/>
        <v>65</v>
      </c>
      <c r="H144" s="37">
        <f t="shared" si="25"/>
        <v>33</v>
      </c>
      <c r="I144" s="37">
        <f t="shared" si="25"/>
        <v>42</v>
      </c>
      <c r="J144" s="37">
        <f t="shared" si="25"/>
        <v>36</v>
      </c>
      <c r="K144" s="37">
        <f t="shared" si="25"/>
        <v>34</v>
      </c>
      <c r="L144" s="37">
        <f t="shared" si="25"/>
        <v>57</v>
      </c>
      <c r="M144" s="37">
        <f t="shared" si="25"/>
        <v>65</v>
      </c>
      <c r="N144" s="37">
        <f t="shared" si="25"/>
        <v>63</v>
      </c>
      <c r="O144" s="37">
        <f t="shared" si="25"/>
        <v>41</v>
      </c>
      <c r="P144" s="37">
        <f t="shared" si="25"/>
        <v>52</v>
      </c>
      <c r="Q144" s="37">
        <f t="shared" si="25"/>
        <v>37</v>
      </c>
      <c r="R144" s="37">
        <f t="shared" si="25"/>
        <v>33</v>
      </c>
      <c r="S144" s="37">
        <f t="shared" si="25"/>
        <v>50</v>
      </c>
      <c r="T144" s="37">
        <f t="shared" si="25"/>
        <v>47</v>
      </c>
      <c r="U144" s="37">
        <f t="shared" si="25"/>
        <v>52</v>
      </c>
      <c r="V144" s="37">
        <f t="shared" si="25"/>
        <v>42</v>
      </c>
      <c r="W144" s="37">
        <f t="shared" si="25"/>
        <v>40</v>
      </c>
      <c r="X144" s="37">
        <f t="shared" si="25"/>
        <v>41</v>
      </c>
      <c r="Y144" s="37">
        <f t="shared" si="25"/>
        <v>30</v>
      </c>
      <c r="Z144" s="37">
        <f t="shared" si="25"/>
        <v>57</v>
      </c>
      <c r="AA144" s="37">
        <f t="shared" si="25"/>
        <v>54</v>
      </c>
      <c r="AB144" s="37">
        <f t="shared" si="25"/>
        <v>43</v>
      </c>
      <c r="AC144" s="37">
        <f t="shared" si="25"/>
        <v>43</v>
      </c>
      <c r="AD144" s="37">
        <f t="shared" si="25"/>
        <v>32</v>
      </c>
      <c r="AE144" s="37">
        <f t="shared" si="25"/>
        <v>38</v>
      </c>
      <c r="AF144" s="37">
        <f t="shared" si="25"/>
        <v>51</v>
      </c>
      <c r="AG144" s="24">
        <f t="shared" si="17"/>
        <v>1374</v>
      </c>
      <c r="AK144" s="84" t="s">
        <v>154</v>
      </c>
    </row>
    <row r="145" spans="1:37" ht="15.75" customHeight="1" x14ac:dyDescent="0.25">
      <c r="A145" s="104" t="s">
        <v>91</v>
      </c>
      <c r="B145" s="105">
        <v>0</v>
      </c>
      <c r="C145" s="105">
        <v>4</v>
      </c>
      <c r="D145" s="105">
        <v>4</v>
      </c>
      <c r="E145" s="105">
        <v>0</v>
      </c>
      <c r="F145" s="105">
        <v>2</v>
      </c>
      <c r="G145" s="105">
        <v>2</v>
      </c>
      <c r="H145" s="105">
        <v>0</v>
      </c>
      <c r="I145" s="105">
        <v>0</v>
      </c>
      <c r="J145" s="105">
        <v>1</v>
      </c>
      <c r="K145" s="105">
        <v>4</v>
      </c>
      <c r="L145" s="105">
        <v>2</v>
      </c>
      <c r="M145" s="105">
        <v>4</v>
      </c>
      <c r="N145" s="105">
        <v>0</v>
      </c>
      <c r="O145" s="105">
        <v>2</v>
      </c>
      <c r="P145" s="105">
        <v>0</v>
      </c>
      <c r="Q145" s="105">
        <v>1</v>
      </c>
      <c r="R145" s="105">
        <v>1</v>
      </c>
      <c r="S145" s="105">
        <v>0</v>
      </c>
      <c r="T145" s="105">
        <v>3</v>
      </c>
      <c r="U145" s="105">
        <v>2</v>
      </c>
      <c r="V145" s="105">
        <v>1</v>
      </c>
      <c r="W145" s="105">
        <v>1</v>
      </c>
      <c r="X145" s="105">
        <v>1</v>
      </c>
      <c r="Y145" s="105">
        <v>1</v>
      </c>
      <c r="Z145" s="105">
        <v>1</v>
      </c>
      <c r="AA145" s="105">
        <v>1</v>
      </c>
      <c r="AB145" s="105">
        <v>1</v>
      </c>
      <c r="AC145" s="105">
        <v>2</v>
      </c>
      <c r="AD145" s="105">
        <v>1</v>
      </c>
      <c r="AE145" s="105">
        <v>2</v>
      </c>
      <c r="AF145" s="105">
        <v>4</v>
      </c>
      <c r="AG145" s="38">
        <f t="shared" si="17"/>
        <v>48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0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33</v>
      </c>
      <c r="C149" s="108">
        <v>29</v>
      </c>
      <c r="D149" s="108">
        <v>34</v>
      </c>
      <c r="E149" s="108">
        <v>39</v>
      </c>
      <c r="F149" s="108">
        <v>40</v>
      </c>
      <c r="G149" s="108">
        <v>63</v>
      </c>
      <c r="H149" s="108">
        <v>33</v>
      </c>
      <c r="I149" s="108">
        <v>37</v>
      </c>
      <c r="J149" s="108">
        <v>30</v>
      </c>
      <c r="K149" s="108">
        <v>28</v>
      </c>
      <c r="L149" s="108">
        <v>54</v>
      </c>
      <c r="M149" s="108">
        <v>61</v>
      </c>
      <c r="N149" s="108">
        <v>60</v>
      </c>
      <c r="O149" s="108">
        <v>34</v>
      </c>
      <c r="P149" s="108">
        <v>49</v>
      </c>
      <c r="Q149" s="108">
        <v>33</v>
      </c>
      <c r="R149" s="108">
        <v>31</v>
      </c>
      <c r="S149" s="108">
        <v>49</v>
      </c>
      <c r="T149" s="108">
        <v>42</v>
      </c>
      <c r="U149" s="108">
        <v>50</v>
      </c>
      <c r="V149" s="108">
        <v>36</v>
      </c>
      <c r="W149" s="108">
        <v>37</v>
      </c>
      <c r="X149" s="108">
        <v>38</v>
      </c>
      <c r="Y149" s="108">
        <v>25</v>
      </c>
      <c r="Z149" s="108">
        <v>53</v>
      </c>
      <c r="AA149" s="108">
        <v>52</v>
      </c>
      <c r="AB149" s="108">
        <v>39</v>
      </c>
      <c r="AC149" s="108">
        <v>39</v>
      </c>
      <c r="AD149" s="108">
        <v>26</v>
      </c>
      <c r="AE149" s="108">
        <v>36</v>
      </c>
      <c r="AF149" s="108">
        <v>43</v>
      </c>
      <c r="AG149" s="39">
        <f t="shared" si="17"/>
        <v>1253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0</v>
      </c>
      <c r="AK153" s="109" t="s">
        <v>126</v>
      </c>
    </row>
    <row r="154" spans="1:37" ht="15.75" customHeight="1" x14ac:dyDescent="0.25">
      <c r="A154" s="76" t="s">
        <v>100</v>
      </c>
      <c r="B154" s="77">
        <v>3</v>
      </c>
      <c r="C154" s="77">
        <v>3</v>
      </c>
      <c r="D154" s="77">
        <v>1</v>
      </c>
      <c r="E154" s="77">
        <v>0</v>
      </c>
      <c r="F154" s="77">
        <v>0</v>
      </c>
      <c r="G154" s="77">
        <v>0</v>
      </c>
      <c r="H154" s="77">
        <v>0</v>
      </c>
      <c r="I154" s="77">
        <v>2</v>
      </c>
      <c r="J154" s="77">
        <v>3</v>
      </c>
      <c r="K154" s="77">
        <v>1</v>
      </c>
      <c r="L154" s="77">
        <v>0</v>
      </c>
      <c r="M154" s="77">
        <v>0</v>
      </c>
      <c r="N154" s="77">
        <v>1</v>
      </c>
      <c r="O154" s="77">
        <v>2</v>
      </c>
      <c r="P154" s="77">
        <v>2</v>
      </c>
      <c r="Q154" s="77">
        <v>2</v>
      </c>
      <c r="R154" s="77">
        <v>1</v>
      </c>
      <c r="S154" s="77">
        <v>0</v>
      </c>
      <c r="T154" s="77">
        <v>0</v>
      </c>
      <c r="U154" s="77">
        <v>0</v>
      </c>
      <c r="V154" s="77">
        <v>3</v>
      </c>
      <c r="W154" s="77">
        <v>0</v>
      </c>
      <c r="X154" s="77">
        <v>0</v>
      </c>
      <c r="Y154" s="77">
        <v>4</v>
      </c>
      <c r="Z154" s="77">
        <v>0</v>
      </c>
      <c r="AA154" s="77">
        <v>0</v>
      </c>
      <c r="AB154" s="77">
        <v>0</v>
      </c>
      <c r="AC154" s="77">
        <v>1</v>
      </c>
      <c r="AD154" s="77">
        <v>1</v>
      </c>
      <c r="AE154" s="77">
        <v>0</v>
      </c>
      <c r="AF154" s="77">
        <v>0</v>
      </c>
      <c r="AG154" s="5">
        <f t="shared" si="17"/>
        <v>30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0</v>
      </c>
      <c r="C158" s="111">
        <v>0</v>
      </c>
      <c r="D158" s="111">
        <v>0</v>
      </c>
      <c r="E158" s="111">
        <v>1</v>
      </c>
      <c r="F158" s="111">
        <v>1</v>
      </c>
      <c r="G158" s="111">
        <v>0</v>
      </c>
      <c r="H158" s="111">
        <v>0</v>
      </c>
      <c r="I158" s="111">
        <v>1</v>
      </c>
      <c r="J158" s="111">
        <v>0</v>
      </c>
      <c r="K158" s="111">
        <v>0</v>
      </c>
      <c r="L158" s="111">
        <v>0</v>
      </c>
      <c r="M158" s="111">
        <v>0</v>
      </c>
      <c r="N158" s="111">
        <v>2</v>
      </c>
      <c r="O158" s="111">
        <v>0</v>
      </c>
      <c r="P158" s="111">
        <v>0</v>
      </c>
      <c r="Q158" s="111">
        <v>1</v>
      </c>
      <c r="R158" s="111">
        <v>0</v>
      </c>
      <c r="S158" s="111">
        <v>1</v>
      </c>
      <c r="T158" s="111">
        <v>1</v>
      </c>
      <c r="U158" s="111">
        <v>0</v>
      </c>
      <c r="V158" s="111">
        <v>2</v>
      </c>
      <c r="W158" s="111">
        <v>1</v>
      </c>
      <c r="X158" s="111">
        <v>0</v>
      </c>
      <c r="Y158" s="111">
        <v>0</v>
      </c>
      <c r="Z158" s="111">
        <v>2</v>
      </c>
      <c r="AA158" s="111">
        <v>1</v>
      </c>
      <c r="AB158" s="111">
        <v>3</v>
      </c>
      <c r="AC158" s="111">
        <v>0</v>
      </c>
      <c r="AD158" s="111">
        <v>4</v>
      </c>
      <c r="AE158" s="111">
        <v>0</v>
      </c>
      <c r="AF158" s="111">
        <v>3</v>
      </c>
      <c r="AG158" s="40">
        <f t="shared" si="17"/>
        <v>24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1</v>
      </c>
      <c r="G167" s="77">
        <v>0</v>
      </c>
      <c r="H167" s="77">
        <v>0</v>
      </c>
      <c r="I167" s="77">
        <v>0</v>
      </c>
      <c r="J167" s="77">
        <v>1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26"/>
        <v>2</v>
      </c>
    </row>
    <row r="168" spans="1:34" ht="15.75" customHeight="1" x14ac:dyDescent="0.25">
      <c r="A168" s="76" t="s">
        <v>114</v>
      </c>
      <c r="B168" s="113">
        <v>1</v>
      </c>
      <c r="C168" s="113">
        <v>0</v>
      </c>
      <c r="D168" s="113">
        <v>0</v>
      </c>
      <c r="E168" s="113">
        <v>0</v>
      </c>
      <c r="F168" s="113">
        <v>0</v>
      </c>
      <c r="G168" s="113">
        <v>0</v>
      </c>
      <c r="H168" s="113">
        <v>0</v>
      </c>
      <c r="I168" s="113">
        <v>1</v>
      </c>
      <c r="J168" s="113">
        <v>0</v>
      </c>
      <c r="K168" s="113">
        <v>1</v>
      </c>
      <c r="L168" s="113">
        <v>1</v>
      </c>
      <c r="M168" s="113">
        <v>0</v>
      </c>
      <c r="N168" s="113">
        <v>0</v>
      </c>
      <c r="O168" s="113">
        <v>3</v>
      </c>
      <c r="P168" s="113">
        <v>1</v>
      </c>
      <c r="Q168" s="113">
        <v>0</v>
      </c>
      <c r="R168" s="113">
        <v>0</v>
      </c>
      <c r="S168" s="113">
        <v>0</v>
      </c>
      <c r="T168" s="113">
        <v>1</v>
      </c>
      <c r="U168" s="113">
        <v>0</v>
      </c>
      <c r="V168" s="113">
        <v>0</v>
      </c>
      <c r="W168" s="113">
        <v>1</v>
      </c>
      <c r="X168" s="113">
        <v>2</v>
      </c>
      <c r="Y168" s="113">
        <v>0</v>
      </c>
      <c r="Z168" s="113">
        <v>1</v>
      </c>
      <c r="AA168" s="113">
        <v>0</v>
      </c>
      <c r="AB168" s="113">
        <v>0</v>
      </c>
      <c r="AC168" s="113">
        <v>0</v>
      </c>
      <c r="AD168" s="113">
        <v>0</v>
      </c>
      <c r="AE168" s="113">
        <v>0</v>
      </c>
      <c r="AF168" s="113">
        <v>0</v>
      </c>
      <c r="AG168" s="5">
        <f t="shared" si="26"/>
        <v>13</v>
      </c>
    </row>
    <row r="169" spans="1:34" ht="15.75" customHeight="1" x14ac:dyDescent="0.25">
      <c r="A169" s="114" t="s">
        <v>115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1</v>
      </c>
      <c r="J169" s="113">
        <v>1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1</v>
      </c>
      <c r="AD169" s="113">
        <v>0</v>
      </c>
      <c r="AE169" s="113">
        <v>0</v>
      </c>
      <c r="AF169" s="113">
        <v>1</v>
      </c>
      <c r="AG169" s="5">
        <f t="shared" si="26"/>
        <v>4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122</v>
      </c>
      <c r="C171" s="41">
        <f t="shared" si="27"/>
        <v>126</v>
      </c>
      <c r="D171" s="41">
        <f t="shared" si="27"/>
        <v>126</v>
      </c>
      <c r="E171" s="41">
        <f t="shared" si="27"/>
        <v>155</v>
      </c>
      <c r="F171" s="41">
        <f t="shared" si="27"/>
        <v>187</v>
      </c>
      <c r="G171" s="41">
        <f t="shared" si="27"/>
        <v>149</v>
      </c>
      <c r="H171" s="41">
        <f t="shared" si="27"/>
        <v>122</v>
      </c>
      <c r="I171" s="41">
        <f t="shared" si="27"/>
        <v>138</v>
      </c>
      <c r="J171" s="41">
        <f t="shared" si="27"/>
        <v>123</v>
      </c>
      <c r="K171" s="41">
        <f t="shared" si="27"/>
        <v>119</v>
      </c>
      <c r="L171" s="41">
        <f t="shared" si="27"/>
        <v>181</v>
      </c>
      <c r="M171" s="41">
        <f t="shared" si="27"/>
        <v>167</v>
      </c>
      <c r="N171" s="41">
        <f t="shared" si="27"/>
        <v>145</v>
      </c>
      <c r="O171" s="41">
        <f t="shared" si="27"/>
        <v>135</v>
      </c>
      <c r="P171" s="41">
        <f t="shared" si="27"/>
        <v>125</v>
      </c>
      <c r="Q171" s="41">
        <f t="shared" si="27"/>
        <v>128</v>
      </c>
      <c r="R171" s="41">
        <f t="shared" si="27"/>
        <v>122</v>
      </c>
      <c r="S171" s="41">
        <f t="shared" si="27"/>
        <v>176</v>
      </c>
      <c r="T171" s="41">
        <f t="shared" si="27"/>
        <v>187</v>
      </c>
      <c r="U171" s="41">
        <f t="shared" si="27"/>
        <v>141</v>
      </c>
      <c r="V171" s="41">
        <f t="shared" si="27"/>
        <v>129</v>
      </c>
      <c r="W171" s="41">
        <f t="shared" si="27"/>
        <v>126</v>
      </c>
      <c r="X171" s="41">
        <f t="shared" si="27"/>
        <v>128</v>
      </c>
      <c r="Y171" s="41">
        <f t="shared" si="27"/>
        <v>105</v>
      </c>
      <c r="Z171" s="41">
        <f t="shared" si="27"/>
        <v>186</v>
      </c>
      <c r="AA171" s="41">
        <f t="shared" si="27"/>
        <v>189</v>
      </c>
      <c r="AB171" s="41">
        <f t="shared" si="27"/>
        <v>132</v>
      </c>
      <c r="AC171" s="41">
        <f t="shared" si="27"/>
        <v>118</v>
      </c>
      <c r="AD171" s="41">
        <f t="shared" si="27"/>
        <v>124</v>
      </c>
      <c r="AE171" s="41">
        <f t="shared" si="27"/>
        <v>119</v>
      </c>
      <c r="AF171" s="41">
        <f t="shared" si="27"/>
        <v>189</v>
      </c>
      <c r="AG171" s="42">
        <f t="shared" si="26"/>
        <v>4419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1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1</v>
      </c>
    </row>
    <row r="173" spans="1:34" ht="15.75" customHeight="1" x14ac:dyDescent="0.25">
      <c r="A173" s="119" t="s">
        <v>37</v>
      </c>
      <c r="B173" s="120">
        <v>0</v>
      </c>
      <c r="C173" s="120">
        <v>2</v>
      </c>
      <c r="D173" s="120">
        <v>4</v>
      </c>
      <c r="E173" s="120">
        <v>0</v>
      </c>
      <c r="F173" s="120">
        <v>2</v>
      </c>
      <c r="G173" s="120">
        <v>1</v>
      </c>
      <c r="H173" s="120">
        <v>2</v>
      </c>
      <c r="I173" s="120">
        <v>2</v>
      </c>
      <c r="J173" s="120">
        <v>0</v>
      </c>
      <c r="K173" s="120">
        <v>1</v>
      </c>
      <c r="L173" s="120">
        <v>1</v>
      </c>
      <c r="M173" s="120">
        <v>2</v>
      </c>
      <c r="N173" s="120">
        <v>0</v>
      </c>
      <c r="O173" s="120">
        <v>1</v>
      </c>
      <c r="P173" s="120">
        <v>1</v>
      </c>
      <c r="Q173" s="120">
        <v>1</v>
      </c>
      <c r="R173" s="120">
        <v>2</v>
      </c>
      <c r="S173" s="120">
        <v>4</v>
      </c>
      <c r="T173" s="120">
        <v>2</v>
      </c>
      <c r="U173" s="120">
        <v>0</v>
      </c>
      <c r="V173" s="120">
        <v>0</v>
      </c>
      <c r="W173" s="120">
        <v>2</v>
      </c>
      <c r="X173" s="120">
        <v>1</v>
      </c>
      <c r="Y173" s="120">
        <v>2</v>
      </c>
      <c r="Z173" s="120">
        <v>2</v>
      </c>
      <c r="AA173" s="120">
        <v>5</v>
      </c>
      <c r="AB173" s="120">
        <v>0</v>
      </c>
      <c r="AC173" s="120">
        <v>3</v>
      </c>
      <c r="AD173" s="120">
        <v>1</v>
      </c>
      <c r="AE173" s="120">
        <v>4</v>
      </c>
      <c r="AF173" s="120">
        <v>1</v>
      </c>
      <c r="AG173" s="44">
        <f t="shared" si="26"/>
        <v>49</v>
      </c>
    </row>
    <row r="174" spans="1:34" ht="15.75" customHeight="1" x14ac:dyDescent="0.25">
      <c r="A174" s="119" t="s">
        <v>38</v>
      </c>
      <c r="B174" s="120">
        <v>11</v>
      </c>
      <c r="C174" s="120">
        <v>18</v>
      </c>
      <c r="D174" s="120">
        <v>23</v>
      </c>
      <c r="E174" s="120">
        <v>14</v>
      </c>
      <c r="F174" s="120">
        <v>19</v>
      </c>
      <c r="G174" s="120">
        <v>34</v>
      </c>
      <c r="H174" s="120">
        <v>13</v>
      </c>
      <c r="I174" s="120">
        <v>30</v>
      </c>
      <c r="J174" s="120">
        <v>26</v>
      </c>
      <c r="K174" s="120">
        <v>16</v>
      </c>
      <c r="L174" s="120">
        <v>17</v>
      </c>
      <c r="M174" s="120">
        <v>23</v>
      </c>
      <c r="N174" s="120">
        <v>20</v>
      </c>
      <c r="O174" s="120">
        <v>18</v>
      </c>
      <c r="P174" s="120">
        <v>20</v>
      </c>
      <c r="Q174" s="120">
        <v>7</v>
      </c>
      <c r="R174" s="120">
        <v>19</v>
      </c>
      <c r="S174" s="120">
        <v>23</v>
      </c>
      <c r="T174" s="120">
        <v>23</v>
      </c>
      <c r="U174" s="120">
        <v>15</v>
      </c>
      <c r="V174" s="120">
        <v>19</v>
      </c>
      <c r="W174" s="120">
        <v>21</v>
      </c>
      <c r="X174" s="120">
        <v>23</v>
      </c>
      <c r="Y174" s="120">
        <v>13</v>
      </c>
      <c r="Z174" s="120">
        <v>16</v>
      </c>
      <c r="AA174" s="120">
        <v>28</v>
      </c>
      <c r="AB174" s="120">
        <v>23</v>
      </c>
      <c r="AC174" s="120">
        <v>28</v>
      </c>
      <c r="AD174" s="120">
        <v>25</v>
      </c>
      <c r="AE174" s="120">
        <v>25</v>
      </c>
      <c r="AF174" s="120">
        <v>20</v>
      </c>
      <c r="AG174" s="44">
        <f t="shared" si="26"/>
        <v>630</v>
      </c>
    </row>
    <row r="175" spans="1:34" ht="15.75" customHeight="1" x14ac:dyDescent="0.25">
      <c r="A175" s="119" t="s">
        <v>39</v>
      </c>
      <c r="B175" s="120">
        <v>109</v>
      </c>
      <c r="C175" s="120">
        <v>97</v>
      </c>
      <c r="D175" s="120">
        <v>92</v>
      </c>
      <c r="E175" s="120">
        <v>135</v>
      </c>
      <c r="F175" s="120">
        <v>145</v>
      </c>
      <c r="G175" s="120">
        <v>109</v>
      </c>
      <c r="H175" s="120">
        <v>94</v>
      </c>
      <c r="I175" s="120">
        <v>97</v>
      </c>
      <c r="J175" s="120">
        <v>95</v>
      </c>
      <c r="K175" s="120">
        <v>90</v>
      </c>
      <c r="L175" s="120">
        <v>136</v>
      </c>
      <c r="M175" s="120">
        <v>138</v>
      </c>
      <c r="N175" s="120">
        <v>118</v>
      </c>
      <c r="O175" s="120">
        <v>102</v>
      </c>
      <c r="P175" s="120">
        <v>98</v>
      </c>
      <c r="Q175" s="120">
        <v>114</v>
      </c>
      <c r="R175" s="120">
        <v>91</v>
      </c>
      <c r="S175" s="120">
        <v>111</v>
      </c>
      <c r="T175" s="120">
        <v>141</v>
      </c>
      <c r="U175" s="120">
        <v>120</v>
      </c>
      <c r="V175" s="120">
        <v>103</v>
      </c>
      <c r="W175" s="120">
        <v>79</v>
      </c>
      <c r="X175" s="120">
        <v>89</v>
      </c>
      <c r="Y175" s="120">
        <v>68</v>
      </c>
      <c r="Z175" s="120">
        <v>141</v>
      </c>
      <c r="AA175" s="120">
        <v>131</v>
      </c>
      <c r="AB175" s="120">
        <v>103</v>
      </c>
      <c r="AC175" s="120">
        <v>77</v>
      </c>
      <c r="AD175" s="120">
        <v>75</v>
      </c>
      <c r="AE175" s="120">
        <v>82</v>
      </c>
      <c r="AF175" s="120">
        <v>117</v>
      </c>
      <c r="AG175" s="44">
        <f t="shared" si="26"/>
        <v>3297</v>
      </c>
    </row>
    <row r="176" spans="1:34" ht="15.75" customHeight="1" thickBot="1" x14ac:dyDescent="0.3">
      <c r="A176" s="121" t="s">
        <v>40</v>
      </c>
      <c r="B176" s="122">
        <v>2</v>
      </c>
      <c r="C176" s="122">
        <v>9</v>
      </c>
      <c r="D176" s="122">
        <v>7</v>
      </c>
      <c r="E176" s="122">
        <v>6</v>
      </c>
      <c r="F176" s="122">
        <v>20</v>
      </c>
      <c r="G176" s="122">
        <v>5</v>
      </c>
      <c r="H176" s="122">
        <v>13</v>
      </c>
      <c r="I176" s="122">
        <v>9</v>
      </c>
      <c r="J176" s="122">
        <v>2</v>
      </c>
      <c r="K176" s="122">
        <v>12</v>
      </c>
      <c r="L176" s="122">
        <v>27</v>
      </c>
      <c r="M176" s="122">
        <v>4</v>
      </c>
      <c r="N176" s="122">
        <v>7</v>
      </c>
      <c r="O176" s="122">
        <v>14</v>
      </c>
      <c r="P176" s="122">
        <v>6</v>
      </c>
      <c r="Q176" s="122">
        <v>6</v>
      </c>
      <c r="R176" s="122">
        <v>10</v>
      </c>
      <c r="S176" s="122">
        <v>38</v>
      </c>
      <c r="T176" s="122">
        <v>21</v>
      </c>
      <c r="U176" s="122">
        <v>6</v>
      </c>
      <c r="V176" s="122">
        <v>7</v>
      </c>
      <c r="W176" s="122">
        <v>24</v>
      </c>
      <c r="X176" s="122">
        <v>15</v>
      </c>
      <c r="Y176" s="122">
        <v>22</v>
      </c>
      <c r="Z176" s="122">
        <v>27</v>
      </c>
      <c r="AA176" s="122">
        <v>25</v>
      </c>
      <c r="AB176" s="122">
        <v>6</v>
      </c>
      <c r="AC176" s="122">
        <v>10</v>
      </c>
      <c r="AD176" s="122">
        <v>23</v>
      </c>
      <c r="AE176" s="122">
        <v>8</v>
      </c>
      <c r="AF176" s="122">
        <v>51</v>
      </c>
      <c r="AG176" s="45">
        <f t="shared" si="26"/>
        <v>442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8" priority="3" operator="lessThan">
      <formula>0</formula>
    </cfRule>
  </conditionalFormatting>
  <conditionalFormatting sqref="AH171">
    <cfRule type="cellIs" dxfId="7" priority="2" operator="equal">
      <formula>"X"</formula>
    </cfRule>
  </conditionalFormatting>
  <conditionalFormatting sqref="AH1:AH1048576">
    <cfRule type="cellIs" dxfId="6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3821CDC1-BEB6-4402-86D7-482C09EF3D3A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A327A-0897-475F-98F7-80C59865219C}">
  <sheetPr codeName="Hoja33"/>
  <dimension ref="A1:AK954"/>
  <sheetViews>
    <sheetView zoomScale="80" zoomScaleNormal="80" workbookViewId="0">
      <pane xSplit="1" ySplit="3" topLeftCell="E4" activePane="bottomRight" state="frozen"/>
      <selection activeCell="Q5" sqref="Q5"/>
      <selection pane="topRight" activeCell="Q5" sqref="Q5"/>
      <selection pane="bottomLeft" activeCell="Q5" sqref="Q5"/>
      <selection pane="bottomRight" activeCell="AE5" sqref="AE5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183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177</v>
      </c>
      <c r="C3" s="1">
        <f t="shared" si="1"/>
        <v>200</v>
      </c>
      <c r="D3" s="1">
        <f t="shared" si="1"/>
        <v>166</v>
      </c>
      <c r="E3" s="1">
        <f t="shared" si="1"/>
        <v>151</v>
      </c>
      <c r="F3" s="1">
        <f t="shared" si="1"/>
        <v>147</v>
      </c>
      <c r="G3" s="1">
        <f t="shared" si="1"/>
        <v>121</v>
      </c>
      <c r="H3" s="1">
        <f t="shared" si="1"/>
        <v>132</v>
      </c>
      <c r="I3" s="1">
        <f t="shared" si="1"/>
        <v>180</v>
      </c>
      <c r="J3" s="1">
        <f t="shared" si="1"/>
        <v>201</v>
      </c>
      <c r="K3" s="1">
        <f t="shared" si="1"/>
        <v>161</v>
      </c>
      <c r="L3" s="1">
        <f t="shared" si="1"/>
        <v>148</v>
      </c>
      <c r="M3" s="1">
        <f t="shared" si="1"/>
        <v>149</v>
      </c>
      <c r="N3" s="1">
        <f t="shared" si="1"/>
        <v>123</v>
      </c>
      <c r="O3" s="1">
        <f t="shared" si="1"/>
        <v>129</v>
      </c>
      <c r="P3" s="1">
        <f t="shared" si="1"/>
        <v>183</v>
      </c>
      <c r="Q3" s="1">
        <f t="shared" si="1"/>
        <v>185</v>
      </c>
      <c r="R3" s="1">
        <f t="shared" si="1"/>
        <v>161</v>
      </c>
      <c r="S3" s="1">
        <f t="shared" si="1"/>
        <v>165</v>
      </c>
      <c r="T3" s="1">
        <f t="shared" si="1"/>
        <v>136</v>
      </c>
      <c r="U3" s="1">
        <f t="shared" si="1"/>
        <v>157</v>
      </c>
      <c r="V3" s="1">
        <f t="shared" si="1"/>
        <v>133</v>
      </c>
      <c r="W3" s="1">
        <f t="shared" si="1"/>
        <v>213</v>
      </c>
      <c r="X3" s="1">
        <f t="shared" si="1"/>
        <v>230</v>
      </c>
      <c r="Y3" s="1">
        <f t="shared" si="1"/>
        <v>180</v>
      </c>
      <c r="Z3" s="1">
        <f t="shared" si="1"/>
        <v>156</v>
      </c>
      <c r="AA3" s="1">
        <f t="shared" si="1"/>
        <v>149</v>
      </c>
      <c r="AB3" s="1">
        <f t="shared" si="1"/>
        <v>138</v>
      </c>
      <c r="AC3" s="1">
        <f t="shared" si="1"/>
        <v>137</v>
      </c>
      <c r="AD3" s="1">
        <f t="shared" si="1"/>
        <v>195</v>
      </c>
      <c r="AE3" s="1">
        <f t="shared" si="1"/>
        <v>182</v>
      </c>
      <c r="AF3" s="1">
        <f t="shared" si="1"/>
        <v>0</v>
      </c>
      <c r="AG3" s="2">
        <f t="shared" ref="AG3:AG66" si="2">SUM(B3:AF3)</f>
        <v>4885</v>
      </c>
    </row>
    <row r="4" spans="1:33" ht="18.75" x14ac:dyDescent="0.25">
      <c r="A4" s="53" t="s">
        <v>2</v>
      </c>
      <c r="B4" s="54">
        <v>8</v>
      </c>
      <c r="C4" s="55">
        <v>10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4</v>
      </c>
      <c r="J4" s="55">
        <v>8</v>
      </c>
      <c r="K4" s="55">
        <v>0</v>
      </c>
      <c r="L4" s="55">
        <v>0</v>
      </c>
      <c r="M4" s="55">
        <v>0</v>
      </c>
      <c r="N4" s="55">
        <v>0</v>
      </c>
      <c r="O4" s="55">
        <v>0</v>
      </c>
      <c r="P4" s="55">
        <v>10</v>
      </c>
      <c r="Q4" s="55">
        <v>2</v>
      </c>
      <c r="R4" s="55">
        <v>0</v>
      </c>
      <c r="S4" s="55">
        <v>0</v>
      </c>
      <c r="T4" s="55">
        <v>0</v>
      </c>
      <c r="U4" s="55">
        <v>0</v>
      </c>
      <c r="V4" s="55">
        <v>0</v>
      </c>
      <c r="W4" s="55">
        <v>14</v>
      </c>
      <c r="X4" s="55">
        <v>6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7</v>
      </c>
      <c r="AE4" s="55">
        <v>4</v>
      </c>
      <c r="AF4" s="55"/>
      <c r="AG4" s="4">
        <f t="shared" si="2"/>
        <v>73</v>
      </c>
    </row>
    <row r="5" spans="1:33" ht="18.75" x14ac:dyDescent="0.25">
      <c r="A5" s="56" t="s">
        <v>3</v>
      </c>
      <c r="B5" s="54">
        <v>10</v>
      </c>
      <c r="C5" s="54">
        <v>9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21</v>
      </c>
      <c r="J5" s="54">
        <v>14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8</v>
      </c>
      <c r="Q5" s="54">
        <v>8</v>
      </c>
      <c r="R5" s="54">
        <v>0</v>
      </c>
      <c r="S5" s="54">
        <v>0</v>
      </c>
      <c r="T5" s="54">
        <v>0</v>
      </c>
      <c r="U5" s="54">
        <v>0</v>
      </c>
      <c r="V5" s="54">
        <v>0</v>
      </c>
      <c r="W5" s="54">
        <v>12</v>
      </c>
      <c r="X5" s="54">
        <v>13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11</v>
      </c>
      <c r="AE5" s="54">
        <v>12</v>
      </c>
      <c r="AF5" s="54"/>
      <c r="AG5" s="5">
        <f t="shared" si="2"/>
        <v>118</v>
      </c>
    </row>
    <row r="6" spans="1:33" ht="18.75" x14ac:dyDescent="0.25">
      <c r="A6" s="56" t="s">
        <v>4</v>
      </c>
      <c r="B6" s="54">
        <v>16</v>
      </c>
      <c r="C6" s="54">
        <v>18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18</v>
      </c>
      <c r="J6" s="54">
        <v>17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14</v>
      </c>
      <c r="Q6" s="54">
        <v>17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12</v>
      </c>
      <c r="X6" s="54">
        <v>15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14</v>
      </c>
      <c r="AE6" s="54">
        <v>13</v>
      </c>
      <c r="AF6" s="54"/>
      <c r="AG6" s="5">
        <f t="shared" si="2"/>
        <v>154</v>
      </c>
    </row>
    <row r="7" spans="1:33" ht="18.75" x14ac:dyDescent="0.25">
      <c r="A7" s="56" t="s">
        <v>5</v>
      </c>
      <c r="B7" s="54">
        <v>20</v>
      </c>
      <c r="C7" s="54">
        <v>20</v>
      </c>
      <c r="D7" s="54">
        <v>0</v>
      </c>
      <c r="E7" s="54">
        <v>0</v>
      </c>
      <c r="F7" s="54">
        <v>0</v>
      </c>
      <c r="G7" s="54">
        <v>0</v>
      </c>
      <c r="H7" s="54">
        <v>0</v>
      </c>
      <c r="I7" s="54">
        <v>10</v>
      </c>
      <c r="J7" s="54">
        <v>11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14</v>
      </c>
      <c r="Q7" s="54">
        <v>11</v>
      </c>
      <c r="R7" s="54">
        <v>0</v>
      </c>
      <c r="S7" s="54">
        <v>0</v>
      </c>
      <c r="T7" s="54">
        <v>0</v>
      </c>
      <c r="U7" s="54">
        <v>0</v>
      </c>
      <c r="V7" s="54">
        <v>0</v>
      </c>
      <c r="W7" s="54">
        <v>12</v>
      </c>
      <c r="X7" s="54">
        <v>25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13</v>
      </c>
      <c r="AE7" s="54">
        <v>13</v>
      </c>
      <c r="AF7" s="54"/>
      <c r="AG7" s="5">
        <f t="shared" si="2"/>
        <v>149</v>
      </c>
    </row>
    <row r="8" spans="1:33" ht="18.75" x14ac:dyDescent="0.25">
      <c r="A8" s="56" t="s">
        <v>6</v>
      </c>
      <c r="B8" s="54">
        <v>5</v>
      </c>
      <c r="C8" s="54">
        <v>20</v>
      </c>
      <c r="D8" s="54">
        <v>0</v>
      </c>
      <c r="E8" s="54">
        <v>0</v>
      </c>
      <c r="F8" s="54">
        <v>0</v>
      </c>
      <c r="G8" s="54">
        <v>0</v>
      </c>
      <c r="H8" s="54">
        <v>0</v>
      </c>
      <c r="I8" s="54">
        <v>6</v>
      </c>
      <c r="J8" s="54">
        <v>17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15</v>
      </c>
      <c r="Q8" s="54">
        <v>9</v>
      </c>
      <c r="R8" s="54">
        <v>0</v>
      </c>
      <c r="S8" s="54">
        <v>0</v>
      </c>
      <c r="T8" s="54">
        <v>0</v>
      </c>
      <c r="U8" s="54">
        <v>0</v>
      </c>
      <c r="V8" s="54">
        <v>0</v>
      </c>
      <c r="W8" s="54">
        <v>17</v>
      </c>
      <c r="X8" s="54">
        <v>16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9</v>
      </c>
      <c r="AE8" s="54">
        <v>8</v>
      </c>
      <c r="AF8" s="54"/>
      <c r="AG8" s="5">
        <f t="shared" si="2"/>
        <v>122</v>
      </c>
    </row>
    <row r="9" spans="1:33" ht="18.75" x14ac:dyDescent="0.25">
      <c r="A9" s="56" t="s">
        <v>7</v>
      </c>
      <c r="B9" s="54">
        <v>10</v>
      </c>
      <c r="C9" s="54">
        <v>9</v>
      </c>
      <c r="D9" s="54">
        <v>0</v>
      </c>
      <c r="E9" s="54">
        <v>0</v>
      </c>
      <c r="F9" s="54">
        <v>0</v>
      </c>
      <c r="G9" s="54">
        <v>0</v>
      </c>
      <c r="H9" s="54">
        <v>0</v>
      </c>
      <c r="I9" s="54">
        <v>6</v>
      </c>
      <c r="J9" s="54">
        <v>15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10</v>
      </c>
      <c r="Q9" s="54">
        <v>5</v>
      </c>
      <c r="R9" s="54">
        <v>0</v>
      </c>
      <c r="S9" s="54">
        <v>0</v>
      </c>
      <c r="T9" s="54">
        <v>0</v>
      </c>
      <c r="U9" s="54">
        <v>0</v>
      </c>
      <c r="V9" s="54">
        <v>0</v>
      </c>
      <c r="W9" s="54">
        <v>8</v>
      </c>
      <c r="X9" s="54">
        <v>10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8</v>
      </c>
      <c r="AE9" s="54">
        <v>16</v>
      </c>
      <c r="AF9" s="54"/>
      <c r="AG9" s="5">
        <f t="shared" si="2"/>
        <v>97</v>
      </c>
    </row>
    <row r="10" spans="1:33" ht="18.75" x14ac:dyDescent="0.25">
      <c r="A10" s="56" t="s">
        <v>8</v>
      </c>
      <c r="B10" s="54">
        <v>8</v>
      </c>
      <c r="C10" s="54">
        <v>7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I10" s="54">
        <v>9</v>
      </c>
      <c r="J10" s="54">
        <v>11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6</v>
      </c>
      <c r="Q10" s="54">
        <v>11</v>
      </c>
      <c r="R10" s="54">
        <v>0</v>
      </c>
      <c r="S10" s="54">
        <v>0</v>
      </c>
      <c r="T10" s="54">
        <v>0</v>
      </c>
      <c r="U10" s="54">
        <v>0</v>
      </c>
      <c r="V10" s="54">
        <v>0</v>
      </c>
      <c r="W10" s="54">
        <v>9</v>
      </c>
      <c r="X10" s="54">
        <v>11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16</v>
      </c>
      <c r="AE10" s="54">
        <v>13</v>
      </c>
      <c r="AF10" s="54"/>
      <c r="AG10" s="5">
        <f t="shared" si="2"/>
        <v>101</v>
      </c>
    </row>
    <row r="11" spans="1:33" ht="18.75" x14ac:dyDescent="0.25">
      <c r="A11" s="56" t="s">
        <v>9</v>
      </c>
      <c r="B11" s="54">
        <v>5</v>
      </c>
      <c r="C11" s="54">
        <v>9</v>
      </c>
      <c r="D11" s="54">
        <v>0</v>
      </c>
      <c r="E11" s="54">
        <v>0</v>
      </c>
      <c r="F11" s="54">
        <v>0</v>
      </c>
      <c r="G11" s="54">
        <v>0</v>
      </c>
      <c r="H11" s="54">
        <v>1</v>
      </c>
      <c r="I11" s="54">
        <v>20</v>
      </c>
      <c r="J11" s="54">
        <v>14</v>
      </c>
      <c r="K11" s="54">
        <v>0</v>
      </c>
      <c r="L11" s="54">
        <v>0</v>
      </c>
      <c r="M11" s="54">
        <v>0</v>
      </c>
      <c r="N11" s="54">
        <v>0</v>
      </c>
      <c r="O11" s="54">
        <v>3</v>
      </c>
      <c r="P11" s="54">
        <v>14</v>
      </c>
      <c r="Q11" s="54">
        <v>20</v>
      </c>
      <c r="R11" s="54">
        <v>0</v>
      </c>
      <c r="S11" s="54">
        <v>0</v>
      </c>
      <c r="T11" s="54">
        <v>0</v>
      </c>
      <c r="U11" s="54">
        <v>0</v>
      </c>
      <c r="V11" s="54">
        <v>2</v>
      </c>
      <c r="W11" s="54">
        <v>13</v>
      </c>
      <c r="X11" s="54">
        <v>16</v>
      </c>
      <c r="Y11" s="54">
        <v>0</v>
      </c>
      <c r="Z11" s="54">
        <v>0</v>
      </c>
      <c r="AA11" s="54">
        <v>0</v>
      </c>
      <c r="AB11" s="54">
        <v>0</v>
      </c>
      <c r="AC11" s="54">
        <v>7</v>
      </c>
      <c r="AD11" s="54">
        <v>7</v>
      </c>
      <c r="AE11" s="54">
        <v>14</v>
      </c>
      <c r="AF11" s="54"/>
      <c r="AG11" s="5">
        <f t="shared" si="2"/>
        <v>145</v>
      </c>
    </row>
    <row r="12" spans="1:33" ht="18.75" x14ac:dyDescent="0.25">
      <c r="A12" s="56" t="s">
        <v>10</v>
      </c>
      <c r="B12" s="54">
        <v>10</v>
      </c>
      <c r="C12" s="54">
        <v>19</v>
      </c>
      <c r="D12" s="54">
        <v>0</v>
      </c>
      <c r="E12" s="54">
        <v>5</v>
      </c>
      <c r="F12" s="54">
        <v>9</v>
      </c>
      <c r="G12" s="54">
        <v>5</v>
      </c>
      <c r="H12" s="54">
        <v>43</v>
      </c>
      <c r="I12" s="54">
        <v>16</v>
      </c>
      <c r="J12" s="54">
        <v>10</v>
      </c>
      <c r="K12" s="54">
        <v>2</v>
      </c>
      <c r="L12" s="54">
        <v>3</v>
      </c>
      <c r="M12" s="54">
        <v>7</v>
      </c>
      <c r="N12" s="54">
        <v>6</v>
      </c>
      <c r="O12" s="54">
        <v>27</v>
      </c>
      <c r="P12" s="54">
        <v>13</v>
      </c>
      <c r="Q12" s="54">
        <v>19</v>
      </c>
      <c r="R12" s="54">
        <v>0</v>
      </c>
      <c r="S12" s="54">
        <v>3</v>
      </c>
      <c r="T12" s="54">
        <v>4</v>
      </c>
      <c r="U12" s="54">
        <v>8</v>
      </c>
      <c r="V12" s="54">
        <v>36</v>
      </c>
      <c r="W12" s="54">
        <v>19</v>
      </c>
      <c r="X12" s="54">
        <v>13</v>
      </c>
      <c r="Y12" s="54">
        <v>0</v>
      </c>
      <c r="Z12" s="54">
        <v>6</v>
      </c>
      <c r="AA12" s="54">
        <v>6</v>
      </c>
      <c r="AB12" s="54">
        <v>0</v>
      </c>
      <c r="AC12" s="54">
        <v>30</v>
      </c>
      <c r="AD12" s="54">
        <v>13</v>
      </c>
      <c r="AE12" s="54">
        <v>11</v>
      </c>
      <c r="AF12" s="54"/>
      <c r="AG12" s="5">
        <f t="shared" si="2"/>
        <v>343</v>
      </c>
    </row>
    <row r="13" spans="1:33" ht="18.75" x14ac:dyDescent="0.25">
      <c r="A13" s="56" t="s">
        <v>11</v>
      </c>
      <c r="B13" s="54">
        <v>13</v>
      </c>
      <c r="C13" s="54">
        <v>11</v>
      </c>
      <c r="D13" s="54">
        <v>71</v>
      </c>
      <c r="E13" s="54">
        <v>61</v>
      </c>
      <c r="F13" s="54">
        <v>44</v>
      </c>
      <c r="G13" s="54">
        <v>47</v>
      </c>
      <c r="H13" s="54">
        <v>22</v>
      </c>
      <c r="I13" s="54">
        <v>7</v>
      </c>
      <c r="J13" s="54">
        <v>13</v>
      </c>
      <c r="K13" s="54">
        <v>68</v>
      </c>
      <c r="L13" s="54">
        <v>69</v>
      </c>
      <c r="M13" s="54">
        <v>45</v>
      </c>
      <c r="N13" s="54">
        <v>55</v>
      </c>
      <c r="O13" s="54">
        <v>25</v>
      </c>
      <c r="P13" s="54">
        <v>15</v>
      </c>
      <c r="Q13" s="54">
        <v>18</v>
      </c>
      <c r="R13" s="54">
        <v>72</v>
      </c>
      <c r="S13" s="54">
        <v>64</v>
      </c>
      <c r="T13" s="54">
        <v>50</v>
      </c>
      <c r="U13" s="54">
        <v>52</v>
      </c>
      <c r="V13" s="54">
        <v>20</v>
      </c>
      <c r="W13" s="54">
        <v>18</v>
      </c>
      <c r="X13" s="54">
        <v>20</v>
      </c>
      <c r="Y13" s="54">
        <v>74</v>
      </c>
      <c r="Z13" s="54">
        <v>59</v>
      </c>
      <c r="AA13" s="54">
        <v>52</v>
      </c>
      <c r="AB13" s="54">
        <v>67</v>
      </c>
      <c r="AC13" s="54">
        <v>28</v>
      </c>
      <c r="AD13" s="54">
        <v>19</v>
      </c>
      <c r="AE13" s="54">
        <v>13</v>
      </c>
      <c r="AF13" s="54"/>
      <c r="AG13" s="5">
        <f t="shared" si="2"/>
        <v>1192</v>
      </c>
    </row>
    <row r="14" spans="1:33" ht="18.75" x14ac:dyDescent="0.25">
      <c r="A14" s="56" t="s">
        <v>12</v>
      </c>
      <c r="B14" s="54">
        <v>9</v>
      </c>
      <c r="C14" s="54">
        <v>12</v>
      </c>
      <c r="D14" s="54">
        <v>24</v>
      </c>
      <c r="E14" s="54">
        <v>10</v>
      </c>
      <c r="F14" s="54">
        <v>18</v>
      </c>
      <c r="G14" s="54">
        <v>12</v>
      </c>
      <c r="H14" s="54">
        <v>11</v>
      </c>
      <c r="I14" s="54">
        <v>12</v>
      </c>
      <c r="J14" s="54">
        <v>7</v>
      </c>
      <c r="K14" s="54">
        <v>23</v>
      </c>
      <c r="L14" s="54">
        <v>20</v>
      </c>
      <c r="M14" s="54">
        <v>24</v>
      </c>
      <c r="N14" s="54">
        <v>9</v>
      </c>
      <c r="O14" s="54">
        <v>12</v>
      </c>
      <c r="P14" s="54">
        <v>11</v>
      </c>
      <c r="Q14" s="54">
        <v>5</v>
      </c>
      <c r="R14" s="54">
        <v>27</v>
      </c>
      <c r="S14" s="54">
        <v>22</v>
      </c>
      <c r="T14" s="54">
        <v>10</v>
      </c>
      <c r="U14" s="54">
        <v>19</v>
      </c>
      <c r="V14" s="54">
        <v>16</v>
      </c>
      <c r="W14" s="54">
        <v>8</v>
      </c>
      <c r="X14" s="54">
        <v>9</v>
      </c>
      <c r="Y14" s="54">
        <v>22</v>
      </c>
      <c r="Z14" s="54">
        <v>15</v>
      </c>
      <c r="AA14" s="54">
        <v>17</v>
      </c>
      <c r="AB14" s="54">
        <v>8</v>
      </c>
      <c r="AC14" s="54">
        <v>13</v>
      </c>
      <c r="AD14" s="54">
        <v>10</v>
      </c>
      <c r="AE14" s="54">
        <v>11</v>
      </c>
      <c r="AF14" s="54"/>
      <c r="AG14" s="5">
        <f t="shared" si="2"/>
        <v>426</v>
      </c>
    </row>
    <row r="15" spans="1:33" ht="18.75" x14ac:dyDescent="0.25">
      <c r="A15" s="56" t="s">
        <v>13</v>
      </c>
      <c r="B15" s="54">
        <v>10</v>
      </c>
      <c r="C15" s="54">
        <v>12</v>
      </c>
      <c r="D15" s="54">
        <v>19</v>
      </c>
      <c r="E15" s="54">
        <v>24</v>
      </c>
      <c r="F15" s="54">
        <v>24</v>
      </c>
      <c r="G15" s="54">
        <v>14</v>
      </c>
      <c r="H15" s="54">
        <v>12</v>
      </c>
      <c r="I15" s="54">
        <v>8</v>
      </c>
      <c r="J15" s="54">
        <v>14</v>
      </c>
      <c r="K15" s="54">
        <v>18</v>
      </c>
      <c r="L15" s="54">
        <v>11</v>
      </c>
      <c r="M15" s="54">
        <v>15</v>
      </c>
      <c r="N15" s="54">
        <v>10</v>
      </c>
      <c r="O15" s="54">
        <v>13</v>
      </c>
      <c r="P15" s="54">
        <v>9</v>
      </c>
      <c r="Q15" s="54">
        <v>9</v>
      </c>
      <c r="R15" s="54">
        <v>13</v>
      </c>
      <c r="S15" s="54">
        <v>23</v>
      </c>
      <c r="T15" s="54">
        <v>20</v>
      </c>
      <c r="U15" s="54">
        <v>9</v>
      </c>
      <c r="V15" s="54">
        <v>11</v>
      </c>
      <c r="W15" s="54">
        <v>12</v>
      </c>
      <c r="X15" s="54">
        <v>12</v>
      </c>
      <c r="Y15" s="54">
        <v>23</v>
      </c>
      <c r="Z15" s="54">
        <v>14</v>
      </c>
      <c r="AA15" s="54">
        <v>19</v>
      </c>
      <c r="AB15" s="54">
        <v>15</v>
      </c>
      <c r="AC15" s="54">
        <v>11</v>
      </c>
      <c r="AD15" s="54">
        <v>11</v>
      </c>
      <c r="AE15" s="54">
        <v>10</v>
      </c>
      <c r="AF15" s="54"/>
      <c r="AG15" s="5">
        <f t="shared" si="2"/>
        <v>425</v>
      </c>
    </row>
    <row r="16" spans="1:33" ht="18.75" x14ac:dyDescent="0.25">
      <c r="A16" s="56" t="s">
        <v>14</v>
      </c>
      <c r="B16" s="54">
        <v>9</v>
      </c>
      <c r="C16" s="54">
        <v>6</v>
      </c>
      <c r="D16" s="54">
        <v>13</v>
      </c>
      <c r="E16" s="54">
        <v>13</v>
      </c>
      <c r="F16" s="54">
        <v>16</v>
      </c>
      <c r="G16" s="54">
        <v>13</v>
      </c>
      <c r="H16" s="54">
        <v>8</v>
      </c>
      <c r="I16" s="54">
        <v>7</v>
      </c>
      <c r="J16" s="54">
        <v>9</v>
      </c>
      <c r="K16" s="54">
        <v>12</v>
      </c>
      <c r="L16" s="54">
        <v>12</v>
      </c>
      <c r="M16" s="54">
        <v>16</v>
      </c>
      <c r="N16" s="54">
        <v>12</v>
      </c>
      <c r="O16" s="54">
        <v>12</v>
      </c>
      <c r="P16" s="54">
        <v>11</v>
      </c>
      <c r="Q16" s="54">
        <v>11</v>
      </c>
      <c r="R16" s="54">
        <v>16</v>
      </c>
      <c r="S16" s="54">
        <v>9</v>
      </c>
      <c r="T16" s="54">
        <v>14</v>
      </c>
      <c r="U16" s="54">
        <v>17</v>
      </c>
      <c r="V16" s="54">
        <v>11</v>
      </c>
      <c r="W16" s="54">
        <v>9</v>
      </c>
      <c r="X16" s="54">
        <v>14</v>
      </c>
      <c r="Y16" s="54">
        <v>11</v>
      </c>
      <c r="Z16" s="54">
        <v>19</v>
      </c>
      <c r="AA16" s="54">
        <v>14</v>
      </c>
      <c r="AB16" s="54">
        <v>9</v>
      </c>
      <c r="AC16" s="54">
        <v>6</v>
      </c>
      <c r="AD16" s="54">
        <v>11</v>
      </c>
      <c r="AE16" s="54">
        <v>7</v>
      </c>
      <c r="AF16" s="54"/>
      <c r="AG16" s="5">
        <f t="shared" si="2"/>
        <v>347</v>
      </c>
    </row>
    <row r="17" spans="1:33" ht="18.75" x14ac:dyDescent="0.25">
      <c r="A17" s="56" t="s">
        <v>15</v>
      </c>
      <c r="B17" s="54">
        <v>11</v>
      </c>
      <c r="C17" s="54">
        <v>13</v>
      </c>
      <c r="D17" s="54">
        <v>7</v>
      </c>
      <c r="E17" s="54">
        <v>14</v>
      </c>
      <c r="F17" s="54">
        <v>10</v>
      </c>
      <c r="G17" s="54">
        <v>7</v>
      </c>
      <c r="H17" s="54">
        <v>9</v>
      </c>
      <c r="I17" s="54">
        <v>8</v>
      </c>
      <c r="J17" s="54">
        <v>18</v>
      </c>
      <c r="K17" s="54">
        <v>11</v>
      </c>
      <c r="L17" s="54">
        <v>9</v>
      </c>
      <c r="M17" s="54">
        <v>9</v>
      </c>
      <c r="N17" s="54">
        <v>9</v>
      </c>
      <c r="O17" s="54">
        <v>9</v>
      </c>
      <c r="P17" s="54">
        <v>4</v>
      </c>
      <c r="Q17" s="54">
        <v>9</v>
      </c>
      <c r="R17" s="54">
        <v>6</v>
      </c>
      <c r="S17" s="54">
        <v>10</v>
      </c>
      <c r="T17" s="54">
        <v>10</v>
      </c>
      <c r="U17" s="54">
        <v>18</v>
      </c>
      <c r="V17" s="54">
        <v>7</v>
      </c>
      <c r="W17" s="54">
        <v>13</v>
      </c>
      <c r="X17" s="54">
        <v>11</v>
      </c>
      <c r="Y17" s="54">
        <v>19</v>
      </c>
      <c r="Z17" s="54">
        <v>12</v>
      </c>
      <c r="AA17" s="54">
        <v>10</v>
      </c>
      <c r="AB17" s="54">
        <v>12</v>
      </c>
      <c r="AC17" s="54">
        <v>10</v>
      </c>
      <c r="AD17" s="54">
        <v>12</v>
      </c>
      <c r="AE17" s="54">
        <v>4</v>
      </c>
      <c r="AF17" s="54"/>
      <c r="AG17" s="5">
        <f t="shared" si="2"/>
        <v>311</v>
      </c>
    </row>
    <row r="18" spans="1:33" ht="18.75" x14ac:dyDescent="0.25">
      <c r="A18" s="56" t="s">
        <v>16</v>
      </c>
      <c r="B18" s="54">
        <v>14</v>
      </c>
      <c r="C18" s="54">
        <v>6</v>
      </c>
      <c r="D18" s="54">
        <v>7</v>
      </c>
      <c r="E18" s="54">
        <v>6</v>
      </c>
      <c r="F18" s="54">
        <v>8</v>
      </c>
      <c r="G18" s="54">
        <v>9</v>
      </c>
      <c r="H18" s="54">
        <v>8</v>
      </c>
      <c r="I18" s="54">
        <v>11</v>
      </c>
      <c r="J18" s="54">
        <v>8</v>
      </c>
      <c r="K18" s="54">
        <v>6</v>
      </c>
      <c r="L18" s="54">
        <v>9</v>
      </c>
      <c r="M18" s="54">
        <v>13</v>
      </c>
      <c r="N18" s="54">
        <v>10</v>
      </c>
      <c r="O18" s="54">
        <v>11</v>
      </c>
      <c r="P18" s="54">
        <v>6</v>
      </c>
      <c r="Q18" s="54">
        <v>12</v>
      </c>
      <c r="R18" s="54">
        <v>12</v>
      </c>
      <c r="S18" s="54">
        <v>13</v>
      </c>
      <c r="T18" s="54">
        <v>7</v>
      </c>
      <c r="U18" s="54">
        <v>6</v>
      </c>
      <c r="V18" s="54">
        <v>10</v>
      </c>
      <c r="W18" s="54">
        <v>8</v>
      </c>
      <c r="X18" s="54">
        <v>12</v>
      </c>
      <c r="Y18" s="54">
        <v>6</v>
      </c>
      <c r="Z18" s="54">
        <v>7</v>
      </c>
      <c r="AA18" s="54">
        <v>9</v>
      </c>
      <c r="AB18" s="54">
        <v>10</v>
      </c>
      <c r="AC18" s="54">
        <v>7</v>
      </c>
      <c r="AD18" s="54">
        <v>5</v>
      </c>
      <c r="AE18" s="54">
        <v>5</v>
      </c>
      <c r="AF18" s="54"/>
      <c r="AG18" s="5">
        <f t="shared" si="2"/>
        <v>261</v>
      </c>
    </row>
    <row r="19" spans="1:33" ht="18.75" x14ac:dyDescent="0.25">
      <c r="A19" s="56" t="s">
        <v>17</v>
      </c>
      <c r="B19" s="54">
        <v>7</v>
      </c>
      <c r="C19" s="54">
        <v>4</v>
      </c>
      <c r="D19" s="54">
        <v>3</v>
      </c>
      <c r="E19" s="54">
        <v>7</v>
      </c>
      <c r="F19" s="54">
        <v>12</v>
      </c>
      <c r="G19" s="54">
        <v>5</v>
      </c>
      <c r="H19" s="54">
        <v>6</v>
      </c>
      <c r="I19" s="54">
        <v>6</v>
      </c>
      <c r="J19" s="54">
        <v>4</v>
      </c>
      <c r="K19" s="54">
        <v>5</v>
      </c>
      <c r="L19" s="54">
        <v>6</v>
      </c>
      <c r="M19" s="54">
        <v>9</v>
      </c>
      <c r="N19" s="54">
        <v>6</v>
      </c>
      <c r="O19" s="54">
        <v>7</v>
      </c>
      <c r="P19" s="54">
        <v>4</v>
      </c>
      <c r="Q19" s="54">
        <v>1</v>
      </c>
      <c r="R19" s="54">
        <v>8</v>
      </c>
      <c r="S19" s="54">
        <v>5</v>
      </c>
      <c r="T19" s="54">
        <v>7</v>
      </c>
      <c r="U19" s="54">
        <v>11</v>
      </c>
      <c r="V19" s="54">
        <v>8</v>
      </c>
      <c r="W19" s="54">
        <v>2</v>
      </c>
      <c r="X19" s="54">
        <v>5</v>
      </c>
      <c r="Y19" s="54">
        <v>3</v>
      </c>
      <c r="Z19" s="54">
        <v>10</v>
      </c>
      <c r="AA19" s="54">
        <v>6</v>
      </c>
      <c r="AB19" s="54">
        <v>4</v>
      </c>
      <c r="AC19" s="54">
        <v>7</v>
      </c>
      <c r="AD19" s="54">
        <v>5</v>
      </c>
      <c r="AE19" s="54">
        <v>4</v>
      </c>
      <c r="AF19" s="54"/>
      <c r="AG19" s="5">
        <f t="shared" si="2"/>
        <v>177</v>
      </c>
    </row>
    <row r="20" spans="1:33" ht="18.75" x14ac:dyDescent="0.25">
      <c r="A20" s="56" t="s">
        <v>18</v>
      </c>
      <c r="B20" s="54">
        <v>5</v>
      </c>
      <c r="C20" s="54">
        <v>5</v>
      </c>
      <c r="D20" s="54">
        <v>6</v>
      </c>
      <c r="E20" s="54">
        <v>6</v>
      </c>
      <c r="F20" s="54">
        <v>2</v>
      </c>
      <c r="G20" s="54">
        <v>4</v>
      </c>
      <c r="H20" s="54">
        <v>3</v>
      </c>
      <c r="I20" s="54">
        <v>3</v>
      </c>
      <c r="J20" s="54">
        <v>2</v>
      </c>
      <c r="K20" s="54">
        <v>3</v>
      </c>
      <c r="L20" s="54">
        <v>0</v>
      </c>
      <c r="M20" s="54">
        <v>2</v>
      </c>
      <c r="N20" s="54">
        <v>1</v>
      </c>
      <c r="O20" s="54">
        <v>5</v>
      </c>
      <c r="P20" s="54">
        <v>3</v>
      </c>
      <c r="Q20" s="54">
        <v>5</v>
      </c>
      <c r="R20" s="54">
        <v>4</v>
      </c>
      <c r="S20" s="54">
        <v>5</v>
      </c>
      <c r="T20" s="54">
        <v>2</v>
      </c>
      <c r="U20" s="54">
        <v>6</v>
      </c>
      <c r="V20" s="54">
        <v>5</v>
      </c>
      <c r="W20" s="54">
        <v>10</v>
      </c>
      <c r="X20" s="54">
        <v>5</v>
      </c>
      <c r="Y20" s="54">
        <v>8</v>
      </c>
      <c r="Z20" s="54">
        <v>3</v>
      </c>
      <c r="AA20" s="54">
        <v>5</v>
      </c>
      <c r="AB20" s="54">
        <v>1</v>
      </c>
      <c r="AC20" s="54">
        <v>5</v>
      </c>
      <c r="AD20" s="54">
        <v>6</v>
      </c>
      <c r="AE20" s="54">
        <v>4</v>
      </c>
      <c r="AF20" s="54"/>
      <c r="AG20" s="5">
        <f t="shared" si="2"/>
        <v>124</v>
      </c>
    </row>
    <row r="21" spans="1:33" ht="15.75" customHeight="1" x14ac:dyDescent="0.25">
      <c r="A21" s="56" t="s">
        <v>19</v>
      </c>
      <c r="B21" s="54">
        <v>2</v>
      </c>
      <c r="C21" s="54">
        <v>0</v>
      </c>
      <c r="D21" s="54">
        <v>6</v>
      </c>
      <c r="E21" s="54">
        <v>0</v>
      </c>
      <c r="F21" s="54">
        <v>0</v>
      </c>
      <c r="G21" s="54">
        <v>0</v>
      </c>
      <c r="H21" s="54">
        <v>2</v>
      </c>
      <c r="I21" s="54">
        <v>1</v>
      </c>
      <c r="J21" s="54">
        <v>1</v>
      </c>
      <c r="K21" s="54">
        <v>5</v>
      </c>
      <c r="L21" s="54">
        <v>4</v>
      </c>
      <c r="M21" s="54">
        <v>3</v>
      </c>
      <c r="N21" s="54">
        <v>2</v>
      </c>
      <c r="O21" s="54">
        <v>1</v>
      </c>
      <c r="P21" s="54">
        <v>6</v>
      </c>
      <c r="Q21" s="54">
        <v>3</v>
      </c>
      <c r="R21" s="54">
        <v>3</v>
      </c>
      <c r="S21" s="54">
        <v>3</v>
      </c>
      <c r="T21" s="54">
        <v>3</v>
      </c>
      <c r="U21" s="54">
        <v>2</v>
      </c>
      <c r="V21" s="54">
        <v>3</v>
      </c>
      <c r="W21" s="54">
        <v>2</v>
      </c>
      <c r="X21" s="54">
        <v>4</v>
      </c>
      <c r="Y21" s="54">
        <v>1</v>
      </c>
      <c r="Z21" s="54">
        <v>4</v>
      </c>
      <c r="AA21" s="54">
        <v>2</v>
      </c>
      <c r="AB21" s="54">
        <v>2</v>
      </c>
      <c r="AC21" s="54">
        <v>4</v>
      </c>
      <c r="AD21" s="54">
        <v>4</v>
      </c>
      <c r="AE21" s="54">
        <v>6</v>
      </c>
      <c r="AF21" s="54"/>
      <c r="AG21" s="5">
        <f t="shared" si="2"/>
        <v>79</v>
      </c>
    </row>
    <row r="22" spans="1:33" ht="15.75" customHeight="1" x14ac:dyDescent="0.25">
      <c r="A22" s="56" t="s">
        <v>20</v>
      </c>
      <c r="B22" s="54">
        <v>0</v>
      </c>
      <c r="C22" s="54">
        <v>1</v>
      </c>
      <c r="D22" s="54">
        <v>4</v>
      </c>
      <c r="E22" s="54">
        <v>2</v>
      </c>
      <c r="F22" s="54">
        <v>2</v>
      </c>
      <c r="G22" s="54">
        <v>1</v>
      </c>
      <c r="H22" s="54">
        <v>1</v>
      </c>
      <c r="I22" s="54">
        <v>1</v>
      </c>
      <c r="J22" s="54">
        <v>0</v>
      </c>
      <c r="K22" s="54">
        <v>2</v>
      </c>
      <c r="L22" s="54">
        <v>1</v>
      </c>
      <c r="M22" s="54">
        <v>0</v>
      </c>
      <c r="N22" s="54">
        <v>0</v>
      </c>
      <c r="O22" s="54">
        <v>0</v>
      </c>
      <c r="P22" s="54">
        <v>0</v>
      </c>
      <c r="Q22" s="54">
        <v>2</v>
      </c>
      <c r="R22" s="54">
        <v>0</v>
      </c>
      <c r="S22" s="54">
        <v>1</v>
      </c>
      <c r="T22" s="54">
        <v>3</v>
      </c>
      <c r="U22" s="54">
        <v>2</v>
      </c>
      <c r="V22" s="54">
        <v>0</v>
      </c>
      <c r="W22" s="54">
        <v>5</v>
      </c>
      <c r="X22" s="54">
        <v>4</v>
      </c>
      <c r="Y22" s="54">
        <v>6</v>
      </c>
      <c r="Z22" s="54">
        <v>2</v>
      </c>
      <c r="AA22" s="54">
        <v>3</v>
      </c>
      <c r="AB22" s="54">
        <v>2</v>
      </c>
      <c r="AC22" s="54">
        <v>2</v>
      </c>
      <c r="AD22" s="54">
        <v>3</v>
      </c>
      <c r="AE22" s="54">
        <v>0</v>
      </c>
      <c r="AF22" s="54"/>
      <c r="AG22" s="5">
        <f t="shared" si="2"/>
        <v>50</v>
      </c>
    </row>
    <row r="23" spans="1:33" ht="15.75" customHeight="1" x14ac:dyDescent="0.25">
      <c r="A23" s="56" t="s">
        <v>21</v>
      </c>
      <c r="B23" s="54">
        <v>1</v>
      </c>
      <c r="C23" s="54">
        <v>6</v>
      </c>
      <c r="D23" s="54">
        <v>0</v>
      </c>
      <c r="E23" s="54">
        <v>0</v>
      </c>
      <c r="F23" s="54">
        <v>0</v>
      </c>
      <c r="G23" s="54">
        <v>2</v>
      </c>
      <c r="H23" s="54">
        <v>0</v>
      </c>
      <c r="I23" s="54">
        <v>0</v>
      </c>
      <c r="J23" s="54">
        <v>1</v>
      </c>
      <c r="K23" s="54">
        <v>0</v>
      </c>
      <c r="L23" s="54">
        <v>0</v>
      </c>
      <c r="M23" s="54">
        <v>3</v>
      </c>
      <c r="N23" s="54">
        <v>0</v>
      </c>
      <c r="O23" s="54">
        <v>0</v>
      </c>
      <c r="P23" s="54">
        <v>1</v>
      </c>
      <c r="Q23" s="54">
        <v>5</v>
      </c>
      <c r="R23" s="54">
        <v>0</v>
      </c>
      <c r="S23" s="54">
        <v>1</v>
      </c>
      <c r="T23" s="54">
        <v>0</v>
      </c>
      <c r="U23" s="54">
        <v>1</v>
      </c>
      <c r="V23" s="54">
        <v>0</v>
      </c>
      <c r="W23" s="54">
        <v>2</v>
      </c>
      <c r="X23" s="54">
        <v>2</v>
      </c>
      <c r="Y23" s="54">
        <v>2</v>
      </c>
      <c r="Z23" s="54">
        <v>0</v>
      </c>
      <c r="AA23" s="54">
        <v>3</v>
      </c>
      <c r="AB23" s="54">
        <v>1</v>
      </c>
      <c r="AC23" s="54">
        <v>2</v>
      </c>
      <c r="AD23" s="54">
        <v>0</v>
      </c>
      <c r="AE23" s="54">
        <v>3</v>
      </c>
      <c r="AF23" s="54"/>
      <c r="AG23" s="5">
        <f t="shared" si="2"/>
        <v>36</v>
      </c>
    </row>
    <row r="24" spans="1:33" ht="15.75" customHeight="1" x14ac:dyDescent="0.25">
      <c r="A24" s="56" t="s">
        <v>22</v>
      </c>
      <c r="B24" s="54">
        <v>2</v>
      </c>
      <c r="C24" s="54">
        <v>0</v>
      </c>
      <c r="D24" s="54">
        <v>1</v>
      </c>
      <c r="E24" s="54">
        <v>2</v>
      </c>
      <c r="F24" s="54">
        <v>1</v>
      </c>
      <c r="G24" s="54">
        <v>0</v>
      </c>
      <c r="H24" s="54">
        <v>2</v>
      </c>
      <c r="I24" s="54">
        <v>0</v>
      </c>
      <c r="J24" s="54">
        <v>0</v>
      </c>
      <c r="K24" s="54">
        <v>0</v>
      </c>
      <c r="L24" s="54">
        <v>2</v>
      </c>
      <c r="M24" s="54">
        <v>0</v>
      </c>
      <c r="N24" s="54">
        <v>0</v>
      </c>
      <c r="O24" s="54">
        <v>0</v>
      </c>
      <c r="P24" s="54">
        <v>2</v>
      </c>
      <c r="Q24" s="54">
        <v>1</v>
      </c>
      <c r="R24" s="54">
        <v>0</v>
      </c>
      <c r="S24" s="54">
        <v>3</v>
      </c>
      <c r="T24" s="54">
        <v>1</v>
      </c>
      <c r="U24" s="54">
        <v>2</v>
      </c>
      <c r="V24" s="54">
        <v>2</v>
      </c>
      <c r="W24" s="54">
        <v>4</v>
      </c>
      <c r="X24" s="54">
        <v>1</v>
      </c>
      <c r="Y24" s="54">
        <v>1</v>
      </c>
      <c r="Z24" s="54">
        <v>0</v>
      </c>
      <c r="AA24" s="54">
        <v>0</v>
      </c>
      <c r="AB24" s="54">
        <v>3</v>
      </c>
      <c r="AC24" s="54">
        <v>1</v>
      </c>
      <c r="AD24" s="54">
        <v>2</v>
      </c>
      <c r="AE24" s="54">
        <v>0</v>
      </c>
      <c r="AF24" s="54"/>
      <c r="AG24" s="5">
        <f t="shared" si="2"/>
        <v>33</v>
      </c>
    </row>
    <row r="25" spans="1:33" ht="15.75" customHeight="1" x14ac:dyDescent="0.25">
      <c r="A25" s="56" t="s">
        <v>23</v>
      </c>
      <c r="B25" s="54">
        <v>1</v>
      </c>
      <c r="C25" s="54">
        <v>1</v>
      </c>
      <c r="D25" s="54">
        <v>2</v>
      </c>
      <c r="E25" s="54">
        <v>1</v>
      </c>
      <c r="F25" s="54">
        <v>0</v>
      </c>
      <c r="G25" s="54">
        <v>1</v>
      </c>
      <c r="H25" s="54">
        <v>1</v>
      </c>
      <c r="I25" s="54">
        <v>1</v>
      </c>
      <c r="J25" s="54">
        <v>2</v>
      </c>
      <c r="K25" s="54">
        <v>2</v>
      </c>
      <c r="L25" s="54">
        <v>0</v>
      </c>
      <c r="M25" s="54">
        <v>2</v>
      </c>
      <c r="N25" s="54">
        <v>0</v>
      </c>
      <c r="O25" s="54">
        <v>1</v>
      </c>
      <c r="P25" s="54">
        <v>2</v>
      </c>
      <c r="Q25" s="54">
        <v>1</v>
      </c>
      <c r="R25" s="54">
        <v>0</v>
      </c>
      <c r="S25" s="54">
        <v>0</v>
      </c>
      <c r="T25" s="54">
        <v>1</v>
      </c>
      <c r="U25" s="54">
        <v>0</v>
      </c>
      <c r="V25" s="54">
        <v>0</v>
      </c>
      <c r="W25" s="54">
        <v>0</v>
      </c>
      <c r="X25" s="54">
        <v>3</v>
      </c>
      <c r="Y25" s="54">
        <v>2</v>
      </c>
      <c r="Z25" s="54">
        <v>3</v>
      </c>
      <c r="AA25" s="54">
        <v>1</v>
      </c>
      <c r="AB25" s="54">
        <v>2</v>
      </c>
      <c r="AC25" s="54">
        <v>0</v>
      </c>
      <c r="AD25" s="54">
        <v>4</v>
      </c>
      <c r="AE25" s="54">
        <v>2</v>
      </c>
      <c r="AF25" s="54"/>
      <c r="AG25" s="5">
        <f t="shared" si="2"/>
        <v>36</v>
      </c>
    </row>
    <row r="26" spans="1:33" ht="15.75" customHeight="1" x14ac:dyDescent="0.25">
      <c r="A26" s="56" t="s">
        <v>24</v>
      </c>
      <c r="B26" s="54">
        <v>1</v>
      </c>
      <c r="C26" s="54">
        <v>1</v>
      </c>
      <c r="D26" s="54">
        <v>2</v>
      </c>
      <c r="E26" s="54">
        <v>0</v>
      </c>
      <c r="F26" s="54">
        <v>1</v>
      </c>
      <c r="G26" s="54">
        <v>1</v>
      </c>
      <c r="H26" s="54">
        <v>2</v>
      </c>
      <c r="I26" s="54">
        <v>2</v>
      </c>
      <c r="J26" s="54">
        <v>2</v>
      </c>
      <c r="K26" s="54">
        <v>3</v>
      </c>
      <c r="L26" s="54">
        <v>0</v>
      </c>
      <c r="M26" s="54">
        <v>0</v>
      </c>
      <c r="N26" s="54">
        <v>2</v>
      </c>
      <c r="O26" s="54">
        <v>2</v>
      </c>
      <c r="P26" s="54">
        <v>1</v>
      </c>
      <c r="Q26" s="54">
        <v>1</v>
      </c>
      <c r="R26" s="54">
        <v>0</v>
      </c>
      <c r="S26" s="54">
        <v>1</v>
      </c>
      <c r="T26" s="54">
        <v>3</v>
      </c>
      <c r="U26" s="54">
        <v>1</v>
      </c>
      <c r="V26" s="54">
        <v>2</v>
      </c>
      <c r="W26" s="54">
        <v>3</v>
      </c>
      <c r="X26" s="54">
        <v>1</v>
      </c>
      <c r="Y26" s="54">
        <v>1</v>
      </c>
      <c r="Z26" s="54">
        <v>1</v>
      </c>
      <c r="AA26" s="54">
        <v>2</v>
      </c>
      <c r="AB26" s="54">
        <v>1</v>
      </c>
      <c r="AC26" s="54">
        <v>2</v>
      </c>
      <c r="AD26" s="54">
        <v>1</v>
      </c>
      <c r="AE26" s="54">
        <v>2</v>
      </c>
      <c r="AF26" s="54"/>
      <c r="AG26" s="5">
        <f t="shared" si="2"/>
        <v>42</v>
      </c>
    </row>
    <row r="27" spans="1:33" ht="15.75" customHeight="1" thickBot="1" x14ac:dyDescent="0.3">
      <c r="A27" s="57" t="s">
        <v>25</v>
      </c>
      <c r="B27" s="58">
        <v>0</v>
      </c>
      <c r="C27" s="58">
        <v>1</v>
      </c>
      <c r="D27" s="58">
        <v>1</v>
      </c>
      <c r="E27" s="58">
        <v>0</v>
      </c>
      <c r="F27" s="58">
        <v>0</v>
      </c>
      <c r="G27" s="58">
        <v>0</v>
      </c>
      <c r="H27" s="58">
        <v>1</v>
      </c>
      <c r="I27" s="58">
        <v>3</v>
      </c>
      <c r="J27" s="58">
        <v>3</v>
      </c>
      <c r="K27" s="58">
        <v>1</v>
      </c>
      <c r="L27" s="58">
        <v>2</v>
      </c>
      <c r="M27" s="58">
        <v>1</v>
      </c>
      <c r="N27" s="58">
        <v>1</v>
      </c>
      <c r="O27" s="58">
        <v>1</v>
      </c>
      <c r="P27" s="58">
        <v>4</v>
      </c>
      <c r="Q27" s="58">
        <v>0</v>
      </c>
      <c r="R27" s="58">
        <v>0</v>
      </c>
      <c r="S27" s="58">
        <v>2</v>
      </c>
      <c r="T27" s="58">
        <v>1</v>
      </c>
      <c r="U27" s="58">
        <v>3</v>
      </c>
      <c r="V27" s="58">
        <v>0</v>
      </c>
      <c r="W27" s="58">
        <v>1</v>
      </c>
      <c r="X27" s="58">
        <v>2</v>
      </c>
      <c r="Y27" s="58">
        <v>1</v>
      </c>
      <c r="Z27" s="58">
        <v>1</v>
      </c>
      <c r="AA27" s="58">
        <v>0</v>
      </c>
      <c r="AB27" s="58">
        <v>1</v>
      </c>
      <c r="AC27" s="58">
        <v>2</v>
      </c>
      <c r="AD27" s="58">
        <v>4</v>
      </c>
      <c r="AE27" s="58">
        <v>7</v>
      </c>
      <c r="AF27" s="58"/>
      <c r="AG27" s="5">
        <f t="shared" si="2"/>
        <v>44</v>
      </c>
    </row>
    <row r="28" spans="1:33" ht="15.75" customHeight="1" x14ac:dyDescent="0.25">
      <c r="A28" s="59" t="s">
        <v>26</v>
      </c>
      <c r="B28" s="6">
        <f t="shared" ref="B28:AF28" si="3">SUM(B29:B52)</f>
        <v>176</v>
      </c>
      <c r="C28" s="6">
        <f t="shared" si="3"/>
        <v>192</v>
      </c>
      <c r="D28" s="6">
        <f t="shared" si="3"/>
        <v>144</v>
      </c>
      <c r="E28" s="6">
        <f t="shared" si="3"/>
        <v>138</v>
      </c>
      <c r="F28" s="6">
        <f t="shared" si="3"/>
        <v>142</v>
      </c>
      <c r="G28" s="6">
        <f t="shared" si="3"/>
        <v>115</v>
      </c>
      <c r="H28" s="6">
        <f t="shared" si="3"/>
        <v>122</v>
      </c>
      <c r="I28" s="6">
        <f t="shared" si="3"/>
        <v>177</v>
      </c>
      <c r="J28" s="6">
        <f t="shared" si="3"/>
        <v>181</v>
      </c>
      <c r="K28" s="6">
        <f t="shared" si="3"/>
        <v>132</v>
      </c>
      <c r="L28" s="6">
        <f t="shared" si="3"/>
        <v>135</v>
      </c>
      <c r="M28" s="6">
        <f t="shared" si="3"/>
        <v>132</v>
      </c>
      <c r="N28" s="6">
        <f t="shared" si="3"/>
        <v>111</v>
      </c>
      <c r="O28" s="6">
        <f t="shared" si="3"/>
        <v>119</v>
      </c>
      <c r="P28" s="6">
        <f t="shared" si="3"/>
        <v>176</v>
      </c>
      <c r="Q28" s="6">
        <f t="shared" si="3"/>
        <v>176</v>
      </c>
      <c r="R28" s="6">
        <f t="shared" si="3"/>
        <v>147</v>
      </c>
      <c r="S28" s="6">
        <f t="shared" si="3"/>
        <v>144</v>
      </c>
      <c r="T28" s="6">
        <f t="shared" si="3"/>
        <v>124</v>
      </c>
      <c r="U28" s="6">
        <f t="shared" si="3"/>
        <v>145</v>
      </c>
      <c r="V28" s="6">
        <f t="shared" si="3"/>
        <v>122</v>
      </c>
      <c r="W28" s="6">
        <f t="shared" si="3"/>
        <v>207</v>
      </c>
      <c r="X28" s="6">
        <f t="shared" si="3"/>
        <v>211</v>
      </c>
      <c r="Y28" s="6">
        <f t="shared" si="3"/>
        <v>143</v>
      </c>
      <c r="Z28" s="6">
        <f t="shared" si="3"/>
        <v>143</v>
      </c>
      <c r="AA28" s="6">
        <f t="shared" si="3"/>
        <v>140</v>
      </c>
      <c r="AB28" s="6">
        <f t="shared" si="3"/>
        <v>125</v>
      </c>
      <c r="AC28" s="6">
        <f t="shared" si="3"/>
        <v>126</v>
      </c>
      <c r="AD28" s="6">
        <f t="shared" si="3"/>
        <v>188</v>
      </c>
      <c r="AE28" s="6">
        <f t="shared" si="3"/>
        <v>173</v>
      </c>
      <c r="AF28" s="6">
        <f t="shared" si="3"/>
        <v>0</v>
      </c>
      <c r="AG28" s="7">
        <f t="shared" si="2"/>
        <v>4506</v>
      </c>
    </row>
    <row r="29" spans="1:33" ht="15.75" customHeight="1" x14ac:dyDescent="0.25">
      <c r="A29" s="53" t="s">
        <v>2</v>
      </c>
      <c r="B29" s="54">
        <v>3</v>
      </c>
      <c r="C29" s="55">
        <v>4</v>
      </c>
      <c r="D29" s="55">
        <v>0</v>
      </c>
      <c r="E29" s="55">
        <v>0</v>
      </c>
      <c r="F29" s="55">
        <v>0</v>
      </c>
      <c r="G29" s="55">
        <v>0</v>
      </c>
      <c r="H29" s="55">
        <v>0</v>
      </c>
      <c r="I29" s="55">
        <v>4</v>
      </c>
      <c r="J29" s="55">
        <v>1</v>
      </c>
      <c r="K29" s="55">
        <v>0</v>
      </c>
      <c r="L29" s="55">
        <v>0</v>
      </c>
      <c r="M29" s="55">
        <v>0</v>
      </c>
      <c r="N29" s="55">
        <v>0</v>
      </c>
      <c r="O29" s="55">
        <v>0</v>
      </c>
      <c r="P29" s="55">
        <v>2</v>
      </c>
      <c r="Q29" s="55">
        <v>1</v>
      </c>
      <c r="R29" s="55">
        <v>0</v>
      </c>
      <c r="S29" s="55">
        <v>1</v>
      </c>
      <c r="T29" s="55">
        <v>0</v>
      </c>
      <c r="U29" s="55">
        <v>0</v>
      </c>
      <c r="V29" s="55">
        <v>0</v>
      </c>
      <c r="W29" s="55">
        <v>5</v>
      </c>
      <c r="X29" s="55">
        <v>8</v>
      </c>
      <c r="Y29" s="55">
        <v>0</v>
      </c>
      <c r="Z29" s="55">
        <v>0</v>
      </c>
      <c r="AA29" s="55">
        <v>0</v>
      </c>
      <c r="AB29" s="55">
        <v>0</v>
      </c>
      <c r="AC29" s="55">
        <v>0</v>
      </c>
      <c r="AD29" s="54">
        <v>8</v>
      </c>
      <c r="AE29" s="54">
        <v>6</v>
      </c>
      <c r="AF29" s="54"/>
      <c r="AG29" s="5">
        <f t="shared" si="2"/>
        <v>43</v>
      </c>
    </row>
    <row r="30" spans="1:33" ht="15.75" customHeight="1" x14ac:dyDescent="0.25">
      <c r="A30" s="56" t="s">
        <v>3</v>
      </c>
      <c r="B30" s="54">
        <v>9</v>
      </c>
      <c r="C30" s="54">
        <v>8</v>
      </c>
      <c r="D30" s="54">
        <v>0</v>
      </c>
      <c r="E30" s="54">
        <v>0</v>
      </c>
      <c r="F30" s="54">
        <v>0</v>
      </c>
      <c r="G30" s="54">
        <v>0</v>
      </c>
      <c r="H30" s="54">
        <v>0</v>
      </c>
      <c r="I30" s="54">
        <v>8</v>
      </c>
      <c r="J30" s="54">
        <v>8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10</v>
      </c>
      <c r="Q30" s="54">
        <v>5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4">
        <v>9</v>
      </c>
      <c r="X30" s="54">
        <v>10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8</v>
      </c>
      <c r="AE30" s="54">
        <v>8</v>
      </c>
      <c r="AF30" s="54"/>
      <c r="AG30" s="5">
        <f t="shared" si="2"/>
        <v>83</v>
      </c>
    </row>
    <row r="31" spans="1:33" ht="15.75" customHeight="1" x14ac:dyDescent="0.25">
      <c r="A31" s="56" t="s">
        <v>4</v>
      </c>
      <c r="B31" s="54">
        <v>15</v>
      </c>
      <c r="C31" s="54">
        <v>13</v>
      </c>
      <c r="D31" s="54">
        <v>0</v>
      </c>
      <c r="E31" s="54">
        <v>0</v>
      </c>
      <c r="F31" s="54">
        <v>0</v>
      </c>
      <c r="G31" s="54">
        <v>0</v>
      </c>
      <c r="H31" s="54">
        <v>0</v>
      </c>
      <c r="I31" s="54">
        <v>14</v>
      </c>
      <c r="J31" s="54">
        <v>10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12</v>
      </c>
      <c r="Q31" s="54">
        <v>9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4">
        <v>6</v>
      </c>
      <c r="X31" s="54">
        <v>12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6</v>
      </c>
      <c r="AE31" s="54">
        <v>8</v>
      </c>
      <c r="AF31" s="54"/>
      <c r="AG31" s="5">
        <f t="shared" si="2"/>
        <v>105</v>
      </c>
    </row>
    <row r="32" spans="1:33" ht="15.75" customHeight="1" x14ac:dyDescent="0.25">
      <c r="A32" s="56" t="s">
        <v>5</v>
      </c>
      <c r="B32" s="54">
        <v>12</v>
      </c>
      <c r="C32" s="54">
        <v>12</v>
      </c>
      <c r="D32" s="54">
        <v>0</v>
      </c>
      <c r="E32" s="54">
        <v>0</v>
      </c>
      <c r="F32" s="54">
        <v>0</v>
      </c>
      <c r="G32" s="54">
        <v>0</v>
      </c>
      <c r="H32" s="54">
        <v>0</v>
      </c>
      <c r="I32" s="54">
        <v>6</v>
      </c>
      <c r="J32" s="54">
        <v>6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7</v>
      </c>
      <c r="Q32" s="54">
        <v>15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4">
        <v>13</v>
      </c>
      <c r="X32" s="54">
        <v>12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11</v>
      </c>
      <c r="AE32" s="54">
        <v>8</v>
      </c>
      <c r="AF32" s="54"/>
      <c r="AG32" s="5">
        <f t="shared" si="2"/>
        <v>102</v>
      </c>
    </row>
    <row r="33" spans="1:33" ht="15.75" customHeight="1" x14ac:dyDescent="0.25">
      <c r="A33" s="56" t="s">
        <v>6</v>
      </c>
      <c r="B33" s="54">
        <v>16</v>
      </c>
      <c r="C33" s="54">
        <v>12</v>
      </c>
      <c r="D33" s="54">
        <v>0</v>
      </c>
      <c r="E33" s="54">
        <v>0</v>
      </c>
      <c r="F33" s="54">
        <v>0</v>
      </c>
      <c r="G33" s="54">
        <v>0</v>
      </c>
      <c r="H33" s="54">
        <v>0</v>
      </c>
      <c r="I33" s="54">
        <v>8</v>
      </c>
      <c r="J33" s="54">
        <v>11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12</v>
      </c>
      <c r="Q33" s="54">
        <v>9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4">
        <v>8</v>
      </c>
      <c r="X33" s="54">
        <v>11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13</v>
      </c>
      <c r="AE33" s="54">
        <v>9</v>
      </c>
      <c r="AF33" s="54"/>
      <c r="AG33" s="5">
        <f t="shared" si="2"/>
        <v>109</v>
      </c>
    </row>
    <row r="34" spans="1:33" ht="15.75" customHeight="1" x14ac:dyDescent="0.25">
      <c r="A34" s="56" t="s">
        <v>7</v>
      </c>
      <c r="B34" s="54">
        <v>12</v>
      </c>
      <c r="C34" s="54">
        <v>12</v>
      </c>
      <c r="D34" s="54">
        <v>0</v>
      </c>
      <c r="E34" s="54">
        <v>0</v>
      </c>
      <c r="F34" s="54">
        <v>0</v>
      </c>
      <c r="G34" s="54">
        <v>0</v>
      </c>
      <c r="H34" s="54">
        <v>0</v>
      </c>
      <c r="I34" s="54">
        <v>16</v>
      </c>
      <c r="J34" s="54">
        <v>11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8</v>
      </c>
      <c r="Q34" s="54">
        <v>5</v>
      </c>
      <c r="R34" s="54">
        <v>0</v>
      </c>
      <c r="S34" s="54">
        <v>0</v>
      </c>
      <c r="T34" s="54">
        <v>0</v>
      </c>
      <c r="U34" s="54">
        <v>0</v>
      </c>
      <c r="V34" s="54">
        <v>0</v>
      </c>
      <c r="W34" s="54">
        <v>10</v>
      </c>
      <c r="X34" s="54">
        <v>9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13</v>
      </c>
      <c r="AE34" s="54">
        <v>8</v>
      </c>
      <c r="AF34" s="54"/>
      <c r="AG34" s="5">
        <f t="shared" si="2"/>
        <v>104</v>
      </c>
    </row>
    <row r="35" spans="1:33" ht="15.75" customHeight="1" x14ac:dyDescent="0.25">
      <c r="A35" s="56" t="s">
        <v>8</v>
      </c>
      <c r="B35" s="54">
        <v>9</v>
      </c>
      <c r="C35" s="54">
        <v>5</v>
      </c>
      <c r="D35" s="54">
        <v>0</v>
      </c>
      <c r="E35" s="54">
        <v>0</v>
      </c>
      <c r="F35" s="54">
        <v>0</v>
      </c>
      <c r="G35" s="54">
        <v>0</v>
      </c>
      <c r="H35" s="54">
        <v>0</v>
      </c>
      <c r="I35" s="54">
        <v>2</v>
      </c>
      <c r="J35" s="54">
        <v>6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7</v>
      </c>
      <c r="Q35" s="54">
        <v>6</v>
      </c>
      <c r="R35" s="54">
        <v>0</v>
      </c>
      <c r="S35" s="54">
        <v>0</v>
      </c>
      <c r="T35" s="54">
        <v>0</v>
      </c>
      <c r="U35" s="54">
        <v>0</v>
      </c>
      <c r="V35" s="54">
        <v>0</v>
      </c>
      <c r="W35" s="54">
        <v>11</v>
      </c>
      <c r="X35" s="54">
        <v>6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3</v>
      </c>
      <c r="AE35" s="54">
        <v>5</v>
      </c>
      <c r="AF35" s="54"/>
      <c r="AG35" s="5">
        <f t="shared" si="2"/>
        <v>60</v>
      </c>
    </row>
    <row r="36" spans="1:33" ht="15.75" customHeight="1" x14ac:dyDescent="0.25">
      <c r="A36" s="56" t="s">
        <v>9</v>
      </c>
      <c r="B36" s="54">
        <v>6</v>
      </c>
      <c r="C36" s="54">
        <v>14</v>
      </c>
      <c r="D36" s="54">
        <v>0</v>
      </c>
      <c r="E36" s="54">
        <v>0</v>
      </c>
      <c r="F36" s="54">
        <v>0</v>
      </c>
      <c r="G36" s="54">
        <v>0</v>
      </c>
      <c r="H36" s="54">
        <v>0</v>
      </c>
      <c r="I36" s="54">
        <v>13</v>
      </c>
      <c r="J36" s="54">
        <v>9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5</v>
      </c>
      <c r="Q36" s="54">
        <v>7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4">
        <v>18</v>
      </c>
      <c r="X36" s="54">
        <v>13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12</v>
      </c>
      <c r="AE36" s="54">
        <v>9</v>
      </c>
      <c r="AF36" s="54"/>
      <c r="AG36" s="5">
        <f t="shared" si="2"/>
        <v>106</v>
      </c>
    </row>
    <row r="37" spans="1:33" ht="15.75" customHeight="1" x14ac:dyDescent="0.25">
      <c r="A37" s="56" t="s">
        <v>10</v>
      </c>
      <c r="B37" s="54">
        <v>10</v>
      </c>
      <c r="C37" s="54">
        <v>20</v>
      </c>
      <c r="D37" s="54">
        <v>0</v>
      </c>
      <c r="E37" s="54">
        <v>0</v>
      </c>
      <c r="F37" s="54">
        <v>0</v>
      </c>
      <c r="G37" s="54">
        <v>0</v>
      </c>
      <c r="H37" s="54">
        <v>0</v>
      </c>
      <c r="I37" s="54">
        <v>22</v>
      </c>
      <c r="J37" s="54">
        <v>12</v>
      </c>
      <c r="K37" s="54">
        <v>0</v>
      </c>
      <c r="L37" s="54">
        <v>0</v>
      </c>
      <c r="M37" s="54">
        <v>0</v>
      </c>
      <c r="N37" s="54">
        <v>0</v>
      </c>
      <c r="O37" s="54">
        <v>8</v>
      </c>
      <c r="P37" s="54">
        <v>13</v>
      </c>
      <c r="Q37" s="54">
        <v>13</v>
      </c>
      <c r="R37" s="54">
        <v>0</v>
      </c>
      <c r="S37" s="54">
        <v>0</v>
      </c>
      <c r="T37" s="54">
        <v>0</v>
      </c>
      <c r="U37" s="54">
        <v>0</v>
      </c>
      <c r="V37" s="54">
        <v>6</v>
      </c>
      <c r="W37" s="54">
        <v>14</v>
      </c>
      <c r="X37" s="54">
        <v>11</v>
      </c>
      <c r="Y37" s="54">
        <v>0</v>
      </c>
      <c r="Z37" s="54">
        <v>0</v>
      </c>
      <c r="AA37" s="54">
        <v>0</v>
      </c>
      <c r="AB37" s="54">
        <v>0</v>
      </c>
      <c r="AC37" s="54">
        <v>11</v>
      </c>
      <c r="AD37" s="54">
        <v>10</v>
      </c>
      <c r="AE37" s="54">
        <v>10</v>
      </c>
      <c r="AF37" s="54"/>
      <c r="AG37" s="5">
        <f t="shared" si="2"/>
        <v>160</v>
      </c>
    </row>
    <row r="38" spans="1:33" ht="15.75" customHeight="1" x14ac:dyDescent="0.25">
      <c r="A38" s="56" t="s">
        <v>11</v>
      </c>
      <c r="B38" s="54">
        <v>8</v>
      </c>
      <c r="C38" s="54">
        <v>14</v>
      </c>
      <c r="D38" s="54">
        <v>5</v>
      </c>
      <c r="E38" s="54">
        <v>13</v>
      </c>
      <c r="F38" s="54">
        <v>10</v>
      </c>
      <c r="G38" s="54">
        <v>10</v>
      </c>
      <c r="H38" s="54">
        <v>7</v>
      </c>
      <c r="I38" s="54">
        <v>8</v>
      </c>
      <c r="J38" s="54">
        <v>12</v>
      </c>
      <c r="K38" s="54">
        <v>9</v>
      </c>
      <c r="L38" s="54">
        <v>19</v>
      </c>
      <c r="M38" s="54">
        <v>7</v>
      </c>
      <c r="N38" s="54">
        <v>6</v>
      </c>
      <c r="O38" s="54">
        <v>16</v>
      </c>
      <c r="P38" s="54">
        <v>12</v>
      </c>
      <c r="Q38" s="54">
        <v>10</v>
      </c>
      <c r="R38" s="54">
        <v>11</v>
      </c>
      <c r="S38" s="54">
        <v>10</v>
      </c>
      <c r="T38" s="54">
        <v>6</v>
      </c>
      <c r="U38" s="54">
        <v>11</v>
      </c>
      <c r="V38" s="54">
        <v>10</v>
      </c>
      <c r="W38" s="54">
        <v>11</v>
      </c>
      <c r="X38" s="54">
        <v>13</v>
      </c>
      <c r="Y38" s="54">
        <v>5</v>
      </c>
      <c r="Z38" s="54">
        <v>10</v>
      </c>
      <c r="AA38" s="54">
        <v>8</v>
      </c>
      <c r="AB38" s="54">
        <v>4</v>
      </c>
      <c r="AC38" s="54">
        <v>15</v>
      </c>
      <c r="AD38" s="54">
        <v>15</v>
      </c>
      <c r="AE38" s="54">
        <v>12</v>
      </c>
      <c r="AF38" s="54"/>
      <c r="AG38" s="5">
        <f t="shared" si="2"/>
        <v>307</v>
      </c>
    </row>
    <row r="39" spans="1:33" ht="15.75" customHeight="1" x14ac:dyDescent="0.25">
      <c r="A39" s="56" t="s">
        <v>12</v>
      </c>
      <c r="B39" s="54">
        <v>13</v>
      </c>
      <c r="C39" s="54">
        <v>10</v>
      </c>
      <c r="D39" s="54">
        <v>8</v>
      </c>
      <c r="E39" s="54">
        <v>19</v>
      </c>
      <c r="F39" s="54">
        <v>26</v>
      </c>
      <c r="G39" s="54">
        <v>19</v>
      </c>
      <c r="H39" s="54">
        <v>9</v>
      </c>
      <c r="I39" s="54">
        <v>12</v>
      </c>
      <c r="J39" s="54">
        <v>17</v>
      </c>
      <c r="K39" s="54">
        <v>16</v>
      </c>
      <c r="L39" s="54">
        <v>17</v>
      </c>
      <c r="M39" s="54">
        <v>20</v>
      </c>
      <c r="N39" s="54">
        <v>18</v>
      </c>
      <c r="O39" s="54">
        <v>9</v>
      </c>
      <c r="P39" s="54">
        <v>9</v>
      </c>
      <c r="Q39" s="54">
        <v>12</v>
      </c>
      <c r="R39" s="54">
        <v>20</v>
      </c>
      <c r="S39" s="54">
        <v>24</v>
      </c>
      <c r="T39" s="54">
        <v>19</v>
      </c>
      <c r="U39" s="54">
        <v>19</v>
      </c>
      <c r="V39" s="54">
        <v>16</v>
      </c>
      <c r="W39" s="54">
        <v>16</v>
      </c>
      <c r="X39" s="54">
        <v>12</v>
      </c>
      <c r="Y39" s="54">
        <v>19</v>
      </c>
      <c r="Z39" s="54">
        <v>18</v>
      </c>
      <c r="AA39" s="54">
        <v>23</v>
      </c>
      <c r="AB39" s="54">
        <v>18</v>
      </c>
      <c r="AC39" s="54">
        <v>9</v>
      </c>
      <c r="AD39" s="54">
        <v>4</v>
      </c>
      <c r="AE39" s="54">
        <v>13</v>
      </c>
      <c r="AF39" s="54"/>
      <c r="AG39" s="5">
        <f t="shared" si="2"/>
        <v>464</v>
      </c>
    </row>
    <row r="40" spans="1:33" ht="15.75" customHeight="1" x14ac:dyDescent="0.25">
      <c r="A40" s="56" t="s">
        <v>13</v>
      </c>
      <c r="B40" s="54">
        <v>9</v>
      </c>
      <c r="C40" s="54">
        <v>11</v>
      </c>
      <c r="D40" s="54">
        <v>20</v>
      </c>
      <c r="E40" s="54">
        <v>20</v>
      </c>
      <c r="F40" s="54">
        <v>19</v>
      </c>
      <c r="G40" s="54">
        <v>24</v>
      </c>
      <c r="H40" s="54">
        <v>18</v>
      </c>
      <c r="I40" s="54">
        <v>12</v>
      </c>
      <c r="J40" s="54">
        <v>17</v>
      </c>
      <c r="K40" s="54">
        <v>13</v>
      </c>
      <c r="L40" s="54">
        <v>24</v>
      </c>
      <c r="M40" s="54">
        <v>13</v>
      </c>
      <c r="N40" s="54">
        <v>16</v>
      </c>
      <c r="O40" s="54">
        <v>12</v>
      </c>
      <c r="P40" s="54">
        <v>7</v>
      </c>
      <c r="Q40" s="54">
        <v>14</v>
      </c>
      <c r="R40" s="54">
        <v>19</v>
      </c>
      <c r="S40" s="54">
        <v>21</v>
      </c>
      <c r="T40" s="54">
        <v>18</v>
      </c>
      <c r="U40" s="54">
        <v>21</v>
      </c>
      <c r="V40" s="54">
        <v>14</v>
      </c>
      <c r="W40" s="54">
        <v>7</v>
      </c>
      <c r="X40" s="54">
        <v>17</v>
      </c>
      <c r="Y40" s="54">
        <v>16</v>
      </c>
      <c r="Z40" s="54">
        <v>20</v>
      </c>
      <c r="AA40" s="54">
        <v>20</v>
      </c>
      <c r="AB40" s="54">
        <v>17</v>
      </c>
      <c r="AC40" s="54">
        <v>18</v>
      </c>
      <c r="AD40" s="54">
        <v>11</v>
      </c>
      <c r="AE40" s="54">
        <v>15</v>
      </c>
      <c r="AF40" s="54"/>
      <c r="AG40" s="5">
        <f t="shared" si="2"/>
        <v>483</v>
      </c>
    </row>
    <row r="41" spans="1:33" ht="15.75" customHeight="1" x14ac:dyDescent="0.25">
      <c r="A41" s="56" t="s">
        <v>14</v>
      </c>
      <c r="B41" s="54">
        <v>9</v>
      </c>
      <c r="C41" s="54">
        <v>15</v>
      </c>
      <c r="D41" s="54">
        <v>18</v>
      </c>
      <c r="E41" s="54">
        <v>8</v>
      </c>
      <c r="F41" s="54">
        <v>26</v>
      </c>
      <c r="G41" s="54">
        <v>13</v>
      </c>
      <c r="H41" s="54">
        <v>19</v>
      </c>
      <c r="I41" s="54">
        <v>17</v>
      </c>
      <c r="J41" s="54">
        <v>17</v>
      </c>
      <c r="K41" s="54">
        <v>11</v>
      </c>
      <c r="L41" s="54">
        <v>15</v>
      </c>
      <c r="M41" s="54">
        <v>20</v>
      </c>
      <c r="N41" s="54">
        <v>9</v>
      </c>
      <c r="O41" s="54">
        <v>22</v>
      </c>
      <c r="P41" s="54">
        <v>15</v>
      </c>
      <c r="Q41" s="54">
        <v>13</v>
      </c>
      <c r="R41" s="54">
        <v>22</v>
      </c>
      <c r="S41" s="54">
        <v>25</v>
      </c>
      <c r="T41" s="54">
        <v>19</v>
      </c>
      <c r="U41" s="54">
        <v>24</v>
      </c>
      <c r="V41" s="54">
        <v>25</v>
      </c>
      <c r="W41" s="54">
        <v>8</v>
      </c>
      <c r="X41" s="54">
        <v>11</v>
      </c>
      <c r="Y41" s="54">
        <v>18</v>
      </c>
      <c r="Z41" s="54">
        <v>18</v>
      </c>
      <c r="AA41" s="54">
        <v>24</v>
      </c>
      <c r="AB41" s="54">
        <v>12</v>
      </c>
      <c r="AC41" s="54">
        <v>20</v>
      </c>
      <c r="AD41" s="54">
        <v>4</v>
      </c>
      <c r="AE41" s="54">
        <v>15</v>
      </c>
      <c r="AF41" s="54"/>
      <c r="AG41" s="5">
        <f t="shared" si="2"/>
        <v>492</v>
      </c>
    </row>
    <row r="42" spans="1:33" ht="15.75" customHeight="1" x14ac:dyDescent="0.25">
      <c r="A42" s="56" t="s">
        <v>15</v>
      </c>
      <c r="B42" s="54">
        <v>9</v>
      </c>
      <c r="C42" s="54">
        <v>11</v>
      </c>
      <c r="D42" s="54">
        <v>9</v>
      </c>
      <c r="E42" s="54">
        <v>19</v>
      </c>
      <c r="F42" s="54">
        <v>17</v>
      </c>
      <c r="G42" s="54">
        <v>14</v>
      </c>
      <c r="H42" s="54">
        <v>15</v>
      </c>
      <c r="I42" s="54">
        <v>7</v>
      </c>
      <c r="J42" s="54">
        <v>9</v>
      </c>
      <c r="K42" s="54">
        <v>14</v>
      </c>
      <c r="L42" s="54">
        <v>20</v>
      </c>
      <c r="M42" s="54">
        <v>14</v>
      </c>
      <c r="N42" s="54">
        <v>21</v>
      </c>
      <c r="O42" s="54">
        <v>15</v>
      </c>
      <c r="P42" s="54">
        <v>15</v>
      </c>
      <c r="Q42" s="54">
        <v>14</v>
      </c>
      <c r="R42" s="54">
        <v>12</v>
      </c>
      <c r="S42" s="54">
        <v>22</v>
      </c>
      <c r="T42" s="54">
        <v>13</v>
      </c>
      <c r="U42" s="54">
        <v>12</v>
      </c>
      <c r="V42" s="54">
        <v>17</v>
      </c>
      <c r="W42" s="54">
        <v>6</v>
      </c>
      <c r="X42" s="54">
        <v>10</v>
      </c>
      <c r="Y42" s="54">
        <v>16</v>
      </c>
      <c r="Z42" s="54">
        <v>14</v>
      </c>
      <c r="AA42" s="54">
        <v>14</v>
      </c>
      <c r="AB42" s="54">
        <v>19</v>
      </c>
      <c r="AC42" s="54">
        <v>10</v>
      </c>
      <c r="AD42" s="54">
        <v>19</v>
      </c>
      <c r="AE42" s="54">
        <v>13</v>
      </c>
      <c r="AF42" s="54"/>
      <c r="AG42" s="5">
        <f t="shared" si="2"/>
        <v>420</v>
      </c>
    </row>
    <row r="43" spans="1:33" ht="15.75" customHeight="1" x14ac:dyDescent="0.25">
      <c r="A43" s="56" t="s">
        <v>16</v>
      </c>
      <c r="B43" s="54">
        <v>8</v>
      </c>
      <c r="C43" s="54">
        <v>9</v>
      </c>
      <c r="D43" s="54">
        <v>17</v>
      </c>
      <c r="E43" s="54">
        <v>18</v>
      </c>
      <c r="F43" s="54">
        <v>9</v>
      </c>
      <c r="G43" s="54">
        <v>9</v>
      </c>
      <c r="H43" s="54">
        <v>8</v>
      </c>
      <c r="I43" s="54">
        <v>9</v>
      </c>
      <c r="J43" s="54">
        <v>7</v>
      </c>
      <c r="K43" s="54">
        <v>11</v>
      </c>
      <c r="L43" s="54">
        <v>13</v>
      </c>
      <c r="M43" s="54">
        <v>13</v>
      </c>
      <c r="N43" s="54">
        <v>9</v>
      </c>
      <c r="O43" s="54">
        <v>9</v>
      </c>
      <c r="P43" s="54">
        <v>7</v>
      </c>
      <c r="Q43" s="54">
        <v>7</v>
      </c>
      <c r="R43" s="54">
        <v>20</v>
      </c>
      <c r="S43" s="54">
        <v>7</v>
      </c>
      <c r="T43" s="54">
        <v>12</v>
      </c>
      <c r="U43" s="54">
        <v>12</v>
      </c>
      <c r="V43" s="54">
        <v>9</v>
      </c>
      <c r="W43" s="54">
        <v>16</v>
      </c>
      <c r="X43" s="54">
        <v>12</v>
      </c>
      <c r="Y43" s="54">
        <v>9</v>
      </c>
      <c r="Z43" s="54">
        <v>21</v>
      </c>
      <c r="AA43" s="54">
        <v>13</v>
      </c>
      <c r="AB43" s="54">
        <v>12</v>
      </c>
      <c r="AC43" s="54">
        <v>8</v>
      </c>
      <c r="AD43" s="54">
        <v>7</v>
      </c>
      <c r="AE43" s="54">
        <v>7</v>
      </c>
      <c r="AF43" s="54"/>
      <c r="AG43" s="5">
        <f t="shared" si="2"/>
        <v>328</v>
      </c>
    </row>
    <row r="44" spans="1:33" ht="15.75" customHeight="1" x14ac:dyDescent="0.25">
      <c r="A44" s="56" t="s">
        <v>17</v>
      </c>
      <c r="B44" s="54">
        <v>10</v>
      </c>
      <c r="C44" s="54">
        <v>6</v>
      </c>
      <c r="D44" s="54">
        <v>7</v>
      </c>
      <c r="E44" s="54">
        <v>13</v>
      </c>
      <c r="F44" s="54">
        <v>12</v>
      </c>
      <c r="G44" s="54">
        <v>6</v>
      </c>
      <c r="H44" s="54">
        <v>6</v>
      </c>
      <c r="I44" s="54">
        <v>12</v>
      </c>
      <c r="J44" s="54">
        <v>10</v>
      </c>
      <c r="K44" s="54">
        <v>8</v>
      </c>
      <c r="L44" s="54">
        <v>8</v>
      </c>
      <c r="M44" s="54">
        <v>10</v>
      </c>
      <c r="N44" s="54">
        <v>6</v>
      </c>
      <c r="O44" s="54">
        <v>5</v>
      </c>
      <c r="P44" s="54">
        <v>6</v>
      </c>
      <c r="Q44" s="54">
        <v>10</v>
      </c>
      <c r="R44" s="54">
        <v>5</v>
      </c>
      <c r="S44" s="54">
        <v>4</v>
      </c>
      <c r="T44" s="54">
        <v>2</v>
      </c>
      <c r="U44" s="54">
        <v>7</v>
      </c>
      <c r="V44" s="54">
        <v>13</v>
      </c>
      <c r="W44" s="54">
        <v>10</v>
      </c>
      <c r="X44" s="54">
        <v>9</v>
      </c>
      <c r="Y44" s="54">
        <v>10</v>
      </c>
      <c r="Z44" s="54">
        <v>16</v>
      </c>
      <c r="AA44" s="54">
        <v>5</v>
      </c>
      <c r="AB44" s="54">
        <v>5</v>
      </c>
      <c r="AC44" s="54">
        <v>6</v>
      </c>
      <c r="AD44" s="54">
        <v>10</v>
      </c>
      <c r="AE44" s="54">
        <v>6</v>
      </c>
      <c r="AF44" s="54"/>
      <c r="AG44" s="5">
        <f t="shared" si="2"/>
        <v>243</v>
      </c>
    </row>
    <row r="45" spans="1:33" ht="15.75" customHeight="1" x14ac:dyDescent="0.25">
      <c r="A45" s="56" t="s">
        <v>18</v>
      </c>
      <c r="B45" s="54">
        <v>10</v>
      </c>
      <c r="C45" s="54">
        <v>2</v>
      </c>
      <c r="D45" s="54">
        <v>12</v>
      </c>
      <c r="E45" s="54">
        <v>9</v>
      </c>
      <c r="F45" s="54">
        <v>9</v>
      </c>
      <c r="G45" s="54">
        <v>4</v>
      </c>
      <c r="H45" s="54">
        <v>8</v>
      </c>
      <c r="I45" s="54">
        <v>0</v>
      </c>
      <c r="J45" s="54">
        <v>7</v>
      </c>
      <c r="K45" s="54">
        <v>12</v>
      </c>
      <c r="L45" s="54">
        <v>6</v>
      </c>
      <c r="M45" s="54">
        <v>10</v>
      </c>
      <c r="N45" s="54">
        <v>6</v>
      </c>
      <c r="O45" s="54">
        <v>7</v>
      </c>
      <c r="P45" s="54">
        <v>8</v>
      </c>
      <c r="Q45" s="54">
        <v>7</v>
      </c>
      <c r="R45" s="54">
        <v>6</v>
      </c>
      <c r="S45" s="54">
        <v>5</v>
      </c>
      <c r="T45" s="54">
        <v>10</v>
      </c>
      <c r="U45" s="54">
        <v>15</v>
      </c>
      <c r="V45" s="54">
        <v>0</v>
      </c>
      <c r="W45" s="54">
        <v>13</v>
      </c>
      <c r="X45" s="54">
        <v>6</v>
      </c>
      <c r="Y45" s="54">
        <v>8</v>
      </c>
      <c r="Z45" s="54">
        <v>13</v>
      </c>
      <c r="AA45" s="54">
        <v>10</v>
      </c>
      <c r="AB45" s="54">
        <v>9</v>
      </c>
      <c r="AC45" s="54">
        <v>6</v>
      </c>
      <c r="AD45" s="54">
        <v>7</v>
      </c>
      <c r="AE45" s="54">
        <v>4</v>
      </c>
      <c r="AF45" s="54"/>
      <c r="AG45" s="5">
        <f t="shared" si="2"/>
        <v>229</v>
      </c>
    </row>
    <row r="46" spans="1:33" ht="15.75" customHeight="1" x14ac:dyDescent="0.25">
      <c r="A46" s="56" t="s">
        <v>19</v>
      </c>
      <c r="B46" s="54">
        <v>2</v>
      </c>
      <c r="C46" s="54">
        <v>4</v>
      </c>
      <c r="D46" s="54">
        <v>11</v>
      </c>
      <c r="E46" s="54">
        <v>9</v>
      </c>
      <c r="F46" s="54">
        <v>10</v>
      </c>
      <c r="G46" s="54">
        <v>9</v>
      </c>
      <c r="H46" s="54">
        <v>10</v>
      </c>
      <c r="I46" s="54">
        <v>2</v>
      </c>
      <c r="J46" s="54">
        <v>3</v>
      </c>
      <c r="K46" s="54">
        <v>16</v>
      </c>
      <c r="L46" s="54">
        <v>5</v>
      </c>
      <c r="M46" s="54">
        <v>18</v>
      </c>
      <c r="N46" s="54">
        <v>17</v>
      </c>
      <c r="O46" s="54">
        <v>8</v>
      </c>
      <c r="P46" s="54">
        <v>11</v>
      </c>
      <c r="Q46" s="54">
        <v>4</v>
      </c>
      <c r="R46" s="54">
        <v>13</v>
      </c>
      <c r="S46" s="54">
        <v>8</v>
      </c>
      <c r="T46" s="54">
        <v>12</v>
      </c>
      <c r="U46" s="54">
        <v>10</v>
      </c>
      <c r="V46" s="54">
        <v>4</v>
      </c>
      <c r="W46" s="54">
        <v>9</v>
      </c>
      <c r="X46" s="54">
        <v>10</v>
      </c>
      <c r="Y46" s="54">
        <v>4</v>
      </c>
      <c r="Z46" s="54">
        <v>2</v>
      </c>
      <c r="AA46" s="54">
        <v>9</v>
      </c>
      <c r="AB46" s="54">
        <v>11</v>
      </c>
      <c r="AC46" s="54">
        <v>5</v>
      </c>
      <c r="AD46" s="54">
        <v>8</v>
      </c>
      <c r="AE46" s="54">
        <v>3</v>
      </c>
      <c r="AF46" s="54"/>
      <c r="AG46" s="5">
        <f t="shared" si="2"/>
        <v>247</v>
      </c>
    </row>
    <row r="47" spans="1:33" ht="15.75" customHeight="1" x14ac:dyDescent="0.25">
      <c r="A47" s="56" t="s">
        <v>20</v>
      </c>
      <c r="B47" s="54">
        <v>1</v>
      </c>
      <c r="C47" s="54">
        <v>0</v>
      </c>
      <c r="D47" s="54">
        <v>18</v>
      </c>
      <c r="E47" s="54">
        <v>0</v>
      </c>
      <c r="F47" s="54">
        <v>1</v>
      </c>
      <c r="G47" s="54">
        <v>3</v>
      </c>
      <c r="H47" s="54">
        <v>5</v>
      </c>
      <c r="I47" s="54">
        <v>2</v>
      </c>
      <c r="J47" s="54">
        <v>0</v>
      </c>
      <c r="K47" s="54">
        <v>12</v>
      </c>
      <c r="L47" s="54">
        <v>2</v>
      </c>
      <c r="M47" s="54">
        <v>1</v>
      </c>
      <c r="N47" s="54">
        <v>1</v>
      </c>
      <c r="O47" s="54">
        <v>4</v>
      </c>
      <c r="P47" s="54">
        <v>2</v>
      </c>
      <c r="Q47" s="54">
        <v>4</v>
      </c>
      <c r="R47" s="54">
        <v>12</v>
      </c>
      <c r="S47" s="54">
        <v>4</v>
      </c>
      <c r="T47" s="54">
        <v>3</v>
      </c>
      <c r="U47" s="54">
        <v>4</v>
      </c>
      <c r="V47" s="54">
        <v>3</v>
      </c>
      <c r="W47" s="54">
        <v>5</v>
      </c>
      <c r="X47" s="54">
        <v>9</v>
      </c>
      <c r="Y47" s="54">
        <v>10</v>
      </c>
      <c r="Z47" s="54">
        <v>0</v>
      </c>
      <c r="AA47" s="54">
        <v>11</v>
      </c>
      <c r="AB47" s="54">
        <v>7</v>
      </c>
      <c r="AC47" s="54">
        <v>5</v>
      </c>
      <c r="AD47" s="54">
        <v>6</v>
      </c>
      <c r="AE47" s="54">
        <v>1</v>
      </c>
      <c r="AF47" s="54"/>
      <c r="AG47" s="5">
        <f t="shared" si="2"/>
        <v>136</v>
      </c>
    </row>
    <row r="48" spans="1:33" ht="15.75" customHeight="1" x14ac:dyDescent="0.25">
      <c r="A48" s="56" t="s">
        <v>21</v>
      </c>
      <c r="B48" s="54">
        <v>0</v>
      </c>
      <c r="C48" s="54">
        <v>4</v>
      </c>
      <c r="D48" s="54">
        <v>11</v>
      </c>
      <c r="E48" s="54">
        <v>3</v>
      </c>
      <c r="F48" s="54">
        <v>1</v>
      </c>
      <c r="G48" s="54">
        <v>2</v>
      </c>
      <c r="H48" s="54">
        <v>0</v>
      </c>
      <c r="I48" s="54">
        <v>0</v>
      </c>
      <c r="J48" s="54">
        <v>1</v>
      </c>
      <c r="K48" s="54">
        <v>4</v>
      </c>
      <c r="L48" s="54">
        <v>2</v>
      </c>
      <c r="M48" s="54">
        <v>2</v>
      </c>
      <c r="N48" s="54">
        <v>0</v>
      </c>
      <c r="O48" s="54">
        <v>0</v>
      </c>
      <c r="P48" s="54">
        <v>1</v>
      </c>
      <c r="Q48" s="54">
        <v>5</v>
      </c>
      <c r="R48" s="54">
        <v>7</v>
      </c>
      <c r="S48" s="54">
        <v>0</v>
      </c>
      <c r="T48" s="54">
        <v>5</v>
      </c>
      <c r="U48" s="54">
        <v>2</v>
      </c>
      <c r="V48" s="54">
        <v>0</v>
      </c>
      <c r="W48" s="54">
        <v>2</v>
      </c>
      <c r="X48" s="54">
        <v>5</v>
      </c>
      <c r="Y48" s="54">
        <v>15</v>
      </c>
      <c r="Z48" s="54">
        <v>0</v>
      </c>
      <c r="AA48" s="54">
        <v>0</v>
      </c>
      <c r="AB48" s="54">
        <v>3</v>
      </c>
      <c r="AC48" s="54">
        <v>6</v>
      </c>
      <c r="AD48" s="54">
        <v>5</v>
      </c>
      <c r="AE48" s="54">
        <v>6</v>
      </c>
      <c r="AF48" s="54"/>
      <c r="AG48" s="5">
        <f t="shared" si="2"/>
        <v>92</v>
      </c>
    </row>
    <row r="49" spans="1:33" ht="15.75" customHeight="1" x14ac:dyDescent="0.25">
      <c r="A49" s="56" t="s">
        <v>22</v>
      </c>
      <c r="B49" s="54">
        <v>3</v>
      </c>
      <c r="C49" s="54">
        <v>3</v>
      </c>
      <c r="D49" s="54">
        <v>3</v>
      </c>
      <c r="E49" s="54">
        <v>3</v>
      </c>
      <c r="F49" s="54">
        <v>1</v>
      </c>
      <c r="G49" s="54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1</v>
      </c>
      <c r="N49" s="54">
        <v>0</v>
      </c>
      <c r="O49" s="54">
        <v>0</v>
      </c>
      <c r="P49" s="54">
        <v>2</v>
      </c>
      <c r="Q49" s="54">
        <v>3</v>
      </c>
      <c r="R49" s="54">
        <v>0</v>
      </c>
      <c r="S49" s="54">
        <v>7</v>
      </c>
      <c r="T49" s="54">
        <v>0</v>
      </c>
      <c r="U49" s="54">
        <v>2</v>
      </c>
      <c r="V49" s="54">
        <v>2</v>
      </c>
      <c r="W49" s="54">
        <v>4</v>
      </c>
      <c r="X49" s="54">
        <v>2</v>
      </c>
      <c r="Y49" s="54">
        <v>9</v>
      </c>
      <c r="Z49" s="54">
        <v>4</v>
      </c>
      <c r="AA49" s="54">
        <v>0</v>
      </c>
      <c r="AB49" s="54">
        <v>3</v>
      </c>
      <c r="AC49" s="54">
        <v>2</v>
      </c>
      <c r="AD49" s="54">
        <v>2</v>
      </c>
      <c r="AE49" s="54">
        <v>0</v>
      </c>
      <c r="AF49" s="54"/>
      <c r="AG49" s="5">
        <f t="shared" si="2"/>
        <v>56</v>
      </c>
    </row>
    <row r="50" spans="1:33" ht="15.75" customHeight="1" x14ac:dyDescent="0.25">
      <c r="A50" s="56" t="s">
        <v>23</v>
      </c>
      <c r="B50" s="54">
        <v>1</v>
      </c>
      <c r="C50" s="54">
        <v>1</v>
      </c>
      <c r="D50" s="54">
        <v>2</v>
      </c>
      <c r="E50" s="54">
        <v>4</v>
      </c>
      <c r="F50" s="54">
        <v>0</v>
      </c>
      <c r="G50" s="54">
        <v>1</v>
      </c>
      <c r="H50" s="54">
        <v>3</v>
      </c>
      <c r="I50" s="54">
        <v>1</v>
      </c>
      <c r="J50" s="54">
        <v>2</v>
      </c>
      <c r="K50" s="54">
        <v>2</v>
      </c>
      <c r="L50" s="54">
        <v>2</v>
      </c>
      <c r="M50" s="54">
        <v>1</v>
      </c>
      <c r="N50" s="54">
        <v>0</v>
      </c>
      <c r="O50" s="54">
        <v>0</v>
      </c>
      <c r="P50" s="54">
        <v>2</v>
      </c>
      <c r="Q50" s="54">
        <v>1</v>
      </c>
      <c r="R50" s="54">
        <v>0</v>
      </c>
      <c r="S50" s="54">
        <v>4</v>
      </c>
      <c r="T50" s="54">
        <v>0</v>
      </c>
      <c r="U50" s="54">
        <v>0</v>
      </c>
      <c r="V50" s="54">
        <v>0</v>
      </c>
      <c r="W50" s="54">
        <v>2</v>
      </c>
      <c r="X50" s="54">
        <v>1</v>
      </c>
      <c r="Y50" s="54">
        <v>2</v>
      </c>
      <c r="Z50" s="54">
        <v>3</v>
      </c>
      <c r="AA50" s="54">
        <v>1</v>
      </c>
      <c r="AB50" s="54">
        <v>1</v>
      </c>
      <c r="AC50" s="54">
        <v>1</v>
      </c>
      <c r="AD50" s="54">
        <v>4</v>
      </c>
      <c r="AE50" s="54">
        <v>2</v>
      </c>
      <c r="AF50" s="54"/>
      <c r="AG50" s="5">
        <f t="shared" si="2"/>
        <v>44</v>
      </c>
    </row>
    <row r="51" spans="1:33" ht="15.75" customHeight="1" x14ac:dyDescent="0.25">
      <c r="A51" s="56" t="s">
        <v>24</v>
      </c>
      <c r="B51" s="54">
        <v>1</v>
      </c>
      <c r="C51" s="54">
        <v>1</v>
      </c>
      <c r="D51" s="54">
        <v>1</v>
      </c>
      <c r="E51" s="54">
        <v>0</v>
      </c>
      <c r="F51" s="54">
        <v>1</v>
      </c>
      <c r="G51" s="54">
        <v>1</v>
      </c>
      <c r="H51" s="54">
        <v>1</v>
      </c>
      <c r="I51" s="54">
        <v>2</v>
      </c>
      <c r="J51" s="54">
        <v>2</v>
      </c>
      <c r="K51" s="54">
        <v>1</v>
      </c>
      <c r="L51" s="54">
        <v>0</v>
      </c>
      <c r="M51" s="54">
        <v>1</v>
      </c>
      <c r="N51" s="54">
        <v>1</v>
      </c>
      <c r="O51" s="54">
        <v>3</v>
      </c>
      <c r="P51" s="54">
        <v>0</v>
      </c>
      <c r="Q51" s="54">
        <v>2</v>
      </c>
      <c r="R51" s="54">
        <v>0</v>
      </c>
      <c r="S51" s="54">
        <v>1</v>
      </c>
      <c r="T51" s="54">
        <v>4</v>
      </c>
      <c r="U51" s="54">
        <v>0</v>
      </c>
      <c r="V51" s="54">
        <v>1</v>
      </c>
      <c r="W51" s="54">
        <v>2</v>
      </c>
      <c r="X51" s="54">
        <v>1</v>
      </c>
      <c r="Y51" s="54">
        <v>0</v>
      </c>
      <c r="Z51" s="54">
        <v>4</v>
      </c>
      <c r="AA51" s="54">
        <v>2</v>
      </c>
      <c r="AB51" s="54">
        <v>2</v>
      </c>
      <c r="AC51" s="54">
        <v>0</v>
      </c>
      <c r="AD51" s="54">
        <v>0</v>
      </c>
      <c r="AE51" s="54">
        <v>1</v>
      </c>
      <c r="AF51" s="54"/>
      <c r="AG51" s="5">
        <f t="shared" si="2"/>
        <v>36</v>
      </c>
    </row>
    <row r="52" spans="1:33" ht="15.75" customHeight="1" thickBot="1" x14ac:dyDescent="0.3">
      <c r="A52" s="57" t="s">
        <v>25</v>
      </c>
      <c r="B52" s="58">
        <v>0</v>
      </c>
      <c r="C52" s="58">
        <v>1</v>
      </c>
      <c r="D52" s="58">
        <v>2</v>
      </c>
      <c r="E52" s="58">
        <v>0</v>
      </c>
      <c r="F52" s="58">
        <v>0</v>
      </c>
      <c r="G52" s="58">
        <v>0</v>
      </c>
      <c r="H52" s="58">
        <v>13</v>
      </c>
      <c r="I52" s="58">
        <v>0</v>
      </c>
      <c r="J52" s="58">
        <v>3</v>
      </c>
      <c r="K52" s="58">
        <v>3</v>
      </c>
      <c r="L52" s="58">
        <v>2</v>
      </c>
      <c r="M52" s="58">
        <v>1</v>
      </c>
      <c r="N52" s="58">
        <v>1</v>
      </c>
      <c r="O52" s="58">
        <v>1</v>
      </c>
      <c r="P52" s="58">
        <v>3</v>
      </c>
      <c r="Q52" s="58">
        <v>0</v>
      </c>
      <c r="R52" s="58">
        <v>0</v>
      </c>
      <c r="S52" s="58">
        <v>1</v>
      </c>
      <c r="T52" s="58">
        <v>1</v>
      </c>
      <c r="U52" s="58">
        <v>6</v>
      </c>
      <c r="V52" s="58">
        <v>2</v>
      </c>
      <c r="W52" s="58">
        <v>2</v>
      </c>
      <c r="X52" s="58">
        <v>1</v>
      </c>
      <c r="Y52" s="58">
        <v>2</v>
      </c>
      <c r="Z52" s="58">
        <v>0</v>
      </c>
      <c r="AA52" s="58">
        <v>0</v>
      </c>
      <c r="AB52" s="58">
        <v>2</v>
      </c>
      <c r="AC52" s="58">
        <v>4</v>
      </c>
      <c r="AD52" s="60">
        <v>2</v>
      </c>
      <c r="AE52" s="60">
        <v>4</v>
      </c>
      <c r="AF52" s="60"/>
      <c r="AG52" s="9">
        <f t="shared" si="2"/>
        <v>57</v>
      </c>
    </row>
    <row r="53" spans="1:33" ht="15.75" customHeight="1" thickBot="1" x14ac:dyDescent="0.3">
      <c r="A53" s="52" t="s">
        <v>27</v>
      </c>
      <c r="B53" s="1">
        <f t="shared" ref="B53:AF53" si="4">SUM(B54:B77)</f>
        <v>1</v>
      </c>
      <c r="C53" s="1">
        <f t="shared" si="4"/>
        <v>8</v>
      </c>
      <c r="D53" s="1">
        <f t="shared" si="4"/>
        <v>22</v>
      </c>
      <c r="E53" s="1">
        <f t="shared" si="4"/>
        <v>13</v>
      </c>
      <c r="F53" s="1">
        <f t="shared" si="4"/>
        <v>5</v>
      </c>
      <c r="G53" s="1">
        <f t="shared" si="4"/>
        <v>6</v>
      </c>
      <c r="H53" s="1">
        <f t="shared" si="4"/>
        <v>10</v>
      </c>
      <c r="I53" s="1">
        <f t="shared" si="4"/>
        <v>3</v>
      </c>
      <c r="J53" s="1">
        <f t="shared" si="4"/>
        <v>20</v>
      </c>
      <c r="K53" s="1">
        <f t="shared" si="4"/>
        <v>29</v>
      </c>
      <c r="L53" s="1">
        <f t="shared" si="4"/>
        <v>13</v>
      </c>
      <c r="M53" s="1">
        <f t="shared" si="4"/>
        <v>17</v>
      </c>
      <c r="N53" s="1">
        <f t="shared" si="4"/>
        <v>12</v>
      </c>
      <c r="O53" s="1">
        <f t="shared" si="4"/>
        <v>10</v>
      </c>
      <c r="P53" s="1">
        <f t="shared" si="4"/>
        <v>7</v>
      </c>
      <c r="Q53" s="1">
        <f t="shared" si="4"/>
        <v>9</v>
      </c>
      <c r="R53" s="1">
        <f t="shared" si="4"/>
        <v>14</v>
      </c>
      <c r="S53" s="1">
        <f t="shared" si="4"/>
        <v>21</v>
      </c>
      <c r="T53" s="1">
        <f t="shared" si="4"/>
        <v>12</v>
      </c>
      <c r="U53" s="1">
        <f t="shared" si="4"/>
        <v>12</v>
      </c>
      <c r="V53" s="1">
        <f t="shared" si="4"/>
        <v>11</v>
      </c>
      <c r="W53" s="1">
        <f t="shared" si="4"/>
        <v>6</v>
      </c>
      <c r="X53" s="1">
        <f t="shared" si="4"/>
        <v>19</v>
      </c>
      <c r="Y53" s="1">
        <f t="shared" si="4"/>
        <v>37</v>
      </c>
      <c r="Z53" s="1">
        <f t="shared" si="4"/>
        <v>13</v>
      </c>
      <c r="AA53" s="1">
        <f t="shared" si="4"/>
        <v>9</v>
      </c>
      <c r="AB53" s="1">
        <f t="shared" si="4"/>
        <v>13</v>
      </c>
      <c r="AC53" s="1">
        <f t="shared" si="4"/>
        <v>11</v>
      </c>
      <c r="AD53" s="1">
        <f t="shared" si="4"/>
        <v>7</v>
      </c>
      <c r="AE53" s="1">
        <f t="shared" si="4"/>
        <v>9</v>
      </c>
      <c r="AF53" s="1">
        <f t="shared" si="4"/>
        <v>0</v>
      </c>
      <c r="AG53" s="10">
        <f t="shared" si="2"/>
        <v>379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1</v>
      </c>
      <c r="J54" s="55">
        <v>1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/>
      <c r="AG54" s="4">
        <f t="shared" si="2"/>
        <v>2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1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/>
      <c r="AG55" s="5">
        <f t="shared" si="2"/>
        <v>1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/>
      <c r="AG56" s="5">
        <f t="shared" si="2"/>
        <v>0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1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1</v>
      </c>
      <c r="AE57" s="54">
        <v>0</v>
      </c>
      <c r="AF57" s="54"/>
      <c r="AG57" s="5">
        <f t="shared" si="2"/>
        <v>2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1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1</v>
      </c>
      <c r="AE58" s="54">
        <v>0</v>
      </c>
      <c r="AF58" s="54"/>
      <c r="AG58" s="5">
        <f t="shared" si="2"/>
        <v>2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2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4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1</v>
      </c>
      <c r="AF59" s="54"/>
      <c r="AG59" s="5">
        <f t="shared" si="2"/>
        <v>7</v>
      </c>
    </row>
    <row r="60" spans="1:33" ht="15.75" customHeight="1" x14ac:dyDescent="0.25">
      <c r="A60" s="56" t="s">
        <v>8</v>
      </c>
      <c r="B60" s="54">
        <v>0</v>
      </c>
      <c r="C60" s="54">
        <v>1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1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/>
      <c r="AG60" s="5">
        <f t="shared" si="2"/>
        <v>2</v>
      </c>
    </row>
    <row r="61" spans="1:33" ht="15.75" customHeight="1" x14ac:dyDescent="0.25">
      <c r="A61" s="56" t="s">
        <v>9</v>
      </c>
      <c r="B61" s="54">
        <v>0</v>
      </c>
      <c r="C61" s="54">
        <v>4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2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2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1</v>
      </c>
      <c r="AF61" s="54"/>
      <c r="AG61" s="5">
        <f t="shared" si="2"/>
        <v>9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6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1</v>
      </c>
      <c r="Q62" s="54">
        <v>1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1</v>
      </c>
      <c r="X62" s="54">
        <v>1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1</v>
      </c>
      <c r="AE62" s="54">
        <v>0</v>
      </c>
      <c r="AF62" s="54"/>
      <c r="AG62" s="5">
        <f t="shared" si="2"/>
        <v>11</v>
      </c>
    </row>
    <row r="63" spans="1:33" ht="15.75" customHeight="1" x14ac:dyDescent="0.25">
      <c r="A63" s="56" t="s">
        <v>11</v>
      </c>
      <c r="B63" s="54">
        <v>0</v>
      </c>
      <c r="C63" s="54">
        <v>0</v>
      </c>
      <c r="D63" s="54">
        <v>0</v>
      </c>
      <c r="E63" s="54">
        <v>1</v>
      </c>
      <c r="F63" s="54">
        <v>1</v>
      </c>
      <c r="G63" s="54">
        <v>0</v>
      </c>
      <c r="H63" s="54">
        <v>0</v>
      </c>
      <c r="I63" s="54">
        <v>1</v>
      </c>
      <c r="J63" s="54">
        <v>2</v>
      </c>
      <c r="K63" s="54">
        <v>0</v>
      </c>
      <c r="L63" s="54">
        <v>2</v>
      </c>
      <c r="M63" s="54">
        <v>0</v>
      </c>
      <c r="N63" s="54">
        <v>1</v>
      </c>
      <c r="O63" s="54">
        <v>0</v>
      </c>
      <c r="P63" s="54">
        <v>0</v>
      </c>
      <c r="Q63" s="54">
        <v>0</v>
      </c>
      <c r="R63" s="54">
        <v>0</v>
      </c>
      <c r="S63" s="54">
        <v>0</v>
      </c>
      <c r="T63" s="54">
        <v>1</v>
      </c>
      <c r="U63" s="54">
        <v>2</v>
      </c>
      <c r="V63" s="54">
        <v>4</v>
      </c>
      <c r="W63" s="54">
        <v>1</v>
      </c>
      <c r="X63" s="54">
        <v>0</v>
      </c>
      <c r="Y63" s="54">
        <v>0</v>
      </c>
      <c r="Z63" s="54">
        <v>0</v>
      </c>
      <c r="AA63" s="54">
        <v>0</v>
      </c>
      <c r="AB63" s="54">
        <v>0</v>
      </c>
      <c r="AC63" s="54">
        <v>1</v>
      </c>
      <c r="AD63" s="54">
        <v>0</v>
      </c>
      <c r="AE63" s="54">
        <v>1</v>
      </c>
      <c r="AF63" s="54"/>
      <c r="AG63" s="5">
        <f t="shared" si="2"/>
        <v>18</v>
      </c>
    </row>
    <row r="64" spans="1:33" ht="15.75" customHeight="1" x14ac:dyDescent="0.25">
      <c r="A64" s="56" t="s">
        <v>12</v>
      </c>
      <c r="B64" s="54">
        <v>0</v>
      </c>
      <c r="C64" s="54">
        <v>1</v>
      </c>
      <c r="D64" s="54">
        <v>3</v>
      </c>
      <c r="E64" s="54">
        <v>0</v>
      </c>
      <c r="F64" s="54">
        <v>0</v>
      </c>
      <c r="G64" s="54">
        <v>0</v>
      </c>
      <c r="H64" s="54">
        <v>0</v>
      </c>
      <c r="I64" s="54">
        <v>0</v>
      </c>
      <c r="J64" s="54">
        <v>3</v>
      </c>
      <c r="K64" s="54">
        <v>1</v>
      </c>
      <c r="L64" s="54">
        <v>0</v>
      </c>
      <c r="M64" s="54">
        <v>0</v>
      </c>
      <c r="N64" s="54">
        <v>0</v>
      </c>
      <c r="O64" s="54">
        <v>1</v>
      </c>
      <c r="P64" s="54">
        <v>1</v>
      </c>
      <c r="Q64" s="54">
        <v>0</v>
      </c>
      <c r="R64" s="54">
        <v>1</v>
      </c>
      <c r="S64" s="54">
        <v>0</v>
      </c>
      <c r="T64" s="54">
        <v>0</v>
      </c>
      <c r="U64" s="54">
        <v>1</v>
      </c>
      <c r="V64" s="54">
        <v>0</v>
      </c>
      <c r="W64" s="54">
        <v>2</v>
      </c>
      <c r="X64" s="54">
        <v>1</v>
      </c>
      <c r="Y64" s="54">
        <v>0</v>
      </c>
      <c r="Z64" s="54">
        <v>0</v>
      </c>
      <c r="AA64" s="54">
        <v>2</v>
      </c>
      <c r="AB64" s="54">
        <v>2</v>
      </c>
      <c r="AC64" s="54">
        <v>0</v>
      </c>
      <c r="AD64" s="54">
        <v>1</v>
      </c>
      <c r="AE64" s="54">
        <v>3</v>
      </c>
      <c r="AF64" s="54"/>
      <c r="AG64" s="5">
        <f t="shared" si="2"/>
        <v>23</v>
      </c>
    </row>
    <row r="65" spans="1:33" ht="15.75" customHeight="1" x14ac:dyDescent="0.25">
      <c r="A65" s="56" t="s">
        <v>13</v>
      </c>
      <c r="B65" s="54">
        <v>0</v>
      </c>
      <c r="C65" s="54">
        <v>2</v>
      </c>
      <c r="D65" s="54">
        <v>0</v>
      </c>
      <c r="E65" s="54">
        <v>1</v>
      </c>
      <c r="F65" s="54">
        <v>1</v>
      </c>
      <c r="G65" s="54">
        <v>1</v>
      </c>
      <c r="H65" s="54">
        <v>6</v>
      </c>
      <c r="I65" s="54">
        <v>0</v>
      </c>
      <c r="J65" s="54">
        <v>3</v>
      </c>
      <c r="K65" s="54">
        <v>2</v>
      </c>
      <c r="L65" s="54">
        <v>1</v>
      </c>
      <c r="M65" s="54">
        <v>0</v>
      </c>
      <c r="N65" s="54">
        <v>0</v>
      </c>
      <c r="O65" s="54">
        <v>0</v>
      </c>
      <c r="P65" s="54">
        <v>1</v>
      </c>
      <c r="Q65" s="54">
        <v>0</v>
      </c>
      <c r="R65" s="54">
        <v>1</v>
      </c>
      <c r="S65" s="54">
        <v>0</v>
      </c>
      <c r="T65" s="54">
        <v>0</v>
      </c>
      <c r="U65" s="54">
        <v>1</v>
      </c>
      <c r="V65" s="54">
        <v>1</v>
      </c>
      <c r="W65" s="54">
        <v>1</v>
      </c>
      <c r="X65" s="54">
        <v>3</v>
      </c>
      <c r="Y65" s="54">
        <v>1</v>
      </c>
      <c r="Z65" s="54">
        <v>1</v>
      </c>
      <c r="AA65" s="54">
        <v>0</v>
      </c>
      <c r="AB65" s="54">
        <v>1</v>
      </c>
      <c r="AC65" s="54">
        <v>0</v>
      </c>
      <c r="AD65" s="54">
        <v>0</v>
      </c>
      <c r="AE65" s="54">
        <v>2</v>
      </c>
      <c r="AF65" s="54"/>
      <c r="AG65" s="5">
        <f t="shared" si="2"/>
        <v>30</v>
      </c>
    </row>
    <row r="66" spans="1:33" ht="15.75" customHeight="1" x14ac:dyDescent="0.25">
      <c r="A66" s="56" t="s">
        <v>14</v>
      </c>
      <c r="B66" s="54">
        <v>0</v>
      </c>
      <c r="C66" s="54">
        <v>0</v>
      </c>
      <c r="D66" s="54">
        <v>3</v>
      </c>
      <c r="E66" s="54">
        <v>1</v>
      </c>
      <c r="F66" s="54">
        <v>2</v>
      </c>
      <c r="G66" s="54">
        <v>3</v>
      </c>
      <c r="H66" s="54">
        <v>1</v>
      </c>
      <c r="I66" s="54">
        <v>0</v>
      </c>
      <c r="J66" s="54">
        <v>0</v>
      </c>
      <c r="K66" s="54">
        <v>0</v>
      </c>
      <c r="L66" s="54">
        <v>2</v>
      </c>
      <c r="M66" s="54">
        <v>1</v>
      </c>
      <c r="N66" s="54">
        <v>1</v>
      </c>
      <c r="O66" s="54">
        <v>2</v>
      </c>
      <c r="P66" s="54">
        <v>1</v>
      </c>
      <c r="Q66" s="54">
        <v>2</v>
      </c>
      <c r="R66" s="54">
        <v>3</v>
      </c>
      <c r="S66" s="54">
        <v>1</v>
      </c>
      <c r="T66" s="54">
        <v>1</v>
      </c>
      <c r="U66" s="54">
        <v>3</v>
      </c>
      <c r="V66" s="54">
        <v>3</v>
      </c>
      <c r="W66" s="54">
        <v>0</v>
      </c>
      <c r="X66" s="54">
        <v>0</v>
      </c>
      <c r="Y66" s="54">
        <v>2</v>
      </c>
      <c r="Z66" s="54">
        <v>0</v>
      </c>
      <c r="AA66" s="54">
        <v>1</v>
      </c>
      <c r="AB66" s="54">
        <v>2</v>
      </c>
      <c r="AC66" s="54">
        <v>4</v>
      </c>
      <c r="AD66" s="54">
        <v>0</v>
      </c>
      <c r="AE66" s="54">
        <v>0</v>
      </c>
      <c r="AF66" s="54"/>
      <c r="AG66" s="5">
        <f t="shared" si="2"/>
        <v>39</v>
      </c>
    </row>
    <row r="67" spans="1:33" ht="15.75" customHeight="1" x14ac:dyDescent="0.25">
      <c r="A67" s="56" t="s">
        <v>15</v>
      </c>
      <c r="B67" s="54">
        <v>0</v>
      </c>
      <c r="C67" s="54">
        <v>0</v>
      </c>
      <c r="D67" s="54">
        <v>0</v>
      </c>
      <c r="E67" s="54">
        <v>1</v>
      </c>
      <c r="F67" s="54">
        <v>0</v>
      </c>
      <c r="G67" s="54">
        <v>1</v>
      </c>
      <c r="H67" s="54">
        <v>0</v>
      </c>
      <c r="I67" s="54">
        <v>0</v>
      </c>
      <c r="J67" s="54">
        <v>1</v>
      </c>
      <c r="K67" s="54">
        <v>0</v>
      </c>
      <c r="L67" s="54">
        <v>2</v>
      </c>
      <c r="M67" s="54">
        <v>6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  <c r="S67" s="54">
        <v>2</v>
      </c>
      <c r="T67" s="54">
        <v>0</v>
      </c>
      <c r="U67" s="54">
        <v>4</v>
      </c>
      <c r="V67" s="54">
        <v>2</v>
      </c>
      <c r="W67" s="54">
        <v>0</v>
      </c>
      <c r="X67" s="54">
        <v>2</v>
      </c>
      <c r="Y67" s="54">
        <v>1</v>
      </c>
      <c r="Z67" s="54">
        <v>2</v>
      </c>
      <c r="AA67" s="54">
        <v>0</v>
      </c>
      <c r="AB67" s="54">
        <v>2</v>
      </c>
      <c r="AC67" s="54">
        <v>2</v>
      </c>
      <c r="AD67" s="54">
        <v>0</v>
      </c>
      <c r="AE67" s="54">
        <v>0</v>
      </c>
      <c r="AF67" s="54"/>
      <c r="AG67" s="5">
        <f t="shared" ref="AG67:AG98" si="5">SUM(B67:AF67)</f>
        <v>29</v>
      </c>
    </row>
    <row r="68" spans="1:33" ht="15.75" customHeight="1" x14ac:dyDescent="0.25">
      <c r="A68" s="56" t="s">
        <v>16</v>
      </c>
      <c r="B68" s="54">
        <v>0</v>
      </c>
      <c r="C68" s="54">
        <v>0</v>
      </c>
      <c r="D68" s="54">
        <v>2</v>
      </c>
      <c r="E68" s="54">
        <v>1</v>
      </c>
      <c r="F68" s="54">
        <v>0</v>
      </c>
      <c r="G68" s="54">
        <v>0</v>
      </c>
      <c r="H68" s="54">
        <v>2</v>
      </c>
      <c r="I68" s="54">
        <v>0</v>
      </c>
      <c r="J68" s="54">
        <v>0</v>
      </c>
      <c r="K68" s="54">
        <v>0</v>
      </c>
      <c r="L68" s="54">
        <v>4</v>
      </c>
      <c r="M68" s="54">
        <v>1</v>
      </c>
      <c r="N68" s="54">
        <v>4</v>
      </c>
      <c r="O68" s="54">
        <v>0</v>
      </c>
      <c r="P68" s="54">
        <v>0</v>
      </c>
      <c r="Q68" s="54">
        <v>0</v>
      </c>
      <c r="R68" s="54">
        <v>0</v>
      </c>
      <c r="S68" s="54">
        <v>2</v>
      </c>
      <c r="T68" s="54">
        <v>2</v>
      </c>
      <c r="U68" s="54">
        <v>0</v>
      </c>
      <c r="V68" s="54">
        <v>0</v>
      </c>
      <c r="W68" s="54">
        <v>0</v>
      </c>
      <c r="X68" s="54">
        <v>0</v>
      </c>
      <c r="Y68" s="54">
        <v>7</v>
      </c>
      <c r="Z68" s="54">
        <v>4</v>
      </c>
      <c r="AA68" s="54">
        <v>0</v>
      </c>
      <c r="AB68" s="54">
        <v>2</v>
      </c>
      <c r="AC68" s="54">
        <v>0</v>
      </c>
      <c r="AD68" s="54">
        <v>1</v>
      </c>
      <c r="AE68" s="54">
        <v>0</v>
      </c>
      <c r="AF68" s="54"/>
      <c r="AG68" s="5">
        <f t="shared" si="5"/>
        <v>32</v>
      </c>
    </row>
    <row r="69" spans="1:33" ht="15.75" customHeight="1" x14ac:dyDescent="0.25">
      <c r="A69" s="56" t="s">
        <v>17</v>
      </c>
      <c r="B69" s="54">
        <v>1</v>
      </c>
      <c r="C69" s="54">
        <v>0</v>
      </c>
      <c r="D69" s="54">
        <v>0</v>
      </c>
      <c r="E69" s="54">
        <v>2</v>
      </c>
      <c r="F69" s="54">
        <v>1</v>
      </c>
      <c r="G69" s="54">
        <v>1</v>
      </c>
      <c r="H69" s="54">
        <v>1</v>
      </c>
      <c r="I69" s="54">
        <v>0</v>
      </c>
      <c r="J69" s="54">
        <v>0</v>
      </c>
      <c r="K69" s="54">
        <v>0</v>
      </c>
      <c r="L69" s="54">
        <v>1</v>
      </c>
      <c r="M69" s="54">
        <v>1</v>
      </c>
      <c r="N69" s="54">
        <v>0</v>
      </c>
      <c r="O69" s="54">
        <v>1</v>
      </c>
      <c r="P69" s="54">
        <v>1</v>
      </c>
      <c r="Q69" s="54">
        <v>0</v>
      </c>
      <c r="R69" s="54">
        <v>5</v>
      </c>
      <c r="S69" s="54">
        <v>2</v>
      </c>
      <c r="T69" s="54">
        <v>0</v>
      </c>
      <c r="U69" s="54">
        <v>0</v>
      </c>
      <c r="V69" s="54">
        <v>0</v>
      </c>
      <c r="W69" s="54">
        <v>1</v>
      </c>
      <c r="X69" s="54">
        <v>3</v>
      </c>
      <c r="Y69" s="54">
        <v>0</v>
      </c>
      <c r="Z69" s="54">
        <v>1</v>
      </c>
      <c r="AA69" s="54">
        <v>1</v>
      </c>
      <c r="AB69" s="54">
        <v>0</v>
      </c>
      <c r="AC69" s="54">
        <v>1</v>
      </c>
      <c r="AD69" s="54">
        <v>2</v>
      </c>
      <c r="AE69" s="54">
        <v>0</v>
      </c>
      <c r="AF69" s="54"/>
      <c r="AG69" s="5">
        <f t="shared" si="5"/>
        <v>26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2</v>
      </c>
      <c r="E70" s="54">
        <v>5</v>
      </c>
      <c r="F70" s="54">
        <v>0</v>
      </c>
      <c r="G70" s="54">
        <v>0</v>
      </c>
      <c r="H70" s="54">
        <v>0</v>
      </c>
      <c r="I70" s="54">
        <v>0</v>
      </c>
      <c r="J70" s="54">
        <v>0</v>
      </c>
      <c r="K70" s="54">
        <v>8</v>
      </c>
      <c r="L70" s="54">
        <v>0</v>
      </c>
      <c r="M70" s="54">
        <v>0</v>
      </c>
      <c r="N70" s="54">
        <v>1</v>
      </c>
      <c r="O70" s="54">
        <v>2</v>
      </c>
      <c r="P70" s="54">
        <v>2</v>
      </c>
      <c r="Q70" s="54">
        <v>0</v>
      </c>
      <c r="R70" s="54">
        <v>1</v>
      </c>
      <c r="S70" s="54">
        <v>6</v>
      </c>
      <c r="T70" s="54">
        <v>3</v>
      </c>
      <c r="U70" s="54">
        <v>0</v>
      </c>
      <c r="V70" s="54">
        <v>0</v>
      </c>
      <c r="W70" s="54">
        <v>0</v>
      </c>
      <c r="X70" s="54">
        <v>1</v>
      </c>
      <c r="Y70" s="54">
        <v>7</v>
      </c>
      <c r="Z70" s="54">
        <v>1</v>
      </c>
      <c r="AA70" s="54">
        <v>1</v>
      </c>
      <c r="AB70" s="54">
        <v>2</v>
      </c>
      <c r="AC70" s="54">
        <v>0</v>
      </c>
      <c r="AD70" s="55">
        <v>0</v>
      </c>
      <c r="AE70" s="55">
        <v>0</v>
      </c>
      <c r="AF70" s="55"/>
      <c r="AG70" s="5">
        <f t="shared" si="5"/>
        <v>42</v>
      </c>
    </row>
    <row r="71" spans="1:33" ht="15.75" customHeight="1" x14ac:dyDescent="0.25">
      <c r="A71" s="56" t="s">
        <v>19</v>
      </c>
      <c r="B71" s="54">
        <v>0</v>
      </c>
      <c r="C71" s="54">
        <v>0</v>
      </c>
      <c r="D71" s="54">
        <v>6</v>
      </c>
      <c r="E71" s="54">
        <v>1</v>
      </c>
      <c r="F71" s="54">
        <v>0</v>
      </c>
      <c r="G71" s="54">
        <v>0</v>
      </c>
      <c r="H71" s="54">
        <v>0</v>
      </c>
      <c r="I71" s="54">
        <v>1</v>
      </c>
      <c r="J71" s="54">
        <v>0</v>
      </c>
      <c r="K71" s="54">
        <v>16</v>
      </c>
      <c r="L71" s="54">
        <v>1</v>
      </c>
      <c r="M71" s="54">
        <v>8</v>
      </c>
      <c r="N71" s="54">
        <v>4</v>
      </c>
      <c r="O71" s="54">
        <v>3</v>
      </c>
      <c r="P71" s="54">
        <v>0</v>
      </c>
      <c r="Q71" s="54">
        <v>1</v>
      </c>
      <c r="R71" s="54">
        <v>0</v>
      </c>
      <c r="S71" s="54">
        <v>3</v>
      </c>
      <c r="T71" s="54">
        <v>4</v>
      </c>
      <c r="U71" s="54">
        <v>0</v>
      </c>
      <c r="V71" s="54">
        <v>1</v>
      </c>
      <c r="W71" s="54">
        <v>0</v>
      </c>
      <c r="X71" s="54">
        <v>1</v>
      </c>
      <c r="Y71" s="54">
        <v>0</v>
      </c>
      <c r="Z71" s="54">
        <v>3</v>
      </c>
      <c r="AA71" s="54">
        <v>4</v>
      </c>
      <c r="AB71" s="54">
        <v>1</v>
      </c>
      <c r="AC71" s="54">
        <v>1</v>
      </c>
      <c r="AD71" s="55">
        <v>0</v>
      </c>
      <c r="AE71" s="55">
        <v>0</v>
      </c>
      <c r="AF71" s="55"/>
      <c r="AG71" s="5">
        <f t="shared" si="5"/>
        <v>59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5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2</v>
      </c>
      <c r="L72" s="54">
        <v>0</v>
      </c>
      <c r="M72" s="54">
        <v>0</v>
      </c>
      <c r="N72" s="54">
        <v>0</v>
      </c>
      <c r="O72" s="54">
        <v>1</v>
      </c>
      <c r="P72" s="54">
        <v>0</v>
      </c>
      <c r="Q72" s="54">
        <v>0</v>
      </c>
      <c r="R72" s="54">
        <v>0</v>
      </c>
      <c r="S72" s="54">
        <v>3</v>
      </c>
      <c r="T72" s="54">
        <v>0</v>
      </c>
      <c r="U72" s="54">
        <v>0</v>
      </c>
      <c r="V72" s="54">
        <v>0</v>
      </c>
      <c r="W72" s="54">
        <v>0</v>
      </c>
      <c r="X72" s="54">
        <v>1</v>
      </c>
      <c r="Y72" s="54">
        <v>5</v>
      </c>
      <c r="Z72" s="54">
        <v>0</v>
      </c>
      <c r="AA72" s="54">
        <v>0</v>
      </c>
      <c r="AB72" s="54">
        <v>1</v>
      </c>
      <c r="AC72" s="54">
        <v>2</v>
      </c>
      <c r="AD72" s="55">
        <v>0</v>
      </c>
      <c r="AE72" s="55">
        <v>0</v>
      </c>
      <c r="AF72" s="55"/>
      <c r="AG72" s="5">
        <f t="shared" si="5"/>
        <v>20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1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  <c r="S73" s="54">
        <v>1</v>
      </c>
      <c r="T73" s="54">
        <v>1</v>
      </c>
      <c r="U73" s="54">
        <v>0</v>
      </c>
      <c r="V73" s="54">
        <v>0</v>
      </c>
      <c r="W73" s="54">
        <v>0</v>
      </c>
      <c r="X73" s="54">
        <v>0</v>
      </c>
      <c r="Y73" s="54">
        <v>7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/>
      <c r="AG73" s="5">
        <f t="shared" si="5"/>
        <v>11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  <c r="S74" s="54">
        <v>1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7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/>
      <c r="AG74" s="5">
        <f t="shared" si="5"/>
        <v>9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/>
      <c r="AG75" s="5">
        <f t="shared" si="5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1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1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1</v>
      </c>
      <c r="AF76" s="55"/>
      <c r="AG76" s="5">
        <f t="shared" si="5"/>
        <v>3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1</v>
      </c>
      <c r="V77" s="58">
        <v>0</v>
      </c>
      <c r="W77" s="58">
        <v>0</v>
      </c>
      <c r="X77" s="58">
        <v>0</v>
      </c>
      <c r="Y77" s="58">
        <v>0</v>
      </c>
      <c r="Z77" s="58">
        <v>1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/>
      <c r="AG77" s="9">
        <f t="shared" si="5"/>
        <v>2</v>
      </c>
    </row>
    <row r="78" spans="1:33" ht="19.5" customHeight="1" thickBot="1" x14ac:dyDescent="0.3">
      <c r="A78" s="63" t="s">
        <v>28</v>
      </c>
      <c r="B78" s="11">
        <f t="shared" ref="B78:AF78" si="6">SUM(B79:B80)</f>
        <v>177</v>
      </c>
      <c r="C78" s="11">
        <f t="shared" si="6"/>
        <v>200</v>
      </c>
      <c r="D78" s="11">
        <f t="shared" si="6"/>
        <v>166</v>
      </c>
      <c r="E78" s="11">
        <f t="shared" si="6"/>
        <v>151</v>
      </c>
      <c r="F78" s="11">
        <f t="shared" si="6"/>
        <v>147</v>
      </c>
      <c r="G78" s="11">
        <f t="shared" si="6"/>
        <v>121</v>
      </c>
      <c r="H78" s="11">
        <f t="shared" si="6"/>
        <v>132</v>
      </c>
      <c r="I78" s="11">
        <f t="shared" si="6"/>
        <v>180</v>
      </c>
      <c r="J78" s="11">
        <f t="shared" si="6"/>
        <v>201</v>
      </c>
      <c r="K78" s="11">
        <f t="shared" si="6"/>
        <v>161</v>
      </c>
      <c r="L78" s="11">
        <f t="shared" si="6"/>
        <v>148</v>
      </c>
      <c r="M78" s="11">
        <f t="shared" si="6"/>
        <v>149</v>
      </c>
      <c r="N78" s="11">
        <f t="shared" si="6"/>
        <v>123</v>
      </c>
      <c r="O78" s="11">
        <f t="shared" si="6"/>
        <v>129</v>
      </c>
      <c r="P78" s="11">
        <f t="shared" si="6"/>
        <v>183</v>
      </c>
      <c r="Q78" s="11">
        <f t="shared" si="6"/>
        <v>185</v>
      </c>
      <c r="R78" s="11">
        <f t="shared" si="6"/>
        <v>161</v>
      </c>
      <c r="S78" s="11">
        <f t="shared" si="6"/>
        <v>165</v>
      </c>
      <c r="T78" s="11">
        <f t="shared" si="6"/>
        <v>136</v>
      </c>
      <c r="U78" s="11">
        <f t="shared" si="6"/>
        <v>157</v>
      </c>
      <c r="V78" s="11">
        <f t="shared" si="6"/>
        <v>133</v>
      </c>
      <c r="W78" s="11">
        <f t="shared" si="6"/>
        <v>213</v>
      </c>
      <c r="X78" s="11">
        <f t="shared" si="6"/>
        <v>230</v>
      </c>
      <c r="Y78" s="11">
        <f t="shared" si="6"/>
        <v>180</v>
      </c>
      <c r="Z78" s="11">
        <f t="shared" si="6"/>
        <v>156</v>
      </c>
      <c r="AA78" s="11">
        <f t="shared" si="6"/>
        <v>149</v>
      </c>
      <c r="AB78" s="11">
        <f t="shared" si="6"/>
        <v>138</v>
      </c>
      <c r="AC78" s="11">
        <f t="shared" si="6"/>
        <v>137</v>
      </c>
      <c r="AD78" s="11">
        <f t="shared" si="6"/>
        <v>195</v>
      </c>
      <c r="AE78" s="11">
        <f t="shared" si="6"/>
        <v>182</v>
      </c>
      <c r="AF78" s="11">
        <f t="shared" si="6"/>
        <v>0</v>
      </c>
      <c r="AG78" s="10">
        <f t="shared" si="5"/>
        <v>4885</v>
      </c>
    </row>
    <row r="79" spans="1:33" ht="19.5" customHeight="1" x14ac:dyDescent="0.25">
      <c r="A79" s="64" t="s">
        <v>29</v>
      </c>
      <c r="B79" s="3">
        <f t="shared" ref="B79" si="7">SUM(B4:B27)-B80</f>
        <v>177</v>
      </c>
      <c r="C79" s="3">
        <f t="shared" ref="C79" si="8">SUM(C4:C27)-C80</f>
        <v>200</v>
      </c>
      <c r="D79" s="3">
        <f t="shared" ref="D79:AF79" si="9">SUM(D4:D27)-D80</f>
        <v>166</v>
      </c>
      <c r="E79" s="3">
        <f t="shared" si="9"/>
        <v>151</v>
      </c>
      <c r="F79" s="3">
        <f t="shared" si="9"/>
        <v>147</v>
      </c>
      <c r="G79" s="3">
        <f t="shared" si="9"/>
        <v>121</v>
      </c>
      <c r="H79" s="3">
        <f t="shared" si="9"/>
        <v>132</v>
      </c>
      <c r="I79" s="3">
        <f t="shared" si="9"/>
        <v>180</v>
      </c>
      <c r="J79" s="3">
        <f t="shared" si="9"/>
        <v>201</v>
      </c>
      <c r="K79" s="3">
        <f t="shared" si="9"/>
        <v>161</v>
      </c>
      <c r="L79" s="3">
        <f t="shared" si="9"/>
        <v>148</v>
      </c>
      <c r="M79" s="3">
        <f t="shared" si="9"/>
        <v>149</v>
      </c>
      <c r="N79" s="3">
        <f t="shared" si="9"/>
        <v>123</v>
      </c>
      <c r="O79" s="3">
        <f t="shared" si="9"/>
        <v>129</v>
      </c>
      <c r="P79" s="3">
        <f t="shared" si="9"/>
        <v>183</v>
      </c>
      <c r="Q79" s="3">
        <f t="shared" si="9"/>
        <v>185</v>
      </c>
      <c r="R79" s="3">
        <f t="shared" si="9"/>
        <v>161</v>
      </c>
      <c r="S79" s="3">
        <f t="shared" si="9"/>
        <v>165</v>
      </c>
      <c r="T79" s="3">
        <f t="shared" si="9"/>
        <v>136</v>
      </c>
      <c r="U79" s="3">
        <f t="shared" si="9"/>
        <v>157</v>
      </c>
      <c r="V79" s="3">
        <f t="shared" si="9"/>
        <v>133</v>
      </c>
      <c r="W79" s="3">
        <f t="shared" si="9"/>
        <v>213</v>
      </c>
      <c r="X79" s="3">
        <f t="shared" si="9"/>
        <v>230</v>
      </c>
      <c r="Y79" s="3">
        <f t="shared" si="9"/>
        <v>180</v>
      </c>
      <c r="Z79" s="3">
        <f t="shared" si="9"/>
        <v>156</v>
      </c>
      <c r="AA79" s="3">
        <f t="shared" si="9"/>
        <v>149</v>
      </c>
      <c r="AB79" s="3">
        <f t="shared" si="9"/>
        <v>138</v>
      </c>
      <c r="AC79" s="3">
        <f t="shared" si="9"/>
        <v>137</v>
      </c>
      <c r="AD79" s="3">
        <f t="shared" si="9"/>
        <v>195</v>
      </c>
      <c r="AE79" s="3">
        <f t="shared" si="9"/>
        <v>182</v>
      </c>
      <c r="AF79" s="3">
        <f t="shared" si="9"/>
        <v>0</v>
      </c>
      <c r="AG79" s="4">
        <f t="shared" si="5"/>
        <v>4885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1</v>
      </c>
      <c r="C81" s="12">
        <f t="shared" si="10"/>
        <v>8</v>
      </c>
      <c r="D81" s="12">
        <f t="shared" si="10"/>
        <v>22</v>
      </c>
      <c r="E81" s="12">
        <f t="shared" si="10"/>
        <v>13</v>
      </c>
      <c r="F81" s="12">
        <f t="shared" si="10"/>
        <v>5</v>
      </c>
      <c r="G81" s="12">
        <f t="shared" si="10"/>
        <v>6</v>
      </c>
      <c r="H81" s="12">
        <f t="shared" si="10"/>
        <v>10</v>
      </c>
      <c r="I81" s="12">
        <f t="shared" si="10"/>
        <v>3</v>
      </c>
      <c r="J81" s="12">
        <f t="shared" si="10"/>
        <v>20</v>
      </c>
      <c r="K81" s="12">
        <f t="shared" si="10"/>
        <v>29</v>
      </c>
      <c r="L81" s="12">
        <f t="shared" si="10"/>
        <v>13</v>
      </c>
      <c r="M81" s="12">
        <f t="shared" si="10"/>
        <v>17</v>
      </c>
      <c r="N81" s="12">
        <f t="shared" si="10"/>
        <v>12</v>
      </c>
      <c r="O81" s="12">
        <f t="shared" si="10"/>
        <v>10</v>
      </c>
      <c r="P81" s="12">
        <f t="shared" si="10"/>
        <v>7</v>
      </c>
      <c r="Q81" s="12">
        <f t="shared" si="10"/>
        <v>9</v>
      </c>
      <c r="R81" s="12">
        <f t="shared" si="10"/>
        <v>14</v>
      </c>
      <c r="S81" s="12">
        <f t="shared" si="10"/>
        <v>21</v>
      </c>
      <c r="T81" s="12">
        <f t="shared" si="10"/>
        <v>12</v>
      </c>
      <c r="U81" s="12">
        <f t="shared" si="10"/>
        <v>12</v>
      </c>
      <c r="V81" s="12">
        <f t="shared" si="10"/>
        <v>11</v>
      </c>
      <c r="W81" s="12">
        <f t="shared" si="10"/>
        <v>6</v>
      </c>
      <c r="X81" s="12">
        <f t="shared" si="10"/>
        <v>19</v>
      </c>
      <c r="Y81" s="12">
        <f t="shared" si="10"/>
        <v>37</v>
      </c>
      <c r="Z81" s="12">
        <f t="shared" si="10"/>
        <v>13</v>
      </c>
      <c r="AA81" s="12">
        <f t="shared" si="10"/>
        <v>9</v>
      </c>
      <c r="AB81" s="12">
        <f t="shared" si="10"/>
        <v>13</v>
      </c>
      <c r="AC81" s="12">
        <f t="shared" si="10"/>
        <v>11</v>
      </c>
      <c r="AD81" s="12">
        <f t="shared" si="10"/>
        <v>7</v>
      </c>
      <c r="AE81" s="12">
        <f t="shared" si="10"/>
        <v>9</v>
      </c>
      <c r="AF81" s="12">
        <f t="shared" si="10"/>
        <v>0</v>
      </c>
      <c r="AG81" s="10">
        <f t="shared" si="5"/>
        <v>379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5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1</v>
      </c>
      <c r="J82" s="3">
        <f t="shared" si="11"/>
        <v>11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1</v>
      </c>
      <c r="Q82" s="3">
        <f t="shared" si="11"/>
        <v>6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1</v>
      </c>
      <c r="X82" s="3">
        <f t="shared" si="11"/>
        <v>6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3</v>
      </c>
      <c r="AE82" s="3">
        <f t="shared" si="11"/>
        <v>2</v>
      </c>
      <c r="AF82" s="3">
        <f t="shared" si="11"/>
        <v>0</v>
      </c>
      <c r="AG82" s="4">
        <f t="shared" si="5"/>
        <v>36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1</v>
      </c>
      <c r="C83" s="8">
        <f t="shared" si="12"/>
        <v>3</v>
      </c>
      <c r="D83" s="8">
        <f t="shared" si="12"/>
        <v>22</v>
      </c>
      <c r="E83" s="8">
        <f t="shared" si="12"/>
        <v>13</v>
      </c>
      <c r="F83" s="8">
        <f t="shared" si="12"/>
        <v>5</v>
      </c>
      <c r="G83" s="8">
        <f t="shared" si="12"/>
        <v>6</v>
      </c>
      <c r="H83" s="8">
        <f t="shared" si="12"/>
        <v>10</v>
      </c>
      <c r="I83" s="8">
        <f t="shared" si="12"/>
        <v>2</v>
      </c>
      <c r="J83" s="8">
        <f t="shared" si="12"/>
        <v>9</v>
      </c>
      <c r="K83" s="8">
        <f t="shared" si="12"/>
        <v>29</v>
      </c>
      <c r="L83" s="8">
        <f t="shared" si="12"/>
        <v>13</v>
      </c>
      <c r="M83" s="8">
        <f t="shared" si="12"/>
        <v>17</v>
      </c>
      <c r="N83" s="8">
        <f t="shared" si="12"/>
        <v>12</v>
      </c>
      <c r="O83" s="8">
        <f t="shared" si="12"/>
        <v>10</v>
      </c>
      <c r="P83" s="8">
        <f t="shared" si="12"/>
        <v>6</v>
      </c>
      <c r="Q83" s="8">
        <f t="shared" si="12"/>
        <v>3</v>
      </c>
      <c r="R83" s="8">
        <f t="shared" si="12"/>
        <v>14</v>
      </c>
      <c r="S83" s="8">
        <f t="shared" si="12"/>
        <v>21</v>
      </c>
      <c r="T83" s="8">
        <f t="shared" si="12"/>
        <v>12</v>
      </c>
      <c r="U83" s="8">
        <f t="shared" si="12"/>
        <v>12</v>
      </c>
      <c r="V83" s="8">
        <f t="shared" si="12"/>
        <v>11</v>
      </c>
      <c r="W83" s="8">
        <f t="shared" si="12"/>
        <v>5</v>
      </c>
      <c r="X83" s="8">
        <f t="shared" si="12"/>
        <v>13</v>
      </c>
      <c r="Y83" s="8">
        <f t="shared" si="12"/>
        <v>37</v>
      </c>
      <c r="Z83" s="8">
        <f t="shared" si="12"/>
        <v>13</v>
      </c>
      <c r="AA83" s="8">
        <f t="shared" si="12"/>
        <v>9</v>
      </c>
      <c r="AB83" s="8">
        <f t="shared" si="12"/>
        <v>13</v>
      </c>
      <c r="AC83" s="8">
        <f t="shared" si="12"/>
        <v>11</v>
      </c>
      <c r="AD83" s="8">
        <f t="shared" si="12"/>
        <v>4</v>
      </c>
      <c r="AE83" s="8">
        <f t="shared" si="12"/>
        <v>7</v>
      </c>
      <c r="AF83" s="8">
        <f t="shared" si="12"/>
        <v>0</v>
      </c>
      <c r="AG83" s="5">
        <f t="shared" si="5"/>
        <v>343</v>
      </c>
    </row>
    <row r="84" spans="1:34" ht="15.75" customHeight="1" thickBot="1" x14ac:dyDescent="0.3">
      <c r="A84" s="67" t="s">
        <v>32</v>
      </c>
      <c r="B84" s="14">
        <f t="shared" ref="B84:AF84" si="13">SUM(B85:B86)</f>
        <v>1</v>
      </c>
      <c r="C84" s="14">
        <f t="shared" si="13"/>
        <v>8</v>
      </c>
      <c r="D84" s="14">
        <f t="shared" si="13"/>
        <v>22</v>
      </c>
      <c r="E84" s="14">
        <f t="shared" si="13"/>
        <v>13</v>
      </c>
      <c r="F84" s="14">
        <f t="shared" si="13"/>
        <v>5</v>
      </c>
      <c r="G84" s="14">
        <f t="shared" si="13"/>
        <v>6</v>
      </c>
      <c r="H84" s="14">
        <f t="shared" si="13"/>
        <v>10</v>
      </c>
      <c r="I84" s="14">
        <f t="shared" si="13"/>
        <v>3</v>
      </c>
      <c r="J84" s="14">
        <f t="shared" si="13"/>
        <v>20</v>
      </c>
      <c r="K84" s="14">
        <f t="shared" si="13"/>
        <v>29</v>
      </c>
      <c r="L84" s="14">
        <f t="shared" si="13"/>
        <v>13</v>
      </c>
      <c r="M84" s="14">
        <f t="shared" si="13"/>
        <v>17</v>
      </c>
      <c r="N84" s="14">
        <f t="shared" si="13"/>
        <v>12</v>
      </c>
      <c r="O84" s="14">
        <f t="shared" si="13"/>
        <v>10</v>
      </c>
      <c r="P84" s="14">
        <f t="shared" si="13"/>
        <v>7</v>
      </c>
      <c r="Q84" s="14">
        <f t="shared" si="13"/>
        <v>9</v>
      </c>
      <c r="R84" s="14">
        <f t="shared" si="13"/>
        <v>14</v>
      </c>
      <c r="S84" s="14">
        <f t="shared" si="13"/>
        <v>21</v>
      </c>
      <c r="T84" s="14">
        <f t="shared" si="13"/>
        <v>12</v>
      </c>
      <c r="U84" s="14">
        <f t="shared" si="13"/>
        <v>12</v>
      </c>
      <c r="V84" s="14">
        <f t="shared" si="13"/>
        <v>11</v>
      </c>
      <c r="W84" s="14">
        <f t="shared" si="13"/>
        <v>6</v>
      </c>
      <c r="X84" s="14">
        <f t="shared" si="13"/>
        <v>19</v>
      </c>
      <c r="Y84" s="14">
        <f t="shared" si="13"/>
        <v>37</v>
      </c>
      <c r="Z84" s="14">
        <f t="shared" si="13"/>
        <v>13</v>
      </c>
      <c r="AA84" s="14">
        <f t="shared" si="13"/>
        <v>9</v>
      </c>
      <c r="AB84" s="14">
        <f t="shared" si="13"/>
        <v>13</v>
      </c>
      <c r="AC84" s="14">
        <f t="shared" si="13"/>
        <v>11</v>
      </c>
      <c r="AD84" s="14">
        <f t="shared" si="13"/>
        <v>7</v>
      </c>
      <c r="AE84" s="14">
        <f t="shared" si="13"/>
        <v>9</v>
      </c>
      <c r="AF84" s="14">
        <f t="shared" si="13"/>
        <v>0</v>
      </c>
      <c r="AG84" s="15">
        <f t="shared" si="5"/>
        <v>379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1</v>
      </c>
      <c r="C85" s="69">
        <v>1</v>
      </c>
      <c r="D85" s="69">
        <v>6</v>
      </c>
      <c r="E85" s="69">
        <v>3</v>
      </c>
      <c r="F85" s="69">
        <v>0</v>
      </c>
      <c r="G85" s="69">
        <v>1</v>
      </c>
      <c r="H85" s="69">
        <v>1</v>
      </c>
      <c r="I85" s="69">
        <v>1</v>
      </c>
      <c r="J85" s="69">
        <v>7</v>
      </c>
      <c r="K85" s="69">
        <v>4</v>
      </c>
      <c r="L85" s="69">
        <v>2</v>
      </c>
      <c r="M85" s="69">
        <v>3</v>
      </c>
      <c r="N85" s="69">
        <v>2</v>
      </c>
      <c r="O85" s="69">
        <v>3</v>
      </c>
      <c r="P85" s="69">
        <v>3</v>
      </c>
      <c r="Q85" s="69">
        <v>3</v>
      </c>
      <c r="R85" s="69">
        <v>5</v>
      </c>
      <c r="S85" s="69">
        <v>2</v>
      </c>
      <c r="T85" s="69">
        <v>4</v>
      </c>
      <c r="U85" s="69">
        <v>4</v>
      </c>
      <c r="V85" s="69">
        <v>4</v>
      </c>
      <c r="W85" s="69">
        <v>2</v>
      </c>
      <c r="X85" s="69">
        <v>1</v>
      </c>
      <c r="Y85" s="69">
        <v>11</v>
      </c>
      <c r="Z85" s="69">
        <v>6</v>
      </c>
      <c r="AA85" s="69">
        <v>6</v>
      </c>
      <c r="AB85" s="69">
        <v>6</v>
      </c>
      <c r="AC85" s="69">
        <v>4</v>
      </c>
      <c r="AD85" s="69">
        <v>3</v>
      </c>
      <c r="AE85" s="69">
        <v>2</v>
      </c>
      <c r="AF85" s="69"/>
      <c r="AG85" s="16">
        <f t="shared" si="5"/>
        <v>101</v>
      </c>
    </row>
    <row r="86" spans="1:34" ht="15.75" customHeight="1" thickBot="1" x14ac:dyDescent="0.3">
      <c r="A86" s="70" t="s">
        <v>34</v>
      </c>
      <c r="B86" s="71">
        <v>0</v>
      </c>
      <c r="C86" s="71">
        <v>7</v>
      </c>
      <c r="D86" s="71">
        <v>16</v>
      </c>
      <c r="E86" s="71">
        <v>10</v>
      </c>
      <c r="F86" s="71">
        <v>5</v>
      </c>
      <c r="G86" s="71">
        <v>5</v>
      </c>
      <c r="H86" s="71">
        <v>9</v>
      </c>
      <c r="I86" s="71">
        <v>2</v>
      </c>
      <c r="J86" s="71">
        <v>13</v>
      </c>
      <c r="K86" s="71">
        <v>25</v>
      </c>
      <c r="L86" s="71">
        <v>11</v>
      </c>
      <c r="M86" s="71">
        <v>14</v>
      </c>
      <c r="N86" s="71">
        <v>10</v>
      </c>
      <c r="O86" s="71">
        <v>7</v>
      </c>
      <c r="P86" s="71">
        <v>4</v>
      </c>
      <c r="Q86" s="71">
        <v>6</v>
      </c>
      <c r="R86" s="71">
        <v>9</v>
      </c>
      <c r="S86" s="71">
        <v>19</v>
      </c>
      <c r="T86" s="71">
        <v>8</v>
      </c>
      <c r="U86" s="71">
        <v>8</v>
      </c>
      <c r="V86" s="71">
        <v>7</v>
      </c>
      <c r="W86" s="71">
        <v>4</v>
      </c>
      <c r="X86" s="71">
        <v>18</v>
      </c>
      <c r="Y86" s="71">
        <v>26</v>
      </c>
      <c r="Z86" s="71">
        <v>7</v>
      </c>
      <c r="AA86" s="71">
        <v>3</v>
      </c>
      <c r="AB86" s="71">
        <v>7</v>
      </c>
      <c r="AC86" s="71">
        <v>7</v>
      </c>
      <c r="AD86" s="71">
        <v>4</v>
      </c>
      <c r="AE86" s="71">
        <v>7</v>
      </c>
      <c r="AF86" s="71"/>
      <c r="AG86" s="17">
        <f t="shared" si="5"/>
        <v>278</v>
      </c>
    </row>
    <row r="87" spans="1:34" ht="15.75" customHeight="1" thickBot="1" x14ac:dyDescent="0.3">
      <c r="A87" s="72" t="s">
        <v>35</v>
      </c>
      <c r="B87" s="18">
        <f t="shared" ref="B87:AF87" si="14">SUM(B88:B92)</f>
        <v>1</v>
      </c>
      <c r="C87" s="18">
        <f t="shared" si="14"/>
        <v>8</v>
      </c>
      <c r="D87" s="18">
        <f t="shared" si="14"/>
        <v>22</v>
      </c>
      <c r="E87" s="18">
        <f t="shared" si="14"/>
        <v>13</v>
      </c>
      <c r="F87" s="18">
        <f t="shared" si="14"/>
        <v>5</v>
      </c>
      <c r="G87" s="18">
        <f t="shared" si="14"/>
        <v>6</v>
      </c>
      <c r="H87" s="18">
        <f t="shared" si="14"/>
        <v>10</v>
      </c>
      <c r="I87" s="18">
        <f t="shared" si="14"/>
        <v>3</v>
      </c>
      <c r="J87" s="18">
        <f t="shared" si="14"/>
        <v>20</v>
      </c>
      <c r="K87" s="18">
        <f t="shared" si="14"/>
        <v>29</v>
      </c>
      <c r="L87" s="18">
        <f t="shared" si="14"/>
        <v>13</v>
      </c>
      <c r="M87" s="18">
        <f t="shared" si="14"/>
        <v>17</v>
      </c>
      <c r="N87" s="18">
        <f t="shared" si="14"/>
        <v>12</v>
      </c>
      <c r="O87" s="18">
        <f t="shared" si="14"/>
        <v>10</v>
      </c>
      <c r="P87" s="18">
        <f t="shared" si="14"/>
        <v>7</v>
      </c>
      <c r="Q87" s="18">
        <f t="shared" si="14"/>
        <v>9</v>
      </c>
      <c r="R87" s="18">
        <f t="shared" si="14"/>
        <v>14</v>
      </c>
      <c r="S87" s="18">
        <f t="shared" si="14"/>
        <v>21</v>
      </c>
      <c r="T87" s="18">
        <f t="shared" si="14"/>
        <v>12</v>
      </c>
      <c r="U87" s="18">
        <f t="shared" si="14"/>
        <v>12</v>
      </c>
      <c r="V87" s="18">
        <f t="shared" si="14"/>
        <v>11</v>
      </c>
      <c r="W87" s="18">
        <f t="shared" si="14"/>
        <v>6</v>
      </c>
      <c r="X87" s="18">
        <f t="shared" si="14"/>
        <v>19</v>
      </c>
      <c r="Y87" s="18">
        <f t="shared" si="14"/>
        <v>37</v>
      </c>
      <c r="Z87" s="18">
        <f t="shared" si="14"/>
        <v>13</v>
      </c>
      <c r="AA87" s="18">
        <f t="shared" si="14"/>
        <v>9</v>
      </c>
      <c r="AB87" s="18">
        <f t="shared" si="14"/>
        <v>13</v>
      </c>
      <c r="AC87" s="18">
        <f t="shared" si="14"/>
        <v>11</v>
      </c>
      <c r="AD87" s="18">
        <f t="shared" si="14"/>
        <v>7</v>
      </c>
      <c r="AE87" s="18">
        <f t="shared" si="14"/>
        <v>9</v>
      </c>
      <c r="AF87" s="18">
        <f t="shared" si="14"/>
        <v>0</v>
      </c>
      <c r="AG87" s="19">
        <f t="shared" si="5"/>
        <v>379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1</v>
      </c>
      <c r="C88" s="60">
        <v>2</v>
      </c>
      <c r="D88" s="60">
        <v>7</v>
      </c>
      <c r="E88" s="60">
        <v>3</v>
      </c>
      <c r="F88" s="60">
        <v>1</v>
      </c>
      <c r="G88" s="60">
        <v>0</v>
      </c>
      <c r="H88" s="60">
        <v>0</v>
      </c>
      <c r="I88" s="60">
        <v>1</v>
      </c>
      <c r="J88" s="60">
        <v>3</v>
      </c>
      <c r="K88" s="60">
        <v>3</v>
      </c>
      <c r="L88" s="60">
        <v>6</v>
      </c>
      <c r="M88" s="60">
        <v>3</v>
      </c>
      <c r="N88" s="60">
        <v>2</v>
      </c>
      <c r="O88" s="60">
        <v>3</v>
      </c>
      <c r="P88" s="60">
        <v>1</v>
      </c>
      <c r="Q88" s="60">
        <v>1</v>
      </c>
      <c r="R88" s="60">
        <v>4</v>
      </c>
      <c r="S88" s="60">
        <v>4</v>
      </c>
      <c r="T88" s="60">
        <v>1</v>
      </c>
      <c r="U88" s="60">
        <v>3</v>
      </c>
      <c r="V88" s="60">
        <v>6</v>
      </c>
      <c r="W88" s="60">
        <v>2</v>
      </c>
      <c r="X88" s="60">
        <v>3</v>
      </c>
      <c r="Y88" s="60">
        <v>6</v>
      </c>
      <c r="Z88" s="60">
        <v>3</v>
      </c>
      <c r="AA88" s="60">
        <v>3</v>
      </c>
      <c r="AB88" s="60">
        <v>2</v>
      </c>
      <c r="AC88" s="60">
        <v>3</v>
      </c>
      <c r="AD88" s="60">
        <v>4</v>
      </c>
      <c r="AE88" s="60">
        <v>2</v>
      </c>
      <c r="AF88" s="60"/>
      <c r="AG88" s="4">
        <f t="shared" si="5"/>
        <v>83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/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1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1</v>
      </c>
      <c r="W90" s="60">
        <v>1</v>
      </c>
      <c r="X90" s="60">
        <v>0</v>
      </c>
      <c r="Y90" s="60">
        <v>0</v>
      </c>
      <c r="Z90" s="60">
        <v>2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/>
      <c r="AG90" s="5">
        <f t="shared" si="5"/>
        <v>5</v>
      </c>
    </row>
    <row r="91" spans="1:34" ht="15.75" customHeight="1" x14ac:dyDescent="0.25">
      <c r="A91" s="74" t="s">
        <v>39</v>
      </c>
      <c r="B91" s="60">
        <v>0</v>
      </c>
      <c r="C91" s="60">
        <v>3</v>
      </c>
      <c r="D91" s="60">
        <v>11</v>
      </c>
      <c r="E91" s="60">
        <v>9</v>
      </c>
      <c r="F91" s="60">
        <v>3</v>
      </c>
      <c r="G91" s="60">
        <v>5</v>
      </c>
      <c r="H91" s="60">
        <v>8</v>
      </c>
      <c r="I91" s="60">
        <v>2</v>
      </c>
      <c r="J91" s="60">
        <v>11</v>
      </c>
      <c r="K91" s="60">
        <v>18</v>
      </c>
      <c r="L91" s="60">
        <v>6</v>
      </c>
      <c r="M91" s="60">
        <v>14</v>
      </c>
      <c r="N91" s="60">
        <v>8</v>
      </c>
      <c r="O91" s="60">
        <v>7</v>
      </c>
      <c r="P91" s="60">
        <v>6</v>
      </c>
      <c r="Q91" s="60">
        <v>2</v>
      </c>
      <c r="R91" s="60">
        <v>9</v>
      </c>
      <c r="S91" s="60">
        <v>11</v>
      </c>
      <c r="T91" s="60">
        <v>8</v>
      </c>
      <c r="U91" s="60">
        <v>5</v>
      </c>
      <c r="V91" s="60">
        <v>4</v>
      </c>
      <c r="W91" s="60">
        <v>2</v>
      </c>
      <c r="X91" s="60">
        <v>12</v>
      </c>
      <c r="Y91" s="60">
        <v>29</v>
      </c>
      <c r="Z91" s="60">
        <v>8</v>
      </c>
      <c r="AA91" s="60">
        <v>3</v>
      </c>
      <c r="AB91" s="60">
        <v>10</v>
      </c>
      <c r="AC91" s="60">
        <v>3</v>
      </c>
      <c r="AD91" s="60">
        <v>3</v>
      </c>
      <c r="AE91" s="60">
        <v>7</v>
      </c>
      <c r="AF91" s="60"/>
      <c r="AG91" s="5">
        <f t="shared" si="5"/>
        <v>227</v>
      </c>
    </row>
    <row r="92" spans="1:34" ht="15.75" customHeight="1" thickBot="1" x14ac:dyDescent="0.3">
      <c r="A92" s="74" t="s">
        <v>40</v>
      </c>
      <c r="B92" s="60">
        <v>0</v>
      </c>
      <c r="C92" s="60">
        <v>3</v>
      </c>
      <c r="D92" s="60">
        <v>3</v>
      </c>
      <c r="E92" s="60">
        <v>1</v>
      </c>
      <c r="F92" s="60">
        <v>1</v>
      </c>
      <c r="G92" s="60">
        <v>1</v>
      </c>
      <c r="H92" s="60">
        <v>2</v>
      </c>
      <c r="I92" s="60">
        <v>0</v>
      </c>
      <c r="J92" s="60">
        <v>6</v>
      </c>
      <c r="K92" s="60">
        <v>8</v>
      </c>
      <c r="L92" s="60">
        <v>1</v>
      </c>
      <c r="M92" s="60">
        <v>0</v>
      </c>
      <c r="N92" s="60">
        <v>2</v>
      </c>
      <c r="O92" s="60">
        <v>0</v>
      </c>
      <c r="P92" s="60">
        <v>0</v>
      </c>
      <c r="Q92" s="60">
        <v>6</v>
      </c>
      <c r="R92" s="60">
        <v>1</v>
      </c>
      <c r="S92" s="60">
        <v>6</v>
      </c>
      <c r="T92" s="60">
        <v>3</v>
      </c>
      <c r="U92" s="60">
        <v>4</v>
      </c>
      <c r="V92" s="60">
        <v>0</v>
      </c>
      <c r="W92" s="60">
        <v>1</v>
      </c>
      <c r="X92" s="60">
        <v>4</v>
      </c>
      <c r="Y92" s="60">
        <v>2</v>
      </c>
      <c r="Z92" s="60">
        <v>0</v>
      </c>
      <c r="AA92" s="60">
        <v>3</v>
      </c>
      <c r="AB92" s="60">
        <v>1</v>
      </c>
      <c r="AC92" s="60">
        <v>5</v>
      </c>
      <c r="AD92" s="60">
        <v>0</v>
      </c>
      <c r="AE92" s="60">
        <v>0</v>
      </c>
      <c r="AF92" s="60"/>
      <c r="AG92" s="5">
        <f t="shared" si="5"/>
        <v>64</v>
      </c>
    </row>
    <row r="93" spans="1:34" ht="15.75" customHeight="1" x14ac:dyDescent="0.25">
      <c r="A93" s="75" t="s">
        <v>41</v>
      </c>
      <c r="B93" s="20">
        <f t="shared" ref="B93:AF93" si="15">+B94+B100</f>
        <v>176</v>
      </c>
      <c r="C93" s="20">
        <f t="shared" si="15"/>
        <v>192</v>
      </c>
      <c r="D93" s="20">
        <f t="shared" si="15"/>
        <v>144</v>
      </c>
      <c r="E93" s="20">
        <f t="shared" si="15"/>
        <v>138</v>
      </c>
      <c r="F93" s="20">
        <f t="shared" si="15"/>
        <v>142</v>
      </c>
      <c r="G93" s="20">
        <f t="shared" si="15"/>
        <v>115</v>
      </c>
      <c r="H93" s="20">
        <f t="shared" si="15"/>
        <v>122</v>
      </c>
      <c r="I93" s="20">
        <f t="shared" si="15"/>
        <v>177</v>
      </c>
      <c r="J93" s="20">
        <f t="shared" si="15"/>
        <v>181</v>
      </c>
      <c r="K93" s="20">
        <f t="shared" si="15"/>
        <v>132</v>
      </c>
      <c r="L93" s="20">
        <f t="shared" si="15"/>
        <v>135</v>
      </c>
      <c r="M93" s="20">
        <f t="shared" si="15"/>
        <v>132</v>
      </c>
      <c r="N93" s="20">
        <f t="shared" si="15"/>
        <v>111</v>
      </c>
      <c r="O93" s="20">
        <f t="shared" si="15"/>
        <v>119</v>
      </c>
      <c r="P93" s="20">
        <f t="shared" si="15"/>
        <v>176</v>
      </c>
      <c r="Q93" s="20">
        <f t="shared" si="15"/>
        <v>176</v>
      </c>
      <c r="R93" s="20">
        <f t="shared" si="15"/>
        <v>147</v>
      </c>
      <c r="S93" s="20">
        <f t="shared" si="15"/>
        <v>144</v>
      </c>
      <c r="T93" s="20">
        <f t="shared" si="15"/>
        <v>124</v>
      </c>
      <c r="U93" s="20">
        <f t="shared" si="15"/>
        <v>145</v>
      </c>
      <c r="V93" s="20">
        <f t="shared" si="15"/>
        <v>122</v>
      </c>
      <c r="W93" s="20">
        <f t="shared" si="15"/>
        <v>207</v>
      </c>
      <c r="X93" s="20">
        <f t="shared" si="15"/>
        <v>211</v>
      </c>
      <c r="Y93" s="20">
        <f t="shared" si="15"/>
        <v>143</v>
      </c>
      <c r="Z93" s="20">
        <f t="shared" si="15"/>
        <v>143</v>
      </c>
      <c r="AA93" s="20">
        <f t="shared" si="15"/>
        <v>140</v>
      </c>
      <c r="AB93" s="20">
        <f t="shared" si="15"/>
        <v>125</v>
      </c>
      <c r="AC93" s="20">
        <f t="shared" si="15"/>
        <v>126</v>
      </c>
      <c r="AD93" s="20">
        <f t="shared" si="15"/>
        <v>188</v>
      </c>
      <c r="AE93" s="20">
        <f t="shared" si="15"/>
        <v>173</v>
      </c>
      <c r="AF93" s="20">
        <f t="shared" si="15"/>
        <v>0</v>
      </c>
      <c r="AG93" s="5">
        <f t="shared" si="5"/>
        <v>4506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41</v>
      </c>
      <c r="C94" s="21">
        <f t="shared" si="16"/>
        <v>44</v>
      </c>
      <c r="D94" s="21">
        <f t="shared" si="16"/>
        <v>26</v>
      </c>
      <c r="E94" s="21">
        <f t="shared" si="16"/>
        <v>29</v>
      </c>
      <c r="F94" s="21">
        <f t="shared" si="16"/>
        <v>23</v>
      </c>
      <c r="G94" s="21">
        <f t="shared" si="16"/>
        <v>20</v>
      </c>
      <c r="H94" s="21">
        <f t="shared" si="16"/>
        <v>11</v>
      </c>
      <c r="I94" s="21">
        <f t="shared" si="16"/>
        <v>33</v>
      </c>
      <c r="J94" s="21">
        <f t="shared" si="16"/>
        <v>37</v>
      </c>
      <c r="K94" s="21">
        <f t="shared" si="16"/>
        <v>23</v>
      </c>
      <c r="L94" s="21">
        <f t="shared" si="16"/>
        <v>30</v>
      </c>
      <c r="M94" s="21">
        <f t="shared" si="16"/>
        <v>21</v>
      </c>
      <c r="N94" s="21">
        <f t="shared" si="16"/>
        <v>26</v>
      </c>
      <c r="O94" s="21">
        <f t="shared" si="16"/>
        <v>21</v>
      </c>
      <c r="P94" s="21">
        <f t="shared" si="16"/>
        <v>43</v>
      </c>
      <c r="Q94" s="21">
        <f t="shared" si="16"/>
        <v>42</v>
      </c>
      <c r="R94" s="21">
        <f t="shared" si="16"/>
        <v>25</v>
      </c>
      <c r="S94" s="21">
        <f t="shared" si="16"/>
        <v>27</v>
      </c>
      <c r="T94" s="21">
        <f t="shared" si="16"/>
        <v>28</v>
      </c>
      <c r="U94" s="21">
        <f t="shared" si="16"/>
        <v>27</v>
      </c>
      <c r="V94" s="21">
        <f t="shared" si="16"/>
        <v>24</v>
      </c>
      <c r="W94" s="21">
        <f t="shared" si="16"/>
        <v>39</v>
      </c>
      <c r="X94" s="21">
        <f t="shared" si="16"/>
        <v>67</v>
      </c>
      <c r="Y94" s="21">
        <f t="shared" si="16"/>
        <v>23</v>
      </c>
      <c r="Z94" s="21">
        <f t="shared" si="16"/>
        <v>24</v>
      </c>
      <c r="AA94" s="21">
        <f t="shared" si="16"/>
        <v>28</v>
      </c>
      <c r="AB94" s="21">
        <f t="shared" si="16"/>
        <v>27</v>
      </c>
      <c r="AC94" s="21">
        <f t="shared" si="16"/>
        <v>23</v>
      </c>
      <c r="AD94" s="21">
        <f t="shared" si="16"/>
        <v>33</v>
      </c>
      <c r="AE94" s="21">
        <f t="shared" si="16"/>
        <v>38</v>
      </c>
      <c r="AF94" s="21">
        <f t="shared" si="16"/>
        <v>0</v>
      </c>
      <c r="AG94" s="5">
        <f t="shared" si="5"/>
        <v>903</v>
      </c>
    </row>
    <row r="95" spans="1:34" ht="15.75" customHeight="1" x14ac:dyDescent="0.25">
      <c r="A95" s="78" t="s">
        <v>43</v>
      </c>
      <c r="B95" s="54">
        <v>2</v>
      </c>
      <c r="C95" s="54">
        <v>0</v>
      </c>
      <c r="D95" s="54">
        <v>0</v>
      </c>
      <c r="E95" s="54">
        <v>0</v>
      </c>
      <c r="F95" s="54">
        <v>1</v>
      </c>
      <c r="G95" s="54">
        <v>1</v>
      </c>
      <c r="H95" s="54">
        <v>0</v>
      </c>
      <c r="I95" s="54">
        <v>1</v>
      </c>
      <c r="J95" s="54">
        <v>1</v>
      </c>
      <c r="K95" s="54">
        <v>0</v>
      </c>
      <c r="L95" s="54">
        <v>2</v>
      </c>
      <c r="M95" s="54">
        <v>0</v>
      </c>
      <c r="N95" s="54">
        <v>1</v>
      </c>
      <c r="O95" s="54">
        <v>0</v>
      </c>
      <c r="P95" s="54">
        <v>0</v>
      </c>
      <c r="Q95" s="54">
        <v>2</v>
      </c>
      <c r="R95" s="54">
        <v>0</v>
      </c>
      <c r="S95" s="54">
        <v>0</v>
      </c>
      <c r="T95" s="54">
        <v>0</v>
      </c>
      <c r="U95" s="54">
        <v>0</v>
      </c>
      <c r="V95" s="54">
        <v>0</v>
      </c>
      <c r="W95" s="54">
        <v>2</v>
      </c>
      <c r="X95" s="54">
        <v>3</v>
      </c>
      <c r="Y95" s="54">
        <v>0</v>
      </c>
      <c r="Z95" s="54">
        <v>1</v>
      </c>
      <c r="AA95" s="54">
        <v>3</v>
      </c>
      <c r="AB95" s="54">
        <v>0</v>
      </c>
      <c r="AC95" s="54">
        <v>0</v>
      </c>
      <c r="AD95" s="54">
        <v>1</v>
      </c>
      <c r="AE95" s="54">
        <v>0</v>
      </c>
      <c r="AF95" s="54"/>
      <c r="AG95" s="5">
        <f t="shared" si="5"/>
        <v>21</v>
      </c>
    </row>
    <row r="96" spans="1:34" ht="15.75" customHeight="1" x14ac:dyDescent="0.25">
      <c r="A96" s="79" t="s">
        <v>44</v>
      </c>
      <c r="B96" s="54">
        <v>0</v>
      </c>
      <c r="C96" s="54">
        <v>3</v>
      </c>
      <c r="D96" s="54">
        <v>2</v>
      </c>
      <c r="E96" s="54">
        <v>0</v>
      </c>
      <c r="F96" s="54">
        <v>1</v>
      </c>
      <c r="G96" s="54">
        <v>3</v>
      </c>
      <c r="H96" s="54">
        <v>0</v>
      </c>
      <c r="I96" s="54">
        <v>1</v>
      </c>
      <c r="J96" s="54">
        <v>0</v>
      </c>
      <c r="K96" s="54">
        <v>1</v>
      </c>
      <c r="L96" s="54">
        <v>2</v>
      </c>
      <c r="M96" s="54">
        <v>1</v>
      </c>
      <c r="N96" s="54">
        <v>1</v>
      </c>
      <c r="O96" s="54">
        <v>0</v>
      </c>
      <c r="P96" s="54">
        <v>2</v>
      </c>
      <c r="Q96" s="54">
        <v>3</v>
      </c>
      <c r="R96" s="54">
        <v>0</v>
      </c>
      <c r="S96" s="54">
        <v>3</v>
      </c>
      <c r="T96" s="54">
        <v>0</v>
      </c>
      <c r="U96" s="54">
        <v>2</v>
      </c>
      <c r="V96" s="54">
        <v>0</v>
      </c>
      <c r="W96" s="54">
        <v>3</v>
      </c>
      <c r="X96" s="54">
        <v>3</v>
      </c>
      <c r="Y96" s="54">
        <v>2</v>
      </c>
      <c r="Z96" s="54">
        <v>1</v>
      </c>
      <c r="AA96" s="54">
        <v>0</v>
      </c>
      <c r="AB96" s="54">
        <v>1</v>
      </c>
      <c r="AC96" s="54">
        <v>0</v>
      </c>
      <c r="AD96" s="54">
        <v>1</v>
      </c>
      <c r="AE96" s="54">
        <v>1</v>
      </c>
      <c r="AF96" s="54"/>
      <c r="AG96" s="5">
        <f t="shared" si="5"/>
        <v>37</v>
      </c>
    </row>
    <row r="97" spans="1:33" ht="15.75" customHeight="1" x14ac:dyDescent="0.25">
      <c r="A97" s="80" t="s">
        <v>45</v>
      </c>
      <c r="B97" s="54">
        <v>5</v>
      </c>
      <c r="C97" s="54">
        <v>6</v>
      </c>
      <c r="D97" s="54">
        <v>5</v>
      </c>
      <c r="E97" s="54">
        <v>3</v>
      </c>
      <c r="F97" s="54">
        <v>5</v>
      </c>
      <c r="G97" s="54">
        <v>1</v>
      </c>
      <c r="H97" s="54">
        <v>1</v>
      </c>
      <c r="I97" s="54">
        <v>4</v>
      </c>
      <c r="J97" s="54">
        <v>4</v>
      </c>
      <c r="K97" s="54">
        <v>0</v>
      </c>
      <c r="L97" s="54">
        <v>6</v>
      </c>
      <c r="M97" s="54">
        <v>2</v>
      </c>
      <c r="N97" s="54">
        <v>3</v>
      </c>
      <c r="O97" s="54">
        <v>4</v>
      </c>
      <c r="P97" s="54">
        <v>13</v>
      </c>
      <c r="Q97" s="54">
        <v>7</v>
      </c>
      <c r="R97" s="54">
        <v>7</v>
      </c>
      <c r="S97" s="54">
        <v>6</v>
      </c>
      <c r="T97" s="54">
        <v>3</v>
      </c>
      <c r="U97" s="54">
        <v>4</v>
      </c>
      <c r="V97" s="54">
        <v>5</v>
      </c>
      <c r="W97" s="54">
        <v>5</v>
      </c>
      <c r="X97" s="54">
        <v>16</v>
      </c>
      <c r="Y97" s="54">
        <v>5</v>
      </c>
      <c r="Z97" s="54">
        <v>1</v>
      </c>
      <c r="AA97" s="54">
        <v>6</v>
      </c>
      <c r="AB97" s="54">
        <v>4</v>
      </c>
      <c r="AC97" s="54">
        <v>5</v>
      </c>
      <c r="AD97" s="54">
        <v>5</v>
      </c>
      <c r="AE97" s="54">
        <v>7</v>
      </c>
      <c r="AF97" s="54"/>
      <c r="AG97" s="5">
        <f t="shared" si="5"/>
        <v>148</v>
      </c>
    </row>
    <row r="98" spans="1:33" ht="15.75" customHeight="1" x14ac:dyDescent="0.25">
      <c r="A98" s="81" t="s">
        <v>46</v>
      </c>
      <c r="B98" s="54">
        <v>18</v>
      </c>
      <c r="C98" s="54">
        <v>21</v>
      </c>
      <c r="D98" s="54">
        <v>9</v>
      </c>
      <c r="E98" s="54">
        <v>12</v>
      </c>
      <c r="F98" s="54">
        <v>7</v>
      </c>
      <c r="G98" s="54">
        <v>12</v>
      </c>
      <c r="H98" s="54">
        <v>5</v>
      </c>
      <c r="I98" s="54">
        <v>12</v>
      </c>
      <c r="J98" s="54">
        <v>20</v>
      </c>
      <c r="K98" s="54">
        <v>8</v>
      </c>
      <c r="L98" s="54">
        <v>13</v>
      </c>
      <c r="M98" s="54">
        <v>7</v>
      </c>
      <c r="N98" s="54">
        <v>9</v>
      </c>
      <c r="O98" s="54">
        <v>8</v>
      </c>
      <c r="P98" s="54">
        <v>14</v>
      </c>
      <c r="Q98" s="54">
        <v>19</v>
      </c>
      <c r="R98" s="54">
        <v>7</v>
      </c>
      <c r="S98" s="54">
        <v>11</v>
      </c>
      <c r="T98" s="54">
        <v>13</v>
      </c>
      <c r="U98" s="54">
        <v>10</v>
      </c>
      <c r="V98" s="54">
        <v>9</v>
      </c>
      <c r="W98" s="54">
        <v>10</v>
      </c>
      <c r="X98" s="54">
        <v>23</v>
      </c>
      <c r="Y98" s="54">
        <v>9</v>
      </c>
      <c r="Z98" s="54">
        <v>13</v>
      </c>
      <c r="AA98" s="54">
        <v>9</v>
      </c>
      <c r="AB98" s="54">
        <v>9</v>
      </c>
      <c r="AC98" s="54">
        <v>15</v>
      </c>
      <c r="AD98" s="54">
        <v>14</v>
      </c>
      <c r="AE98" s="54">
        <v>17</v>
      </c>
      <c r="AF98" s="54"/>
      <c r="AG98" s="5">
        <f t="shared" si="5"/>
        <v>363</v>
      </c>
    </row>
    <row r="99" spans="1:33" ht="15.75" customHeight="1" x14ac:dyDescent="0.25">
      <c r="A99" s="82" t="s">
        <v>47</v>
      </c>
      <c r="B99" s="54">
        <v>16</v>
      </c>
      <c r="C99" s="54">
        <v>14</v>
      </c>
      <c r="D99" s="54">
        <v>10</v>
      </c>
      <c r="E99" s="54">
        <v>14</v>
      </c>
      <c r="F99" s="54">
        <v>9</v>
      </c>
      <c r="G99" s="54">
        <v>3</v>
      </c>
      <c r="H99" s="54">
        <v>5</v>
      </c>
      <c r="I99" s="54">
        <v>15</v>
      </c>
      <c r="J99" s="54">
        <v>12</v>
      </c>
      <c r="K99" s="54">
        <v>14</v>
      </c>
      <c r="L99" s="54">
        <v>7</v>
      </c>
      <c r="M99" s="54">
        <v>11</v>
      </c>
      <c r="N99" s="54">
        <v>12</v>
      </c>
      <c r="O99" s="54">
        <v>9</v>
      </c>
      <c r="P99" s="54">
        <v>14</v>
      </c>
      <c r="Q99" s="54">
        <v>11</v>
      </c>
      <c r="R99" s="54">
        <v>11</v>
      </c>
      <c r="S99" s="54">
        <v>7</v>
      </c>
      <c r="T99" s="54">
        <v>12</v>
      </c>
      <c r="U99" s="54">
        <v>11</v>
      </c>
      <c r="V99" s="54">
        <v>10</v>
      </c>
      <c r="W99" s="54">
        <v>19</v>
      </c>
      <c r="X99" s="54">
        <v>22</v>
      </c>
      <c r="Y99" s="54">
        <v>7</v>
      </c>
      <c r="Z99" s="54">
        <v>8</v>
      </c>
      <c r="AA99" s="54">
        <v>10</v>
      </c>
      <c r="AB99" s="54">
        <v>13</v>
      </c>
      <c r="AC99" s="54">
        <v>3</v>
      </c>
      <c r="AD99" s="54">
        <v>12</v>
      </c>
      <c r="AE99" s="54">
        <v>13</v>
      </c>
      <c r="AF99" s="54"/>
      <c r="AG99" s="5">
        <f t="shared" ref="AG99:AG162" si="17">SUM(B99:AF99)</f>
        <v>334</v>
      </c>
    </row>
    <row r="100" spans="1:33" ht="15.75" customHeight="1" x14ac:dyDescent="0.25">
      <c r="A100" s="76" t="s">
        <v>48</v>
      </c>
      <c r="B100" s="21">
        <f t="shared" ref="B100:AF100" si="18">SUM(B101:B115)</f>
        <v>135</v>
      </c>
      <c r="C100" s="21">
        <f t="shared" si="18"/>
        <v>148</v>
      </c>
      <c r="D100" s="21">
        <f t="shared" si="18"/>
        <v>118</v>
      </c>
      <c r="E100" s="21">
        <f t="shared" si="18"/>
        <v>109</v>
      </c>
      <c r="F100" s="21">
        <f t="shared" si="18"/>
        <v>119</v>
      </c>
      <c r="G100" s="21">
        <f t="shared" si="18"/>
        <v>95</v>
      </c>
      <c r="H100" s="21">
        <f t="shared" si="18"/>
        <v>111</v>
      </c>
      <c r="I100" s="21">
        <f t="shared" si="18"/>
        <v>144</v>
      </c>
      <c r="J100" s="21">
        <f t="shared" si="18"/>
        <v>144</v>
      </c>
      <c r="K100" s="21">
        <f t="shared" si="18"/>
        <v>109</v>
      </c>
      <c r="L100" s="21">
        <f t="shared" si="18"/>
        <v>105</v>
      </c>
      <c r="M100" s="21">
        <f t="shared" si="18"/>
        <v>111</v>
      </c>
      <c r="N100" s="21">
        <f t="shared" si="18"/>
        <v>85</v>
      </c>
      <c r="O100" s="21">
        <f t="shared" si="18"/>
        <v>98</v>
      </c>
      <c r="P100" s="21">
        <f t="shared" si="18"/>
        <v>133</v>
      </c>
      <c r="Q100" s="21">
        <f t="shared" si="18"/>
        <v>134</v>
      </c>
      <c r="R100" s="21">
        <f t="shared" si="18"/>
        <v>122</v>
      </c>
      <c r="S100" s="21">
        <f t="shared" si="18"/>
        <v>117</v>
      </c>
      <c r="T100" s="21">
        <f t="shared" si="18"/>
        <v>96</v>
      </c>
      <c r="U100" s="21">
        <f t="shared" si="18"/>
        <v>118</v>
      </c>
      <c r="V100" s="21">
        <f t="shared" si="18"/>
        <v>98</v>
      </c>
      <c r="W100" s="21">
        <f t="shared" si="18"/>
        <v>168</v>
      </c>
      <c r="X100" s="21">
        <f t="shared" si="18"/>
        <v>144</v>
      </c>
      <c r="Y100" s="21">
        <f t="shared" si="18"/>
        <v>120</v>
      </c>
      <c r="Z100" s="21">
        <f t="shared" si="18"/>
        <v>119</v>
      </c>
      <c r="AA100" s="21">
        <f t="shared" si="18"/>
        <v>112</v>
      </c>
      <c r="AB100" s="21">
        <f t="shared" si="18"/>
        <v>98</v>
      </c>
      <c r="AC100" s="21">
        <f t="shared" si="18"/>
        <v>103</v>
      </c>
      <c r="AD100" s="21">
        <f t="shared" si="18"/>
        <v>155</v>
      </c>
      <c r="AE100" s="21">
        <f t="shared" si="18"/>
        <v>135</v>
      </c>
      <c r="AF100" s="21">
        <f t="shared" si="18"/>
        <v>0</v>
      </c>
      <c r="AG100" s="5">
        <f t="shared" si="17"/>
        <v>3603</v>
      </c>
    </row>
    <row r="101" spans="1:33" ht="15.75" customHeight="1" x14ac:dyDescent="0.25">
      <c r="A101" s="82" t="s">
        <v>49</v>
      </c>
      <c r="B101" s="54">
        <v>12</v>
      </c>
      <c r="C101" s="54">
        <v>14</v>
      </c>
      <c r="D101" s="54">
        <v>6</v>
      </c>
      <c r="E101" s="54">
        <v>6</v>
      </c>
      <c r="F101" s="54">
        <v>14</v>
      </c>
      <c r="G101" s="54">
        <v>6</v>
      </c>
      <c r="H101" s="54">
        <v>10</v>
      </c>
      <c r="I101" s="54">
        <v>8</v>
      </c>
      <c r="J101" s="54">
        <v>13</v>
      </c>
      <c r="K101" s="54">
        <v>10</v>
      </c>
      <c r="L101" s="54">
        <v>8</v>
      </c>
      <c r="M101" s="54">
        <v>10</v>
      </c>
      <c r="N101" s="54">
        <v>6</v>
      </c>
      <c r="O101" s="54">
        <v>6</v>
      </c>
      <c r="P101" s="54">
        <v>15</v>
      </c>
      <c r="Q101" s="54">
        <v>13</v>
      </c>
      <c r="R101" s="54">
        <v>17</v>
      </c>
      <c r="S101" s="54">
        <v>11</v>
      </c>
      <c r="T101" s="54">
        <v>13</v>
      </c>
      <c r="U101" s="54">
        <v>9</v>
      </c>
      <c r="V101" s="54">
        <v>14</v>
      </c>
      <c r="W101" s="54">
        <v>12</v>
      </c>
      <c r="X101" s="54">
        <v>9</v>
      </c>
      <c r="Y101" s="54">
        <v>12</v>
      </c>
      <c r="Z101" s="54">
        <v>16</v>
      </c>
      <c r="AA101" s="54">
        <v>10</v>
      </c>
      <c r="AB101" s="54">
        <v>9</v>
      </c>
      <c r="AC101" s="54">
        <v>10</v>
      </c>
      <c r="AD101" s="54">
        <v>12</v>
      </c>
      <c r="AE101" s="54">
        <v>10</v>
      </c>
      <c r="AF101" s="54"/>
      <c r="AG101" s="5">
        <f t="shared" si="17"/>
        <v>321</v>
      </c>
    </row>
    <row r="102" spans="1:33" ht="15.75" customHeight="1" x14ac:dyDescent="0.25">
      <c r="A102" s="82" t="s">
        <v>50</v>
      </c>
      <c r="B102" s="54">
        <v>10</v>
      </c>
      <c r="C102" s="54">
        <v>8</v>
      </c>
      <c r="D102" s="54">
        <v>20</v>
      </c>
      <c r="E102" s="54">
        <v>7</v>
      </c>
      <c r="F102" s="54">
        <v>12</v>
      </c>
      <c r="G102" s="54">
        <v>8</v>
      </c>
      <c r="H102" s="54">
        <v>9</v>
      </c>
      <c r="I102" s="54">
        <v>10</v>
      </c>
      <c r="J102" s="54">
        <v>16</v>
      </c>
      <c r="K102" s="54">
        <v>14</v>
      </c>
      <c r="L102" s="54">
        <v>12</v>
      </c>
      <c r="M102" s="54">
        <v>11</v>
      </c>
      <c r="N102" s="54">
        <v>4</v>
      </c>
      <c r="O102" s="54">
        <v>10</v>
      </c>
      <c r="P102" s="54">
        <v>13</v>
      </c>
      <c r="Q102" s="54">
        <v>14</v>
      </c>
      <c r="R102" s="54">
        <v>11</v>
      </c>
      <c r="S102" s="54">
        <v>9</v>
      </c>
      <c r="T102" s="54">
        <v>11</v>
      </c>
      <c r="U102" s="54">
        <v>10</v>
      </c>
      <c r="V102" s="54">
        <v>8</v>
      </c>
      <c r="W102" s="54">
        <v>19</v>
      </c>
      <c r="X102" s="54">
        <v>7</v>
      </c>
      <c r="Y102" s="54">
        <v>10</v>
      </c>
      <c r="Z102" s="54">
        <v>13</v>
      </c>
      <c r="AA102" s="54">
        <v>7</v>
      </c>
      <c r="AB102" s="54">
        <v>6</v>
      </c>
      <c r="AC102" s="54">
        <v>8</v>
      </c>
      <c r="AD102" s="54">
        <v>17</v>
      </c>
      <c r="AE102" s="54">
        <v>16</v>
      </c>
      <c r="AF102" s="54"/>
      <c r="AG102" s="5">
        <f t="shared" si="17"/>
        <v>330</v>
      </c>
    </row>
    <row r="103" spans="1:33" ht="15.75" customHeight="1" x14ac:dyDescent="0.25">
      <c r="A103" s="78" t="s">
        <v>51</v>
      </c>
      <c r="B103" s="54">
        <v>11</v>
      </c>
      <c r="C103" s="54">
        <v>8</v>
      </c>
      <c r="D103" s="54">
        <v>11</v>
      </c>
      <c r="E103" s="54">
        <v>10</v>
      </c>
      <c r="F103" s="54">
        <v>8</v>
      </c>
      <c r="G103" s="54">
        <v>13</v>
      </c>
      <c r="H103" s="54">
        <v>11</v>
      </c>
      <c r="I103" s="54">
        <v>14</v>
      </c>
      <c r="J103" s="54">
        <v>13</v>
      </c>
      <c r="K103" s="54">
        <v>8</v>
      </c>
      <c r="L103" s="54">
        <v>5</v>
      </c>
      <c r="M103" s="54">
        <v>13</v>
      </c>
      <c r="N103" s="54">
        <v>10</v>
      </c>
      <c r="O103" s="54">
        <v>5</v>
      </c>
      <c r="P103" s="54">
        <v>10</v>
      </c>
      <c r="Q103" s="54">
        <v>16</v>
      </c>
      <c r="R103" s="54">
        <v>9</v>
      </c>
      <c r="S103" s="54">
        <v>15</v>
      </c>
      <c r="T103" s="54">
        <v>7</v>
      </c>
      <c r="U103" s="54">
        <v>5</v>
      </c>
      <c r="V103" s="54">
        <v>8</v>
      </c>
      <c r="W103" s="54">
        <v>12</v>
      </c>
      <c r="X103" s="54">
        <v>10</v>
      </c>
      <c r="Y103" s="54">
        <v>10</v>
      </c>
      <c r="Z103" s="54">
        <v>6</v>
      </c>
      <c r="AA103" s="54">
        <v>12</v>
      </c>
      <c r="AB103" s="54">
        <v>10</v>
      </c>
      <c r="AC103" s="54">
        <v>14</v>
      </c>
      <c r="AD103" s="54">
        <v>16</v>
      </c>
      <c r="AE103" s="54">
        <v>7</v>
      </c>
      <c r="AF103" s="54"/>
      <c r="AG103" s="5">
        <f t="shared" si="17"/>
        <v>307</v>
      </c>
    </row>
    <row r="104" spans="1:33" ht="15.75" customHeight="1" x14ac:dyDescent="0.25">
      <c r="A104" s="78" t="s">
        <v>52</v>
      </c>
      <c r="B104" s="54">
        <v>7</v>
      </c>
      <c r="C104" s="54">
        <v>9</v>
      </c>
      <c r="D104" s="54">
        <v>13</v>
      </c>
      <c r="E104" s="54">
        <v>13</v>
      </c>
      <c r="F104" s="54">
        <v>8</v>
      </c>
      <c r="G104" s="54">
        <v>7</v>
      </c>
      <c r="H104" s="54">
        <v>10</v>
      </c>
      <c r="I104" s="54">
        <v>15</v>
      </c>
      <c r="J104" s="54">
        <v>14</v>
      </c>
      <c r="K104" s="54">
        <v>3</v>
      </c>
      <c r="L104" s="54">
        <v>9</v>
      </c>
      <c r="M104" s="54">
        <v>2</v>
      </c>
      <c r="N104" s="54">
        <v>8</v>
      </c>
      <c r="O104" s="54">
        <v>3</v>
      </c>
      <c r="P104" s="54">
        <v>7</v>
      </c>
      <c r="Q104" s="54">
        <v>6</v>
      </c>
      <c r="R104" s="54">
        <v>6</v>
      </c>
      <c r="S104" s="54">
        <v>12</v>
      </c>
      <c r="T104" s="54">
        <v>5</v>
      </c>
      <c r="U104" s="54">
        <v>15</v>
      </c>
      <c r="V104" s="54">
        <v>5</v>
      </c>
      <c r="W104" s="54">
        <v>7</v>
      </c>
      <c r="X104" s="54">
        <v>12</v>
      </c>
      <c r="Y104" s="54">
        <v>4</v>
      </c>
      <c r="Z104" s="54">
        <v>8</v>
      </c>
      <c r="AA104" s="54">
        <v>9</v>
      </c>
      <c r="AB104" s="54">
        <v>5</v>
      </c>
      <c r="AC104" s="54">
        <v>10</v>
      </c>
      <c r="AD104" s="54">
        <v>7</v>
      </c>
      <c r="AE104" s="54">
        <v>11</v>
      </c>
      <c r="AF104" s="54"/>
      <c r="AG104" s="5">
        <f t="shared" si="17"/>
        <v>250</v>
      </c>
    </row>
    <row r="105" spans="1:33" ht="15.75" customHeight="1" x14ac:dyDescent="0.25">
      <c r="A105" s="78" t="s">
        <v>53</v>
      </c>
      <c r="B105" s="54">
        <v>7</v>
      </c>
      <c r="C105" s="54">
        <v>16</v>
      </c>
      <c r="D105" s="54">
        <v>4</v>
      </c>
      <c r="E105" s="54">
        <v>10</v>
      </c>
      <c r="F105" s="54">
        <v>8</v>
      </c>
      <c r="G105" s="54">
        <v>6</v>
      </c>
      <c r="H105" s="54">
        <v>6</v>
      </c>
      <c r="I105" s="54">
        <v>10</v>
      </c>
      <c r="J105" s="54">
        <v>6</v>
      </c>
      <c r="K105" s="54">
        <v>10</v>
      </c>
      <c r="L105" s="54">
        <v>8</v>
      </c>
      <c r="M105" s="54">
        <v>10</v>
      </c>
      <c r="N105" s="54">
        <v>4</v>
      </c>
      <c r="O105" s="54">
        <v>8</v>
      </c>
      <c r="P105" s="54">
        <v>11</v>
      </c>
      <c r="Q105" s="54">
        <v>10</v>
      </c>
      <c r="R105" s="54">
        <v>11</v>
      </c>
      <c r="S105" s="54">
        <v>10</v>
      </c>
      <c r="T105" s="54">
        <v>9</v>
      </c>
      <c r="U105" s="54">
        <v>7</v>
      </c>
      <c r="V105" s="54">
        <v>9</v>
      </c>
      <c r="W105" s="54">
        <v>17</v>
      </c>
      <c r="X105" s="54">
        <v>10</v>
      </c>
      <c r="Y105" s="54">
        <v>13</v>
      </c>
      <c r="Z105" s="54">
        <v>13</v>
      </c>
      <c r="AA105" s="54">
        <v>14</v>
      </c>
      <c r="AB105" s="54">
        <v>9</v>
      </c>
      <c r="AC105" s="54">
        <v>5</v>
      </c>
      <c r="AD105" s="54">
        <v>11</v>
      </c>
      <c r="AE105" s="54">
        <v>12</v>
      </c>
      <c r="AF105" s="54"/>
      <c r="AG105" s="5">
        <f t="shared" si="17"/>
        <v>284</v>
      </c>
    </row>
    <row r="106" spans="1:33" ht="15.75" customHeight="1" x14ac:dyDescent="0.25">
      <c r="A106" s="78" t="s">
        <v>54</v>
      </c>
      <c r="B106" s="54">
        <v>8</v>
      </c>
      <c r="C106" s="54">
        <v>11</v>
      </c>
      <c r="D106" s="54">
        <v>7</v>
      </c>
      <c r="E106" s="54">
        <v>12</v>
      </c>
      <c r="F106" s="54">
        <v>5</v>
      </c>
      <c r="G106" s="54">
        <v>9</v>
      </c>
      <c r="H106" s="54">
        <v>8</v>
      </c>
      <c r="I106" s="54">
        <v>10</v>
      </c>
      <c r="J106" s="54">
        <v>11</v>
      </c>
      <c r="K106" s="54">
        <v>10</v>
      </c>
      <c r="L106" s="54">
        <v>2</v>
      </c>
      <c r="M106" s="54">
        <v>8</v>
      </c>
      <c r="N106" s="54">
        <v>2</v>
      </c>
      <c r="O106" s="54">
        <v>8</v>
      </c>
      <c r="P106" s="54">
        <v>2</v>
      </c>
      <c r="Q106" s="54">
        <v>7</v>
      </c>
      <c r="R106" s="54">
        <v>7</v>
      </c>
      <c r="S106" s="54">
        <v>8</v>
      </c>
      <c r="T106" s="54">
        <v>6</v>
      </c>
      <c r="U106" s="54">
        <v>6</v>
      </c>
      <c r="V106" s="54">
        <v>7</v>
      </c>
      <c r="W106" s="54">
        <v>11</v>
      </c>
      <c r="X106" s="54">
        <v>9</v>
      </c>
      <c r="Y106" s="54">
        <v>10</v>
      </c>
      <c r="Z106" s="54">
        <v>3</v>
      </c>
      <c r="AA106" s="54">
        <v>11</v>
      </c>
      <c r="AB106" s="54">
        <v>5</v>
      </c>
      <c r="AC106" s="54">
        <v>11</v>
      </c>
      <c r="AD106" s="54">
        <v>11</v>
      </c>
      <c r="AE106" s="54">
        <v>7</v>
      </c>
      <c r="AF106" s="54"/>
      <c r="AG106" s="5">
        <f t="shared" si="17"/>
        <v>232</v>
      </c>
    </row>
    <row r="107" spans="1:33" ht="15.75" customHeight="1" x14ac:dyDescent="0.25">
      <c r="A107" s="78" t="s">
        <v>55</v>
      </c>
      <c r="B107" s="54">
        <v>12</v>
      </c>
      <c r="C107" s="54">
        <v>10</v>
      </c>
      <c r="D107" s="54">
        <v>4</v>
      </c>
      <c r="E107" s="54">
        <v>6</v>
      </c>
      <c r="F107" s="54">
        <v>7</v>
      </c>
      <c r="G107" s="54">
        <v>3</v>
      </c>
      <c r="H107" s="54">
        <v>7</v>
      </c>
      <c r="I107" s="54">
        <v>10</v>
      </c>
      <c r="J107" s="54">
        <v>8</v>
      </c>
      <c r="K107" s="54">
        <v>2</v>
      </c>
      <c r="L107" s="54">
        <v>7</v>
      </c>
      <c r="M107" s="54">
        <v>6</v>
      </c>
      <c r="N107" s="54">
        <v>5</v>
      </c>
      <c r="O107" s="54">
        <v>5</v>
      </c>
      <c r="P107" s="54">
        <v>8</v>
      </c>
      <c r="Q107" s="54">
        <v>10</v>
      </c>
      <c r="R107" s="54">
        <v>6</v>
      </c>
      <c r="S107" s="54">
        <v>5</v>
      </c>
      <c r="T107" s="54">
        <v>4</v>
      </c>
      <c r="U107" s="54">
        <v>13</v>
      </c>
      <c r="V107" s="54">
        <v>4</v>
      </c>
      <c r="W107" s="54">
        <v>5</v>
      </c>
      <c r="X107" s="54">
        <v>7</v>
      </c>
      <c r="Y107" s="54">
        <v>6</v>
      </c>
      <c r="Z107" s="54">
        <v>7</v>
      </c>
      <c r="AA107" s="54">
        <v>4</v>
      </c>
      <c r="AB107" s="54">
        <v>8</v>
      </c>
      <c r="AC107" s="54">
        <v>5</v>
      </c>
      <c r="AD107" s="54">
        <v>12</v>
      </c>
      <c r="AE107" s="54">
        <v>14</v>
      </c>
      <c r="AF107" s="54"/>
      <c r="AG107" s="5">
        <f t="shared" si="17"/>
        <v>210</v>
      </c>
    </row>
    <row r="108" spans="1:33" ht="15.75" customHeight="1" x14ac:dyDescent="0.25">
      <c r="A108" s="78" t="s">
        <v>56</v>
      </c>
      <c r="B108" s="54">
        <v>4</v>
      </c>
      <c r="C108" s="54">
        <v>14</v>
      </c>
      <c r="D108" s="54">
        <v>8</v>
      </c>
      <c r="E108" s="54">
        <v>8</v>
      </c>
      <c r="F108" s="54">
        <v>8</v>
      </c>
      <c r="G108" s="54">
        <v>7</v>
      </c>
      <c r="H108" s="54">
        <v>7</v>
      </c>
      <c r="I108" s="54">
        <v>7</v>
      </c>
      <c r="J108" s="54">
        <v>8</v>
      </c>
      <c r="K108" s="54">
        <v>9</v>
      </c>
      <c r="L108" s="54">
        <v>9</v>
      </c>
      <c r="M108" s="54">
        <v>8</v>
      </c>
      <c r="N108" s="54">
        <v>7</v>
      </c>
      <c r="O108" s="54">
        <v>5</v>
      </c>
      <c r="P108" s="54">
        <v>10</v>
      </c>
      <c r="Q108" s="54">
        <v>10</v>
      </c>
      <c r="R108" s="54">
        <v>15</v>
      </c>
      <c r="S108" s="54">
        <v>8</v>
      </c>
      <c r="T108" s="54">
        <v>8</v>
      </c>
      <c r="U108" s="54">
        <v>8</v>
      </c>
      <c r="V108" s="54">
        <v>4</v>
      </c>
      <c r="W108" s="54">
        <v>16</v>
      </c>
      <c r="X108" s="54">
        <v>10</v>
      </c>
      <c r="Y108" s="54">
        <v>6</v>
      </c>
      <c r="Z108" s="54">
        <v>5</v>
      </c>
      <c r="AA108" s="54">
        <v>9</v>
      </c>
      <c r="AB108" s="54">
        <v>8</v>
      </c>
      <c r="AC108" s="54">
        <v>10</v>
      </c>
      <c r="AD108" s="54">
        <v>7</v>
      </c>
      <c r="AE108" s="54">
        <v>13</v>
      </c>
      <c r="AF108" s="54"/>
      <c r="AG108" s="5">
        <f t="shared" si="17"/>
        <v>256</v>
      </c>
    </row>
    <row r="109" spans="1:33" ht="15.75" customHeight="1" x14ac:dyDescent="0.25">
      <c r="A109" s="78" t="s">
        <v>57</v>
      </c>
      <c r="B109" s="54">
        <v>10</v>
      </c>
      <c r="C109" s="54">
        <v>8</v>
      </c>
      <c r="D109" s="54">
        <v>13</v>
      </c>
      <c r="E109" s="54">
        <v>8</v>
      </c>
      <c r="F109" s="54">
        <v>13</v>
      </c>
      <c r="G109" s="54">
        <v>7</v>
      </c>
      <c r="H109" s="54">
        <v>9</v>
      </c>
      <c r="I109" s="54">
        <v>9</v>
      </c>
      <c r="J109" s="54">
        <v>10</v>
      </c>
      <c r="K109" s="54">
        <v>10</v>
      </c>
      <c r="L109" s="54">
        <v>10</v>
      </c>
      <c r="M109" s="54">
        <v>8</v>
      </c>
      <c r="N109" s="54">
        <v>9</v>
      </c>
      <c r="O109" s="54">
        <v>8</v>
      </c>
      <c r="P109" s="54">
        <v>12</v>
      </c>
      <c r="Q109" s="54">
        <v>14</v>
      </c>
      <c r="R109" s="54">
        <v>7</v>
      </c>
      <c r="S109" s="54">
        <v>7</v>
      </c>
      <c r="T109" s="54">
        <v>7</v>
      </c>
      <c r="U109" s="54">
        <v>13</v>
      </c>
      <c r="V109" s="54">
        <v>9</v>
      </c>
      <c r="W109" s="54">
        <v>14</v>
      </c>
      <c r="X109" s="54">
        <v>14</v>
      </c>
      <c r="Y109" s="54">
        <v>9</v>
      </c>
      <c r="Z109" s="54">
        <v>9</v>
      </c>
      <c r="AA109" s="54">
        <v>9</v>
      </c>
      <c r="AB109" s="54">
        <v>3</v>
      </c>
      <c r="AC109" s="54">
        <v>9</v>
      </c>
      <c r="AD109" s="54">
        <v>9</v>
      </c>
      <c r="AE109" s="54">
        <v>10</v>
      </c>
      <c r="AF109" s="54"/>
      <c r="AG109" s="5">
        <f t="shared" si="17"/>
        <v>287</v>
      </c>
    </row>
    <row r="110" spans="1:33" ht="15.75" customHeight="1" x14ac:dyDescent="0.25">
      <c r="A110" s="78" t="s">
        <v>58</v>
      </c>
      <c r="B110" s="54">
        <v>16</v>
      </c>
      <c r="C110" s="54">
        <v>15</v>
      </c>
      <c r="D110" s="54">
        <v>4</v>
      </c>
      <c r="E110" s="54">
        <v>6</v>
      </c>
      <c r="F110" s="54">
        <v>9</v>
      </c>
      <c r="G110" s="54">
        <v>3</v>
      </c>
      <c r="H110" s="54">
        <v>7</v>
      </c>
      <c r="I110" s="54">
        <v>14</v>
      </c>
      <c r="J110" s="54">
        <v>11</v>
      </c>
      <c r="K110" s="54">
        <v>8</v>
      </c>
      <c r="L110" s="54">
        <v>11</v>
      </c>
      <c r="M110" s="54">
        <v>8</v>
      </c>
      <c r="N110" s="54">
        <v>8</v>
      </c>
      <c r="O110" s="54">
        <v>6</v>
      </c>
      <c r="P110" s="54">
        <v>13</v>
      </c>
      <c r="Q110" s="54">
        <v>12</v>
      </c>
      <c r="R110" s="54">
        <v>8</v>
      </c>
      <c r="S110" s="54">
        <v>11</v>
      </c>
      <c r="T110" s="54">
        <v>10</v>
      </c>
      <c r="U110" s="54">
        <v>13</v>
      </c>
      <c r="V110" s="54">
        <v>9</v>
      </c>
      <c r="W110" s="54">
        <v>13</v>
      </c>
      <c r="X110" s="54">
        <v>12</v>
      </c>
      <c r="Y110" s="54">
        <v>9</v>
      </c>
      <c r="Z110" s="54">
        <v>10</v>
      </c>
      <c r="AA110" s="54">
        <v>11</v>
      </c>
      <c r="AB110" s="54">
        <v>8</v>
      </c>
      <c r="AC110" s="54">
        <v>5</v>
      </c>
      <c r="AD110" s="54">
        <v>22</v>
      </c>
      <c r="AE110" s="54">
        <v>11</v>
      </c>
      <c r="AF110" s="54"/>
      <c r="AG110" s="5">
        <f t="shared" si="17"/>
        <v>303</v>
      </c>
    </row>
    <row r="111" spans="1:33" ht="15.75" customHeight="1" x14ac:dyDescent="0.25">
      <c r="A111" s="78" t="s">
        <v>59</v>
      </c>
      <c r="B111" s="54">
        <v>9</v>
      </c>
      <c r="C111" s="54">
        <v>6</v>
      </c>
      <c r="D111" s="54">
        <v>9</v>
      </c>
      <c r="E111" s="54">
        <v>5</v>
      </c>
      <c r="F111" s="54">
        <v>8</v>
      </c>
      <c r="G111" s="54">
        <v>8</v>
      </c>
      <c r="H111" s="54">
        <v>7</v>
      </c>
      <c r="I111" s="54">
        <v>10</v>
      </c>
      <c r="J111" s="54">
        <v>8</v>
      </c>
      <c r="K111" s="54">
        <v>4</v>
      </c>
      <c r="L111" s="54">
        <v>4</v>
      </c>
      <c r="M111" s="54">
        <v>9</v>
      </c>
      <c r="N111" s="54">
        <v>3</v>
      </c>
      <c r="O111" s="54">
        <v>10</v>
      </c>
      <c r="P111" s="54">
        <v>13</v>
      </c>
      <c r="Q111" s="54">
        <v>5</v>
      </c>
      <c r="R111" s="54">
        <v>8</v>
      </c>
      <c r="S111" s="54">
        <v>4</v>
      </c>
      <c r="T111" s="54">
        <v>6</v>
      </c>
      <c r="U111" s="54">
        <v>13</v>
      </c>
      <c r="V111" s="54">
        <v>5</v>
      </c>
      <c r="W111" s="54">
        <v>13</v>
      </c>
      <c r="X111" s="54">
        <v>11</v>
      </c>
      <c r="Y111" s="54">
        <v>6</v>
      </c>
      <c r="Z111" s="54">
        <v>8</v>
      </c>
      <c r="AA111" s="54">
        <v>7</v>
      </c>
      <c r="AB111" s="54">
        <v>8</v>
      </c>
      <c r="AC111" s="54">
        <v>5</v>
      </c>
      <c r="AD111" s="54">
        <v>8</v>
      </c>
      <c r="AE111" s="54">
        <v>8</v>
      </c>
      <c r="AF111" s="54"/>
      <c r="AG111" s="5">
        <f t="shared" si="17"/>
        <v>228</v>
      </c>
    </row>
    <row r="112" spans="1:33" ht="15.75" customHeight="1" x14ac:dyDescent="0.25">
      <c r="A112" s="78" t="s">
        <v>60</v>
      </c>
      <c r="B112" s="54">
        <v>10</v>
      </c>
      <c r="C112" s="54">
        <v>11</v>
      </c>
      <c r="D112" s="54">
        <v>6</v>
      </c>
      <c r="E112" s="54">
        <v>6</v>
      </c>
      <c r="F112" s="54">
        <v>5</v>
      </c>
      <c r="G112" s="54">
        <v>3</v>
      </c>
      <c r="H112" s="54">
        <v>7</v>
      </c>
      <c r="I112" s="54">
        <v>9</v>
      </c>
      <c r="J112" s="54">
        <v>9</v>
      </c>
      <c r="K112" s="54">
        <v>7</v>
      </c>
      <c r="L112" s="54">
        <v>10</v>
      </c>
      <c r="M112" s="54">
        <v>5</v>
      </c>
      <c r="N112" s="54">
        <v>6</v>
      </c>
      <c r="O112" s="54">
        <v>6</v>
      </c>
      <c r="P112" s="54">
        <v>7</v>
      </c>
      <c r="Q112" s="54">
        <v>7</v>
      </c>
      <c r="R112" s="54">
        <v>7</v>
      </c>
      <c r="S112" s="54">
        <v>6</v>
      </c>
      <c r="T112" s="54">
        <v>2</v>
      </c>
      <c r="U112" s="54">
        <v>1</v>
      </c>
      <c r="V112" s="54">
        <v>3</v>
      </c>
      <c r="W112" s="54">
        <v>2</v>
      </c>
      <c r="X112" s="54">
        <v>8</v>
      </c>
      <c r="Y112" s="54">
        <v>9</v>
      </c>
      <c r="Z112" s="54">
        <v>7</v>
      </c>
      <c r="AA112" s="54">
        <v>2</v>
      </c>
      <c r="AB112" s="54">
        <v>6</v>
      </c>
      <c r="AC112" s="54">
        <v>2</v>
      </c>
      <c r="AD112" s="54">
        <v>7</v>
      </c>
      <c r="AE112" s="54">
        <v>8</v>
      </c>
      <c r="AF112" s="54"/>
      <c r="AG112" s="5">
        <f t="shared" si="17"/>
        <v>184</v>
      </c>
    </row>
    <row r="113" spans="1:37" ht="15.75" customHeight="1" x14ac:dyDescent="0.25">
      <c r="A113" s="78" t="s">
        <v>61</v>
      </c>
      <c r="B113" s="54">
        <v>9</v>
      </c>
      <c r="C113" s="54">
        <v>10</v>
      </c>
      <c r="D113" s="54">
        <v>7</v>
      </c>
      <c r="E113" s="54">
        <v>6</v>
      </c>
      <c r="F113" s="54">
        <v>9</v>
      </c>
      <c r="G113" s="54">
        <v>8</v>
      </c>
      <c r="H113" s="54">
        <v>6</v>
      </c>
      <c r="I113" s="54">
        <v>4</v>
      </c>
      <c r="J113" s="54">
        <v>8</v>
      </c>
      <c r="K113" s="54">
        <v>6</v>
      </c>
      <c r="L113" s="54">
        <v>1</v>
      </c>
      <c r="M113" s="54">
        <v>4</v>
      </c>
      <c r="N113" s="54">
        <v>5</v>
      </c>
      <c r="O113" s="54">
        <v>5</v>
      </c>
      <c r="P113" s="54">
        <v>4</v>
      </c>
      <c r="Q113" s="54">
        <v>6</v>
      </c>
      <c r="R113" s="54">
        <v>4</v>
      </c>
      <c r="S113" s="54">
        <v>2</v>
      </c>
      <c r="T113" s="54">
        <v>3</v>
      </c>
      <c r="U113" s="54">
        <v>0</v>
      </c>
      <c r="V113" s="54">
        <v>6</v>
      </c>
      <c r="W113" s="54">
        <v>12</v>
      </c>
      <c r="X113" s="54">
        <v>11</v>
      </c>
      <c r="Y113" s="54">
        <v>7</v>
      </c>
      <c r="Z113" s="54">
        <v>6</v>
      </c>
      <c r="AA113" s="54">
        <v>3</v>
      </c>
      <c r="AB113" s="54">
        <v>3</v>
      </c>
      <c r="AC113" s="54">
        <v>1</v>
      </c>
      <c r="AD113" s="54">
        <v>4</v>
      </c>
      <c r="AE113" s="54">
        <v>3</v>
      </c>
      <c r="AF113" s="54"/>
      <c r="AG113" s="5">
        <f t="shared" si="17"/>
        <v>163</v>
      </c>
    </row>
    <row r="114" spans="1:37" ht="15.75" customHeight="1" x14ac:dyDescent="0.25">
      <c r="A114" s="78" t="s">
        <v>62</v>
      </c>
      <c r="B114" s="54">
        <v>10</v>
      </c>
      <c r="C114" s="54">
        <v>8</v>
      </c>
      <c r="D114" s="54">
        <v>6</v>
      </c>
      <c r="E114" s="54">
        <v>6</v>
      </c>
      <c r="F114" s="54">
        <v>5</v>
      </c>
      <c r="G114" s="54">
        <v>7</v>
      </c>
      <c r="H114" s="54">
        <v>7</v>
      </c>
      <c r="I114" s="54">
        <v>14</v>
      </c>
      <c r="J114" s="54">
        <v>9</v>
      </c>
      <c r="K114" s="54">
        <v>8</v>
      </c>
      <c r="L114" s="54">
        <v>9</v>
      </c>
      <c r="M114" s="54">
        <v>9</v>
      </c>
      <c r="N114" s="54">
        <v>8</v>
      </c>
      <c r="O114" s="54">
        <v>13</v>
      </c>
      <c r="P114" s="54">
        <v>8</v>
      </c>
      <c r="Q114" s="54">
        <v>4</v>
      </c>
      <c r="R114" s="54">
        <v>6</v>
      </c>
      <c r="S114" s="54">
        <v>9</v>
      </c>
      <c r="T114" s="54">
        <v>5</v>
      </c>
      <c r="U114" s="54">
        <v>5</v>
      </c>
      <c r="V114" s="54">
        <v>7</v>
      </c>
      <c r="W114" s="54">
        <v>15</v>
      </c>
      <c r="X114" s="54">
        <v>14</v>
      </c>
      <c r="Y114" s="54">
        <v>9</v>
      </c>
      <c r="Z114" s="54">
        <v>8</v>
      </c>
      <c r="AA114" s="54">
        <v>4</v>
      </c>
      <c r="AB114" s="54">
        <v>10</v>
      </c>
      <c r="AC114" s="54">
        <v>8</v>
      </c>
      <c r="AD114" s="54">
        <v>12</v>
      </c>
      <c r="AE114" s="54">
        <v>5</v>
      </c>
      <c r="AF114" s="54"/>
      <c r="AG114" s="5">
        <f t="shared" si="17"/>
        <v>248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53</v>
      </c>
      <c r="C116" s="20">
        <f t="shared" si="19"/>
        <v>62</v>
      </c>
      <c r="D116" s="20">
        <f t="shared" si="19"/>
        <v>53</v>
      </c>
      <c r="E116" s="20">
        <f t="shared" si="19"/>
        <v>46</v>
      </c>
      <c r="F116" s="20">
        <f t="shared" si="19"/>
        <v>41</v>
      </c>
      <c r="G116" s="20">
        <f t="shared" si="19"/>
        <v>29</v>
      </c>
      <c r="H116" s="20">
        <f t="shared" si="19"/>
        <v>23</v>
      </c>
      <c r="I116" s="20">
        <f t="shared" si="19"/>
        <v>52</v>
      </c>
      <c r="J116" s="20">
        <f t="shared" si="19"/>
        <v>53</v>
      </c>
      <c r="K116" s="20">
        <f t="shared" si="19"/>
        <v>52</v>
      </c>
      <c r="L116" s="20">
        <f t="shared" si="19"/>
        <v>39</v>
      </c>
      <c r="M116" s="20">
        <f t="shared" si="19"/>
        <v>37</v>
      </c>
      <c r="N116" s="20">
        <f t="shared" si="19"/>
        <v>33</v>
      </c>
      <c r="O116" s="20">
        <f t="shared" si="19"/>
        <v>31</v>
      </c>
      <c r="P116" s="20">
        <f t="shared" si="19"/>
        <v>63</v>
      </c>
      <c r="Q116" s="20">
        <f t="shared" si="19"/>
        <v>53</v>
      </c>
      <c r="R116" s="20">
        <f t="shared" si="19"/>
        <v>42</v>
      </c>
      <c r="S116" s="20">
        <f t="shared" si="19"/>
        <v>47</v>
      </c>
      <c r="T116" s="20">
        <f t="shared" si="19"/>
        <v>44</v>
      </c>
      <c r="U116" s="20">
        <f t="shared" si="19"/>
        <v>44</v>
      </c>
      <c r="V116" s="20">
        <f t="shared" si="19"/>
        <v>39</v>
      </c>
      <c r="W116" s="20">
        <f t="shared" si="19"/>
        <v>65</v>
      </c>
      <c r="X116" s="20">
        <f t="shared" si="19"/>
        <v>73</v>
      </c>
      <c r="Y116" s="20">
        <f t="shared" si="19"/>
        <v>55</v>
      </c>
      <c r="Z116" s="20">
        <f t="shared" si="19"/>
        <v>37</v>
      </c>
      <c r="AA116" s="20">
        <f t="shared" si="19"/>
        <v>47</v>
      </c>
      <c r="AB116" s="20">
        <f t="shared" si="19"/>
        <v>39</v>
      </c>
      <c r="AC116" s="20">
        <f t="shared" si="19"/>
        <v>39</v>
      </c>
      <c r="AD116" s="20">
        <f t="shared" si="19"/>
        <v>62</v>
      </c>
      <c r="AE116" s="20">
        <f t="shared" si="19"/>
        <v>53</v>
      </c>
      <c r="AF116" s="20">
        <f t="shared" si="19"/>
        <v>0</v>
      </c>
      <c r="AG116" s="5">
        <f t="shared" si="17"/>
        <v>1406</v>
      </c>
      <c r="AK116" s="84">
        <v>612</v>
      </c>
    </row>
    <row r="117" spans="1:37" ht="15.75" customHeight="1" x14ac:dyDescent="0.25">
      <c r="A117" s="85" t="s">
        <v>64</v>
      </c>
      <c r="B117" s="54">
        <v>42</v>
      </c>
      <c r="C117" s="54">
        <v>54</v>
      </c>
      <c r="D117" s="54">
        <v>46</v>
      </c>
      <c r="E117" s="54">
        <v>39</v>
      </c>
      <c r="F117" s="54">
        <v>31</v>
      </c>
      <c r="G117" s="54">
        <v>25</v>
      </c>
      <c r="H117" s="54">
        <v>22</v>
      </c>
      <c r="I117" s="54">
        <v>48</v>
      </c>
      <c r="J117" s="54">
        <v>42</v>
      </c>
      <c r="K117" s="54">
        <v>45</v>
      </c>
      <c r="L117" s="54">
        <v>35</v>
      </c>
      <c r="M117" s="54">
        <v>33</v>
      </c>
      <c r="N117" s="54">
        <v>30</v>
      </c>
      <c r="O117" s="54">
        <v>29</v>
      </c>
      <c r="P117" s="54">
        <v>56</v>
      </c>
      <c r="Q117" s="54">
        <v>41</v>
      </c>
      <c r="R117" s="54">
        <v>38</v>
      </c>
      <c r="S117" s="54">
        <v>42</v>
      </c>
      <c r="T117" s="54">
        <v>43</v>
      </c>
      <c r="U117" s="54">
        <v>39</v>
      </c>
      <c r="V117" s="54">
        <v>26</v>
      </c>
      <c r="W117" s="54">
        <v>52</v>
      </c>
      <c r="X117" s="54">
        <v>63</v>
      </c>
      <c r="Y117" s="54">
        <v>46</v>
      </c>
      <c r="Z117" s="54">
        <v>31</v>
      </c>
      <c r="AA117" s="54">
        <v>43</v>
      </c>
      <c r="AB117" s="54">
        <v>31</v>
      </c>
      <c r="AC117" s="54">
        <v>33</v>
      </c>
      <c r="AD117" s="54">
        <v>58</v>
      </c>
      <c r="AE117" s="54">
        <v>43</v>
      </c>
      <c r="AF117" s="54"/>
      <c r="AG117" s="5">
        <f t="shared" si="17"/>
        <v>1206</v>
      </c>
      <c r="AK117" s="84">
        <v>613</v>
      </c>
    </row>
    <row r="118" spans="1:37" ht="15.75" customHeight="1" thickBot="1" x14ac:dyDescent="0.3">
      <c r="A118" s="86" t="s">
        <v>76</v>
      </c>
      <c r="B118" s="87">
        <v>11</v>
      </c>
      <c r="C118" s="87">
        <v>8</v>
      </c>
      <c r="D118" s="87">
        <v>7</v>
      </c>
      <c r="E118" s="87">
        <v>7</v>
      </c>
      <c r="F118" s="87">
        <v>10</v>
      </c>
      <c r="G118" s="87">
        <v>4</v>
      </c>
      <c r="H118" s="87">
        <v>1</v>
      </c>
      <c r="I118" s="87">
        <v>4</v>
      </c>
      <c r="J118" s="87">
        <v>11</v>
      </c>
      <c r="K118" s="87">
        <v>7</v>
      </c>
      <c r="L118" s="87">
        <v>4</v>
      </c>
      <c r="M118" s="87">
        <v>4</v>
      </c>
      <c r="N118" s="87">
        <v>3</v>
      </c>
      <c r="O118" s="87">
        <v>2</v>
      </c>
      <c r="P118" s="87">
        <v>7</v>
      </c>
      <c r="Q118" s="87">
        <v>12</v>
      </c>
      <c r="R118" s="87">
        <v>4</v>
      </c>
      <c r="S118" s="87">
        <v>5</v>
      </c>
      <c r="T118" s="87">
        <v>1</v>
      </c>
      <c r="U118" s="87">
        <v>5</v>
      </c>
      <c r="V118" s="87">
        <v>13</v>
      </c>
      <c r="W118" s="87">
        <v>13</v>
      </c>
      <c r="X118" s="87">
        <v>10</v>
      </c>
      <c r="Y118" s="87">
        <v>9</v>
      </c>
      <c r="Z118" s="87">
        <v>6</v>
      </c>
      <c r="AA118" s="87">
        <v>4</v>
      </c>
      <c r="AB118" s="87">
        <v>8</v>
      </c>
      <c r="AC118" s="87">
        <v>6</v>
      </c>
      <c r="AD118" s="87">
        <v>4</v>
      </c>
      <c r="AE118" s="87">
        <v>10</v>
      </c>
      <c r="AF118" s="87"/>
      <c r="AG118" s="5">
        <f t="shared" si="17"/>
        <v>200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176</v>
      </c>
      <c r="C119" s="20">
        <f t="shared" si="20"/>
        <v>192</v>
      </c>
      <c r="D119" s="20">
        <f t="shared" si="20"/>
        <v>144</v>
      </c>
      <c r="E119" s="20">
        <f t="shared" si="20"/>
        <v>138</v>
      </c>
      <c r="F119" s="20">
        <f t="shared" si="20"/>
        <v>142</v>
      </c>
      <c r="G119" s="20">
        <f t="shared" si="20"/>
        <v>115</v>
      </c>
      <c r="H119" s="20">
        <f t="shared" si="20"/>
        <v>122</v>
      </c>
      <c r="I119" s="20">
        <f t="shared" si="20"/>
        <v>177</v>
      </c>
      <c r="J119" s="20">
        <f t="shared" si="20"/>
        <v>181</v>
      </c>
      <c r="K119" s="20">
        <f t="shared" si="20"/>
        <v>132</v>
      </c>
      <c r="L119" s="20">
        <f t="shared" si="20"/>
        <v>135</v>
      </c>
      <c r="M119" s="20">
        <f t="shared" si="20"/>
        <v>132</v>
      </c>
      <c r="N119" s="20">
        <f t="shared" si="20"/>
        <v>111</v>
      </c>
      <c r="O119" s="20">
        <f t="shared" si="20"/>
        <v>119</v>
      </c>
      <c r="P119" s="20">
        <f t="shared" si="20"/>
        <v>176</v>
      </c>
      <c r="Q119" s="20">
        <f t="shared" si="20"/>
        <v>176</v>
      </c>
      <c r="R119" s="20">
        <f t="shared" si="20"/>
        <v>147</v>
      </c>
      <c r="S119" s="20">
        <f t="shared" si="20"/>
        <v>144</v>
      </c>
      <c r="T119" s="20">
        <f t="shared" si="20"/>
        <v>124</v>
      </c>
      <c r="U119" s="20">
        <f t="shared" si="20"/>
        <v>145</v>
      </c>
      <c r="V119" s="20">
        <f t="shared" si="20"/>
        <v>122</v>
      </c>
      <c r="W119" s="20">
        <f t="shared" si="20"/>
        <v>207</v>
      </c>
      <c r="X119" s="20">
        <f t="shared" si="20"/>
        <v>211</v>
      </c>
      <c r="Y119" s="20">
        <f t="shared" si="20"/>
        <v>143</v>
      </c>
      <c r="Z119" s="20">
        <f t="shared" si="20"/>
        <v>143</v>
      </c>
      <c r="AA119" s="20">
        <f t="shared" si="20"/>
        <v>140</v>
      </c>
      <c r="AB119" s="20">
        <f t="shared" si="20"/>
        <v>125</v>
      </c>
      <c r="AC119" s="20">
        <f t="shared" si="20"/>
        <v>126</v>
      </c>
      <c r="AD119" s="20">
        <f t="shared" si="20"/>
        <v>188</v>
      </c>
      <c r="AE119" s="20">
        <f t="shared" si="20"/>
        <v>173</v>
      </c>
      <c r="AF119" s="20">
        <f t="shared" si="20"/>
        <v>0</v>
      </c>
      <c r="AG119" s="7">
        <f t="shared" si="17"/>
        <v>4506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42</v>
      </c>
      <c r="C120" s="54">
        <v>49</v>
      </c>
      <c r="D120" s="54">
        <v>40</v>
      </c>
      <c r="E120" s="54">
        <v>36</v>
      </c>
      <c r="F120" s="54">
        <v>30</v>
      </c>
      <c r="G120" s="54">
        <v>25</v>
      </c>
      <c r="H120" s="54">
        <v>20</v>
      </c>
      <c r="I120" s="54">
        <v>48</v>
      </c>
      <c r="J120" s="54">
        <v>35</v>
      </c>
      <c r="K120" s="54">
        <v>35</v>
      </c>
      <c r="L120" s="54">
        <v>34</v>
      </c>
      <c r="M120" s="54">
        <v>29</v>
      </c>
      <c r="N120" s="54">
        <v>24</v>
      </c>
      <c r="O120" s="54">
        <v>28</v>
      </c>
      <c r="P120" s="54">
        <v>54</v>
      </c>
      <c r="Q120" s="54">
        <v>40</v>
      </c>
      <c r="R120" s="54">
        <v>37</v>
      </c>
      <c r="S120" s="54">
        <v>39</v>
      </c>
      <c r="T120" s="54">
        <v>39</v>
      </c>
      <c r="U120" s="54">
        <v>33</v>
      </c>
      <c r="V120" s="54">
        <v>24</v>
      </c>
      <c r="W120" s="54">
        <v>51</v>
      </c>
      <c r="X120" s="54">
        <v>56</v>
      </c>
      <c r="Y120" s="54">
        <v>41</v>
      </c>
      <c r="Z120" s="54">
        <v>28</v>
      </c>
      <c r="AA120" s="54">
        <v>38</v>
      </c>
      <c r="AB120" s="54">
        <v>29</v>
      </c>
      <c r="AC120" s="54">
        <v>29</v>
      </c>
      <c r="AD120" s="54">
        <v>57</v>
      </c>
      <c r="AE120" s="54">
        <v>41</v>
      </c>
      <c r="AF120" s="54"/>
      <c r="AG120" s="5">
        <f t="shared" si="17"/>
        <v>1111</v>
      </c>
      <c r="AK120" s="88" t="s">
        <v>130</v>
      </c>
    </row>
    <row r="121" spans="1:37" ht="15.75" customHeight="1" x14ac:dyDescent="0.25">
      <c r="A121" s="85" t="s">
        <v>65</v>
      </c>
      <c r="B121" s="54">
        <v>1</v>
      </c>
      <c r="C121" s="54">
        <v>2</v>
      </c>
      <c r="D121" s="54">
        <v>1</v>
      </c>
      <c r="E121" s="54">
        <v>1</v>
      </c>
      <c r="F121" s="54">
        <v>2</v>
      </c>
      <c r="G121" s="54">
        <v>0</v>
      </c>
      <c r="H121" s="54">
        <v>1</v>
      </c>
      <c r="I121" s="54">
        <v>4</v>
      </c>
      <c r="J121" s="54">
        <v>4</v>
      </c>
      <c r="K121" s="54">
        <v>1</v>
      </c>
      <c r="L121" s="54">
        <v>2</v>
      </c>
      <c r="M121" s="54">
        <v>4</v>
      </c>
      <c r="N121" s="54">
        <v>5</v>
      </c>
      <c r="O121" s="54">
        <v>4</v>
      </c>
      <c r="P121" s="54">
        <v>2</v>
      </c>
      <c r="Q121" s="54">
        <v>4</v>
      </c>
      <c r="R121" s="54">
        <v>5</v>
      </c>
      <c r="S121" s="54">
        <v>6</v>
      </c>
      <c r="T121" s="54">
        <v>1</v>
      </c>
      <c r="U121" s="54">
        <v>2</v>
      </c>
      <c r="V121" s="54">
        <v>3</v>
      </c>
      <c r="W121" s="54">
        <v>4</v>
      </c>
      <c r="X121" s="54">
        <v>5</v>
      </c>
      <c r="Y121" s="54">
        <v>4</v>
      </c>
      <c r="Z121" s="54">
        <v>3</v>
      </c>
      <c r="AA121" s="54">
        <v>3</v>
      </c>
      <c r="AB121" s="54">
        <v>7</v>
      </c>
      <c r="AC121" s="54">
        <v>3</v>
      </c>
      <c r="AD121" s="54">
        <v>4</v>
      </c>
      <c r="AE121" s="54">
        <v>1</v>
      </c>
      <c r="AF121" s="54"/>
      <c r="AG121" s="5">
        <f t="shared" si="17"/>
        <v>89</v>
      </c>
      <c r="AK121" s="84" t="s">
        <v>131</v>
      </c>
    </row>
    <row r="122" spans="1:37" ht="15.75" customHeight="1" x14ac:dyDescent="0.25">
      <c r="A122" s="85" t="s">
        <v>66</v>
      </c>
      <c r="B122" s="54">
        <v>6</v>
      </c>
      <c r="C122" s="54">
        <v>8</v>
      </c>
      <c r="D122" s="54">
        <v>6</v>
      </c>
      <c r="E122" s="54">
        <v>7</v>
      </c>
      <c r="F122" s="54">
        <v>4</v>
      </c>
      <c r="G122" s="54">
        <v>4</v>
      </c>
      <c r="H122" s="54">
        <v>10</v>
      </c>
      <c r="I122" s="54">
        <v>4</v>
      </c>
      <c r="J122" s="54">
        <v>8</v>
      </c>
      <c r="K122" s="54">
        <v>9</v>
      </c>
      <c r="L122" s="54">
        <v>5</v>
      </c>
      <c r="M122" s="54">
        <v>8</v>
      </c>
      <c r="N122" s="54">
        <v>10</v>
      </c>
      <c r="O122" s="54">
        <v>11</v>
      </c>
      <c r="P122" s="54">
        <v>9</v>
      </c>
      <c r="Q122" s="54">
        <v>11</v>
      </c>
      <c r="R122" s="54">
        <v>14</v>
      </c>
      <c r="S122" s="54">
        <v>5</v>
      </c>
      <c r="T122" s="54">
        <v>10</v>
      </c>
      <c r="U122" s="54">
        <v>4</v>
      </c>
      <c r="V122" s="54">
        <v>10</v>
      </c>
      <c r="W122" s="54">
        <v>10</v>
      </c>
      <c r="X122" s="54">
        <v>6</v>
      </c>
      <c r="Y122" s="54">
        <v>6</v>
      </c>
      <c r="Z122" s="54">
        <v>13</v>
      </c>
      <c r="AA122" s="54">
        <v>10</v>
      </c>
      <c r="AB122" s="54">
        <v>4</v>
      </c>
      <c r="AC122" s="54">
        <v>8</v>
      </c>
      <c r="AD122" s="54">
        <v>9</v>
      </c>
      <c r="AE122" s="54">
        <v>14</v>
      </c>
      <c r="AF122" s="54"/>
      <c r="AG122" s="5">
        <f t="shared" si="17"/>
        <v>243</v>
      </c>
      <c r="AK122" s="88" t="s">
        <v>132</v>
      </c>
    </row>
    <row r="123" spans="1:37" ht="15.75" customHeight="1" x14ac:dyDescent="0.25">
      <c r="A123" s="85" t="s">
        <v>67</v>
      </c>
      <c r="B123" s="54">
        <v>5</v>
      </c>
      <c r="C123" s="54">
        <v>7</v>
      </c>
      <c r="D123" s="54">
        <v>3</v>
      </c>
      <c r="E123" s="54">
        <v>2</v>
      </c>
      <c r="F123" s="54">
        <v>3</v>
      </c>
      <c r="G123" s="54">
        <v>6</v>
      </c>
      <c r="H123" s="54">
        <v>4</v>
      </c>
      <c r="I123" s="54">
        <v>3</v>
      </c>
      <c r="J123" s="54">
        <v>6</v>
      </c>
      <c r="K123" s="54">
        <v>6</v>
      </c>
      <c r="L123" s="54">
        <v>8</v>
      </c>
      <c r="M123" s="54">
        <v>5</v>
      </c>
      <c r="N123" s="54">
        <v>2</v>
      </c>
      <c r="O123" s="54">
        <v>4</v>
      </c>
      <c r="P123" s="54">
        <v>6</v>
      </c>
      <c r="Q123" s="54">
        <v>3</v>
      </c>
      <c r="R123" s="54">
        <v>7</v>
      </c>
      <c r="S123" s="54">
        <v>5</v>
      </c>
      <c r="T123" s="54">
        <v>1</v>
      </c>
      <c r="U123" s="54">
        <v>3</v>
      </c>
      <c r="V123" s="54">
        <v>1</v>
      </c>
      <c r="W123" s="54">
        <v>7</v>
      </c>
      <c r="X123" s="54">
        <v>11</v>
      </c>
      <c r="Y123" s="54">
        <v>2</v>
      </c>
      <c r="Z123" s="54">
        <v>4</v>
      </c>
      <c r="AA123" s="54">
        <v>6</v>
      </c>
      <c r="AB123" s="54">
        <v>1</v>
      </c>
      <c r="AC123" s="54">
        <v>3</v>
      </c>
      <c r="AD123" s="54">
        <v>2</v>
      </c>
      <c r="AE123" s="54">
        <v>1</v>
      </c>
      <c r="AF123" s="54"/>
      <c r="AG123" s="5">
        <f t="shared" si="17"/>
        <v>127</v>
      </c>
      <c r="AK123" s="84" t="s">
        <v>133</v>
      </c>
    </row>
    <row r="124" spans="1:37" ht="15.75" customHeight="1" x14ac:dyDescent="0.25">
      <c r="A124" s="85" t="s">
        <v>68</v>
      </c>
      <c r="B124" s="54">
        <v>12</v>
      </c>
      <c r="C124" s="54">
        <v>15</v>
      </c>
      <c r="D124" s="54">
        <v>23</v>
      </c>
      <c r="E124" s="54">
        <v>10</v>
      </c>
      <c r="F124" s="54">
        <v>4</v>
      </c>
      <c r="G124" s="54">
        <v>4</v>
      </c>
      <c r="H124" s="54">
        <v>5</v>
      </c>
      <c r="I124" s="54">
        <v>15</v>
      </c>
      <c r="J124" s="54">
        <v>9</v>
      </c>
      <c r="K124" s="54">
        <v>9</v>
      </c>
      <c r="L124" s="54">
        <v>6</v>
      </c>
      <c r="M124" s="54">
        <v>15</v>
      </c>
      <c r="N124" s="54">
        <v>10</v>
      </c>
      <c r="O124" s="54">
        <v>11</v>
      </c>
      <c r="P124" s="54">
        <v>15</v>
      </c>
      <c r="Q124" s="54">
        <v>20</v>
      </c>
      <c r="R124" s="54">
        <v>13</v>
      </c>
      <c r="S124" s="54">
        <v>8</v>
      </c>
      <c r="T124" s="54">
        <v>12</v>
      </c>
      <c r="U124" s="54">
        <v>16</v>
      </c>
      <c r="V124" s="54">
        <v>9</v>
      </c>
      <c r="W124" s="54">
        <v>14</v>
      </c>
      <c r="X124" s="54">
        <v>15</v>
      </c>
      <c r="Y124" s="54">
        <v>8</v>
      </c>
      <c r="Z124" s="54">
        <v>10</v>
      </c>
      <c r="AA124" s="54">
        <v>4</v>
      </c>
      <c r="AB124" s="54">
        <v>9</v>
      </c>
      <c r="AC124" s="54">
        <v>14</v>
      </c>
      <c r="AD124" s="54">
        <v>4</v>
      </c>
      <c r="AE124" s="54">
        <v>4</v>
      </c>
      <c r="AF124" s="54"/>
      <c r="AG124" s="5">
        <f t="shared" si="17"/>
        <v>323</v>
      </c>
      <c r="AK124" s="88" t="s">
        <v>134</v>
      </c>
    </row>
    <row r="125" spans="1:37" ht="15.75" customHeight="1" x14ac:dyDescent="0.25">
      <c r="A125" s="85" t="s">
        <v>69</v>
      </c>
      <c r="B125" s="54">
        <v>82</v>
      </c>
      <c r="C125" s="54">
        <v>92</v>
      </c>
      <c r="D125" s="54">
        <v>56</v>
      </c>
      <c r="E125" s="54">
        <v>67</v>
      </c>
      <c r="F125" s="54">
        <v>77</v>
      </c>
      <c r="G125" s="54">
        <v>63</v>
      </c>
      <c r="H125" s="54">
        <v>73</v>
      </c>
      <c r="I125" s="54">
        <v>85</v>
      </c>
      <c r="J125" s="54">
        <v>97</v>
      </c>
      <c r="K125" s="54">
        <v>62</v>
      </c>
      <c r="L125" s="54">
        <v>65</v>
      </c>
      <c r="M125" s="54">
        <v>56</v>
      </c>
      <c r="N125" s="54">
        <v>45</v>
      </c>
      <c r="O125" s="54">
        <v>49</v>
      </c>
      <c r="P125" s="54">
        <v>70</v>
      </c>
      <c r="Q125" s="54">
        <v>75</v>
      </c>
      <c r="R125" s="54">
        <v>54</v>
      </c>
      <c r="S125" s="54">
        <v>64</v>
      </c>
      <c r="T125" s="54">
        <v>50</v>
      </c>
      <c r="U125" s="54">
        <v>77</v>
      </c>
      <c r="V125" s="54">
        <v>57</v>
      </c>
      <c r="W125" s="54">
        <v>92</v>
      </c>
      <c r="X125" s="54">
        <v>97</v>
      </c>
      <c r="Y125" s="54">
        <v>64</v>
      </c>
      <c r="Z125" s="54">
        <v>68</v>
      </c>
      <c r="AA125" s="54">
        <v>59</v>
      </c>
      <c r="AB125" s="54">
        <v>57</v>
      </c>
      <c r="AC125" s="54">
        <v>45</v>
      </c>
      <c r="AD125" s="54">
        <v>94</v>
      </c>
      <c r="AE125" s="54">
        <v>89</v>
      </c>
      <c r="AF125" s="54"/>
      <c r="AG125" s="5">
        <f t="shared" si="17"/>
        <v>2081</v>
      </c>
      <c r="AK125" s="88" t="s">
        <v>135</v>
      </c>
    </row>
    <row r="126" spans="1:37" ht="15.75" customHeight="1" x14ac:dyDescent="0.25">
      <c r="A126" s="85" t="s">
        <v>70</v>
      </c>
      <c r="B126" s="54">
        <v>1</v>
      </c>
      <c r="C126" s="54">
        <v>1</v>
      </c>
      <c r="D126" s="54">
        <v>1</v>
      </c>
      <c r="E126" s="54">
        <v>4</v>
      </c>
      <c r="F126" s="54">
        <v>4</v>
      </c>
      <c r="G126" s="54">
        <v>0</v>
      </c>
      <c r="H126" s="54">
        <v>2</v>
      </c>
      <c r="I126" s="54">
        <v>1</v>
      </c>
      <c r="J126" s="54">
        <v>4</v>
      </c>
      <c r="K126" s="54">
        <v>2</v>
      </c>
      <c r="L126" s="54">
        <v>0</v>
      </c>
      <c r="M126" s="54">
        <v>2</v>
      </c>
      <c r="N126" s="54">
        <v>4</v>
      </c>
      <c r="O126" s="54">
        <v>5</v>
      </c>
      <c r="P126" s="54">
        <v>2</v>
      </c>
      <c r="Q126" s="54">
        <v>3</v>
      </c>
      <c r="R126" s="54">
        <v>3</v>
      </c>
      <c r="S126" s="54">
        <v>4</v>
      </c>
      <c r="T126" s="54">
        <v>2</v>
      </c>
      <c r="U126" s="54">
        <v>2</v>
      </c>
      <c r="V126" s="54">
        <v>0</v>
      </c>
      <c r="W126" s="54">
        <v>3</v>
      </c>
      <c r="X126" s="54">
        <v>1</v>
      </c>
      <c r="Y126" s="54">
        <v>4</v>
      </c>
      <c r="Z126" s="54">
        <v>5</v>
      </c>
      <c r="AA126" s="54">
        <v>1</v>
      </c>
      <c r="AB126" s="54">
        <v>2</v>
      </c>
      <c r="AC126" s="54">
        <v>7</v>
      </c>
      <c r="AD126" s="54">
        <v>2</v>
      </c>
      <c r="AE126" s="54">
        <v>1</v>
      </c>
      <c r="AF126" s="54"/>
      <c r="AG126" s="5">
        <f t="shared" si="17"/>
        <v>73</v>
      </c>
      <c r="AK126" s="84" t="s">
        <v>136</v>
      </c>
    </row>
    <row r="127" spans="1:37" ht="15.75" customHeight="1" x14ac:dyDescent="0.25">
      <c r="A127" s="85" t="s">
        <v>71</v>
      </c>
      <c r="B127" s="54">
        <v>3</v>
      </c>
      <c r="C127" s="54">
        <v>0</v>
      </c>
      <c r="D127" s="54">
        <v>2</v>
      </c>
      <c r="E127" s="54">
        <v>1</v>
      </c>
      <c r="F127" s="54">
        <v>0</v>
      </c>
      <c r="G127" s="54">
        <v>0</v>
      </c>
      <c r="H127" s="54">
        <v>2</v>
      </c>
      <c r="I127" s="54">
        <v>2</v>
      </c>
      <c r="J127" s="54">
        <v>2</v>
      </c>
      <c r="K127" s="54">
        <v>0</v>
      </c>
      <c r="L127" s="54">
        <v>0</v>
      </c>
      <c r="M127" s="54">
        <v>1</v>
      </c>
      <c r="N127" s="54">
        <v>1</v>
      </c>
      <c r="O127" s="54">
        <v>1</v>
      </c>
      <c r="P127" s="54">
        <v>2</v>
      </c>
      <c r="Q127" s="54">
        <v>0</v>
      </c>
      <c r="R127" s="54">
        <v>4</v>
      </c>
      <c r="S127" s="54">
        <v>0</v>
      </c>
      <c r="T127" s="54">
        <v>2</v>
      </c>
      <c r="U127" s="54">
        <v>0</v>
      </c>
      <c r="V127" s="54">
        <v>1</v>
      </c>
      <c r="W127" s="54">
        <v>0</v>
      </c>
      <c r="X127" s="54">
        <v>1</v>
      </c>
      <c r="Y127" s="54">
        <v>0</v>
      </c>
      <c r="Z127" s="54">
        <v>1</v>
      </c>
      <c r="AA127" s="54">
        <v>1</v>
      </c>
      <c r="AB127" s="54">
        <v>1</v>
      </c>
      <c r="AC127" s="54">
        <v>1</v>
      </c>
      <c r="AD127" s="54">
        <v>0</v>
      </c>
      <c r="AE127" s="54">
        <v>1</v>
      </c>
      <c r="AF127" s="54"/>
      <c r="AG127" s="5">
        <f t="shared" si="17"/>
        <v>30</v>
      </c>
      <c r="AK127" s="88" t="s">
        <v>137</v>
      </c>
    </row>
    <row r="128" spans="1:37" ht="15.75" customHeight="1" x14ac:dyDescent="0.25">
      <c r="A128" s="56" t="s">
        <v>72</v>
      </c>
      <c r="B128" s="54">
        <v>1</v>
      </c>
      <c r="C128" s="54">
        <v>1</v>
      </c>
      <c r="D128" s="54">
        <v>1</v>
      </c>
      <c r="E128" s="54">
        <v>1</v>
      </c>
      <c r="F128" s="54">
        <v>1</v>
      </c>
      <c r="G128" s="54">
        <v>2</v>
      </c>
      <c r="H128" s="54">
        <v>0</v>
      </c>
      <c r="I128" s="54">
        <v>5</v>
      </c>
      <c r="J128" s="54">
        <v>1</v>
      </c>
      <c r="K128" s="54">
        <v>0</v>
      </c>
      <c r="L128" s="54">
        <v>3</v>
      </c>
      <c r="M128" s="54">
        <v>3</v>
      </c>
      <c r="N128" s="54">
        <v>2</v>
      </c>
      <c r="O128" s="54">
        <v>1</v>
      </c>
      <c r="P128" s="54">
        <v>2</v>
      </c>
      <c r="Q128" s="54">
        <v>3</v>
      </c>
      <c r="R128" s="54">
        <v>2</v>
      </c>
      <c r="S128" s="54">
        <v>2</v>
      </c>
      <c r="T128" s="54">
        <v>2</v>
      </c>
      <c r="U128" s="54">
        <v>0</v>
      </c>
      <c r="V128" s="54">
        <v>0</v>
      </c>
      <c r="W128" s="54">
        <v>3</v>
      </c>
      <c r="X128" s="54">
        <v>4</v>
      </c>
      <c r="Y128" s="54">
        <v>1</v>
      </c>
      <c r="Z128" s="54">
        <v>1</v>
      </c>
      <c r="AA128" s="54">
        <v>1</v>
      </c>
      <c r="AB128" s="54">
        <v>1</v>
      </c>
      <c r="AC128" s="54">
        <v>4</v>
      </c>
      <c r="AD128" s="54">
        <v>0</v>
      </c>
      <c r="AE128" s="54">
        <v>2</v>
      </c>
      <c r="AF128" s="54"/>
      <c r="AG128" s="5">
        <f t="shared" si="17"/>
        <v>50</v>
      </c>
      <c r="AK128" s="88" t="s">
        <v>138</v>
      </c>
    </row>
    <row r="129" spans="1:37" ht="15.75" customHeight="1" x14ac:dyDescent="0.25">
      <c r="A129" s="56" t="s">
        <v>73</v>
      </c>
      <c r="B129" s="54">
        <v>2</v>
      </c>
      <c r="C129" s="54">
        <v>1</v>
      </c>
      <c r="D129" s="54">
        <v>1</v>
      </c>
      <c r="E129" s="54">
        <v>1</v>
      </c>
      <c r="F129" s="54">
        <v>2</v>
      </c>
      <c r="G129" s="54">
        <v>0</v>
      </c>
      <c r="H129" s="54">
        <v>1</v>
      </c>
      <c r="I129" s="54">
        <v>0</v>
      </c>
      <c r="J129" s="54">
        <v>0</v>
      </c>
      <c r="K129" s="54">
        <v>0</v>
      </c>
      <c r="L129" s="54">
        <v>1</v>
      </c>
      <c r="M129" s="54">
        <v>0</v>
      </c>
      <c r="N129" s="54">
        <v>0</v>
      </c>
      <c r="O129" s="54">
        <v>0</v>
      </c>
      <c r="P129" s="54">
        <v>1</v>
      </c>
      <c r="Q129" s="54">
        <v>0</v>
      </c>
      <c r="R129" s="54">
        <v>0</v>
      </c>
      <c r="S129" s="54">
        <v>2</v>
      </c>
      <c r="T129" s="54">
        <v>0</v>
      </c>
      <c r="U129" s="54">
        <v>0</v>
      </c>
      <c r="V129" s="54">
        <v>1</v>
      </c>
      <c r="W129" s="54">
        <v>1</v>
      </c>
      <c r="X129" s="54">
        <v>0</v>
      </c>
      <c r="Y129" s="54">
        <v>0</v>
      </c>
      <c r="Z129" s="54">
        <v>0</v>
      </c>
      <c r="AA129" s="54">
        <v>2</v>
      </c>
      <c r="AB129" s="54">
        <v>2</v>
      </c>
      <c r="AC129" s="54">
        <v>2</v>
      </c>
      <c r="AD129" s="54">
        <v>5</v>
      </c>
      <c r="AE129" s="54">
        <v>6</v>
      </c>
      <c r="AF129" s="54"/>
      <c r="AG129" s="5">
        <f t="shared" si="17"/>
        <v>31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0</v>
      </c>
      <c r="D130" s="54">
        <v>1</v>
      </c>
      <c r="E130" s="54">
        <v>0</v>
      </c>
      <c r="F130" s="54">
        <v>0</v>
      </c>
      <c r="G130" s="54">
        <v>0</v>
      </c>
      <c r="H130" s="54">
        <v>0</v>
      </c>
      <c r="I130" s="54">
        <v>0</v>
      </c>
      <c r="J130" s="54">
        <v>0</v>
      </c>
      <c r="K130" s="54">
        <v>0</v>
      </c>
      <c r="L130" s="54">
        <v>0</v>
      </c>
      <c r="M130" s="54">
        <v>1</v>
      </c>
      <c r="N130" s="54">
        <v>0</v>
      </c>
      <c r="O130" s="54">
        <v>1</v>
      </c>
      <c r="P130" s="54">
        <v>0</v>
      </c>
      <c r="Q130" s="54">
        <v>0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4">
        <v>1</v>
      </c>
      <c r="X130" s="54">
        <v>0</v>
      </c>
      <c r="Y130" s="54">
        <v>0</v>
      </c>
      <c r="Z130" s="54">
        <v>0</v>
      </c>
      <c r="AA130" s="54">
        <v>0</v>
      </c>
      <c r="AB130" s="54">
        <v>0</v>
      </c>
      <c r="AC130" s="54">
        <v>1</v>
      </c>
      <c r="AD130" s="54">
        <v>0</v>
      </c>
      <c r="AE130" s="54">
        <v>0</v>
      </c>
      <c r="AF130" s="54"/>
      <c r="AG130" s="5">
        <f t="shared" si="17"/>
        <v>5</v>
      </c>
      <c r="AK130" s="84" t="s">
        <v>140</v>
      </c>
    </row>
    <row r="131" spans="1:37" ht="15.75" customHeight="1" x14ac:dyDescent="0.25">
      <c r="A131" s="85" t="s">
        <v>75</v>
      </c>
      <c r="B131" s="54">
        <v>10</v>
      </c>
      <c r="C131" s="54">
        <v>8</v>
      </c>
      <c r="D131" s="54">
        <v>3</v>
      </c>
      <c r="E131" s="54">
        <v>2</v>
      </c>
      <c r="F131" s="54">
        <v>5</v>
      </c>
      <c r="G131" s="54">
        <v>8</v>
      </c>
      <c r="H131" s="54">
        <v>3</v>
      </c>
      <c r="I131" s="54">
        <v>5</v>
      </c>
      <c r="J131" s="54">
        <v>6</v>
      </c>
      <c r="K131" s="54">
        <v>3</v>
      </c>
      <c r="L131" s="54">
        <v>8</v>
      </c>
      <c r="M131" s="54">
        <v>4</v>
      </c>
      <c r="N131" s="54">
        <v>6</v>
      </c>
      <c r="O131" s="54">
        <v>2</v>
      </c>
      <c r="P131" s="54">
        <v>6</v>
      </c>
      <c r="Q131" s="54">
        <v>5</v>
      </c>
      <c r="R131" s="54">
        <v>5</v>
      </c>
      <c r="S131" s="54">
        <v>6</v>
      </c>
      <c r="T131" s="54">
        <v>4</v>
      </c>
      <c r="U131" s="54">
        <v>4</v>
      </c>
      <c r="V131" s="54">
        <v>5</v>
      </c>
      <c r="W131" s="54">
        <v>8</v>
      </c>
      <c r="X131" s="54">
        <v>6</v>
      </c>
      <c r="Y131" s="54">
        <v>5</v>
      </c>
      <c r="Z131" s="54">
        <v>4</v>
      </c>
      <c r="AA131" s="54">
        <v>11</v>
      </c>
      <c r="AB131" s="54">
        <v>3</v>
      </c>
      <c r="AC131" s="54">
        <v>2</v>
      </c>
      <c r="AD131" s="54">
        <v>6</v>
      </c>
      <c r="AE131" s="54">
        <v>3</v>
      </c>
      <c r="AF131" s="54"/>
      <c r="AG131" s="5">
        <f t="shared" si="17"/>
        <v>156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11</v>
      </c>
      <c r="C132" s="87">
        <v>8</v>
      </c>
      <c r="D132" s="87">
        <v>6</v>
      </c>
      <c r="E132" s="87">
        <v>6</v>
      </c>
      <c r="F132" s="87">
        <v>10</v>
      </c>
      <c r="G132" s="87">
        <v>3</v>
      </c>
      <c r="H132" s="87">
        <v>1</v>
      </c>
      <c r="I132" s="87">
        <v>5</v>
      </c>
      <c r="J132" s="87">
        <v>9</v>
      </c>
      <c r="K132" s="87">
        <v>5</v>
      </c>
      <c r="L132" s="87">
        <v>3</v>
      </c>
      <c r="M132" s="87">
        <v>4</v>
      </c>
      <c r="N132" s="87">
        <v>2</v>
      </c>
      <c r="O132" s="87">
        <v>2</v>
      </c>
      <c r="P132" s="87">
        <v>7</v>
      </c>
      <c r="Q132" s="87">
        <v>12</v>
      </c>
      <c r="R132" s="87">
        <v>3</v>
      </c>
      <c r="S132" s="87">
        <v>3</v>
      </c>
      <c r="T132" s="87">
        <v>1</v>
      </c>
      <c r="U132" s="87">
        <v>4</v>
      </c>
      <c r="V132" s="87">
        <v>11</v>
      </c>
      <c r="W132" s="87">
        <v>13</v>
      </c>
      <c r="X132" s="87">
        <v>9</v>
      </c>
      <c r="Y132" s="87">
        <v>8</v>
      </c>
      <c r="Z132" s="87">
        <v>6</v>
      </c>
      <c r="AA132" s="87">
        <v>4</v>
      </c>
      <c r="AB132" s="87">
        <v>9</v>
      </c>
      <c r="AC132" s="87">
        <v>7</v>
      </c>
      <c r="AD132" s="87">
        <v>5</v>
      </c>
      <c r="AE132" s="87">
        <v>10</v>
      </c>
      <c r="AF132" s="87"/>
      <c r="AG132" s="9">
        <f t="shared" si="17"/>
        <v>187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176</v>
      </c>
      <c r="C133" s="14">
        <f t="shared" si="21"/>
        <v>192</v>
      </c>
      <c r="D133" s="14">
        <f t="shared" si="21"/>
        <v>144</v>
      </c>
      <c r="E133" s="14">
        <f t="shared" si="21"/>
        <v>138</v>
      </c>
      <c r="F133" s="14">
        <f t="shared" si="21"/>
        <v>142</v>
      </c>
      <c r="G133" s="14">
        <f t="shared" si="21"/>
        <v>115</v>
      </c>
      <c r="H133" s="14">
        <f t="shared" si="21"/>
        <v>122</v>
      </c>
      <c r="I133" s="14">
        <f t="shared" si="21"/>
        <v>177</v>
      </c>
      <c r="J133" s="14">
        <f t="shared" si="21"/>
        <v>181</v>
      </c>
      <c r="K133" s="14">
        <f t="shared" si="21"/>
        <v>132</v>
      </c>
      <c r="L133" s="14">
        <f t="shared" si="21"/>
        <v>135</v>
      </c>
      <c r="M133" s="14">
        <f t="shared" si="21"/>
        <v>132</v>
      </c>
      <c r="N133" s="14">
        <f t="shared" si="21"/>
        <v>111</v>
      </c>
      <c r="O133" s="14">
        <f t="shared" si="21"/>
        <v>119</v>
      </c>
      <c r="P133" s="14">
        <f t="shared" si="21"/>
        <v>176</v>
      </c>
      <c r="Q133" s="14">
        <f t="shared" si="21"/>
        <v>176</v>
      </c>
      <c r="R133" s="14">
        <f t="shared" si="21"/>
        <v>147</v>
      </c>
      <c r="S133" s="14">
        <f t="shared" si="21"/>
        <v>144</v>
      </c>
      <c r="T133" s="14">
        <f t="shared" si="21"/>
        <v>124</v>
      </c>
      <c r="U133" s="14">
        <f t="shared" si="21"/>
        <v>145</v>
      </c>
      <c r="V133" s="14">
        <f t="shared" si="21"/>
        <v>122</v>
      </c>
      <c r="W133" s="14">
        <f t="shared" si="21"/>
        <v>207</v>
      </c>
      <c r="X133" s="14">
        <f t="shared" si="21"/>
        <v>211</v>
      </c>
      <c r="Y133" s="14">
        <f t="shared" si="21"/>
        <v>143</v>
      </c>
      <c r="Z133" s="14">
        <f t="shared" si="21"/>
        <v>143</v>
      </c>
      <c r="AA133" s="14">
        <f t="shared" si="21"/>
        <v>140</v>
      </c>
      <c r="AB133" s="14">
        <f t="shared" si="21"/>
        <v>125</v>
      </c>
      <c r="AC133" s="14">
        <f t="shared" si="21"/>
        <v>126</v>
      </c>
      <c r="AD133" s="14">
        <f t="shared" si="21"/>
        <v>188</v>
      </c>
      <c r="AE133" s="14">
        <f t="shared" si="21"/>
        <v>173</v>
      </c>
      <c r="AF133" s="14">
        <f t="shared" si="21"/>
        <v>0</v>
      </c>
      <c r="AG133" s="10">
        <f t="shared" si="17"/>
        <v>4506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1</v>
      </c>
      <c r="C134" s="22">
        <f t="shared" si="22"/>
        <v>8</v>
      </c>
      <c r="D134" s="22">
        <f t="shared" si="22"/>
        <v>22</v>
      </c>
      <c r="E134" s="22">
        <f t="shared" si="22"/>
        <v>13</v>
      </c>
      <c r="F134" s="22">
        <f t="shared" si="22"/>
        <v>5</v>
      </c>
      <c r="G134" s="22">
        <f t="shared" si="22"/>
        <v>6</v>
      </c>
      <c r="H134" s="22">
        <f t="shared" si="22"/>
        <v>10</v>
      </c>
      <c r="I134" s="22">
        <f t="shared" si="22"/>
        <v>3</v>
      </c>
      <c r="J134" s="22">
        <f t="shared" si="22"/>
        <v>20</v>
      </c>
      <c r="K134" s="22">
        <f t="shared" si="22"/>
        <v>29</v>
      </c>
      <c r="L134" s="22">
        <f t="shared" si="22"/>
        <v>13</v>
      </c>
      <c r="M134" s="22">
        <f t="shared" si="22"/>
        <v>17</v>
      </c>
      <c r="N134" s="22">
        <f t="shared" si="22"/>
        <v>12</v>
      </c>
      <c r="O134" s="22">
        <f t="shared" si="22"/>
        <v>10</v>
      </c>
      <c r="P134" s="22">
        <f t="shared" si="22"/>
        <v>7</v>
      </c>
      <c r="Q134" s="22">
        <f t="shared" si="22"/>
        <v>9</v>
      </c>
      <c r="R134" s="22">
        <f t="shared" si="22"/>
        <v>14</v>
      </c>
      <c r="S134" s="22">
        <f t="shared" si="22"/>
        <v>21</v>
      </c>
      <c r="T134" s="22">
        <f t="shared" si="22"/>
        <v>12</v>
      </c>
      <c r="U134" s="22">
        <f t="shared" si="22"/>
        <v>12</v>
      </c>
      <c r="V134" s="22">
        <f t="shared" si="22"/>
        <v>11</v>
      </c>
      <c r="W134" s="22">
        <f t="shared" si="22"/>
        <v>6</v>
      </c>
      <c r="X134" s="22">
        <f t="shared" si="22"/>
        <v>19</v>
      </c>
      <c r="Y134" s="22">
        <f t="shared" si="22"/>
        <v>37</v>
      </c>
      <c r="Z134" s="22">
        <f t="shared" si="22"/>
        <v>13</v>
      </c>
      <c r="AA134" s="22">
        <f t="shared" si="22"/>
        <v>9</v>
      </c>
      <c r="AB134" s="22">
        <f t="shared" si="22"/>
        <v>13</v>
      </c>
      <c r="AC134" s="22">
        <f t="shared" si="22"/>
        <v>11</v>
      </c>
      <c r="AD134" s="22">
        <f t="shared" si="22"/>
        <v>7</v>
      </c>
      <c r="AE134" s="22">
        <f t="shared" si="22"/>
        <v>9</v>
      </c>
      <c r="AF134" s="22">
        <f t="shared" si="22"/>
        <v>0</v>
      </c>
      <c r="AG134" s="23">
        <f t="shared" si="17"/>
        <v>379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1</v>
      </c>
      <c r="C135" s="1">
        <f t="shared" si="23"/>
        <v>0</v>
      </c>
      <c r="D135" s="1">
        <f t="shared" si="23"/>
        <v>0</v>
      </c>
      <c r="E135" s="1">
        <f t="shared" si="23"/>
        <v>0</v>
      </c>
      <c r="F135" s="1">
        <f t="shared" si="23"/>
        <v>0</v>
      </c>
      <c r="G135" s="1">
        <f t="shared" si="23"/>
        <v>1</v>
      </c>
      <c r="H135" s="1">
        <f t="shared" si="23"/>
        <v>0</v>
      </c>
      <c r="I135" s="1">
        <f t="shared" si="23"/>
        <v>2</v>
      </c>
      <c r="J135" s="1">
        <f t="shared" si="23"/>
        <v>0</v>
      </c>
      <c r="K135" s="1">
        <f t="shared" si="23"/>
        <v>0</v>
      </c>
      <c r="L135" s="1">
        <f t="shared" si="23"/>
        <v>1</v>
      </c>
      <c r="M135" s="1">
        <f t="shared" si="23"/>
        <v>2</v>
      </c>
      <c r="N135" s="1">
        <f t="shared" si="23"/>
        <v>0</v>
      </c>
      <c r="O135" s="1">
        <f t="shared" si="23"/>
        <v>2</v>
      </c>
      <c r="P135" s="1">
        <f t="shared" si="23"/>
        <v>2</v>
      </c>
      <c r="Q135" s="1">
        <f t="shared" si="23"/>
        <v>0</v>
      </c>
      <c r="R135" s="1">
        <f t="shared" si="23"/>
        <v>0</v>
      </c>
      <c r="S135" s="1">
        <f t="shared" si="23"/>
        <v>0</v>
      </c>
      <c r="T135" s="1">
        <f t="shared" si="23"/>
        <v>0</v>
      </c>
      <c r="U135" s="1">
        <f t="shared" si="23"/>
        <v>0</v>
      </c>
      <c r="V135" s="1">
        <f t="shared" si="23"/>
        <v>0</v>
      </c>
      <c r="W135" s="1">
        <f t="shared" si="23"/>
        <v>0</v>
      </c>
      <c r="X135" s="1">
        <f t="shared" si="23"/>
        <v>2</v>
      </c>
      <c r="Y135" s="1">
        <f t="shared" si="23"/>
        <v>0</v>
      </c>
      <c r="Z135" s="1">
        <f t="shared" si="23"/>
        <v>0</v>
      </c>
      <c r="AA135" s="1">
        <f t="shared" si="23"/>
        <v>1</v>
      </c>
      <c r="AB135" s="1">
        <f t="shared" si="23"/>
        <v>0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14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1</v>
      </c>
      <c r="C136" s="91">
        <v>0</v>
      </c>
      <c r="D136" s="91">
        <v>0</v>
      </c>
      <c r="E136" s="91">
        <v>0</v>
      </c>
      <c r="F136" s="91">
        <v>0</v>
      </c>
      <c r="G136" s="91">
        <v>1</v>
      </c>
      <c r="H136" s="91">
        <v>0</v>
      </c>
      <c r="I136" s="91">
        <v>2</v>
      </c>
      <c r="J136" s="91">
        <v>0</v>
      </c>
      <c r="K136" s="91">
        <v>0</v>
      </c>
      <c r="L136" s="91">
        <v>1</v>
      </c>
      <c r="M136" s="91">
        <v>2</v>
      </c>
      <c r="N136" s="91">
        <v>0</v>
      </c>
      <c r="O136" s="91">
        <v>2</v>
      </c>
      <c r="P136" s="91">
        <v>2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1">
        <v>0</v>
      </c>
      <c r="X136" s="91">
        <v>2</v>
      </c>
      <c r="Y136" s="91">
        <v>0</v>
      </c>
      <c r="Z136" s="91">
        <v>0</v>
      </c>
      <c r="AA136" s="91">
        <v>1</v>
      </c>
      <c r="AB136" s="91">
        <v>0</v>
      </c>
      <c r="AC136" s="91">
        <v>0</v>
      </c>
      <c r="AD136" s="91">
        <v>0</v>
      </c>
      <c r="AE136" s="91">
        <v>0</v>
      </c>
      <c r="AF136" s="91"/>
      <c r="AG136" s="28">
        <f t="shared" si="17"/>
        <v>14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/>
      <c r="AG137" s="29">
        <f t="shared" si="17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/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6</v>
      </c>
      <c r="C139" s="31">
        <f t="shared" si="24"/>
        <v>4</v>
      </c>
      <c r="D139" s="31">
        <f t="shared" si="24"/>
        <v>1</v>
      </c>
      <c r="E139" s="31">
        <f t="shared" si="24"/>
        <v>1</v>
      </c>
      <c r="F139" s="31">
        <f t="shared" si="24"/>
        <v>1</v>
      </c>
      <c r="G139" s="31">
        <f t="shared" si="24"/>
        <v>1</v>
      </c>
      <c r="H139" s="31">
        <f t="shared" si="24"/>
        <v>3</v>
      </c>
      <c r="I139" s="31">
        <f t="shared" si="24"/>
        <v>4</v>
      </c>
      <c r="J139" s="31">
        <f t="shared" si="24"/>
        <v>2</v>
      </c>
      <c r="K139" s="31">
        <f t="shared" si="24"/>
        <v>1</v>
      </c>
      <c r="L139" s="31">
        <f t="shared" si="24"/>
        <v>1</v>
      </c>
      <c r="M139" s="31">
        <f t="shared" si="24"/>
        <v>6</v>
      </c>
      <c r="N139" s="31">
        <f t="shared" si="24"/>
        <v>2</v>
      </c>
      <c r="O139" s="31">
        <f t="shared" si="24"/>
        <v>1</v>
      </c>
      <c r="P139" s="31">
        <f t="shared" si="24"/>
        <v>3</v>
      </c>
      <c r="Q139" s="31">
        <f t="shared" si="24"/>
        <v>1</v>
      </c>
      <c r="R139" s="31">
        <f t="shared" si="24"/>
        <v>0</v>
      </c>
      <c r="S139" s="31">
        <f t="shared" si="24"/>
        <v>4</v>
      </c>
      <c r="T139" s="31">
        <f t="shared" si="24"/>
        <v>3</v>
      </c>
      <c r="U139" s="31">
        <f t="shared" si="24"/>
        <v>3</v>
      </c>
      <c r="V139" s="31">
        <f t="shared" si="24"/>
        <v>6</v>
      </c>
      <c r="W139" s="31">
        <f t="shared" si="24"/>
        <v>6</v>
      </c>
      <c r="X139" s="31">
        <f t="shared" si="24"/>
        <v>6</v>
      </c>
      <c r="Y139" s="31">
        <f t="shared" si="24"/>
        <v>0</v>
      </c>
      <c r="Z139" s="31">
        <f t="shared" si="24"/>
        <v>0</v>
      </c>
      <c r="AA139" s="31">
        <f t="shared" si="24"/>
        <v>1</v>
      </c>
      <c r="AB139" s="31">
        <f t="shared" si="24"/>
        <v>2</v>
      </c>
      <c r="AC139" s="31">
        <f t="shared" si="24"/>
        <v>1</v>
      </c>
      <c r="AD139" s="31">
        <f t="shared" si="24"/>
        <v>4</v>
      </c>
      <c r="AE139" s="31">
        <f t="shared" si="24"/>
        <v>0</v>
      </c>
      <c r="AF139" s="31">
        <f t="shared" si="24"/>
        <v>0</v>
      </c>
      <c r="AG139" s="32">
        <f t="shared" si="17"/>
        <v>74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2</v>
      </c>
      <c r="C140" s="97">
        <v>0</v>
      </c>
      <c r="D140" s="97">
        <v>0</v>
      </c>
      <c r="E140" s="97">
        <v>1</v>
      </c>
      <c r="F140" s="97">
        <v>0</v>
      </c>
      <c r="G140" s="97">
        <v>1</v>
      </c>
      <c r="H140" s="97">
        <v>0</v>
      </c>
      <c r="I140" s="97">
        <v>0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97">
        <v>1</v>
      </c>
      <c r="P140" s="97">
        <v>1</v>
      </c>
      <c r="Q140" s="97">
        <v>0</v>
      </c>
      <c r="R140" s="97">
        <v>0</v>
      </c>
      <c r="S140" s="97">
        <v>2</v>
      </c>
      <c r="T140" s="97">
        <v>0</v>
      </c>
      <c r="U140" s="97">
        <v>0</v>
      </c>
      <c r="V140" s="97">
        <v>1</v>
      </c>
      <c r="W140" s="97">
        <v>0</v>
      </c>
      <c r="X140" s="97">
        <v>1</v>
      </c>
      <c r="Y140" s="97">
        <v>0</v>
      </c>
      <c r="Z140" s="97">
        <v>0</v>
      </c>
      <c r="AA140" s="97">
        <v>0</v>
      </c>
      <c r="AB140" s="97">
        <v>0</v>
      </c>
      <c r="AC140" s="97">
        <v>0</v>
      </c>
      <c r="AD140" s="97">
        <v>0</v>
      </c>
      <c r="AE140" s="97">
        <v>0</v>
      </c>
      <c r="AF140" s="97"/>
      <c r="AG140" s="33">
        <f t="shared" si="17"/>
        <v>10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4</v>
      </c>
      <c r="C141" s="98">
        <v>4</v>
      </c>
      <c r="D141" s="98">
        <v>1</v>
      </c>
      <c r="E141" s="98">
        <v>0</v>
      </c>
      <c r="F141" s="98">
        <v>1</v>
      </c>
      <c r="G141" s="98">
        <v>0</v>
      </c>
      <c r="H141" s="98">
        <v>3</v>
      </c>
      <c r="I141" s="98">
        <v>4</v>
      </c>
      <c r="J141" s="98">
        <v>2</v>
      </c>
      <c r="K141" s="98">
        <v>1</v>
      </c>
      <c r="L141" s="98">
        <v>1</v>
      </c>
      <c r="M141" s="98">
        <v>6</v>
      </c>
      <c r="N141" s="98">
        <v>2</v>
      </c>
      <c r="O141" s="98">
        <v>0</v>
      </c>
      <c r="P141" s="98">
        <v>2</v>
      </c>
      <c r="Q141" s="98">
        <v>1</v>
      </c>
      <c r="R141" s="98">
        <v>0</v>
      </c>
      <c r="S141" s="98">
        <v>2</v>
      </c>
      <c r="T141" s="98">
        <v>3</v>
      </c>
      <c r="U141" s="98">
        <v>3</v>
      </c>
      <c r="V141" s="98">
        <v>5</v>
      </c>
      <c r="W141" s="98">
        <v>6</v>
      </c>
      <c r="X141" s="98">
        <v>5</v>
      </c>
      <c r="Y141" s="98">
        <v>0</v>
      </c>
      <c r="Z141" s="98">
        <v>0</v>
      </c>
      <c r="AA141" s="98">
        <v>1</v>
      </c>
      <c r="AB141" s="98">
        <v>2</v>
      </c>
      <c r="AC141" s="98">
        <v>1</v>
      </c>
      <c r="AD141" s="98">
        <v>4</v>
      </c>
      <c r="AE141" s="98">
        <v>0</v>
      </c>
      <c r="AF141" s="98"/>
      <c r="AG141" s="34">
        <f t="shared" si="17"/>
        <v>64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49</v>
      </c>
      <c r="C144" s="37">
        <f t="shared" si="25"/>
        <v>40</v>
      </c>
      <c r="D144" s="37">
        <f t="shared" si="25"/>
        <v>48</v>
      </c>
      <c r="E144" s="37">
        <f t="shared" si="25"/>
        <v>57</v>
      </c>
      <c r="F144" s="37">
        <f t="shared" si="25"/>
        <v>40</v>
      </c>
      <c r="G144" s="37">
        <f t="shared" si="25"/>
        <v>39</v>
      </c>
      <c r="H144" s="37">
        <f t="shared" si="25"/>
        <v>30</v>
      </c>
      <c r="I144" s="37">
        <f t="shared" si="25"/>
        <v>40</v>
      </c>
      <c r="J144" s="37">
        <f t="shared" si="25"/>
        <v>41</v>
      </c>
      <c r="K144" s="37">
        <f t="shared" si="25"/>
        <v>30</v>
      </c>
      <c r="L144" s="37">
        <f t="shared" si="25"/>
        <v>48</v>
      </c>
      <c r="M144" s="37">
        <f t="shared" si="25"/>
        <v>43</v>
      </c>
      <c r="N144" s="37">
        <f t="shared" si="25"/>
        <v>38</v>
      </c>
      <c r="O144" s="37">
        <f t="shared" si="25"/>
        <v>32</v>
      </c>
      <c r="P144" s="37">
        <f t="shared" si="25"/>
        <v>43</v>
      </c>
      <c r="Q144" s="37">
        <f t="shared" si="25"/>
        <v>80</v>
      </c>
      <c r="R144" s="37">
        <f t="shared" si="25"/>
        <v>67</v>
      </c>
      <c r="S144" s="37">
        <f t="shared" si="25"/>
        <v>44</v>
      </c>
      <c r="T144" s="37">
        <f t="shared" si="25"/>
        <v>36</v>
      </c>
      <c r="U144" s="37">
        <f t="shared" si="25"/>
        <v>54</v>
      </c>
      <c r="V144" s="37">
        <f t="shared" si="25"/>
        <v>39</v>
      </c>
      <c r="W144" s="37">
        <f t="shared" si="25"/>
        <v>66</v>
      </c>
      <c r="X144" s="37">
        <f t="shared" si="25"/>
        <v>63</v>
      </c>
      <c r="Y144" s="37">
        <f t="shared" si="25"/>
        <v>50</v>
      </c>
      <c r="Z144" s="37">
        <f t="shared" si="25"/>
        <v>47</v>
      </c>
      <c r="AA144" s="37">
        <f t="shared" si="25"/>
        <v>43</v>
      </c>
      <c r="AB144" s="37">
        <f t="shared" si="25"/>
        <v>52</v>
      </c>
      <c r="AC144" s="37">
        <f t="shared" si="25"/>
        <v>26</v>
      </c>
      <c r="AD144" s="37">
        <f t="shared" si="25"/>
        <v>51</v>
      </c>
      <c r="AE144" s="37">
        <f t="shared" si="25"/>
        <v>47</v>
      </c>
      <c r="AF144" s="37">
        <f t="shared" si="25"/>
        <v>0</v>
      </c>
      <c r="AG144" s="24">
        <f t="shared" si="17"/>
        <v>1383</v>
      </c>
      <c r="AK144" s="84" t="s">
        <v>154</v>
      </c>
    </row>
    <row r="145" spans="1:37" ht="15.75" customHeight="1" x14ac:dyDescent="0.25">
      <c r="A145" s="104" t="s">
        <v>91</v>
      </c>
      <c r="B145" s="105">
        <v>3</v>
      </c>
      <c r="C145" s="105">
        <v>3</v>
      </c>
      <c r="D145" s="105">
        <v>2</v>
      </c>
      <c r="E145" s="105">
        <v>0</v>
      </c>
      <c r="F145" s="105">
        <v>2</v>
      </c>
      <c r="G145" s="105">
        <v>2</v>
      </c>
      <c r="H145" s="105">
        <v>0</v>
      </c>
      <c r="I145" s="105">
        <v>2</v>
      </c>
      <c r="J145" s="105">
        <v>2</v>
      </c>
      <c r="K145" s="105">
        <v>2</v>
      </c>
      <c r="L145" s="105">
        <v>1</v>
      </c>
      <c r="M145" s="105">
        <v>4</v>
      </c>
      <c r="N145" s="105">
        <v>0</v>
      </c>
      <c r="O145" s="105">
        <v>0</v>
      </c>
      <c r="P145" s="105">
        <v>0</v>
      </c>
      <c r="Q145" s="105">
        <v>3</v>
      </c>
      <c r="R145" s="105">
        <v>1</v>
      </c>
      <c r="S145" s="105">
        <v>0</v>
      </c>
      <c r="T145" s="105">
        <v>2</v>
      </c>
      <c r="U145" s="105">
        <v>2</v>
      </c>
      <c r="V145" s="105">
        <v>0</v>
      </c>
      <c r="W145" s="105">
        <v>5</v>
      </c>
      <c r="X145" s="105">
        <v>1</v>
      </c>
      <c r="Y145" s="105">
        <v>0</v>
      </c>
      <c r="Z145" s="105">
        <v>1</v>
      </c>
      <c r="AA145" s="105">
        <v>4</v>
      </c>
      <c r="AB145" s="105">
        <v>2</v>
      </c>
      <c r="AC145" s="105">
        <v>1</v>
      </c>
      <c r="AD145" s="105">
        <v>5</v>
      </c>
      <c r="AE145" s="105">
        <v>3</v>
      </c>
      <c r="AF145" s="105"/>
      <c r="AG145" s="38">
        <f t="shared" si="17"/>
        <v>53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/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/>
      <c r="AG147" s="5">
        <f t="shared" si="17"/>
        <v>0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/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42</v>
      </c>
      <c r="C149" s="108">
        <v>32</v>
      </c>
      <c r="D149" s="108">
        <v>45</v>
      </c>
      <c r="E149" s="108">
        <v>55</v>
      </c>
      <c r="F149" s="108">
        <v>34</v>
      </c>
      <c r="G149" s="108">
        <v>30</v>
      </c>
      <c r="H149" s="108">
        <v>29</v>
      </c>
      <c r="I149" s="108">
        <v>38</v>
      </c>
      <c r="J149" s="108">
        <v>37</v>
      </c>
      <c r="K149" s="108">
        <v>24</v>
      </c>
      <c r="L149" s="108">
        <v>44</v>
      </c>
      <c r="M149" s="108">
        <v>34</v>
      </c>
      <c r="N149" s="108">
        <v>37</v>
      </c>
      <c r="O149" s="108">
        <v>28</v>
      </c>
      <c r="P149" s="108">
        <v>41</v>
      </c>
      <c r="Q149" s="108">
        <v>74</v>
      </c>
      <c r="R149" s="108">
        <v>66</v>
      </c>
      <c r="S149" s="108">
        <v>39</v>
      </c>
      <c r="T149" s="108">
        <v>33</v>
      </c>
      <c r="U149" s="108">
        <v>47</v>
      </c>
      <c r="V149" s="108">
        <v>31</v>
      </c>
      <c r="W149" s="108">
        <v>61</v>
      </c>
      <c r="X149" s="108">
        <v>59</v>
      </c>
      <c r="Y149" s="108">
        <v>49</v>
      </c>
      <c r="Z149" s="108">
        <v>45</v>
      </c>
      <c r="AA149" s="108">
        <v>33</v>
      </c>
      <c r="AB149" s="108">
        <v>47</v>
      </c>
      <c r="AC149" s="108">
        <v>23</v>
      </c>
      <c r="AD149" s="108">
        <v>41</v>
      </c>
      <c r="AE149" s="108">
        <v>40</v>
      </c>
      <c r="AF149" s="108"/>
      <c r="AG149" s="39">
        <f t="shared" si="17"/>
        <v>1238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/>
      <c r="AG153" s="5">
        <f t="shared" si="17"/>
        <v>0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1</v>
      </c>
      <c r="E154" s="77">
        <v>1</v>
      </c>
      <c r="F154" s="77">
        <v>1</v>
      </c>
      <c r="G154" s="77">
        <v>4</v>
      </c>
      <c r="H154" s="77">
        <v>0</v>
      </c>
      <c r="I154" s="77">
        <v>0</v>
      </c>
      <c r="J154" s="77">
        <v>1</v>
      </c>
      <c r="K154" s="77">
        <v>2</v>
      </c>
      <c r="L154" s="77">
        <v>1</v>
      </c>
      <c r="M154" s="77">
        <v>3</v>
      </c>
      <c r="N154" s="77">
        <v>1</v>
      </c>
      <c r="O154" s="77">
        <v>2</v>
      </c>
      <c r="P154" s="77">
        <v>0</v>
      </c>
      <c r="Q154" s="77">
        <v>0</v>
      </c>
      <c r="R154" s="77">
        <v>0</v>
      </c>
      <c r="S154" s="77">
        <v>2</v>
      </c>
      <c r="T154" s="77">
        <v>0</v>
      </c>
      <c r="U154" s="77">
        <v>1</v>
      </c>
      <c r="V154" s="77">
        <v>2</v>
      </c>
      <c r="W154" s="77">
        <v>0</v>
      </c>
      <c r="X154" s="77">
        <v>0</v>
      </c>
      <c r="Y154" s="77">
        <v>0</v>
      </c>
      <c r="Z154" s="77">
        <v>1</v>
      </c>
      <c r="AA154" s="77">
        <v>1</v>
      </c>
      <c r="AB154" s="77">
        <v>3</v>
      </c>
      <c r="AC154" s="77">
        <v>1</v>
      </c>
      <c r="AD154" s="77">
        <v>0</v>
      </c>
      <c r="AE154" s="77">
        <v>0</v>
      </c>
      <c r="AF154" s="77"/>
      <c r="AG154" s="5">
        <f t="shared" si="17"/>
        <v>28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1</v>
      </c>
      <c r="C158" s="111">
        <v>2</v>
      </c>
      <c r="D158" s="111">
        <v>0</v>
      </c>
      <c r="E158" s="111">
        <v>0</v>
      </c>
      <c r="F158" s="111">
        <v>2</v>
      </c>
      <c r="G158" s="111">
        <v>1</v>
      </c>
      <c r="H158" s="111">
        <v>0</v>
      </c>
      <c r="I158" s="111">
        <v>0</v>
      </c>
      <c r="J158" s="111">
        <v>1</v>
      </c>
      <c r="K158" s="111">
        <v>0</v>
      </c>
      <c r="L158" s="111">
        <v>2</v>
      </c>
      <c r="M158" s="111">
        <v>0</v>
      </c>
      <c r="N158" s="111">
        <v>0</v>
      </c>
      <c r="O158" s="111">
        <v>0</v>
      </c>
      <c r="P158" s="111">
        <v>2</v>
      </c>
      <c r="Q158" s="111">
        <v>2</v>
      </c>
      <c r="R158" s="111">
        <v>0</v>
      </c>
      <c r="S158" s="111">
        <v>0</v>
      </c>
      <c r="T158" s="111">
        <v>1</v>
      </c>
      <c r="U158" s="111">
        <v>3</v>
      </c>
      <c r="V158" s="111">
        <v>4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3</v>
      </c>
      <c r="AE158" s="111">
        <v>3</v>
      </c>
      <c r="AF158" s="111"/>
      <c r="AG158" s="40">
        <f t="shared" si="17"/>
        <v>27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1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/>
      <c r="AG162" s="5">
        <f t="shared" si="17"/>
        <v>1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/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1</v>
      </c>
      <c r="D167" s="77">
        <v>0</v>
      </c>
      <c r="E167" s="77">
        <v>0</v>
      </c>
      <c r="F167" s="77">
        <v>0</v>
      </c>
      <c r="G167" s="77">
        <v>1</v>
      </c>
      <c r="H167" s="77">
        <v>1</v>
      </c>
      <c r="I167" s="77">
        <v>0</v>
      </c>
      <c r="J167" s="77">
        <v>0</v>
      </c>
      <c r="K167" s="77">
        <v>0</v>
      </c>
      <c r="L167" s="77">
        <v>0</v>
      </c>
      <c r="M167" s="77">
        <v>1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2</v>
      </c>
      <c r="Y167" s="77">
        <v>0</v>
      </c>
      <c r="Z167" s="77">
        <v>0</v>
      </c>
      <c r="AA167" s="77">
        <v>1</v>
      </c>
      <c r="AB167" s="77">
        <v>0</v>
      </c>
      <c r="AC167" s="77">
        <v>0</v>
      </c>
      <c r="AD167" s="77">
        <v>0</v>
      </c>
      <c r="AE167" s="77">
        <v>0</v>
      </c>
      <c r="AF167" s="77"/>
      <c r="AG167" s="5">
        <f t="shared" si="26"/>
        <v>7</v>
      </c>
    </row>
    <row r="168" spans="1:34" ht="15.75" customHeight="1" x14ac:dyDescent="0.25">
      <c r="A168" s="76" t="s">
        <v>114</v>
      </c>
      <c r="B168" s="113">
        <v>2</v>
      </c>
      <c r="C168" s="113">
        <v>1</v>
      </c>
      <c r="D168" s="113">
        <v>0</v>
      </c>
      <c r="E168" s="113">
        <v>1</v>
      </c>
      <c r="F168" s="113">
        <v>1</v>
      </c>
      <c r="G168" s="113">
        <v>1</v>
      </c>
      <c r="H168" s="113">
        <v>0</v>
      </c>
      <c r="I168" s="113">
        <v>0</v>
      </c>
      <c r="J168" s="113">
        <v>0</v>
      </c>
      <c r="K168" s="113">
        <v>2</v>
      </c>
      <c r="L168" s="113">
        <v>0</v>
      </c>
      <c r="M168" s="113">
        <v>0</v>
      </c>
      <c r="N168" s="113">
        <v>0</v>
      </c>
      <c r="O168" s="113">
        <v>1</v>
      </c>
      <c r="P168" s="113">
        <v>0</v>
      </c>
      <c r="Q168" s="113">
        <v>1</v>
      </c>
      <c r="R168" s="113">
        <v>0</v>
      </c>
      <c r="S168" s="113">
        <v>3</v>
      </c>
      <c r="T168" s="113">
        <v>0</v>
      </c>
      <c r="U168" s="113">
        <v>1</v>
      </c>
      <c r="V168" s="113">
        <v>1</v>
      </c>
      <c r="W168" s="113">
        <v>0</v>
      </c>
      <c r="X168" s="113">
        <v>0</v>
      </c>
      <c r="Y168" s="113">
        <v>0</v>
      </c>
      <c r="Z168" s="113">
        <v>0</v>
      </c>
      <c r="AA168" s="113">
        <v>2</v>
      </c>
      <c r="AB168" s="113">
        <v>0</v>
      </c>
      <c r="AC168" s="113">
        <v>1</v>
      </c>
      <c r="AD168" s="113">
        <v>2</v>
      </c>
      <c r="AE168" s="113">
        <v>1</v>
      </c>
      <c r="AF168" s="113"/>
      <c r="AG168" s="5">
        <f t="shared" si="26"/>
        <v>21</v>
      </c>
    </row>
    <row r="169" spans="1:34" ht="15.75" customHeight="1" x14ac:dyDescent="0.25">
      <c r="A169" s="114" t="s">
        <v>115</v>
      </c>
      <c r="B169" s="113">
        <v>1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1</v>
      </c>
      <c r="N169" s="113">
        <v>0</v>
      </c>
      <c r="O169" s="113">
        <v>1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1</v>
      </c>
      <c r="W169" s="113">
        <v>0</v>
      </c>
      <c r="X169" s="113">
        <v>1</v>
      </c>
      <c r="Y169" s="113">
        <v>1</v>
      </c>
      <c r="Z169" s="113">
        <v>0</v>
      </c>
      <c r="AA169" s="113">
        <v>2</v>
      </c>
      <c r="AB169" s="113">
        <v>0</v>
      </c>
      <c r="AC169" s="113">
        <v>0</v>
      </c>
      <c r="AD169" s="113">
        <v>0</v>
      </c>
      <c r="AE169" s="113">
        <v>0</v>
      </c>
      <c r="AF169" s="113"/>
      <c r="AG169" s="5">
        <f t="shared" si="26"/>
        <v>8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176</v>
      </c>
      <c r="C171" s="41">
        <f t="shared" si="27"/>
        <v>192</v>
      </c>
      <c r="D171" s="41">
        <f t="shared" si="27"/>
        <v>144</v>
      </c>
      <c r="E171" s="41">
        <f t="shared" si="27"/>
        <v>138</v>
      </c>
      <c r="F171" s="41">
        <f t="shared" si="27"/>
        <v>142</v>
      </c>
      <c r="G171" s="41">
        <f t="shared" si="27"/>
        <v>115</v>
      </c>
      <c r="H171" s="41">
        <f t="shared" si="27"/>
        <v>122</v>
      </c>
      <c r="I171" s="41">
        <f t="shared" si="27"/>
        <v>177</v>
      </c>
      <c r="J171" s="41">
        <f t="shared" si="27"/>
        <v>181</v>
      </c>
      <c r="K171" s="41">
        <f t="shared" si="27"/>
        <v>132</v>
      </c>
      <c r="L171" s="41">
        <f t="shared" si="27"/>
        <v>135</v>
      </c>
      <c r="M171" s="41">
        <f t="shared" si="27"/>
        <v>132</v>
      </c>
      <c r="N171" s="41">
        <f t="shared" si="27"/>
        <v>111</v>
      </c>
      <c r="O171" s="41">
        <f t="shared" si="27"/>
        <v>119</v>
      </c>
      <c r="P171" s="41">
        <f t="shared" si="27"/>
        <v>176</v>
      </c>
      <c r="Q171" s="41">
        <f t="shared" si="27"/>
        <v>176</v>
      </c>
      <c r="R171" s="41">
        <f t="shared" si="27"/>
        <v>147</v>
      </c>
      <c r="S171" s="41">
        <f t="shared" si="27"/>
        <v>144</v>
      </c>
      <c r="T171" s="41">
        <f t="shared" si="27"/>
        <v>124</v>
      </c>
      <c r="U171" s="41">
        <f t="shared" si="27"/>
        <v>145</v>
      </c>
      <c r="V171" s="41">
        <f t="shared" si="27"/>
        <v>122</v>
      </c>
      <c r="W171" s="41">
        <f t="shared" si="27"/>
        <v>207</v>
      </c>
      <c r="X171" s="41">
        <f t="shared" si="27"/>
        <v>211</v>
      </c>
      <c r="Y171" s="41">
        <f t="shared" si="27"/>
        <v>143</v>
      </c>
      <c r="Z171" s="41">
        <f t="shared" si="27"/>
        <v>143</v>
      </c>
      <c r="AA171" s="41">
        <f t="shared" si="27"/>
        <v>140</v>
      </c>
      <c r="AB171" s="41">
        <f t="shared" si="27"/>
        <v>125</v>
      </c>
      <c r="AC171" s="41">
        <f t="shared" si="27"/>
        <v>126</v>
      </c>
      <c r="AD171" s="41">
        <f t="shared" si="27"/>
        <v>188</v>
      </c>
      <c r="AE171" s="41">
        <f t="shared" si="27"/>
        <v>173</v>
      </c>
      <c r="AF171" s="41">
        <f t="shared" si="27"/>
        <v>0</v>
      </c>
      <c r="AG171" s="42">
        <f t="shared" si="26"/>
        <v>4506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1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1</v>
      </c>
      <c r="AF172" s="118"/>
      <c r="AG172" s="43">
        <f t="shared" si="26"/>
        <v>2</v>
      </c>
    </row>
    <row r="173" spans="1:34" ht="15.75" customHeight="1" x14ac:dyDescent="0.25">
      <c r="A173" s="119" t="s">
        <v>37</v>
      </c>
      <c r="B173" s="120">
        <v>0</v>
      </c>
      <c r="C173" s="120">
        <v>2</v>
      </c>
      <c r="D173" s="120">
        <v>2</v>
      </c>
      <c r="E173" s="120">
        <v>0</v>
      </c>
      <c r="F173" s="120">
        <v>0</v>
      </c>
      <c r="G173" s="120">
        <v>3</v>
      </c>
      <c r="H173" s="120">
        <v>0</v>
      </c>
      <c r="I173" s="120">
        <v>1</v>
      </c>
      <c r="J173" s="120">
        <v>0</v>
      </c>
      <c r="K173" s="120">
        <v>3</v>
      </c>
      <c r="L173" s="120">
        <v>2</v>
      </c>
      <c r="M173" s="120">
        <v>3</v>
      </c>
      <c r="N173" s="120">
        <v>4</v>
      </c>
      <c r="O173" s="120">
        <v>3</v>
      </c>
      <c r="P173" s="120">
        <v>1</v>
      </c>
      <c r="Q173" s="120">
        <v>0</v>
      </c>
      <c r="R173" s="120">
        <v>1</v>
      </c>
      <c r="S173" s="120">
        <v>5</v>
      </c>
      <c r="T173" s="120">
        <v>1</v>
      </c>
      <c r="U173" s="120">
        <v>2</v>
      </c>
      <c r="V173" s="120">
        <v>2</v>
      </c>
      <c r="W173" s="120">
        <v>3</v>
      </c>
      <c r="X173" s="120">
        <v>6</v>
      </c>
      <c r="Y173" s="120">
        <v>1</v>
      </c>
      <c r="Z173" s="120">
        <v>2</v>
      </c>
      <c r="AA173" s="120">
        <v>0</v>
      </c>
      <c r="AB173" s="120">
        <v>0</v>
      </c>
      <c r="AC173" s="120">
        <v>1</v>
      </c>
      <c r="AD173" s="120">
        <v>7</v>
      </c>
      <c r="AE173" s="120">
        <v>1</v>
      </c>
      <c r="AF173" s="120"/>
      <c r="AG173" s="44">
        <f t="shared" si="26"/>
        <v>56</v>
      </c>
    </row>
    <row r="174" spans="1:34" ht="15.75" customHeight="1" x14ac:dyDescent="0.25">
      <c r="A174" s="119" t="s">
        <v>38</v>
      </c>
      <c r="B174" s="120">
        <v>23</v>
      </c>
      <c r="C174" s="120">
        <v>17</v>
      </c>
      <c r="D174" s="120">
        <v>20</v>
      </c>
      <c r="E174" s="120">
        <v>7</v>
      </c>
      <c r="F174" s="120">
        <v>10</v>
      </c>
      <c r="G174" s="120">
        <v>17</v>
      </c>
      <c r="H174" s="120">
        <v>11</v>
      </c>
      <c r="I174" s="120">
        <v>20</v>
      </c>
      <c r="J174" s="120">
        <v>16</v>
      </c>
      <c r="K174" s="120">
        <v>23</v>
      </c>
      <c r="L174" s="120">
        <v>24</v>
      </c>
      <c r="M174" s="120">
        <v>20</v>
      </c>
      <c r="N174" s="120">
        <v>23</v>
      </c>
      <c r="O174" s="120">
        <v>16</v>
      </c>
      <c r="P174" s="120">
        <v>25</v>
      </c>
      <c r="Q174" s="120">
        <v>24</v>
      </c>
      <c r="R174" s="120">
        <v>27</v>
      </c>
      <c r="S174" s="120">
        <v>22</v>
      </c>
      <c r="T174" s="120">
        <v>21</v>
      </c>
      <c r="U174" s="120">
        <v>19</v>
      </c>
      <c r="V174" s="120">
        <v>21</v>
      </c>
      <c r="W174" s="120">
        <v>26</v>
      </c>
      <c r="X174" s="120">
        <v>28</v>
      </c>
      <c r="Y174" s="120">
        <v>20</v>
      </c>
      <c r="Z174" s="120">
        <v>22</v>
      </c>
      <c r="AA174" s="120">
        <v>19</v>
      </c>
      <c r="AB174" s="120">
        <v>25</v>
      </c>
      <c r="AC174" s="120">
        <v>16</v>
      </c>
      <c r="AD174" s="120">
        <v>32</v>
      </c>
      <c r="AE174" s="120">
        <v>14</v>
      </c>
      <c r="AF174" s="120"/>
      <c r="AG174" s="44">
        <f t="shared" si="26"/>
        <v>608</v>
      </c>
    </row>
    <row r="175" spans="1:34" ht="15.75" customHeight="1" x14ac:dyDescent="0.25">
      <c r="A175" s="119" t="s">
        <v>39</v>
      </c>
      <c r="B175" s="120">
        <v>125</v>
      </c>
      <c r="C175" s="120">
        <v>118</v>
      </c>
      <c r="D175" s="120">
        <v>101</v>
      </c>
      <c r="E175" s="120">
        <v>121</v>
      </c>
      <c r="F175" s="120">
        <v>114</v>
      </c>
      <c r="G175" s="120">
        <v>81</v>
      </c>
      <c r="H175" s="120">
        <v>85</v>
      </c>
      <c r="I175" s="120">
        <v>122</v>
      </c>
      <c r="J175" s="120">
        <v>136</v>
      </c>
      <c r="K175" s="120">
        <v>95</v>
      </c>
      <c r="L175" s="120">
        <v>100</v>
      </c>
      <c r="M175" s="120">
        <v>103</v>
      </c>
      <c r="N175" s="120">
        <v>76</v>
      </c>
      <c r="O175" s="120">
        <v>86</v>
      </c>
      <c r="P175" s="120">
        <v>128</v>
      </c>
      <c r="Q175" s="120">
        <v>112</v>
      </c>
      <c r="R175" s="120">
        <v>108</v>
      </c>
      <c r="S175" s="120">
        <v>102</v>
      </c>
      <c r="T175" s="120">
        <v>94</v>
      </c>
      <c r="U175" s="120">
        <v>105</v>
      </c>
      <c r="V175" s="120">
        <v>90</v>
      </c>
      <c r="W175" s="120">
        <v>148</v>
      </c>
      <c r="X175" s="120">
        <v>153</v>
      </c>
      <c r="Y175" s="120">
        <v>115</v>
      </c>
      <c r="Z175" s="120">
        <v>107</v>
      </c>
      <c r="AA175" s="120">
        <v>89</v>
      </c>
      <c r="AB175" s="120">
        <v>95</v>
      </c>
      <c r="AC175" s="120">
        <v>92</v>
      </c>
      <c r="AD175" s="120">
        <v>135</v>
      </c>
      <c r="AE175" s="120">
        <v>142</v>
      </c>
      <c r="AF175" s="120"/>
      <c r="AG175" s="44">
        <f t="shared" si="26"/>
        <v>3278</v>
      </c>
    </row>
    <row r="176" spans="1:34" ht="15.75" customHeight="1" thickBot="1" x14ac:dyDescent="0.3">
      <c r="A176" s="121" t="s">
        <v>40</v>
      </c>
      <c r="B176" s="122">
        <v>28</v>
      </c>
      <c r="C176" s="122">
        <v>55</v>
      </c>
      <c r="D176" s="122">
        <v>21</v>
      </c>
      <c r="E176" s="122">
        <v>10</v>
      </c>
      <c r="F176" s="122">
        <v>18</v>
      </c>
      <c r="G176" s="122">
        <v>14</v>
      </c>
      <c r="H176" s="122">
        <v>26</v>
      </c>
      <c r="I176" s="122">
        <v>34</v>
      </c>
      <c r="J176" s="122">
        <v>29</v>
      </c>
      <c r="K176" s="122">
        <v>11</v>
      </c>
      <c r="L176" s="122">
        <v>9</v>
      </c>
      <c r="M176" s="122">
        <v>6</v>
      </c>
      <c r="N176" s="122">
        <v>8</v>
      </c>
      <c r="O176" s="122">
        <v>14</v>
      </c>
      <c r="P176" s="122">
        <v>22</v>
      </c>
      <c r="Q176" s="122">
        <v>40</v>
      </c>
      <c r="R176" s="122">
        <v>11</v>
      </c>
      <c r="S176" s="122">
        <v>15</v>
      </c>
      <c r="T176" s="122">
        <v>8</v>
      </c>
      <c r="U176" s="122">
        <v>19</v>
      </c>
      <c r="V176" s="122">
        <v>9</v>
      </c>
      <c r="W176" s="122">
        <v>30</v>
      </c>
      <c r="X176" s="122">
        <v>23</v>
      </c>
      <c r="Y176" s="122">
        <v>7</v>
      </c>
      <c r="Z176" s="122">
        <v>12</v>
      </c>
      <c r="AA176" s="122">
        <v>32</v>
      </c>
      <c r="AB176" s="122">
        <v>5</v>
      </c>
      <c r="AC176" s="122">
        <v>17</v>
      </c>
      <c r="AD176" s="122">
        <v>14</v>
      </c>
      <c r="AE176" s="122">
        <v>15</v>
      </c>
      <c r="AF176" s="122"/>
      <c r="AG176" s="45">
        <f t="shared" si="26"/>
        <v>562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5" priority="3" operator="lessThan">
      <formula>0</formula>
    </cfRule>
  </conditionalFormatting>
  <conditionalFormatting sqref="AH171">
    <cfRule type="cellIs" dxfId="4" priority="2" operator="equal">
      <formula>"X"</formula>
    </cfRule>
  </conditionalFormatting>
  <conditionalFormatting sqref="AH1:AH1048576">
    <cfRule type="cellIs" dxfId="3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279F5AAC-5CC0-4CDD-ACBC-010CD5D48272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41A5F-AE65-41BE-AE80-BC300717B775}">
  <sheetPr codeName="Hoja34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AF4" sqref="AF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184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155</v>
      </c>
      <c r="C3" s="1">
        <f t="shared" si="1"/>
        <v>157</v>
      </c>
      <c r="D3" s="1">
        <f t="shared" si="1"/>
        <v>138</v>
      </c>
      <c r="E3" s="1">
        <f t="shared" si="1"/>
        <v>125</v>
      </c>
      <c r="F3" s="1">
        <f t="shared" si="1"/>
        <v>129</v>
      </c>
      <c r="G3" s="1">
        <f t="shared" si="1"/>
        <v>167</v>
      </c>
      <c r="H3" s="1">
        <f t="shared" si="1"/>
        <v>166</v>
      </c>
      <c r="I3" s="1">
        <f t="shared" si="1"/>
        <v>221</v>
      </c>
      <c r="J3" s="1">
        <f t="shared" si="1"/>
        <v>148</v>
      </c>
      <c r="K3" s="1">
        <f t="shared" si="1"/>
        <v>127</v>
      </c>
      <c r="L3" s="1">
        <f t="shared" si="1"/>
        <v>125</v>
      </c>
      <c r="M3" s="1">
        <f t="shared" si="1"/>
        <v>136</v>
      </c>
      <c r="N3" s="1">
        <f t="shared" si="1"/>
        <v>208</v>
      </c>
      <c r="O3" s="1">
        <f t="shared" si="1"/>
        <v>168</v>
      </c>
      <c r="P3" s="1">
        <f t="shared" si="1"/>
        <v>136</v>
      </c>
      <c r="Q3" s="1">
        <f t="shared" si="1"/>
        <v>147</v>
      </c>
      <c r="R3" s="1">
        <f t="shared" si="1"/>
        <v>127</v>
      </c>
      <c r="S3" s="1">
        <f t="shared" si="1"/>
        <v>124</v>
      </c>
      <c r="T3" s="1">
        <f t="shared" si="1"/>
        <v>141</v>
      </c>
      <c r="U3" s="1">
        <f t="shared" si="1"/>
        <v>205</v>
      </c>
      <c r="V3" s="1">
        <f t="shared" si="1"/>
        <v>212</v>
      </c>
      <c r="W3" s="1">
        <f t="shared" si="1"/>
        <v>132</v>
      </c>
      <c r="X3" s="1">
        <f t="shared" si="1"/>
        <v>116</v>
      </c>
      <c r="Y3" s="1">
        <f t="shared" si="1"/>
        <v>82</v>
      </c>
      <c r="Z3" s="1">
        <f t="shared" si="1"/>
        <v>140</v>
      </c>
      <c r="AA3" s="1">
        <f t="shared" si="1"/>
        <v>141</v>
      </c>
      <c r="AB3" s="1">
        <f t="shared" si="1"/>
        <v>190</v>
      </c>
      <c r="AC3" s="1">
        <f t="shared" si="1"/>
        <v>159</v>
      </c>
      <c r="AD3" s="1">
        <f t="shared" si="1"/>
        <v>138</v>
      </c>
      <c r="AE3" s="1">
        <f t="shared" si="1"/>
        <v>141</v>
      </c>
      <c r="AF3" s="1">
        <f t="shared" si="1"/>
        <v>101</v>
      </c>
      <c r="AG3" s="2">
        <f t="shared" ref="AG3:AG66" si="2">SUM(B3:AF3)</f>
        <v>4602</v>
      </c>
    </row>
    <row r="4" spans="1:33" ht="18.75" x14ac:dyDescent="0.25">
      <c r="A4" s="53" t="s">
        <v>2</v>
      </c>
      <c r="B4" s="54">
        <v>0</v>
      </c>
      <c r="C4" s="55">
        <v>0</v>
      </c>
      <c r="D4" s="55">
        <v>0</v>
      </c>
      <c r="E4" s="55">
        <v>0</v>
      </c>
      <c r="F4" s="55">
        <v>0</v>
      </c>
      <c r="G4" s="55">
        <v>4</v>
      </c>
      <c r="H4" s="55">
        <v>7</v>
      </c>
      <c r="I4" s="55">
        <v>9</v>
      </c>
      <c r="J4" s="55">
        <v>0</v>
      </c>
      <c r="K4" s="55">
        <v>0</v>
      </c>
      <c r="L4" s="55">
        <v>0</v>
      </c>
      <c r="M4" s="55">
        <v>0</v>
      </c>
      <c r="N4" s="55">
        <v>9</v>
      </c>
      <c r="O4" s="55">
        <v>6</v>
      </c>
      <c r="P4" s="55">
        <v>0</v>
      </c>
      <c r="Q4" s="55">
        <v>0</v>
      </c>
      <c r="R4" s="55">
        <v>0</v>
      </c>
      <c r="S4" s="55">
        <v>0</v>
      </c>
      <c r="T4" s="55">
        <v>0</v>
      </c>
      <c r="U4" s="55">
        <v>4</v>
      </c>
      <c r="V4" s="55">
        <v>9</v>
      </c>
      <c r="W4" s="55">
        <v>0</v>
      </c>
      <c r="X4" s="55">
        <v>0</v>
      </c>
      <c r="Y4" s="55">
        <v>0</v>
      </c>
      <c r="Z4" s="55">
        <v>2</v>
      </c>
      <c r="AA4" s="55">
        <v>0</v>
      </c>
      <c r="AB4" s="55">
        <v>8</v>
      </c>
      <c r="AC4" s="55">
        <v>7</v>
      </c>
      <c r="AD4" s="55">
        <v>0</v>
      </c>
      <c r="AE4" s="55">
        <v>0</v>
      </c>
      <c r="AF4" s="55">
        <v>0</v>
      </c>
      <c r="AG4" s="4">
        <f t="shared" si="2"/>
        <v>65</v>
      </c>
    </row>
    <row r="5" spans="1:33" ht="18.75" x14ac:dyDescent="0.25">
      <c r="A5" s="56" t="s">
        <v>3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11</v>
      </c>
      <c r="H5" s="54">
        <v>7</v>
      </c>
      <c r="I5" s="54">
        <v>11</v>
      </c>
      <c r="J5" s="54">
        <v>0</v>
      </c>
      <c r="K5" s="54">
        <v>0</v>
      </c>
      <c r="L5" s="54">
        <v>0</v>
      </c>
      <c r="M5" s="54">
        <v>0</v>
      </c>
      <c r="N5" s="54">
        <v>13</v>
      </c>
      <c r="O5" s="54">
        <v>4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12</v>
      </c>
      <c r="V5" s="54">
        <v>8</v>
      </c>
      <c r="W5" s="54">
        <v>0</v>
      </c>
      <c r="X5" s="54">
        <v>0</v>
      </c>
      <c r="Y5" s="54">
        <v>0</v>
      </c>
      <c r="Z5" s="54">
        <v>11</v>
      </c>
      <c r="AA5" s="54">
        <v>0</v>
      </c>
      <c r="AB5" s="54">
        <v>11</v>
      </c>
      <c r="AC5" s="54">
        <v>8</v>
      </c>
      <c r="AD5" s="54">
        <v>0</v>
      </c>
      <c r="AE5" s="54">
        <v>0</v>
      </c>
      <c r="AF5" s="54">
        <v>0</v>
      </c>
      <c r="AG5" s="5">
        <f t="shared" si="2"/>
        <v>96</v>
      </c>
    </row>
    <row r="6" spans="1:33" ht="18.75" x14ac:dyDescent="0.25">
      <c r="A6" s="56" t="s">
        <v>4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  <c r="G6" s="54">
        <v>11</v>
      </c>
      <c r="H6" s="54">
        <v>11</v>
      </c>
      <c r="I6" s="54">
        <v>18</v>
      </c>
      <c r="J6" s="54">
        <v>0</v>
      </c>
      <c r="K6" s="54">
        <v>0</v>
      </c>
      <c r="L6" s="54">
        <v>0</v>
      </c>
      <c r="M6" s="54">
        <v>0</v>
      </c>
      <c r="N6" s="54">
        <v>11</v>
      </c>
      <c r="O6" s="54">
        <v>7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12</v>
      </c>
      <c r="V6" s="54">
        <v>10</v>
      </c>
      <c r="W6" s="54">
        <v>0</v>
      </c>
      <c r="X6" s="54">
        <v>0</v>
      </c>
      <c r="Y6" s="54">
        <v>0</v>
      </c>
      <c r="Z6" s="54">
        <v>7</v>
      </c>
      <c r="AA6" s="54">
        <v>0</v>
      </c>
      <c r="AB6" s="54">
        <v>8</v>
      </c>
      <c r="AC6" s="54">
        <v>16</v>
      </c>
      <c r="AD6" s="54">
        <v>0</v>
      </c>
      <c r="AE6" s="54">
        <v>0</v>
      </c>
      <c r="AF6" s="54">
        <v>0</v>
      </c>
      <c r="AG6" s="5">
        <f t="shared" si="2"/>
        <v>111</v>
      </c>
    </row>
    <row r="7" spans="1:33" ht="18.75" x14ac:dyDescent="0.25">
      <c r="A7" s="56" t="s">
        <v>5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  <c r="G7" s="54">
        <v>17</v>
      </c>
      <c r="H7" s="54">
        <v>9</v>
      </c>
      <c r="I7" s="54">
        <v>14</v>
      </c>
      <c r="J7" s="54">
        <v>0</v>
      </c>
      <c r="K7" s="54">
        <v>0</v>
      </c>
      <c r="L7" s="54">
        <v>0</v>
      </c>
      <c r="M7" s="54">
        <v>0</v>
      </c>
      <c r="N7" s="54">
        <v>14</v>
      </c>
      <c r="O7" s="54">
        <v>16</v>
      </c>
      <c r="P7" s="54">
        <v>0</v>
      </c>
      <c r="Q7" s="54">
        <v>0</v>
      </c>
      <c r="R7" s="54">
        <v>0</v>
      </c>
      <c r="S7" s="54">
        <v>0</v>
      </c>
      <c r="T7" s="54">
        <v>0</v>
      </c>
      <c r="U7" s="54">
        <v>11</v>
      </c>
      <c r="V7" s="54">
        <v>13</v>
      </c>
      <c r="W7" s="54">
        <v>0</v>
      </c>
      <c r="X7" s="54">
        <v>0</v>
      </c>
      <c r="Y7" s="54">
        <v>0</v>
      </c>
      <c r="Z7" s="54">
        <v>11</v>
      </c>
      <c r="AA7" s="54">
        <v>0</v>
      </c>
      <c r="AB7" s="54">
        <v>15</v>
      </c>
      <c r="AC7" s="54">
        <v>17</v>
      </c>
      <c r="AD7" s="54">
        <v>0</v>
      </c>
      <c r="AE7" s="54">
        <v>0</v>
      </c>
      <c r="AF7" s="54">
        <v>2</v>
      </c>
      <c r="AG7" s="5">
        <f t="shared" si="2"/>
        <v>139</v>
      </c>
    </row>
    <row r="8" spans="1:33" ht="18.75" x14ac:dyDescent="0.25">
      <c r="A8" s="56" t="s">
        <v>6</v>
      </c>
      <c r="B8" s="54">
        <v>0</v>
      </c>
      <c r="C8" s="54">
        <v>0</v>
      </c>
      <c r="D8" s="54">
        <v>0</v>
      </c>
      <c r="E8" s="54">
        <v>0</v>
      </c>
      <c r="F8" s="54">
        <v>0</v>
      </c>
      <c r="G8" s="54">
        <v>5</v>
      </c>
      <c r="H8" s="54">
        <v>10</v>
      </c>
      <c r="I8" s="54">
        <v>15</v>
      </c>
      <c r="J8" s="54">
        <v>0</v>
      </c>
      <c r="K8" s="54">
        <v>0</v>
      </c>
      <c r="L8" s="54">
        <v>0</v>
      </c>
      <c r="M8" s="54">
        <v>0</v>
      </c>
      <c r="N8" s="54">
        <v>11</v>
      </c>
      <c r="O8" s="54">
        <v>8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54">
        <v>5</v>
      </c>
      <c r="V8" s="54">
        <v>15</v>
      </c>
      <c r="W8" s="54">
        <v>0</v>
      </c>
      <c r="X8" s="54">
        <v>0</v>
      </c>
      <c r="Y8" s="54">
        <v>7</v>
      </c>
      <c r="Z8" s="54">
        <v>12</v>
      </c>
      <c r="AA8" s="54">
        <v>0</v>
      </c>
      <c r="AB8" s="54">
        <v>15</v>
      </c>
      <c r="AC8" s="54">
        <v>16</v>
      </c>
      <c r="AD8" s="54">
        <v>0</v>
      </c>
      <c r="AE8" s="54">
        <v>0</v>
      </c>
      <c r="AF8" s="54">
        <v>15</v>
      </c>
      <c r="AG8" s="5">
        <f t="shared" si="2"/>
        <v>134</v>
      </c>
    </row>
    <row r="9" spans="1:33" ht="18.75" x14ac:dyDescent="0.25">
      <c r="A9" s="56" t="s">
        <v>7</v>
      </c>
      <c r="B9" s="54">
        <v>0</v>
      </c>
      <c r="C9" s="54">
        <v>0</v>
      </c>
      <c r="D9" s="54">
        <v>0</v>
      </c>
      <c r="E9" s="54">
        <v>0</v>
      </c>
      <c r="F9" s="54">
        <v>0</v>
      </c>
      <c r="G9" s="54">
        <v>5</v>
      </c>
      <c r="H9" s="54">
        <v>8</v>
      </c>
      <c r="I9" s="54">
        <v>10</v>
      </c>
      <c r="J9" s="54">
        <v>0</v>
      </c>
      <c r="K9" s="54">
        <v>0</v>
      </c>
      <c r="L9" s="54">
        <v>0</v>
      </c>
      <c r="M9" s="54">
        <v>0</v>
      </c>
      <c r="N9" s="54">
        <v>10</v>
      </c>
      <c r="O9" s="54">
        <v>11</v>
      </c>
      <c r="P9" s="54">
        <v>0</v>
      </c>
      <c r="Q9" s="54">
        <v>0</v>
      </c>
      <c r="R9" s="54">
        <v>0</v>
      </c>
      <c r="S9" s="54">
        <v>0</v>
      </c>
      <c r="T9" s="54">
        <v>0</v>
      </c>
      <c r="U9" s="54">
        <v>24</v>
      </c>
      <c r="V9" s="54">
        <v>11</v>
      </c>
      <c r="W9" s="54">
        <v>0</v>
      </c>
      <c r="X9" s="54">
        <v>0</v>
      </c>
      <c r="Y9" s="54">
        <v>3</v>
      </c>
      <c r="Z9" s="54">
        <v>5</v>
      </c>
      <c r="AA9" s="54">
        <v>0</v>
      </c>
      <c r="AB9" s="54">
        <v>7</v>
      </c>
      <c r="AC9" s="54">
        <v>8</v>
      </c>
      <c r="AD9" s="54">
        <v>0</v>
      </c>
      <c r="AE9" s="54">
        <v>0</v>
      </c>
      <c r="AF9" s="54">
        <v>3</v>
      </c>
      <c r="AG9" s="5">
        <f t="shared" si="2"/>
        <v>105</v>
      </c>
    </row>
    <row r="10" spans="1:33" ht="18.75" x14ac:dyDescent="0.25">
      <c r="A10" s="56" t="s">
        <v>8</v>
      </c>
      <c r="B10" s="54">
        <v>0</v>
      </c>
      <c r="C10" s="54">
        <v>0</v>
      </c>
      <c r="D10" s="54">
        <v>0</v>
      </c>
      <c r="E10" s="54">
        <v>0</v>
      </c>
      <c r="F10" s="54">
        <v>0</v>
      </c>
      <c r="G10" s="54">
        <v>7</v>
      </c>
      <c r="H10" s="54">
        <v>9</v>
      </c>
      <c r="I10" s="54">
        <v>11</v>
      </c>
      <c r="J10" s="54">
        <v>0</v>
      </c>
      <c r="K10" s="54">
        <v>0</v>
      </c>
      <c r="L10" s="54">
        <v>0</v>
      </c>
      <c r="M10" s="54">
        <v>0</v>
      </c>
      <c r="N10" s="54">
        <v>13</v>
      </c>
      <c r="O10" s="54">
        <v>8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16</v>
      </c>
      <c r="V10" s="54">
        <v>11</v>
      </c>
      <c r="W10" s="54">
        <v>0</v>
      </c>
      <c r="X10" s="54">
        <v>0</v>
      </c>
      <c r="Y10" s="54">
        <v>6</v>
      </c>
      <c r="Z10" s="54">
        <v>14</v>
      </c>
      <c r="AA10" s="54">
        <v>0</v>
      </c>
      <c r="AB10" s="54">
        <v>9</v>
      </c>
      <c r="AC10" s="54">
        <v>9</v>
      </c>
      <c r="AD10" s="54">
        <v>0</v>
      </c>
      <c r="AE10" s="54">
        <v>0</v>
      </c>
      <c r="AF10" s="54">
        <v>11</v>
      </c>
      <c r="AG10" s="5">
        <f t="shared" si="2"/>
        <v>124</v>
      </c>
    </row>
    <row r="11" spans="1:33" ht="18.75" x14ac:dyDescent="0.25">
      <c r="A11" s="56" t="s">
        <v>9</v>
      </c>
      <c r="B11" s="54">
        <v>0</v>
      </c>
      <c r="C11" s="54">
        <v>0</v>
      </c>
      <c r="D11" s="54">
        <v>0</v>
      </c>
      <c r="E11" s="54">
        <v>0</v>
      </c>
      <c r="F11" s="54">
        <v>6</v>
      </c>
      <c r="G11" s="54">
        <v>9</v>
      </c>
      <c r="H11" s="54">
        <v>10</v>
      </c>
      <c r="I11" s="54">
        <v>10</v>
      </c>
      <c r="J11" s="54">
        <v>0</v>
      </c>
      <c r="K11" s="54">
        <v>0</v>
      </c>
      <c r="L11" s="54">
        <v>0</v>
      </c>
      <c r="M11" s="54">
        <v>1</v>
      </c>
      <c r="N11" s="54">
        <v>16</v>
      </c>
      <c r="O11" s="54">
        <v>11</v>
      </c>
      <c r="P11" s="54">
        <v>0</v>
      </c>
      <c r="Q11" s="54">
        <v>0</v>
      </c>
      <c r="R11" s="54">
        <v>0</v>
      </c>
      <c r="S11" s="54">
        <v>0</v>
      </c>
      <c r="T11" s="54">
        <v>6</v>
      </c>
      <c r="U11" s="54">
        <v>21</v>
      </c>
      <c r="V11" s="54">
        <v>11</v>
      </c>
      <c r="W11" s="54">
        <v>0</v>
      </c>
      <c r="X11" s="54">
        <v>0</v>
      </c>
      <c r="Y11" s="54">
        <v>8</v>
      </c>
      <c r="Z11" s="54">
        <v>10</v>
      </c>
      <c r="AA11" s="54">
        <v>5</v>
      </c>
      <c r="AB11" s="54">
        <v>13</v>
      </c>
      <c r="AC11" s="54">
        <v>8</v>
      </c>
      <c r="AD11" s="54">
        <v>0</v>
      </c>
      <c r="AE11" s="54">
        <v>0</v>
      </c>
      <c r="AF11" s="54">
        <v>5</v>
      </c>
      <c r="AG11" s="5">
        <f t="shared" si="2"/>
        <v>150</v>
      </c>
    </row>
    <row r="12" spans="1:33" ht="18.75" x14ac:dyDescent="0.25">
      <c r="A12" s="56" t="s">
        <v>10</v>
      </c>
      <c r="B12" s="54">
        <v>5</v>
      </c>
      <c r="C12" s="54">
        <v>4</v>
      </c>
      <c r="D12" s="54">
        <v>6</v>
      </c>
      <c r="E12" s="54">
        <v>5</v>
      </c>
      <c r="F12" s="54">
        <v>24</v>
      </c>
      <c r="G12" s="54">
        <v>15</v>
      </c>
      <c r="H12" s="54">
        <v>9</v>
      </c>
      <c r="I12" s="54">
        <v>20</v>
      </c>
      <c r="J12" s="54">
        <v>3</v>
      </c>
      <c r="K12" s="54">
        <v>2</v>
      </c>
      <c r="L12" s="54">
        <v>10</v>
      </c>
      <c r="M12" s="54">
        <v>33</v>
      </c>
      <c r="N12" s="54">
        <v>17</v>
      </c>
      <c r="O12" s="54">
        <v>10</v>
      </c>
      <c r="P12" s="54">
        <v>0</v>
      </c>
      <c r="Q12" s="54">
        <v>1</v>
      </c>
      <c r="R12" s="54">
        <v>9</v>
      </c>
      <c r="S12" s="54">
        <v>0</v>
      </c>
      <c r="T12" s="54">
        <v>31</v>
      </c>
      <c r="U12" s="54">
        <v>15</v>
      </c>
      <c r="V12" s="54">
        <v>18</v>
      </c>
      <c r="W12" s="54">
        <v>3</v>
      </c>
      <c r="X12" s="54">
        <v>8</v>
      </c>
      <c r="Y12" s="54">
        <v>7</v>
      </c>
      <c r="Z12" s="54">
        <v>8</v>
      </c>
      <c r="AA12" s="54">
        <v>42</v>
      </c>
      <c r="AB12" s="54">
        <v>17</v>
      </c>
      <c r="AC12" s="54">
        <v>11</v>
      </c>
      <c r="AD12" s="54">
        <v>0</v>
      </c>
      <c r="AE12" s="54">
        <v>6</v>
      </c>
      <c r="AF12" s="54">
        <v>12</v>
      </c>
      <c r="AG12" s="5">
        <f t="shared" si="2"/>
        <v>351</v>
      </c>
    </row>
    <row r="13" spans="1:33" ht="18.75" x14ac:dyDescent="0.25">
      <c r="A13" s="56" t="s">
        <v>11</v>
      </c>
      <c r="B13" s="54">
        <v>59</v>
      </c>
      <c r="C13" s="54">
        <v>62</v>
      </c>
      <c r="D13" s="54">
        <v>56</v>
      </c>
      <c r="E13" s="54">
        <v>46</v>
      </c>
      <c r="F13" s="54">
        <v>17</v>
      </c>
      <c r="G13" s="54">
        <v>10</v>
      </c>
      <c r="H13" s="54">
        <v>13</v>
      </c>
      <c r="I13" s="54">
        <v>12</v>
      </c>
      <c r="J13" s="54">
        <v>59</v>
      </c>
      <c r="K13" s="54">
        <v>47</v>
      </c>
      <c r="L13" s="54">
        <v>41</v>
      </c>
      <c r="M13" s="54">
        <v>20</v>
      </c>
      <c r="N13" s="54">
        <v>24</v>
      </c>
      <c r="O13" s="54">
        <v>13</v>
      </c>
      <c r="P13" s="54">
        <v>61</v>
      </c>
      <c r="Q13" s="54">
        <v>57</v>
      </c>
      <c r="R13" s="54">
        <v>44</v>
      </c>
      <c r="S13" s="54">
        <v>52</v>
      </c>
      <c r="T13" s="54">
        <v>18</v>
      </c>
      <c r="U13" s="54">
        <v>14</v>
      </c>
      <c r="V13" s="54">
        <v>22</v>
      </c>
      <c r="W13" s="54">
        <v>59</v>
      </c>
      <c r="X13" s="54">
        <v>36</v>
      </c>
      <c r="Y13" s="54">
        <v>12</v>
      </c>
      <c r="Z13" s="54">
        <v>13</v>
      </c>
      <c r="AA13" s="54">
        <v>25</v>
      </c>
      <c r="AB13" s="54">
        <v>16</v>
      </c>
      <c r="AC13" s="54">
        <v>3</v>
      </c>
      <c r="AD13" s="54">
        <v>50</v>
      </c>
      <c r="AE13" s="54">
        <v>45</v>
      </c>
      <c r="AF13" s="54">
        <v>9</v>
      </c>
      <c r="AG13" s="5">
        <f t="shared" si="2"/>
        <v>1015</v>
      </c>
    </row>
    <row r="14" spans="1:33" ht="18.75" x14ac:dyDescent="0.25">
      <c r="A14" s="56" t="s">
        <v>12</v>
      </c>
      <c r="B14" s="54">
        <v>17</v>
      </c>
      <c r="C14" s="54">
        <v>20</v>
      </c>
      <c r="D14" s="54">
        <v>11</v>
      </c>
      <c r="E14" s="54">
        <v>8</v>
      </c>
      <c r="F14" s="54">
        <v>11</v>
      </c>
      <c r="G14" s="54">
        <v>9</v>
      </c>
      <c r="H14" s="54">
        <v>12</v>
      </c>
      <c r="I14" s="54">
        <v>13</v>
      </c>
      <c r="J14" s="54">
        <v>15</v>
      </c>
      <c r="K14" s="54">
        <v>12</v>
      </c>
      <c r="L14" s="54">
        <v>12</v>
      </c>
      <c r="M14" s="54">
        <v>15</v>
      </c>
      <c r="N14" s="54">
        <v>12</v>
      </c>
      <c r="O14" s="54">
        <v>15</v>
      </c>
      <c r="P14" s="54">
        <v>15</v>
      </c>
      <c r="Q14" s="54">
        <v>15</v>
      </c>
      <c r="R14" s="54">
        <v>11</v>
      </c>
      <c r="S14" s="54">
        <v>7</v>
      </c>
      <c r="T14" s="54">
        <v>10</v>
      </c>
      <c r="U14" s="54">
        <v>9</v>
      </c>
      <c r="V14" s="54">
        <v>12</v>
      </c>
      <c r="W14" s="54">
        <v>12</v>
      </c>
      <c r="X14" s="54">
        <v>12</v>
      </c>
      <c r="Y14" s="54">
        <v>10</v>
      </c>
      <c r="Z14" s="54">
        <v>6</v>
      </c>
      <c r="AA14" s="54">
        <v>14</v>
      </c>
      <c r="AB14" s="54">
        <v>11</v>
      </c>
      <c r="AC14" s="54">
        <v>3</v>
      </c>
      <c r="AD14" s="54">
        <v>13</v>
      </c>
      <c r="AE14" s="54">
        <v>13</v>
      </c>
      <c r="AF14" s="54">
        <v>9</v>
      </c>
      <c r="AG14" s="5">
        <f t="shared" si="2"/>
        <v>364</v>
      </c>
    </row>
    <row r="15" spans="1:33" ht="18.75" x14ac:dyDescent="0.25">
      <c r="A15" s="56" t="s">
        <v>13</v>
      </c>
      <c r="B15" s="54">
        <v>13</v>
      </c>
      <c r="C15" s="54">
        <v>20</v>
      </c>
      <c r="D15" s="54">
        <v>10</v>
      </c>
      <c r="E15" s="54">
        <v>11</v>
      </c>
      <c r="F15" s="54">
        <v>9</v>
      </c>
      <c r="G15" s="54">
        <v>7</v>
      </c>
      <c r="H15" s="54">
        <v>10</v>
      </c>
      <c r="I15" s="54">
        <v>11</v>
      </c>
      <c r="J15" s="54">
        <v>14</v>
      </c>
      <c r="K15" s="54">
        <v>9</v>
      </c>
      <c r="L15" s="54">
        <v>11</v>
      </c>
      <c r="M15" s="54">
        <v>12</v>
      </c>
      <c r="N15" s="54">
        <v>8</v>
      </c>
      <c r="O15" s="54">
        <v>9</v>
      </c>
      <c r="P15" s="54">
        <v>12</v>
      </c>
      <c r="Q15" s="54">
        <v>16</v>
      </c>
      <c r="R15" s="54">
        <v>8</v>
      </c>
      <c r="S15" s="54">
        <v>7</v>
      </c>
      <c r="T15" s="54">
        <v>9</v>
      </c>
      <c r="U15" s="54">
        <v>8</v>
      </c>
      <c r="V15" s="54">
        <v>8</v>
      </c>
      <c r="W15" s="54">
        <v>15</v>
      </c>
      <c r="X15" s="54">
        <v>6</v>
      </c>
      <c r="Y15" s="54">
        <v>4</v>
      </c>
      <c r="Z15" s="54">
        <v>10</v>
      </c>
      <c r="AA15" s="54">
        <v>6</v>
      </c>
      <c r="AB15" s="54">
        <v>10</v>
      </c>
      <c r="AC15" s="54">
        <v>7</v>
      </c>
      <c r="AD15" s="54">
        <v>13</v>
      </c>
      <c r="AE15" s="54">
        <v>13</v>
      </c>
      <c r="AF15" s="54">
        <v>7</v>
      </c>
      <c r="AG15" s="5">
        <f t="shared" si="2"/>
        <v>313</v>
      </c>
    </row>
    <row r="16" spans="1:33" ht="18.75" x14ac:dyDescent="0.25">
      <c r="A16" s="56" t="s">
        <v>14</v>
      </c>
      <c r="B16" s="54">
        <v>13</v>
      </c>
      <c r="C16" s="54">
        <v>13</v>
      </c>
      <c r="D16" s="54">
        <v>13</v>
      </c>
      <c r="E16" s="54">
        <v>12</v>
      </c>
      <c r="F16" s="54">
        <v>12</v>
      </c>
      <c r="G16" s="54">
        <v>11</v>
      </c>
      <c r="H16" s="54">
        <v>10</v>
      </c>
      <c r="I16" s="54">
        <v>13</v>
      </c>
      <c r="J16" s="54">
        <v>11</v>
      </c>
      <c r="K16" s="54">
        <v>16</v>
      </c>
      <c r="L16" s="54">
        <v>15</v>
      </c>
      <c r="M16" s="54">
        <v>19</v>
      </c>
      <c r="N16" s="54">
        <v>14</v>
      </c>
      <c r="O16" s="54">
        <v>7</v>
      </c>
      <c r="P16" s="54">
        <v>17</v>
      </c>
      <c r="Q16" s="54">
        <v>8</v>
      </c>
      <c r="R16" s="54">
        <v>11</v>
      </c>
      <c r="S16" s="54">
        <v>15</v>
      </c>
      <c r="T16" s="54">
        <v>17</v>
      </c>
      <c r="U16" s="54">
        <v>11</v>
      </c>
      <c r="V16" s="54">
        <v>9</v>
      </c>
      <c r="W16" s="54">
        <v>12</v>
      </c>
      <c r="X16" s="54">
        <v>10</v>
      </c>
      <c r="Y16" s="54">
        <v>2</v>
      </c>
      <c r="Z16" s="54">
        <v>6</v>
      </c>
      <c r="AA16" s="54">
        <v>8</v>
      </c>
      <c r="AB16" s="54">
        <v>6</v>
      </c>
      <c r="AC16" s="54">
        <v>8</v>
      </c>
      <c r="AD16" s="54">
        <v>16</v>
      </c>
      <c r="AE16" s="54">
        <v>9</v>
      </c>
      <c r="AF16" s="54">
        <v>2</v>
      </c>
      <c r="AG16" s="5">
        <f t="shared" si="2"/>
        <v>346</v>
      </c>
    </row>
    <row r="17" spans="1:33" ht="18.75" x14ac:dyDescent="0.25">
      <c r="A17" s="56" t="s">
        <v>15</v>
      </c>
      <c r="B17" s="54">
        <v>15</v>
      </c>
      <c r="C17" s="54">
        <v>13</v>
      </c>
      <c r="D17" s="54">
        <v>17</v>
      </c>
      <c r="E17" s="54">
        <v>9</v>
      </c>
      <c r="F17" s="54">
        <v>13</v>
      </c>
      <c r="G17" s="54">
        <v>10</v>
      </c>
      <c r="H17" s="54">
        <v>10</v>
      </c>
      <c r="I17" s="54">
        <v>17</v>
      </c>
      <c r="J17" s="54">
        <v>15</v>
      </c>
      <c r="K17" s="54">
        <v>12</v>
      </c>
      <c r="L17" s="54">
        <v>10</v>
      </c>
      <c r="M17" s="54">
        <v>8</v>
      </c>
      <c r="N17" s="54">
        <v>9</v>
      </c>
      <c r="O17" s="54">
        <v>15</v>
      </c>
      <c r="P17" s="54">
        <v>6</v>
      </c>
      <c r="Q17" s="54">
        <v>14</v>
      </c>
      <c r="R17" s="54">
        <v>11</v>
      </c>
      <c r="S17" s="54">
        <v>7</v>
      </c>
      <c r="T17" s="54">
        <v>14</v>
      </c>
      <c r="U17" s="54">
        <v>4</v>
      </c>
      <c r="V17" s="54">
        <v>13</v>
      </c>
      <c r="W17" s="54">
        <v>6</v>
      </c>
      <c r="X17" s="54">
        <v>13</v>
      </c>
      <c r="Y17" s="54">
        <v>1</v>
      </c>
      <c r="Z17" s="54">
        <v>4</v>
      </c>
      <c r="AA17" s="54">
        <v>11</v>
      </c>
      <c r="AB17" s="54">
        <v>8</v>
      </c>
      <c r="AC17" s="54">
        <v>5</v>
      </c>
      <c r="AD17" s="54">
        <v>13</v>
      </c>
      <c r="AE17" s="54">
        <v>10</v>
      </c>
      <c r="AF17" s="54">
        <v>4</v>
      </c>
      <c r="AG17" s="5">
        <f t="shared" si="2"/>
        <v>317</v>
      </c>
    </row>
    <row r="18" spans="1:33" ht="18.75" x14ac:dyDescent="0.25">
      <c r="A18" s="56" t="s">
        <v>16</v>
      </c>
      <c r="B18" s="54">
        <v>12</v>
      </c>
      <c r="C18" s="54">
        <v>8</v>
      </c>
      <c r="D18" s="54">
        <v>6</v>
      </c>
      <c r="E18" s="54">
        <v>13</v>
      </c>
      <c r="F18" s="54">
        <v>10</v>
      </c>
      <c r="G18" s="54">
        <v>7</v>
      </c>
      <c r="H18" s="54">
        <v>8</v>
      </c>
      <c r="I18" s="54">
        <v>12</v>
      </c>
      <c r="J18" s="54">
        <v>7</v>
      </c>
      <c r="K18" s="54">
        <v>10</v>
      </c>
      <c r="L18" s="54">
        <v>8</v>
      </c>
      <c r="M18" s="54">
        <v>8</v>
      </c>
      <c r="N18" s="54">
        <v>6</v>
      </c>
      <c r="O18" s="54">
        <v>7</v>
      </c>
      <c r="P18" s="54">
        <v>12</v>
      </c>
      <c r="Q18" s="54">
        <v>10</v>
      </c>
      <c r="R18" s="54">
        <v>15</v>
      </c>
      <c r="S18" s="54">
        <v>14</v>
      </c>
      <c r="T18" s="54">
        <v>6</v>
      </c>
      <c r="U18" s="54">
        <v>10</v>
      </c>
      <c r="V18" s="54">
        <v>7</v>
      </c>
      <c r="W18" s="54">
        <v>11</v>
      </c>
      <c r="X18" s="54">
        <v>6</v>
      </c>
      <c r="Y18" s="54">
        <v>1</v>
      </c>
      <c r="Z18" s="54">
        <v>8</v>
      </c>
      <c r="AA18" s="54">
        <v>9</v>
      </c>
      <c r="AB18" s="54">
        <v>11</v>
      </c>
      <c r="AC18" s="54">
        <v>8</v>
      </c>
      <c r="AD18" s="54">
        <v>8</v>
      </c>
      <c r="AE18" s="54">
        <v>15</v>
      </c>
      <c r="AF18" s="54">
        <v>1</v>
      </c>
      <c r="AG18" s="5">
        <f t="shared" si="2"/>
        <v>274</v>
      </c>
    </row>
    <row r="19" spans="1:33" ht="18.75" x14ac:dyDescent="0.25">
      <c r="A19" s="56" t="s">
        <v>17</v>
      </c>
      <c r="B19" s="54">
        <v>8</v>
      </c>
      <c r="C19" s="54">
        <v>5</v>
      </c>
      <c r="D19" s="54">
        <v>6</v>
      </c>
      <c r="E19" s="54">
        <v>5</v>
      </c>
      <c r="F19" s="54">
        <v>10</v>
      </c>
      <c r="G19" s="54">
        <v>5</v>
      </c>
      <c r="H19" s="54">
        <v>6</v>
      </c>
      <c r="I19" s="54">
        <v>7</v>
      </c>
      <c r="J19" s="54">
        <v>4</v>
      </c>
      <c r="K19" s="54">
        <v>9</v>
      </c>
      <c r="L19" s="54">
        <v>3</v>
      </c>
      <c r="M19" s="54">
        <v>7</v>
      </c>
      <c r="N19" s="54">
        <v>9</v>
      </c>
      <c r="O19" s="54">
        <v>2</v>
      </c>
      <c r="P19" s="54">
        <v>4</v>
      </c>
      <c r="Q19" s="54">
        <v>8</v>
      </c>
      <c r="R19" s="54">
        <v>8</v>
      </c>
      <c r="S19" s="54">
        <v>11</v>
      </c>
      <c r="T19" s="54">
        <v>11</v>
      </c>
      <c r="U19" s="54">
        <v>13</v>
      </c>
      <c r="V19" s="54">
        <v>5</v>
      </c>
      <c r="W19" s="54">
        <v>2</v>
      </c>
      <c r="X19" s="54">
        <v>10</v>
      </c>
      <c r="Y19" s="54">
        <v>4</v>
      </c>
      <c r="Z19" s="54">
        <v>6</v>
      </c>
      <c r="AA19" s="54">
        <v>6</v>
      </c>
      <c r="AB19" s="54">
        <v>9</v>
      </c>
      <c r="AC19" s="54">
        <v>6</v>
      </c>
      <c r="AD19" s="54">
        <v>10</v>
      </c>
      <c r="AE19" s="54">
        <v>9</v>
      </c>
      <c r="AF19" s="54">
        <v>1</v>
      </c>
      <c r="AG19" s="5">
        <f t="shared" si="2"/>
        <v>209</v>
      </c>
    </row>
    <row r="20" spans="1:33" ht="18.75" x14ac:dyDescent="0.25">
      <c r="A20" s="56" t="s">
        <v>18</v>
      </c>
      <c r="B20" s="54">
        <v>4</v>
      </c>
      <c r="C20" s="54">
        <v>2</v>
      </c>
      <c r="D20" s="54">
        <v>5</v>
      </c>
      <c r="E20" s="54">
        <v>6</v>
      </c>
      <c r="F20" s="54">
        <v>3</v>
      </c>
      <c r="G20" s="54">
        <v>5</v>
      </c>
      <c r="H20" s="54">
        <v>5</v>
      </c>
      <c r="I20" s="54">
        <v>3</v>
      </c>
      <c r="J20" s="54">
        <v>9</v>
      </c>
      <c r="K20" s="54">
        <v>1</v>
      </c>
      <c r="L20" s="54">
        <v>2</v>
      </c>
      <c r="M20" s="54">
        <v>2</v>
      </c>
      <c r="N20" s="54">
        <v>0</v>
      </c>
      <c r="O20" s="54">
        <v>5</v>
      </c>
      <c r="P20" s="54">
        <v>3</v>
      </c>
      <c r="Q20" s="54">
        <v>3</v>
      </c>
      <c r="R20" s="54">
        <v>2</v>
      </c>
      <c r="S20" s="54">
        <v>6</v>
      </c>
      <c r="T20" s="54">
        <v>9</v>
      </c>
      <c r="U20" s="54">
        <v>4</v>
      </c>
      <c r="V20" s="54">
        <v>5</v>
      </c>
      <c r="W20" s="54">
        <v>3</v>
      </c>
      <c r="X20" s="54">
        <v>6</v>
      </c>
      <c r="Y20" s="54">
        <v>7</v>
      </c>
      <c r="Z20" s="54">
        <v>2</v>
      </c>
      <c r="AA20" s="54">
        <v>6</v>
      </c>
      <c r="AB20" s="54">
        <v>4</v>
      </c>
      <c r="AC20" s="54">
        <v>5</v>
      </c>
      <c r="AD20" s="54">
        <v>6</v>
      </c>
      <c r="AE20" s="54">
        <v>3</v>
      </c>
      <c r="AF20" s="54">
        <v>5</v>
      </c>
      <c r="AG20" s="5">
        <f t="shared" si="2"/>
        <v>131</v>
      </c>
    </row>
    <row r="21" spans="1:33" ht="15.75" customHeight="1" x14ac:dyDescent="0.25">
      <c r="A21" s="56" t="s">
        <v>19</v>
      </c>
      <c r="B21" s="54">
        <v>3</v>
      </c>
      <c r="C21" s="54">
        <v>4</v>
      </c>
      <c r="D21" s="54">
        <v>2</v>
      </c>
      <c r="E21" s="54">
        <v>4</v>
      </c>
      <c r="F21" s="54">
        <v>3</v>
      </c>
      <c r="G21" s="54">
        <v>2</v>
      </c>
      <c r="H21" s="54">
        <v>4</v>
      </c>
      <c r="I21" s="54">
        <v>5</v>
      </c>
      <c r="J21" s="54">
        <v>3</v>
      </c>
      <c r="K21" s="54">
        <v>1</v>
      </c>
      <c r="L21" s="54">
        <v>4</v>
      </c>
      <c r="M21" s="54">
        <v>3</v>
      </c>
      <c r="N21" s="54">
        <v>1</v>
      </c>
      <c r="O21" s="54">
        <v>2</v>
      </c>
      <c r="P21" s="54">
        <v>0</v>
      </c>
      <c r="Q21" s="54">
        <v>5</v>
      </c>
      <c r="R21" s="54">
        <v>1</v>
      </c>
      <c r="S21" s="54">
        <v>1</v>
      </c>
      <c r="T21" s="54">
        <v>4</v>
      </c>
      <c r="U21" s="54">
        <v>2</v>
      </c>
      <c r="V21" s="54">
        <v>1</v>
      </c>
      <c r="W21" s="54">
        <v>4</v>
      </c>
      <c r="X21" s="54">
        <v>1</v>
      </c>
      <c r="Y21" s="54">
        <v>3</v>
      </c>
      <c r="Z21" s="54">
        <v>2</v>
      </c>
      <c r="AA21" s="54">
        <v>4</v>
      </c>
      <c r="AB21" s="54">
        <v>1</v>
      </c>
      <c r="AC21" s="54">
        <v>2</v>
      </c>
      <c r="AD21" s="54">
        <v>3</v>
      </c>
      <c r="AE21" s="54">
        <v>3</v>
      </c>
      <c r="AF21" s="54">
        <v>9</v>
      </c>
      <c r="AG21" s="5">
        <f t="shared" si="2"/>
        <v>87</v>
      </c>
    </row>
    <row r="22" spans="1:33" ht="15.75" customHeight="1" x14ac:dyDescent="0.25">
      <c r="A22" s="56" t="s">
        <v>20</v>
      </c>
      <c r="B22" s="54">
        <v>2</v>
      </c>
      <c r="C22" s="54">
        <v>0</v>
      </c>
      <c r="D22" s="54">
        <v>1</v>
      </c>
      <c r="E22" s="54">
        <v>4</v>
      </c>
      <c r="F22" s="54">
        <v>3</v>
      </c>
      <c r="G22" s="54">
        <v>2</v>
      </c>
      <c r="H22" s="54">
        <v>3</v>
      </c>
      <c r="I22" s="54">
        <v>1</v>
      </c>
      <c r="J22" s="54">
        <v>2</v>
      </c>
      <c r="K22" s="54">
        <v>3</v>
      </c>
      <c r="L22" s="54">
        <v>0</v>
      </c>
      <c r="M22" s="54">
        <v>3</v>
      </c>
      <c r="N22" s="54">
        <v>4</v>
      </c>
      <c r="O22" s="54">
        <v>0</v>
      </c>
      <c r="P22" s="54">
        <v>1</v>
      </c>
      <c r="Q22" s="54">
        <v>6</v>
      </c>
      <c r="R22" s="54">
        <v>1</v>
      </c>
      <c r="S22" s="54">
        <v>0</v>
      </c>
      <c r="T22" s="54">
        <v>1</v>
      </c>
      <c r="U22" s="54">
        <v>2</v>
      </c>
      <c r="V22" s="54">
        <v>5</v>
      </c>
      <c r="W22" s="54">
        <v>1</v>
      </c>
      <c r="X22" s="54">
        <v>2</v>
      </c>
      <c r="Y22" s="54">
        <v>4</v>
      </c>
      <c r="Z22" s="54">
        <v>0</v>
      </c>
      <c r="AA22" s="54">
        <v>1</v>
      </c>
      <c r="AB22" s="54">
        <v>3</v>
      </c>
      <c r="AC22" s="54">
        <v>1</v>
      </c>
      <c r="AD22" s="54">
        <v>1</v>
      </c>
      <c r="AE22" s="54">
        <v>5</v>
      </c>
      <c r="AF22" s="54">
        <v>3</v>
      </c>
      <c r="AG22" s="5">
        <f t="shared" si="2"/>
        <v>65</v>
      </c>
    </row>
    <row r="23" spans="1:33" ht="15.75" customHeight="1" x14ac:dyDescent="0.25">
      <c r="A23" s="56" t="s">
        <v>21</v>
      </c>
      <c r="B23" s="54">
        <v>0</v>
      </c>
      <c r="C23" s="54">
        <v>3</v>
      </c>
      <c r="D23" s="54">
        <v>1</v>
      </c>
      <c r="E23" s="54">
        <v>1</v>
      </c>
      <c r="F23" s="54">
        <v>4</v>
      </c>
      <c r="G23" s="54">
        <v>7</v>
      </c>
      <c r="H23" s="54">
        <v>0</v>
      </c>
      <c r="I23" s="54">
        <v>2</v>
      </c>
      <c r="J23" s="54">
        <v>1</v>
      </c>
      <c r="K23" s="54">
        <v>1</v>
      </c>
      <c r="L23" s="54">
        <v>2</v>
      </c>
      <c r="M23" s="54">
        <v>1</v>
      </c>
      <c r="N23" s="54">
        <v>2</v>
      </c>
      <c r="O23" s="54">
        <v>0</v>
      </c>
      <c r="P23" s="54">
        <v>1</v>
      </c>
      <c r="Q23" s="54">
        <v>1</v>
      </c>
      <c r="R23" s="54">
        <v>1</v>
      </c>
      <c r="S23" s="54">
        <v>1</v>
      </c>
      <c r="T23" s="54">
        <v>2</v>
      </c>
      <c r="U23" s="54">
        <v>2</v>
      </c>
      <c r="V23" s="54">
        <v>7</v>
      </c>
      <c r="W23" s="54">
        <v>2</v>
      </c>
      <c r="X23" s="54">
        <v>1</v>
      </c>
      <c r="Y23" s="54">
        <v>0</v>
      </c>
      <c r="Z23" s="54">
        <v>0</v>
      </c>
      <c r="AA23" s="54">
        <v>1</v>
      </c>
      <c r="AB23" s="54">
        <v>0</v>
      </c>
      <c r="AC23" s="54">
        <v>2</v>
      </c>
      <c r="AD23" s="54">
        <v>1</v>
      </c>
      <c r="AE23" s="54">
        <v>1</v>
      </c>
      <c r="AF23" s="54">
        <v>0</v>
      </c>
      <c r="AG23" s="5">
        <f t="shared" si="2"/>
        <v>48</v>
      </c>
    </row>
    <row r="24" spans="1:33" ht="15.75" customHeight="1" x14ac:dyDescent="0.25">
      <c r="A24" s="56" t="s">
        <v>22</v>
      </c>
      <c r="B24" s="54">
        <v>1</v>
      </c>
      <c r="C24" s="54">
        <v>1</v>
      </c>
      <c r="D24" s="54">
        <v>1</v>
      </c>
      <c r="E24" s="54">
        <v>1</v>
      </c>
      <c r="F24" s="54">
        <v>0</v>
      </c>
      <c r="G24" s="54">
        <v>3</v>
      </c>
      <c r="H24" s="54">
        <v>2</v>
      </c>
      <c r="I24" s="54">
        <v>3</v>
      </c>
      <c r="J24" s="54">
        <v>0</v>
      </c>
      <c r="K24" s="54">
        <v>2</v>
      </c>
      <c r="L24" s="54">
        <v>1</v>
      </c>
      <c r="M24" s="54">
        <v>2</v>
      </c>
      <c r="N24" s="54">
        <v>0</v>
      </c>
      <c r="O24" s="54">
        <v>2</v>
      </c>
      <c r="P24" s="54">
        <v>0</v>
      </c>
      <c r="Q24" s="54">
        <v>0</v>
      </c>
      <c r="R24" s="54">
        <v>0</v>
      </c>
      <c r="S24" s="54">
        <v>0</v>
      </c>
      <c r="T24" s="54">
        <v>3</v>
      </c>
      <c r="U24" s="54">
        <v>3</v>
      </c>
      <c r="V24" s="54">
        <v>2</v>
      </c>
      <c r="W24" s="54">
        <v>0</v>
      </c>
      <c r="X24" s="54">
        <v>1</v>
      </c>
      <c r="Y24" s="54">
        <v>3</v>
      </c>
      <c r="Z24" s="54">
        <v>1</v>
      </c>
      <c r="AA24" s="54">
        <v>0</v>
      </c>
      <c r="AB24" s="54">
        <v>2</v>
      </c>
      <c r="AC24" s="54">
        <v>4</v>
      </c>
      <c r="AD24" s="54">
        <v>2</v>
      </c>
      <c r="AE24" s="54">
        <v>6</v>
      </c>
      <c r="AF24" s="54">
        <v>2</v>
      </c>
      <c r="AG24" s="5">
        <f t="shared" si="2"/>
        <v>48</v>
      </c>
    </row>
    <row r="25" spans="1:33" ht="15.75" customHeight="1" x14ac:dyDescent="0.25">
      <c r="A25" s="56" t="s">
        <v>23</v>
      </c>
      <c r="B25" s="54">
        <v>0</v>
      </c>
      <c r="C25" s="54">
        <v>2</v>
      </c>
      <c r="D25" s="54">
        <v>1</v>
      </c>
      <c r="E25" s="54">
        <v>0</v>
      </c>
      <c r="F25" s="54">
        <v>2</v>
      </c>
      <c r="G25" s="54">
        <v>0</v>
      </c>
      <c r="H25" s="54">
        <v>0</v>
      </c>
      <c r="I25" s="54">
        <v>0</v>
      </c>
      <c r="J25" s="54">
        <v>2</v>
      </c>
      <c r="K25" s="54">
        <v>1</v>
      </c>
      <c r="L25" s="54">
        <v>2</v>
      </c>
      <c r="M25" s="54">
        <v>2</v>
      </c>
      <c r="N25" s="54">
        <v>2</v>
      </c>
      <c r="O25" s="54">
        <v>2</v>
      </c>
      <c r="P25" s="54">
        <v>3</v>
      </c>
      <c r="Q25" s="54">
        <v>1</v>
      </c>
      <c r="R25" s="54">
        <v>2</v>
      </c>
      <c r="S25" s="54">
        <v>2</v>
      </c>
      <c r="T25" s="54">
        <v>0</v>
      </c>
      <c r="U25" s="54">
        <v>2</v>
      </c>
      <c r="V25" s="54">
        <v>3</v>
      </c>
      <c r="W25" s="54">
        <v>0</v>
      </c>
      <c r="X25" s="54">
        <v>0</v>
      </c>
      <c r="Y25" s="54">
        <v>0</v>
      </c>
      <c r="Z25" s="54">
        <v>1</v>
      </c>
      <c r="AA25" s="54">
        <v>1</v>
      </c>
      <c r="AB25" s="54">
        <v>2</v>
      </c>
      <c r="AC25" s="54">
        <v>0</v>
      </c>
      <c r="AD25" s="54">
        <v>1</v>
      </c>
      <c r="AE25" s="54">
        <v>1</v>
      </c>
      <c r="AF25" s="54">
        <v>0</v>
      </c>
      <c r="AG25" s="5">
        <f t="shared" si="2"/>
        <v>35</v>
      </c>
    </row>
    <row r="26" spans="1:33" ht="15.75" customHeight="1" x14ac:dyDescent="0.25">
      <c r="A26" s="56" t="s">
        <v>24</v>
      </c>
      <c r="B26" s="54">
        <v>3</v>
      </c>
      <c r="C26" s="54">
        <v>0</v>
      </c>
      <c r="D26" s="54">
        <v>0</v>
      </c>
      <c r="E26" s="54">
        <v>0</v>
      </c>
      <c r="F26" s="54">
        <v>2</v>
      </c>
      <c r="G26" s="54">
        <v>2</v>
      </c>
      <c r="H26" s="54">
        <v>3</v>
      </c>
      <c r="I26" s="54">
        <v>1</v>
      </c>
      <c r="J26" s="54">
        <v>1</v>
      </c>
      <c r="K26" s="54">
        <v>1</v>
      </c>
      <c r="L26" s="54">
        <v>3</v>
      </c>
      <c r="M26" s="54">
        <v>0</v>
      </c>
      <c r="N26" s="54">
        <v>2</v>
      </c>
      <c r="O26" s="54">
        <v>2</v>
      </c>
      <c r="P26" s="54">
        <v>1</v>
      </c>
      <c r="Q26" s="54">
        <v>2</v>
      </c>
      <c r="R26" s="54">
        <v>3</v>
      </c>
      <c r="S26" s="54">
        <v>1</v>
      </c>
      <c r="T26" s="54">
        <v>0</v>
      </c>
      <c r="U26" s="54">
        <v>0</v>
      </c>
      <c r="V26" s="54">
        <v>1</v>
      </c>
      <c r="W26" s="54">
        <v>2</v>
      </c>
      <c r="X26" s="54">
        <v>3</v>
      </c>
      <c r="Y26" s="54">
        <v>0</v>
      </c>
      <c r="Z26" s="54">
        <v>1</v>
      </c>
      <c r="AA26" s="54">
        <v>0</v>
      </c>
      <c r="AB26" s="54">
        <v>0</v>
      </c>
      <c r="AC26" s="54">
        <v>1</v>
      </c>
      <c r="AD26" s="54">
        <v>1</v>
      </c>
      <c r="AE26" s="54">
        <v>1</v>
      </c>
      <c r="AF26" s="54">
        <v>0</v>
      </c>
      <c r="AG26" s="5">
        <f t="shared" si="2"/>
        <v>37</v>
      </c>
    </row>
    <row r="27" spans="1:33" ht="15.75" customHeight="1" thickBot="1" x14ac:dyDescent="0.3">
      <c r="A27" s="57" t="s">
        <v>25</v>
      </c>
      <c r="B27" s="58">
        <v>0</v>
      </c>
      <c r="C27" s="58">
        <v>0</v>
      </c>
      <c r="D27" s="58">
        <v>2</v>
      </c>
      <c r="E27" s="58">
        <v>0</v>
      </c>
      <c r="F27" s="58">
        <v>0</v>
      </c>
      <c r="G27" s="58">
        <v>3</v>
      </c>
      <c r="H27" s="58">
        <v>0</v>
      </c>
      <c r="I27" s="58">
        <v>3</v>
      </c>
      <c r="J27" s="58">
        <v>2</v>
      </c>
      <c r="K27" s="58">
        <v>0</v>
      </c>
      <c r="L27" s="58">
        <v>1</v>
      </c>
      <c r="M27" s="58">
        <v>0</v>
      </c>
      <c r="N27" s="58">
        <v>1</v>
      </c>
      <c r="O27" s="58">
        <v>6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1</v>
      </c>
      <c r="V27" s="58">
        <v>6</v>
      </c>
      <c r="W27" s="58">
        <v>0</v>
      </c>
      <c r="X27" s="58">
        <v>1</v>
      </c>
      <c r="Y27" s="58">
        <v>0</v>
      </c>
      <c r="Z27" s="58">
        <v>0</v>
      </c>
      <c r="AA27" s="58">
        <v>2</v>
      </c>
      <c r="AB27" s="58">
        <v>4</v>
      </c>
      <c r="AC27" s="58">
        <v>4</v>
      </c>
      <c r="AD27" s="58">
        <v>0</v>
      </c>
      <c r="AE27" s="58">
        <v>1</v>
      </c>
      <c r="AF27" s="58">
        <v>1</v>
      </c>
      <c r="AG27" s="5">
        <f t="shared" si="2"/>
        <v>38</v>
      </c>
    </row>
    <row r="28" spans="1:33" ht="15.75" customHeight="1" x14ac:dyDescent="0.25">
      <c r="A28" s="59" t="s">
        <v>26</v>
      </c>
      <c r="B28" s="6">
        <f t="shared" ref="B28:AF28" si="3">SUM(B29:B52)</f>
        <v>141</v>
      </c>
      <c r="C28" s="6">
        <f t="shared" si="3"/>
        <v>139</v>
      </c>
      <c r="D28" s="6">
        <f t="shared" si="3"/>
        <v>127</v>
      </c>
      <c r="E28" s="6">
        <f t="shared" si="3"/>
        <v>120</v>
      </c>
      <c r="F28" s="6">
        <f t="shared" si="3"/>
        <v>129</v>
      </c>
      <c r="G28" s="6">
        <f t="shared" si="3"/>
        <v>166</v>
      </c>
      <c r="H28" s="6">
        <f t="shared" si="3"/>
        <v>165</v>
      </c>
      <c r="I28" s="6">
        <f t="shared" si="3"/>
        <v>219</v>
      </c>
      <c r="J28" s="6">
        <f t="shared" si="3"/>
        <v>135</v>
      </c>
      <c r="K28" s="6">
        <f t="shared" si="3"/>
        <v>122</v>
      </c>
      <c r="L28" s="6">
        <f t="shared" si="3"/>
        <v>124</v>
      </c>
      <c r="M28" s="6">
        <f t="shared" si="3"/>
        <v>129</v>
      </c>
      <c r="N28" s="6">
        <f t="shared" si="3"/>
        <v>198</v>
      </c>
      <c r="O28" s="6">
        <f t="shared" si="3"/>
        <v>164</v>
      </c>
      <c r="P28" s="6">
        <f t="shared" si="3"/>
        <v>127</v>
      </c>
      <c r="Q28" s="6">
        <f t="shared" si="3"/>
        <v>134</v>
      </c>
      <c r="R28" s="6">
        <f t="shared" si="3"/>
        <v>122</v>
      </c>
      <c r="S28" s="6">
        <f t="shared" si="3"/>
        <v>120</v>
      </c>
      <c r="T28" s="6">
        <f t="shared" si="3"/>
        <v>133</v>
      </c>
      <c r="U28" s="6">
        <f t="shared" si="3"/>
        <v>190</v>
      </c>
      <c r="V28" s="6">
        <f t="shared" si="3"/>
        <v>208</v>
      </c>
      <c r="W28" s="6">
        <f t="shared" si="3"/>
        <v>113</v>
      </c>
      <c r="X28" s="6">
        <f t="shared" si="3"/>
        <v>115</v>
      </c>
      <c r="Y28" s="6">
        <f t="shared" si="3"/>
        <v>79</v>
      </c>
      <c r="Z28" s="6">
        <f t="shared" si="3"/>
        <v>137</v>
      </c>
      <c r="AA28" s="6">
        <f t="shared" si="3"/>
        <v>128</v>
      </c>
      <c r="AB28" s="6">
        <f t="shared" si="3"/>
        <v>188</v>
      </c>
      <c r="AC28" s="6">
        <f t="shared" si="3"/>
        <v>148</v>
      </c>
      <c r="AD28" s="6">
        <f t="shared" si="3"/>
        <v>129</v>
      </c>
      <c r="AE28" s="6">
        <f t="shared" si="3"/>
        <v>134</v>
      </c>
      <c r="AF28" s="6">
        <f t="shared" si="3"/>
        <v>99</v>
      </c>
      <c r="AG28" s="7">
        <f t="shared" si="2"/>
        <v>4382</v>
      </c>
    </row>
    <row r="29" spans="1:33" ht="15.75" customHeight="1" x14ac:dyDescent="0.25">
      <c r="A29" s="53" t="s">
        <v>2</v>
      </c>
      <c r="B29" s="54">
        <v>0</v>
      </c>
      <c r="C29" s="55">
        <v>0</v>
      </c>
      <c r="D29" s="55">
        <v>0</v>
      </c>
      <c r="E29" s="55">
        <v>0</v>
      </c>
      <c r="F29" s="55">
        <v>0</v>
      </c>
      <c r="G29" s="55">
        <v>3</v>
      </c>
      <c r="H29" s="55">
        <v>3</v>
      </c>
      <c r="I29" s="55">
        <v>9</v>
      </c>
      <c r="J29" s="55">
        <v>0</v>
      </c>
      <c r="K29" s="55">
        <v>0</v>
      </c>
      <c r="L29" s="55">
        <v>0</v>
      </c>
      <c r="M29" s="55">
        <v>0</v>
      </c>
      <c r="N29" s="55">
        <v>3</v>
      </c>
      <c r="O29" s="55">
        <v>3</v>
      </c>
      <c r="P29" s="55">
        <v>0</v>
      </c>
      <c r="Q29" s="55">
        <v>0</v>
      </c>
      <c r="R29" s="55">
        <v>0</v>
      </c>
      <c r="S29" s="55">
        <v>0</v>
      </c>
      <c r="T29" s="55">
        <v>0</v>
      </c>
      <c r="U29" s="55">
        <v>3</v>
      </c>
      <c r="V29" s="55">
        <v>3</v>
      </c>
      <c r="W29" s="55">
        <v>0</v>
      </c>
      <c r="X29" s="55">
        <v>0</v>
      </c>
      <c r="Y29" s="55">
        <v>0</v>
      </c>
      <c r="Z29" s="55">
        <v>3</v>
      </c>
      <c r="AA29" s="55">
        <v>0</v>
      </c>
      <c r="AB29" s="55">
        <v>6</v>
      </c>
      <c r="AC29" s="55">
        <v>3</v>
      </c>
      <c r="AD29" s="54">
        <v>0</v>
      </c>
      <c r="AE29" s="54">
        <v>0</v>
      </c>
      <c r="AF29" s="54">
        <v>0</v>
      </c>
      <c r="AG29" s="5">
        <f t="shared" si="2"/>
        <v>39</v>
      </c>
    </row>
    <row r="30" spans="1:33" ht="15.75" customHeight="1" x14ac:dyDescent="0.25">
      <c r="A30" s="56" t="s">
        <v>3</v>
      </c>
      <c r="B30" s="54">
        <v>0</v>
      </c>
      <c r="C30" s="54">
        <v>0</v>
      </c>
      <c r="D30" s="54">
        <v>0</v>
      </c>
      <c r="E30" s="54">
        <v>0</v>
      </c>
      <c r="F30" s="54">
        <v>0</v>
      </c>
      <c r="G30" s="54">
        <v>2</v>
      </c>
      <c r="H30" s="54">
        <v>8</v>
      </c>
      <c r="I30" s="54">
        <v>6</v>
      </c>
      <c r="J30" s="54">
        <v>0</v>
      </c>
      <c r="K30" s="54">
        <v>0</v>
      </c>
      <c r="L30" s="54">
        <v>0</v>
      </c>
      <c r="M30" s="54">
        <v>0</v>
      </c>
      <c r="N30" s="54">
        <v>14</v>
      </c>
      <c r="O30" s="54">
        <v>7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7</v>
      </c>
      <c r="V30" s="54">
        <v>9</v>
      </c>
      <c r="W30" s="54">
        <v>0</v>
      </c>
      <c r="X30" s="54">
        <v>0</v>
      </c>
      <c r="Y30" s="54">
        <v>0</v>
      </c>
      <c r="Z30" s="54">
        <v>8</v>
      </c>
      <c r="AA30" s="54">
        <v>0</v>
      </c>
      <c r="AB30" s="54">
        <v>6</v>
      </c>
      <c r="AC30" s="54">
        <v>5</v>
      </c>
      <c r="AD30" s="54">
        <v>0</v>
      </c>
      <c r="AE30" s="54">
        <v>0</v>
      </c>
      <c r="AF30" s="54">
        <v>0</v>
      </c>
      <c r="AG30" s="5">
        <f t="shared" si="2"/>
        <v>72</v>
      </c>
    </row>
    <row r="31" spans="1:33" ht="15.75" customHeight="1" x14ac:dyDescent="0.25">
      <c r="A31" s="56" t="s">
        <v>4</v>
      </c>
      <c r="B31" s="54">
        <v>0</v>
      </c>
      <c r="C31" s="54">
        <v>0</v>
      </c>
      <c r="D31" s="54">
        <v>0</v>
      </c>
      <c r="E31" s="54">
        <v>0</v>
      </c>
      <c r="F31" s="54">
        <v>0</v>
      </c>
      <c r="G31" s="54">
        <v>20</v>
      </c>
      <c r="H31" s="54">
        <v>13</v>
      </c>
      <c r="I31" s="54">
        <v>14</v>
      </c>
      <c r="J31" s="54">
        <v>0</v>
      </c>
      <c r="K31" s="54">
        <v>0</v>
      </c>
      <c r="L31" s="54">
        <v>0</v>
      </c>
      <c r="M31" s="54">
        <v>0</v>
      </c>
      <c r="N31" s="54">
        <v>12</v>
      </c>
      <c r="O31" s="54">
        <v>7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8</v>
      </c>
      <c r="V31" s="54">
        <v>11</v>
      </c>
      <c r="W31" s="54">
        <v>0</v>
      </c>
      <c r="X31" s="54">
        <v>0</v>
      </c>
      <c r="Y31" s="54">
        <v>0</v>
      </c>
      <c r="Z31" s="54">
        <v>7</v>
      </c>
      <c r="AA31" s="54">
        <v>0</v>
      </c>
      <c r="AB31" s="54">
        <v>8</v>
      </c>
      <c r="AC31" s="54">
        <v>14</v>
      </c>
      <c r="AD31" s="54">
        <v>0</v>
      </c>
      <c r="AE31" s="54">
        <v>0</v>
      </c>
      <c r="AF31" s="54">
        <v>0</v>
      </c>
      <c r="AG31" s="5">
        <f t="shared" si="2"/>
        <v>114</v>
      </c>
    </row>
    <row r="32" spans="1:33" ht="15.75" customHeight="1" x14ac:dyDescent="0.25">
      <c r="A32" s="56" t="s">
        <v>5</v>
      </c>
      <c r="B32" s="54">
        <v>0</v>
      </c>
      <c r="C32" s="54">
        <v>0</v>
      </c>
      <c r="D32" s="54">
        <v>0</v>
      </c>
      <c r="E32" s="54">
        <v>0</v>
      </c>
      <c r="F32" s="54">
        <v>0</v>
      </c>
      <c r="G32" s="54">
        <v>9</v>
      </c>
      <c r="H32" s="54">
        <v>8</v>
      </c>
      <c r="I32" s="54">
        <v>18</v>
      </c>
      <c r="J32" s="54">
        <v>0</v>
      </c>
      <c r="K32" s="54">
        <v>0</v>
      </c>
      <c r="L32" s="54">
        <v>0</v>
      </c>
      <c r="M32" s="54">
        <v>0</v>
      </c>
      <c r="N32" s="54">
        <v>16</v>
      </c>
      <c r="O32" s="54">
        <v>8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12</v>
      </c>
      <c r="V32" s="54">
        <v>13</v>
      </c>
      <c r="W32" s="54">
        <v>0</v>
      </c>
      <c r="X32" s="54">
        <v>0</v>
      </c>
      <c r="Y32" s="54">
        <v>0</v>
      </c>
      <c r="Z32" s="54">
        <v>7</v>
      </c>
      <c r="AA32" s="54">
        <v>0</v>
      </c>
      <c r="AB32" s="54">
        <v>10</v>
      </c>
      <c r="AC32" s="54">
        <v>6</v>
      </c>
      <c r="AD32" s="54">
        <v>0</v>
      </c>
      <c r="AE32" s="54">
        <v>0</v>
      </c>
      <c r="AF32" s="54">
        <v>0</v>
      </c>
      <c r="AG32" s="5">
        <f t="shared" si="2"/>
        <v>107</v>
      </c>
    </row>
    <row r="33" spans="1:33" ht="15.75" customHeight="1" x14ac:dyDescent="0.25">
      <c r="A33" s="56" t="s">
        <v>6</v>
      </c>
      <c r="B33" s="54">
        <v>0</v>
      </c>
      <c r="C33" s="54">
        <v>0</v>
      </c>
      <c r="D33" s="54">
        <v>0</v>
      </c>
      <c r="E33" s="54">
        <v>0</v>
      </c>
      <c r="F33" s="54">
        <v>0</v>
      </c>
      <c r="G33" s="54">
        <v>12</v>
      </c>
      <c r="H33" s="54">
        <v>8</v>
      </c>
      <c r="I33" s="54">
        <v>15</v>
      </c>
      <c r="J33" s="54">
        <v>0</v>
      </c>
      <c r="K33" s="54">
        <v>0</v>
      </c>
      <c r="L33" s="54">
        <v>0</v>
      </c>
      <c r="M33" s="54">
        <v>0</v>
      </c>
      <c r="N33" s="54">
        <v>9</v>
      </c>
      <c r="O33" s="54">
        <v>13</v>
      </c>
      <c r="P33" s="54">
        <v>0</v>
      </c>
      <c r="Q33" s="54">
        <v>0</v>
      </c>
      <c r="R33" s="54">
        <v>0</v>
      </c>
      <c r="S33" s="54">
        <v>0</v>
      </c>
      <c r="T33" s="54">
        <v>0</v>
      </c>
      <c r="U33" s="54">
        <v>11</v>
      </c>
      <c r="V33" s="54">
        <v>14</v>
      </c>
      <c r="W33" s="54">
        <v>0</v>
      </c>
      <c r="X33" s="54">
        <v>0</v>
      </c>
      <c r="Y33" s="54">
        <v>0</v>
      </c>
      <c r="Z33" s="54">
        <v>9</v>
      </c>
      <c r="AA33" s="54">
        <v>0</v>
      </c>
      <c r="AB33" s="54">
        <v>21</v>
      </c>
      <c r="AC33" s="54">
        <v>10</v>
      </c>
      <c r="AD33" s="54">
        <v>0</v>
      </c>
      <c r="AE33" s="54">
        <v>0</v>
      </c>
      <c r="AF33" s="54">
        <v>0</v>
      </c>
      <c r="AG33" s="5">
        <f t="shared" si="2"/>
        <v>122</v>
      </c>
    </row>
    <row r="34" spans="1:33" ht="15.75" customHeight="1" x14ac:dyDescent="0.25">
      <c r="A34" s="56" t="s">
        <v>7</v>
      </c>
      <c r="B34" s="54">
        <v>0</v>
      </c>
      <c r="C34" s="54">
        <v>0</v>
      </c>
      <c r="D34" s="54">
        <v>0</v>
      </c>
      <c r="E34" s="54">
        <v>0</v>
      </c>
      <c r="F34" s="54">
        <v>0</v>
      </c>
      <c r="G34" s="54">
        <v>7</v>
      </c>
      <c r="H34" s="54">
        <v>10</v>
      </c>
      <c r="I34" s="54">
        <v>11</v>
      </c>
      <c r="J34" s="54">
        <v>0</v>
      </c>
      <c r="K34" s="54">
        <v>0</v>
      </c>
      <c r="L34" s="54">
        <v>0</v>
      </c>
      <c r="M34" s="54">
        <v>0</v>
      </c>
      <c r="N34" s="54">
        <v>10</v>
      </c>
      <c r="O34" s="54">
        <v>8</v>
      </c>
      <c r="P34" s="54">
        <v>0</v>
      </c>
      <c r="Q34" s="54">
        <v>0</v>
      </c>
      <c r="R34" s="54">
        <v>0</v>
      </c>
      <c r="S34" s="54">
        <v>0</v>
      </c>
      <c r="T34" s="54">
        <v>0</v>
      </c>
      <c r="U34" s="54">
        <v>9</v>
      </c>
      <c r="V34" s="54">
        <v>11</v>
      </c>
      <c r="W34" s="54">
        <v>0</v>
      </c>
      <c r="X34" s="54">
        <v>0</v>
      </c>
      <c r="Y34" s="54">
        <v>0</v>
      </c>
      <c r="Z34" s="54">
        <v>10</v>
      </c>
      <c r="AA34" s="54">
        <v>0</v>
      </c>
      <c r="AB34" s="54">
        <v>10</v>
      </c>
      <c r="AC34" s="54">
        <v>6</v>
      </c>
      <c r="AD34" s="54">
        <v>0</v>
      </c>
      <c r="AE34" s="54">
        <v>0</v>
      </c>
      <c r="AF34" s="54">
        <v>0</v>
      </c>
      <c r="AG34" s="5">
        <f t="shared" si="2"/>
        <v>92</v>
      </c>
    </row>
    <row r="35" spans="1:33" ht="15.75" customHeight="1" x14ac:dyDescent="0.25">
      <c r="A35" s="56" t="s">
        <v>8</v>
      </c>
      <c r="B35" s="54">
        <v>0</v>
      </c>
      <c r="C35" s="54">
        <v>0</v>
      </c>
      <c r="D35" s="54">
        <v>0</v>
      </c>
      <c r="E35" s="54">
        <v>0</v>
      </c>
      <c r="F35" s="54">
        <v>0</v>
      </c>
      <c r="G35" s="54">
        <v>5</v>
      </c>
      <c r="H35" s="54">
        <v>8</v>
      </c>
      <c r="I35" s="54">
        <v>10</v>
      </c>
      <c r="J35" s="54">
        <v>0</v>
      </c>
      <c r="K35" s="54">
        <v>0</v>
      </c>
      <c r="L35" s="54">
        <v>0</v>
      </c>
      <c r="M35" s="54">
        <v>0</v>
      </c>
      <c r="N35" s="54">
        <v>6</v>
      </c>
      <c r="O35" s="54">
        <v>7</v>
      </c>
      <c r="P35" s="54">
        <v>0</v>
      </c>
      <c r="Q35" s="54">
        <v>0</v>
      </c>
      <c r="R35" s="54">
        <v>0</v>
      </c>
      <c r="S35" s="54">
        <v>0</v>
      </c>
      <c r="T35" s="54">
        <v>0</v>
      </c>
      <c r="U35" s="54">
        <v>9</v>
      </c>
      <c r="V35" s="54">
        <v>7</v>
      </c>
      <c r="W35" s="54">
        <v>0</v>
      </c>
      <c r="X35" s="54">
        <v>0</v>
      </c>
      <c r="Y35" s="54">
        <v>0</v>
      </c>
      <c r="Z35" s="54">
        <v>7</v>
      </c>
      <c r="AA35" s="54">
        <v>0</v>
      </c>
      <c r="AB35" s="54">
        <v>10</v>
      </c>
      <c r="AC35" s="54">
        <v>5</v>
      </c>
      <c r="AD35" s="54">
        <v>0</v>
      </c>
      <c r="AE35" s="54">
        <v>0</v>
      </c>
      <c r="AF35" s="54">
        <v>0</v>
      </c>
      <c r="AG35" s="5">
        <f t="shared" si="2"/>
        <v>74</v>
      </c>
    </row>
    <row r="36" spans="1:33" ht="15.75" customHeight="1" x14ac:dyDescent="0.25">
      <c r="A36" s="56" t="s">
        <v>9</v>
      </c>
      <c r="B36" s="54">
        <v>0</v>
      </c>
      <c r="C36" s="54">
        <v>0</v>
      </c>
      <c r="D36" s="54">
        <v>0</v>
      </c>
      <c r="E36" s="54">
        <v>0</v>
      </c>
      <c r="F36" s="54">
        <v>0</v>
      </c>
      <c r="G36" s="54">
        <v>6</v>
      </c>
      <c r="H36" s="54">
        <v>9</v>
      </c>
      <c r="I36" s="54">
        <v>8</v>
      </c>
      <c r="J36" s="54">
        <v>0</v>
      </c>
      <c r="K36" s="54">
        <v>0</v>
      </c>
      <c r="L36" s="54">
        <v>0</v>
      </c>
      <c r="M36" s="54">
        <v>0</v>
      </c>
      <c r="N36" s="54">
        <v>5</v>
      </c>
      <c r="O36" s="54">
        <v>8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6</v>
      </c>
      <c r="V36" s="54">
        <v>6</v>
      </c>
      <c r="W36" s="54">
        <v>0</v>
      </c>
      <c r="X36" s="54">
        <v>0</v>
      </c>
      <c r="Y36" s="54">
        <v>0</v>
      </c>
      <c r="Z36" s="54">
        <v>12</v>
      </c>
      <c r="AA36" s="54">
        <v>0</v>
      </c>
      <c r="AB36" s="54">
        <v>12</v>
      </c>
      <c r="AC36" s="54">
        <v>10</v>
      </c>
      <c r="AD36" s="54">
        <v>0</v>
      </c>
      <c r="AE36" s="54">
        <v>0</v>
      </c>
      <c r="AF36" s="54">
        <v>0</v>
      </c>
      <c r="AG36" s="5">
        <f t="shared" si="2"/>
        <v>82</v>
      </c>
    </row>
    <row r="37" spans="1:33" ht="15.75" customHeight="1" x14ac:dyDescent="0.25">
      <c r="A37" s="56" t="s">
        <v>10</v>
      </c>
      <c r="B37" s="54">
        <v>0</v>
      </c>
      <c r="C37" s="54">
        <v>0</v>
      </c>
      <c r="D37" s="54">
        <v>0</v>
      </c>
      <c r="E37" s="54">
        <v>0</v>
      </c>
      <c r="F37" s="54">
        <v>5</v>
      </c>
      <c r="G37" s="54">
        <v>8</v>
      </c>
      <c r="H37" s="54">
        <v>11</v>
      </c>
      <c r="I37" s="54">
        <v>10</v>
      </c>
      <c r="J37" s="54">
        <v>0</v>
      </c>
      <c r="K37" s="54">
        <v>0</v>
      </c>
      <c r="L37" s="54">
        <v>0</v>
      </c>
      <c r="M37" s="54">
        <v>3</v>
      </c>
      <c r="N37" s="54">
        <v>9</v>
      </c>
      <c r="O37" s="54">
        <v>12</v>
      </c>
      <c r="P37" s="54">
        <v>0</v>
      </c>
      <c r="Q37" s="54">
        <v>0</v>
      </c>
      <c r="R37" s="54">
        <v>0</v>
      </c>
      <c r="S37" s="54">
        <v>0</v>
      </c>
      <c r="T37" s="54">
        <v>1</v>
      </c>
      <c r="U37" s="54">
        <v>9</v>
      </c>
      <c r="V37" s="54">
        <v>13</v>
      </c>
      <c r="W37" s="54">
        <v>0</v>
      </c>
      <c r="X37" s="54">
        <v>0</v>
      </c>
      <c r="Y37" s="54">
        <v>0</v>
      </c>
      <c r="Z37" s="54">
        <v>14</v>
      </c>
      <c r="AA37" s="54">
        <v>6</v>
      </c>
      <c r="AB37" s="54">
        <v>9</v>
      </c>
      <c r="AC37" s="54">
        <v>6</v>
      </c>
      <c r="AD37" s="54">
        <v>0</v>
      </c>
      <c r="AE37" s="54">
        <v>0</v>
      </c>
      <c r="AF37" s="54">
        <v>0</v>
      </c>
      <c r="AG37" s="5">
        <f t="shared" si="2"/>
        <v>116</v>
      </c>
    </row>
    <row r="38" spans="1:33" ht="15.75" customHeight="1" x14ac:dyDescent="0.25">
      <c r="A38" s="56" t="s">
        <v>11</v>
      </c>
      <c r="B38" s="54">
        <v>7</v>
      </c>
      <c r="C38" s="54">
        <v>11</v>
      </c>
      <c r="D38" s="54">
        <v>12</v>
      </c>
      <c r="E38" s="54">
        <v>8</v>
      </c>
      <c r="F38" s="54">
        <v>18</v>
      </c>
      <c r="G38" s="54">
        <v>15</v>
      </c>
      <c r="H38" s="54">
        <v>13</v>
      </c>
      <c r="I38" s="54">
        <v>19</v>
      </c>
      <c r="J38" s="54">
        <v>9</v>
      </c>
      <c r="K38" s="54">
        <v>7</v>
      </c>
      <c r="L38" s="54">
        <v>0</v>
      </c>
      <c r="M38" s="54">
        <v>23</v>
      </c>
      <c r="N38" s="54">
        <v>9</v>
      </c>
      <c r="O38" s="54">
        <v>15</v>
      </c>
      <c r="P38" s="54">
        <v>8</v>
      </c>
      <c r="Q38" s="54">
        <v>6</v>
      </c>
      <c r="R38" s="54">
        <v>5</v>
      </c>
      <c r="S38" s="54">
        <v>3</v>
      </c>
      <c r="T38" s="54">
        <v>17</v>
      </c>
      <c r="U38" s="54">
        <v>20</v>
      </c>
      <c r="V38" s="54">
        <v>15</v>
      </c>
      <c r="W38" s="54">
        <v>8</v>
      </c>
      <c r="X38" s="54">
        <v>0</v>
      </c>
      <c r="Y38" s="54">
        <v>11</v>
      </c>
      <c r="Z38" s="54">
        <v>8</v>
      </c>
      <c r="AA38" s="54">
        <v>8</v>
      </c>
      <c r="AB38" s="54">
        <v>8</v>
      </c>
      <c r="AC38" s="54">
        <v>12</v>
      </c>
      <c r="AD38" s="54">
        <v>5</v>
      </c>
      <c r="AE38" s="54">
        <v>9</v>
      </c>
      <c r="AF38" s="54">
        <v>15</v>
      </c>
      <c r="AG38" s="5">
        <f t="shared" si="2"/>
        <v>324</v>
      </c>
    </row>
    <row r="39" spans="1:33" ht="15.75" customHeight="1" x14ac:dyDescent="0.25">
      <c r="A39" s="56" t="s">
        <v>12</v>
      </c>
      <c r="B39" s="54">
        <v>14</v>
      </c>
      <c r="C39" s="54">
        <v>12</v>
      </c>
      <c r="D39" s="54">
        <v>17</v>
      </c>
      <c r="E39" s="54">
        <v>13</v>
      </c>
      <c r="F39" s="54">
        <v>12</v>
      </c>
      <c r="G39" s="54">
        <v>11</v>
      </c>
      <c r="H39" s="54">
        <v>12</v>
      </c>
      <c r="I39" s="54">
        <v>17</v>
      </c>
      <c r="J39" s="54">
        <v>15</v>
      </c>
      <c r="K39" s="54">
        <v>17</v>
      </c>
      <c r="L39" s="54">
        <v>18</v>
      </c>
      <c r="M39" s="54">
        <v>14</v>
      </c>
      <c r="N39" s="54">
        <v>18</v>
      </c>
      <c r="O39" s="54">
        <v>8</v>
      </c>
      <c r="P39" s="54">
        <v>14</v>
      </c>
      <c r="Q39" s="54">
        <v>24</v>
      </c>
      <c r="R39" s="54">
        <v>24</v>
      </c>
      <c r="S39" s="54">
        <v>19</v>
      </c>
      <c r="T39" s="54">
        <v>23</v>
      </c>
      <c r="U39" s="54">
        <v>16</v>
      </c>
      <c r="V39" s="54">
        <v>11</v>
      </c>
      <c r="W39" s="54">
        <v>19</v>
      </c>
      <c r="X39" s="54">
        <v>26</v>
      </c>
      <c r="Y39" s="54">
        <v>12</v>
      </c>
      <c r="Z39" s="54">
        <v>13</v>
      </c>
      <c r="AA39" s="54">
        <v>16</v>
      </c>
      <c r="AB39" s="54">
        <v>12</v>
      </c>
      <c r="AC39" s="54">
        <v>11</v>
      </c>
      <c r="AD39" s="54">
        <v>17</v>
      </c>
      <c r="AE39" s="54">
        <v>16</v>
      </c>
      <c r="AF39" s="54">
        <v>18</v>
      </c>
      <c r="AG39" s="5">
        <f t="shared" si="2"/>
        <v>489</v>
      </c>
    </row>
    <row r="40" spans="1:33" ht="15.75" customHeight="1" x14ac:dyDescent="0.25">
      <c r="A40" s="56" t="s">
        <v>13</v>
      </c>
      <c r="B40" s="54">
        <v>17</v>
      </c>
      <c r="C40" s="54">
        <v>22</v>
      </c>
      <c r="D40" s="54">
        <v>24</v>
      </c>
      <c r="E40" s="54">
        <v>23</v>
      </c>
      <c r="F40" s="54">
        <v>18</v>
      </c>
      <c r="G40" s="54">
        <v>10</v>
      </c>
      <c r="H40" s="54">
        <v>11</v>
      </c>
      <c r="I40" s="54">
        <v>14</v>
      </c>
      <c r="J40" s="54">
        <v>28</v>
      </c>
      <c r="K40" s="54">
        <v>19</v>
      </c>
      <c r="L40" s="54">
        <v>24</v>
      </c>
      <c r="M40" s="54">
        <v>15</v>
      </c>
      <c r="N40" s="54">
        <v>13</v>
      </c>
      <c r="O40" s="54">
        <v>9</v>
      </c>
      <c r="P40" s="54">
        <v>26</v>
      </c>
      <c r="Q40" s="54">
        <v>19</v>
      </c>
      <c r="R40" s="54">
        <v>28</v>
      </c>
      <c r="S40" s="54">
        <v>29</v>
      </c>
      <c r="T40" s="54">
        <v>11</v>
      </c>
      <c r="U40" s="54">
        <v>12</v>
      </c>
      <c r="V40" s="54">
        <v>17</v>
      </c>
      <c r="W40" s="54">
        <v>9</v>
      </c>
      <c r="X40" s="54">
        <v>19</v>
      </c>
      <c r="Y40" s="54">
        <v>5</v>
      </c>
      <c r="Z40" s="54">
        <v>7</v>
      </c>
      <c r="AA40" s="54">
        <v>18</v>
      </c>
      <c r="AB40" s="54">
        <v>12</v>
      </c>
      <c r="AC40" s="54">
        <v>14</v>
      </c>
      <c r="AD40" s="54">
        <v>23</v>
      </c>
      <c r="AE40" s="54">
        <v>19</v>
      </c>
      <c r="AF40" s="54">
        <v>12</v>
      </c>
      <c r="AG40" s="5">
        <f t="shared" si="2"/>
        <v>527</v>
      </c>
    </row>
    <row r="41" spans="1:33" ht="15.75" customHeight="1" x14ac:dyDescent="0.25">
      <c r="A41" s="56" t="s">
        <v>14</v>
      </c>
      <c r="B41" s="54">
        <v>17</v>
      </c>
      <c r="C41" s="54">
        <v>18</v>
      </c>
      <c r="D41" s="54">
        <v>25</v>
      </c>
      <c r="E41" s="54">
        <v>23</v>
      </c>
      <c r="F41" s="54">
        <v>16</v>
      </c>
      <c r="G41" s="54">
        <v>6</v>
      </c>
      <c r="H41" s="54">
        <v>9</v>
      </c>
      <c r="I41" s="54">
        <v>11</v>
      </c>
      <c r="J41" s="54">
        <v>13</v>
      </c>
      <c r="K41" s="54">
        <v>22</v>
      </c>
      <c r="L41" s="54">
        <v>13</v>
      </c>
      <c r="M41" s="54">
        <v>22</v>
      </c>
      <c r="N41" s="54">
        <v>12</v>
      </c>
      <c r="O41" s="54">
        <v>13</v>
      </c>
      <c r="P41" s="54">
        <v>19</v>
      </c>
      <c r="Q41" s="54">
        <v>11</v>
      </c>
      <c r="R41" s="54">
        <v>16</v>
      </c>
      <c r="S41" s="54">
        <v>14</v>
      </c>
      <c r="T41" s="54">
        <v>21</v>
      </c>
      <c r="U41" s="54">
        <v>12</v>
      </c>
      <c r="V41" s="54">
        <v>15</v>
      </c>
      <c r="W41" s="54">
        <v>16</v>
      </c>
      <c r="X41" s="54">
        <v>15</v>
      </c>
      <c r="Y41" s="54">
        <v>4</v>
      </c>
      <c r="Z41" s="54">
        <v>6</v>
      </c>
      <c r="AA41" s="54">
        <v>20</v>
      </c>
      <c r="AB41" s="54">
        <v>18</v>
      </c>
      <c r="AC41" s="54">
        <v>8</v>
      </c>
      <c r="AD41" s="54">
        <v>17</v>
      </c>
      <c r="AE41" s="54">
        <v>23</v>
      </c>
      <c r="AF41" s="54">
        <v>1</v>
      </c>
      <c r="AG41" s="5">
        <f t="shared" si="2"/>
        <v>456</v>
      </c>
    </row>
    <row r="42" spans="1:33" ht="15.75" customHeight="1" x14ac:dyDescent="0.25">
      <c r="A42" s="56" t="s">
        <v>15</v>
      </c>
      <c r="B42" s="54">
        <v>20</v>
      </c>
      <c r="C42" s="54">
        <v>15</v>
      </c>
      <c r="D42" s="54">
        <v>15</v>
      </c>
      <c r="E42" s="54">
        <v>9</v>
      </c>
      <c r="F42" s="54">
        <v>12</v>
      </c>
      <c r="G42" s="54">
        <v>13</v>
      </c>
      <c r="H42" s="54">
        <v>9</v>
      </c>
      <c r="I42" s="54">
        <v>9</v>
      </c>
      <c r="J42" s="54">
        <v>15</v>
      </c>
      <c r="K42" s="54">
        <v>12</v>
      </c>
      <c r="L42" s="54">
        <v>14</v>
      </c>
      <c r="M42" s="54">
        <v>16</v>
      </c>
      <c r="N42" s="54">
        <v>17</v>
      </c>
      <c r="O42" s="54">
        <v>7</v>
      </c>
      <c r="P42" s="54">
        <v>23</v>
      </c>
      <c r="Q42" s="54">
        <v>11</v>
      </c>
      <c r="R42" s="54">
        <v>13</v>
      </c>
      <c r="S42" s="54">
        <v>13</v>
      </c>
      <c r="T42" s="54">
        <v>15</v>
      </c>
      <c r="U42" s="54">
        <v>15</v>
      </c>
      <c r="V42" s="54">
        <v>10</v>
      </c>
      <c r="W42" s="54">
        <v>11</v>
      </c>
      <c r="X42" s="54">
        <v>12</v>
      </c>
      <c r="Y42" s="54">
        <v>1</v>
      </c>
      <c r="Z42" s="54">
        <v>5</v>
      </c>
      <c r="AA42" s="54">
        <v>13</v>
      </c>
      <c r="AB42" s="54">
        <v>10</v>
      </c>
      <c r="AC42" s="54">
        <v>4</v>
      </c>
      <c r="AD42" s="54">
        <v>17</v>
      </c>
      <c r="AE42" s="54">
        <v>19</v>
      </c>
      <c r="AF42" s="54">
        <v>4</v>
      </c>
      <c r="AG42" s="5">
        <f t="shared" si="2"/>
        <v>379</v>
      </c>
    </row>
    <row r="43" spans="1:33" ht="15.75" customHeight="1" x14ac:dyDescent="0.25">
      <c r="A43" s="56" t="s">
        <v>16</v>
      </c>
      <c r="B43" s="54">
        <v>6</v>
      </c>
      <c r="C43" s="54">
        <v>17</v>
      </c>
      <c r="D43" s="54">
        <v>13</v>
      </c>
      <c r="E43" s="54">
        <v>13</v>
      </c>
      <c r="F43" s="54">
        <v>9</v>
      </c>
      <c r="G43" s="54">
        <v>8</v>
      </c>
      <c r="H43" s="54">
        <v>8</v>
      </c>
      <c r="I43" s="54">
        <v>12</v>
      </c>
      <c r="J43" s="54">
        <v>16</v>
      </c>
      <c r="K43" s="54">
        <v>14</v>
      </c>
      <c r="L43" s="54">
        <v>10</v>
      </c>
      <c r="M43" s="54">
        <v>6</v>
      </c>
      <c r="N43" s="54">
        <v>8</v>
      </c>
      <c r="O43" s="54">
        <v>5</v>
      </c>
      <c r="P43" s="54">
        <v>17</v>
      </c>
      <c r="Q43" s="54">
        <v>16</v>
      </c>
      <c r="R43" s="54">
        <v>12</v>
      </c>
      <c r="S43" s="54">
        <v>11</v>
      </c>
      <c r="T43" s="54">
        <v>10</v>
      </c>
      <c r="U43" s="54">
        <v>10</v>
      </c>
      <c r="V43" s="54">
        <v>9</v>
      </c>
      <c r="W43" s="54">
        <v>12</v>
      </c>
      <c r="X43" s="54">
        <v>10</v>
      </c>
      <c r="Y43" s="54">
        <v>1</v>
      </c>
      <c r="Z43" s="54">
        <v>6</v>
      </c>
      <c r="AA43" s="54">
        <v>10</v>
      </c>
      <c r="AB43" s="54">
        <v>9</v>
      </c>
      <c r="AC43" s="54">
        <v>8</v>
      </c>
      <c r="AD43" s="54">
        <v>5</v>
      </c>
      <c r="AE43" s="54">
        <v>8</v>
      </c>
      <c r="AF43" s="54">
        <v>1</v>
      </c>
      <c r="AG43" s="5">
        <f t="shared" si="2"/>
        <v>300</v>
      </c>
    </row>
    <row r="44" spans="1:33" ht="15.75" customHeight="1" x14ac:dyDescent="0.25">
      <c r="A44" s="56" t="s">
        <v>17</v>
      </c>
      <c r="B44" s="54">
        <v>6</v>
      </c>
      <c r="C44" s="54">
        <v>8</v>
      </c>
      <c r="D44" s="54">
        <v>6</v>
      </c>
      <c r="E44" s="54">
        <v>6</v>
      </c>
      <c r="F44" s="54">
        <v>6</v>
      </c>
      <c r="G44" s="54">
        <v>6</v>
      </c>
      <c r="H44" s="54">
        <v>9</v>
      </c>
      <c r="I44" s="54">
        <v>17</v>
      </c>
      <c r="J44" s="54">
        <v>13</v>
      </c>
      <c r="K44" s="54">
        <v>6</v>
      </c>
      <c r="L44" s="54">
        <v>6</v>
      </c>
      <c r="M44" s="54">
        <v>5</v>
      </c>
      <c r="N44" s="54">
        <v>14</v>
      </c>
      <c r="O44" s="54">
        <v>5</v>
      </c>
      <c r="P44" s="54">
        <v>8</v>
      </c>
      <c r="Q44" s="54">
        <v>11</v>
      </c>
      <c r="R44" s="54">
        <v>3</v>
      </c>
      <c r="S44" s="54">
        <v>7</v>
      </c>
      <c r="T44" s="54">
        <v>5</v>
      </c>
      <c r="U44" s="54">
        <v>2</v>
      </c>
      <c r="V44" s="54">
        <v>9</v>
      </c>
      <c r="W44" s="54">
        <v>7</v>
      </c>
      <c r="X44" s="54">
        <v>10</v>
      </c>
      <c r="Y44" s="54">
        <v>3</v>
      </c>
      <c r="Z44" s="54">
        <v>6</v>
      </c>
      <c r="AA44" s="54">
        <v>7</v>
      </c>
      <c r="AB44" s="54">
        <v>5</v>
      </c>
      <c r="AC44" s="54">
        <v>6</v>
      </c>
      <c r="AD44" s="54">
        <v>4</v>
      </c>
      <c r="AE44" s="54">
        <v>8</v>
      </c>
      <c r="AF44" s="54">
        <v>1</v>
      </c>
      <c r="AG44" s="5">
        <f t="shared" si="2"/>
        <v>215</v>
      </c>
    </row>
    <row r="45" spans="1:33" ht="15.75" customHeight="1" x14ac:dyDescent="0.25">
      <c r="A45" s="56" t="s">
        <v>18</v>
      </c>
      <c r="B45" s="54">
        <v>13</v>
      </c>
      <c r="C45" s="54">
        <v>4</v>
      </c>
      <c r="D45" s="54">
        <v>5</v>
      </c>
      <c r="E45" s="54">
        <v>5</v>
      </c>
      <c r="F45" s="54">
        <v>3</v>
      </c>
      <c r="G45" s="54">
        <v>2</v>
      </c>
      <c r="H45" s="54">
        <v>5</v>
      </c>
      <c r="I45" s="54">
        <v>4</v>
      </c>
      <c r="J45" s="54">
        <v>9</v>
      </c>
      <c r="K45" s="54">
        <v>10</v>
      </c>
      <c r="L45" s="54">
        <v>9</v>
      </c>
      <c r="M45" s="54">
        <v>10</v>
      </c>
      <c r="N45" s="54">
        <v>9</v>
      </c>
      <c r="O45" s="54">
        <v>9</v>
      </c>
      <c r="P45" s="54">
        <v>3</v>
      </c>
      <c r="Q45" s="54">
        <v>10</v>
      </c>
      <c r="R45" s="54">
        <v>10</v>
      </c>
      <c r="S45" s="54">
        <v>4</v>
      </c>
      <c r="T45" s="54">
        <v>11</v>
      </c>
      <c r="U45" s="54">
        <v>8</v>
      </c>
      <c r="V45" s="54">
        <v>9</v>
      </c>
      <c r="W45" s="54">
        <v>8</v>
      </c>
      <c r="X45" s="54">
        <v>5</v>
      </c>
      <c r="Y45" s="54">
        <v>5</v>
      </c>
      <c r="Z45" s="54">
        <v>5</v>
      </c>
      <c r="AA45" s="54">
        <v>8</v>
      </c>
      <c r="AB45" s="54">
        <v>5</v>
      </c>
      <c r="AC45" s="54">
        <v>1</v>
      </c>
      <c r="AD45" s="54">
        <v>14</v>
      </c>
      <c r="AE45" s="54">
        <v>8</v>
      </c>
      <c r="AF45" s="54">
        <v>1</v>
      </c>
      <c r="AG45" s="5">
        <f t="shared" si="2"/>
        <v>212</v>
      </c>
    </row>
    <row r="46" spans="1:33" ht="15.75" customHeight="1" x14ac:dyDescent="0.25">
      <c r="A46" s="56" t="s">
        <v>19</v>
      </c>
      <c r="B46" s="54">
        <v>18</v>
      </c>
      <c r="C46" s="54">
        <v>7</v>
      </c>
      <c r="D46" s="54">
        <v>1</v>
      </c>
      <c r="E46" s="54">
        <v>7</v>
      </c>
      <c r="F46" s="54">
        <v>13</v>
      </c>
      <c r="G46" s="54">
        <v>1</v>
      </c>
      <c r="H46" s="54">
        <v>2</v>
      </c>
      <c r="I46" s="54">
        <v>5</v>
      </c>
      <c r="J46" s="54">
        <v>6</v>
      </c>
      <c r="K46" s="54">
        <v>7</v>
      </c>
      <c r="L46" s="54">
        <v>8</v>
      </c>
      <c r="M46" s="54">
        <v>3</v>
      </c>
      <c r="N46" s="54">
        <v>3</v>
      </c>
      <c r="O46" s="54">
        <v>7</v>
      </c>
      <c r="P46" s="54">
        <v>2</v>
      </c>
      <c r="Q46" s="54">
        <v>11</v>
      </c>
      <c r="R46" s="54">
        <v>4</v>
      </c>
      <c r="S46" s="54">
        <v>14</v>
      </c>
      <c r="T46" s="54">
        <v>2</v>
      </c>
      <c r="U46" s="54">
        <v>8</v>
      </c>
      <c r="V46" s="54">
        <v>0</v>
      </c>
      <c r="W46" s="54">
        <v>12</v>
      </c>
      <c r="X46" s="54">
        <v>0</v>
      </c>
      <c r="Y46" s="54">
        <v>4</v>
      </c>
      <c r="Z46" s="54">
        <v>1</v>
      </c>
      <c r="AA46" s="54">
        <v>8</v>
      </c>
      <c r="AB46" s="54">
        <v>4</v>
      </c>
      <c r="AC46" s="54">
        <v>4</v>
      </c>
      <c r="AD46" s="54">
        <v>13</v>
      </c>
      <c r="AE46" s="54">
        <v>0</v>
      </c>
      <c r="AF46" s="54">
        <v>6</v>
      </c>
      <c r="AG46" s="5">
        <f t="shared" si="2"/>
        <v>181</v>
      </c>
    </row>
    <row r="47" spans="1:33" ht="15.75" customHeight="1" x14ac:dyDescent="0.25">
      <c r="A47" s="56" t="s">
        <v>20</v>
      </c>
      <c r="B47" s="54">
        <v>14</v>
      </c>
      <c r="C47" s="54">
        <v>8</v>
      </c>
      <c r="D47" s="54">
        <v>0</v>
      </c>
      <c r="E47" s="54">
        <v>4</v>
      </c>
      <c r="F47" s="54">
        <v>3</v>
      </c>
      <c r="G47" s="54">
        <v>7</v>
      </c>
      <c r="H47" s="54">
        <v>3</v>
      </c>
      <c r="I47" s="54">
        <v>2</v>
      </c>
      <c r="J47" s="54">
        <v>2</v>
      </c>
      <c r="K47" s="54">
        <v>3</v>
      </c>
      <c r="L47" s="54">
        <v>10</v>
      </c>
      <c r="M47" s="54">
        <v>4</v>
      </c>
      <c r="N47" s="54">
        <v>5</v>
      </c>
      <c r="O47" s="54">
        <v>4</v>
      </c>
      <c r="P47" s="54">
        <v>2</v>
      </c>
      <c r="Q47" s="54">
        <v>4</v>
      </c>
      <c r="R47" s="54">
        <v>1</v>
      </c>
      <c r="S47" s="54">
        <v>2</v>
      </c>
      <c r="T47" s="54">
        <v>4</v>
      </c>
      <c r="U47" s="54">
        <v>6</v>
      </c>
      <c r="V47" s="54">
        <v>4</v>
      </c>
      <c r="W47" s="54">
        <v>6</v>
      </c>
      <c r="X47" s="54">
        <v>4</v>
      </c>
      <c r="Y47" s="54">
        <v>3</v>
      </c>
      <c r="Z47" s="54">
        <v>0</v>
      </c>
      <c r="AA47" s="54">
        <v>6</v>
      </c>
      <c r="AB47" s="54">
        <v>2</v>
      </c>
      <c r="AC47" s="54">
        <v>5</v>
      </c>
      <c r="AD47" s="54">
        <v>9</v>
      </c>
      <c r="AE47" s="54">
        <v>3</v>
      </c>
      <c r="AF47" s="54">
        <v>12</v>
      </c>
      <c r="AG47" s="5">
        <f t="shared" si="2"/>
        <v>142</v>
      </c>
    </row>
    <row r="48" spans="1:33" ht="15.75" customHeight="1" x14ac:dyDescent="0.25">
      <c r="A48" s="56" t="s">
        <v>21</v>
      </c>
      <c r="B48" s="54">
        <v>4</v>
      </c>
      <c r="C48" s="54">
        <v>10</v>
      </c>
      <c r="D48" s="54">
        <v>1</v>
      </c>
      <c r="E48" s="54">
        <v>2</v>
      </c>
      <c r="F48" s="54">
        <v>3</v>
      </c>
      <c r="G48" s="54">
        <v>5</v>
      </c>
      <c r="H48" s="54">
        <v>2</v>
      </c>
      <c r="I48" s="54">
        <v>1</v>
      </c>
      <c r="J48" s="54">
        <v>3</v>
      </c>
      <c r="K48" s="54">
        <v>1</v>
      </c>
      <c r="L48" s="54">
        <v>1</v>
      </c>
      <c r="M48" s="54">
        <v>4</v>
      </c>
      <c r="N48" s="54">
        <v>2</v>
      </c>
      <c r="O48" s="54">
        <v>0</v>
      </c>
      <c r="P48" s="54">
        <v>1</v>
      </c>
      <c r="Q48" s="54">
        <v>6</v>
      </c>
      <c r="R48" s="54">
        <v>2</v>
      </c>
      <c r="S48" s="54">
        <v>0</v>
      </c>
      <c r="T48" s="54">
        <v>6</v>
      </c>
      <c r="U48" s="54">
        <v>1</v>
      </c>
      <c r="V48" s="54">
        <v>5</v>
      </c>
      <c r="W48" s="54">
        <v>2</v>
      </c>
      <c r="X48" s="54">
        <v>4</v>
      </c>
      <c r="Y48" s="54">
        <v>29</v>
      </c>
      <c r="Z48" s="54">
        <v>0</v>
      </c>
      <c r="AA48" s="54">
        <v>2</v>
      </c>
      <c r="AB48" s="54">
        <v>5</v>
      </c>
      <c r="AC48" s="54">
        <v>1</v>
      </c>
      <c r="AD48" s="54">
        <v>1</v>
      </c>
      <c r="AE48" s="54">
        <v>5</v>
      </c>
      <c r="AF48" s="54">
        <v>0</v>
      </c>
      <c r="AG48" s="5">
        <f t="shared" si="2"/>
        <v>109</v>
      </c>
    </row>
    <row r="49" spans="1:33" ht="15.75" customHeight="1" x14ac:dyDescent="0.25">
      <c r="A49" s="56" t="s">
        <v>22</v>
      </c>
      <c r="B49" s="54">
        <v>0</v>
      </c>
      <c r="C49" s="54">
        <v>5</v>
      </c>
      <c r="D49" s="54">
        <v>5</v>
      </c>
      <c r="E49" s="54">
        <v>7</v>
      </c>
      <c r="F49" s="54">
        <v>4</v>
      </c>
      <c r="G49" s="54">
        <v>3</v>
      </c>
      <c r="H49" s="54">
        <v>1</v>
      </c>
      <c r="I49" s="54">
        <v>4</v>
      </c>
      <c r="J49" s="54">
        <v>1</v>
      </c>
      <c r="K49" s="54">
        <v>2</v>
      </c>
      <c r="L49" s="54">
        <v>2</v>
      </c>
      <c r="M49" s="54">
        <v>2</v>
      </c>
      <c r="N49" s="54">
        <v>0</v>
      </c>
      <c r="O49" s="54">
        <v>2</v>
      </c>
      <c r="P49" s="54">
        <v>0</v>
      </c>
      <c r="Q49" s="54">
        <v>1</v>
      </c>
      <c r="R49" s="54">
        <v>0</v>
      </c>
      <c r="S49" s="54">
        <v>1</v>
      </c>
      <c r="T49" s="54">
        <v>1</v>
      </c>
      <c r="U49" s="54">
        <v>3</v>
      </c>
      <c r="V49" s="54">
        <v>1</v>
      </c>
      <c r="W49" s="54">
        <v>1</v>
      </c>
      <c r="X49" s="54">
        <v>2</v>
      </c>
      <c r="Y49" s="54">
        <v>1</v>
      </c>
      <c r="Z49" s="54">
        <v>1</v>
      </c>
      <c r="AA49" s="54">
        <v>1</v>
      </c>
      <c r="AB49" s="54">
        <v>1</v>
      </c>
      <c r="AC49" s="54">
        <v>2</v>
      </c>
      <c r="AD49" s="54">
        <v>2</v>
      </c>
      <c r="AE49" s="54">
        <v>7</v>
      </c>
      <c r="AF49" s="54">
        <v>0</v>
      </c>
      <c r="AG49" s="5">
        <f t="shared" si="2"/>
        <v>63</v>
      </c>
    </row>
    <row r="50" spans="1:33" ht="15.75" customHeight="1" x14ac:dyDescent="0.25">
      <c r="A50" s="56" t="s">
        <v>23</v>
      </c>
      <c r="B50" s="54">
        <v>1</v>
      </c>
      <c r="C50" s="54">
        <v>1</v>
      </c>
      <c r="D50" s="54">
        <v>1</v>
      </c>
      <c r="E50" s="54">
        <v>0</v>
      </c>
      <c r="F50" s="54">
        <v>1</v>
      </c>
      <c r="G50" s="54">
        <v>3</v>
      </c>
      <c r="H50" s="54">
        <v>0</v>
      </c>
      <c r="I50" s="54">
        <v>0</v>
      </c>
      <c r="J50" s="54">
        <v>2</v>
      </c>
      <c r="K50" s="54">
        <v>0</v>
      </c>
      <c r="L50" s="54">
        <v>2</v>
      </c>
      <c r="M50" s="54">
        <v>1</v>
      </c>
      <c r="N50" s="54">
        <v>1</v>
      </c>
      <c r="O50" s="54">
        <v>0</v>
      </c>
      <c r="P50" s="54">
        <v>0</v>
      </c>
      <c r="Q50" s="54">
        <v>1</v>
      </c>
      <c r="R50" s="54">
        <v>2</v>
      </c>
      <c r="S50" s="54">
        <v>2</v>
      </c>
      <c r="T50" s="54">
        <v>1</v>
      </c>
      <c r="U50" s="54">
        <v>2</v>
      </c>
      <c r="V50" s="54">
        <v>4</v>
      </c>
      <c r="W50" s="54">
        <v>0</v>
      </c>
      <c r="X50" s="54">
        <v>0</v>
      </c>
      <c r="Y50" s="54">
        <v>0</v>
      </c>
      <c r="Z50" s="54">
        <v>1</v>
      </c>
      <c r="AA50" s="54">
        <v>1</v>
      </c>
      <c r="AB50" s="54">
        <v>2</v>
      </c>
      <c r="AC50" s="54">
        <v>3</v>
      </c>
      <c r="AD50" s="54">
        <v>1</v>
      </c>
      <c r="AE50" s="54">
        <v>3</v>
      </c>
      <c r="AF50" s="54">
        <v>0</v>
      </c>
      <c r="AG50" s="5">
        <f t="shared" si="2"/>
        <v>36</v>
      </c>
    </row>
    <row r="51" spans="1:33" ht="15.75" customHeight="1" x14ac:dyDescent="0.25">
      <c r="A51" s="56" t="s">
        <v>24</v>
      </c>
      <c r="B51" s="54">
        <v>0</v>
      </c>
      <c r="C51" s="54">
        <v>1</v>
      </c>
      <c r="D51" s="54">
        <v>0</v>
      </c>
      <c r="E51" s="54">
        <v>0</v>
      </c>
      <c r="F51" s="54">
        <v>2</v>
      </c>
      <c r="G51" s="54">
        <v>0</v>
      </c>
      <c r="H51" s="54">
        <v>0</v>
      </c>
      <c r="I51" s="54">
        <v>1</v>
      </c>
      <c r="J51" s="54">
        <v>0</v>
      </c>
      <c r="K51" s="54">
        <v>2</v>
      </c>
      <c r="L51" s="54">
        <v>3</v>
      </c>
      <c r="M51" s="54">
        <v>1</v>
      </c>
      <c r="N51" s="54">
        <v>1</v>
      </c>
      <c r="O51" s="54">
        <v>3</v>
      </c>
      <c r="P51" s="54">
        <v>3</v>
      </c>
      <c r="Q51" s="54">
        <v>3</v>
      </c>
      <c r="R51" s="54">
        <v>2</v>
      </c>
      <c r="S51" s="54">
        <v>0</v>
      </c>
      <c r="T51" s="54">
        <v>5</v>
      </c>
      <c r="U51" s="54">
        <v>0</v>
      </c>
      <c r="V51" s="54">
        <v>6</v>
      </c>
      <c r="W51" s="54">
        <v>2</v>
      </c>
      <c r="X51" s="54">
        <v>3</v>
      </c>
      <c r="Y51" s="54">
        <v>0</v>
      </c>
      <c r="Z51" s="54">
        <v>1</v>
      </c>
      <c r="AA51" s="54">
        <v>0</v>
      </c>
      <c r="AB51" s="54">
        <v>1</v>
      </c>
      <c r="AC51" s="54">
        <v>1</v>
      </c>
      <c r="AD51" s="54">
        <v>1</v>
      </c>
      <c r="AE51" s="54">
        <v>2</v>
      </c>
      <c r="AF51" s="54">
        <v>0</v>
      </c>
      <c r="AG51" s="5">
        <f t="shared" si="2"/>
        <v>44</v>
      </c>
    </row>
    <row r="52" spans="1:33" ht="15.75" customHeight="1" thickBot="1" x14ac:dyDescent="0.3">
      <c r="A52" s="57" t="s">
        <v>25</v>
      </c>
      <c r="B52" s="58">
        <v>4</v>
      </c>
      <c r="C52" s="58">
        <v>0</v>
      </c>
      <c r="D52" s="58">
        <v>2</v>
      </c>
      <c r="E52" s="58">
        <v>0</v>
      </c>
      <c r="F52" s="58">
        <v>4</v>
      </c>
      <c r="G52" s="58">
        <v>4</v>
      </c>
      <c r="H52" s="58">
        <v>3</v>
      </c>
      <c r="I52" s="58">
        <v>2</v>
      </c>
      <c r="J52" s="58">
        <v>3</v>
      </c>
      <c r="K52" s="58">
        <v>0</v>
      </c>
      <c r="L52" s="58">
        <v>4</v>
      </c>
      <c r="M52" s="58">
        <v>0</v>
      </c>
      <c r="N52" s="58">
        <v>2</v>
      </c>
      <c r="O52" s="58">
        <v>4</v>
      </c>
      <c r="P52" s="58">
        <v>1</v>
      </c>
      <c r="Q52" s="58">
        <v>0</v>
      </c>
      <c r="R52" s="58">
        <v>0</v>
      </c>
      <c r="S52" s="58">
        <v>1</v>
      </c>
      <c r="T52" s="58">
        <v>0</v>
      </c>
      <c r="U52" s="58">
        <v>1</v>
      </c>
      <c r="V52" s="58">
        <v>6</v>
      </c>
      <c r="W52" s="58">
        <v>0</v>
      </c>
      <c r="X52" s="58">
        <v>5</v>
      </c>
      <c r="Y52" s="58">
        <v>0</v>
      </c>
      <c r="Z52" s="58">
        <v>0</v>
      </c>
      <c r="AA52" s="58">
        <v>4</v>
      </c>
      <c r="AB52" s="58">
        <v>2</v>
      </c>
      <c r="AC52" s="58">
        <v>3</v>
      </c>
      <c r="AD52" s="60">
        <v>0</v>
      </c>
      <c r="AE52" s="60">
        <v>4</v>
      </c>
      <c r="AF52" s="60">
        <v>28</v>
      </c>
      <c r="AG52" s="9">
        <f t="shared" si="2"/>
        <v>87</v>
      </c>
    </row>
    <row r="53" spans="1:33" ht="15.75" customHeight="1" thickBot="1" x14ac:dyDescent="0.3">
      <c r="A53" s="52" t="s">
        <v>27</v>
      </c>
      <c r="B53" s="1">
        <f t="shared" ref="B53:AF53" si="4">SUM(B54:B77)</f>
        <v>14</v>
      </c>
      <c r="C53" s="1">
        <f t="shared" si="4"/>
        <v>18</v>
      </c>
      <c r="D53" s="1">
        <f t="shared" si="4"/>
        <v>11</v>
      </c>
      <c r="E53" s="1">
        <f t="shared" si="4"/>
        <v>5</v>
      </c>
      <c r="F53" s="1">
        <f t="shared" si="4"/>
        <v>2</v>
      </c>
      <c r="G53" s="1">
        <f t="shared" si="4"/>
        <v>1</v>
      </c>
      <c r="H53" s="1">
        <f t="shared" si="4"/>
        <v>1</v>
      </c>
      <c r="I53" s="1">
        <f t="shared" si="4"/>
        <v>2</v>
      </c>
      <c r="J53" s="1">
        <f t="shared" si="4"/>
        <v>13</v>
      </c>
      <c r="K53" s="1">
        <f t="shared" si="4"/>
        <v>5</v>
      </c>
      <c r="L53" s="1">
        <f t="shared" si="4"/>
        <v>1</v>
      </c>
      <c r="M53" s="1">
        <f t="shared" si="4"/>
        <v>7</v>
      </c>
      <c r="N53" s="1">
        <f t="shared" si="4"/>
        <v>10</v>
      </c>
      <c r="O53" s="1">
        <f t="shared" si="4"/>
        <v>4</v>
      </c>
      <c r="P53" s="1">
        <f t="shared" si="4"/>
        <v>9</v>
      </c>
      <c r="Q53" s="1">
        <f t="shared" si="4"/>
        <v>13</v>
      </c>
      <c r="R53" s="1">
        <f t="shared" si="4"/>
        <v>5</v>
      </c>
      <c r="S53" s="1">
        <f t="shared" si="4"/>
        <v>4</v>
      </c>
      <c r="T53" s="1">
        <f t="shared" si="4"/>
        <v>8</v>
      </c>
      <c r="U53" s="1">
        <f t="shared" si="4"/>
        <v>15</v>
      </c>
      <c r="V53" s="1">
        <f t="shared" si="4"/>
        <v>4</v>
      </c>
      <c r="W53" s="1">
        <f t="shared" si="4"/>
        <v>19</v>
      </c>
      <c r="X53" s="1">
        <f t="shared" si="4"/>
        <v>1</v>
      </c>
      <c r="Y53" s="1">
        <f t="shared" si="4"/>
        <v>3</v>
      </c>
      <c r="Z53" s="1">
        <f t="shared" si="4"/>
        <v>3</v>
      </c>
      <c r="AA53" s="1">
        <f t="shared" si="4"/>
        <v>13</v>
      </c>
      <c r="AB53" s="1">
        <f t="shared" si="4"/>
        <v>2</v>
      </c>
      <c r="AC53" s="1">
        <f t="shared" si="4"/>
        <v>11</v>
      </c>
      <c r="AD53" s="1">
        <f t="shared" si="4"/>
        <v>9</v>
      </c>
      <c r="AE53" s="1">
        <f t="shared" si="4"/>
        <v>7</v>
      </c>
      <c r="AF53" s="1">
        <f t="shared" si="4"/>
        <v>2</v>
      </c>
      <c r="AG53" s="10">
        <f t="shared" si="2"/>
        <v>222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1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1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0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0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1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1</v>
      </c>
      <c r="AD58" s="54">
        <v>0</v>
      </c>
      <c r="AE58" s="54">
        <v>0</v>
      </c>
      <c r="AF58" s="54">
        <v>1</v>
      </c>
      <c r="AG58" s="5">
        <f t="shared" si="2"/>
        <v>3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1</v>
      </c>
      <c r="O59" s="54">
        <v>1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1</v>
      </c>
      <c r="V59" s="54">
        <v>0</v>
      </c>
      <c r="W59" s="54">
        <v>0</v>
      </c>
      <c r="X59" s="54">
        <v>0</v>
      </c>
      <c r="Y59" s="54">
        <v>1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">
        <f t="shared" si="2"/>
        <v>4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1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1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1</v>
      </c>
      <c r="AD60" s="54">
        <v>0</v>
      </c>
      <c r="AE60" s="54">
        <v>0</v>
      </c>
      <c r="AF60" s="54">
        <v>0</v>
      </c>
      <c r="AG60" s="5">
        <f t="shared" si="2"/>
        <v>3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1</v>
      </c>
      <c r="V61" s="54">
        <v>0</v>
      </c>
      <c r="W61" s="54">
        <v>0</v>
      </c>
      <c r="X61" s="54">
        <v>0</v>
      </c>
      <c r="Y61" s="54">
        <v>0</v>
      </c>
      <c r="Z61" s="54">
        <v>1</v>
      </c>
      <c r="AA61" s="54">
        <v>0</v>
      </c>
      <c r="AB61" s="54">
        <v>0</v>
      </c>
      <c r="AC61" s="54">
        <v>4</v>
      </c>
      <c r="AD61" s="54">
        <v>0</v>
      </c>
      <c r="AE61" s="54">
        <v>0</v>
      </c>
      <c r="AF61" s="54">
        <v>0</v>
      </c>
      <c r="AG61" s="5">
        <f t="shared" si="2"/>
        <v>6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1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1</v>
      </c>
      <c r="Z62" s="54">
        <v>0</v>
      </c>
      <c r="AA62" s="54">
        <v>0</v>
      </c>
      <c r="AB62" s="54">
        <v>0</v>
      </c>
      <c r="AC62" s="54">
        <v>1</v>
      </c>
      <c r="AD62" s="54">
        <v>0</v>
      </c>
      <c r="AE62" s="54">
        <v>0</v>
      </c>
      <c r="AF62" s="54">
        <v>0</v>
      </c>
      <c r="AG62" s="5">
        <f t="shared" si="2"/>
        <v>3</v>
      </c>
    </row>
    <row r="63" spans="1:33" ht="15.75" customHeight="1" x14ac:dyDescent="0.25">
      <c r="A63" s="56" t="s">
        <v>11</v>
      </c>
      <c r="B63" s="54">
        <v>0</v>
      </c>
      <c r="C63" s="54">
        <v>0</v>
      </c>
      <c r="D63" s="54">
        <v>0</v>
      </c>
      <c r="E63" s="54">
        <v>0</v>
      </c>
      <c r="F63" s="54">
        <v>0</v>
      </c>
      <c r="G63" s="54">
        <v>0</v>
      </c>
      <c r="H63" s="54">
        <v>0</v>
      </c>
      <c r="I63" s="54">
        <v>0</v>
      </c>
      <c r="J63" s="54">
        <v>0</v>
      </c>
      <c r="K63" s="54">
        <v>0</v>
      </c>
      <c r="L63" s="54">
        <v>0</v>
      </c>
      <c r="M63" s="54">
        <v>1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54">
        <v>0</v>
      </c>
      <c r="T63" s="54">
        <v>0</v>
      </c>
      <c r="U63" s="54">
        <v>0</v>
      </c>
      <c r="V63" s="54">
        <v>1</v>
      </c>
      <c r="W63" s="54">
        <v>1</v>
      </c>
      <c r="X63" s="54">
        <v>0</v>
      </c>
      <c r="Y63" s="54">
        <v>0</v>
      </c>
      <c r="Z63" s="54">
        <v>0</v>
      </c>
      <c r="AA63" s="54">
        <v>2</v>
      </c>
      <c r="AB63" s="54">
        <v>0</v>
      </c>
      <c r="AC63" s="54">
        <v>3</v>
      </c>
      <c r="AD63" s="54">
        <v>0</v>
      </c>
      <c r="AE63" s="54">
        <v>1</v>
      </c>
      <c r="AF63" s="54">
        <v>0</v>
      </c>
      <c r="AG63" s="5">
        <f t="shared" si="2"/>
        <v>9</v>
      </c>
    </row>
    <row r="64" spans="1:33" ht="15.75" customHeight="1" x14ac:dyDescent="0.25">
      <c r="A64" s="56" t="s">
        <v>12</v>
      </c>
      <c r="B64" s="54">
        <v>1</v>
      </c>
      <c r="C64" s="54">
        <v>1</v>
      </c>
      <c r="D64" s="54">
        <v>1</v>
      </c>
      <c r="E64" s="54">
        <v>0</v>
      </c>
      <c r="F64" s="54">
        <v>0</v>
      </c>
      <c r="G64" s="54">
        <v>0</v>
      </c>
      <c r="H64" s="54">
        <v>0</v>
      </c>
      <c r="I64" s="54">
        <v>0</v>
      </c>
      <c r="J64" s="54">
        <v>1</v>
      </c>
      <c r="K64" s="54">
        <v>1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1</v>
      </c>
      <c r="R64" s="54">
        <v>0</v>
      </c>
      <c r="S64" s="54">
        <v>1</v>
      </c>
      <c r="T64" s="54">
        <v>0</v>
      </c>
      <c r="U64" s="54">
        <v>0</v>
      </c>
      <c r="V64" s="54">
        <v>0</v>
      </c>
      <c r="W64" s="54">
        <v>0</v>
      </c>
      <c r="X64" s="54">
        <v>0</v>
      </c>
      <c r="Y64" s="54">
        <v>0</v>
      </c>
      <c r="Z64" s="54">
        <v>0</v>
      </c>
      <c r="AA64" s="54">
        <v>1</v>
      </c>
      <c r="AB64" s="54">
        <v>0</v>
      </c>
      <c r="AC64" s="54">
        <v>0</v>
      </c>
      <c r="AD64" s="54">
        <v>1</v>
      </c>
      <c r="AE64" s="54">
        <v>0</v>
      </c>
      <c r="AF64" s="54">
        <v>0</v>
      </c>
      <c r="AG64" s="5">
        <f t="shared" si="2"/>
        <v>9</v>
      </c>
    </row>
    <row r="65" spans="1:33" ht="15.75" customHeight="1" x14ac:dyDescent="0.25">
      <c r="A65" s="56" t="s">
        <v>13</v>
      </c>
      <c r="B65" s="54">
        <v>1</v>
      </c>
      <c r="C65" s="54">
        <v>1</v>
      </c>
      <c r="D65" s="54">
        <v>1</v>
      </c>
      <c r="E65" s="54">
        <v>1</v>
      </c>
      <c r="F65" s="54">
        <v>0</v>
      </c>
      <c r="G65" s="54">
        <v>0</v>
      </c>
      <c r="H65" s="54">
        <v>0</v>
      </c>
      <c r="I65" s="54">
        <v>1</v>
      </c>
      <c r="J65" s="54">
        <v>1</v>
      </c>
      <c r="K65" s="54">
        <v>1</v>
      </c>
      <c r="L65" s="54">
        <v>0</v>
      </c>
      <c r="M65" s="54">
        <v>2</v>
      </c>
      <c r="N65" s="54">
        <v>1</v>
      </c>
      <c r="O65" s="54">
        <v>0</v>
      </c>
      <c r="P65" s="54">
        <v>1</v>
      </c>
      <c r="Q65" s="54">
        <v>1</v>
      </c>
      <c r="R65" s="54">
        <v>3</v>
      </c>
      <c r="S65" s="54">
        <v>0</v>
      </c>
      <c r="T65" s="54">
        <v>1</v>
      </c>
      <c r="U65" s="54">
        <v>6</v>
      </c>
      <c r="V65" s="54">
        <v>0</v>
      </c>
      <c r="W65" s="54">
        <v>1</v>
      </c>
      <c r="X65" s="54">
        <v>1</v>
      </c>
      <c r="Y65" s="54">
        <v>0</v>
      </c>
      <c r="Z65" s="54">
        <v>0</v>
      </c>
      <c r="AA65" s="54">
        <v>2</v>
      </c>
      <c r="AB65" s="54">
        <v>1</v>
      </c>
      <c r="AC65" s="54">
        <v>0</v>
      </c>
      <c r="AD65" s="54">
        <v>3</v>
      </c>
      <c r="AE65" s="54">
        <v>2</v>
      </c>
      <c r="AF65" s="54">
        <v>0</v>
      </c>
      <c r="AG65" s="5">
        <f t="shared" si="2"/>
        <v>32</v>
      </c>
    </row>
    <row r="66" spans="1:33" ht="15.75" customHeight="1" x14ac:dyDescent="0.25">
      <c r="A66" s="56" t="s">
        <v>14</v>
      </c>
      <c r="B66" s="54">
        <v>3</v>
      </c>
      <c r="C66" s="54">
        <v>0</v>
      </c>
      <c r="D66" s="54">
        <v>6</v>
      </c>
      <c r="E66" s="54">
        <v>0</v>
      </c>
      <c r="F66" s="54">
        <v>0</v>
      </c>
      <c r="G66" s="54">
        <v>0</v>
      </c>
      <c r="H66" s="54">
        <v>0</v>
      </c>
      <c r="I66" s="54">
        <v>0</v>
      </c>
      <c r="J66" s="54">
        <v>3</v>
      </c>
      <c r="K66" s="54">
        <v>2</v>
      </c>
      <c r="L66" s="54">
        <v>0</v>
      </c>
      <c r="M66" s="54">
        <v>2</v>
      </c>
      <c r="N66" s="54">
        <v>1</v>
      </c>
      <c r="O66" s="54">
        <v>0</v>
      </c>
      <c r="P66" s="54">
        <v>1</v>
      </c>
      <c r="Q66" s="54">
        <v>1</v>
      </c>
      <c r="R66" s="54">
        <v>0</v>
      </c>
      <c r="S66" s="54">
        <v>0</v>
      </c>
      <c r="T66" s="54">
        <v>3</v>
      </c>
      <c r="U66" s="54">
        <v>5</v>
      </c>
      <c r="V66" s="54">
        <v>0</v>
      </c>
      <c r="W66" s="54">
        <v>0</v>
      </c>
      <c r="X66" s="54">
        <v>0</v>
      </c>
      <c r="Y66" s="54">
        <v>0</v>
      </c>
      <c r="Z66" s="54">
        <v>0</v>
      </c>
      <c r="AA66" s="54">
        <v>2</v>
      </c>
      <c r="AB66" s="54">
        <v>0</v>
      </c>
      <c r="AC66" s="54">
        <v>0</v>
      </c>
      <c r="AD66" s="54">
        <v>1</v>
      </c>
      <c r="AE66" s="54">
        <v>0</v>
      </c>
      <c r="AF66" s="54">
        <v>1</v>
      </c>
      <c r="AG66" s="5">
        <f t="shared" si="2"/>
        <v>31</v>
      </c>
    </row>
    <row r="67" spans="1:33" ht="15.75" customHeight="1" x14ac:dyDescent="0.25">
      <c r="A67" s="56" t="s">
        <v>15</v>
      </c>
      <c r="B67" s="54">
        <v>0</v>
      </c>
      <c r="C67" s="54">
        <v>1</v>
      </c>
      <c r="D67" s="54">
        <v>0</v>
      </c>
      <c r="E67" s="54">
        <v>1</v>
      </c>
      <c r="F67" s="54">
        <v>0</v>
      </c>
      <c r="G67" s="54">
        <v>1</v>
      </c>
      <c r="H67" s="54">
        <v>0</v>
      </c>
      <c r="I67" s="54">
        <v>0</v>
      </c>
      <c r="J67" s="54">
        <v>5</v>
      </c>
      <c r="K67" s="54">
        <v>0</v>
      </c>
      <c r="L67" s="54">
        <v>0</v>
      </c>
      <c r="M67" s="54">
        <v>1</v>
      </c>
      <c r="N67" s="54">
        <v>3</v>
      </c>
      <c r="O67" s="54">
        <v>0</v>
      </c>
      <c r="P67" s="54">
        <v>2</v>
      </c>
      <c r="Q67" s="54">
        <v>0</v>
      </c>
      <c r="R67" s="54">
        <v>0</v>
      </c>
      <c r="S67" s="54">
        <v>0</v>
      </c>
      <c r="T67" s="54">
        <v>0</v>
      </c>
      <c r="U67" s="54">
        <v>0</v>
      </c>
      <c r="V67" s="54">
        <v>2</v>
      </c>
      <c r="W67" s="54">
        <v>4</v>
      </c>
      <c r="X67" s="54">
        <v>0</v>
      </c>
      <c r="Y67" s="54">
        <v>0</v>
      </c>
      <c r="Z67" s="54">
        <v>1</v>
      </c>
      <c r="AA67" s="54">
        <v>4</v>
      </c>
      <c r="AB67" s="54">
        <v>0</v>
      </c>
      <c r="AC67" s="54">
        <v>0</v>
      </c>
      <c r="AD67" s="54">
        <v>2</v>
      </c>
      <c r="AE67" s="54">
        <v>2</v>
      </c>
      <c r="AF67" s="54">
        <v>0</v>
      </c>
      <c r="AG67" s="5">
        <f t="shared" ref="AG67:AG98" si="5">SUM(B67:AF67)</f>
        <v>29</v>
      </c>
    </row>
    <row r="68" spans="1:33" ht="15.75" customHeight="1" x14ac:dyDescent="0.25">
      <c r="A68" s="56" t="s">
        <v>16</v>
      </c>
      <c r="B68" s="54">
        <v>2</v>
      </c>
      <c r="C68" s="54">
        <v>3</v>
      </c>
      <c r="D68" s="54">
        <v>0</v>
      </c>
      <c r="E68" s="54">
        <v>0</v>
      </c>
      <c r="F68" s="54">
        <v>0</v>
      </c>
      <c r="G68" s="54">
        <v>0</v>
      </c>
      <c r="H68" s="54">
        <v>0</v>
      </c>
      <c r="I68" s="54">
        <v>1</v>
      </c>
      <c r="J68" s="54">
        <v>2</v>
      </c>
      <c r="K68" s="54">
        <v>0</v>
      </c>
      <c r="L68" s="54">
        <v>0</v>
      </c>
      <c r="M68" s="54">
        <v>0</v>
      </c>
      <c r="N68" s="54">
        <v>0</v>
      </c>
      <c r="O68" s="54">
        <v>0</v>
      </c>
      <c r="P68" s="54">
        <v>5</v>
      </c>
      <c r="Q68" s="54">
        <v>4</v>
      </c>
      <c r="R68" s="54">
        <v>0</v>
      </c>
      <c r="S68" s="54">
        <v>0</v>
      </c>
      <c r="T68" s="54">
        <v>1</v>
      </c>
      <c r="U68" s="54">
        <v>0</v>
      </c>
      <c r="V68" s="54">
        <v>0</v>
      </c>
      <c r="W68" s="54">
        <v>3</v>
      </c>
      <c r="X68" s="54">
        <v>0</v>
      </c>
      <c r="Y68" s="54">
        <v>0</v>
      </c>
      <c r="Z68" s="54">
        <v>0</v>
      </c>
      <c r="AA68" s="54">
        <v>0</v>
      </c>
      <c r="AB68" s="54">
        <v>0</v>
      </c>
      <c r="AC68" s="54">
        <v>0</v>
      </c>
      <c r="AD68" s="54">
        <v>1</v>
      </c>
      <c r="AE68" s="54">
        <v>0</v>
      </c>
      <c r="AF68" s="54">
        <v>0</v>
      </c>
      <c r="AG68" s="5">
        <f t="shared" si="5"/>
        <v>22</v>
      </c>
    </row>
    <row r="69" spans="1:33" ht="15.75" customHeight="1" x14ac:dyDescent="0.25">
      <c r="A69" s="56" t="s">
        <v>17</v>
      </c>
      <c r="B69" s="54">
        <v>0</v>
      </c>
      <c r="C69" s="54">
        <v>2</v>
      </c>
      <c r="D69" s="54">
        <v>0</v>
      </c>
      <c r="E69" s="54">
        <v>1</v>
      </c>
      <c r="F69" s="54">
        <v>1</v>
      </c>
      <c r="G69" s="54">
        <v>0</v>
      </c>
      <c r="H69" s="54">
        <v>0</v>
      </c>
      <c r="I69" s="54">
        <v>0</v>
      </c>
      <c r="J69" s="54">
        <v>1</v>
      </c>
      <c r="K69" s="54">
        <v>0</v>
      </c>
      <c r="L69" s="54">
        <v>0</v>
      </c>
      <c r="M69" s="54">
        <v>0</v>
      </c>
      <c r="N69" s="54">
        <v>1</v>
      </c>
      <c r="O69" s="54">
        <v>1</v>
      </c>
      <c r="P69" s="54">
        <v>0</v>
      </c>
      <c r="Q69" s="54">
        <v>3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4">
        <v>4</v>
      </c>
      <c r="X69" s="54">
        <v>0</v>
      </c>
      <c r="Y69" s="54">
        <v>0</v>
      </c>
      <c r="Z69" s="54">
        <v>0</v>
      </c>
      <c r="AA69" s="54">
        <v>1</v>
      </c>
      <c r="AB69" s="54">
        <v>1</v>
      </c>
      <c r="AC69" s="54">
        <v>0</v>
      </c>
      <c r="AD69" s="54">
        <v>0</v>
      </c>
      <c r="AE69" s="54">
        <v>1</v>
      </c>
      <c r="AF69" s="54">
        <v>0</v>
      </c>
      <c r="AG69" s="5">
        <f t="shared" si="5"/>
        <v>17</v>
      </c>
    </row>
    <row r="70" spans="1:33" ht="15.75" customHeight="1" x14ac:dyDescent="0.25">
      <c r="A70" s="56" t="s">
        <v>18</v>
      </c>
      <c r="B70" s="54">
        <v>1</v>
      </c>
      <c r="C70" s="54">
        <v>4</v>
      </c>
      <c r="D70" s="54">
        <v>0</v>
      </c>
      <c r="E70" s="54">
        <v>0</v>
      </c>
      <c r="F70" s="54">
        <v>1</v>
      </c>
      <c r="G70" s="54">
        <v>0</v>
      </c>
      <c r="H70" s="54">
        <v>0</v>
      </c>
      <c r="I70" s="54">
        <v>0</v>
      </c>
      <c r="J70" s="54">
        <v>0</v>
      </c>
      <c r="K70" s="54">
        <v>1</v>
      </c>
      <c r="L70" s="54">
        <v>0</v>
      </c>
      <c r="M70" s="54">
        <v>0</v>
      </c>
      <c r="N70" s="54">
        <v>2</v>
      </c>
      <c r="O70" s="54">
        <v>0</v>
      </c>
      <c r="P70" s="54">
        <v>0</v>
      </c>
      <c r="Q70" s="54">
        <v>1</v>
      </c>
      <c r="R70" s="54">
        <v>0</v>
      </c>
      <c r="S70" s="54">
        <v>1</v>
      </c>
      <c r="T70" s="54">
        <v>0</v>
      </c>
      <c r="U70" s="54">
        <v>0</v>
      </c>
      <c r="V70" s="54">
        <v>0</v>
      </c>
      <c r="W70" s="54">
        <v>0</v>
      </c>
      <c r="X70" s="54">
        <v>0</v>
      </c>
      <c r="Y70" s="54">
        <v>0</v>
      </c>
      <c r="Z70" s="54">
        <v>0</v>
      </c>
      <c r="AA70" s="54">
        <v>0</v>
      </c>
      <c r="AB70" s="54">
        <v>0</v>
      </c>
      <c r="AC70" s="54">
        <v>0</v>
      </c>
      <c r="AD70" s="55">
        <v>0</v>
      </c>
      <c r="AE70" s="55">
        <v>0</v>
      </c>
      <c r="AF70" s="55">
        <v>0</v>
      </c>
      <c r="AG70" s="5">
        <f t="shared" si="5"/>
        <v>11</v>
      </c>
    </row>
    <row r="71" spans="1:33" ht="15.75" customHeight="1" x14ac:dyDescent="0.25">
      <c r="A71" s="56" t="s">
        <v>19</v>
      </c>
      <c r="B71" s="54">
        <v>1</v>
      </c>
      <c r="C71" s="54">
        <v>0</v>
      </c>
      <c r="D71" s="54">
        <v>1</v>
      </c>
      <c r="E71" s="54">
        <v>2</v>
      </c>
      <c r="F71" s="54">
        <v>0</v>
      </c>
      <c r="G71" s="54">
        <v>0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1</v>
      </c>
      <c r="P71" s="54">
        <v>0</v>
      </c>
      <c r="Q71" s="54">
        <v>1</v>
      </c>
      <c r="R71" s="54">
        <v>1</v>
      </c>
      <c r="S71" s="54">
        <v>1</v>
      </c>
      <c r="T71" s="54">
        <v>0</v>
      </c>
      <c r="U71" s="54">
        <v>0</v>
      </c>
      <c r="V71" s="54">
        <v>0</v>
      </c>
      <c r="W71" s="54">
        <v>4</v>
      </c>
      <c r="X71" s="54">
        <v>0</v>
      </c>
      <c r="Y71" s="54">
        <v>1</v>
      </c>
      <c r="Z71" s="54">
        <v>0</v>
      </c>
      <c r="AA71" s="54">
        <v>0</v>
      </c>
      <c r="AB71" s="54">
        <v>0</v>
      </c>
      <c r="AC71" s="54">
        <v>0</v>
      </c>
      <c r="AD71" s="55">
        <v>0</v>
      </c>
      <c r="AE71" s="55">
        <v>1</v>
      </c>
      <c r="AF71" s="55">
        <v>0</v>
      </c>
      <c r="AG71" s="5">
        <f t="shared" si="5"/>
        <v>14</v>
      </c>
    </row>
    <row r="72" spans="1:33" ht="15.75" customHeight="1" x14ac:dyDescent="0.25">
      <c r="A72" s="56" t="s">
        <v>20</v>
      </c>
      <c r="B72" s="54">
        <v>3</v>
      </c>
      <c r="C72" s="54">
        <v>3</v>
      </c>
      <c r="D72" s="54">
        <v>0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1</v>
      </c>
      <c r="M72" s="54">
        <v>0</v>
      </c>
      <c r="N72" s="54">
        <v>0</v>
      </c>
      <c r="O72" s="54">
        <v>0</v>
      </c>
      <c r="P72" s="54">
        <v>0</v>
      </c>
      <c r="Q72" s="54">
        <v>1</v>
      </c>
      <c r="R72" s="54">
        <v>0</v>
      </c>
      <c r="S72" s="54">
        <v>1</v>
      </c>
      <c r="T72" s="54">
        <v>0</v>
      </c>
      <c r="U72" s="54">
        <v>0</v>
      </c>
      <c r="V72" s="54">
        <v>0</v>
      </c>
      <c r="W72" s="54">
        <v>2</v>
      </c>
      <c r="X72" s="54">
        <v>0</v>
      </c>
      <c r="Y72" s="54">
        <v>0</v>
      </c>
      <c r="Z72" s="54">
        <v>1</v>
      </c>
      <c r="AA72" s="54">
        <v>0</v>
      </c>
      <c r="AB72" s="54">
        <v>0</v>
      </c>
      <c r="AC72" s="54">
        <v>0</v>
      </c>
      <c r="AD72" s="55">
        <v>1</v>
      </c>
      <c r="AE72" s="55">
        <v>0</v>
      </c>
      <c r="AF72" s="55">
        <v>0</v>
      </c>
      <c r="AG72" s="5">
        <f t="shared" si="5"/>
        <v>13</v>
      </c>
    </row>
    <row r="73" spans="1:33" ht="15.75" customHeight="1" x14ac:dyDescent="0.25">
      <c r="A73" s="56" t="s">
        <v>21</v>
      </c>
      <c r="B73" s="54">
        <v>1</v>
      </c>
      <c r="C73" s="54">
        <v>1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3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1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6</v>
      </c>
    </row>
    <row r="74" spans="1:33" ht="15.75" customHeight="1" x14ac:dyDescent="0.25">
      <c r="A74" s="56" t="s">
        <v>22</v>
      </c>
      <c r="B74" s="54">
        <v>0</v>
      </c>
      <c r="C74" s="54">
        <v>2</v>
      </c>
      <c r="D74" s="54">
        <v>2</v>
      </c>
      <c r="E74" s="54">
        <v>0</v>
      </c>
      <c r="F74" s="54">
        <v>0</v>
      </c>
      <c r="G74" s="54">
        <v>0</v>
      </c>
      <c r="H74" s="54">
        <v>1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1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6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0</v>
      </c>
    </row>
    <row r="76" spans="1:33" ht="15.75" customHeight="1" x14ac:dyDescent="0.25">
      <c r="A76" s="56" t="s">
        <v>24</v>
      </c>
      <c r="B76" s="54">
        <v>1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2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1</v>
      </c>
      <c r="AD77" s="62">
        <v>0</v>
      </c>
      <c r="AE77" s="62">
        <v>0</v>
      </c>
      <c r="AF77" s="62">
        <v>0</v>
      </c>
      <c r="AG77" s="9">
        <f t="shared" si="5"/>
        <v>1</v>
      </c>
    </row>
    <row r="78" spans="1:33" ht="19.5" customHeight="1" thickBot="1" x14ac:dyDescent="0.3">
      <c r="A78" s="63" t="s">
        <v>28</v>
      </c>
      <c r="B78" s="11">
        <f t="shared" ref="B78:AF78" si="6">SUM(B79:B80)</f>
        <v>155</v>
      </c>
      <c r="C78" s="11">
        <f t="shared" si="6"/>
        <v>157</v>
      </c>
      <c r="D78" s="11">
        <f t="shared" si="6"/>
        <v>138</v>
      </c>
      <c r="E78" s="11">
        <f t="shared" si="6"/>
        <v>125</v>
      </c>
      <c r="F78" s="11">
        <f t="shared" si="6"/>
        <v>129</v>
      </c>
      <c r="G78" s="11">
        <f t="shared" si="6"/>
        <v>167</v>
      </c>
      <c r="H78" s="11">
        <f t="shared" si="6"/>
        <v>166</v>
      </c>
      <c r="I78" s="11">
        <f t="shared" si="6"/>
        <v>221</v>
      </c>
      <c r="J78" s="11">
        <f t="shared" si="6"/>
        <v>148</v>
      </c>
      <c r="K78" s="11">
        <f t="shared" si="6"/>
        <v>127</v>
      </c>
      <c r="L78" s="11">
        <f t="shared" si="6"/>
        <v>125</v>
      </c>
      <c r="M78" s="11">
        <f t="shared" si="6"/>
        <v>136</v>
      </c>
      <c r="N78" s="11">
        <f t="shared" si="6"/>
        <v>208</v>
      </c>
      <c r="O78" s="11">
        <f t="shared" si="6"/>
        <v>168</v>
      </c>
      <c r="P78" s="11">
        <f t="shared" si="6"/>
        <v>136</v>
      </c>
      <c r="Q78" s="11">
        <f t="shared" si="6"/>
        <v>147</v>
      </c>
      <c r="R78" s="11">
        <f t="shared" si="6"/>
        <v>127</v>
      </c>
      <c r="S78" s="11">
        <f t="shared" si="6"/>
        <v>124</v>
      </c>
      <c r="T78" s="11">
        <f t="shared" si="6"/>
        <v>141</v>
      </c>
      <c r="U78" s="11">
        <f t="shared" si="6"/>
        <v>205</v>
      </c>
      <c r="V78" s="11">
        <f t="shared" si="6"/>
        <v>212</v>
      </c>
      <c r="W78" s="11">
        <f t="shared" si="6"/>
        <v>132</v>
      </c>
      <c r="X78" s="11">
        <f t="shared" si="6"/>
        <v>116</v>
      </c>
      <c r="Y78" s="11">
        <f t="shared" si="6"/>
        <v>82</v>
      </c>
      <c r="Z78" s="11">
        <f t="shared" si="6"/>
        <v>140</v>
      </c>
      <c r="AA78" s="11">
        <f t="shared" si="6"/>
        <v>141</v>
      </c>
      <c r="AB78" s="11">
        <f t="shared" si="6"/>
        <v>190</v>
      </c>
      <c r="AC78" s="11">
        <f t="shared" si="6"/>
        <v>159</v>
      </c>
      <c r="AD78" s="11">
        <f t="shared" si="6"/>
        <v>138</v>
      </c>
      <c r="AE78" s="11">
        <f t="shared" si="6"/>
        <v>141</v>
      </c>
      <c r="AF78" s="11">
        <f t="shared" si="6"/>
        <v>101</v>
      </c>
      <c r="AG78" s="10">
        <f t="shared" si="5"/>
        <v>4602</v>
      </c>
    </row>
    <row r="79" spans="1:33" ht="19.5" customHeight="1" x14ac:dyDescent="0.25">
      <c r="A79" s="64" t="s">
        <v>29</v>
      </c>
      <c r="B79" s="3">
        <f t="shared" ref="B79" si="7">SUM(B4:B27)-B80</f>
        <v>155</v>
      </c>
      <c r="C79" s="3">
        <f t="shared" ref="C79" si="8">SUM(C4:C27)-C80</f>
        <v>157</v>
      </c>
      <c r="D79" s="3">
        <f t="shared" ref="D79:AF79" si="9">SUM(D4:D27)-D80</f>
        <v>138</v>
      </c>
      <c r="E79" s="3">
        <f t="shared" si="9"/>
        <v>125</v>
      </c>
      <c r="F79" s="3">
        <f t="shared" si="9"/>
        <v>129</v>
      </c>
      <c r="G79" s="3">
        <f t="shared" si="9"/>
        <v>167</v>
      </c>
      <c r="H79" s="3">
        <f t="shared" si="9"/>
        <v>166</v>
      </c>
      <c r="I79" s="3">
        <f t="shared" si="9"/>
        <v>221</v>
      </c>
      <c r="J79" s="3">
        <f t="shared" si="9"/>
        <v>148</v>
      </c>
      <c r="K79" s="3">
        <f t="shared" si="9"/>
        <v>127</v>
      </c>
      <c r="L79" s="3">
        <f t="shared" si="9"/>
        <v>125</v>
      </c>
      <c r="M79" s="3">
        <f t="shared" si="9"/>
        <v>136</v>
      </c>
      <c r="N79" s="3">
        <f t="shared" si="9"/>
        <v>208</v>
      </c>
      <c r="O79" s="3">
        <f t="shared" si="9"/>
        <v>168</v>
      </c>
      <c r="P79" s="3">
        <f t="shared" si="9"/>
        <v>136</v>
      </c>
      <c r="Q79" s="3">
        <f t="shared" si="9"/>
        <v>147</v>
      </c>
      <c r="R79" s="3">
        <f t="shared" si="9"/>
        <v>127</v>
      </c>
      <c r="S79" s="3">
        <f t="shared" si="9"/>
        <v>124</v>
      </c>
      <c r="T79" s="3">
        <f t="shared" si="9"/>
        <v>141</v>
      </c>
      <c r="U79" s="3">
        <f t="shared" si="9"/>
        <v>205</v>
      </c>
      <c r="V79" s="3">
        <f t="shared" si="9"/>
        <v>212</v>
      </c>
      <c r="W79" s="3">
        <f t="shared" si="9"/>
        <v>132</v>
      </c>
      <c r="X79" s="3">
        <f t="shared" si="9"/>
        <v>116</v>
      </c>
      <c r="Y79" s="3">
        <f t="shared" si="9"/>
        <v>82</v>
      </c>
      <c r="Z79" s="3">
        <f t="shared" si="9"/>
        <v>140</v>
      </c>
      <c r="AA79" s="3">
        <f t="shared" si="9"/>
        <v>141</v>
      </c>
      <c r="AB79" s="3">
        <f t="shared" si="9"/>
        <v>190</v>
      </c>
      <c r="AC79" s="3">
        <f t="shared" si="9"/>
        <v>159</v>
      </c>
      <c r="AD79" s="3">
        <f t="shared" si="9"/>
        <v>138</v>
      </c>
      <c r="AE79" s="3">
        <f t="shared" si="9"/>
        <v>141</v>
      </c>
      <c r="AF79" s="3">
        <f t="shared" si="9"/>
        <v>101</v>
      </c>
      <c r="AG79" s="4">
        <f t="shared" si="5"/>
        <v>4602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14</v>
      </c>
      <c r="C81" s="12">
        <f t="shared" si="10"/>
        <v>18</v>
      </c>
      <c r="D81" s="12">
        <f t="shared" si="10"/>
        <v>11</v>
      </c>
      <c r="E81" s="12">
        <f t="shared" si="10"/>
        <v>5</v>
      </c>
      <c r="F81" s="12">
        <f t="shared" si="10"/>
        <v>2</v>
      </c>
      <c r="G81" s="12">
        <f t="shared" si="10"/>
        <v>1</v>
      </c>
      <c r="H81" s="12">
        <f t="shared" si="10"/>
        <v>1</v>
      </c>
      <c r="I81" s="12">
        <f t="shared" si="10"/>
        <v>2</v>
      </c>
      <c r="J81" s="12">
        <f t="shared" si="10"/>
        <v>13</v>
      </c>
      <c r="K81" s="12">
        <f t="shared" si="10"/>
        <v>5</v>
      </c>
      <c r="L81" s="12">
        <f t="shared" si="10"/>
        <v>1</v>
      </c>
      <c r="M81" s="12">
        <f t="shared" si="10"/>
        <v>7</v>
      </c>
      <c r="N81" s="12">
        <f t="shared" si="10"/>
        <v>10</v>
      </c>
      <c r="O81" s="12">
        <f t="shared" si="10"/>
        <v>4</v>
      </c>
      <c r="P81" s="12">
        <f t="shared" si="10"/>
        <v>9</v>
      </c>
      <c r="Q81" s="12">
        <f t="shared" si="10"/>
        <v>13</v>
      </c>
      <c r="R81" s="12">
        <f t="shared" si="10"/>
        <v>5</v>
      </c>
      <c r="S81" s="12">
        <f t="shared" si="10"/>
        <v>4</v>
      </c>
      <c r="T81" s="12">
        <f t="shared" si="10"/>
        <v>8</v>
      </c>
      <c r="U81" s="12">
        <f t="shared" si="10"/>
        <v>15</v>
      </c>
      <c r="V81" s="12">
        <f t="shared" si="10"/>
        <v>4</v>
      </c>
      <c r="W81" s="12">
        <f t="shared" si="10"/>
        <v>19</v>
      </c>
      <c r="X81" s="12">
        <f t="shared" si="10"/>
        <v>1</v>
      </c>
      <c r="Y81" s="12">
        <f t="shared" si="10"/>
        <v>3</v>
      </c>
      <c r="Z81" s="12">
        <f t="shared" si="10"/>
        <v>3</v>
      </c>
      <c r="AA81" s="12">
        <f t="shared" si="10"/>
        <v>13</v>
      </c>
      <c r="AB81" s="12">
        <f t="shared" si="10"/>
        <v>2</v>
      </c>
      <c r="AC81" s="12">
        <f t="shared" si="10"/>
        <v>11</v>
      </c>
      <c r="AD81" s="12">
        <f t="shared" si="10"/>
        <v>9</v>
      </c>
      <c r="AE81" s="12">
        <f t="shared" si="10"/>
        <v>7</v>
      </c>
      <c r="AF81" s="12">
        <f t="shared" si="10"/>
        <v>2</v>
      </c>
      <c r="AG81" s="10">
        <f t="shared" si="5"/>
        <v>222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1</v>
      </c>
      <c r="N82" s="3">
        <f t="shared" si="11"/>
        <v>2</v>
      </c>
      <c r="O82" s="3">
        <f t="shared" si="11"/>
        <v>2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3</v>
      </c>
      <c r="V82" s="3">
        <f t="shared" si="11"/>
        <v>1</v>
      </c>
      <c r="W82" s="3">
        <f t="shared" si="11"/>
        <v>0</v>
      </c>
      <c r="X82" s="3">
        <f t="shared" si="11"/>
        <v>0</v>
      </c>
      <c r="Y82" s="3">
        <f t="shared" si="11"/>
        <v>2</v>
      </c>
      <c r="Z82" s="3">
        <f t="shared" si="11"/>
        <v>1</v>
      </c>
      <c r="AA82" s="3">
        <f t="shared" si="11"/>
        <v>0</v>
      </c>
      <c r="AB82" s="3">
        <f t="shared" si="11"/>
        <v>0</v>
      </c>
      <c r="AC82" s="3">
        <f t="shared" si="11"/>
        <v>7</v>
      </c>
      <c r="AD82" s="3">
        <f t="shared" si="11"/>
        <v>0</v>
      </c>
      <c r="AE82" s="3">
        <f t="shared" si="11"/>
        <v>0</v>
      </c>
      <c r="AF82" s="3">
        <f t="shared" si="11"/>
        <v>1</v>
      </c>
      <c r="AG82" s="4">
        <f t="shared" si="5"/>
        <v>20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14</v>
      </c>
      <c r="C83" s="8">
        <f t="shared" si="12"/>
        <v>18</v>
      </c>
      <c r="D83" s="8">
        <f t="shared" si="12"/>
        <v>11</v>
      </c>
      <c r="E83" s="8">
        <f t="shared" si="12"/>
        <v>5</v>
      </c>
      <c r="F83" s="8">
        <f t="shared" si="12"/>
        <v>2</v>
      </c>
      <c r="G83" s="8">
        <f t="shared" si="12"/>
        <v>1</v>
      </c>
      <c r="H83" s="8">
        <f t="shared" si="12"/>
        <v>1</v>
      </c>
      <c r="I83" s="8">
        <f t="shared" si="12"/>
        <v>2</v>
      </c>
      <c r="J83" s="8">
        <f t="shared" si="12"/>
        <v>13</v>
      </c>
      <c r="K83" s="8">
        <f t="shared" si="12"/>
        <v>5</v>
      </c>
      <c r="L83" s="8">
        <f t="shared" si="12"/>
        <v>1</v>
      </c>
      <c r="M83" s="8">
        <f t="shared" si="12"/>
        <v>6</v>
      </c>
      <c r="N83" s="8">
        <f t="shared" si="12"/>
        <v>8</v>
      </c>
      <c r="O83" s="8">
        <f t="shared" si="12"/>
        <v>2</v>
      </c>
      <c r="P83" s="8">
        <f t="shared" si="12"/>
        <v>9</v>
      </c>
      <c r="Q83" s="8">
        <f t="shared" si="12"/>
        <v>13</v>
      </c>
      <c r="R83" s="8">
        <f t="shared" si="12"/>
        <v>5</v>
      </c>
      <c r="S83" s="8">
        <f t="shared" si="12"/>
        <v>4</v>
      </c>
      <c r="T83" s="8">
        <f t="shared" si="12"/>
        <v>8</v>
      </c>
      <c r="U83" s="8">
        <f t="shared" si="12"/>
        <v>12</v>
      </c>
      <c r="V83" s="8">
        <f t="shared" si="12"/>
        <v>3</v>
      </c>
      <c r="W83" s="8">
        <f t="shared" si="12"/>
        <v>19</v>
      </c>
      <c r="X83" s="8">
        <f t="shared" si="12"/>
        <v>1</v>
      </c>
      <c r="Y83" s="8">
        <f t="shared" si="12"/>
        <v>1</v>
      </c>
      <c r="Z83" s="8">
        <f t="shared" si="12"/>
        <v>2</v>
      </c>
      <c r="AA83" s="8">
        <f t="shared" si="12"/>
        <v>13</v>
      </c>
      <c r="AB83" s="8">
        <f t="shared" si="12"/>
        <v>2</v>
      </c>
      <c r="AC83" s="8">
        <f t="shared" si="12"/>
        <v>4</v>
      </c>
      <c r="AD83" s="8">
        <f t="shared" si="12"/>
        <v>9</v>
      </c>
      <c r="AE83" s="8">
        <f t="shared" si="12"/>
        <v>7</v>
      </c>
      <c r="AF83" s="8">
        <f t="shared" si="12"/>
        <v>1</v>
      </c>
      <c r="AG83" s="5">
        <f t="shared" si="5"/>
        <v>202</v>
      </c>
    </row>
    <row r="84" spans="1:34" ht="15.75" customHeight="1" thickBot="1" x14ac:dyDescent="0.3">
      <c r="A84" s="67" t="s">
        <v>32</v>
      </c>
      <c r="B84" s="14">
        <f t="shared" ref="B84:AF84" si="13">SUM(B85:B86)</f>
        <v>14</v>
      </c>
      <c r="C84" s="14">
        <f t="shared" si="13"/>
        <v>18</v>
      </c>
      <c r="D84" s="14">
        <f t="shared" si="13"/>
        <v>11</v>
      </c>
      <c r="E84" s="14">
        <f t="shared" si="13"/>
        <v>5</v>
      </c>
      <c r="F84" s="14">
        <f t="shared" si="13"/>
        <v>2</v>
      </c>
      <c r="G84" s="14">
        <f t="shared" si="13"/>
        <v>1</v>
      </c>
      <c r="H84" s="14">
        <f t="shared" si="13"/>
        <v>1</v>
      </c>
      <c r="I84" s="14">
        <f t="shared" si="13"/>
        <v>2</v>
      </c>
      <c r="J84" s="14">
        <f t="shared" si="13"/>
        <v>13</v>
      </c>
      <c r="K84" s="14">
        <f t="shared" si="13"/>
        <v>5</v>
      </c>
      <c r="L84" s="14">
        <f t="shared" si="13"/>
        <v>1</v>
      </c>
      <c r="M84" s="14">
        <f t="shared" si="13"/>
        <v>7</v>
      </c>
      <c r="N84" s="14">
        <f t="shared" si="13"/>
        <v>10</v>
      </c>
      <c r="O84" s="14">
        <f t="shared" si="13"/>
        <v>4</v>
      </c>
      <c r="P84" s="14">
        <f t="shared" si="13"/>
        <v>9</v>
      </c>
      <c r="Q84" s="14">
        <f t="shared" si="13"/>
        <v>13</v>
      </c>
      <c r="R84" s="14">
        <f t="shared" si="13"/>
        <v>5</v>
      </c>
      <c r="S84" s="14">
        <f t="shared" si="13"/>
        <v>4</v>
      </c>
      <c r="T84" s="14">
        <f t="shared" si="13"/>
        <v>8</v>
      </c>
      <c r="U84" s="14">
        <f t="shared" si="13"/>
        <v>15</v>
      </c>
      <c r="V84" s="14">
        <f t="shared" si="13"/>
        <v>4</v>
      </c>
      <c r="W84" s="14">
        <f t="shared" si="13"/>
        <v>19</v>
      </c>
      <c r="X84" s="14">
        <f t="shared" si="13"/>
        <v>1</v>
      </c>
      <c r="Y84" s="14">
        <f t="shared" si="13"/>
        <v>3</v>
      </c>
      <c r="Z84" s="14">
        <f t="shared" si="13"/>
        <v>3</v>
      </c>
      <c r="AA84" s="14">
        <f t="shared" si="13"/>
        <v>13</v>
      </c>
      <c r="AB84" s="14">
        <f t="shared" si="13"/>
        <v>2</v>
      </c>
      <c r="AC84" s="14">
        <f t="shared" si="13"/>
        <v>11</v>
      </c>
      <c r="AD84" s="14">
        <f t="shared" si="13"/>
        <v>9</v>
      </c>
      <c r="AE84" s="14">
        <f t="shared" si="13"/>
        <v>7</v>
      </c>
      <c r="AF84" s="14">
        <f t="shared" si="13"/>
        <v>2</v>
      </c>
      <c r="AG84" s="15">
        <f t="shared" si="5"/>
        <v>222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3</v>
      </c>
      <c r="C85" s="69">
        <v>7</v>
      </c>
      <c r="D85" s="69">
        <v>2</v>
      </c>
      <c r="E85" s="69">
        <v>0</v>
      </c>
      <c r="F85" s="69">
        <v>0</v>
      </c>
      <c r="G85" s="69">
        <v>0</v>
      </c>
      <c r="H85" s="69">
        <v>0</v>
      </c>
      <c r="I85" s="69">
        <v>0</v>
      </c>
      <c r="J85" s="69">
        <v>7</v>
      </c>
      <c r="K85" s="69">
        <v>2</v>
      </c>
      <c r="L85" s="69">
        <v>0</v>
      </c>
      <c r="M85" s="69">
        <v>0</v>
      </c>
      <c r="N85" s="69">
        <v>2</v>
      </c>
      <c r="O85" s="69">
        <v>1</v>
      </c>
      <c r="P85" s="69">
        <v>2</v>
      </c>
      <c r="Q85" s="69">
        <v>3</v>
      </c>
      <c r="R85" s="69">
        <v>0</v>
      </c>
      <c r="S85" s="69">
        <v>0</v>
      </c>
      <c r="T85" s="69">
        <v>3</v>
      </c>
      <c r="U85" s="69">
        <v>3</v>
      </c>
      <c r="V85" s="69">
        <v>0</v>
      </c>
      <c r="W85" s="69">
        <v>1</v>
      </c>
      <c r="X85" s="69">
        <v>1</v>
      </c>
      <c r="Y85" s="69">
        <v>1</v>
      </c>
      <c r="Z85" s="69">
        <v>2</v>
      </c>
      <c r="AA85" s="69">
        <v>1</v>
      </c>
      <c r="AB85" s="69">
        <v>0</v>
      </c>
      <c r="AC85" s="69">
        <v>2</v>
      </c>
      <c r="AD85" s="69">
        <v>2</v>
      </c>
      <c r="AE85" s="69">
        <v>1</v>
      </c>
      <c r="AF85" s="69">
        <v>0</v>
      </c>
      <c r="AG85" s="16">
        <f t="shared" si="5"/>
        <v>46</v>
      </c>
    </row>
    <row r="86" spans="1:34" ht="15.75" customHeight="1" thickBot="1" x14ac:dyDescent="0.3">
      <c r="A86" s="70" t="s">
        <v>34</v>
      </c>
      <c r="B86" s="71">
        <v>11</v>
      </c>
      <c r="C86" s="71">
        <v>11</v>
      </c>
      <c r="D86" s="71">
        <v>9</v>
      </c>
      <c r="E86" s="71">
        <v>5</v>
      </c>
      <c r="F86" s="71">
        <v>2</v>
      </c>
      <c r="G86" s="71">
        <v>1</v>
      </c>
      <c r="H86" s="71">
        <v>1</v>
      </c>
      <c r="I86" s="71">
        <v>2</v>
      </c>
      <c r="J86" s="71">
        <v>6</v>
      </c>
      <c r="K86" s="71">
        <v>3</v>
      </c>
      <c r="L86" s="71">
        <v>1</v>
      </c>
      <c r="M86" s="71">
        <v>7</v>
      </c>
      <c r="N86" s="71">
        <v>8</v>
      </c>
      <c r="O86" s="71">
        <v>3</v>
      </c>
      <c r="P86" s="71">
        <v>7</v>
      </c>
      <c r="Q86" s="71">
        <v>10</v>
      </c>
      <c r="R86" s="71">
        <v>5</v>
      </c>
      <c r="S86" s="71">
        <v>4</v>
      </c>
      <c r="T86" s="71">
        <v>5</v>
      </c>
      <c r="U86" s="71">
        <v>12</v>
      </c>
      <c r="V86" s="71">
        <v>4</v>
      </c>
      <c r="W86" s="71">
        <v>18</v>
      </c>
      <c r="X86" s="71">
        <v>0</v>
      </c>
      <c r="Y86" s="71">
        <v>2</v>
      </c>
      <c r="Z86" s="71">
        <v>1</v>
      </c>
      <c r="AA86" s="71">
        <v>12</v>
      </c>
      <c r="AB86" s="71">
        <v>2</v>
      </c>
      <c r="AC86" s="71">
        <v>9</v>
      </c>
      <c r="AD86" s="71">
        <v>7</v>
      </c>
      <c r="AE86" s="71">
        <v>6</v>
      </c>
      <c r="AF86" s="71">
        <v>2</v>
      </c>
      <c r="AG86" s="17">
        <f t="shared" si="5"/>
        <v>176</v>
      </c>
    </row>
    <row r="87" spans="1:34" ht="15.75" customHeight="1" thickBot="1" x14ac:dyDescent="0.3">
      <c r="A87" s="72" t="s">
        <v>35</v>
      </c>
      <c r="B87" s="18">
        <f t="shared" ref="B87:AF87" si="14">SUM(B88:B92)</f>
        <v>14</v>
      </c>
      <c r="C87" s="18">
        <f t="shared" si="14"/>
        <v>18</v>
      </c>
      <c r="D87" s="18">
        <f t="shared" si="14"/>
        <v>11</v>
      </c>
      <c r="E87" s="18">
        <f t="shared" si="14"/>
        <v>5</v>
      </c>
      <c r="F87" s="18">
        <f t="shared" si="14"/>
        <v>2</v>
      </c>
      <c r="G87" s="18">
        <f t="shared" si="14"/>
        <v>1</v>
      </c>
      <c r="H87" s="18">
        <f t="shared" si="14"/>
        <v>1</v>
      </c>
      <c r="I87" s="18">
        <f t="shared" si="14"/>
        <v>2</v>
      </c>
      <c r="J87" s="18">
        <f t="shared" si="14"/>
        <v>13</v>
      </c>
      <c r="K87" s="18">
        <f t="shared" si="14"/>
        <v>5</v>
      </c>
      <c r="L87" s="18">
        <f t="shared" si="14"/>
        <v>1</v>
      </c>
      <c r="M87" s="18">
        <f t="shared" si="14"/>
        <v>7</v>
      </c>
      <c r="N87" s="18">
        <f t="shared" si="14"/>
        <v>10</v>
      </c>
      <c r="O87" s="18">
        <f t="shared" si="14"/>
        <v>4</v>
      </c>
      <c r="P87" s="18">
        <f t="shared" si="14"/>
        <v>9</v>
      </c>
      <c r="Q87" s="18">
        <f t="shared" si="14"/>
        <v>13</v>
      </c>
      <c r="R87" s="18">
        <f t="shared" si="14"/>
        <v>5</v>
      </c>
      <c r="S87" s="18">
        <f t="shared" si="14"/>
        <v>4</v>
      </c>
      <c r="T87" s="18">
        <f t="shared" si="14"/>
        <v>8</v>
      </c>
      <c r="U87" s="18">
        <f t="shared" si="14"/>
        <v>15</v>
      </c>
      <c r="V87" s="18">
        <f t="shared" si="14"/>
        <v>4</v>
      </c>
      <c r="W87" s="18">
        <f t="shared" si="14"/>
        <v>19</v>
      </c>
      <c r="X87" s="18">
        <f t="shared" si="14"/>
        <v>1</v>
      </c>
      <c r="Y87" s="18">
        <f t="shared" si="14"/>
        <v>3</v>
      </c>
      <c r="Z87" s="18">
        <f t="shared" si="14"/>
        <v>3</v>
      </c>
      <c r="AA87" s="18">
        <f t="shared" si="14"/>
        <v>13</v>
      </c>
      <c r="AB87" s="18">
        <f t="shared" si="14"/>
        <v>2</v>
      </c>
      <c r="AC87" s="18">
        <f t="shared" si="14"/>
        <v>11</v>
      </c>
      <c r="AD87" s="18">
        <f t="shared" si="14"/>
        <v>9</v>
      </c>
      <c r="AE87" s="18">
        <f t="shared" si="14"/>
        <v>7</v>
      </c>
      <c r="AF87" s="18">
        <f t="shared" si="14"/>
        <v>2</v>
      </c>
      <c r="AG87" s="19">
        <f t="shared" si="5"/>
        <v>222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3</v>
      </c>
      <c r="C88" s="60">
        <v>5</v>
      </c>
      <c r="D88" s="60">
        <v>1</v>
      </c>
      <c r="E88" s="60">
        <v>2</v>
      </c>
      <c r="F88" s="60">
        <v>2</v>
      </c>
      <c r="G88" s="60">
        <v>1</v>
      </c>
      <c r="H88" s="60">
        <v>1</v>
      </c>
      <c r="I88" s="60">
        <v>1</v>
      </c>
      <c r="J88" s="60">
        <v>4</v>
      </c>
      <c r="K88" s="60">
        <v>2</v>
      </c>
      <c r="L88" s="60">
        <v>0</v>
      </c>
      <c r="M88" s="60">
        <v>3</v>
      </c>
      <c r="N88" s="60">
        <v>3</v>
      </c>
      <c r="O88" s="60">
        <v>0</v>
      </c>
      <c r="P88" s="60">
        <v>0</v>
      </c>
      <c r="Q88" s="60">
        <v>3</v>
      </c>
      <c r="R88" s="60">
        <v>0</v>
      </c>
      <c r="S88" s="60">
        <v>1</v>
      </c>
      <c r="T88" s="60">
        <v>1</v>
      </c>
      <c r="U88" s="60">
        <v>4</v>
      </c>
      <c r="V88" s="60">
        <v>1</v>
      </c>
      <c r="W88" s="60">
        <v>2</v>
      </c>
      <c r="X88" s="60">
        <v>0</v>
      </c>
      <c r="Y88" s="60">
        <v>3</v>
      </c>
      <c r="Z88" s="60">
        <v>2</v>
      </c>
      <c r="AA88" s="60">
        <v>2</v>
      </c>
      <c r="AB88" s="60">
        <v>1</v>
      </c>
      <c r="AC88" s="60">
        <v>1</v>
      </c>
      <c r="AD88" s="60">
        <v>3</v>
      </c>
      <c r="AE88" s="60">
        <v>2</v>
      </c>
      <c r="AF88" s="60">
        <v>1</v>
      </c>
      <c r="AG88" s="4">
        <f t="shared" si="5"/>
        <v>55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/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1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1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0</v>
      </c>
      <c r="E90" s="60">
        <v>0</v>
      </c>
      <c r="F90" s="60"/>
      <c r="G90" s="60">
        <v>0</v>
      </c>
      <c r="H90" s="60">
        <v>0</v>
      </c>
      <c r="I90" s="60">
        <v>0</v>
      </c>
      <c r="J90" s="60">
        <v>0</v>
      </c>
      <c r="K90" s="60">
        <v>1</v>
      </c>
      <c r="L90" s="60">
        <v>0</v>
      </c>
      <c r="M90" s="60">
        <v>0</v>
      </c>
      <c r="N90" s="60">
        <v>0</v>
      </c>
      <c r="O90" s="60">
        <v>0</v>
      </c>
      <c r="P90" s="60">
        <v>1</v>
      </c>
      <c r="Q90" s="60">
        <v>0</v>
      </c>
      <c r="R90" s="60">
        <v>0</v>
      </c>
      <c r="S90" s="60">
        <v>0</v>
      </c>
      <c r="T90" s="60">
        <v>1</v>
      </c>
      <c r="U90" s="60">
        <v>1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1</v>
      </c>
      <c r="AD90" s="60">
        <v>0</v>
      </c>
      <c r="AE90" s="60">
        <v>0</v>
      </c>
      <c r="AF90" s="60">
        <v>0</v>
      </c>
      <c r="AG90" s="5">
        <f t="shared" si="5"/>
        <v>5</v>
      </c>
    </row>
    <row r="91" spans="1:34" ht="15.75" customHeight="1" x14ac:dyDescent="0.25">
      <c r="A91" s="74" t="s">
        <v>39</v>
      </c>
      <c r="B91" s="60">
        <v>11</v>
      </c>
      <c r="C91" s="60">
        <v>11</v>
      </c>
      <c r="D91" s="60">
        <v>7</v>
      </c>
      <c r="E91" s="60">
        <v>2</v>
      </c>
      <c r="F91" s="60"/>
      <c r="G91" s="60">
        <v>0</v>
      </c>
      <c r="H91" s="60">
        <v>0</v>
      </c>
      <c r="I91" s="60">
        <v>0</v>
      </c>
      <c r="J91" s="60">
        <v>8</v>
      </c>
      <c r="K91" s="60">
        <v>2</v>
      </c>
      <c r="L91" s="60">
        <v>1</v>
      </c>
      <c r="M91" s="60">
        <v>3</v>
      </c>
      <c r="N91" s="60">
        <v>5</v>
      </c>
      <c r="O91" s="60">
        <v>3</v>
      </c>
      <c r="P91" s="60">
        <v>6</v>
      </c>
      <c r="Q91" s="60">
        <v>8</v>
      </c>
      <c r="R91" s="60">
        <v>1</v>
      </c>
      <c r="S91" s="60">
        <v>2</v>
      </c>
      <c r="T91" s="60">
        <v>5</v>
      </c>
      <c r="U91" s="60">
        <v>7</v>
      </c>
      <c r="V91" s="60">
        <v>1</v>
      </c>
      <c r="W91" s="60">
        <v>17</v>
      </c>
      <c r="X91" s="60">
        <v>1</v>
      </c>
      <c r="Y91" s="60">
        <v>0</v>
      </c>
      <c r="Z91" s="60">
        <v>0</v>
      </c>
      <c r="AA91" s="60">
        <v>7</v>
      </c>
      <c r="AB91" s="60">
        <v>1</v>
      </c>
      <c r="AC91" s="60">
        <v>7</v>
      </c>
      <c r="AD91" s="60">
        <v>3</v>
      </c>
      <c r="AE91" s="60">
        <v>4</v>
      </c>
      <c r="AF91" s="60">
        <v>0</v>
      </c>
      <c r="AG91" s="5">
        <f t="shared" si="5"/>
        <v>123</v>
      </c>
    </row>
    <row r="92" spans="1:34" ht="15.75" customHeight="1" thickBot="1" x14ac:dyDescent="0.3">
      <c r="A92" s="74" t="s">
        <v>40</v>
      </c>
      <c r="B92" s="60">
        <v>0</v>
      </c>
      <c r="C92" s="60">
        <v>2</v>
      </c>
      <c r="D92" s="60">
        <v>3</v>
      </c>
      <c r="E92" s="60">
        <v>1</v>
      </c>
      <c r="F92" s="60"/>
      <c r="G92" s="60">
        <v>0</v>
      </c>
      <c r="H92" s="60">
        <v>0</v>
      </c>
      <c r="I92" s="60">
        <v>1</v>
      </c>
      <c r="J92" s="60">
        <v>1</v>
      </c>
      <c r="K92" s="60">
        <v>0</v>
      </c>
      <c r="L92" s="60">
        <v>0</v>
      </c>
      <c r="M92" s="60">
        <v>1</v>
      </c>
      <c r="N92" s="60">
        <v>2</v>
      </c>
      <c r="O92" s="60">
        <v>1</v>
      </c>
      <c r="P92" s="60">
        <v>2</v>
      </c>
      <c r="Q92" s="60">
        <v>2</v>
      </c>
      <c r="R92" s="60">
        <v>4</v>
      </c>
      <c r="S92" s="60">
        <v>1</v>
      </c>
      <c r="T92" s="60">
        <v>1</v>
      </c>
      <c r="U92" s="60">
        <v>3</v>
      </c>
      <c r="V92" s="60">
        <v>2</v>
      </c>
      <c r="W92" s="60">
        <v>0</v>
      </c>
      <c r="X92" s="60">
        <v>0</v>
      </c>
      <c r="Y92" s="60">
        <v>0</v>
      </c>
      <c r="Z92" s="60">
        <v>0</v>
      </c>
      <c r="AA92" s="60">
        <v>4</v>
      </c>
      <c r="AB92" s="60">
        <v>0</v>
      </c>
      <c r="AC92" s="60">
        <v>2</v>
      </c>
      <c r="AD92" s="60">
        <v>3</v>
      </c>
      <c r="AE92" s="60">
        <v>1</v>
      </c>
      <c r="AF92" s="60">
        <v>1</v>
      </c>
      <c r="AG92" s="5">
        <f t="shared" si="5"/>
        <v>38</v>
      </c>
    </row>
    <row r="93" spans="1:34" ht="15.75" customHeight="1" x14ac:dyDescent="0.25">
      <c r="A93" s="75" t="s">
        <v>41</v>
      </c>
      <c r="B93" s="20">
        <f t="shared" ref="B93:AF93" si="15">+B94+B100</f>
        <v>141</v>
      </c>
      <c r="C93" s="20">
        <f t="shared" si="15"/>
        <v>139</v>
      </c>
      <c r="D93" s="20">
        <f t="shared" si="15"/>
        <v>127</v>
      </c>
      <c r="E93" s="20">
        <f t="shared" si="15"/>
        <v>120</v>
      </c>
      <c r="F93" s="20">
        <f t="shared" si="15"/>
        <v>129</v>
      </c>
      <c r="G93" s="20">
        <f t="shared" si="15"/>
        <v>166</v>
      </c>
      <c r="H93" s="20">
        <f t="shared" si="15"/>
        <v>165</v>
      </c>
      <c r="I93" s="20">
        <f t="shared" si="15"/>
        <v>219</v>
      </c>
      <c r="J93" s="20">
        <f t="shared" si="15"/>
        <v>135</v>
      </c>
      <c r="K93" s="20">
        <f t="shared" si="15"/>
        <v>122</v>
      </c>
      <c r="L93" s="20">
        <f t="shared" si="15"/>
        <v>124</v>
      </c>
      <c r="M93" s="20">
        <f t="shared" si="15"/>
        <v>129</v>
      </c>
      <c r="N93" s="20">
        <f t="shared" si="15"/>
        <v>198</v>
      </c>
      <c r="O93" s="20">
        <f t="shared" si="15"/>
        <v>164</v>
      </c>
      <c r="P93" s="20">
        <f t="shared" si="15"/>
        <v>127</v>
      </c>
      <c r="Q93" s="20">
        <f t="shared" si="15"/>
        <v>134</v>
      </c>
      <c r="R93" s="20">
        <f t="shared" si="15"/>
        <v>122</v>
      </c>
      <c r="S93" s="20">
        <f t="shared" si="15"/>
        <v>120</v>
      </c>
      <c r="T93" s="20">
        <f t="shared" si="15"/>
        <v>133</v>
      </c>
      <c r="U93" s="20">
        <f t="shared" si="15"/>
        <v>190</v>
      </c>
      <c r="V93" s="20">
        <f t="shared" si="15"/>
        <v>208</v>
      </c>
      <c r="W93" s="20">
        <f t="shared" si="15"/>
        <v>113</v>
      </c>
      <c r="X93" s="20">
        <f t="shared" si="15"/>
        <v>115</v>
      </c>
      <c r="Y93" s="20">
        <f t="shared" si="15"/>
        <v>79</v>
      </c>
      <c r="Z93" s="20">
        <f t="shared" si="15"/>
        <v>137</v>
      </c>
      <c r="AA93" s="20">
        <f t="shared" si="15"/>
        <v>128</v>
      </c>
      <c r="AB93" s="20">
        <f t="shared" si="15"/>
        <v>188</v>
      </c>
      <c r="AC93" s="20">
        <f t="shared" si="15"/>
        <v>148</v>
      </c>
      <c r="AD93" s="20">
        <f t="shared" si="15"/>
        <v>129</v>
      </c>
      <c r="AE93" s="20">
        <f t="shared" si="15"/>
        <v>134</v>
      </c>
      <c r="AF93" s="20">
        <f t="shared" si="15"/>
        <v>99</v>
      </c>
      <c r="AG93" s="5">
        <f t="shared" si="5"/>
        <v>4382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24</v>
      </c>
      <c r="C94" s="21">
        <f t="shared" si="16"/>
        <v>28</v>
      </c>
      <c r="D94" s="21">
        <f t="shared" si="16"/>
        <v>26</v>
      </c>
      <c r="E94" s="21">
        <f t="shared" si="16"/>
        <v>20</v>
      </c>
      <c r="F94" s="21">
        <f t="shared" si="16"/>
        <v>26</v>
      </c>
      <c r="G94" s="21">
        <f t="shared" si="16"/>
        <v>28</v>
      </c>
      <c r="H94" s="21">
        <f t="shared" si="16"/>
        <v>20</v>
      </c>
      <c r="I94" s="21">
        <f t="shared" si="16"/>
        <v>36</v>
      </c>
      <c r="J94" s="21">
        <f t="shared" si="16"/>
        <v>19</v>
      </c>
      <c r="K94" s="21">
        <f t="shared" si="16"/>
        <v>11</v>
      </c>
      <c r="L94" s="21">
        <f t="shared" si="16"/>
        <v>20</v>
      </c>
      <c r="M94" s="21">
        <f t="shared" si="16"/>
        <v>17</v>
      </c>
      <c r="N94" s="21">
        <f t="shared" si="16"/>
        <v>30</v>
      </c>
      <c r="O94" s="21">
        <f t="shared" si="16"/>
        <v>17</v>
      </c>
      <c r="P94" s="21">
        <f t="shared" si="16"/>
        <v>13</v>
      </c>
      <c r="Q94" s="21">
        <f t="shared" si="16"/>
        <v>15</v>
      </c>
      <c r="R94" s="21">
        <f t="shared" si="16"/>
        <v>15</v>
      </c>
      <c r="S94" s="21">
        <f t="shared" si="16"/>
        <v>16</v>
      </c>
      <c r="T94" s="21">
        <f t="shared" si="16"/>
        <v>12</v>
      </c>
      <c r="U94" s="21">
        <f t="shared" si="16"/>
        <v>24</v>
      </c>
      <c r="V94" s="21">
        <f t="shared" si="16"/>
        <v>24</v>
      </c>
      <c r="W94" s="21">
        <f t="shared" si="16"/>
        <v>9</v>
      </c>
      <c r="X94" s="21">
        <f t="shared" si="16"/>
        <v>8</v>
      </c>
      <c r="Y94" s="21">
        <f t="shared" si="16"/>
        <v>10</v>
      </c>
      <c r="Z94" s="21">
        <f t="shared" si="16"/>
        <v>20</v>
      </c>
      <c r="AA94" s="21">
        <f t="shared" si="16"/>
        <v>8</v>
      </c>
      <c r="AB94" s="21">
        <f t="shared" si="16"/>
        <v>23</v>
      </c>
      <c r="AC94" s="21">
        <f t="shared" si="16"/>
        <v>15</v>
      </c>
      <c r="AD94" s="21">
        <f t="shared" si="16"/>
        <v>13</v>
      </c>
      <c r="AE94" s="21">
        <f t="shared" si="16"/>
        <v>13</v>
      </c>
      <c r="AF94" s="21">
        <f t="shared" si="16"/>
        <v>14</v>
      </c>
      <c r="AG94" s="5">
        <f t="shared" si="5"/>
        <v>574</v>
      </c>
    </row>
    <row r="95" spans="1:34" ht="15.75" customHeight="1" x14ac:dyDescent="0.25">
      <c r="A95" s="78" t="s">
        <v>43</v>
      </c>
      <c r="B95" s="54">
        <v>0</v>
      </c>
      <c r="C95" s="54">
        <v>2</v>
      </c>
      <c r="D95" s="54">
        <v>0</v>
      </c>
      <c r="E95" s="54">
        <v>1</v>
      </c>
      <c r="F95" s="54">
        <v>1</v>
      </c>
      <c r="G95" s="54">
        <v>0</v>
      </c>
      <c r="H95" s="54">
        <v>0</v>
      </c>
      <c r="I95" s="54">
        <v>0</v>
      </c>
      <c r="J95" s="54">
        <v>1</v>
      </c>
      <c r="K95" s="54">
        <v>0</v>
      </c>
      <c r="L95" s="54">
        <v>0</v>
      </c>
      <c r="M95" s="54">
        <v>0</v>
      </c>
      <c r="N95" s="54">
        <v>3</v>
      </c>
      <c r="O95" s="54">
        <v>1</v>
      </c>
      <c r="P95" s="54">
        <v>0</v>
      </c>
      <c r="Q95" s="54">
        <v>0</v>
      </c>
      <c r="R95" s="54">
        <v>0</v>
      </c>
      <c r="S95" s="54">
        <v>1</v>
      </c>
      <c r="T95" s="54">
        <v>0</v>
      </c>
      <c r="U95" s="54">
        <v>1</v>
      </c>
      <c r="V95" s="54">
        <v>0</v>
      </c>
      <c r="W95" s="54">
        <v>1</v>
      </c>
      <c r="X95" s="54">
        <v>0</v>
      </c>
      <c r="Y95" s="54">
        <v>0</v>
      </c>
      <c r="Z95" s="54">
        <v>2</v>
      </c>
      <c r="AA95" s="54">
        <v>0</v>
      </c>
      <c r="AB95" s="54">
        <v>0</v>
      </c>
      <c r="AC95" s="54">
        <v>1</v>
      </c>
      <c r="AD95" s="54">
        <v>3</v>
      </c>
      <c r="AE95" s="54">
        <v>0</v>
      </c>
      <c r="AF95" s="54">
        <v>2</v>
      </c>
      <c r="AG95" s="5">
        <f t="shared" si="5"/>
        <v>20</v>
      </c>
    </row>
    <row r="96" spans="1:34" ht="15.75" customHeight="1" x14ac:dyDescent="0.25">
      <c r="A96" s="79" t="s">
        <v>44</v>
      </c>
      <c r="B96" s="54">
        <v>0</v>
      </c>
      <c r="C96" s="54">
        <v>2</v>
      </c>
      <c r="D96" s="54">
        <v>0</v>
      </c>
      <c r="E96" s="54">
        <v>0</v>
      </c>
      <c r="F96" s="54">
        <v>0</v>
      </c>
      <c r="G96" s="54">
        <v>1</v>
      </c>
      <c r="H96" s="54">
        <v>1</v>
      </c>
      <c r="I96" s="54">
        <v>1</v>
      </c>
      <c r="J96" s="54">
        <v>0</v>
      </c>
      <c r="K96" s="54">
        <v>0</v>
      </c>
      <c r="L96" s="54">
        <v>3</v>
      </c>
      <c r="M96" s="54">
        <v>3</v>
      </c>
      <c r="N96" s="54">
        <v>1</v>
      </c>
      <c r="O96" s="54">
        <v>2</v>
      </c>
      <c r="P96" s="54">
        <v>0</v>
      </c>
      <c r="Q96" s="54">
        <v>0</v>
      </c>
      <c r="R96" s="54">
        <v>0</v>
      </c>
      <c r="S96" s="54">
        <v>0</v>
      </c>
      <c r="T96" s="54">
        <v>0</v>
      </c>
      <c r="U96" s="54">
        <v>1</v>
      </c>
      <c r="V96" s="54">
        <v>3</v>
      </c>
      <c r="W96" s="54">
        <v>1</v>
      </c>
      <c r="X96" s="54">
        <v>1</v>
      </c>
      <c r="Y96" s="54">
        <v>3</v>
      </c>
      <c r="Z96" s="54">
        <v>1</v>
      </c>
      <c r="AA96" s="54">
        <v>1</v>
      </c>
      <c r="AB96" s="54">
        <v>0</v>
      </c>
      <c r="AC96" s="54">
        <v>3</v>
      </c>
      <c r="AD96" s="54">
        <v>1</v>
      </c>
      <c r="AE96" s="54">
        <v>1</v>
      </c>
      <c r="AF96" s="54">
        <v>1</v>
      </c>
      <c r="AG96" s="5">
        <f t="shared" si="5"/>
        <v>31</v>
      </c>
    </row>
    <row r="97" spans="1:33" ht="15.75" customHeight="1" x14ac:dyDescent="0.25">
      <c r="A97" s="80" t="s">
        <v>45</v>
      </c>
      <c r="B97" s="54">
        <v>3</v>
      </c>
      <c r="C97" s="54">
        <v>3</v>
      </c>
      <c r="D97" s="54">
        <v>3</v>
      </c>
      <c r="E97" s="54">
        <v>2</v>
      </c>
      <c r="F97" s="54">
        <v>4</v>
      </c>
      <c r="G97" s="54">
        <v>7</v>
      </c>
      <c r="H97" s="54">
        <v>7</v>
      </c>
      <c r="I97" s="54">
        <v>4</v>
      </c>
      <c r="J97" s="54">
        <v>3</v>
      </c>
      <c r="K97" s="54">
        <v>3</v>
      </c>
      <c r="L97" s="54">
        <v>4</v>
      </c>
      <c r="M97" s="54">
        <v>1</v>
      </c>
      <c r="N97" s="54">
        <v>5</v>
      </c>
      <c r="O97" s="54">
        <v>3</v>
      </c>
      <c r="P97" s="54">
        <v>4</v>
      </c>
      <c r="Q97" s="54">
        <v>1</v>
      </c>
      <c r="R97" s="54">
        <v>3</v>
      </c>
      <c r="S97" s="54">
        <v>4</v>
      </c>
      <c r="T97" s="54">
        <v>0</v>
      </c>
      <c r="U97" s="54">
        <v>6</v>
      </c>
      <c r="V97" s="54">
        <v>5</v>
      </c>
      <c r="W97" s="54">
        <v>2</v>
      </c>
      <c r="X97" s="54">
        <v>0</v>
      </c>
      <c r="Y97" s="54">
        <v>1</v>
      </c>
      <c r="Z97" s="54">
        <v>4</v>
      </c>
      <c r="AA97" s="54">
        <v>0</v>
      </c>
      <c r="AB97" s="54">
        <v>5</v>
      </c>
      <c r="AC97" s="54">
        <v>0</v>
      </c>
      <c r="AD97" s="54">
        <v>0</v>
      </c>
      <c r="AE97" s="54">
        <v>3</v>
      </c>
      <c r="AF97" s="54">
        <v>7</v>
      </c>
      <c r="AG97" s="5">
        <f t="shared" si="5"/>
        <v>97</v>
      </c>
    </row>
    <row r="98" spans="1:33" ht="15.75" customHeight="1" x14ac:dyDescent="0.25">
      <c r="A98" s="81" t="s">
        <v>46</v>
      </c>
      <c r="B98" s="54">
        <v>11</v>
      </c>
      <c r="C98" s="54">
        <v>12</v>
      </c>
      <c r="D98" s="54">
        <v>10</v>
      </c>
      <c r="E98" s="54">
        <v>9</v>
      </c>
      <c r="F98" s="54">
        <v>10</v>
      </c>
      <c r="G98" s="54">
        <v>9</v>
      </c>
      <c r="H98" s="54">
        <v>9</v>
      </c>
      <c r="I98" s="54">
        <v>16</v>
      </c>
      <c r="J98" s="54">
        <v>5</v>
      </c>
      <c r="K98" s="54">
        <v>3</v>
      </c>
      <c r="L98" s="54">
        <v>6</v>
      </c>
      <c r="M98" s="54">
        <v>6</v>
      </c>
      <c r="N98" s="54">
        <v>10</v>
      </c>
      <c r="O98" s="54">
        <v>7</v>
      </c>
      <c r="P98" s="54">
        <v>5</v>
      </c>
      <c r="Q98" s="54">
        <v>7</v>
      </c>
      <c r="R98" s="54">
        <v>7</v>
      </c>
      <c r="S98" s="54">
        <v>5</v>
      </c>
      <c r="T98" s="54">
        <v>5</v>
      </c>
      <c r="U98" s="54">
        <v>8</v>
      </c>
      <c r="V98" s="54">
        <v>9</v>
      </c>
      <c r="W98" s="54">
        <v>4</v>
      </c>
      <c r="X98" s="54">
        <v>4</v>
      </c>
      <c r="Y98" s="54">
        <v>1</v>
      </c>
      <c r="Z98" s="54">
        <v>7</v>
      </c>
      <c r="AA98" s="54">
        <v>5</v>
      </c>
      <c r="AB98" s="54">
        <v>11</v>
      </c>
      <c r="AC98" s="54">
        <v>6</v>
      </c>
      <c r="AD98" s="54">
        <v>2</v>
      </c>
      <c r="AE98" s="54">
        <v>3</v>
      </c>
      <c r="AF98" s="54">
        <v>2</v>
      </c>
      <c r="AG98" s="5">
        <f t="shared" si="5"/>
        <v>214</v>
      </c>
    </row>
    <row r="99" spans="1:33" ht="15.75" customHeight="1" x14ac:dyDescent="0.25">
      <c r="A99" s="82" t="s">
        <v>47</v>
      </c>
      <c r="B99" s="54">
        <v>10</v>
      </c>
      <c r="C99" s="54">
        <v>9</v>
      </c>
      <c r="D99" s="54">
        <v>13</v>
      </c>
      <c r="E99" s="54">
        <v>8</v>
      </c>
      <c r="F99" s="54">
        <v>11</v>
      </c>
      <c r="G99" s="54">
        <v>11</v>
      </c>
      <c r="H99" s="54">
        <v>3</v>
      </c>
      <c r="I99" s="54">
        <v>15</v>
      </c>
      <c r="J99" s="54">
        <v>10</v>
      </c>
      <c r="K99" s="54">
        <v>5</v>
      </c>
      <c r="L99" s="54">
        <v>7</v>
      </c>
      <c r="M99" s="54">
        <v>7</v>
      </c>
      <c r="N99" s="54">
        <v>11</v>
      </c>
      <c r="O99" s="54">
        <v>4</v>
      </c>
      <c r="P99" s="54">
        <v>4</v>
      </c>
      <c r="Q99" s="54">
        <v>7</v>
      </c>
      <c r="R99" s="54">
        <v>5</v>
      </c>
      <c r="S99" s="54">
        <v>6</v>
      </c>
      <c r="T99" s="54">
        <v>7</v>
      </c>
      <c r="U99" s="54">
        <v>8</v>
      </c>
      <c r="V99" s="54">
        <v>7</v>
      </c>
      <c r="W99" s="54">
        <v>1</v>
      </c>
      <c r="X99" s="54">
        <v>3</v>
      </c>
      <c r="Y99" s="54">
        <v>5</v>
      </c>
      <c r="Z99" s="54">
        <v>6</v>
      </c>
      <c r="AA99" s="54">
        <v>2</v>
      </c>
      <c r="AB99" s="54">
        <v>7</v>
      </c>
      <c r="AC99" s="54">
        <v>5</v>
      </c>
      <c r="AD99" s="54">
        <v>7</v>
      </c>
      <c r="AE99" s="54">
        <v>6</v>
      </c>
      <c r="AF99" s="54">
        <v>2</v>
      </c>
      <c r="AG99" s="5">
        <f t="shared" ref="AG99:AG162" si="17">SUM(B99:AF99)</f>
        <v>212</v>
      </c>
    </row>
    <row r="100" spans="1:33" ht="15.75" customHeight="1" x14ac:dyDescent="0.25">
      <c r="A100" s="76" t="s">
        <v>48</v>
      </c>
      <c r="B100" s="21">
        <f t="shared" ref="B100:AF100" si="18">SUM(B101:B115)</f>
        <v>117</v>
      </c>
      <c r="C100" s="21">
        <f t="shared" si="18"/>
        <v>111</v>
      </c>
      <c r="D100" s="21">
        <f t="shared" si="18"/>
        <v>101</v>
      </c>
      <c r="E100" s="21">
        <f t="shared" si="18"/>
        <v>100</v>
      </c>
      <c r="F100" s="21">
        <f t="shared" si="18"/>
        <v>103</v>
      </c>
      <c r="G100" s="21">
        <f t="shared" si="18"/>
        <v>138</v>
      </c>
      <c r="H100" s="21">
        <f t="shared" si="18"/>
        <v>145</v>
      </c>
      <c r="I100" s="21">
        <f t="shared" si="18"/>
        <v>183</v>
      </c>
      <c r="J100" s="21">
        <f t="shared" si="18"/>
        <v>116</v>
      </c>
      <c r="K100" s="21">
        <f t="shared" si="18"/>
        <v>111</v>
      </c>
      <c r="L100" s="21">
        <f t="shared" si="18"/>
        <v>104</v>
      </c>
      <c r="M100" s="21">
        <f t="shared" si="18"/>
        <v>112</v>
      </c>
      <c r="N100" s="21">
        <f t="shared" si="18"/>
        <v>168</v>
      </c>
      <c r="O100" s="21">
        <f t="shared" si="18"/>
        <v>147</v>
      </c>
      <c r="P100" s="21">
        <f t="shared" si="18"/>
        <v>114</v>
      </c>
      <c r="Q100" s="21">
        <f t="shared" si="18"/>
        <v>119</v>
      </c>
      <c r="R100" s="21">
        <f t="shared" si="18"/>
        <v>107</v>
      </c>
      <c r="S100" s="21">
        <f t="shared" si="18"/>
        <v>104</v>
      </c>
      <c r="T100" s="21">
        <f t="shared" si="18"/>
        <v>121</v>
      </c>
      <c r="U100" s="21">
        <f t="shared" si="18"/>
        <v>166</v>
      </c>
      <c r="V100" s="21">
        <f t="shared" si="18"/>
        <v>184</v>
      </c>
      <c r="W100" s="21">
        <f t="shared" si="18"/>
        <v>104</v>
      </c>
      <c r="X100" s="21">
        <f t="shared" si="18"/>
        <v>107</v>
      </c>
      <c r="Y100" s="21">
        <f t="shared" si="18"/>
        <v>69</v>
      </c>
      <c r="Z100" s="21">
        <f t="shared" si="18"/>
        <v>117</v>
      </c>
      <c r="AA100" s="21">
        <f t="shared" si="18"/>
        <v>120</v>
      </c>
      <c r="AB100" s="21">
        <f t="shared" si="18"/>
        <v>165</v>
      </c>
      <c r="AC100" s="21">
        <f t="shared" si="18"/>
        <v>133</v>
      </c>
      <c r="AD100" s="21">
        <f t="shared" si="18"/>
        <v>116</v>
      </c>
      <c r="AE100" s="21">
        <f t="shared" si="18"/>
        <v>121</v>
      </c>
      <c r="AF100" s="21">
        <f t="shared" si="18"/>
        <v>85</v>
      </c>
      <c r="AG100" s="5">
        <f t="shared" si="17"/>
        <v>3808</v>
      </c>
    </row>
    <row r="101" spans="1:33" ht="15.75" customHeight="1" x14ac:dyDescent="0.25">
      <c r="A101" s="82" t="s">
        <v>49</v>
      </c>
      <c r="B101" s="54">
        <v>10</v>
      </c>
      <c r="C101" s="54">
        <v>12</v>
      </c>
      <c r="D101" s="54">
        <v>10</v>
      </c>
      <c r="E101" s="54">
        <v>10</v>
      </c>
      <c r="F101" s="54">
        <v>11</v>
      </c>
      <c r="G101" s="54">
        <v>10</v>
      </c>
      <c r="H101" s="54">
        <v>12</v>
      </c>
      <c r="I101" s="54">
        <v>9</v>
      </c>
      <c r="J101" s="54">
        <v>7</v>
      </c>
      <c r="K101" s="54">
        <v>9</v>
      </c>
      <c r="L101" s="54">
        <v>7</v>
      </c>
      <c r="M101" s="54">
        <v>11</v>
      </c>
      <c r="N101" s="54">
        <v>12</v>
      </c>
      <c r="O101" s="54">
        <v>9</v>
      </c>
      <c r="P101" s="54">
        <v>6</v>
      </c>
      <c r="Q101" s="54">
        <v>7</v>
      </c>
      <c r="R101" s="54">
        <v>6</v>
      </c>
      <c r="S101" s="54">
        <v>7</v>
      </c>
      <c r="T101" s="54">
        <v>14</v>
      </c>
      <c r="U101" s="54">
        <v>11</v>
      </c>
      <c r="V101" s="54">
        <v>12</v>
      </c>
      <c r="W101" s="54">
        <v>9</v>
      </c>
      <c r="X101" s="54">
        <v>3</v>
      </c>
      <c r="Y101" s="54">
        <v>6</v>
      </c>
      <c r="Z101" s="54">
        <v>10</v>
      </c>
      <c r="AA101" s="54">
        <v>6</v>
      </c>
      <c r="AB101" s="54">
        <v>7</v>
      </c>
      <c r="AC101" s="54">
        <v>7</v>
      </c>
      <c r="AD101" s="54">
        <v>9</v>
      </c>
      <c r="AE101" s="54">
        <v>9</v>
      </c>
      <c r="AF101" s="54">
        <v>5</v>
      </c>
      <c r="AG101" s="5">
        <f t="shared" si="17"/>
        <v>273</v>
      </c>
    </row>
    <row r="102" spans="1:33" ht="15.75" customHeight="1" x14ac:dyDescent="0.25">
      <c r="A102" s="82" t="s">
        <v>50</v>
      </c>
      <c r="B102" s="54">
        <v>9</v>
      </c>
      <c r="C102" s="54">
        <v>9</v>
      </c>
      <c r="D102" s="54">
        <v>11</v>
      </c>
      <c r="E102" s="54">
        <v>14</v>
      </c>
      <c r="F102" s="54">
        <v>9</v>
      </c>
      <c r="G102" s="54">
        <v>11</v>
      </c>
      <c r="H102" s="54">
        <v>14</v>
      </c>
      <c r="I102" s="54">
        <v>16</v>
      </c>
      <c r="J102" s="54">
        <v>9</v>
      </c>
      <c r="K102" s="54">
        <v>19</v>
      </c>
      <c r="L102" s="54">
        <v>6</v>
      </c>
      <c r="M102" s="54">
        <v>10</v>
      </c>
      <c r="N102" s="54">
        <v>12</v>
      </c>
      <c r="O102" s="54">
        <v>13</v>
      </c>
      <c r="P102" s="54">
        <v>8</v>
      </c>
      <c r="Q102" s="54">
        <v>6</v>
      </c>
      <c r="R102" s="54">
        <v>13</v>
      </c>
      <c r="S102" s="54">
        <v>9</v>
      </c>
      <c r="T102" s="54">
        <v>10</v>
      </c>
      <c r="U102" s="54">
        <v>9</v>
      </c>
      <c r="V102" s="54">
        <v>16</v>
      </c>
      <c r="W102" s="54">
        <v>3</v>
      </c>
      <c r="X102" s="54">
        <v>5</v>
      </c>
      <c r="Y102" s="54">
        <v>8</v>
      </c>
      <c r="Z102" s="54">
        <v>11</v>
      </c>
      <c r="AA102" s="54">
        <v>9</v>
      </c>
      <c r="AB102" s="54">
        <v>20</v>
      </c>
      <c r="AC102" s="54">
        <v>6</v>
      </c>
      <c r="AD102" s="54">
        <v>13</v>
      </c>
      <c r="AE102" s="54">
        <v>17</v>
      </c>
      <c r="AF102" s="54">
        <v>3</v>
      </c>
      <c r="AG102" s="5">
        <f t="shared" si="17"/>
        <v>328</v>
      </c>
    </row>
    <row r="103" spans="1:33" ht="15.75" customHeight="1" x14ac:dyDescent="0.25">
      <c r="A103" s="78" t="s">
        <v>51</v>
      </c>
      <c r="B103" s="54">
        <v>10</v>
      </c>
      <c r="C103" s="54">
        <v>8</v>
      </c>
      <c r="D103" s="54">
        <v>5</v>
      </c>
      <c r="E103" s="54">
        <v>14</v>
      </c>
      <c r="F103" s="54">
        <v>6</v>
      </c>
      <c r="G103" s="54">
        <v>15</v>
      </c>
      <c r="H103" s="54">
        <v>10</v>
      </c>
      <c r="I103" s="54">
        <v>22</v>
      </c>
      <c r="J103" s="54">
        <v>8</v>
      </c>
      <c r="K103" s="54">
        <v>14</v>
      </c>
      <c r="L103" s="54">
        <v>14</v>
      </c>
      <c r="M103" s="54">
        <v>9</v>
      </c>
      <c r="N103" s="54">
        <v>9</v>
      </c>
      <c r="O103" s="54">
        <v>8</v>
      </c>
      <c r="P103" s="54">
        <v>14</v>
      </c>
      <c r="Q103" s="54">
        <v>13</v>
      </c>
      <c r="R103" s="54">
        <v>17</v>
      </c>
      <c r="S103" s="54">
        <v>17</v>
      </c>
      <c r="T103" s="54">
        <v>13</v>
      </c>
      <c r="U103" s="54">
        <v>20</v>
      </c>
      <c r="V103" s="54">
        <v>17</v>
      </c>
      <c r="W103" s="54">
        <v>10</v>
      </c>
      <c r="X103" s="54">
        <v>9</v>
      </c>
      <c r="Y103" s="54">
        <v>7</v>
      </c>
      <c r="Z103" s="54">
        <v>12</v>
      </c>
      <c r="AA103" s="54">
        <v>9</v>
      </c>
      <c r="AB103" s="54">
        <v>9</v>
      </c>
      <c r="AC103" s="54">
        <v>12</v>
      </c>
      <c r="AD103" s="54">
        <v>11</v>
      </c>
      <c r="AE103" s="54">
        <v>13</v>
      </c>
      <c r="AF103" s="54">
        <v>7</v>
      </c>
      <c r="AG103" s="5">
        <f t="shared" si="17"/>
        <v>362</v>
      </c>
    </row>
    <row r="104" spans="1:33" ht="15.75" customHeight="1" x14ac:dyDescent="0.25">
      <c r="A104" s="78" t="s">
        <v>52</v>
      </c>
      <c r="B104" s="54">
        <v>7</v>
      </c>
      <c r="C104" s="54">
        <v>12</v>
      </c>
      <c r="D104" s="54">
        <v>7</v>
      </c>
      <c r="E104" s="54">
        <v>4</v>
      </c>
      <c r="F104" s="54">
        <v>9</v>
      </c>
      <c r="G104" s="54">
        <v>12</v>
      </c>
      <c r="H104" s="54">
        <v>15</v>
      </c>
      <c r="I104" s="54">
        <v>10</v>
      </c>
      <c r="J104" s="54">
        <v>16</v>
      </c>
      <c r="K104" s="54">
        <v>11</v>
      </c>
      <c r="L104" s="54">
        <v>11</v>
      </c>
      <c r="M104" s="54">
        <v>8</v>
      </c>
      <c r="N104" s="54">
        <v>8</v>
      </c>
      <c r="O104" s="54">
        <v>12</v>
      </c>
      <c r="P104" s="54">
        <v>9</v>
      </c>
      <c r="Q104" s="54">
        <v>7</v>
      </c>
      <c r="R104" s="54">
        <v>7</v>
      </c>
      <c r="S104" s="54">
        <v>10</v>
      </c>
      <c r="T104" s="54">
        <v>7</v>
      </c>
      <c r="U104" s="54">
        <v>12</v>
      </c>
      <c r="V104" s="54">
        <v>17</v>
      </c>
      <c r="W104" s="54">
        <v>8</v>
      </c>
      <c r="X104" s="54">
        <v>10</v>
      </c>
      <c r="Y104" s="54">
        <v>4</v>
      </c>
      <c r="Z104" s="54">
        <v>11</v>
      </c>
      <c r="AA104" s="54">
        <v>11</v>
      </c>
      <c r="AB104" s="54">
        <v>15</v>
      </c>
      <c r="AC104" s="54">
        <v>9</v>
      </c>
      <c r="AD104" s="54">
        <v>10</v>
      </c>
      <c r="AE104" s="54">
        <v>11</v>
      </c>
      <c r="AF104" s="54">
        <v>6</v>
      </c>
      <c r="AG104" s="5">
        <f t="shared" si="17"/>
        <v>306</v>
      </c>
    </row>
    <row r="105" spans="1:33" ht="15.75" customHeight="1" x14ac:dyDescent="0.25">
      <c r="A105" s="78" t="s">
        <v>53</v>
      </c>
      <c r="B105" s="54">
        <v>7</v>
      </c>
      <c r="C105" s="54">
        <v>12</v>
      </c>
      <c r="D105" s="54">
        <v>9</v>
      </c>
      <c r="E105" s="54">
        <v>6</v>
      </c>
      <c r="F105" s="54">
        <v>13</v>
      </c>
      <c r="G105" s="54">
        <v>13</v>
      </c>
      <c r="H105" s="54">
        <v>8</v>
      </c>
      <c r="I105" s="54">
        <v>9</v>
      </c>
      <c r="J105" s="54">
        <v>6</v>
      </c>
      <c r="K105" s="54">
        <v>4</v>
      </c>
      <c r="L105" s="54">
        <v>2</v>
      </c>
      <c r="M105" s="54">
        <v>10</v>
      </c>
      <c r="N105" s="54">
        <v>12</v>
      </c>
      <c r="O105" s="54">
        <v>14</v>
      </c>
      <c r="P105" s="54">
        <v>4</v>
      </c>
      <c r="Q105" s="54">
        <v>11</v>
      </c>
      <c r="R105" s="54">
        <v>16</v>
      </c>
      <c r="S105" s="54">
        <v>4</v>
      </c>
      <c r="T105" s="54">
        <v>9</v>
      </c>
      <c r="U105" s="54">
        <v>13</v>
      </c>
      <c r="V105" s="54">
        <v>7</v>
      </c>
      <c r="W105" s="54">
        <v>7</v>
      </c>
      <c r="X105" s="54">
        <v>4</v>
      </c>
      <c r="Y105" s="54">
        <v>4</v>
      </c>
      <c r="Z105" s="54">
        <v>8</v>
      </c>
      <c r="AA105" s="54">
        <v>12</v>
      </c>
      <c r="AB105" s="54">
        <v>13</v>
      </c>
      <c r="AC105" s="54">
        <v>12</v>
      </c>
      <c r="AD105" s="54">
        <v>9</v>
      </c>
      <c r="AE105" s="54">
        <v>9</v>
      </c>
      <c r="AF105" s="54">
        <v>7</v>
      </c>
      <c r="AG105" s="5">
        <f t="shared" si="17"/>
        <v>274</v>
      </c>
    </row>
    <row r="106" spans="1:33" ht="15.75" customHeight="1" x14ac:dyDescent="0.25">
      <c r="A106" s="78" t="s">
        <v>54</v>
      </c>
      <c r="B106" s="54">
        <v>9</v>
      </c>
      <c r="C106" s="54">
        <v>7</v>
      </c>
      <c r="D106" s="54">
        <v>4</v>
      </c>
      <c r="E106" s="54">
        <v>4</v>
      </c>
      <c r="F106" s="54">
        <v>6</v>
      </c>
      <c r="G106" s="54">
        <v>7</v>
      </c>
      <c r="H106" s="54">
        <v>8</v>
      </c>
      <c r="I106" s="54">
        <v>13</v>
      </c>
      <c r="J106" s="54">
        <v>7</v>
      </c>
      <c r="K106" s="54">
        <v>4</v>
      </c>
      <c r="L106" s="54">
        <v>6</v>
      </c>
      <c r="M106" s="54">
        <v>9</v>
      </c>
      <c r="N106" s="54">
        <v>16</v>
      </c>
      <c r="O106" s="54">
        <v>10</v>
      </c>
      <c r="P106" s="54">
        <v>11</v>
      </c>
      <c r="Q106" s="54">
        <v>10</v>
      </c>
      <c r="R106" s="54">
        <v>4</v>
      </c>
      <c r="S106" s="54">
        <v>8</v>
      </c>
      <c r="T106" s="54">
        <v>5</v>
      </c>
      <c r="U106" s="54">
        <v>12</v>
      </c>
      <c r="V106" s="54">
        <v>10</v>
      </c>
      <c r="W106" s="54">
        <v>9</v>
      </c>
      <c r="X106" s="54">
        <v>6</v>
      </c>
      <c r="Y106" s="54">
        <v>4</v>
      </c>
      <c r="Z106" s="54">
        <v>6</v>
      </c>
      <c r="AA106" s="54">
        <v>3</v>
      </c>
      <c r="AB106" s="54">
        <v>9</v>
      </c>
      <c r="AC106" s="54">
        <v>9</v>
      </c>
      <c r="AD106" s="54">
        <v>3</v>
      </c>
      <c r="AE106" s="54">
        <v>8</v>
      </c>
      <c r="AF106" s="54">
        <v>4</v>
      </c>
      <c r="AG106" s="5">
        <f t="shared" si="17"/>
        <v>231</v>
      </c>
    </row>
    <row r="107" spans="1:33" ht="15.75" customHeight="1" x14ac:dyDescent="0.25">
      <c r="A107" s="78" t="s">
        <v>55</v>
      </c>
      <c r="B107" s="54">
        <v>7</v>
      </c>
      <c r="C107" s="54">
        <v>7</v>
      </c>
      <c r="D107" s="54">
        <v>6</v>
      </c>
      <c r="E107" s="54">
        <v>6</v>
      </c>
      <c r="F107" s="54">
        <v>11</v>
      </c>
      <c r="G107" s="54">
        <v>8</v>
      </c>
      <c r="H107" s="54">
        <v>12</v>
      </c>
      <c r="I107" s="54">
        <v>11</v>
      </c>
      <c r="J107" s="54">
        <v>5</v>
      </c>
      <c r="K107" s="54">
        <v>6</v>
      </c>
      <c r="L107" s="54">
        <v>2</v>
      </c>
      <c r="M107" s="54">
        <v>4</v>
      </c>
      <c r="N107" s="54">
        <v>7</v>
      </c>
      <c r="O107" s="54">
        <v>11</v>
      </c>
      <c r="P107" s="54">
        <v>6</v>
      </c>
      <c r="Q107" s="54">
        <v>6</v>
      </c>
      <c r="R107" s="54">
        <v>5</v>
      </c>
      <c r="S107" s="54">
        <v>4</v>
      </c>
      <c r="T107" s="54">
        <v>10</v>
      </c>
      <c r="U107" s="54">
        <v>7</v>
      </c>
      <c r="V107" s="54">
        <v>15</v>
      </c>
      <c r="W107" s="54">
        <v>8</v>
      </c>
      <c r="X107" s="54">
        <v>10</v>
      </c>
      <c r="Y107" s="54">
        <v>5</v>
      </c>
      <c r="Z107" s="54">
        <v>6</v>
      </c>
      <c r="AA107" s="54">
        <v>5</v>
      </c>
      <c r="AB107" s="54">
        <v>11</v>
      </c>
      <c r="AC107" s="54">
        <v>8</v>
      </c>
      <c r="AD107" s="54">
        <v>6</v>
      </c>
      <c r="AE107" s="54">
        <v>1</v>
      </c>
      <c r="AF107" s="54">
        <v>4</v>
      </c>
      <c r="AG107" s="5">
        <f t="shared" si="17"/>
        <v>220</v>
      </c>
    </row>
    <row r="108" spans="1:33" ht="15.75" customHeight="1" x14ac:dyDescent="0.25">
      <c r="A108" s="78" t="s">
        <v>56</v>
      </c>
      <c r="B108" s="54">
        <v>8</v>
      </c>
      <c r="C108" s="54">
        <v>4</v>
      </c>
      <c r="D108" s="54">
        <v>5</v>
      </c>
      <c r="E108" s="54">
        <v>3</v>
      </c>
      <c r="F108" s="54">
        <v>3</v>
      </c>
      <c r="G108" s="54">
        <v>9</v>
      </c>
      <c r="H108" s="54">
        <v>11</v>
      </c>
      <c r="I108" s="54">
        <v>16</v>
      </c>
      <c r="J108" s="54">
        <v>9</v>
      </c>
      <c r="K108" s="54">
        <v>9</v>
      </c>
      <c r="L108" s="54">
        <v>7</v>
      </c>
      <c r="M108" s="54">
        <v>11</v>
      </c>
      <c r="N108" s="54">
        <v>14</v>
      </c>
      <c r="O108" s="54">
        <v>14</v>
      </c>
      <c r="P108" s="54">
        <v>10</v>
      </c>
      <c r="Q108" s="54">
        <v>9</v>
      </c>
      <c r="R108" s="54">
        <v>4</v>
      </c>
      <c r="S108" s="54">
        <v>3</v>
      </c>
      <c r="T108" s="54">
        <v>8</v>
      </c>
      <c r="U108" s="54">
        <v>8</v>
      </c>
      <c r="V108" s="54">
        <v>11</v>
      </c>
      <c r="W108" s="54">
        <v>8</v>
      </c>
      <c r="X108" s="54">
        <v>6</v>
      </c>
      <c r="Y108" s="54">
        <v>3</v>
      </c>
      <c r="Z108" s="54">
        <v>9</v>
      </c>
      <c r="AA108" s="54">
        <v>9</v>
      </c>
      <c r="AB108" s="54">
        <v>7</v>
      </c>
      <c r="AC108" s="54">
        <v>8</v>
      </c>
      <c r="AD108" s="54">
        <v>9</v>
      </c>
      <c r="AE108" s="54">
        <v>10</v>
      </c>
      <c r="AF108" s="54">
        <v>11</v>
      </c>
      <c r="AG108" s="5">
        <f t="shared" si="17"/>
        <v>256</v>
      </c>
    </row>
    <row r="109" spans="1:33" ht="15.75" customHeight="1" x14ac:dyDescent="0.25">
      <c r="A109" s="78" t="s">
        <v>57</v>
      </c>
      <c r="B109" s="54">
        <v>11</v>
      </c>
      <c r="C109" s="54">
        <v>7</v>
      </c>
      <c r="D109" s="54">
        <v>7</v>
      </c>
      <c r="E109" s="54">
        <v>10</v>
      </c>
      <c r="F109" s="54">
        <v>7</v>
      </c>
      <c r="G109" s="54">
        <v>16</v>
      </c>
      <c r="H109" s="54">
        <v>12</v>
      </c>
      <c r="I109" s="54">
        <v>19</v>
      </c>
      <c r="J109" s="54">
        <v>9</v>
      </c>
      <c r="K109" s="54">
        <v>9</v>
      </c>
      <c r="L109" s="54">
        <v>7</v>
      </c>
      <c r="M109" s="54">
        <v>9</v>
      </c>
      <c r="N109" s="54">
        <v>16</v>
      </c>
      <c r="O109" s="54">
        <v>8</v>
      </c>
      <c r="P109" s="54">
        <v>9</v>
      </c>
      <c r="Q109" s="54">
        <v>12</v>
      </c>
      <c r="R109" s="54">
        <v>6</v>
      </c>
      <c r="S109" s="54">
        <v>9</v>
      </c>
      <c r="T109" s="54">
        <v>9</v>
      </c>
      <c r="U109" s="54">
        <v>18</v>
      </c>
      <c r="V109" s="54">
        <v>16</v>
      </c>
      <c r="W109" s="54">
        <v>7</v>
      </c>
      <c r="X109" s="54">
        <v>9</v>
      </c>
      <c r="Y109" s="54">
        <v>8</v>
      </c>
      <c r="Z109" s="54">
        <v>12</v>
      </c>
      <c r="AA109" s="54">
        <v>12</v>
      </c>
      <c r="AB109" s="54">
        <v>14</v>
      </c>
      <c r="AC109" s="54">
        <v>12</v>
      </c>
      <c r="AD109" s="54">
        <v>12</v>
      </c>
      <c r="AE109" s="54">
        <v>8</v>
      </c>
      <c r="AF109" s="54">
        <v>8</v>
      </c>
      <c r="AG109" s="5">
        <f t="shared" si="17"/>
        <v>328</v>
      </c>
    </row>
    <row r="110" spans="1:33" ht="15.75" customHeight="1" x14ac:dyDescent="0.25">
      <c r="A110" s="78" t="s">
        <v>58</v>
      </c>
      <c r="B110" s="54">
        <v>12</v>
      </c>
      <c r="C110" s="54">
        <v>9</v>
      </c>
      <c r="D110" s="54">
        <v>9</v>
      </c>
      <c r="E110" s="54">
        <v>10</v>
      </c>
      <c r="F110" s="54">
        <v>8</v>
      </c>
      <c r="G110" s="54">
        <v>11</v>
      </c>
      <c r="H110" s="54">
        <v>7</v>
      </c>
      <c r="I110" s="54">
        <v>14</v>
      </c>
      <c r="J110" s="54">
        <v>14</v>
      </c>
      <c r="K110" s="54">
        <v>9</v>
      </c>
      <c r="L110" s="54">
        <v>10</v>
      </c>
      <c r="M110" s="54">
        <v>11</v>
      </c>
      <c r="N110" s="54">
        <v>15</v>
      </c>
      <c r="O110" s="54">
        <v>18</v>
      </c>
      <c r="P110" s="54">
        <v>13</v>
      </c>
      <c r="Q110" s="54">
        <v>12</v>
      </c>
      <c r="R110" s="54">
        <v>11</v>
      </c>
      <c r="S110" s="54">
        <v>9</v>
      </c>
      <c r="T110" s="54">
        <v>8</v>
      </c>
      <c r="U110" s="54">
        <v>7</v>
      </c>
      <c r="V110" s="54">
        <v>15</v>
      </c>
      <c r="W110" s="54">
        <v>8</v>
      </c>
      <c r="X110" s="54">
        <v>11</v>
      </c>
      <c r="Y110" s="54">
        <v>5</v>
      </c>
      <c r="Z110" s="54">
        <v>6</v>
      </c>
      <c r="AA110" s="54">
        <v>10</v>
      </c>
      <c r="AB110" s="54">
        <v>12</v>
      </c>
      <c r="AC110" s="54">
        <v>11</v>
      </c>
      <c r="AD110" s="54">
        <v>13</v>
      </c>
      <c r="AE110" s="54">
        <v>8</v>
      </c>
      <c r="AF110" s="54">
        <v>7</v>
      </c>
      <c r="AG110" s="5">
        <f t="shared" si="17"/>
        <v>323</v>
      </c>
    </row>
    <row r="111" spans="1:33" ht="15.75" customHeight="1" x14ac:dyDescent="0.25">
      <c r="A111" s="78" t="s">
        <v>59</v>
      </c>
      <c r="B111" s="54">
        <v>7</v>
      </c>
      <c r="C111" s="54">
        <v>10</v>
      </c>
      <c r="D111" s="54">
        <v>9</v>
      </c>
      <c r="E111" s="54">
        <v>4</v>
      </c>
      <c r="F111" s="54">
        <v>6</v>
      </c>
      <c r="G111" s="54">
        <v>9</v>
      </c>
      <c r="H111" s="54">
        <v>9</v>
      </c>
      <c r="I111" s="54">
        <v>16</v>
      </c>
      <c r="J111" s="54">
        <v>4</v>
      </c>
      <c r="K111" s="54">
        <v>4</v>
      </c>
      <c r="L111" s="54">
        <v>9</v>
      </c>
      <c r="M111" s="54">
        <v>5</v>
      </c>
      <c r="N111" s="54">
        <v>17</v>
      </c>
      <c r="O111" s="54">
        <v>8</v>
      </c>
      <c r="P111" s="54">
        <v>5</v>
      </c>
      <c r="Q111" s="54">
        <v>4</v>
      </c>
      <c r="R111" s="54">
        <v>5</v>
      </c>
      <c r="S111" s="54">
        <v>7</v>
      </c>
      <c r="T111" s="54">
        <v>7</v>
      </c>
      <c r="U111" s="54">
        <v>10</v>
      </c>
      <c r="V111" s="54">
        <v>13</v>
      </c>
      <c r="W111" s="54">
        <v>9</v>
      </c>
      <c r="X111" s="54">
        <v>13</v>
      </c>
      <c r="Y111" s="54">
        <v>5</v>
      </c>
      <c r="Z111" s="54">
        <v>7</v>
      </c>
      <c r="AA111" s="54">
        <v>9</v>
      </c>
      <c r="AB111" s="54">
        <v>13</v>
      </c>
      <c r="AC111" s="54">
        <v>15</v>
      </c>
      <c r="AD111" s="54">
        <v>4</v>
      </c>
      <c r="AE111" s="54">
        <v>12</v>
      </c>
      <c r="AF111" s="54">
        <v>5</v>
      </c>
      <c r="AG111" s="5">
        <f t="shared" si="17"/>
        <v>260</v>
      </c>
    </row>
    <row r="112" spans="1:33" ht="15.75" customHeight="1" x14ac:dyDescent="0.25">
      <c r="A112" s="78" t="s">
        <v>60</v>
      </c>
      <c r="B112" s="54">
        <v>7</v>
      </c>
      <c r="C112" s="54">
        <v>5</v>
      </c>
      <c r="D112" s="54">
        <v>3</v>
      </c>
      <c r="E112" s="54">
        <v>4</v>
      </c>
      <c r="F112" s="54">
        <v>5</v>
      </c>
      <c r="G112" s="54">
        <v>7</v>
      </c>
      <c r="H112" s="54">
        <v>12</v>
      </c>
      <c r="I112" s="54">
        <v>16</v>
      </c>
      <c r="J112" s="54">
        <v>8</v>
      </c>
      <c r="K112" s="54">
        <v>5</v>
      </c>
      <c r="L112" s="54">
        <v>8</v>
      </c>
      <c r="M112" s="54">
        <v>4</v>
      </c>
      <c r="N112" s="54">
        <v>13</v>
      </c>
      <c r="O112" s="54">
        <v>12</v>
      </c>
      <c r="P112" s="54">
        <v>5</v>
      </c>
      <c r="Q112" s="54">
        <v>7</v>
      </c>
      <c r="R112" s="54">
        <v>5</v>
      </c>
      <c r="S112" s="54">
        <v>5</v>
      </c>
      <c r="T112" s="54">
        <v>7</v>
      </c>
      <c r="U112" s="54">
        <v>18</v>
      </c>
      <c r="V112" s="54">
        <v>17</v>
      </c>
      <c r="W112" s="54">
        <v>9</v>
      </c>
      <c r="X112" s="54">
        <v>5</v>
      </c>
      <c r="Y112" s="54">
        <v>2</v>
      </c>
      <c r="Z112" s="54">
        <v>8</v>
      </c>
      <c r="AA112" s="54">
        <v>7</v>
      </c>
      <c r="AB112" s="54">
        <v>11</v>
      </c>
      <c r="AC112" s="54">
        <v>4</v>
      </c>
      <c r="AD112" s="54">
        <v>2</v>
      </c>
      <c r="AE112" s="54">
        <v>6</v>
      </c>
      <c r="AF112" s="54">
        <v>8</v>
      </c>
      <c r="AG112" s="5">
        <f t="shared" si="17"/>
        <v>235</v>
      </c>
    </row>
    <row r="113" spans="1:37" ht="15.75" customHeight="1" x14ac:dyDescent="0.25">
      <c r="A113" s="78" t="s">
        <v>61</v>
      </c>
      <c r="B113" s="54">
        <v>2</v>
      </c>
      <c r="C113" s="54">
        <v>2</v>
      </c>
      <c r="D113" s="54">
        <v>5</v>
      </c>
      <c r="E113" s="54">
        <v>6</v>
      </c>
      <c r="F113" s="54">
        <v>5</v>
      </c>
      <c r="G113" s="54">
        <v>4</v>
      </c>
      <c r="H113" s="54">
        <v>4</v>
      </c>
      <c r="I113" s="54">
        <v>3</v>
      </c>
      <c r="J113" s="54">
        <v>3</v>
      </c>
      <c r="K113" s="54">
        <v>6</v>
      </c>
      <c r="L113" s="54">
        <v>4</v>
      </c>
      <c r="M113" s="54">
        <v>6</v>
      </c>
      <c r="N113" s="54">
        <v>4</v>
      </c>
      <c r="O113" s="54">
        <v>3</v>
      </c>
      <c r="P113" s="54">
        <v>7</v>
      </c>
      <c r="Q113" s="54">
        <v>3</v>
      </c>
      <c r="R113" s="54">
        <v>3</v>
      </c>
      <c r="S113" s="54">
        <v>4</v>
      </c>
      <c r="T113" s="54">
        <v>7</v>
      </c>
      <c r="U113" s="54">
        <v>11</v>
      </c>
      <c r="V113" s="54">
        <v>3</v>
      </c>
      <c r="W113" s="54">
        <v>3</v>
      </c>
      <c r="X113" s="54">
        <v>7</v>
      </c>
      <c r="Y113" s="54">
        <v>5</v>
      </c>
      <c r="Z113" s="54">
        <v>3</v>
      </c>
      <c r="AA113" s="54">
        <v>8</v>
      </c>
      <c r="AB113" s="54">
        <v>8</v>
      </c>
      <c r="AC113" s="54">
        <v>6</v>
      </c>
      <c r="AD113" s="54">
        <v>7</v>
      </c>
      <c r="AE113" s="54">
        <v>2</v>
      </c>
      <c r="AF113" s="54">
        <v>4</v>
      </c>
      <c r="AG113" s="5">
        <f t="shared" si="17"/>
        <v>148</v>
      </c>
    </row>
    <row r="114" spans="1:37" ht="15.75" customHeight="1" x14ac:dyDescent="0.25">
      <c r="A114" s="78" t="s">
        <v>62</v>
      </c>
      <c r="B114" s="54">
        <v>11</v>
      </c>
      <c r="C114" s="54">
        <v>7</v>
      </c>
      <c r="D114" s="54">
        <v>11</v>
      </c>
      <c r="E114" s="54">
        <v>5</v>
      </c>
      <c r="F114" s="54">
        <v>4</v>
      </c>
      <c r="G114" s="54">
        <v>6</v>
      </c>
      <c r="H114" s="54">
        <v>11</v>
      </c>
      <c r="I114" s="54">
        <v>9</v>
      </c>
      <c r="J114" s="54">
        <v>11</v>
      </c>
      <c r="K114" s="54">
        <v>2</v>
      </c>
      <c r="L114" s="54">
        <v>11</v>
      </c>
      <c r="M114" s="54">
        <v>5</v>
      </c>
      <c r="N114" s="54">
        <v>13</v>
      </c>
      <c r="O114" s="54">
        <v>7</v>
      </c>
      <c r="P114" s="54">
        <v>7</v>
      </c>
      <c r="Q114" s="54">
        <v>12</v>
      </c>
      <c r="R114" s="54">
        <v>5</v>
      </c>
      <c r="S114" s="54">
        <v>8</v>
      </c>
      <c r="T114" s="54">
        <v>7</v>
      </c>
      <c r="U114" s="54">
        <v>10</v>
      </c>
      <c r="V114" s="54">
        <v>15</v>
      </c>
      <c r="W114" s="54">
        <v>6</v>
      </c>
      <c r="X114" s="54">
        <v>9</v>
      </c>
      <c r="Y114" s="54">
        <v>3</v>
      </c>
      <c r="Z114" s="54">
        <v>8</v>
      </c>
      <c r="AA114" s="54">
        <v>10</v>
      </c>
      <c r="AB114" s="54">
        <v>16</v>
      </c>
      <c r="AC114" s="54">
        <v>14</v>
      </c>
      <c r="AD114" s="54">
        <v>8</v>
      </c>
      <c r="AE114" s="54">
        <v>7</v>
      </c>
      <c r="AF114" s="54">
        <v>6</v>
      </c>
      <c r="AG114" s="5">
        <f t="shared" si="17"/>
        <v>264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39</v>
      </c>
      <c r="C116" s="20">
        <f t="shared" si="19"/>
        <v>40</v>
      </c>
      <c r="D116" s="20">
        <f t="shared" si="19"/>
        <v>40</v>
      </c>
      <c r="E116" s="20">
        <f t="shared" si="19"/>
        <v>40</v>
      </c>
      <c r="F116" s="20">
        <f t="shared" si="19"/>
        <v>0</v>
      </c>
      <c r="G116" s="20">
        <f t="shared" si="19"/>
        <v>35</v>
      </c>
      <c r="H116" s="20">
        <f t="shared" si="19"/>
        <v>60</v>
      </c>
      <c r="I116" s="20">
        <f t="shared" si="19"/>
        <v>69</v>
      </c>
      <c r="J116" s="20">
        <f t="shared" si="19"/>
        <v>48</v>
      </c>
      <c r="K116" s="20">
        <f t="shared" si="19"/>
        <v>34</v>
      </c>
      <c r="L116" s="20">
        <f t="shared" si="19"/>
        <v>43</v>
      </c>
      <c r="M116" s="20">
        <f t="shared" si="19"/>
        <v>44</v>
      </c>
      <c r="N116" s="20">
        <f t="shared" si="19"/>
        <v>66</v>
      </c>
      <c r="O116" s="20">
        <f t="shared" si="19"/>
        <v>42</v>
      </c>
      <c r="P116" s="20">
        <f t="shared" si="19"/>
        <v>45</v>
      </c>
      <c r="Q116" s="20">
        <f t="shared" si="19"/>
        <v>39</v>
      </c>
      <c r="R116" s="20">
        <f t="shared" si="19"/>
        <v>34</v>
      </c>
      <c r="S116" s="20">
        <f t="shared" si="19"/>
        <v>35</v>
      </c>
      <c r="T116" s="20">
        <f t="shared" si="19"/>
        <v>35</v>
      </c>
      <c r="U116" s="20">
        <f t="shared" si="19"/>
        <v>69</v>
      </c>
      <c r="V116" s="20">
        <f t="shared" si="19"/>
        <v>69</v>
      </c>
      <c r="W116" s="20">
        <f t="shared" si="19"/>
        <v>43</v>
      </c>
      <c r="X116" s="20">
        <f t="shared" si="19"/>
        <v>32</v>
      </c>
      <c r="Y116" s="20">
        <f t="shared" si="19"/>
        <v>26</v>
      </c>
      <c r="Z116" s="20">
        <f t="shared" si="19"/>
        <v>46</v>
      </c>
      <c r="AA116" s="20">
        <f t="shared" si="19"/>
        <v>45</v>
      </c>
      <c r="AB116" s="20">
        <f t="shared" si="19"/>
        <v>66</v>
      </c>
      <c r="AC116" s="20">
        <f t="shared" si="19"/>
        <v>51</v>
      </c>
      <c r="AD116" s="20">
        <f t="shared" si="19"/>
        <v>50</v>
      </c>
      <c r="AE116" s="20">
        <f t="shared" si="19"/>
        <v>31</v>
      </c>
      <c r="AF116" s="20">
        <f t="shared" si="19"/>
        <v>40</v>
      </c>
      <c r="AG116" s="5">
        <f t="shared" si="17"/>
        <v>1356</v>
      </c>
      <c r="AK116" s="84">
        <v>612</v>
      </c>
    </row>
    <row r="117" spans="1:37" ht="15.75" customHeight="1" x14ac:dyDescent="0.25">
      <c r="A117" s="85" t="s">
        <v>64</v>
      </c>
      <c r="B117" s="54">
        <v>31</v>
      </c>
      <c r="C117" s="54">
        <v>31</v>
      </c>
      <c r="D117" s="54">
        <v>33</v>
      </c>
      <c r="E117" s="54">
        <v>34</v>
      </c>
      <c r="F117" s="54"/>
      <c r="G117" s="54">
        <v>31</v>
      </c>
      <c r="H117" s="54">
        <v>54</v>
      </c>
      <c r="I117" s="54">
        <v>61</v>
      </c>
      <c r="J117" s="54">
        <v>42</v>
      </c>
      <c r="K117" s="54">
        <v>31</v>
      </c>
      <c r="L117" s="54">
        <v>42</v>
      </c>
      <c r="M117" s="54">
        <v>38</v>
      </c>
      <c r="N117" s="54">
        <v>59</v>
      </c>
      <c r="O117" s="54">
        <v>37</v>
      </c>
      <c r="P117" s="54">
        <v>39</v>
      </c>
      <c r="Q117" s="54">
        <v>25</v>
      </c>
      <c r="R117" s="54">
        <v>31</v>
      </c>
      <c r="S117" s="54">
        <v>31</v>
      </c>
      <c r="T117" s="54">
        <v>30</v>
      </c>
      <c r="U117" s="54">
        <v>52</v>
      </c>
      <c r="V117" s="54">
        <v>57</v>
      </c>
      <c r="W117" s="54">
        <v>37</v>
      </c>
      <c r="X117" s="54">
        <v>29</v>
      </c>
      <c r="Y117" s="54">
        <v>17</v>
      </c>
      <c r="Z117" s="54">
        <v>42</v>
      </c>
      <c r="AA117" s="54">
        <v>39</v>
      </c>
      <c r="AB117" s="54">
        <v>51</v>
      </c>
      <c r="AC117" s="54">
        <v>45</v>
      </c>
      <c r="AD117" s="54">
        <v>44</v>
      </c>
      <c r="AE117" s="54">
        <v>22</v>
      </c>
      <c r="AF117" s="54">
        <v>29</v>
      </c>
      <c r="AG117" s="5">
        <f t="shared" si="17"/>
        <v>1144</v>
      </c>
      <c r="AK117" s="84">
        <v>613</v>
      </c>
    </row>
    <row r="118" spans="1:37" ht="15.75" customHeight="1" thickBot="1" x14ac:dyDescent="0.3">
      <c r="A118" s="86" t="s">
        <v>76</v>
      </c>
      <c r="B118" s="87">
        <v>8</v>
      </c>
      <c r="C118" s="87">
        <v>9</v>
      </c>
      <c r="D118" s="87">
        <v>7</v>
      </c>
      <c r="E118" s="87">
        <v>6</v>
      </c>
      <c r="F118" s="87"/>
      <c r="G118" s="87">
        <v>4</v>
      </c>
      <c r="H118" s="87">
        <v>6</v>
      </c>
      <c r="I118" s="87">
        <v>8</v>
      </c>
      <c r="J118" s="87">
        <v>6</v>
      </c>
      <c r="K118" s="87">
        <v>3</v>
      </c>
      <c r="L118" s="87">
        <v>1</v>
      </c>
      <c r="M118" s="87">
        <v>6</v>
      </c>
      <c r="N118" s="87">
        <v>7</v>
      </c>
      <c r="O118" s="87">
        <v>5</v>
      </c>
      <c r="P118" s="87">
        <v>6</v>
      </c>
      <c r="Q118" s="87">
        <v>14</v>
      </c>
      <c r="R118" s="87">
        <v>3</v>
      </c>
      <c r="S118" s="87">
        <v>4</v>
      </c>
      <c r="T118" s="87">
        <v>5</v>
      </c>
      <c r="U118" s="87">
        <v>17</v>
      </c>
      <c r="V118" s="87">
        <v>12</v>
      </c>
      <c r="W118" s="87">
        <v>6</v>
      </c>
      <c r="X118" s="87">
        <v>3</v>
      </c>
      <c r="Y118" s="87">
        <v>9</v>
      </c>
      <c r="Z118" s="87">
        <v>4</v>
      </c>
      <c r="AA118" s="87">
        <v>6</v>
      </c>
      <c r="AB118" s="87">
        <v>15</v>
      </c>
      <c r="AC118" s="87">
        <v>6</v>
      </c>
      <c r="AD118" s="87">
        <v>6</v>
      </c>
      <c r="AE118" s="87">
        <v>9</v>
      </c>
      <c r="AF118" s="87">
        <v>11</v>
      </c>
      <c r="AG118" s="5">
        <f t="shared" si="17"/>
        <v>212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141</v>
      </c>
      <c r="C119" s="20">
        <f t="shared" si="20"/>
        <v>139</v>
      </c>
      <c r="D119" s="20">
        <f t="shared" si="20"/>
        <v>127</v>
      </c>
      <c r="E119" s="20">
        <f t="shared" si="20"/>
        <v>120</v>
      </c>
      <c r="F119" s="20">
        <f t="shared" si="20"/>
        <v>129</v>
      </c>
      <c r="G119" s="20">
        <f t="shared" si="20"/>
        <v>166</v>
      </c>
      <c r="H119" s="20">
        <f t="shared" si="20"/>
        <v>165</v>
      </c>
      <c r="I119" s="20">
        <f t="shared" si="20"/>
        <v>219</v>
      </c>
      <c r="J119" s="20">
        <f t="shared" si="20"/>
        <v>135</v>
      </c>
      <c r="K119" s="20">
        <f t="shared" si="20"/>
        <v>122</v>
      </c>
      <c r="L119" s="20">
        <f t="shared" si="20"/>
        <v>124</v>
      </c>
      <c r="M119" s="20">
        <f t="shared" si="20"/>
        <v>129</v>
      </c>
      <c r="N119" s="20">
        <f t="shared" si="20"/>
        <v>198</v>
      </c>
      <c r="O119" s="20">
        <f t="shared" si="20"/>
        <v>164</v>
      </c>
      <c r="P119" s="20">
        <f t="shared" si="20"/>
        <v>127</v>
      </c>
      <c r="Q119" s="20">
        <f t="shared" si="20"/>
        <v>134</v>
      </c>
      <c r="R119" s="20">
        <f t="shared" si="20"/>
        <v>122</v>
      </c>
      <c r="S119" s="20">
        <f t="shared" si="20"/>
        <v>120</v>
      </c>
      <c r="T119" s="20">
        <f t="shared" si="20"/>
        <v>133</v>
      </c>
      <c r="U119" s="20">
        <f t="shared" si="20"/>
        <v>190</v>
      </c>
      <c r="V119" s="20">
        <f t="shared" si="20"/>
        <v>208</v>
      </c>
      <c r="W119" s="20">
        <f t="shared" si="20"/>
        <v>113</v>
      </c>
      <c r="X119" s="20">
        <f t="shared" si="20"/>
        <v>115</v>
      </c>
      <c r="Y119" s="20">
        <f t="shared" si="20"/>
        <v>79</v>
      </c>
      <c r="Z119" s="20">
        <f t="shared" si="20"/>
        <v>137</v>
      </c>
      <c r="AA119" s="20">
        <f t="shared" si="20"/>
        <v>128</v>
      </c>
      <c r="AB119" s="20">
        <f t="shared" si="20"/>
        <v>188</v>
      </c>
      <c r="AC119" s="20">
        <f t="shared" si="20"/>
        <v>148</v>
      </c>
      <c r="AD119" s="20">
        <f t="shared" si="20"/>
        <v>129</v>
      </c>
      <c r="AE119" s="20">
        <f t="shared" si="20"/>
        <v>134</v>
      </c>
      <c r="AF119" s="20">
        <f t="shared" si="20"/>
        <v>99</v>
      </c>
      <c r="AG119" s="7">
        <f t="shared" si="17"/>
        <v>4382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30</v>
      </c>
      <c r="C120" s="54">
        <v>26</v>
      </c>
      <c r="D120" s="54">
        <v>31</v>
      </c>
      <c r="E120" s="54">
        <v>33</v>
      </c>
      <c r="F120" s="54">
        <v>36</v>
      </c>
      <c r="G120" s="54">
        <v>31</v>
      </c>
      <c r="H120" s="54">
        <v>54</v>
      </c>
      <c r="I120" s="54">
        <v>60</v>
      </c>
      <c r="J120" s="54">
        <v>39</v>
      </c>
      <c r="K120" s="54">
        <v>30</v>
      </c>
      <c r="L120" s="54">
        <v>42</v>
      </c>
      <c r="M120" s="54">
        <v>36</v>
      </c>
      <c r="N120" s="54">
        <v>55</v>
      </c>
      <c r="O120" s="54">
        <v>37</v>
      </c>
      <c r="P120" s="54">
        <v>34</v>
      </c>
      <c r="Q120" s="54">
        <v>23</v>
      </c>
      <c r="R120" s="54">
        <v>30</v>
      </c>
      <c r="S120" s="54">
        <v>31</v>
      </c>
      <c r="T120" s="54">
        <v>29</v>
      </c>
      <c r="U120" s="54">
        <v>49</v>
      </c>
      <c r="V120" s="54">
        <v>56</v>
      </c>
      <c r="W120" s="54">
        <v>33</v>
      </c>
      <c r="X120" s="54">
        <v>28</v>
      </c>
      <c r="Y120" s="54">
        <v>17</v>
      </c>
      <c r="Z120" s="54">
        <v>41</v>
      </c>
      <c r="AA120" s="54">
        <v>35</v>
      </c>
      <c r="AB120" s="54">
        <v>51</v>
      </c>
      <c r="AC120" s="54">
        <v>43</v>
      </c>
      <c r="AD120" s="54">
        <v>41</v>
      </c>
      <c r="AE120" s="54">
        <v>22</v>
      </c>
      <c r="AF120" s="54">
        <v>27</v>
      </c>
      <c r="AG120" s="5">
        <f t="shared" si="17"/>
        <v>1130</v>
      </c>
      <c r="AK120" s="88" t="s">
        <v>130</v>
      </c>
    </row>
    <row r="121" spans="1:37" ht="15.75" customHeight="1" x14ac:dyDescent="0.25">
      <c r="A121" s="85" t="s">
        <v>65</v>
      </c>
      <c r="B121" s="54">
        <v>3</v>
      </c>
      <c r="C121" s="54">
        <v>5</v>
      </c>
      <c r="D121" s="54">
        <v>2</v>
      </c>
      <c r="E121" s="54">
        <v>1</v>
      </c>
      <c r="F121" s="54">
        <v>1</v>
      </c>
      <c r="G121" s="54">
        <v>4</v>
      </c>
      <c r="H121" s="54">
        <v>5</v>
      </c>
      <c r="I121" s="54">
        <v>4</v>
      </c>
      <c r="J121" s="54">
        <v>1</v>
      </c>
      <c r="K121" s="54">
        <v>2</v>
      </c>
      <c r="L121" s="54">
        <v>2</v>
      </c>
      <c r="M121" s="54">
        <v>2</v>
      </c>
      <c r="N121" s="54">
        <v>5</v>
      </c>
      <c r="O121" s="54">
        <v>4</v>
      </c>
      <c r="P121" s="54">
        <v>1</v>
      </c>
      <c r="Q121" s="54">
        <v>6</v>
      </c>
      <c r="R121" s="54">
        <v>1</v>
      </c>
      <c r="S121" s="54">
        <v>3</v>
      </c>
      <c r="T121" s="54">
        <v>5</v>
      </c>
      <c r="U121" s="54">
        <v>4</v>
      </c>
      <c r="V121" s="54">
        <v>11</v>
      </c>
      <c r="W121" s="54">
        <v>4</v>
      </c>
      <c r="X121" s="54">
        <v>4</v>
      </c>
      <c r="Y121" s="54">
        <v>2</v>
      </c>
      <c r="Z121" s="54">
        <v>3</v>
      </c>
      <c r="AA121" s="54">
        <v>2</v>
      </c>
      <c r="AB121" s="54">
        <v>6</v>
      </c>
      <c r="AC121" s="54">
        <v>3</v>
      </c>
      <c r="AD121" s="54">
        <v>1</v>
      </c>
      <c r="AE121" s="54">
        <v>0</v>
      </c>
      <c r="AF121" s="54">
        <v>1</v>
      </c>
      <c r="AG121" s="5">
        <f t="shared" si="17"/>
        <v>98</v>
      </c>
      <c r="AK121" s="84" t="s">
        <v>131</v>
      </c>
    </row>
    <row r="122" spans="1:37" ht="15.75" customHeight="1" x14ac:dyDescent="0.25">
      <c r="A122" s="85" t="s">
        <v>66</v>
      </c>
      <c r="B122" s="54">
        <v>0</v>
      </c>
      <c r="C122" s="54">
        <v>6</v>
      </c>
      <c r="D122" s="54">
        <v>10</v>
      </c>
      <c r="E122" s="54">
        <v>8</v>
      </c>
      <c r="F122" s="54">
        <v>4</v>
      </c>
      <c r="G122" s="54">
        <v>6</v>
      </c>
      <c r="H122" s="54">
        <v>6</v>
      </c>
      <c r="I122" s="54">
        <v>12</v>
      </c>
      <c r="J122" s="54">
        <v>9</v>
      </c>
      <c r="K122" s="54">
        <v>4</v>
      </c>
      <c r="L122" s="54">
        <v>4</v>
      </c>
      <c r="M122" s="54">
        <v>8</v>
      </c>
      <c r="N122" s="54">
        <v>13</v>
      </c>
      <c r="O122" s="54">
        <v>14</v>
      </c>
      <c r="P122" s="54">
        <v>13</v>
      </c>
      <c r="Q122" s="54">
        <v>6</v>
      </c>
      <c r="R122" s="54">
        <v>5</v>
      </c>
      <c r="S122" s="54">
        <v>4</v>
      </c>
      <c r="T122" s="54">
        <v>7</v>
      </c>
      <c r="U122" s="54">
        <v>10</v>
      </c>
      <c r="V122" s="54">
        <v>9</v>
      </c>
      <c r="W122" s="54">
        <v>1</v>
      </c>
      <c r="X122" s="54">
        <v>4</v>
      </c>
      <c r="Y122" s="54">
        <v>3</v>
      </c>
      <c r="Z122" s="54">
        <v>16</v>
      </c>
      <c r="AA122" s="54">
        <v>12</v>
      </c>
      <c r="AB122" s="54">
        <v>13</v>
      </c>
      <c r="AC122" s="54">
        <v>15</v>
      </c>
      <c r="AD122" s="54">
        <v>9</v>
      </c>
      <c r="AE122" s="54">
        <v>11</v>
      </c>
      <c r="AF122" s="54">
        <v>5</v>
      </c>
      <c r="AG122" s="5">
        <f t="shared" si="17"/>
        <v>247</v>
      </c>
      <c r="AK122" s="88" t="s">
        <v>132</v>
      </c>
    </row>
    <row r="123" spans="1:37" ht="15.75" customHeight="1" x14ac:dyDescent="0.25">
      <c r="A123" s="85" t="s">
        <v>67</v>
      </c>
      <c r="B123" s="54">
        <v>2</v>
      </c>
      <c r="C123" s="54">
        <v>5</v>
      </c>
      <c r="D123" s="54">
        <v>7</v>
      </c>
      <c r="E123" s="54">
        <v>4</v>
      </c>
      <c r="F123" s="54">
        <v>3</v>
      </c>
      <c r="G123" s="54">
        <v>4</v>
      </c>
      <c r="H123" s="54">
        <v>3</v>
      </c>
      <c r="I123" s="54">
        <v>7</v>
      </c>
      <c r="J123" s="54">
        <v>2</v>
      </c>
      <c r="K123" s="54">
        <v>8</v>
      </c>
      <c r="L123" s="54">
        <v>2</v>
      </c>
      <c r="M123" s="54">
        <v>4</v>
      </c>
      <c r="N123" s="54">
        <v>10</v>
      </c>
      <c r="O123" s="54">
        <v>11</v>
      </c>
      <c r="P123" s="54">
        <v>6</v>
      </c>
      <c r="Q123" s="54">
        <v>9</v>
      </c>
      <c r="R123" s="54">
        <v>4</v>
      </c>
      <c r="S123" s="54">
        <v>5</v>
      </c>
      <c r="T123" s="54">
        <v>7</v>
      </c>
      <c r="U123" s="54">
        <v>7</v>
      </c>
      <c r="V123" s="54">
        <v>6</v>
      </c>
      <c r="W123" s="54">
        <v>0</v>
      </c>
      <c r="X123" s="54">
        <v>6</v>
      </c>
      <c r="Y123" s="54">
        <v>3</v>
      </c>
      <c r="Z123" s="54">
        <v>3</v>
      </c>
      <c r="AA123" s="54">
        <v>9</v>
      </c>
      <c r="AB123" s="54">
        <v>5</v>
      </c>
      <c r="AC123" s="54">
        <v>6</v>
      </c>
      <c r="AD123" s="54">
        <v>2</v>
      </c>
      <c r="AE123" s="54">
        <v>7</v>
      </c>
      <c r="AF123" s="54">
        <v>1</v>
      </c>
      <c r="AG123" s="5">
        <f t="shared" si="17"/>
        <v>158</v>
      </c>
      <c r="AK123" s="84" t="s">
        <v>133</v>
      </c>
    </row>
    <row r="124" spans="1:37" ht="15.75" customHeight="1" x14ac:dyDescent="0.25">
      <c r="A124" s="85" t="s">
        <v>68</v>
      </c>
      <c r="B124" s="54">
        <v>9</v>
      </c>
      <c r="C124" s="54">
        <v>9</v>
      </c>
      <c r="D124" s="54">
        <v>8</v>
      </c>
      <c r="E124" s="54">
        <v>6</v>
      </c>
      <c r="F124" s="54">
        <v>5</v>
      </c>
      <c r="G124" s="54">
        <v>18</v>
      </c>
      <c r="H124" s="54">
        <v>10</v>
      </c>
      <c r="I124" s="54">
        <v>14</v>
      </c>
      <c r="J124" s="54">
        <v>11</v>
      </c>
      <c r="K124" s="54">
        <v>9</v>
      </c>
      <c r="L124" s="54">
        <v>8</v>
      </c>
      <c r="M124" s="54">
        <v>8</v>
      </c>
      <c r="N124" s="54">
        <v>9</v>
      </c>
      <c r="O124" s="54">
        <v>16</v>
      </c>
      <c r="P124" s="54">
        <v>13</v>
      </c>
      <c r="Q124" s="54">
        <v>10</v>
      </c>
      <c r="R124" s="54">
        <v>6</v>
      </c>
      <c r="S124" s="54">
        <v>8</v>
      </c>
      <c r="T124" s="54">
        <v>12</v>
      </c>
      <c r="U124" s="54">
        <v>18</v>
      </c>
      <c r="V124" s="54">
        <v>11</v>
      </c>
      <c r="W124" s="54">
        <v>12</v>
      </c>
      <c r="X124" s="54">
        <v>5</v>
      </c>
      <c r="Y124" s="54">
        <v>5</v>
      </c>
      <c r="Z124" s="54">
        <v>11</v>
      </c>
      <c r="AA124" s="54">
        <v>5</v>
      </c>
      <c r="AB124" s="54">
        <v>13</v>
      </c>
      <c r="AC124" s="54">
        <v>6</v>
      </c>
      <c r="AD124" s="54">
        <v>7</v>
      </c>
      <c r="AE124" s="54">
        <v>3</v>
      </c>
      <c r="AF124" s="54">
        <v>3</v>
      </c>
      <c r="AG124" s="5">
        <f t="shared" si="17"/>
        <v>288</v>
      </c>
      <c r="AK124" s="88" t="s">
        <v>134</v>
      </c>
    </row>
    <row r="125" spans="1:37" ht="15.75" customHeight="1" x14ac:dyDescent="0.25">
      <c r="A125" s="85" t="s">
        <v>69</v>
      </c>
      <c r="B125" s="54">
        <v>79</v>
      </c>
      <c r="C125" s="54">
        <v>67</v>
      </c>
      <c r="D125" s="54">
        <v>52</v>
      </c>
      <c r="E125" s="54">
        <v>53</v>
      </c>
      <c r="F125" s="54">
        <v>65</v>
      </c>
      <c r="G125" s="54">
        <v>78</v>
      </c>
      <c r="H125" s="54">
        <v>69</v>
      </c>
      <c r="I125" s="54">
        <v>100</v>
      </c>
      <c r="J125" s="54">
        <v>57</v>
      </c>
      <c r="K125" s="54">
        <v>61</v>
      </c>
      <c r="L125" s="54">
        <v>56</v>
      </c>
      <c r="M125" s="54">
        <v>54</v>
      </c>
      <c r="N125" s="54">
        <v>85</v>
      </c>
      <c r="O125" s="54">
        <v>60</v>
      </c>
      <c r="P125" s="54">
        <v>47</v>
      </c>
      <c r="Q125" s="54">
        <v>57</v>
      </c>
      <c r="R125" s="54">
        <v>59</v>
      </c>
      <c r="S125" s="54">
        <v>53</v>
      </c>
      <c r="T125" s="54">
        <v>51</v>
      </c>
      <c r="U125" s="54">
        <v>75</v>
      </c>
      <c r="V125" s="54">
        <v>88</v>
      </c>
      <c r="W125" s="54">
        <v>44</v>
      </c>
      <c r="X125" s="54">
        <v>54</v>
      </c>
      <c r="Y125" s="54">
        <v>35</v>
      </c>
      <c r="Z125" s="54">
        <v>53</v>
      </c>
      <c r="AA125" s="54">
        <v>50</v>
      </c>
      <c r="AB125" s="54">
        <v>78</v>
      </c>
      <c r="AC125" s="54">
        <v>57</v>
      </c>
      <c r="AD125" s="54">
        <v>50</v>
      </c>
      <c r="AE125" s="54">
        <v>69</v>
      </c>
      <c r="AF125" s="54">
        <v>41</v>
      </c>
      <c r="AG125" s="5">
        <f t="shared" si="17"/>
        <v>1897</v>
      </c>
      <c r="AK125" s="88" t="s">
        <v>135</v>
      </c>
    </row>
    <row r="126" spans="1:37" ht="15.75" customHeight="1" x14ac:dyDescent="0.25">
      <c r="A126" s="85" t="s">
        <v>70</v>
      </c>
      <c r="B126" s="54">
        <v>2</v>
      </c>
      <c r="C126" s="54">
        <v>1</v>
      </c>
      <c r="D126" s="54">
        <v>1</v>
      </c>
      <c r="E126" s="54">
        <v>5</v>
      </c>
      <c r="F126" s="54">
        <v>0</v>
      </c>
      <c r="G126" s="54">
        <v>5</v>
      </c>
      <c r="H126" s="54">
        <v>2</v>
      </c>
      <c r="I126" s="54">
        <v>1</v>
      </c>
      <c r="J126" s="54">
        <v>2</v>
      </c>
      <c r="K126" s="54">
        <v>2</v>
      </c>
      <c r="L126" s="54">
        <v>2</v>
      </c>
      <c r="M126" s="54">
        <v>1</v>
      </c>
      <c r="N126" s="54">
        <v>0</v>
      </c>
      <c r="O126" s="54">
        <v>4</v>
      </c>
      <c r="P126" s="54">
        <v>3</v>
      </c>
      <c r="Q126" s="54">
        <v>2</v>
      </c>
      <c r="R126" s="54">
        <v>5</v>
      </c>
      <c r="S126" s="54">
        <v>4</v>
      </c>
      <c r="T126" s="54">
        <v>4</v>
      </c>
      <c r="U126" s="54">
        <v>1</v>
      </c>
      <c r="V126" s="54">
        <v>3</v>
      </c>
      <c r="W126" s="54">
        <v>0</v>
      </c>
      <c r="X126" s="54">
        <v>2</v>
      </c>
      <c r="Y126" s="54">
        <v>0</v>
      </c>
      <c r="Z126" s="54">
        <v>0</v>
      </c>
      <c r="AA126" s="54">
        <v>0</v>
      </c>
      <c r="AB126" s="54">
        <v>0</v>
      </c>
      <c r="AC126" s="54">
        <v>3</v>
      </c>
      <c r="AD126" s="54">
        <v>1</v>
      </c>
      <c r="AE126" s="54">
        <v>1</v>
      </c>
      <c r="AF126" s="54">
        <v>1</v>
      </c>
      <c r="AG126" s="5">
        <f t="shared" si="17"/>
        <v>58</v>
      </c>
      <c r="AK126" s="84" t="s">
        <v>136</v>
      </c>
    </row>
    <row r="127" spans="1:37" ht="15.75" customHeight="1" x14ac:dyDescent="0.25">
      <c r="A127" s="85" t="s">
        <v>71</v>
      </c>
      <c r="B127" s="54">
        <v>0</v>
      </c>
      <c r="C127" s="54">
        <v>1</v>
      </c>
      <c r="D127" s="54">
        <v>0</v>
      </c>
      <c r="E127" s="54">
        <v>0</v>
      </c>
      <c r="F127" s="54">
        <v>2</v>
      </c>
      <c r="G127" s="54">
        <v>2</v>
      </c>
      <c r="H127" s="54">
        <v>2</v>
      </c>
      <c r="I127" s="54">
        <v>2</v>
      </c>
      <c r="J127" s="54">
        <v>0</v>
      </c>
      <c r="K127" s="54">
        <v>0</v>
      </c>
      <c r="L127" s="54">
        <v>1</v>
      </c>
      <c r="M127" s="54">
        <v>2</v>
      </c>
      <c r="N127" s="54">
        <v>0</v>
      </c>
      <c r="O127" s="54">
        <v>1</v>
      </c>
      <c r="P127" s="54">
        <v>0</v>
      </c>
      <c r="Q127" s="54">
        <v>1</v>
      </c>
      <c r="R127" s="54">
        <v>1</v>
      </c>
      <c r="S127" s="54">
        <v>1</v>
      </c>
      <c r="T127" s="54">
        <v>2</v>
      </c>
      <c r="U127" s="54">
        <v>1</v>
      </c>
      <c r="V127" s="54">
        <v>2</v>
      </c>
      <c r="W127" s="54">
        <v>2</v>
      </c>
      <c r="X127" s="54">
        <v>2</v>
      </c>
      <c r="Y127" s="54">
        <v>1</v>
      </c>
      <c r="Z127" s="54">
        <v>1</v>
      </c>
      <c r="AA127" s="54">
        <v>1</v>
      </c>
      <c r="AB127" s="54">
        <v>1</v>
      </c>
      <c r="AC127" s="54">
        <v>0</v>
      </c>
      <c r="AD127" s="54">
        <v>1</v>
      </c>
      <c r="AE127" s="54">
        <v>3</v>
      </c>
      <c r="AF127" s="54">
        <v>0</v>
      </c>
      <c r="AG127" s="5">
        <f t="shared" si="17"/>
        <v>33</v>
      </c>
      <c r="AK127" s="88" t="s">
        <v>137</v>
      </c>
    </row>
    <row r="128" spans="1:37" ht="15.75" customHeight="1" x14ac:dyDescent="0.25">
      <c r="A128" s="56" t="s">
        <v>72</v>
      </c>
      <c r="B128" s="54">
        <v>3</v>
      </c>
      <c r="C128" s="54">
        <v>1</v>
      </c>
      <c r="D128" s="54">
        <v>4</v>
      </c>
      <c r="E128" s="54">
        <v>0</v>
      </c>
      <c r="F128" s="54">
        <v>4</v>
      </c>
      <c r="G128" s="54">
        <v>1</v>
      </c>
      <c r="H128" s="54">
        <v>0</v>
      </c>
      <c r="I128" s="54">
        <v>4</v>
      </c>
      <c r="J128" s="54">
        <v>0</v>
      </c>
      <c r="K128" s="54">
        <v>1</v>
      </c>
      <c r="L128" s="54">
        <v>1</v>
      </c>
      <c r="M128" s="54">
        <v>0</v>
      </c>
      <c r="N128" s="54">
        <v>1</v>
      </c>
      <c r="O128" s="54">
        <v>3</v>
      </c>
      <c r="P128" s="54">
        <v>0</v>
      </c>
      <c r="Q128" s="54">
        <v>2</v>
      </c>
      <c r="R128" s="54">
        <v>0</v>
      </c>
      <c r="S128" s="54">
        <v>1</v>
      </c>
      <c r="T128" s="54">
        <v>1</v>
      </c>
      <c r="U128" s="54">
        <v>3</v>
      </c>
      <c r="V128" s="54">
        <v>1</v>
      </c>
      <c r="W128" s="54">
        <v>2</v>
      </c>
      <c r="X128" s="54">
        <v>0</v>
      </c>
      <c r="Y128" s="54">
        <v>1</v>
      </c>
      <c r="Z128" s="54">
        <v>2</v>
      </c>
      <c r="AA128" s="54">
        <v>1</v>
      </c>
      <c r="AB128" s="54">
        <v>1</v>
      </c>
      <c r="AC128" s="54">
        <v>3</v>
      </c>
      <c r="AD128" s="54">
        <v>4</v>
      </c>
      <c r="AE128" s="54">
        <v>1</v>
      </c>
      <c r="AF128" s="54">
        <v>1</v>
      </c>
      <c r="AG128" s="5">
        <f t="shared" si="17"/>
        <v>47</v>
      </c>
      <c r="AK128" s="88" t="s">
        <v>138</v>
      </c>
    </row>
    <row r="129" spans="1:37" ht="15.75" customHeight="1" x14ac:dyDescent="0.25">
      <c r="A129" s="56" t="s">
        <v>73</v>
      </c>
      <c r="B129" s="54">
        <v>2</v>
      </c>
      <c r="C129" s="54">
        <v>2</v>
      </c>
      <c r="D129" s="54">
        <v>2</v>
      </c>
      <c r="E129" s="54">
        <v>0</v>
      </c>
      <c r="F129" s="54">
        <v>0</v>
      </c>
      <c r="G129" s="54">
        <v>1</v>
      </c>
      <c r="H129" s="54">
        <v>3</v>
      </c>
      <c r="I129" s="54">
        <v>0</v>
      </c>
      <c r="J129" s="54">
        <v>3</v>
      </c>
      <c r="K129" s="54">
        <v>0</v>
      </c>
      <c r="L129" s="54">
        <v>1</v>
      </c>
      <c r="M129" s="54">
        <v>2</v>
      </c>
      <c r="N129" s="54">
        <v>3</v>
      </c>
      <c r="O129" s="54">
        <v>3</v>
      </c>
      <c r="P129" s="54">
        <v>1</v>
      </c>
      <c r="Q129" s="54">
        <v>1</v>
      </c>
      <c r="R129" s="54">
        <v>5</v>
      </c>
      <c r="S129" s="54">
        <v>2</v>
      </c>
      <c r="T129" s="54">
        <v>1</v>
      </c>
      <c r="U129" s="54">
        <v>1</v>
      </c>
      <c r="V129" s="54">
        <v>2</v>
      </c>
      <c r="W129" s="54">
        <v>2</v>
      </c>
      <c r="X129" s="54">
        <v>3</v>
      </c>
      <c r="Y129" s="54">
        <v>1</v>
      </c>
      <c r="Z129" s="54">
        <v>2</v>
      </c>
      <c r="AA129" s="54">
        <v>3</v>
      </c>
      <c r="AB129" s="54">
        <v>2</v>
      </c>
      <c r="AC129" s="54">
        <v>3</v>
      </c>
      <c r="AD129" s="54">
        <v>1</v>
      </c>
      <c r="AE129" s="54">
        <v>0</v>
      </c>
      <c r="AF129" s="54">
        <v>0</v>
      </c>
      <c r="AG129" s="5">
        <f t="shared" si="17"/>
        <v>52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2</v>
      </c>
      <c r="D130" s="54">
        <v>0</v>
      </c>
      <c r="E130" s="54">
        <v>0</v>
      </c>
      <c r="F130" s="54">
        <v>0</v>
      </c>
      <c r="G130" s="54">
        <v>0</v>
      </c>
      <c r="H130" s="54">
        <v>0</v>
      </c>
      <c r="I130" s="54">
        <v>0</v>
      </c>
      <c r="J130" s="54">
        <v>0</v>
      </c>
      <c r="K130" s="54">
        <v>0</v>
      </c>
      <c r="L130" s="54">
        <v>0</v>
      </c>
      <c r="M130" s="54">
        <v>0</v>
      </c>
      <c r="N130" s="54">
        <v>1</v>
      </c>
      <c r="O130" s="54">
        <v>1</v>
      </c>
      <c r="P130" s="54">
        <v>0</v>
      </c>
      <c r="Q130" s="54">
        <v>0</v>
      </c>
      <c r="R130" s="54">
        <v>1</v>
      </c>
      <c r="S130" s="54">
        <v>0</v>
      </c>
      <c r="T130" s="54">
        <v>0</v>
      </c>
      <c r="U130" s="54">
        <v>0</v>
      </c>
      <c r="V130" s="54">
        <v>1</v>
      </c>
      <c r="W130" s="54">
        <v>0</v>
      </c>
      <c r="X130" s="54">
        <v>1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>
        <v>0</v>
      </c>
      <c r="AE130" s="54">
        <v>0</v>
      </c>
      <c r="AF130" s="54">
        <v>0</v>
      </c>
      <c r="AG130" s="5">
        <f t="shared" si="17"/>
        <v>7</v>
      </c>
      <c r="AK130" s="84" t="s">
        <v>140</v>
      </c>
    </row>
    <row r="131" spans="1:37" ht="15.75" customHeight="1" x14ac:dyDescent="0.25">
      <c r="A131" s="85" t="s">
        <v>75</v>
      </c>
      <c r="B131" s="54">
        <v>6</v>
      </c>
      <c r="C131" s="54">
        <v>5</v>
      </c>
      <c r="D131" s="54">
        <v>3</v>
      </c>
      <c r="E131" s="54">
        <v>4</v>
      </c>
      <c r="F131" s="54">
        <v>9</v>
      </c>
      <c r="G131" s="54">
        <v>12</v>
      </c>
      <c r="H131" s="54">
        <v>6</v>
      </c>
      <c r="I131" s="54">
        <v>7</v>
      </c>
      <c r="J131" s="54">
        <v>6</v>
      </c>
      <c r="K131" s="54">
        <v>2</v>
      </c>
      <c r="L131" s="54">
        <v>3</v>
      </c>
      <c r="M131" s="54">
        <v>7</v>
      </c>
      <c r="N131" s="54">
        <v>9</v>
      </c>
      <c r="O131" s="54">
        <v>5</v>
      </c>
      <c r="P131" s="54">
        <v>3</v>
      </c>
      <c r="Q131" s="54">
        <v>3</v>
      </c>
      <c r="R131" s="54">
        <v>1</v>
      </c>
      <c r="S131" s="54">
        <v>6</v>
      </c>
      <c r="T131" s="54">
        <v>10</v>
      </c>
      <c r="U131" s="54">
        <v>5</v>
      </c>
      <c r="V131" s="54">
        <v>6</v>
      </c>
      <c r="W131" s="54">
        <v>7</v>
      </c>
      <c r="X131" s="54">
        <v>3</v>
      </c>
      <c r="Y131" s="54">
        <v>4</v>
      </c>
      <c r="Z131" s="54">
        <v>2</v>
      </c>
      <c r="AA131" s="54">
        <v>4</v>
      </c>
      <c r="AB131" s="54">
        <v>5</v>
      </c>
      <c r="AC131" s="54">
        <v>4</v>
      </c>
      <c r="AD131" s="54">
        <v>6</v>
      </c>
      <c r="AE131" s="54">
        <v>8</v>
      </c>
      <c r="AF131" s="54">
        <v>6</v>
      </c>
      <c r="AG131" s="5">
        <f t="shared" si="17"/>
        <v>167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5</v>
      </c>
      <c r="C132" s="87">
        <v>9</v>
      </c>
      <c r="D132" s="87">
        <v>7</v>
      </c>
      <c r="E132" s="87">
        <v>6</v>
      </c>
      <c r="F132" s="87"/>
      <c r="G132" s="87">
        <v>4</v>
      </c>
      <c r="H132" s="87">
        <v>5</v>
      </c>
      <c r="I132" s="87">
        <v>8</v>
      </c>
      <c r="J132" s="87">
        <v>5</v>
      </c>
      <c r="K132" s="87">
        <v>3</v>
      </c>
      <c r="L132" s="87">
        <v>2</v>
      </c>
      <c r="M132" s="87">
        <v>5</v>
      </c>
      <c r="N132" s="87">
        <v>7</v>
      </c>
      <c r="O132" s="87">
        <v>5</v>
      </c>
      <c r="P132" s="87">
        <v>6</v>
      </c>
      <c r="Q132" s="87">
        <v>14</v>
      </c>
      <c r="R132" s="87">
        <v>4</v>
      </c>
      <c r="S132" s="87">
        <v>2</v>
      </c>
      <c r="T132" s="87">
        <v>4</v>
      </c>
      <c r="U132" s="87">
        <v>16</v>
      </c>
      <c r="V132" s="87">
        <v>12</v>
      </c>
      <c r="W132" s="87">
        <v>6</v>
      </c>
      <c r="X132" s="87">
        <v>3</v>
      </c>
      <c r="Y132" s="87">
        <v>7</v>
      </c>
      <c r="Z132" s="87">
        <v>3</v>
      </c>
      <c r="AA132" s="87">
        <v>6</v>
      </c>
      <c r="AB132" s="87">
        <v>13</v>
      </c>
      <c r="AC132" s="87">
        <v>5</v>
      </c>
      <c r="AD132" s="87">
        <v>6</v>
      </c>
      <c r="AE132" s="87">
        <v>9</v>
      </c>
      <c r="AF132" s="87">
        <v>13</v>
      </c>
      <c r="AG132" s="9">
        <f t="shared" si="17"/>
        <v>200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141</v>
      </c>
      <c r="C133" s="14">
        <f t="shared" si="21"/>
        <v>139</v>
      </c>
      <c r="D133" s="14">
        <f t="shared" si="21"/>
        <v>127</v>
      </c>
      <c r="E133" s="14">
        <f t="shared" si="21"/>
        <v>120</v>
      </c>
      <c r="F133" s="14">
        <f t="shared" si="21"/>
        <v>129</v>
      </c>
      <c r="G133" s="14">
        <f t="shared" si="21"/>
        <v>166</v>
      </c>
      <c r="H133" s="14">
        <f t="shared" si="21"/>
        <v>165</v>
      </c>
      <c r="I133" s="14">
        <f t="shared" si="21"/>
        <v>219</v>
      </c>
      <c r="J133" s="14">
        <f t="shared" si="21"/>
        <v>135</v>
      </c>
      <c r="K133" s="14">
        <f t="shared" si="21"/>
        <v>122</v>
      </c>
      <c r="L133" s="14">
        <f t="shared" si="21"/>
        <v>124</v>
      </c>
      <c r="M133" s="14">
        <f t="shared" si="21"/>
        <v>129</v>
      </c>
      <c r="N133" s="14">
        <f t="shared" si="21"/>
        <v>198</v>
      </c>
      <c r="O133" s="14">
        <f t="shared" si="21"/>
        <v>164</v>
      </c>
      <c r="P133" s="14">
        <f t="shared" si="21"/>
        <v>127</v>
      </c>
      <c r="Q133" s="14">
        <f t="shared" si="21"/>
        <v>134</v>
      </c>
      <c r="R133" s="14">
        <f t="shared" si="21"/>
        <v>122</v>
      </c>
      <c r="S133" s="14">
        <f t="shared" si="21"/>
        <v>120</v>
      </c>
      <c r="T133" s="14">
        <f t="shared" si="21"/>
        <v>133</v>
      </c>
      <c r="U133" s="14">
        <f t="shared" si="21"/>
        <v>190</v>
      </c>
      <c r="V133" s="14">
        <f t="shared" si="21"/>
        <v>208</v>
      </c>
      <c r="W133" s="14">
        <f t="shared" si="21"/>
        <v>113</v>
      </c>
      <c r="X133" s="14">
        <f t="shared" si="21"/>
        <v>115</v>
      </c>
      <c r="Y133" s="14">
        <f t="shared" si="21"/>
        <v>79</v>
      </c>
      <c r="Z133" s="14">
        <f t="shared" si="21"/>
        <v>137</v>
      </c>
      <c r="AA133" s="14">
        <f t="shared" si="21"/>
        <v>128</v>
      </c>
      <c r="AB133" s="14">
        <f t="shared" si="21"/>
        <v>188</v>
      </c>
      <c r="AC133" s="14">
        <f t="shared" si="21"/>
        <v>148</v>
      </c>
      <c r="AD133" s="14">
        <f t="shared" si="21"/>
        <v>129</v>
      </c>
      <c r="AE133" s="14">
        <f t="shared" si="21"/>
        <v>134</v>
      </c>
      <c r="AF133" s="14">
        <f t="shared" si="21"/>
        <v>99</v>
      </c>
      <c r="AG133" s="10">
        <f t="shared" si="17"/>
        <v>4382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14</v>
      </c>
      <c r="C134" s="22">
        <f t="shared" si="22"/>
        <v>18</v>
      </c>
      <c r="D134" s="22">
        <f t="shared" si="22"/>
        <v>11</v>
      </c>
      <c r="E134" s="22">
        <f t="shared" si="22"/>
        <v>5</v>
      </c>
      <c r="F134" s="22">
        <f t="shared" si="22"/>
        <v>2</v>
      </c>
      <c r="G134" s="22">
        <f t="shared" si="22"/>
        <v>1</v>
      </c>
      <c r="H134" s="22">
        <f t="shared" si="22"/>
        <v>1</v>
      </c>
      <c r="I134" s="22">
        <f t="shared" si="22"/>
        <v>2</v>
      </c>
      <c r="J134" s="22">
        <f t="shared" si="22"/>
        <v>13</v>
      </c>
      <c r="K134" s="22">
        <f t="shared" si="22"/>
        <v>5</v>
      </c>
      <c r="L134" s="22">
        <f t="shared" si="22"/>
        <v>1</v>
      </c>
      <c r="M134" s="22">
        <f t="shared" si="22"/>
        <v>7</v>
      </c>
      <c r="N134" s="22">
        <f t="shared" si="22"/>
        <v>10</v>
      </c>
      <c r="O134" s="22">
        <f t="shared" si="22"/>
        <v>4</v>
      </c>
      <c r="P134" s="22">
        <f t="shared" si="22"/>
        <v>9</v>
      </c>
      <c r="Q134" s="22">
        <f t="shared" si="22"/>
        <v>13</v>
      </c>
      <c r="R134" s="22">
        <f t="shared" si="22"/>
        <v>5</v>
      </c>
      <c r="S134" s="22">
        <f t="shared" si="22"/>
        <v>4</v>
      </c>
      <c r="T134" s="22">
        <f t="shared" si="22"/>
        <v>8</v>
      </c>
      <c r="U134" s="22">
        <f t="shared" si="22"/>
        <v>15</v>
      </c>
      <c r="V134" s="22">
        <f t="shared" si="22"/>
        <v>4</v>
      </c>
      <c r="W134" s="22">
        <f t="shared" si="22"/>
        <v>19</v>
      </c>
      <c r="X134" s="22">
        <f t="shared" si="22"/>
        <v>1</v>
      </c>
      <c r="Y134" s="22">
        <f t="shared" si="22"/>
        <v>3</v>
      </c>
      <c r="Z134" s="22">
        <f t="shared" si="22"/>
        <v>3</v>
      </c>
      <c r="AA134" s="22">
        <f t="shared" si="22"/>
        <v>13</v>
      </c>
      <c r="AB134" s="22">
        <f t="shared" si="22"/>
        <v>2</v>
      </c>
      <c r="AC134" s="22">
        <f t="shared" si="22"/>
        <v>11</v>
      </c>
      <c r="AD134" s="22">
        <f t="shared" si="22"/>
        <v>9</v>
      </c>
      <c r="AE134" s="22">
        <f t="shared" si="22"/>
        <v>7</v>
      </c>
      <c r="AF134" s="22">
        <f t="shared" si="22"/>
        <v>2</v>
      </c>
      <c r="AG134" s="23">
        <f t="shared" si="17"/>
        <v>222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2</v>
      </c>
      <c r="C135" s="1">
        <f t="shared" si="23"/>
        <v>0</v>
      </c>
      <c r="D135" s="1">
        <f t="shared" si="23"/>
        <v>0</v>
      </c>
      <c r="E135" s="1">
        <f t="shared" si="23"/>
        <v>0</v>
      </c>
      <c r="F135" s="1">
        <f t="shared" si="23"/>
        <v>0</v>
      </c>
      <c r="G135" s="1">
        <f t="shared" si="23"/>
        <v>1</v>
      </c>
      <c r="H135" s="1">
        <f t="shared" si="23"/>
        <v>0</v>
      </c>
      <c r="I135" s="1">
        <f t="shared" si="23"/>
        <v>1</v>
      </c>
      <c r="J135" s="1">
        <f t="shared" si="23"/>
        <v>0</v>
      </c>
      <c r="K135" s="1">
        <f t="shared" si="23"/>
        <v>1</v>
      </c>
      <c r="L135" s="1">
        <f t="shared" si="23"/>
        <v>0</v>
      </c>
      <c r="M135" s="1">
        <f t="shared" si="23"/>
        <v>0</v>
      </c>
      <c r="N135" s="1">
        <f t="shared" si="23"/>
        <v>0</v>
      </c>
      <c r="O135" s="1">
        <f t="shared" si="23"/>
        <v>1</v>
      </c>
      <c r="P135" s="1">
        <f t="shared" si="23"/>
        <v>0</v>
      </c>
      <c r="Q135" s="1">
        <f t="shared" si="23"/>
        <v>1</v>
      </c>
      <c r="R135" s="1">
        <f t="shared" si="23"/>
        <v>1</v>
      </c>
      <c r="S135" s="1">
        <f t="shared" si="23"/>
        <v>0</v>
      </c>
      <c r="T135" s="1">
        <f t="shared" si="23"/>
        <v>0</v>
      </c>
      <c r="U135" s="1">
        <f t="shared" si="23"/>
        <v>2</v>
      </c>
      <c r="V135" s="1">
        <f t="shared" si="23"/>
        <v>1</v>
      </c>
      <c r="W135" s="1">
        <f t="shared" si="23"/>
        <v>0</v>
      </c>
      <c r="X135" s="1">
        <f t="shared" si="23"/>
        <v>1</v>
      </c>
      <c r="Y135" s="1">
        <f t="shared" si="23"/>
        <v>1</v>
      </c>
      <c r="Z135" s="1">
        <f t="shared" si="23"/>
        <v>1</v>
      </c>
      <c r="AA135" s="1">
        <f t="shared" si="23"/>
        <v>1</v>
      </c>
      <c r="AB135" s="1">
        <f t="shared" si="23"/>
        <v>5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20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2</v>
      </c>
      <c r="C136" s="91">
        <v>0</v>
      </c>
      <c r="D136" s="91">
        <v>0</v>
      </c>
      <c r="E136" s="91">
        <v>0</v>
      </c>
      <c r="F136" s="91">
        <v>0</v>
      </c>
      <c r="G136" s="91">
        <v>1</v>
      </c>
      <c r="H136" s="91">
        <v>0</v>
      </c>
      <c r="I136" s="91">
        <v>1</v>
      </c>
      <c r="J136" s="91">
        <v>0</v>
      </c>
      <c r="K136" s="91">
        <v>1</v>
      </c>
      <c r="L136" s="91">
        <v>0</v>
      </c>
      <c r="M136" s="91">
        <v>0</v>
      </c>
      <c r="N136" s="91">
        <v>0</v>
      </c>
      <c r="O136" s="91">
        <v>0</v>
      </c>
      <c r="P136" s="91">
        <v>0</v>
      </c>
      <c r="Q136" s="91">
        <v>1</v>
      </c>
      <c r="R136" s="91">
        <v>1</v>
      </c>
      <c r="S136" s="91">
        <v>0</v>
      </c>
      <c r="T136" s="91">
        <v>0</v>
      </c>
      <c r="U136" s="91">
        <v>2</v>
      </c>
      <c r="V136" s="91">
        <v>1</v>
      </c>
      <c r="W136" s="91">
        <v>0</v>
      </c>
      <c r="X136" s="91">
        <v>1</v>
      </c>
      <c r="Y136" s="91">
        <v>1</v>
      </c>
      <c r="Z136" s="91">
        <v>1</v>
      </c>
      <c r="AA136" s="91">
        <v>1</v>
      </c>
      <c r="AB136" s="91">
        <v>5</v>
      </c>
      <c r="AC136" s="91">
        <v>0</v>
      </c>
      <c r="AD136" s="91">
        <v>0</v>
      </c>
      <c r="AE136" s="91">
        <v>0</v>
      </c>
      <c r="AF136" s="91">
        <v>0</v>
      </c>
      <c r="AG136" s="28">
        <f t="shared" si="17"/>
        <v>19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1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1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5</v>
      </c>
      <c r="C139" s="31">
        <f t="shared" si="24"/>
        <v>2</v>
      </c>
      <c r="D139" s="31">
        <f t="shared" si="24"/>
        <v>6</v>
      </c>
      <c r="E139" s="31">
        <f t="shared" si="24"/>
        <v>2</v>
      </c>
      <c r="F139" s="31">
        <f t="shared" si="24"/>
        <v>5</v>
      </c>
      <c r="G139" s="31">
        <f t="shared" si="24"/>
        <v>5</v>
      </c>
      <c r="H139" s="31">
        <f t="shared" si="24"/>
        <v>1</v>
      </c>
      <c r="I139" s="31">
        <f t="shared" si="24"/>
        <v>3</v>
      </c>
      <c r="J139" s="31">
        <f t="shared" si="24"/>
        <v>2</v>
      </c>
      <c r="K139" s="31">
        <f t="shared" si="24"/>
        <v>2</v>
      </c>
      <c r="L139" s="31">
        <f t="shared" si="24"/>
        <v>4</v>
      </c>
      <c r="M139" s="31">
        <f t="shared" si="24"/>
        <v>2</v>
      </c>
      <c r="N139" s="31">
        <f t="shared" si="24"/>
        <v>9</v>
      </c>
      <c r="O139" s="31">
        <f t="shared" si="24"/>
        <v>1</v>
      </c>
      <c r="P139" s="31">
        <f t="shared" si="24"/>
        <v>3</v>
      </c>
      <c r="Q139" s="31">
        <f t="shared" si="24"/>
        <v>2</v>
      </c>
      <c r="R139" s="31">
        <f t="shared" si="24"/>
        <v>2</v>
      </c>
      <c r="S139" s="31">
        <f t="shared" si="24"/>
        <v>2</v>
      </c>
      <c r="T139" s="31">
        <f t="shared" si="24"/>
        <v>1</v>
      </c>
      <c r="U139" s="31">
        <f t="shared" si="24"/>
        <v>7</v>
      </c>
      <c r="V139" s="31">
        <f t="shared" si="24"/>
        <v>2</v>
      </c>
      <c r="W139" s="31">
        <f t="shared" si="24"/>
        <v>3</v>
      </c>
      <c r="X139" s="31">
        <f t="shared" si="24"/>
        <v>0</v>
      </c>
      <c r="Y139" s="31">
        <f t="shared" si="24"/>
        <v>6</v>
      </c>
      <c r="Z139" s="31">
        <f t="shared" si="24"/>
        <v>5</v>
      </c>
      <c r="AA139" s="31">
        <f t="shared" si="24"/>
        <v>3</v>
      </c>
      <c r="AB139" s="31">
        <f t="shared" si="24"/>
        <v>2</v>
      </c>
      <c r="AC139" s="31">
        <f t="shared" si="24"/>
        <v>5</v>
      </c>
      <c r="AD139" s="31">
        <f t="shared" si="24"/>
        <v>1</v>
      </c>
      <c r="AE139" s="31">
        <f t="shared" si="24"/>
        <v>1</v>
      </c>
      <c r="AF139" s="31">
        <f t="shared" si="24"/>
        <v>3</v>
      </c>
      <c r="AG139" s="32">
        <f t="shared" si="17"/>
        <v>97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1</v>
      </c>
      <c r="E140" s="97">
        <v>0</v>
      </c>
      <c r="F140" s="97">
        <v>1</v>
      </c>
      <c r="G140" s="97">
        <v>2</v>
      </c>
      <c r="H140" s="97">
        <v>1</v>
      </c>
      <c r="I140" s="97">
        <v>0</v>
      </c>
      <c r="J140" s="97">
        <v>0</v>
      </c>
      <c r="K140" s="97">
        <v>0</v>
      </c>
      <c r="L140" s="97">
        <v>1</v>
      </c>
      <c r="M140" s="97">
        <v>0</v>
      </c>
      <c r="N140" s="97">
        <v>0</v>
      </c>
      <c r="O140" s="97">
        <v>0</v>
      </c>
      <c r="P140" s="97">
        <v>0</v>
      </c>
      <c r="Q140" s="97">
        <v>0</v>
      </c>
      <c r="R140" s="97">
        <v>0</v>
      </c>
      <c r="S140" s="97">
        <v>0</v>
      </c>
      <c r="T140" s="97">
        <v>0</v>
      </c>
      <c r="U140" s="97">
        <v>0</v>
      </c>
      <c r="V140" s="97">
        <v>1</v>
      </c>
      <c r="W140" s="97">
        <v>0</v>
      </c>
      <c r="X140" s="97">
        <v>0</v>
      </c>
      <c r="Y140" s="97">
        <v>2</v>
      </c>
      <c r="Z140" s="97">
        <v>1</v>
      </c>
      <c r="AA140" s="97">
        <v>1</v>
      </c>
      <c r="AB140" s="97">
        <v>0</v>
      </c>
      <c r="AC140" s="97">
        <v>0</v>
      </c>
      <c r="AD140" s="97">
        <v>0</v>
      </c>
      <c r="AE140" s="97">
        <v>0</v>
      </c>
      <c r="AF140" s="97">
        <v>0</v>
      </c>
      <c r="AG140" s="33">
        <f t="shared" si="17"/>
        <v>11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5</v>
      </c>
      <c r="C141" s="98">
        <v>2</v>
      </c>
      <c r="D141" s="98">
        <v>5</v>
      </c>
      <c r="E141" s="98">
        <v>2</v>
      </c>
      <c r="F141" s="98">
        <v>4</v>
      </c>
      <c r="G141" s="98">
        <v>3</v>
      </c>
      <c r="H141" s="98">
        <v>0</v>
      </c>
      <c r="I141" s="98">
        <v>3</v>
      </c>
      <c r="J141" s="98">
        <v>2</v>
      </c>
      <c r="K141" s="98">
        <v>2</v>
      </c>
      <c r="L141" s="98">
        <v>3</v>
      </c>
      <c r="M141" s="98">
        <v>2</v>
      </c>
      <c r="N141" s="98">
        <v>9</v>
      </c>
      <c r="O141" s="98">
        <v>1</v>
      </c>
      <c r="P141" s="98">
        <v>3</v>
      </c>
      <c r="Q141" s="98">
        <v>2</v>
      </c>
      <c r="R141" s="98">
        <v>2</v>
      </c>
      <c r="S141" s="98">
        <v>2</v>
      </c>
      <c r="T141" s="98">
        <v>1</v>
      </c>
      <c r="U141" s="98">
        <v>7</v>
      </c>
      <c r="V141" s="98">
        <v>1</v>
      </c>
      <c r="W141" s="98">
        <v>3</v>
      </c>
      <c r="X141" s="98">
        <v>0</v>
      </c>
      <c r="Y141" s="98">
        <v>4</v>
      </c>
      <c r="Z141" s="98">
        <v>4</v>
      </c>
      <c r="AA141" s="98">
        <v>2</v>
      </c>
      <c r="AB141" s="98">
        <v>2</v>
      </c>
      <c r="AC141" s="98">
        <v>5</v>
      </c>
      <c r="AD141" s="98">
        <v>1</v>
      </c>
      <c r="AE141" s="98">
        <v>1</v>
      </c>
      <c r="AF141" s="98">
        <v>3</v>
      </c>
      <c r="AG141" s="34">
        <f t="shared" si="17"/>
        <v>86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39</v>
      </c>
      <c r="C144" s="37">
        <f t="shared" si="25"/>
        <v>48</v>
      </c>
      <c r="D144" s="37">
        <f t="shared" si="25"/>
        <v>41</v>
      </c>
      <c r="E144" s="37">
        <f t="shared" si="25"/>
        <v>42</v>
      </c>
      <c r="F144" s="37">
        <f t="shared" si="25"/>
        <v>36</v>
      </c>
      <c r="G144" s="37">
        <f t="shared" si="25"/>
        <v>43</v>
      </c>
      <c r="H144" s="37">
        <f t="shared" si="25"/>
        <v>31</v>
      </c>
      <c r="I144" s="37">
        <f t="shared" si="25"/>
        <v>43</v>
      </c>
      <c r="J144" s="37">
        <f t="shared" si="25"/>
        <v>29</v>
      </c>
      <c r="K144" s="37">
        <f t="shared" si="25"/>
        <v>43</v>
      </c>
      <c r="L144" s="37">
        <f t="shared" si="25"/>
        <v>29</v>
      </c>
      <c r="M144" s="37">
        <f t="shared" si="25"/>
        <v>26</v>
      </c>
      <c r="N144" s="37">
        <f t="shared" si="25"/>
        <v>57</v>
      </c>
      <c r="O144" s="37">
        <f t="shared" si="25"/>
        <v>17</v>
      </c>
      <c r="P144" s="37">
        <f t="shared" si="25"/>
        <v>31</v>
      </c>
      <c r="Q144" s="37">
        <f t="shared" si="25"/>
        <v>31</v>
      </c>
      <c r="R144" s="37">
        <f t="shared" si="25"/>
        <v>33</v>
      </c>
      <c r="S144" s="37">
        <f t="shared" si="25"/>
        <v>33</v>
      </c>
      <c r="T144" s="37">
        <f t="shared" si="25"/>
        <v>37</v>
      </c>
      <c r="U144" s="37">
        <f t="shared" si="25"/>
        <v>44</v>
      </c>
      <c r="V144" s="37">
        <f t="shared" si="25"/>
        <v>40</v>
      </c>
      <c r="W144" s="37">
        <f t="shared" si="25"/>
        <v>27</v>
      </c>
      <c r="X144" s="37">
        <f t="shared" si="25"/>
        <v>22</v>
      </c>
      <c r="Y144" s="37">
        <f t="shared" si="25"/>
        <v>6</v>
      </c>
      <c r="Z144" s="37">
        <f t="shared" si="25"/>
        <v>34</v>
      </c>
      <c r="AA144" s="37">
        <f t="shared" si="25"/>
        <v>22</v>
      </c>
      <c r="AB144" s="37">
        <f t="shared" si="25"/>
        <v>35</v>
      </c>
      <c r="AC144" s="37">
        <f t="shared" si="25"/>
        <v>21</v>
      </c>
      <c r="AD144" s="37">
        <f t="shared" si="25"/>
        <v>29</v>
      </c>
      <c r="AE144" s="37">
        <f t="shared" si="25"/>
        <v>23</v>
      </c>
      <c r="AF144" s="37">
        <f t="shared" si="25"/>
        <v>11</v>
      </c>
      <c r="AG144" s="24">
        <f t="shared" si="17"/>
        <v>1003</v>
      </c>
      <c r="AK144" s="84" t="s">
        <v>154</v>
      </c>
    </row>
    <row r="145" spans="1:37" ht="15.75" customHeight="1" x14ac:dyDescent="0.25">
      <c r="A145" s="104" t="s">
        <v>91</v>
      </c>
      <c r="B145" s="105">
        <v>0</v>
      </c>
      <c r="C145" s="105">
        <v>3</v>
      </c>
      <c r="D145" s="105">
        <v>1</v>
      </c>
      <c r="E145" s="105">
        <v>2</v>
      </c>
      <c r="F145" s="105">
        <v>3</v>
      </c>
      <c r="G145" s="105">
        <v>6</v>
      </c>
      <c r="H145" s="105">
        <v>1</v>
      </c>
      <c r="I145" s="105">
        <v>1</v>
      </c>
      <c r="J145" s="105">
        <v>0</v>
      </c>
      <c r="K145" s="105">
        <v>3</v>
      </c>
      <c r="L145" s="105">
        <v>1</v>
      </c>
      <c r="M145" s="105">
        <v>2</v>
      </c>
      <c r="N145" s="105">
        <v>3</v>
      </c>
      <c r="O145" s="105">
        <v>0</v>
      </c>
      <c r="P145" s="105">
        <v>1</v>
      </c>
      <c r="Q145" s="105">
        <v>1</v>
      </c>
      <c r="R145" s="105">
        <v>3</v>
      </c>
      <c r="S145" s="105">
        <v>2</v>
      </c>
      <c r="T145" s="105">
        <v>4</v>
      </c>
      <c r="U145" s="105">
        <v>0</v>
      </c>
      <c r="V145" s="105">
        <v>2</v>
      </c>
      <c r="W145" s="105">
        <v>0</v>
      </c>
      <c r="X145" s="105">
        <v>1</v>
      </c>
      <c r="Y145" s="105">
        <v>0</v>
      </c>
      <c r="Z145" s="105">
        <v>3</v>
      </c>
      <c r="AA145" s="105">
        <v>0</v>
      </c>
      <c r="AB145" s="105">
        <v>3</v>
      </c>
      <c r="AC145" s="105">
        <v>4</v>
      </c>
      <c r="AD145" s="105">
        <v>4</v>
      </c>
      <c r="AE145" s="105">
        <v>2</v>
      </c>
      <c r="AF145" s="105">
        <v>0</v>
      </c>
      <c r="AG145" s="38">
        <f t="shared" si="17"/>
        <v>56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2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1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3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38</v>
      </c>
      <c r="C149" s="108">
        <v>41</v>
      </c>
      <c r="D149" s="108">
        <v>37</v>
      </c>
      <c r="E149" s="108">
        <v>38</v>
      </c>
      <c r="F149" s="108">
        <v>30</v>
      </c>
      <c r="G149" s="108">
        <v>34</v>
      </c>
      <c r="H149" s="108">
        <v>30</v>
      </c>
      <c r="I149" s="108">
        <v>41</v>
      </c>
      <c r="J149" s="108">
        <v>26</v>
      </c>
      <c r="K149" s="108">
        <v>38</v>
      </c>
      <c r="L149" s="108">
        <v>28</v>
      </c>
      <c r="M149" s="108">
        <v>22</v>
      </c>
      <c r="N149" s="108">
        <v>50</v>
      </c>
      <c r="O149" s="108">
        <v>17</v>
      </c>
      <c r="P149" s="108">
        <v>30</v>
      </c>
      <c r="Q149" s="108">
        <v>28</v>
      </c>
      <c r="R149" s="108">
        <v>28</v>
      </c>
      <c r="S149" s="108">
        <v>29</v>
      </c>
      <c r="T149" s="108">
        <v>29</v>
      </c>
      <c r="U149" s="108">
        <v>39</v>
      </c>
      <c r="V149" s="108">
        <v>32</v>
      </c>
      <c r="W149" s="108">
        <v>26</v>
      </c>
      <c r="X149" s="108">
        <v>21</v>
      </c>
      <c r="Y149" s="108">
        <v>4</v>
      </c>
      <c r="Z149" s="108">
        <v>31</v>
      </c>
      <c r="AA149" s="108">
        <v>21</v>
      </c>
      <c r="AB149" s="108">
        <v>31</v>
      </c>
      <c r="AC149" s="108">
        <v>14</v>
      </c>
      <c r="AD149" s="108">
        <v>23</v>
      </c>
      <c r="AE149" s="108">
        <v>19</v>
      </c>
      <c r="AF149" s="108">
        <v>9</v>
      </c>
      <c r="AG149" s="39">
        <f t="shared" si="17"/>
        <v>884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>
        <v>0</v>
      </c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>
        <v>0</v>
      </c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>
        <v>0</v>
      </c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0</v>
      </c>
      <c r="AK153" s="109" t="s">
        <v>126</v>
      </c>
    </row>
    <row r="154" spans="1:37" ht="15.75" customHeight="1" x14ac:dyDescent="0.25">
      <c r="A154" s="76" t="s">
        <v>100</v>
      </c>
      <c r="B154" s="77">
        <v>1</v>
      </c>
      <c r="C154" s="77">
        <v>1</v>
      </c>
      <c r="D154" s="77">
        <v>2</v>
      </c>
      <c r="E154" s="77">
        <v>0</v>
      </c>
      <c r="F154" s="77">
        <v>1</v>
      </c>
      <c r="G154" s="77">
        <v>0</v>
      </c>
      <c r="H154" s="77">
        <v>0</v>
      </c>
      <c r="I154" s="77">
        <v>0</v>
      </c>
      <c r="J154" s="77">
        <v>0</v>
      </c>
      <c r="K154" s="77">
        <v>1</v>
      </c>
      <c r="L154" s="77">
        <v>0</v>
      </c>
      <c r="M154" s="77">
        <v>0</v>
      </c>
      <c r="N154" s="77">
        <v>0</v>
      </c>
      <c r="O154" s="77">
        <v>0</v>
      </c>
      <c r="P154" s="77">
        <v>0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0</v>
      </c>
      <c r="W154" s="77">
        <v>0</v>
      </c>
      <c r="X154" s="77">
        <v>0</v>
      </c>
      <c r="Y154" s="77">
        <v>0</v>
      </c>
      <c r="Z154" s="77">
        <v>0</v>
      </c>
      <c r="AA154" s="77">
        <v>0</v>
      </c>
      <c r="AB154" s="77">
        <v>0</v>
      </c>
      <c r="AC154" s="77">
        <v>0</v>
      </c>
      <c r="AD154" s="77">
        <v>0</v>
      </c>
      <c r="AE154" s="77">
        <v>0</v>
      </c>
      <c r="AF154" s="77">
        <v>0</v>
      </c>
      <c r="AG154" s="5">
        <f t="shared" si="17"/>
        <v>6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>
        <v>0</v>
      </c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>
        <v>0</v>
      </c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>
        <v>0</v>
      </c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0</v>
      </c>
      <c r="C158" s="111">
        <v>2</v>
      </c>
      <c r="D158" s="111">
        <v>0</v>
      </c>
      <c r="E158" s="111">
        <v>1</v>
      </c>
      <c r="F158" s="111">
        <v>1</v>
      </c>
      <c r="G158" s="111">
        <v>3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1</v>
      </c>
      <c r="T158" s="111">
        <v>2</v>
      </c>
      <c r="U158" s="111">
        <v>3</v>
      </c>
      <c r="V158" s="111">
        <v>4</v>
      </c>
      <c r="W158" s="111">
        <v>1</v>
      </c>
      <c r="X158" s="111">
        <v>0</v>
      </c>
      <c r="Y158" s="111">
        <v>0</v>
      </c>
      <c r="Z158" s="111">
        <v>0</v>
      </c>
      <c r="AA158" s="111">
        <v>0</v>
      </c>
      <c r="AB158" s="111">
        <v>1</v>
      </c>
      <c r="AC158" s="111">
        <v>1</v>
      </c>
      <c r="AD158" s="111">
        <v>2</v>
      </c>
      <c r="AE158" s="111">
        <v>1</v>
      </c>
      <c r="AF158" s="111">
        <v>2</v>
      </c>
      <c r="AG158" s="40">
        <f t="shared" si="17"/>
        <v>25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>
        <v>0</v>
      </c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>
        <v>0</v>
      </c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>
        <v>0</v>
      </c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1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1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>
        <v>0</v>
      </c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1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1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>
        <v>0</v>
      </c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1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1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1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26"/>
        <v>3</v>
      </c>
    </row>
    <row r="168" spans="1:34" ht="15.75" customHeight="1" x14ac:dyDescent="0.25">
      <c r="A168" s="76" t="s">
        <v>114</v>
      </c>
      <c r="B168" s="113">
        <v>0</v>
      </c>
      <c r="C168" s="113">
        <v>1</v>
      </c>
      <c r="D168" s="113">
        <v>1</v>
      </c>
      <c r="E168" s="113">
        <v>0</v>
      </c>
      <c r="F168" s="113">
        <v>1</v>
      </c>
      <c r="G168" s="113">
        <v>0</v>
      </c>
      <c r="H168" s="113">
        <v>0</v>
      </c>
      <c r="I168" s="113">
        <v>1</v>
      </c>
      <c r="J168" s="113">
        <v>1</v>
      </c>
      <c r="K168" s="113">
        <v>1</v>
      </c>
      <c r="L168" s="113">
        <v>0</v>
      </c>
      <c r="M168" s="113">
        <v>1</v>
      </c>
      <c r="N168" s="113">
        <v>0</v>
      </c>
      <c r="O168" s="113">
        <v>0</v>
      </c>
      <c r="P168" s="113">
        <v>0</v>
      </c>
      <c r="Q168" s="113">
        <v>2</v>
      </c>
      <c r="R168" s="113">
        <v>2</v>
      </c>
      <c r="S168" s="113">
        <v>1</v>
      </c>
      <c r="T168" s="113">
        <v>1</v>
      </c>
      <c r="U168" s="113">
        <v>2</v>
      </c>
      <c r="V168" s="113">
        <v>0</v>
      </c>
      <c r="W168" s="113">
        <v>0</v>
      </c>
      <c r="X168" s="113">
        <v>0</v>
      </c>
      <c r="Y168" s="113">
        <v>1</v>
      </c>
      <c r="Z168" s="113">
        <v>0</v>
      </c>
      <c r="AA168" s="113">
        <v>1</v>
      </c>
      <c r="AB168" s="113">
        <v>0</v>
      </c>
      <c r="AC168" s="113">
        <v>2</v>
      </c>
      <c r="AD168" s="113">
        <v>0</v>
      </c>
      <c r="AE168" s="113">
        <v>0</v>
      </c>
      <c r="AF168" s="113">
        <v>0</v>
      </c>
      <c r="AG168" s="5">
        <f t="shared" si="26"/>
        <v>19</v>
      </c>
    </row>
    <row r="169" spans="1:34" ht="15.75" customHeight="1" x14ac:dyDescent="0.25">
      <c r="A169" s="114" t="s">
        <v>115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2</v>
      </c>
      <c r="K169" s="113">
        <v>0</v>
      </c>
      <c r="L169" s="113">
        <v>0</v>
      </c>
      <c r="M169" s="113">
        <v>1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1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1</v>
      </c>
      <c r="AF169" s="113">
        <v>0</v>
      </c>
      <c r="AG169" s="5">
        <f t="shared" si="26"/>
        <v>5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>
        <v>0</v>
      </c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141</v>
      </c>
      <c r="C171" s="41">
        <f t="shared" si="27"/>
        <v>139</v>
      </c>
      <c r="D171" s="41">
        <f t="shared" si="27"/>
        <v>127</v>
      </c>
      <c r="E171" s="41">
        <f t="shared" si="27"/>
        <v>120</v>
      </c>
      <c r="F171" s="41">
        <f t="shared" si="27"/>
        <v>129</v>
      </c>
      <c r="G171" s="41">
        <f t="shared" si="27"/>
        <v>166</v>
      </c>
      <c r="H171" s="41">
        <f t="shared" si="27"/>
        <v>165</v>
      </c>
      <c r="I171" s="41">
        <f t="shared" si="27"/>
        <v>219</v>
      </c>
      <c r="J171" s="41">
        <f t="shared" si="27"/>
        <v>135</v>
      </c>
      <c r="K171" s="41">
        <f t="shared" si="27"/>
        <v>122</v>
      </c>
      <c r="L171" s="41">
        <f t="shared" si="27"/>
        <v>124</v>
      </c>
      <c r="M171" s="41">
        <f t="shared" si="27"/>
        <v>129</v>
      </c>
      <c r="N171" s="41">
        <f t="shared" si="27"/>
        <v>198</v>
      </c>
      <c r="O171" s="41">
        <f t="shared" si="27"/>
        <v>164</v>
      </c>
      <c r="P171" s="41">
        <f t="shared" si="27"/>
        <v>127</v>
      </c>
      <c r="Q171" s="41">
        <f t="shared" si="27"/>
        <v>134</v>
      </c>
      <c r="R171" s="41">
        <f t="shared" si="27"/>
        <v>122</v>
      </c>
      <c r="S171" s="41">
        <f t="shared" si="27"/>
        <v>120</v>
      </c>
      <c r="T171" s="41">
        <f t="shared" si="27"/>
        <v>133</v>
      </c>
      <c r="U171" s="41">
        <f t="shared" si="27"/>
        <v>190</v>
      </c>
      <c r="V171" s="41">
        <f t="shared" si="27"/>
        <v>208</v>
      </c>
      <c r="W171" s="41">
        <f t="shared" si="27"/>
        <v>113</v>
      </c>
      <c r="X171" s="41">
        <f t="shared" si="27"/>
        <v>115</v>
      </c>
      <c r="Y171" s="41">
        <f t="shared" si="27"/>
        <v>79</v>
      </c>
      <c r="Z171" s="41">
        <f t="shared" si="27"/>
        <v>137</v>
      </c>
      <c r="AA171" s="41">
        <f t="shared" si="27"/>
        <v>128</v>
      </c>
      <c r="AB171" s="41">
        <f t="shared" si="27"/>
        <v>188</v>
      </c>
      <c r="AC171" s="41">
        <f t="shared" si="27"/>
        <v>148</v>
      </c>
      <c r="AD171" s="41">
        <f t="shared" si="27"/>
        <v>129</v>
      </c>
      <c r="AE171" s="41">
        <f t="shared" si="27"/>
        <v>134</v>
      </c>
      <c r="AF171" s="41">
        <f t="shared" si="27"/>
        <v>99</v>
      </c>
      <c r="AG171" s="42">
        <f t="shared" si="26"/>
        <v>4382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1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1</v>
      </c>
      <c r="R172" s="118">
        <v>0</v>
      </c>
      <c r="S172" s="118">
        <v>0</v>
      </c>
      <c r="T172" s="118">
        <v>0</v>
      </c>
      <c r="U172" s="118">
        <v>0</v>
      </c>
      <c r="V172" s="118">
        <v>1</v>
      </c>
      <c r="W172" s="118">
        <v>0</v>
      </c>
      <c r="X172" s="118">
        <v>0</v>
      </c>
      <c r="Y172" s="118">
        <v>0</v>
      </c>
      <c r="Z172" s="118">
        <v>1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4</v>
      </c>
    </row>
    <row r="173" spans="1:34" ht="15.75" customHeight="1" x14ac:dyDescent="0.25">
      <c r="A173" s="119" t="s">
        <v>37</v>
      </c>
      <c r="B173" s="120">
        <v>1</v>
      </c>
      <c r="C173" s="120">
        <v>0</v>
      </c>
      <c r="D173" s="120">
        <v>0</v>
      </c>
      <c r="E173" s="120">
        <v>1</v>
      </c>
      <c r="F173" s="120">
        <v>0</v>
      </c>
      <c r="G173" s="120">
        <v>0</v>
      </c>
      <c r="H173" s="120">
        <v>1</v>
      </c>
      <c r="I173" s="120">
        <v>0</v>
      </c>
      <c r="J173" s="120">
        <v>3</v>
      </c>
      <c r="K173" s="120">
        <v>1</v>
      </c>
      <c r="L173" s="120">
        <v>1</v>
      </c>
      <c r="M173" s="120">
        <v>0</v>
      </c>
      <c r="N173" s="120">
        <v>1</v>
      </c>
      <c r="O173" s="120">
        <v>3</v>
      </c>
      <c r="P173" s="120">
        <v>0</v>
      </c>
      <c r="Q173" s="120">
        <v>1</v>
      </c>
      <c r="R173" s="120">
        <v>2</v>
      </c>
      <c r="S173" s="120">
        <v>0</v>
      </c>
      <c r="T173" s="120">
        <v>2</v>
      </c>
      <c r="U173" s="120">
        <v>1</v>
      </c>
      <c r="V173" s="120">
        <v>2</v>
      </c>
      <c r="W173" s="120">
        <v>3</v>
      </c>
      <c r="X173" s="120">
        <v>1</v>
      </c>
      <c r="Y173" s="120">
        <v>0</v>
      </c>
      <c r="Z173" s="120">
        <v>0</v>
      </c>
      <c r="AA173" s="120">
        <v>3</v>
      </c>
      <c r="AB173" s="120">
        <v>1</v>
      </c>
      <c r="AC173" s="120">
        <v>2</v>
      </c>
      <c r="AD173" s="120">
        <v>0</v>
      </c>
      <c r="AE173" s="120">
        <v>1</v>
      </c>
      <c r="AF173" s="120">
        <v>1</v>
      </c>
      <c r="AG173" s="44">
        <f t="shared" si="26"/>
        <v>32</v>
      </c>
    </row>
    <row r="174" spans="1:34" ht="15.75" customHeight="1" x14ac:dyDescent="0.25">
      <c r="A174" s="119" t="s">
        <v>38</v>
      </c>
      <c r="B174" s="120">
        <v>18</v>
      </c>
      <c r="C174" s="120">
        <v>18</v>
      </c>
      <c r="D174" s="120">
        <v>13</v>
      </c>
      <c r="E174" s="120">
        <v>22</v>
      </c>
      <c r="F174" s="120">
        <v>16</v>
      </c>
      <c r="G174" s="120">
        <v>18</v>
      </c>
      <c r="H174" s="120">
        <v>10</v>
      </c>
      <c r="I174" s="120">
        <v>11</v>
      </c>
      <c r="J174" s="120">
        <v>14</v>
      </c>
      <c r="K174" s="120">
        <v>17</v>
      </c>
      <c r="L174" s="120">
        <v>23</v>
      </c>
      <c r="M174" s="120">
        <v>21</v>
      </c>
      <c r="N174" s="120">
        <v>16</v>
      </c>
      <c r="O174" s="120">
        <v>13</v>
      </c>
      <c r="P174" s="120">
        <v>13</v>
      </c>
      <c r="Q174" s="120">
        <v>18</v>
      </c>
      <c r="R174" s="120">
        <v>21</v>
      </c>
      <c r="S174" s="120">
        <v>22</v>
      </c>
      <c r="T174" s="120">
        <v>20</v>
      </c>
      <c r="U174" s="120">
        <v>26</v>
      </c>
      <c r="V174" s="120">
        <v>24</v>
      </c>
      <c r="W174" s="120">
        <v>22</v>
      </c>
      <c r="X174" s="120">
        <v>13</v>
      </c>
      <c r="Y174" s="120">
        <v>7</v>
      </c>
      <c r="Z174" s="120">
        <v>16</v>
      </c>
      <c r="AA174" s="120">
        <v>21</v>
      </c>
      <c r="AB174" s="120">
        <v>30</v>
      </c>
      <c r="AC174" s="120">
        <v>22</v>
      </c>
      <c r="AD174" s="120">
        <v>23</v>
      </c>
      <c r="AE174" s="120">
        <v>15</v>
      </c>
      <c r="AF174" s="120">
        <v>13</v>
      </c>
      <c r="AG174" s="44">
        <f t="shared" si="26"/>
        <v>556</v>
      </c>
    </row>
    <row r="175" spans="1:34" ht="15.75" customHeight="1" x14ac:dyDescent="0.25">
      <c r="A175" s="119" t="s">
        <v>39</v>
      </c>
      <c r="B175" s="120">
        <v>105</v>
      </c>
      <c r="C175" s="120">
        <v>112</v>
      </c>
      <c r="D175" s="120">
        <v>103</v>
      </c>
      <c r="E175" s="120">
        <v>82</v>
      </c>
      <c r="F175" s="120">
        <v>94</v>
      </c>
      <c r="G175" s="120">
        <v>108</v>
      </c>
      <c r="H175" s="120">
        <v>116</v>
      </c>
      <c r="I175" s="120">
        <v>164</v>
      </c>
      <c r="J175" s="120">
        <v>109</v>
      </c>
      <c r="K175" s="120">
        <v>99</v>
      </c>
      <c r="L175" s="120">
        <v>89</v>
      </c>
      <c r="M175" s="120">
        <v>96</v>
      </c>
      <c r="N175" s="120">
        <v>147</v>
      </c>
      <c r="O175" s="120">
        <v>103</v>
      </c>
      <c r="P175" s="120">
        <v>97</v>
      </c>
      <c r="Q175" s="120">
        <v>97</v>
      </c>
      <c r="R175" s="120">
        <v>81</v>
      </c>
      <c r="S175" s="120">
        <v>79</v>
      </c>
      <c r="T175" s="120">
        <v>90</v>
      </c>
      <c r="U175" s="120">
        <v>137</v>
      </c>
      <c r="V175" s="120">
        <v>152</v>
      </c>
      <c r="W175" s="120">
        <v>86</v>
      </c>
      <c r="X175" s="120">
        <v>87</v>
      </c>
      <c r="Y175" s="120">
        <v>63</v>
      </c>
      <c r="Z175" s="120">
        <v>86</v>
      </c>
      <c r="AA175" s="120">
        <v>94</v>
      </c>
      <c r="AB175" s="120">
        <v>103</v>
      </c>
      <c r="AC175" s="120">
        <v>95</v>
      </c>
      <c r="AD175" s="120">
        <v>93</v>
      </c>
      <c r="AE175" s="120">
        <v>94</v>
      </c>
      <c r="AF175" s="120">
        <v>65</v>
      </c>
      <c r="AG175" s="44">
        <f t="shared" si="26"/>
        <v>3126</v>
      </c>
    </row>
    <row r="176" spans="1:34" ht="15.75" customHeight="1" thickBot="1" x14ac:dyDescent="0.3">
      <c r="A176" s="121" t="s">
        <v>40</v>
      </c>
      <c r="B176" s="122">
        <v>17</v>
      </c>
      <c r="C176" s="122">
        <v>9</v>
      </c>
      <c r="D176" s="122">
        <v>11</v>
      </c>
      <c r="E176" s="122">
        <v>14</v>
      </c>
      <c r="F176" s="122">
        <v>19</v>
      </c>
      <c r="G176" s="122">
        <v>40</v>
      </c>
      <c r="H176" s="122">
        <v>38</v>
      </c>
      <c r="I176" s="122">
        <v>44</v>
      </c>
      <c r="J176" s="122">
        <v>9</v>
      </c>
      <c r="K176" s="122">
        <v>5</v>
      </c>
      <c r="L176" s="122">
        <v>11</v>
      </c>
      <c r="M176" s="122">
        <v>12</v>
      </c>
      <c r="N176" s="122">
        <v>34</v>
      </c>
      <c r="O176" s="122">
        <v>45</v>
      </c>
      <c r="P176" s="122">
        <v>17</v>
      </c>
      <c r="Q176" s="122">
        <v>17</v>
      </c>
      <c r="R176" s="122">
        <v>18</v>
      </c>
      <c r="S176" s="122">
        <v>19</v>
      </c>
      <c r="T176" s="122">
        <v>21</v>
      </c>
      <c r="U176" s="122">
        <v>26</v>
      </c>
      <c r="V176" s="122">
        <v>29</v>
      </c>
      <c r="W176" s="122">
        <v>2</v>
      </c>
      <c r="X176" s="122">
        <v>14</v>
      </c>
      <c r="Y176" s="122">
        <v>9</v>
      </c>
      <c r="Z176" s="122">
        <v>34</v>
      </c>
      <c r="AA176" s="122">
        <v>10</v>
      </c>
      <c r="AB176" s="122">
        <v>54</v>
      </c>
      <c r="AC176" s="122">
        <v>29</v>
      </c>
      <c r="AD176" s="122">
        <v>13</v>
      </c>
      <c r="AE176" s="122">
        <v>24</v>
      </c>
      <c r="AF176" s="122">
        <v>20</v>
      </c>
      <c r="AG176" s="45">
        <f t="shared" si="26"/>
        <v>664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0" t="s">
        <v>178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1TfqBe/rTTZL3SsHj3/XuzDmNY0ahsBkq2Rft+NWG0LUbs9/4O+KlNZKPMN5NypEjNa41pBmaTRrh2MC5DRcZg==" saltValue="ljKiDdhUPPurke4Y2GX9Aw==" spinCount="100000" sheet="1" objects="1" scenarios="1"/>
  <dataConsolidate/>
  <mergeCells count="2">
    <mergeCell ref="A1:AG1"/>
    <mergeCell ref="AH177:AH180"/>
  </mergeCells>
  <conditionalFormatting sqref="AD29:AF52">
    <cfRule type="cellIs" dxfId="2" priority="3" operator="lessThan">
      <formula>0</formula>
    </cfRule>
  </conditionalFormatting>
  <conditionalFormatting sqref="AH171">
    <cfRule type="cellIs" dxfId="1" priority="2" operator="equal">
      <formula>"X"</formula>
    </cfRule>
  </conditionalFormatting>
  <conditionalFormatting sqref="AH1:AH1048576">
    <cfRule type="cellIs" dxfId="0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02C47E8C-C8CA-4501-8E71-E4D8F57DC649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22F0DE-FFC1-40C9-970A-320F9DCBD3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CONSOLIDADO_SAR</vt:lpstr>
      <vt:lpstr>FORMATO</vt:lpstr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Sepúlveda C. (CVP)</dc:creator>
  <cp:lastModifiedBy>Rodrigo Villalobosr</cp:lastModifiedBy>
  <dcterms:created xsi:type="dcterms:W3CDTF">2023-01-03T14:27:23Z</dcterms:created>
  <dcterms:modified xsi:type="dcterms:W3CDTF">2026-03-23T19:32:51Z</dcterms:modified>
</cp:coreProperties>
</file>