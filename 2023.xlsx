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4538348-k\Desktop\DASHBOARD (html)\SAR\sar\"/>
    </mc:Choice>
  </mc:AlternateContent>
  <xr:revisionPtr revIDLastSave="0" documentId="13_ncr:1_{67299EE7-62C2-4150-9F42-99B6080043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DO" sheetId="1" r:id="rId1"/>
    <sheet name="FORMATO" sheetId="19" r:id="rId2"/>
    <sheet name="ENERO" sheetId="3" r:id="rId3"/>
    <sheet name="FEBRERO" sheetId="4" r:id="rId4"/>
    <sheet name="MARZO" sheetId="5" r:id="rId5"/>
    <sheet name="ABRIL" sheetId="6" r:id="rId6"/>
    <sheet name="MAYO" sheetId="7" r:id="rId7"/>
    <sheet name="JUNIO" sheetId="8" r:id="rId8"/>
    <sheet name="Julio" sheetId="9" r:id="rId9"/>
    <sheet name="agosto" sheetId="10" r:id="rId10"/>
    <sheet name="septiembre" sheetId="11" r:id="rId11"/>
    <sheet name="OCTUBRE" sheetId="12" r:id="rId12"/>
    <sheet name="NOVIEMBRE" sheetId="18" r:id="rId13"/>
    <sheet name="DICIEMBRE" sheetId="20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6" i="1" l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AG180" i="20"/>
  <c r="AG179" i="20"/>
  <c r="AG178" i="20"/>
  <c r="AG177" i="20"/>
  <c r="AG176" i="20"/>
  <c r="AG175" i="20"/>
  <c r="AG174" i="20"/>
  <c r="AG173" i="20"/>
  <c r="AG172" i="20"/>
  <c r="AF171" i="20"/>
  <c r="AE171" i="20"/>
  <c r="AD171" i="20"/>
  <c r="AC171" i="20"/>
  <c r="AB171" i="20"/>
  <c r="AA171" i="20"/>
  <c r="Z171" i="20"/>
  <c r="Y171" i="20"/>
  <c r="X171" i="20"/>
  <c r="W171" i="20"/>
  <c r="V171" i="20"/>
  <c r="U171" i="20"/>
  <c r="T171" i="20"/>
  <c r="S171" i="20"/>
  <c r="R171" i="20"/>
  <c r="Q171" i="20"/>
  <c r="P171" i="20"/>
  <c r="O171" i="20"/>
  <c r="N171" i="20"/>
  <c r="M171" i="20"/>
  <c r="L171" i="20"/>
  <c r="K171" i="20"/>
  <c r="J171" i="20"/>
  <c r="I171" i="20"/>
  <c r="H171" i="20"/>
  <c r="G171" i="20"/>
  <c r="F171" i="20"/>
  <c r="E171" i="20"/>
  <c r="D171" i="20"/>
  <c r="C171" i="20"/>
  <c r="B171" i="20"/>
  <c r="AG170" i="20"/>
  <c r="AG169" i="20"/>
  <c r="AG168" i="20"/>
  <c r="AG167" i="20"/>
  <c r="AG166" i="20"/>
  <c r="AG165" i="20"/>
  <c r="AG164" i="20"/>
  <c r="AG163" i="20"/>
  <c r="AG162" i="20"/>
  <c r="AG161" i="20"/>
  <c r="AG160" i="20"/>
  <c r="AG159" i="20"/>
  <c r="AG158" i="20"/>
  <c r="AG157" i="20"/>
  <c r="AG156" i="20"/>
  <c r="AG155" i="20"/>
  <c r="AG154" i="20"/>
  <c r="AG153" i="20"/>
  <c r="AG152" i="20"/>
  <c r="AG151" i="20"/>
  <c r="AG150" i="20"/>
  <c r="AG149" i="20"/>
  <c r="AG148" i="20"/>
  <c r="AG147" i="20"/>
  <c r="AG146" i="20"/>
  <c r="AG145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AG143" i="20"/>
  <c r="AG142" i="20"/>
  <c r="AG141" i="20"/>
  <c r="AG140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AG138" i="20"/>
  <c r="AG137" i="20"/>
  <c r="AG136" i="20"/>
  <c r="AF135" i="20"/>
  <c r="AE135" i="20"/>
  <c r="AD135" i="20"/>
  <c r="AC135" i="20"/>
  <c r="AB135" i="20"/>
  <c r="AA135" i="20"/>
  <c r="Z135" i="20"/>
  <c r="Y135" i="20"/>
  <c r="X135" i="20"/>
  <c r="W135" i="20"/>
  <c r="V135" i="20"/>
  <c r="U135" i="20"/>
  <c r="T135" i="20"/>
  <c r="S135" i="20"/>
  <c r="R135" i="20"/>
  <c r="Q135" i="20"/>
  <c r="P135" i="20"/>
  <c r="O135" i="20"/>
  <c r="N135" i="20"/>
  <c r="M135" i="20"/>
  <c r="L135" i="20"/>
  <c r="K135" i="20"/>
  <c r="J135" i="20"/>
  <c r="I135" i="20"/>
  <c r="H135" i="20"/>
  <c r="G135" i="20"/>
  <c r="F135" i="20"/>
  <c r="E135" i="20"/>
  <c r="D135" i="20"/>
  <c r="C135" i="20"/>
  <c r="B135" i="20"/>
  <c r="AG132" i="20"/>
  <c r="AG131" i="20"/>
  <c r="AG130" i="20"/>
  <c r="AG129" i="20"/>
  <c r="AG128" i="20"/>
  <c r="AG127" i="20"/>
  <c r="AG126" i="20"/>
  <c r="AG125" i="20"/>
  <c r="AG124" i="20"/>
  <c r="AG123" i="20"/>
  <c r="AG122" i="20"/>
  <c r="AG121" i="20"/>
  <c r="AG120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AG118" i="20"/>
  <c r="AG117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AG115" i="20"/>
  <c r="AG114" i="20"/>
  <c r="AG113" i="20"/>
  <c r="AG112" i="20"/>
  <c r="AG111" i="20"/>
  <c r="AG110" i="20"/>
  <c r="AG109" i="20"/>
  <c r="AG108" i="20"/>
  <c r="AG107" i="20"/>
  <c r="AG106" i="20"/>
  <c r="AG105" i="20"/>
  <c r="AG104" i="20"/>
  <c r="AG103" i="20"/>
  <c r="AG102" i="20"/>
  <c r="AG101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AG99" i="20"/>
  <c r="AG98" i="20"/>
  <c r="AG97" i="20"/>
  <c r="AG96" i="20"/>
  <c r="AG95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Q93" i="20" s="1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C93" i="20" s="1"/>
  <c r="B94" i="20"/>
  <c r="AG92" i="20"/>
  <c r="AG91" i="20"/>
  <c r="AG90" i="20"/>
  <c r="AG89" i="20"/>
  <c r="AG88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AG86" i="20"/>
  <c r="AG85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AF82" i="20"/>
  <c r="AF83" i="20" s="1"/>
  <c r="AF81" i="20" s="1"/>
  <c r="AE82" i="20"/>
  <c r="AE83" i="20" s="1"/>
  <c r="AE81" i="20" s="1"/>
  <c r="AD82" i="20"/>
  <c r="AD83" i="20" s="1"/>
  <c r="AC82" i="20"/>
  <c r="AC83" i="20" s="1"/>
  <c r="AC81" i="20" s="1"/>
  <c r="AB82" i="20"/>
  <c r="AA82" i="20"/>
  <c r="AA83" i="20" s="1"/>
  <c r="AA81" i="20" s="1"/>
  <c r="Z82" i="20"/>
  <c r="Z83" i="20" s="1"/>
  <c r="Y82" i="20"/>
  <c r="Y83" i="20" s="1"/>
  <c r="Y81" i="20" s="1"/>
  <c r="X82" i="20"/>
  <c r="X83" i="20" s="1"/>
  <c r="X81" i="20" s="1"/>
  <c r="W82" i="20"/>
  <c r="W83" i="20" s="1"/>
  <c r="W81" i="20" s="1"/>
  <c r="V82" i="20"/>
  <c r="V83" i="20" s="1"/>
  <c r="U82" i="20"/>
  <c r="U83" i="20" s="1"/>
  <c r="U81" i="20" s="1"/>
  <c r="T82" i="20"/>
  <c r="S82" i="20"/>
  <c r="S83" i="20" s="1"/>
  <c r="S81" i="20" s="1"/>
  <c r="R82" i="20"/>
  <c r="R83" i="20" s="1"/>
  <c r="Q82" i="20"/>
  <c r="Q83" i="20" s="1"/>
  <c r="Q81" i="20" s="1"/>
  <c r="P82" i="20"/>
  <c r="P83" i="20" s="1"/>
  <c r="P81" i="20" s="1"/>
  <c r="O82" i="20"/>
  <c r="O83" i="20" s="1"/>
  <c r="O81" i="20" s="1"/>
  <c r="N82" i="20"/>
  <c r="N83" i="20" s="1"/>
  <c r="M82" i="20"/>
  <c r="M83" i="20" s="1"/>
  <c r="M81" i="20" s="1"/>
  <c r="L82" i="20"/>
  <c r="K82" i="20"/>
  <c r="K83" i="20" s="1"/>
  <c r="K81" i="20" s="1"/>
  <c r="J82" i="20"/>
  <c r="J83" i="20" s="1"/>
  <c r="I82" i="20"/>
  <c r="I83" i="20" s="1"/>
  <c r="I81" i="20" s="1"/>
  <c r="H82" i="20"/>
  <c r="H83" i="20" s="1"/>
  <c r="H81" i="20" s="1"/>
  <c r="G82" i="20"/>
  <c r="G83" i="20" s="1"/>
  <c r="G81" i="20" s="1"/>
  <c r="F82" i="20"/>
  <c r="F83" i="20" s="1"/>
  <c r="E82" i="20"/>
  <c r="E83" i="20" s="1"/>
  <c r="E81" i="20" s="1"/>
  <c r="D82" i="20"/>
  <c r="C82" i="20"/>
  <c r="C83" i="20" s="1"/>
  <c r="C81" i="20" s="1"/>
  <c r="B82" i="20"/>
  <c r="B83" i="20" s="1"/>
  <c r="AG80" i="20"/>
  <c r="AF79" i="20"/>
  <c r="AF78" i="20" s="1"/>
  <c r="AE79" i="20"/>
  <c r="AE78" i="20" s="1"/>
  <c r="AD79" i="20"/>
  <c r="AD78" i="20" s="1"/>
  <c r="AC79" i="20"/>
  <c r="AC78" i="20" s="1"/>
  <c r="AB79" i="20"/>
  <c r="AB78" i="20" s="1"/>
  <c r="AA79" i="20"/>
  <c r="AA78" i="20" s="1"/>
  <c r="Z79" i="20"/>
  <c r="Z78" i="20" s="1"/>
  <c r="Y79" i="20"/>
  <c r="Y78" i="20" s="1"/>
  <c r="X79" i="20"/>
  <c r="X78" i="20" s="1"/>
  <c r="W79" i="20"/>
  <c r="W78" i="20" s="1"/>
  <c r="V79" i="20"/>
  <c r="V78" i="20" s="1"/>
  <c r="U79" i="20"/>
  <c r="U78" i="20" s="1"/>
  <c r="T79" i="20"/>
  <c r="T78" i="20" s="1"/>
  <c r="S79" i="20"/>
  <c r="S78" i="20" s="1"/>
  <c r="R79" i="20"/>
  <c r="R78" i="20" s="1"/>
  <c r="Q79" i="20"/>
  <c r="Q78" i="20" s="1"/>
  <c r="P79" i="20"/>
  <c r="P78" i="20" s="1"/>
  <c r="O79" i="20"/>
  <c r="O78" i="20" s="1"/>
  <c r="N79" i="20"/>
  <c r="N78" i="20" s="1"/>
  <c r="M79" i="20"/>
  <c r="M78" i="20" s="1"/>
  <c r="L79" i="20"/>
  <c r="L78" i="20" s="1"/>
  <c r="K79" i="20"/>
  <c r="K78" i="20" s="1"/>
  <c r="J79" i="20"/>
  <c r="J78" i="20" s="1"/>
  <c r="I79" i="20"/>
  <c r="I78" i="20" s="1"/>
  <c r="H79" i="20"/>
  <c r="H78" i="20" s="1"/>
  <c r="G79" i="20"/>
  <c r="G78" i="20" s="1"/>
  <c r="F79" i="20"/>
  <c r="F78" i="20" s="1"/>
  <c r="E79" i="20"/>
  <c r="E78" i="20" s="1"/>
  <c r="D79" i="20"/>
  <c r="D78" i="20" s="1"/>
  <c r="C79" i="20"/>
  <c r="C78" i="20" s="1"/>
  <c r="B79" i="20"/>
  <c r="B78" i="20" s="1"/>
  <c r="AG77" i="20"/>
  <c r="AG76" i="20"/>
  <c r="AG75" i="20"/>
  <c r="AG74" i="20"/>
  <c r="AG73" i="20"/>
  <c r="AG72" i="20"/>
  <c r="AG71" i="20"/>
  <c r="AG70" i="20"/>
  <c r="AG69" i="20"/>
  <c r="AG68" i="20"/>
  <c r="AG67" i="20"/>
  <c r="AG66" i="20"/>
  <c r="AG65" i="20"/>
  <c r="AG64" i="20"/>
  <c r="AG63" i="20"/>
  <c r="AG62" i="20"/>
  <c r="AG61" i="20"/>
  <c r="AG60" i="20"/>
  <c r="AG59" i="20"/>
  <c r="AG58" i="20"/>
  <c r="AG57" i="20"/>
  <c r="AG56" i="20"/>
  <c r="AG55" i="20"/>
  <c r="AG54" i="20"/>
  <c r="AF53" i="20"/>
  <c r="AF134" i="20" s="1"/>
  <c r="AE53" i="20"/>
  <c r="AE134" i="20" s="1"/>
  <c r="AD53" i="20"/>
  <c r="AD134" i="20" s="1"/>
  <c r="AC53" i="20"/>
  <c r="AC134" i="20" s="1"/>
  <c r="AB53" i="20"/>
  <c r="AB134" i="20" s="1"/>
  <c r="AA53" i="20"/>
  <c r="AA134" i="20" s="1"/>
  <c r="Z53" i="20"/>
  <c r="Z134" i="20" s="1"/>
  <c r="Y53" i="20"/>
  <c r="Y134" i="20" s="1"/>
  <c r="X53" i="20"/>
  <c r="X134" i="20" s="1"/>
  <c r="W53" i="20"/>
  <c r="W134" i="20" s="1"/>
  <c r="V53" i="20"/>
  <c r="V134" i="20" s="1"/>
  <c r="U53" i="20"/>
  <c r="U134" i="20" s="1"/>
  <c r="T53" i="20"/>
  <c r="T134" i="20" s="1"/>
  <c r="S53" i="20"/>
  <c r="S134" i="20" s="1"/>
  <c r="R53" i="20"/>
  <c r="R134" i="20" s="1"/>
  <c r="Q53" i="20"/>
  <c r="Q134" i="20" s="1"/>
  <c r="P53" i="20"/>
  <c r="P134" i="20" s="1"/>
  <c r="O53" i="20"/>
  <c r="O134" i="20" s="1"/>
  <c r="N53" i="20"/>
  <c r="N134" i="20" s="1"/>
  <c r="M53" i="20"/>
  <c r="M134" i="20" s="1"/>
  <c r="L53" i="20"/>
  <c r="L134" i="20" s="1"/>
  <c r="K53" i="20"/>
  <c r="K134" i="20" s="1"/>
  <c r="J53" i="20"/>
  <c r="J134" i="20" s="1"/>
  <c r="I53" i="20"/>
  <c r="I134" i="20" s="1"/>
  <c r="H53" i="20"/>
  <c r="H134" i="20" s="1"/>
  <c r="G53" i="20"/>
  <c r="G134" i="20" s="1"/>
  <c r="F53" i="20"/>
  <c r="F134" i="20" s="1"/>
  <c r="E53" i="20"/>
  <c r="E134" i="20" s="1"/>
  <c r="D53" i="20"/>
  <c r="D134" i="20" s="1"/>
  <c r="C53" i="20"/>
  <c r="C134" i="20" s="1"/>
  <c r="B53" i="20"/>
  <c r="B134" i="20" s="1"/>
  <c r="AG52" i="20"/>
  <c r="AG51" i="20"/>
  <c r="AG50" i="20"/>
  <c r="AG49" i="20"/>
  <c r="AG48" i="20"/>
  <c r="AG47" i="20"/>
  <c r="AG46" i="20"/>
  <c r="AG45" i="20"/>
  <c r="AG44" i="20"/>
  <c r="AG43" i="20"/>
  <c r="AG42" i="20"/>
  <c r="AG41" i="20"/>
  <c r="AG40" i="20"/>
  <c r="AG39" i="20"/>
  <c r="AG38" i="20"/>
  <c r="AG37" i="20"/>
  <c r="AG36" i="20"/>
  <c r="AG35" i="20"/>
  <c r="AG34" i="20"/>
  <c r="AG33" i="20"/>
  <c r="AG32" i="20"/>
  <c r="AG31" i="20"/>
  <c r="AG30" i="20"/>
  <c r="AG29" i="20"/>
  <c r="AF28" i="20"/>
  <c r="AF133" i="20" s="1"/>
  <c r="AE28" i="20"/>
  <c r="AE133" i="20" s="1"/>
  <c r="AD28" i="20"/>
  <c r="AD133" i="20" s="1"/>
  <c r="AC28" i="20"/>
  <c r="AC133" i="20" s="1"/>
  <c r="AB28" i="20"/>
  <c r="AB133" i="20" s="1"/>
  <c r="AA28" i="20"/>
  <c r="AA133" i="20" s="1"/>
  <c r="Z28" i="20"/>
  <c r="Z133" i="20" s="1"/>
  <c r="Y28" i="20"/>
  <c r="Y133" i="20" s="1"/>
  <c r="X28" i="20"/>
  <c r="X133" i="20" s="1"/>
  <c r="W28" i="20"/>
  <c r="W133" i="20" s="1"/>
  <c r="V28" i="20"/>
  <c r="V133" i="20" s="1"/>
  <c r="U28" i="20"/>
  <c r="U133" i="20" s="1"/>
  <c r="T28" i="20"/>
  <c r="T133" i="20" s="1"/>
  <c r="S28" i="20"/>
  <c r="S133" i="20" s="1"/>
  <c r="R28" i="20"/>
  <c r="R133" i="20" s="1"/>
  <c r="Q28" i="20"/>
  <c r="Q133" i="20" s="1"/>
  <c r="P28" i="20"/>
  <c r="P133" i="20" s="1"/>
  <c r="O28" i="20"/>
  <c r="O133" i="20" s="1"/>
  <c r="N28" i="20"/>
  <c r="N133" i="20" s="1"/>
  <c r="M28" i="20"/>
  <c r="M133" i="20" s="1"/>
  <c r="L28" i="20"/>
  <c r="L133" i="20" s="1"/>
  <c r="K28" i="20"/>
  <c r="K133" i="20" s="1"/>
  <c r="J28" i="20"/>
  <c r="J133" i="20" s="1"/>
  <c r="I28" i="20"/>
  <c r="I133" i="20" s="1"/>
  <c r="H28" i="20"/>
  <c r="H133" i="20" s="1"/>
  <c r="G28" i="20"/>
  <c r="G133" i="20" s="1"/>
  <c r="F28" i="20"/>
  <c r="F133" i="20" s="1"/>
  <c r="E28" i="20"/>
  <c r="E133" i="20" s="1"/>
  <c r="D28" i="20"/>
  <c r="D133" i="20" s="1"/>
  <c r="C28" i="20"/>
  <c r="C133" i="20" s="1"/>
  <c r="B28" i="20"/>
  <c r="B133" i="20" s="1"/>
  <c r="AG27" i="20"/>
  <c r="AG26" i="20"/>
  <c r="AG25" i="20"/>
  <c r="AG24" i="20"/>
  <c r="AG23" i="20"/>
  <c r="AG22" i="20"/>
  <c r="AG21" i="20"/>
  <c r="AG20" i="20"/>
  <c r="AG19" i="20"/>
  <c r="AG18" i="20"/>
  <c r="AG17" i="20"/>
  <c r="AG16" i="20"/>
  <c r="AG15" i="20"/>
  <c r="AG14" i="20"/>
  <c r="AG13" i="20"/>
  <c r="AG12" i="20"/>
  <c r="AG11" i="20"/>
  <c r="AG10" i="20"/>
  <c r="AG9" i="20"/>
  <c r="AG8" i="20"/>
  <c r="AG7" i="20"/>
  <c r="AG6" i="20"/>
  <c r="AG5" i="20"/>
  <c r="AG4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C2" i="20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K79" i="19"/>
  <c r="K78" i="19" s="1"/>
  <c r="AG180" i="19"/>
  <c r="AG179" i="19"/>
  <c r="AG178" i="19"/>
  <c r="AG177" i="19"/>
  <c r="AG176" i="19"/>
  <c r="AG175" i="19"/>
  <c r="AG174" i="19"/>
  <c r="AG173" i="19"/>
  <c r="AG172" i="19"/>
  <c r="AF171" i="19"/>
  <c r="AE171" i="19"/>
  <c r="AD171" i="19"/>
  <c r="AC171" i="19"/>
  <c r="AB171" i="19"/>
  <c r="AA171" i="19"/>
  <c r="Z171" i="19"/>
  <c r="Y171" i="19"/>
  <c r="X171" i="19"/>
  <c r="W171" i="19"/>
  <c r="V171" i="19"/>
  <c r="U171" i="19"/>
  <c r="T171" i="19"/>
  <c r="S171" i="19"/>
  <c r="R171" i="19"/>
  <c r="Q171" i="19"/>
  <c r="P171" i="19"/>
  <c r="O171" i="19"/>
  <c r="N171" i="19"/>
  <c r="M171" i="19"/>
  <c r="L171" i="19"/>
  <c r="K171" i="19"/>
  <c r="J171" i="19"/>
  <c r="I171" i="19"/>
  <c r="H171" i="19"/>
  <c r="G171" i="19"/>
  <c r="F171" i="19"/>
  <c r="E171" i="19"/>
  <c r="D171" i="19"/>
  <c r="C171" i="19"/>
  <c r="B171" i="19"/>
  <c r="AG170" i="19"/>
  <c r="AG169" i="19"/>
  <c r="AG168" i="19"/>
  <c r="AG167" i="19"/>
  <c r="AG166" i="19"/>
  <c r="AG165" i="19"/>
  <c r="AG164" i="19"/>
  <c r="AG163" i="19"/>
  <c r="AG162" i="19"/>
  <c r="AG161" i="19"/>
  <c r="AG160" i="19"/>
  <c r="AG159" i="19"/>
  <c r="AG158" i="19"/>
  <c r="AG157" i="19"/>
  <c r="AG156" i="19"/>
  <c r="AG155" i="19"/>
  <c r="AG154" i="19"/>
  <c r="AG153" i="19"/>
  <c r="AG152" i="19"/>
  <c r="AG151" i="19"/>
  <c r="AG150" i="19"/>
  <c r="AG149" i="19"/>
  <c r="AG148" i="19"/>
  <c r="AG147" i="19"/>
  <c r="AG146" i="19"/>
  <c r="AG145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AG143" i="19"/>
  <c r="AG142" i="19"/>
  <c r="AG141" i="19"/>
  <c r="AG140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AG138" i="19"/>
  <c r="AG137" i="19"/>
  <c r="AG136" i="19"/>
  <c r="AF135" i="19"/>
  <c r="AE135" i="19"/>
  <c r="AD135" i="19"/>
  <c r="AC135" i="19"/>
  <c r="AB135" i="19"/>
  <c r="AA135" i="19"/>
  <c r="Z135" i="19"/>
  <c r="Y135" i="19"/>
  <c r="X135" i="19"/>
  <c r="W135" i="19"/>
  <c r="V135" i="19"/>
  <c r="U135" i="19"/>
  <c r="T135" i="19"/>
  <c r="S135" i="19"/>
  <c r="R135" i="19"/>
  <c r="Q135" i="19"/>
  <c r="P135" i="19"/>
  <c r="O135" i="19"/>
  <c r="N135" i="19"/>
  <c r="M135" i="19"/>
  <c r="L135" i="19"/>
  <c r="K135" i="19"/>
  <c r="J135" i="19"/>
  <c r="I135" i="19"/>
  <c r="H135" i="19"/>
  <c r="G135" i="19"/>
  <c r="F135" i="19"/>
  <c r="E135" i="19"/>
  <c r="D135" i="19"/>
  <c r="C135" i="19"/>
  <c r="B135" i="19"/>
  <c r="U134" i="19"/>
  <c r="AG132" i="19"/>
  <c r="AG131" i="19"/>
  <c r="AG130" i="19"/>
  <c r="AG129" i="19"/>
  <c r="AG128" i="19"/>
  <c r="AG127" i="19"/>
  <c r="AG126" i="19"/>
  <c r="AG125" i="19"/>
  <c r="AG124" i="19"/>
  <c r="AG123" i="19"/>
  <c r="AG122" i="19"/>
  <c r="AG121" i="19"/>
  <c r="AG120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AG118" i="19"/>
  <c r="AG117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AG115" i="19"/>
  <c r="AG114" i="19"/>
  <c r="AG113" i="19"/>
  <c r="AG112" i="19"/>
  <c r="AG111" i="19"/>
  <c r="AG110" i="19"/>
  <c r="AG109" i="19"/>
  <c r="AG108" i="19"/>
  <c r="AG107" i="19"/>
  <c r="AG106" i="19"/>
  <c r="AG105" i="19"/>
  <c r="AG104" i="19"/>
  <c r="AG103" i="19"/>
  <c r="AG102" i="19"/>
  <c r="AG101" i="19"/>
  <c r="AF100" i="19"/>
  <c r="AE100" i="19"/>
  <c r="AD100" i="19"/>
  <c r="AC100" i="19"/>
  <c r="AC93" i="19" s="1"/>
  <c r="AB100" i="19"/>
  <c r="AA100" i="19"/>
  <c r="AA93" i="19" s="1"/>
  <c r="Z100" i="19"/>
  <c r="Y100" i="19"/>
  <c r="X100" i="19"/>
  <c r="W100" i="19"/>
  <c r="V100" i="19"/>
  <c r="U100" i="19"/>
  <c r="U93" i="19" s="1"/>
  <c r="T100" i="19"/>
  <c r="S100" i="19"/>
  <c r="R100" i="19"/>
  <c r="Q100" i="19"/>
  <c r="P100" i="19"/>
  <c r="O100" i="19"/>
  <c r="N100" i="19"/>
  <c r="M100" i="19"/>
  <c r="L100" i="19"/>
  <c r="K100" i="19"/>
  <c r="K93" i="19" s="1"/>
  <c r="J100" i="19"/>
  <c r="I100" i="19"/>
  <c r="H100" i="19"/>
  <c r="G100" i="19"/>
  <c r="F100" i="19"/>
  <c r="E100" i="19"/>
  <c r="E93" i="19" s="1"/>
  <c r="D100" i="19"/>
  <c r="C100" i="19"/>
  <c r="B100" i="19"/>
  <c r="AG99" i="19"/>
  <c r="AG98" i="19"/>
  <c r="AG97" i="19"/>
  <c r="AG96" i="19"/>
  <c r="AG95" i="19"/>
  <c r="AF94" i="19"/>
  <c r="AF93" i="19" s="1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T93" i="19" s="1"/>
  <c r="S94" i="19"/>
  <c r="R94" i="19"/>
  <c r="Q94" i="19"/>
  <c r="Q93" i="19" s="1"/>
  <c r="P94" i="19"/>
  <c r="O94" i="19"/>
  <c r="N94" i="19"/>
  <c r="M94" i="19"/>
  <c r="L94" i="19"/>
  <c r="L93" i="19" s="1"/>
  <c r="K94" i="19"/>
  <c r="J94" i="19"/>
  <c r="I94" i="19"/>
  <c r="H94" i="19"/>
  <c r="G94" i="19"/>
  <c r="F94" i="19"/>
  <c r="E94" i="19"/>
  <c r="D94" i="19"/>
  <c r="D93" i="19" s="1"/>
  <c r="C94" i="19"/>
  <c r="B94" i="19"/>
  <c r="AE93" i="19"/>
  <c r="AB93" i="19"/>
  <c r="Y93" i="19"/>
  <c r="W93" i="19"/>
  <c r="I93" i="19"/>
  <c r="AG92" i="19"/>
  <c r="AG91" i="19"/>
  <c r="AG90" i="19"/>
  <c r="AG89" i="19"/>
  <c r="AG88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AG86" i="19"/>
  <c r="AG85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AF82" i="19"/>
  <c r="AF83" i="19" s="1"/>
  <c r="AE82" i="19"/>
  <c r="AE83" i="19" s="1"/>
  <c r="AE81" i="19" s="1"/>
  <c r="AD82" i="19"/>
  <c r="AD83" i="19" s="1"/>
  <c r="AD81" i="19" s="1"/>
  <c r="AC82" i="19"/>
  <c r="AC83" i="19" s="1"/>
  <c r="AC81" i="19" s="1"/>
  <c r="AB82" i="19"/>
  <c r="AB83" i="19" s="1"/>
  <c r="AA82" i="19"/>
  <c r="AA83" i="19" s="1"/>
  <c r="AA81" i="19" s="1"/>
  <c r="Z82" i="19"/>
  <c r="Y82" i="19"/>
  <c r="Y83" i="19" s="1"/>
  <c r="Y81" i="19" s="1"/>
  <c r="X82" i="19"/>
  <c r="X83" i="19" s="1"/>
  <c r="W82" i="19"/>
  <c r="W83" i="19" s="1"/>
  <c r="W81" i="19" s="1"/>
  <c r="V82" i="19"/>
  <c r="V83" i="19" s="1"/>
  <c r="V81" i="19" s="1"/>
  <c r="U82" i="19"/>
  <c r="U83" i="19" s="1"/>
  <c r="U81" i="19" s="1"/>
  <c r="T82" i="19"/>
  <c r="T83" i="19" s="1"/>
  <c r="S82" i="19"/>
  <c r="S83" i="19" s="1"/>
  <c r="S81" i="19" s="1"/>
  <c r="R82" i="19"/>
  <c r="Q82" i="19"/>
  <c r="Q83" i="19" s="1"/>
  <c r="Q81" i="19" s="1"/>
  <c r="P82" i="19"/>
  <c r="P83" i="19" s="1"/>
  <c r="O82" i="19"/>
  <c r="O83" i="19" s="1"/>
  <c r="O81" i="19" s="1"/>
  <c r="N82" i="19"/>
  <c r="N83" i="19" s="1"/>
  <c r="N81" i="19" s="1"/>
  <c r="M82" i="19"/>
  <c r="M83" i="19" s="1"/>
  <c r="M81" i="19" s="1"/>
  <c r="L82" i="19"/>
  <c r="L83" i="19" s="1"/>
  <c r="K82" i="19"/>
  <c r="K83" i="19" s="1"/>
  <c r="K81" i="19" s="1"/>
  <c r="J82" i="19"/>
  <c r="I82" i="19"/>
  <c r="I83" i="19" s="1"/>
  <c r="I81" i="19" s="1"/>
  <c r="H82" i="19"/>
  <c r="H83" i="19" s="1"/>
  <c r="G82" i="19"/>
  <c r="G83" i="19" s="1"/>
  <c r="G81" i="19" s="1"/>
  <c r="F82" i="19"/>
  <c r="F83" i="19" s="1"/>
  <c r="F81" i="19" s="1"/>
  <c r="E82" i="19"/>
  <c r="E83" i="19" s="1"/>
  <c r="E81" i="19" s="1"/>
  <c r="D82" i="19"/>
  <c r="D83" i="19" s="1"/>
  <c r="C82" i="19"/>
  <c r="C83" i="19" s="1"/>
  <c r="C81" i="19" s="1"/>
  <c r="B82" i="19"/>
  <c r="AG80" i="19"/>
  <c r="AF79" i="19"/>
  <c r="AE79" i="19"/>
  <c r="AD79" i="19"/>
  <c r="AC79" i="19"/>
  <c r="AB79" i="19"/>
  <c r="AB78" i="19" s="1"/>
  <c r="AA79" i="19"/>
  <c r="Z79" i="19"/>
  <c r="Z78" i="19" s="1"/>
  <c r="Y79" i="19"/>
  <c r="X79" i="19"/>
  <c r="X78" i="19" s="1"/>
  <c r="W79" i="19"/>
  <c r="V79" i="19"/>
  <c r="U79" i="19"/>
  <c r="U78" i="19" s="1"/>
  <c r="T79" i="19"/>
  <c r="T78" i="19" s="1"/>
  <c r="S79" i="19"/>
  <c r="S78" i="19" s="1"/>
  <c r="R79" i="19"/>
  <c r="R78" i="19" s="1"/>
  <c r="Q79" i="19"/>
  <c r="Q78" i="19" s="1"/>
  <c r="P79" i="19"/>
  <c r="P78" i="19" s="1"/>
  <c r="O79" i="19"/>
  <c r="O78" i="19" s="1"/>
  <c r="N79" i="19"/>
  <c r="M79" i="19"/>
  <c r="L79" i="19"/>
  <c r="L78" i="19" s="1"/>
  <c r="J79" i="19"/>
  <c r="I79" i="19"/>
  <c r="I78" i="19" s="1"/>
  <c r="H79" i="19"/>
  <c r="H78" i="19" s="1"/>
  <c r="G79" i="19"/>
  <c r="G78" i="19" s="1"/>
  <c r="F79" i="19"/>
  <c r="E79" i="19"/>
  <c r="D79" i="19"/>
  <c r="D78" i="19" s="1"/>
  <c r="C79" i="19"/>
  <c r="B79" i="19"/>
  <c r="AF78" i="19"/>
  <c r="AE78" i="19"/>
  <c r="AD78" i="19"/>
  <c r="AC78" i="19"/>
  <c r="AA78" i="19"/>
  <c r="Y78" i="19"/>
  <c r="W78" i="19"/>
  <c r="V78" i="19"/>
  <c r="N78" i="19"/>
  <c r="M78" i="19"/>
  <c r="J78" i="19"/>
  <c r="F78" i="19"/>
  <c r="E78" i="19"/>
  <c r="C78" i="19"/>
  <c r="AG77" i="19"/>
  <c r="AG76" i="19"/>
  <c r="AG75" i="19"/>
  <c r="AG74" i="19"/>
  <c r="AG73" i="19"/>
  <c r="AG72" i="19"/>
  <c r="AG71" i="19"/>
  <c r="AG70" i="19"/>
  <c r="AG69" i="19"/>
  <c r="AG68" i="19"/>
  <c r="AG67" i="19"/>
  <c r="AG66" i="19"/>
  <c r="AG65" i="19"/>
  <c r="AG64" i="19"/>
  <c r="AG63" i="19"/>
  <c r="AG62" i="19"/>
  <c r="AG61" i="19"/>
  <c r="AG60" i="19"/>
  <c r="AG59" i="19"/>
  <c r="AG58" i="19"/>
  <c r="AG57" i="19"/>
  <c r="AG56" i="19"/>
  <c r="AG55" i="19"/>
  <c r="AG54" i="19"/>
  <c r="AF53" i="19"/>
  <c r="AF134" i="19" s="1"/>
  <c r="AE53" i="19"/>
  <c r="AE134" i="19" s="1"/>
  <c r="AD53" i="19"/>
  <c r="AD134" i="19" s="1"/>
  <c r="AC53" i="19"/>
  <c r="AC134" i="19" s="1"/>
  <c r="AB53" i="19"/>
  <c r="AB134" i="19" s="1"/>
  <c r="AA53" i="19"/>
  <c r="AA134" i="19" s="1"/>
  <c r="Z53" i="19"/>
  <c r="Z134" i="19" s="1"/>
  <c r="Y53" i="19"/>
  <c r="Y134" i="19" s="1"/>
  <c r="X53" i="19"/>
  <c r="X134" i="19" s="1"/>
  <c r="W53" i="19"/>
  <c r="W134" i="19" s="1"/>
  <c r="V53" i="19"/>
  <c r="V134" i="19" s="1"/>
  <c r="U53" i="19"/>
  <c r="T53" i="19"/>
  <c r="T134" i="19" s="1"/>
  <c r="S53" i="19"/>
  <c r="S134" i="19" s="1"/>
  <c r="R53" i="19"/>
  <c r="R134" i="19" s="1"/>
  <c r="Q53" i="19"/>
  <c r="Q134" i="19" s="1"/>
  <c r="P53" i="19"/>
  <c r="P134" i="19" s="1"/>
  <c r="O53" i="19"/>
  <c r="O134" i="19" s="1"/>
  <c r="N53" i="19"/>
  <c r="N134" i="19" s="1"/>
  <c r="M53" i="19"/>
  <c r="M134" i="19" s="1"/>
  <c r="L53" i="19"/>
  <c r="L134" i="19" s="1"/>
  <c r="K53" i="19"/>
  <c r="K134" i="19" s="1"/>
  <c r="J53" i="19"/>
  <c r="J134" i="19" s="1"/>
  <c r="I53" i="19"/>
  <c r="I134" i="19" s="1"/>
  <c r="H53" i="19"/>
  <c r="H134" i="19" s="1"/>
  <c r="G53" i="19"/>
  <c r="G134" i="19" s="1"/>
  <c r="F53" i="19"/>
  <c r="F134" i="19" s="1"/>
  <c r="E53" i="19"/>
  <c r="E134" i="19" s="1"/>
  <c r="D53" i="19"/>
  <c r="D134" i="19" s="1"/>
  <c r="C53" i="19"/>
  <c r="C134" i="19" s="1"/>
  <c r="B53" i="19"/>
  <c r="B134" i="19" s="1"/>
  <c r="AG52" i="19"/>
  <c r="AG51" i="19"/>
  <c r="AG50" i="19"/>
  <c r="AG49" i="19"/>
  <c r="AG48" i="19"/>
  <c r="AG47" i="19"/>
  <c r="AG46" i="19"/>
  <c r="AG45" i="19"/>
  <c r="AG44" i="19"/>
  <c r="AG43" i="19"/>
  <c r="AG42" i="19"/>
  <c r="AG41" i="19"/>
  <c r="AG40" i="19"/>
  <c r="AG39" i="19"/>
  <c r="AG38" i="19"/>
  <c r="AG37" i="19"/>
  <c r="AG36" i="19"/>
  <c r="AG35" i="19"/>
  <c r="AG34" i="19"/>
  <c r="AG33" i="19"/>
  <c r="AG32" i="19"/>
  <c r="AG31" i="19"/>
  <c r="AG30" i="19"/>
  <c r="AG29" i="19"/>
  <c r="AF28" i="19"/>
  <c r="AF133" i="19" s="1"/>
  <c r="AE28" i="19"/>
  <c r="AE133" i="19" s="1"/>
  <c r="AD28" i="19"/>
  <c r="AD133" i="19" s="1"/>
  <c r="AC28" i="19"/>
  <c r="AC133" i="19" s="1"/>
  <c r="AB28" i="19"/>
  <c r="AB133" i="19" s="1"/>
  <c r="AA28" i="19"/>
  <c r="AA133" i="19" s="1"/>
  <c r="Z28" i="19"/>
  <c r="Z133" i="19" s="1"/>
  <c r="Y28" i="19"/>
  <c r="Y133" i="19" s="1"/>
  <c r="X28" i="19"/>
  <c r="X133" i="19" s="1"/>
  <c r="W28" i="19"/>
  <c r="W133" i="19" s="1"/>
  <c r="V28" i="19"/>
  <c r="V133" i="19" s="1"/>
  <c r="U28" i="19"/>
  <c r="U133" i="19" s="1"/>
  <c r="T28" i="19"/>
  <c r="T133" i="19" s="1"/>
  <c r="S28" i="19"/>
  <c r="S133" i="19" s="1"/>
  <c r="R28" i="19"/>
  <c r="R133" i="19" s="1"/>
  <c r="Q28" i="19"/>
  <c r="Q133" i="19" s="1"/>
  <c r="P28" i="19"/>
  <c r="P133" i="19" s="1"/>
  <c r="O28" i="19"/>
  <c r="O133" i="19" s="1"/>
  <c r="N28" i="19"/>
  <c r="N133" i="19" s="1"/>
  <c r="M28" i="19"/>
  <c r="M133" i="19" s="1"/>
  <c r="L28" i="19"/>
  <c r="L133" i="19" s="1"/>
  <c r="K28" i="19"/>
  <c r="K133" i="19" s="1"/>
  <c r="J28" i="19"/>
  <c r="J133" i="19" s="1"/>
  <c r="I28" i="19"/>
  <c r="I133" i="19" s="1"/>
  <c r="H28" i="19"/>
  <c r="H133" i="19" s="1"/>
  <c r="G28" i="19"/>
  <c r="G133" i="19" s="1"/>
  <c r="F28" i="19"/>
  <c r="F133" i="19" s="1"/>
  <c r="E28" i="19"/>
  <c r="E133" i="19" s="1"/>
  <c r="D28" i="19"/>
  <c r="D133" i="19" s="1"/>
  <c r="C28" i="19"/>
  <c r="C133" i="19" s="1"/>
  <c r="B28" i="19"/>
  <c r="B133" i="19" s="1"/>
  <c r="AG27" i="19"/>
  <c r="AG26" i="19"/>
  <c r="AG25" i="19"/>
  <c r="AG24" i="19"/>
  <c r="AG23" i="19"/>
  <c r="AG22" i="19"/>
  <c r="AG21" i="19"/>
  <c r="AG20" i="19"/>
  <c r="AG19" i="19"/>
  <c r="AG18" i="19"/>
  <c r="AG17" i="19"/>
  <c r="AG16" i="19"/>
  <c r="AG15" i="19"/>
  <c r="AG14" i="19"/>
  <c r="AG13" i="19"/>
  <c r="AG12" i="19"/>
  <c r="AG11" i="19"/>
  <c r="AG10" i="19"/>
  <c r="AG9" i="19"/>
  <c r="AG8" i="19"/>
  <c r="AG7" i="19"/>
  <c r="AG6" i="19"/>
  <c r="AG5" i="19"/>
  <c r="AG4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C2" i="19"/>
  <c r="D2" i="19" s="1"/>
  <c r="E2" i="19" s="1"/>
  <c r="F2" i="19" s="1"/>
  <c r="G2" i="19" s="1"/>
  <c r="H2" i="19" s="1"/>
  <c r="I2" i="19" s="1"/>
  <c r="J2" i="19" s="1"/>
  <c r="K2" i="19" s="1"/>
  <c r="L2" i="19" s="1"/>
  <c r="M2" i="19" s="1"/>
  <c r="N2" i="19" s="1"/>
  <c r="O2" i="19" s="1"/>
  <c r="P2" i="19" s="1"/>
  <c r="Q2" i="19" s="1"/>
  <c r="R2" i="19" s="1"/>
  <c r="S2" i="19" s="1"/>
  <c r="T2" i="19" s="1"/>
  <c r="U2" i="19" s="1"/>
  <c r="V2" i="19" s="1"/>
  <c r="W2" i="19" s="1"/>
  <c r="X2" i="19" s="1"/>
  <c r="Y2" i="19" s="1"/>
  <c r="Z2" i="19" s="1"/>
  <c r="AA2" i="19" s="1"/>
  <c r="AB2" i="19" s="1"/>
  <c r="AC2" i="19" s="1"/>
  <c r="AD2" i="19" s="1"/>
  <c r="AE2" i="19" s="1"/>
  <c r="AF2" i="19" s="1"/>
  <c r="O93" i="20" l="1"/>
  <c r="F93" i="19"/>
  <c r="G93" i="19"/>
  <c r="H93" i="19"/>
  <c r="M93" i="19"/>
  <c r="AD93" i="19"/>
  <c r="AG144" i="19"/>
  <c r="X93" i="19"/>
  <c r="N93" i="19"/>
  <c r="AG100" i="19"/>
  <c r="V93" i="19"/>
  <c r="AG87" i="19"/>
  <c r="AH87" i="19" s="1"/>
  <c r="O93" i="19"/>
  <c r="S93" i="19"/>
  <c r="P93" i="19"/>
  <c r="M93" i="20"/>
  <c r="V93" i="20"/>
  <c r="AC93" i="20"/>
  <c r="AA93" i="20"/>
  <c r="I93" i="20"/>
  <c r="H93" i="20"/>
  <c r="AF93" i="20"/>
  <c r="AE93" i="20"/>
  <c r="AD93" i="20"/>
  <c r="AB93" i="20"/>
  <c r="Z93" i="20"/>
  <c r="Y93" i="20"/>
  <c r="X93" i="20"/>
  <c r="W93" i="20"/>
  <c r="U93" i="20"/>
  <c r="T93" i="20"/>
  <c r="S93" i="20"/>
  <c r="R93" i="20"/>
  <c r="P93" i="20"/>
  <c r="N93" i="20"/>
  <c r="L93" i="20"/>
  <c r="K93" i="20"/>
  <c r="J93" i="20"/>
  <c r="G93" i="20"/>
  <c r="F93" i="20"/>
  <c r="E93" i="20"/>
  <c r="AG84" i="20"/>
  <c r="AG139" i="20"/>
  <c r="AG135" i="20"/>
  <c r="D93" i="20"/>
  <c r="AG144" i="20"/>
  <c r="AG171" i="20"/>
  <c r="AG119" i="20"/>
  <c r="AG100" i="20"/>
  <c r="AG94" i="20"/>
  <c r="AG134" i="20"/>
  <c r="AG87" i="20"/>
  <c r="AG116" i="20"/>
  <c r="AG3" i="20"/>
  <c r="AG79" i="20"/>
  <c r="AG78" i="20"/>
  <c r="AG133" i="20"/>
  <c r="D83" i="20"/>
  <c r="L83" i="20"/>
  <c r="L81" i="20" s="1"/>
  <c r="T83" i="20"/>
  <c r="T81" i="20" s="1"/>
  <c r="AB83" i="20"/>
  <c r="AB81" i="20" s="1"/>
  <c r="F81" i="20"/>
  <c r="N81" i="20"/>
  <c r="V81" i="20"/>
  <c r="AD81" i="20"/>
  <c r="AG28" i="20"/>
  <c r="AG53" i="20"/>
  <c r="B81" i="20"/>
  <c r="J81" i="20"/>
  <c r="R81" i="20"/>
  <c r="Z81" i="20"/>
  <c r="AG82" i="20"/>
  <c r="B93" i="20"/>
  <c r="AG171" i="19"/>
  <c r="AG139" i="19"/>
  <c r="AG135" i="19"/>
  <c r="AG119" i="19"/>
  <c r="AG116" i="19"/>
  <c r="J93" i="19"/>
  <c r="R93" i="19"/>
  <c r="Z93" i="19"/>
  <c r="AG94" i="19"/>
  <c r="AG84" i="19"/>
  <c r="AG79" i="19"/>
  <c r="AG82" i="19"/>
  <c r="AG53" i="19"/>
  <c r="B78" i="19"/>
  <c r="AG78" i="19" s="1"/>
  <c r="AG3" i="19"/>
  <c r="AG133" i="19"/>
  <c r="AG134" i="19"/>
  <c r="B83" i="19"/>
  <c r="Z83" i="19"/>
  <c r="Z81" i="19" s="1"/>
  <c r="D81" i="19"/>
  <c r="L81" i="19"/>
  <c r="T81" i="19"/>
  <c r="AB81" i="19"/>
  <c r="B93" i="19"/>
  <c r="J83" i="19"/>
  <c r="J81" i="19" s="1"/>
  <c r="C93" i="19"/>
  <c r="AG28" i="19"/>
  <c r="H81" i="19"/>
  <c r="P81" i="19"/>
  <c r="X81" i="19"/>
  <c r="AF81" i="19"/>
  <c r="R83" i="19"/>
  <c r="R81" i="19" s="1"/>
  <c r="AG93" i="20" l="1"/>
  <c r="AH119" i="20" s="1"/>
  <c r="AG83" i="20"/>
  <c r="AH84" i="20" s="1"/>
  <c r="AH87" i="20"/>
  <c r="D81" i="20"/>
  <c r="AG81" i="20" s="1"/>
  <c r="AH81" i="20" s="1"/>
  <c r="AG83" i="19"/>
  <c r="AH84" i="19" s="1"/>
  <c r="B81" i="19"/>
  <c r="AG81" i="19" s="1"/>
  <c r="AH81" i="19" s="1"/>
  <c r="AG93" i="19"/>
  <c r="AH133" i="19" s="1"/>
  <c r="AH133" i="20" l="1"/>
  <c r="AH93" i="20"/>
  <c r="AH171" i="20"/>
  <c r="AH93" i="19"/>
  <c r="AH171" i="19"/>
  <c r="AH119" i="19"/>
  <c r="AF171" i="18" l="1"/>
  <c r="AE171" i="18"/>
  <c r="AD171" i="18"/>
  <c r="AC171" i="18"/>
  <c r="AB171" i="18"/>
  <c r="AA171" i="18"/>
  <c r="Z171" i="18"/>
  <c r="Y171" i="18"/>
  <c r="X171" i="18"/>
  <c r="W171" i="18"/>
  <c r="V171" i="18"/>
  <c r="U171" i="18"/>
  <c r="T171" i="18"/>
  <c r="S171" i="18"/>
  <c r="R171" i="18"/>
  <c r="Q171" i="18"/>
  <c r="P171" i="18"/>
  <c r="O171" i="18"/>
  <c r="N171" i="18"/>
  <c r="M171" i="18"/>
  <c r="L171" i="18"/>
  <c r="K171" i="18"/>
  <c r="J171" i="18"/>
  <c r="I171" i="18"/>
  <c r="H171" i="18"/>
  <c r="G171" i="18"/>
  <c r="F171" i="18"/>
  <c r="E171" i="18"/>
  <c r="D171" i="18"/>
  <c r="E28" i="18" l="1"/>
  <c r="E133" i="18" s="1"/>
  <c r="D144" i="18"/>
  <c r="D139" i="18"/>
  <c r="D135" i="18"/>
  <c r="D119" i="18"/>
  <c r="D116" i="18"/>
  <c r="D100" i="18"/>
  <c r="D94" i="18"/>
  <c r="D87" i="18"/>
  <c r="D84" i="18"/>
  <c r="D82" i="18"/>
  <c r="D83" i="18" s="1"/>
  <c r="D81" i="18" s="1"/>
  <c r="D79" i="18"/>
  <c r="D78" i="18" s="1"/>
  <c r="D53" i="18"/>
  <c r="D134" i="18" s="1"/>
  <c r="D28" i="18"/>
  <c r="D133" i="18" s="1"/>
  <c r="D3" i="18"/>
  <c r="F28" i="18"/>
  <c r="F133" i="18" s="1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AC135" i="18"/>
  <c r="AB135" i="18"/>
  <c r="AA135" i="18"/>
  <c r="Z135" i="18"/>
  <c r="Y135" i="18"/>
  <c r="X135" i="18"/>
  <c r="W135" i="18"/>
  <c r="V135" i="18"/>
  <c r="U135" i="18"/>
  <c r="T135" i="18"/>
  <c r="S135" i="18"/>
  <c r="R135" i="18"/>
  <c r="Q135" i="18"/>
  <c r="P135" i="18"/>
  <c r="O135" i="18"/>
  <c r="N135" i="18"/>
  <c r="M135" i="18"/>
  <c r="L135" i="18"/>
  <c r="K135" i="18"/>
  <c r="J135" i="18"/>
  <c r="I135" i="18"/>
  <c r="H135" i="18"/>
  <c r="G135" i="18"/>
  <c r="F135" i="18"/>
  <c r="E135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AC94" i="18"/>
  <c r="AC93" i="18" s="1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AC82" i="18"/>
  <c r="AC83" i="18" s="1"/>
  <c r="AC81" i="18" s="1"/>
  <c r="AB82" i="18"/>
  <c r="AB83" i="18" s="1"/>
  <c r="AB81" i="18" s="1"/>
  <c r="AA82" i="18"/>
  <c r="AA83" i="18" s="1"/>
  <c r="Z82" i="18"/>
  <c r="Z83" i="18" s="1"/>
  <c r="Y82" i="18"/>
  <c r="Y83" i="18" s="1"/>
  <c r="Y81" i="18" s="1"/>
  <c r="X82" i="18"/>
  <c r="X83" i="18" s="1"/>
  <c r="W82" i="18"/>
  <c r="W83" i="18" s="1"/>
  <c r="W81" i="18" s="1"/>
  <c r="V82" i="18"/>
  <c r="V83" i="18" s="1"/>
  <c r="V81" i="18" s="1"/>
  <c r="U82" i="18"/>
  <c r="U83" i="18" s="1"/>
  <c r="U81" i="18" s="1"/>
  <c r="T82" i="18"/>
  <c r="T83" i="18" s="1"/>
  <c r="T81" i="18" s="1"/>
  <c r="S82" i="18"/>
  <c r="S83" i="18" s="1"/>
  <c r="R82" i="18"/>
  <c r="R83" i="18" s="1"/>
  <c r="Q82" i="18"/>
  <c r="Q83" i="18" s="1"/>
  <c r="Q81" i="18" s="1"/>
  <c r="P82" i="18"/>
  <c r="P83" i="18" s="1"/>
  <c r="O82" i="18"/>
  <c r="O83" i="18" s="1"/>
  <c r="O81" i="18" s="1"/>
  <c r="N82" i="18"/>
  <c r="N83" i="18" s="1"/>
  <c r="N81" i="18" s="1"/>
  <c r="M82" i="18"/>
  <c r="M83" i="18" s="1"/>
  <c r="M81" i="18" s="1"/>
  <c r="L82" i="18"/>
  <c r="L83" i="18" s="1"/>
  <c r="L81" i="18" s="1"/>
  <c r="K82" i="18"/>
  <c r="K83" i="18" s="1"/>
  <c r="J82" i="18"/>
  <c r="J83" i="18" s="1"/>
  <c r="I82" i="18"/>
  <c r="I83" i="18" s="1"/>
  <c r="I81" i="18" s="1"/>
  <c r="H82" i="18"/>
  <c r="H83" i="18" s="1"/>
  <c r="G82" i="18"/>
  <c r="G83" i="18" s="1"/>
  <c r="G81" i="18" s="1"/>
  <c r="F82" i="18"/>
  <c r="F83" i="18" s="1"/>
  <c r="F81" i="18" s="1"/>
  <c r="E82" i="18"/>
  <c r="E83" i="18" s="1"/>
  <c r="E81" i="18" s="1"/>
  <c r="AC79" i="18"/>
  <c r="AC78" i="18" s="1"/>
  <c r="AB79" i="18"/>
  <c r="AB78" i="18" s="1"/>
  <c r="AA79" i="18"/>
  <c r="AA78" i="18" s="1"/>
  <c r="Z79" i="18"/>
  <c r="Z78" i="18" s="1"/>
  <c r="Y79" i="18"/>
  <c r="Y78" i="18" s="1"/>
  <c r="X79" i="18"/>
  <c r="X78" i="18" s="1"/>
  <c r="W79" i="18"/>
  <c r="W78" i="18" s="1"/>
  <c r="V79" i="18"/>
  <c r="V78" i="18" s="1"/>
  <c r="U79" i="18"/>
  <c r="U78" i="18" s="1"/>
  <c r="T79" i="18"/>
  <c r="T78" i="18" s="1"/>
  <c r="S79" i="18"/>
  <c r="S78" i="18" s="1"/>
  <c r="R79" i="18"/>
  <c r="R78" i="18" s="1"/>
  <c r="Q79" i="18"/>
  <c r="Q78" i="18" s="1"/>
  <c r="P79" i="18"/>
  <c r="P78" i="18" s="1"/>
  <c r="O79" i="18"/>
  <c r="O78" i="18" s="1"/>
  <c r="N79" i="18"/>
  <c r="N78" i="18" s="1"/>
  <c r="M79" i="18"/>
  <c r="M78" i="18" s="1"/>
  <c r="L79" i="18"/>
  <c r="L78" i="18" s="1"/>
  <c r="K79" i="18"/>
  <c r="K78" i="18" s="1"/>
  <c r="J79" i="18"/>
  <c r="J78" i="18" s="1"/>
  <c r="I79" i="18"/>
  <c r="I78" i="18" s="1"/>
  <c r="H79" i="18"/>
  <c r="H78" i="18" s="1"/>
  <c r="G79" i="18"/>
  <c r="G78" i="18" s="1"/>
  <c r="F79" i="18"/>
  <c r="F78" i="18" s="1"/>
  <c r="E79" i="18"/>
  <c r="E78" i="18" s="1"/>
  <c r="AC53" i="18"/>
  <c r="AC134" i="18" s="1"/>
  <c r="AB53" i="18"/>
  <c r="AB134" i="18" s="1"/>
  <c r="AA53" i="18"/>
  <c r="AA134" i="18" s="1"/>
  <c r="Z53" i="18"/>
  <c r="Z134" i="18" s="1"/>
  <c r="Y53" i="18"/>
  <c r="Y134" i="18" s="1"/>
  <c r="X53" i="18"/>
  <c r="X134" i="18" s="1"/>
  <c r="W53" i="18"/>
  <c r="W134" i="18" s="1"/>
  <c r="V53" i="18"/>
  <c r="V134" i="18" s="1"/>
  <c r="U53" i="18"/>
  <c r="U134" i="18" s="1"/>
  <c r="T53" i="18"/>
  <c r="T134" i="18" s="1"/>
  <c r="S53" i="18"/>
  <c r="S134" i="18" s="1"/>
  <c r="R53" i="18"/>
  <c r="R134" i="18" s="1"/>
  <c r="Q53" i="18"/>
  <c r="Q134" i="18" s="1"/>
  <c r="P53" i="18"/>
  <c r="P134" i="18" s="1"/>
  <c r="O53" i="18"/>
  <c r="O134" i="18" s="1"/>
  <c r="N53" i="18"/>
  <c r="N134" i="18" s="1"/>
  <c r="M53" i="18"/>
  <c r="M134" i="18" s="1"/>
  <c r="L53" i="18"/>
  <c r="L134" i="18" s="1"/>
  <c r="K53" i="18"/>
  <c r="K134" i="18" s="1"/>
  <c r="J53" i="18"/>
  <c r="J134" i="18" s="1"/>
  <c r="I53" i="18"/>
  <c r="I134" i="18" s="1"/>
  <c r="H53" i="18"/>
  <c r="H134" i="18" s="1"/>
  <c r="G53" i="18"/>
  <c r="G134" i="18" s="1"/>
  <c r="F53" i="18"/>
  <c r="F134" i="18" s="1"/>
  <c r="E53" i="18"/>
  <c r="E134" i="18" s="1"/>
  <c r="AC28" i="18"/>
  <c r="AC133" i="18" s="1"/>
  <c r="AB28" i="18"/>
  <c r="AB133" i="18" s="1"/>
  <c r="AA28" i="18"/>
  <c r="AA133" i="18" s="1"/>
  <c r="Z28" i="18"/>
  <c r="Z133" i="18" s="1"/>
  <c r="Y28" i="18"/>
  <c r="Y133" i="18" s="1"/>
  <c r="X28" i="18"/>
  <c r="X133" i="18" s="1"/>
  <c r="W28" i="18"/>
  <c r="W133" i="18" s="1"/>
  <c r="V28" i="18"/>
  <c r="V133" i="18" s="1"/>
  <c r="U28" i="18"/>
  <c r="U133" i="18" s="1"/>
  <c r="T28" i="18"/>
  <c r="T133" i="18" s="1"/>
  <c r="S28" i="18"/>
  <c r="S133" i="18" s="1"/>
  <c r="R28" i="18"/>
  <c r="R133" i="18" s="1"/>
  <c r="Q28" i="18"/>
  <c r="Q133" i="18" s="1"/>
  <c r="P28" i="18"/>
  <c r="P133" i="18" s="1"/>
  <c r="O28" i="18"/>
  <c r="O133" i="18" s="1"/>
  <c r="N28" i="18"/>
  <c r="N133" i="18" s="1"/>
  <c r="M28" i="18"/>
  <c r="M133" i="18" s="1"/>
  <c r="L28" i="18"/>
  <c r="L133" i="18" s="1"/>
  <c r="K28" i="18"/>
  <c r="K133" i="18" s="1"/>
  <c r="J28" i="18"/>
  <c r="J133" i="18" s="1"/>
  <c r="I28" i="18"/>
  <c r="I133" i="18" s="1"/>
  <c r="H28" i="18"/>
  <c r="H133" i="18" s="1"/>
  <c r="G28" i="18"/>
  <c r="G133" i="18" s="1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AG36" i="18"/>
  <c r="B100" i="18"/>
  <c r="C171" i="18"/>
  <c r="C144" i="18"/>
  <c r="C139" i="18"/>
  <c r="C135" i="18"/>
  <c r="C119" i="18"/>
  <c r="C116" i="18"/>
  <c r="C100" i="18"/>
  <c r="C94" i="18"/>
  <c r="C87" i="18"/>
  <c r="C84" i="18"/>
  <c r="C82" i="18"/>
  <c r="C83" i="18" s="1"/>
  <c r="C81" i="18" s="1"/>
  <c r="C79" i="18"/>
  <c r="C78" i="18" s="1"/>
  <c r="C53" i="18"/>
  <c r="C134" i="18" s="1"/>
  <c r="C28" i="18"/>
  <c r="C133" i="18" s="1"/>
  <c r="C3" i="18"/>
  <c r="C2" i="18"/>
  <c r="D2" i="18" s="1"/>
  <c r="E2" i="18" s="1"/>
  <c r="F2" i="18" s="1"/>
  <c r="G2" i="18" s="1"/>
  <c r="H2" i="18" s="1"/>
  <c r="I2" i="18" s="1"/>
  <c r="J2" i="18" s="1"/>
  <c r="K2" i="18" s="1"/>
  <c r="L2" i="18" s="1"/>
  <c r="M2" i="18" s="1"/>
  <c r="N2" i="18" s="1"/>
  <c r="O2" i="18" s="1"/>
  <c r="P2" i="18" s="1"/>
  <c r="Q2" i="18" s="1"/>
  <c r="R2" i="18" s="1"/>
  <c r="S2" i="18" s="1"/>
  <c r="T2" i="18" s="1"/>
  <c r="U2" i="18" s="1"/>
  <c r="V2" i="18" s="1"/>
  <c r="W2" i="18" s="1"/>
  <c r="X2" i="18" s="1"/>
  <c r="Y2" i="18" s="1"/>
  <c r="Z2" i="18" s="1"/>
  <c r="AA2" i="18" s="1"/>
  <c r="AB2" i="18" s="1"/>
  <c r="AC2" i="18" s="1"/>
  <c r="AD2" i="18" s="1"/>
  <c r="AE2" i="18" s="1"/>
  <c r="AF2" i="18" s="1"/>
  <c r="AG180" i="18"/>
  <c r="AG179" i="18"/>
  <c r="AG178" i="18"/>
  <c r="AG177" i="18"/>
  <c r="AG176" i="18"/>
  <c r="AG175" i="18"/>
  <c r="AG174" i="18"/>
  <c r="AG173" i="18"/>
  <c r="AG172" i="18"/>
  <c r="B171" i="18"/>
  <c r="AG170" i="18"/>
  <c r="AG169" i="18"/>
  <c r="AG168" i="18"/>
  <c r="AG167" i="18"/>
  <c r="AG166" i="18"/>
  <c r="AG165" i="18"/>
  <c r="AG164" i="18"/>
  <c r="AG163" i="18"/>
  <c r="AG162" i="18"/>
  <c r="AG161" i="18"/>
  <c r="AG160" i="18"/>
  <c r="AG159" i="18"/>
  <c r="AG158" i="18"/>
  <c r="AG157" i="18"/>
  <c r="AG156" i="18"/>
  <c r="AG155" i="18"/>
  <c r="AG154" i="18"/>
  <c r="AG153" i="18"/>
  <c r="AG152" i="18"/>
  <c r="AG151" i="18"/>
  <c r="AG150" i="18"/>
  <c r="AG149" i="18"/>
  <c r="AG148" i="18"/>
  <c r="AG147" i="18"/>
  <c r="AG146" i="18"/>
  <c r="AG145" i="18"/>
  <c r="AF144" i="18"/>
  <c r="AE144" i="18"/>
  <c r="AD144" i="18"/>
  <c r="B144" i="18"/>
  <c r="AG143" i="18"/>
  <c r="AG142" i="18"/>
  <c r="AG141" i="18"/>
  <c r="AG140" i="18"/>
  <c r="AF139" i="18"/>
  <c r="AE139" i="18"/>
  <c r="AD139" i="18"/>
  <c r="B139" i="18"/>
  <c r="AG138" i="18"/>
  <c r="AG137" i="18"/>
  <c r="AG136" i="18"/>
  <c r="AF135" i="18"/>
  <c r="AE135" i="18"/>
  <c r="AD135" i="18"/>
  <c r="B135" i="18"/>
  <c r="AG132" i="18"/>
  <c r="AG131" i="18"/>
  <c r="AG130" i="18"/>
  <c r="AG129" i="18"/>
  <c r="AG128" i="18"/>
  <c r="AG127" i="18"/>
  <c r="AG126" i="18"/>
  <c r="AG125" i="18"/>
  <c r="AG124" i="18"/>
  <c r="AG123" i="18"/>
  <c r="AG122" i="18"/>
  <c r="AG121" i="18"/>
  <c r="AG120" i="18"/>
  <c r="AF119" i="18"/>
  <c r="AE119" i="18"/>
  <c r="AD119" i="18"/>
  <c r="B119" i="18"/>
  <c r="AG118" i="18"/>
  <c r="AG117" i="18"/>
  <c r="AF116" i="18"/>
  <c r="AE116" i="18"/>
  <c r="AD116" i="18"/>
  <c r="B116" i="18"/>
  <c r="AG115" i="18"/>
  <c r="AG114" i="18"/>
  <c r="AG113" i="18"/>
  <c r="AG112" i="18"/>
  <c r="AG111" i="18"/>
  <c r="AG110" i="18"/>
  <c r="AG109" i="18"/>
  <c r="AG108" i="18"/>
  <c r="AG107" i="18"/>
  <c r="AG106" i="18"/>
  <c r="AG105" i="18"/>
  <c r="AG104" i="18"/>
  <c r="AG103" i="18"/>
  <c r="AG102" i="18"/>
  <c r="AG101" i="18"/>
  <c r="AF100" i="18"/>
  <c r="AF93" i="18" s="1"/>
  <c r="AE100" i="18"/>
  <c r="AD100" i="18"/>
  <c r="AG99" i="18"/>
  <c r="AG98" i="18"/>
  <c r="AG97" i="18"/>
  <c r="AG96" i="18"/>
  <c r="AG95" i="18"/>
  <c r="AF94" i="18"/>
  <c r="AE94" i="18"/>
  <c r="AD94" i="18"/>
  <c r="B94" i="18"/>
  <c r="AG92" i="18"/>
  <c r="AG91" i="18"/>
  <c r="AG90" i="18"/>
  <c r="AG89" i="18"/>
  <c r="AG88" i="18"/>
  <c r="AF87" i="18"/>
  <c r="AE87" i="18"/>
  <c r="AD87" i="18"/>
  <c r="B87" i="18"/>
  <c r="AG86" i="18"/>
  <c r="AG85" i="18"/>
  <c r="AF84" i="18"/>
  <c r="AE84" i="18"/>
  <c r="AD84" i="18"/>
  <c r="B84" i="18"/>
  <c r="AF82" i="18"/>
  <c r="AF83" i="18" s="1"/>
  <c r="AF81" i="18" s="1"/>
  <c r="AE82" i="18"/>
  <c r="AE83" i="18" s="1"/>
  <c r="AE81" i="18" s="1"/>
  <c r="AD82" i="18"/>
  <c r="AD83" i="18" s="1"/>
  <c r="B82" i="18"/>
  <c r="B83" i="18" s="1"/>
  <c r="AG80" i="18"/>
  <c r="AF79" i="18"/>
  <c r="AF78" i="18" s="1"/>
  <c r="AE79" i="18"/>
  <c r="AE78" i="18" s="1"/>
  <c r="AD79" i="18"/>
  <c r="AD78" i="18" s="1"/>
  <c r="B79" i="18"/>
  <c r="B78" i="18" s="1"/>
  <c r="AG77" i="18"/>
  <c r="AG76" i="18"/>
  <c r="AG75" i="18"/>
  <c r="AG74" i="18"/>
  <c r="AG73" i="18"/>
  <c r="AG72" i="18"/>
  <c r="AG71" i="18"/>
  <c r="AG70" i="18"/>
  <c r="AG69" i="18"/>
  <c r="AG68" i="18"/>
  <c r="AG67" i="18"/>
  <c r="AG66" i="18"/>
  <c r="AG65" i="18"/>
  <c r="AG64" i="18"/>
  <c r="AG63" i="18"/>
  <c r="AG62" i="18"/>
  <c r="AG61" i="18"/>
  <c r="AG60" i="18"/>
  <c r="AG59" i="18"/>
  <c r="AG58" i="18"/>
  <c r="AG57" i="18"/>
  <c r="AG56" i="18"/>
  <c r="AG55" i="18"/>
  <c r="AG54" i="18"/>
  <c r="AF53" i="18"/>
  <c r="AF134" i="18" s="1"/>
  <c r="AE53" i="18"/>
  <c r="AE134" i="18" s="1"/>
  <c r="AD53" i="18"/>
  <c r="AD134" i="18" s="1"/>
  <c r="B53" i="18"/>
  <c r="B134" i="18" s="1"/>
  <c r="AG52" i="18"/>
  <c r="AG51" i="18"/>
  <c r="AG50" i="18"/>
  <c r="AG49" i="18"/>
  <c r="AG48" i="18"/>
  <c r="AG47" i="18"/>
  <c r="AG46" i="18"/>
  <c r="AG45" i="18"/>
  <c r="AG44" i="18"/>
  <c r="AG43" i="18"/>
  <c r="AG42" i="18"/>
  <c r="AG41" i="18"/>
  <c r="AG40" i="18"/>
  <c r="AG39" i="18"/>
  <c r="AG38" i="18"/>
  <c r="AG37" i="18"/>
  <c r="AG35" i="18"/>
  <c r="AG34" i="18"/>
  <c r="AG33" i="18"/>
  <c r="AG32" i="18"/>
  <c r="AG31" i="18"/>
  <c r="AG30" i="18"/>
  <c r="AG29" i="18"/>
  <c r="AF28" i="18"/>
  <c r="AF133" i="18" s="1"/>
  <c r="AE28" i="18"/>
  <c r="AE133" i="18" s="1"/>
  <c r="AD28" i="18"/>
  <c r="AD133" i="18" s="1"/>
  <c r="B28" i="18"/>
  <c r="B133" i="18" s="1"/>
  <c r="AG27" i="18"/>
  <c r="AG26" i="18"/>
  <c r="AG25" i="18"/>
  <c r="AG24" i="18"/>
  <c r="AG23" i="18"/>
  <c r="AG22" i="18"/>
  <c r="AG21" i="18"/>
  <c r="AG20" i="18"/>
  <c r="AG19" i="18"/>
  <c r="AG18" i="18"/>
  <c r="AG17" i="18"/>
  <c r="AG16" i="18"/>
  <c r="AG15" i="18"/>
  <c r="AG14" i="18"/>
  <c r="AG13" i="18"/>
  <c r="AG12" i="18"/>
  <c r="AG11" i="18"/>
  <c r="AG10" i="18"/>
  <c r="AG9" i="18"/>
  <c r="AG8" i="18"/>
  <c r="AG7" i="18"/>
  <c r="AG6" i="18"/>
  <c r="AG5" i="18"/>
  <c r="AG4" i="18"/>
  <c r="AF3" i="18"/>
  <c r="AE3" i="18"/>
  <c r="AD3" i="18"/>
  <c r="B3" i="18"/>
  <c r="AE93" i="18" l="1"/>
  <c r="AD93" i="18"/>
  <c r="Q93" i="18"/>
  <c r="AB93" i="18"/>
  <c r="AA93" i="18"/>
  <c r="Z93" i="18"/>
  <c r="Y93" i="18"/>
  <c r="X93" i="18"/>
  <c r="X81" i="18"/>
  <c r="W93" i="18"/>
  <c r="V93" i="18"/>
  <c r="U93" i="18"/>
  <c r="T93" i="18"/>
  <c r="S93" i="18"/>
  <c r="R93" i="18"/>
  <c r="P93" i="18"/>
  <c r="P81" i="18"/>
  <c r="O93" i="18"/>
  <c r="N93" i="18"/>
  <c r="M93" i="18"/>
  <c r="L93" i="18"/>
  <c r="K93" i="18"/>
  <c r="J93" i="18"/>
  <c r="H93" i="18"/>
  <c r="H81" i="18"/>
  <c r="I93" i="18"/>
  <c r="G93" i="18"/>
  <c r="F93" i="18"/>
  <c r="D93" i="18"/>
  <c r="E93" i="18"/>
  <c r="J81" i="18"/>
  <c r="R81" i="18"/>
  <c r="Z81" i="18"/>
  <c r="K81" i="18"/>
  <c r="S81" i="18"/>
  <c r="AA81" i="18"/>
  <c r="B93" i="18"/>
  <c r="C93" i="18"/>
  <c r="AG171" i="18"/>
  <c r="AG135" i="18"/>
  <c r="AG84" i="18"/>
  <c r="AG53" i="18"/>
  <c r="AG144" i="18"/>
  <c r="AG87" i="18"/>
  <c r="AG139" i="18"/>
  <c r="AG100" i="18"/>
  <c r="AG94" i="18"/>
  <c r="AG3" i="18"/>
  <c r="AG79" i="18"/>
  <c r="AG78" i="18"/>
  <c r="AG116" i="18"/>
  <c r="AG119" i="18"/>
  <c r="AG133" i="18"/>
  <c r="AG134" i="18"/>
  <c r="B81" i="18"/>
  <c r="AG28" i="18"/>
  <c r="AG82" i="18"/>
  <c r="AD81" i="18"/>
  <c r="B145" i="12"/>
  <c r="B144" i="12"/>
  <c r="AG129" i="12"/>
  <c r="AG164" i="12"/>
  <c r="AG179" i="12"/>
  <c r="AG178" i="12"/>
  <c r="AG180" i="12"/>
  <c r="AG174" i="12"/>
  <c r="AG169" i="12"/>
  <c r="AG165" i="12"/>
  <c r="AG160" i="12"/>
  <c r="AG158" i="12"/>
  <c r="AG163" i="12"/>
  <c r="AG162" i="12"/>
  <c r="AG161" i="12"/>
  <c r="AG159" i="12"/>
  <c r="AG157" i="12"/>
  <c r="AG187" i="12"/>
  <c r="AG186" i="12"/>
  <c r="AG185" i="12"/>
  <c r="AG184" i="12"/>
  <c r="AG149" i="12"/>
  <c r="AG148" i="12"/>
  <c r="AG147" i="12"/>
  <c r="AG141" i="12"/>
  <c r="AG140" i="12"/>
  <c r="AG139" i="12"/>
  <c r="AG138" i="12"/>
  <c r="AG136" i="12"/>
  <c r="AG135" i="12"/>
  <c r="AG134" i="12"/>
  <c r="AG133" i="12"/>
  <c r="AG132" i="12"/>
  <c r="AG137" i="12"/>
  <c r="AG131" i="12"/>
  <c r="AG99" i="12"/>
  <c r="AG98" i="12"/>
  <c r="AG97" i="12"/>
  <c r="AG96" i="12"/>
  <c r="AG95" i="12"/>
  <c r="AG113" i="12"/>
  <c r="AG112" i="12"/>
  <c r="AG111" i="12"/>
  <c r="AG110" i="12"/>
  <c r="AG109" i="12"/>
  <c r="AG108" i="12"/>
  <c r="AG107" i="12"/>
  <c r="AG106" i="12"/>
  <c r="AG105" i="12"/>
  <c r="AG104" i="12"/>
  <c r="AG103" i="12"/>
  <c r="AG102" i="12"/>
  <c r="AG101" i="12"/>
  <c r="B81" i="12"/>
  <c r="AG88" i="12"/>
  <c r="AG92" i="12"/>
  <c r="AG91" i="12"/>
  <c r="AG90" i="12"/>
  <c r="AG89" i="12"/>
  <c r="AG86" i="12"/>
  <c r="AG85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56" i="12"/>
  <c r="AG59" i="12"/>
  <c r="AG61" i="12"/>
  <c r="AG62" i="12"/>
  <c r="AG67" i="12"/>
  <c r="AG70" i="12"/>
  <c r="AG71" i="12"/>
  <c r="AG72" i="12"/>
  <c r="AG73" i="12"/>
  <c r="AG74" i="12"/>
  <c r="AG75" i="12"/>
  <c r="AG76" i="12"/>
  <c r="AG77" i="12"/>
  <c r="AG65" i="12"/>
  <c r="AG60" i="12"/>
  <c r="AG57" i="12"/>
  <c r="AG55" i="12"/>
  <c r="AG64" i="12"/>
  <c r="AG27" i="12"/>
  <c r="AG25" i="12"/>
  <c r="AG24" i="12"/>
  <c r="AG23" i="12"/>
  <c r="AG21" i="12"/>
  <c r="AG19" i="12"/>
  <c r="AG17" i="12"/>
  <c r="AG16" i="12"/>
  <c r="AG15" i="12"/>
  <c r="AG13" i="12"/>
  <c r="AG199" i="12"/>
  <c r="AG198" i="12"/>
  <c r="AG197" i="12"/>
  <c r="AF196" i="12"/>
  <c r="AE196" i="12"/>
  <c r="AD196" i="12"/>
  <c r="AC196" i="12"/>
  <c r="AB196" i="12"/>
  <c r="AA196" i="12"/>
  <c r="Z196" i="12"/>
  <c r="Y196" i="12"/>
  <c r="X196" i="12"/>
  <c r="W196" i="12"/>
  <c r="V196" i="12"/>
  <c r="U196" i="12"/>
  <c r="T196" i="12"/>
  <c r="S196" i="12"/>
  <c r="R196" i="12"/>
  <c r="Q196" i="12"/>
  <c r="P196" i="12"/>
  <c r="O196" i="12"/>
  <c r="N196" i="12"/>
  <c r="M196" i="12"/>
  <c r="L196" i="12"/>
  <c r="K196" i="12"/>
  <c r="J196" i="12"/>
  <c r="I196" i="12"/>
  <c r="H196" i="12"/>
  <c r="G196" i="12"/>
  <c r="F196" i="12"/>
  <c r="E196" i="12"/>
  <c r="D196" i="12"/>
  <c r="B196" i="12"/>
  <c r="AG195" i="12"/>
  <c r="AG194" i="12"/>
  <c r="AG193" i="12"/>
  <c r="AF192" i="12"/>
  <c r="AE192" i="12"/>
  <c r="AD192" i="12"/>
  <c r="AC192" i="12"/>
  <c r="AB192" i="12"/>
  <c r="AA192" i="12"/>
  <c r="Z192" i="12"/>
  <c r="Y192" i="12"/>
  <c r="X192" i="12"/>
  <c r="W192" i="12"/>
  <c r="V192" i="12"/>
  <c r="U192" i="12"/>
  <c r="T192" i="12"/>
  <c r="S192" i="12"/>
  <c r="R192" i="12"/>
  <c r="Q192" i="12"/>
  <c r="P192" i="12"/>
  <c r="O192" i="12"/>
  <c r="N192" i="12"/>
  <c r="M192" i="12"/>
  <c r="L192" i="12"/>
  <c r="K192" i="12"/>
  <c r="J192" i="12"/>
  <c r="I192" i="12"/>
  <c r="H192" i="12"/>
  <c r="G192" i="12"/>
  <c r="F192" i="12"/>
  <c r="E192" i="12"/>
  <c r="D192" i="12"/>
  <c r="B192" i="12"/>
  <c r="AG191" i="12"/>
  <c r="AG190" i="12"/>
  <c r="AG189" i="12"/>
  <c r="AF188" i="12"/>
  <c r="AE188" i="12"/>
  <c r="AD188" i="12"/>
  <c r="AC188" i="12"/>
  <c r="AB188" i="12"/>
  <c r="AA188" i="12"/>
  <c r="Z188" i="12"/>
  <c r="Y188" i="12"/>
  <c r="X188" i="12"/>
  <c r="W188" i="12"/>
  <c r="V188" i="12"/>
  <c r="U188" i="12"/>
  <c r="T188" i="12"/>
  <c r="S188" i="12"/>
  <c r="R188" i="12"/>
  <c r="Q188" i="12"/>
  <c r="P188" i="12"/>
  <c r="O188" i="12"/>
  <c r="N188" i="12"/>
  <c r="M188" i="12"/>
  <c r="L188" i="12"/>
  <c r="K188" i="12"/>
  <c r="J188" i="12"/>
  <c r="I188" i="12"/>
  <c r="H188" i="12"/>
  <c r="G188" i="12"/>
  <c r="F188" i="12"/>
  <c r="E188" i="12"/>
  <c r="D188" i="12"/>
  <c r="B188" i="12"/>
  <c r="AF182" i="12"/>
  <c r="AE182" i="12"/>
  <c r="AD182" i="12"/>
  <c r="AC182" i="12"/>
  <c r="AB182" i="12"/>
  <c r="AA182" i="12"/>
  <c r="Z182" i="12"/>
  <c r="Y182" i="12"/>
  <c r="X182" i="12"/>
  <c r="W182" i="12"/>
  <c r="V182" i="12"/>
  <c r="U182" i="12"/>
  <c r="T182" i="12"/>
  <c r="S182" i="12"/>
  <c r="R182" i="12"/>
  <c r="Q182" i="12"/>
  <c r="P182" i="12"/>
  <c r="O182" i="12"/>
  <c r="N182" i="12"/>
  <c r="M182" i="12"/>
  <c r="L182" i="12"/>
  <c r="K182" i="12"/>
  <c r="J182" i="12"/>
  <c r="I182" i="12"/>
  <c r="H182" i="12"/>
  <c r="G182" i="12"/>
  <c r="F182" i="12"/>
  <c r="E182" i="12"/>
  <c r="D182" i="12"/>
  <c r="B182" i="12"/>
  <c r="AG181" i="12"/>
  <c r="AG177" i="12"/>
  <c r="AG176" i="12"/>
  <c r="AG175" i="12"/>
  <c r="AG173" i="12"/>
  <c r="AG172" i="12"/>
  <c r="AG171" i="12"/>
  <c r="AG170" i="12"/>
  <c r="AG168" i="12"/>
  <c r="AG167" i="12"/>
  <c r="AG166" i="12"/>
  <c r="AF155" i="12"/>
  <c r="AE155" i="12"/>
  <c r="AD155" i="12"/>
  <c r="AC155" i="12"/>
  <c r="AB155" i="12"/>
  <c r="AA155" i="12"/>
  <c r="Z155" i="12"/>
  <c r="Y155" i="12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B155" i="12"/>
  <c r="AG154" i="12"/>
  <c r="AG153" i="12"/>
  <c r="AF150" i="12"/>
  <c r="AE150" i="12"/>
  <c r="AD150" i="12"/>
  <c r="AC150" i="12"/>
  <c r="AB150" i="12"/>
  <c r="AA150" i="12"/>
  <c r="Z150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B150" i="12"/>
  <c r="AF146" i="12"/>
  <c r="AE146" i="12"/>
  <c r="AD146" i="12"/>
  <c r="AC146" i="12"/>
  <c r="AB146" i="12"/>
  <c r="AA146" i="12"/>
  <c r="Z146" i="12"/>
  <c r="Y146" i="12"/>
  <c r="X146" i="12"/>
  <c r="W146" i="12"/>
  <c r="V146" i="12"/>
  <c r="U146" i="12"/>
  <c r="T146" i="12"/>
  <c r="S146" i="12"/>
  <c r="R146" i="12"/>
  <c r="Q146" i="12"/>
  <c r="P146" i="12"/>
  <c r="O146" i="12"/>
  <c r="N146" i="12"/>
  <c r="M146" i="12"/>
  <c r="L146" i="12"/>
  <c r="K146" i="12"/>
  <c r="J146" i="12"/>
  <c r="I146" i="12"/>
  <c r="H146" i="12"/>
  <c r="G146" i="12"/>
  <c r="F146" i="12"/>
  <c r="E146" i="12"/>
  <c r="D146" i="12"/>
  <c r="B146" i="12"/>
  <c r="AF130" i="12"/>
  <c r="AE130" i="12"/>
  <c r="AD130" i="12"/>
  <c r="AC130" i="12"/>
  <c r="AB130" i="12"/>
  <c r="AA130" i="12"/>
  <c r="Z130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B130" i="12"/>
  <c r="AG128" i="12"/>
  <c r="AG127" i="12"/>
  <c r="AG126" i="12"/>
  <c r="AG125" i="12"/>
  <c r="AG124" i="12"/>
  <c r="AG123" i="12"/>
  <c r="AG122" i="12"/>
  <c r="AG121" i="12"/>
  <c r="AG120" i="12"/>
  <c r="AG119" i="12"/>
  <c r="AG118" i="12"/>
  <c r="AF116" i="12"/>
  <c r="AE116" i="12"/>
  <c r="AD116" i="12"/>
  <c r="AC116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B116" i="12"/>
  <c r="AG115" i="12"/>
  <c r="AF100" i="12"/>
  <c r="AE100" i="12"/>
  <c r="AD100" i="12"/>
  <c r="AC100" i="12"/>
  <c r="AB100" i="12"/>
  <c r="AA100" i="12"/>
  <c r="Z100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B100" i="12"/>
  <c r="AF94" i="12"/>
  <c r="AE94" i="12"/>
  <c r="AD94" i="12"/>
  <c r="AC94" i="12"/>
  <c r="AB94" i="12"/>
  <c r="AA94" i="12"/>
  <c r="Z94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B94" i="12"/>
  <c r="AF87" i="12"/>
  <c r="AE87" i="12"/>
  <c r="AD87" i="12"/>
  <c r="AC87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B87" i="12"/>
  <c r="AF84" i="12"/>
  <c r="AE84" i="12"/>
  <c r="AD84" i="12"/>
  <c r="AC84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B84" i="12"/>
  <c r="AF82" i="12"/>
  <c r="AF83" i="12" s="1"/>
  <c r="AF81" i="12" s="1"/>
  <c r="AE82" i="12"/>
  <c r="AE83" i="12" s="1"/>
  <c r="AD82" i="12"/>
  <c r="AD83" i="12" s="1"/>
  <c r="AD81" i="12" s="1"/>
  <c r="AC82" i="12"/>
  <c r="AB82" i="12"/>
  <c r="AB83" i="12" s="1"/>
  <c r="AB81" i="12" s="1"/>
  <c r="AA82" i="12"/>
  <c r="AA83" i="12" s="1"/>
  <c r="Z82" i="12"/>
  <c r="Z83" i="12" s="1"/>
  <c r="Z81" i="12" s="1"/>
  <c r="Y82" i="12"/>
  <c r="X82" i="12"/>
  <c r="X83" i="12" s="1"/>
  <c r="X81" i="12" s="1"/>
  <c r="W82" i="12"/>
  <c r="W83" i="12" s="1"/>
  <c r="V82" i="12"/>
  <c r="V83" i="12" s="1"/>
  <c r="V81" i="12" s="1"/>
  <c r="U82" i="12"/>
  <c r="T82" i="12"/>
  <c r="T83" i="12" s="1"/>
  <c r="T81" i="12" s="1"/>
  <c r="S82" i="12"/>
  <c r="S83" i="12" s="1"/>
  <c r="R82" i="12"/>
  <c r="R83" i="12" s="1"/>
  <c r="R81" i="12" s="1"/>
  <c r="Q82" i="12"/>
  <c r="P82" i="12"/>
  <c r="P83" i="12" s="1"/>
  <c r="P81" i="12" s="1"/>
  <c r="O82" i="12"/>
  <c r="O83" i="12" s="1"/>
  <c r="N82" i="12"/>
  <c r="N83" i="12" s="1"/>
  <c r="N81" i="12" s="1"/>
  <c r="M82" i="12"/>
  <c r="L82" i="12"/>
  <c r="L83" i="12" s="1"/>
  <c r="L81" i="12" s="1"/>
  <c r="K82" i="12"/>
  <c r="K83" i="12" s="1"/>
  <c r="J82" i="12"/>
  <c r="J83" i="12" s="1"/>
  <c r="J81" i="12" s="1"/>
  <c r="I82" i="12"/>
  <c r="H82" i="12"/>
  <c r="H83" i="12" s="1"/>
  <c r="H81" i="12" s="1"/>
  <c r="G82" i="12"/>
  <c r="G83" i="12" s="1"/>
  <c r="F82" i="12"/>
  <c r="F83" i="12" s="1"/>
  <c r="F81" i="12" s="1"/>
  <c r="E82" i="12"/>
  <c r="D82" i="12"/>
  <c r="D83" i="12" s="1"/>
  <c r="D81" i="12" s="1"/>
  <c r="B82" i="12"/>
  <c r="B83" i="12" s="1"/>
  <c r="AF80" i="12"/>
  <c r="AF79" i="12" s="1"/>
  <c r="AF78" i="12" s="1"/>
  <c r="AC80" i="12"/>
  <c r="AC79" i="12" s="1"/>
  <c r="AC78" i="12" s="1"/>
  <c r="AB80" i="12"/>
  <c r="AB79" i="12" s="1"/>
  <c r="AB78" i="12" s="1"/>
  <c r="AA80" i="12"/>
  <c r="AA79" i="12" s="1"/>
  <c r="AA78" i="12" s="1"/>
  <c r="Y80" i="12"/>
  <c r="Y79" i="12" s="1"/>
  <c r="Y78" i="12" s="1"/>
  <c r="V80" i="12"/>
  <c r="V79" i="12" s="1"/>
  <c r="V78" i="12" s="1"/>
  <c r="U80" i="12"/>
  <c r="U79" i="12" s="1"/>
  <c r="U78" i="12" s="1"/>
  <c r="T80" i="12"/>
  <c r="T79" i="12" s="1"/>
  <c r="T78" i="12" s="1"/>
  <c r="S80" i="12"/>
  <c r="S79" i="12" s="1"/>
  <c r="S78" i="12" s="1"/>
  <c r="R80" i="12"/>
  <c r="R79" i="12" s="1"/>
  <c r="R78" i="12" s="1"/>
  <c r="O80" i="12"/>
  <c r="O79" i="12" s="1"/>
  <c r="O78" i="12" s="1"/>
  <c r="N80" i="12"/>
  <c r="N79" i="12" s="1"/>
  <c r="N78" i="12" s="1"/>
  <c r="M80" i="12"/>
  <c r="M79" i="12" s="1"/>
  <c r="M78" i="12" s="1"/>
  <c r="H80" i="12"/>
  <c r="H79" i="12" s="1"/>
  <c r="H78" i="12" s="1"/>
  <c r="G80" i="12"/>
  <c r="G79" i="12" s="1"/>
  <c r="G78" i="12" s="1"/>
  <c r="F80" i="12"/>
  <c r="F79" i="12" s="1"/>
  <c r="F78" i="12" s="1"/>
  <c r="AE79" i="12"/>
  <c r="AE78" i="12" s="1"/>
  <c r="AD79" i="12"/>
  <c r="AD78" i="12" s="1"/>
  <c r="Z79" i="12"/>
  <c r="Z78" i="12" s="1"/>
  <c r="X79" i="12"/>
  <c r="X78" i="12" s="1"/>
  <c r="W79" i="12"/>
  <c r="W78" i="12" s="1"/>
  <c r="Q79" i="12"/>
  <c r="Q78" i="12" s="1"/>
  <c r="P79" i="12"/>
  <c r="P78" i="12" s="1"/>
  <c r="L79" i="12"/>
  <c r="L78" i="12" s="1"/>
  <c r="K79" i="12"/>
  <c r="K78" i="12" s="1"/>
  <c r="J79" i="12"/>
  <c r="J78" i="12" s="1"/>
  <c r="I79" i="12"/>
  <c r="I78" i="12" s="1"/>
  <c r="E79" i="12"/>
  <c r="E78" i="12" s="1"/>
  <c r="D79" i="12"/>
  <c r="D78" i="12" s="1"/>
  <c r="AG69" i="12"/>
  <c r="AG68" i="12"/>
  <c r="AG66" i="12"/>
  <c r="AG63" i="12"/>
  <c r="AG58" i="12"/>
  <c r="AF53" i="12"/>
  <c r="AF145" i="12" s="1"/>
  <c r="AE53" i="12"/>
  <c r="AE145" i="12" s="1"/>
  <c r="AD53" i="12"/>
  <c r="AD145" i="12" s="1"/>
  <c r="AC53" i="12"/>
  <c r="AC145" i="12" s="1"/>
  <c r="AB53" i="12"/>
  <c r="AB145" i="12" s="1"/>
  <c r="AA53" i="12"/>
  <c r="AA145" i="12" s="1"/>
  <c r="Z53" i="12"/>
  <c r="Z145" i="12" s="1"/>
  <c r="Y53" i="12"/>
  <c r="Y145" i="12" s="1"/>
  <c r="X53" i="12"/>
  <c r="X145" i="12" s="1"/>
  <c r="W53" i="12"/>
  <c r="W145" i="12" s="1"/>
  <c r="V53" i="12"/>
  <c r="V145" i="12" s="1"/>
  <c r="U53" i="12"/>
  <c r="U145" i="12" s="1"/>
  <c r="T53" i="12"/>
  <c r="T145" i="12" s="1"/>
  <c r="S53" i="12"/>
  <c r="S145" i="12" s="1"/>
  <c r="R53" i="12"/>
  <c r="R145" i="12" s="1"/>
  <c r="Q53" i="12"/>
  <c r="Q145" i="12" s="1"/>
  <c r="P53" i="12"/>
  <c r="P145" i="12" s="1"/>
  <c r="O53" i="12"/>
  <c r="O145" i="12" s="1"/>
  <c r="N53" i="12"/>
  <c r="N145" i="12" s="1"/>
  <c r="M53" i="12"/>
  <c r="M145" i="12" s="1"/>
  <c r="L53" i="12"/>
  <c r="L145" i="12" s="1"/>
  <c r="K53" i="12"/>
  <c r="K145" i="12" s="1"/>
  <c r="J53" i="12"/>
  <c r="J145" i="12" s="1"/>
  <c r="I53" i="12"/>
  <c r="I145" i="12" s="1"/>
  <c r="H53" i="12"/>
  <c r="H145" i="12" s="1"/>
  <c r="G53" i="12"/>
  <c r="G145" i="12" s="1"/>
  <c r="F53" i="12"/>
  <c r="F145" i="12" s="1"/>
  <c r="E53" i="12"/>
  <c r="E145" i="12" s="1"/>
  <c r="D53" i="12"/>
  <c r="D145" i="12" s="1"/>
  <c r="AF28" i="12"/>
  <c r="AF144" i="12" s="1"/>
  <c r="AE28" i="12"/>
  <c r="AE144" i="12" s="1"/>
  <c r="AD28" i="12"/>
  <c r="AD144" i="12" s="1"/>
  <c r="AC28" i="12"/>
  <c r="AC144" i="12" s="1"/>
  <c r="AB28" i="12"/>
  <c r="AB144" i="12" s="1"/>
  <c r="AA28" i="12"/>
  <c r="AA144" i="12" s="1"/>
  <c r="Z28" i="12"/>
  <c r="Z144" i="12" s="1"/>
  <c r="Y28" i="12"/>
  <c r="Y144" i="12" s="1"/>
  <c r="X28" i="12"/>
  <c r="X144" i="12" s="1"/>
  <c r="W28" i="12"/>
  <c r="W144" i="12" s="1"/>
  <c r="V28" i="12"/>
  <c r="V144" i="12" s="1"/>
  <c r="U28" i="12"/>
  <c r="U144" i="12" s="1"/>
  <c r="T28" i="12"/>
  <c r="T144" i="12" s="1"/>
  <c r="S28" i="12"/>
  <c r="S144" i="12" s="1"/>
  <c r="R28" i="12"/>
  <c r="R144" i="12" s="1"/>
  <c r="Q28" i="12"/>
  <c r="Q144" i="12" s="1"/>
  <c r="P28" i="12"/>
  <c r="P144" i="12" s="1"/>
  <c r="O28" i="12"/>
  <c r="O144" i="12" s="1"/>
  <c r="N28" i="12"/>
  <c r="N144" i="12" s="1"/>
  <c r="M28" i="12"/>
  <c r="M144" i="12" s="1"/>
  <c r="L28" i="12"/>
  <c r="L144" i="12" s="1"/>
  <c r="K28" i="12"/>
  <c r="K144" i="12" s="1"/>
  <c r="J28" i="12"/>
  <c r="J144" i="12" s="1"/>
  <c r="I28" i="12"/>
  <c r="I144" i="12" s="1"/>
  <c r="H28" i="12"/>
  <c r="H144" i="12" s="1"/>
  <c r="G28" i="12"/>
  <c r="G144" i="12" s="1"/>
  <c r="F28" i="12"/>
  <c r="F144" i="12" s="1"/>
  <c r="E28" i="12"/>
  <c r="E144" i="12" s="1"/>
  <c r="D28" i="12"/>
  <c r="D144" i="12" s="1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AC2" i="12"/>
  <c r="C2" i="12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G226" i="11"/>
  <c r="AG225" i="11"/>
  <c r="AG224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G222" i="11"/>
  <c r="AG221" i="11"/>
  <c r="AG220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G218" i="11"/>
  <c r="AG217" i="11"/>
  <c r="AG216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G214" i="11"/>
  <c r="AG213" i="11"/>
  <c r="AG212" i="11"/>
  <c r="AG211" i="11"/>
  <c r="AG210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G208" i="11"/>
  <c r="AG207" i="11"/>
  <c r="AG206" i="11"/>
  <c r="AG205" i="11"/>
  <c r="AG204" i="11"/>
  <c r="AG203" i="11"/>
  <c r="AG202" i="11"/>
  <c r="AG201" i="11"/>
  <c r="AG200" i="11"/>
  <c r="AG199" i="11"/>
  <c r="AG198" i="11"/>
  <c r="AG197" i="11"/>
  <c r="AG196" i="11"/>
  <c r="AG195" i="11"/>
  <c r="AG194" i="11"/>
  <c r="AG193" i="11"/>
  <c r="AG192" i="11"/>
  <c r="AG191" i="11"/>
  <c r="AG190" i="11"/>
  <c r="AG189" i="11"/>
  <c r="AG188" i="11"/>
  <c r="AG187" i="11"/>
  <c r="AG186" i="11"/>
  <c r="AG185" i="11"/>
  <c r="AG184" i="11"/>
  <c r="AG183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G181" i="11"/>
  <c r="AG180" i="11"/>
  <c r="AG179" i="11"/>
  <c r="AG178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G176" i="11"/>
  <c r="AG175" i="11"/>
  <c r="AG174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G172" i="11"/>
  <c r="AG171" i="11"/>
  <c r="AG170" i="11"/>
  <c r="AG169" i="11"/>
  <c r="AG168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G166" i="11"/>
  <c r="AG165" i="11"/>
  <c r="AG164" i="11"/>
  <c r="AG163" i="11"/>
  <c r="AG162" i="11"/>
  <c r="AG161" i="11"/>
  <c r="AG160" i="11"/>
  <c r="AG159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G157" i="11"/>
  <c r="AG156" i="11"/>
  <c r="AG155" i="11"/>
  <c r="AG154" i="11"/>
  <c r="AG153" i="11"/>
  <c r="AG152" i="11"/>
  <c r="AG151" i="11"/>
  <c r="AG150" i="11"/>
  <c r="AG149" i="11"/>
  <c r="AF148" i="11"/>
  <c r="AE148" i="11"/>
  <c r="AE146" i="11" s="1"/>
  <c r="AD148" i="11"/>
  <c r="AC148" i="11"/>
  <c r="AC146" i="11" s="1"/>
  <c r="AC144" i="11" s="1"/>
  <c r="AB148" i="11"/>
  <c r="AA148" i="11"/>
  <c r="Z148" i="11"/>
  <c r="Y148" i="11"/>
  <c r="Y146" i="11" s="1"/>
  <c r="Y144" i="11" s="1"/>
  <c r="X148" i="11"/>
  <c r="X146" i="11" s="1"/>
  <c r="X144" i="11" s="1"/>
  <c r="W148" i="11"/>
  <c r="W146" i="11" s="1"/>
  <c r="V148" i="11"/>
  <c r="V146" i="11" s="1"/>
  <c r="U148" i="11"/>
  <c r="U146" i="11" s="1"/>
  <c r="T148" i="11"/>
  <c r="T146" i="11" s="1"/>
  <c r="S148" i="11"/>
  <c r="S146" i="11" s="1"/>
  <c r="S144" i="11" s="1"/>
  <c r="R148" i="11"/>
  <c r="R146" i="11" s="1"/>
  <c r="R144" i="11" s="1"/>
  <c r="Q148" i="11"/>
  <c r="Q146" i="11" s="1"/>
  <c r="P148" i="11"/>
  <c r="P146" i="11" s="1"/>
  <c r="P144" i="11" s="1"/>
  <c r="O148" i="11"/>
  <c r="O146" i="11" s="1"/>
  <c r="N148" i="11"/>
  <c r="N146" i="11" s="1"/>
  <c r="N144" i="11" s="1"/>
  <c r="M148" i="11"/>
  <c r="M146" i="11" s="1"/>
  <c r="L148" i="11"/>
  <c r="L146" i="11" s="1"/>
  <c r="K148" i="11"/>
  <c r="K146" i="11" s="1"/>
  <c r="K144" i="11" s="1"/>
  <c r="J148" i="11"/>
  <c r="J146" i="11" s="1"/>
  <c r="J144" i="11" s="1"/>
  <c r="I148" i="11"/>
  <c r="I146" i="11" s="1"/>
  <c r="I144" i="11" s="1"/>
  <c r="H148" i="11"/>
  <c r="G148" i="11"/>
  <c r="G146" i="11" s="1"/>
  <c r="G144" i="11" s="1"/>
  <c r="F148" i="11"/>
  <c r="E148" i="11"/>
  <c r="E146" i="11" s="1"/>
  <c r="E144" i="11" s="1"/>
  <c r="D148" i="11"/>
  <c r="C148" i="11"/>
  <c r="B148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F146" i="11"/>
  <c r="AF144" i="11" s="1"/>
  <c r="AD146" i="11"/>
  <c r="AB146" i="11"/>
  <c r="AA146" i="11"/>
  <c r="AA144" i="11" s="1"/>
  <c r="Z146" i="11"/>
  <c r="H146" i="11"/>
  <c r="H144" i="11" s="1"/>
  <c r="F146" i="11"/>
  <c r="D146" i="11"/>
  <c r="C146" i="11"/>
  <c r="C144" i="11" s="1"/>
  <c r="B146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Z144" i="11"/>
  <c r="AG143" i="11"/>
  <c r="AG142" i="11"/>
  <c r="AG141" i="11"/>
  <c r="AG140" i="11"/>
  <c r="AG139" i="11"/>
  <c r="AG138" i="11"/>
  <c r="AG137" i="11"/>
  <c r="AG136" i="11"/>
  <c r="AG135" i="11"/>
  <c r="AG134" i="11"/>
  <c r="AG133" i="11"/>
  <c r="AG132" i="11"/>
  <c r="AG131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G129" i="11"/>
  <c r="AG128" i="11"/>
  <c r="AG127" i="11"/>
  <c r="AG126" i="11"/>
  <c r="AG125" i="11"/>
  <c r="AG124" i="11"/>
  <c r="AG123" i="11"/>
  <c r="AG122" i="11"/>
  <c r="AG121" i="11"/>
  <c r="AG120" i="11"/>
  <c r="AG119" i="11"/>
  <c r="AG118" i="11"/>
  <c r="AG117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G115" i="11"/>
  <c r="AG114" i="11"/>
  <c r="AG113" i="11"/>
  <c r="AG112" i="11"/>
  <c r="AG111" i="11"/>
  <c r="AG110" i="11"/>
  <c r="AG109" i="11"/>
  <c r="AG108" i="11"/>
  <c r="AG107" i="11"/>
  <c r="AG106" i="11"/>
  <c r="AG105" i="11"/>
  <c r="AG104" i="11"/>
  <c r="AG103" i="11"/>
  <c r="AG102" i="11"/>
  <c r="AG101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R93" i="11" s="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G99" i="11"/>
  <c r="AG98" i="11"/>
  <c r="AG97" i="11"/>
  <c r="AG96" i="11"/>
  <c r="AG95" i="11"/>
  <c r="AF94" i="11"/>
  <c r="AE94" i="11"/>
  <c r="AD94" i="11"/>
  <c r="AC94" i="11"/>
  <c r="AB94" i="11"/>
  <c r="AB93" i="11" s="1"/>
  <c r="AA94" i="11"/>
  <c r="Z94" i="11"/>
  <c r="Z93" i="11" s="1"/>
  <c r="Y94" i="11"/>
  <c r="Y93" i="11" s="1"/>
  <c r="X94" i="11"/>
  <c r="X93" i="11" s="1"/>
  <c r="W94" i="11"/>
  <c r="W93" i="11" s="1"/>
  <c r="V94" i="11"/>
  <c r="U94" i="11"/>
  <c r="U93" i="11" s="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H93" i="11" s="1"/>
  <c r="G94" i="11"/>
  <c r="F94" i="11"/>
  <c r="E94" i="11"/>
  <c r="E93" i="11" s="1"/>
  <c r="D94" i="11"/>
  <c r="D93" i="11" s="1"/>
  <c r="C94" i="11"/>
  <c r="C93" i="11" s="1"/>
  <c r="B94" i="11"/>
  <c r="V93" i="11"/>
  <c r="AG92" i="11"/>
  <c r="AG91" i="11"/>
  <c r="AG90" i="11"/>
  <c r="AG89" i="11"/>
  <c r="AG88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G86" i="11"/>
  <c r="AG85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F82" i="11"/>
  <c r="AF83" i="11" s="1"/>
  <c r="AF81" i="11" s="1"/>
  <c r="AE82" i="11"/>
  <c r="AE83" i="11" s="1"/>
  <c r="AE81" i="11" s="1"/>
  <c r="AD82" i="11"/>
  <c r="AD83" i="11" s="1"/>
  <c r="AC82" i="11"/>
  <c r="AB82" i="11"/>
  <c r="AB83" i="11" s="1"/>
  <c r="AB81" i="11" s="1"/>
  <c r="AA82" i="11"/>
  <c r="AA83" i="11" s="1"/>
  <c r="AA81" i="11" s="1"/>
  <c r="Z82" i="11"/>
  <c r="Z83" i="11" s="1"/>
  <c r="Y82" i="11"/>
  <c r="X82" i="11"/>
  <c r="X83" i="11" s="1"/>
  <c r="X81" i="11" s="1"/>
  <c r="W82" i="11"/>
  <c r="W83" i="11" s="1"/>
  <c r="W81" i="11" s="1"/>
  <c r="V82" i="11"/>
  <c r="U82" i="11"/>
  <c r="T82" i="11"/>
  <c r="T83" i="11" s="1"/>
  <c r="T81" i="11" s="1"/>
  <c r="S82" i="11"/>
  <c r="S83" i="11" s="1"/>
  <c r="S81" i="11" s="1"/>
  <c r="R82" i="11"/>
  <c r="R83" i="11" s="1"/>
  <c r="Q82" i="11"/>
  <c r="P82" i="11"/>
  <c r="P83" i="11" s="1"/>
  <c r="P81" i="11" s="1"/>
  <c r="O82" i="11"/>
  <c r="O83" i="11" s="1"/>
  <c r="O81" i="11" s="1"/>
  <c r="N82" i="11"/>
  <c r="N83" i="11" s="1"/>
  <c r="M82" i="11"/>
  <c r="L82" i="11"/>
  <c r="L83" i="11" s="1"/>
  <c r="L81" i="11" s="1"/>
  <c r="K82" i="11"/>
  <c r="K83" i="11" s="1"/>
  <c r="K81" i="11" s="1"/>
  <c r="J82" i="11"/>
  <c r="I82" i="11"/>
  <c r="H82" i="11"/>
  <c r="H83" i="11" s="1"/>
  <c r="H81" i="11" s="1"/>
  <c r="G82" i="11"/>
  <c r="G83" i="11" s="1"/>
  <c r="G81" i="11" s="1"/>
  <c r="F82" i="11"/>
  <c r="F83" i="11" s="1"/>
  <c r="E82" i="11"/>
  <c r="D82" i="11"/>
  <c r="D83" i="11" s="1"/>
  <c r="D81" i="11" s="1"/>
  <c r="C82" i="11"/>
  <c r="C83" i="11" s="1"/>
  <c r="C81" i="11" s="1"/>
  <c r="B82" i="11"/>
  <c r="AF80" i="11"/>
  <c r="AF79" i="11" s="1"/>
  <c r="AF78" i="11" s="1"/>
  <c r="AC80" i="11"/>
  <c r="AC79" i="11" s="1"/>
  <c r="AC78" i="11" s="1"/>
  <c r="AB80" i="11"/>
  <c r="AB79" i="11" s="1"/>
  <c r="AB78" i="11" s="1"/>
  <c r="AA80" i="11"/>
  <c r="AA79" i="11" s="1"/>
  <c r="AA78" i="11" s="1"/>
  <c r="Y80" i="11"/>
  <c r="Y79" i="11" s="1"/>
  <c r="Y78" i="11" s="1"/>
  <c r="V80" i="11"/>
  <c r="V79" i="11" s="1"/>
  <c r="V78" i="11" s="1"/>
  <c r="U80" i="11"/>
  <c r="U79" i="11" s="1"/>
  <c r="U78" i="11" s="1"/>
  <c r="T80" i="11"/>
  <c r="T79" i="11" s="1"/>
  <c r="T78" i="11" s="1"/>
  <c r="S80" i="11"/>
  <c r="S79" i="11" s="1"/>
  <c r="S78" i="11" s="1"/>
  <c r="R80" i="11"/>
  <c r="R79" i="11" s="1"/>
  <c r="R78" i="11" s="1"/>
  <c r="O80" i="11"/>
  <c r="O79" i="11" s="1"/>
  <c r="O78" i="11" s="1"/>
  <c r="N80" i="11"/>
  <c r="N79" i="11" s="1"/>
  <c r="N78" i="11" s="1"/>
  <c r="M80" i="11"/>
  <c r="M79" i="11" s="1"/>
  <c r="M78" i="11" s="1"/>
  <c r="H80" i="11"/>
  <c r="H79" i="11" s="1"/>
  <c r="H78" i="11" s="1"/>
  <c r="G80" i="11"/>
  <c r="G79" i="11" s="1"/>
  <c r="G78" i="11" s="1"/>
  <c r="F80" i="11"/>
  <c r="AE79" i="11"/>
  <c r="AE78" i="11" s="1"/>
  <c r="AD79" i="11"/>
  <c r="Z79" i="11"/>
  <c r="Z78" i="11" s="1"/>
  <c r="X79" i="11"/>
  <c r="X78" i="11" s="1"/>
  <c r="W79" i="11"/>
  <c r="W78" i="11" s="1"/>
  <c r="Q79" i="11"/>
  <c r="Q78" i="11" s="1"/>
  <c r="P79" i="11"/>
  <c r="P78" i="11" s="1"/>
  <c r="L79" i="11"/>
  <c r="L78" i="11" s="1"/>
  <c r="K79" i="11"/>
  <c r="K78" i="11" s="1"/>
  <c r="J79" i="11"/>
  <c r="J78" i="11" s="1"/>
  <c r="I79" i="11"/>
  <c r="I78" i="11" s="1"/>
  <c r="E79" i="11"/>
  <c r="E78" i="11" s="1"/>
  <c r="D79" i="11"/>
  <c r="D78" i="11" s="1"/>
  <c r="C79" i="11"/>
  <c r="C78" i="11" s="1"/>
  <c r="B79" i="11"/>
  <c r="B78" i="11" s="1"/>
  <c r="AD78" i="11"/>
  <c r="AG77" i="11"/>
  <c r="AG76" i="11"/>
  <c r="AG75" i="11"/>
  <c r="AG74" i="11"/>
  <c r="AG73" i="11"/>
  <c r="AG72" i="11"/>
  <c r="AG71" i="11"/>
  <c r="AG70" i="11"/>
  <c r="AG69" i="11"/>
  <c r="AG68" i="11"/>
  <c r="AG67" i="11"/>
  <c r="AG66" i="11"/>
  <c r="AG65" i="11"/>
  <c r="AG64" i="11"/>
  <c r="AG63" i="11"/>
  <c r="AG62" i="11"/>
  <c r="AG61" i="11"/>
  <c r="AG60" i="11"/>
  <c r="AG59" i="11"/>
  <c r="AG58" i="11"/>
  <c r="AG57" i="11"/>
  <c r="AG56" i="11"/>
  <c r="AG55" i="11"/>
  <c r="AG54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G52" i="11"/>
  <c r="AG51" i="11"/>
  <c r="AG50" i="11"/>
  <c r="AG49" i="11"/>
  <c r="AG48" i="11"/>
  <c r="AG47" i="11"/>
  <c r="AG46" i="11"/>
  <c r="AG45" i="11"/>
  <c r="AG44" i="11"/>
  <c r="AG43" i="11"/>
  <c r="AG42" i="11"/>
  <c r="AG41" i="11"/>
  <c r="AG40" i="11"/>
  <c r="AG39" i="11"/>
  <c r="AG38" i="11"/>
  <c r="AG37" i="11"/>
  <c r="AG36" i="11"/>
  <c r="AG35" i="11"/>
  <c r="AG34" i="11"/>
  <c r="AG33" i="11"/>
  <c r="AG32" i="11"/>
  <c r="AG31" i="11"/>
  <c r="AG30" i="11"/>
  <c r="AG29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G27" i="11"/>
  <c r="AG26" i="11"/>
  <c r="AG25" i="11"/>
  <c r="AG24" i="11"/>
  <c r="AG23" i="11"/>
  <c r="AG22" i="11"/>
  <c r="AG21" i="11"/>
  <c r="AG20" i="11"/>
  <c r="AG19" i="11"/>
  <c r="AG18" i="11"/>
  <c r="AG17" i="11"/>
  <c r="AG16" i="11"/>
  <c r="AG15" i="11"/>
  <c r="AG14" i="11"/>
  <c r="AG13" i="11"/>
  <c r="AG12" i="11"/>
  <c r="AG11" i="11"/>
  <c r="AG10" i="11"/>
  <c r="AG9" i="11"/>
  <c r="AG8" i="11"/>
  <c r="AG7" i="11"/>
  <c r="AG6" i="11"/>
  <c r="AG5" i="11"/>
  <c r="AG4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2" i="11"/>
  <c r="C2" i="11"/>
  <c r="D2" i="11" s="1"/>
  <c r="E2" i="11" s="1"/>
  <c r="F2" i="11" s="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D144" i="11" l="1"/>
  <c r="I93" i="11"/>
  <c r="AE144" i="11"/>
  <c r="L93" i="11"/>
  <c r="W144" i="11"/>
  <c r="G93" i="11"/>
  <c r="AA93" i="11"/>
  <c r="O144" i="11"/>
  <c r="K93" i="11"/>
  <c r="U144" i="11"/>
  <c r="P93" i="11"/>
  <c r="S93" i="11"/>
  <c r="Q144" i="11"/>
  <c r="AF93" i="11"/>
  <c r="O93" i="11"/>
  <c r="V144" i="11"/>
  <c r="T93" i="11"/>
  <c r="M144" i="11"/>
  <c r="J93" i="11"/>
  <c r="M93" i="11"/>
  <c r="AE93" i="11"/>
  <c r="B144" i="11"/>
  <c r="AH87" i="18"/>
  <c r="AG83" i="18"/>
  <c r="AH84" i="18" s="1"/>
  <c r="AG81" i="18"/>
  <c r="AH81" i="18" s="1"/>
  <c r="AG93" i="18"/>
  <c r="C116" i="12"/>
  <c r="AG116" i="12" s="1"/>
  <c r="AG117" i="12"/>
  <c r="C155" i="12"/>
  <c r="AG155" i="12" s="1"/>
  <c r="AG156" i="12"/>
  <c r="C182" i="12"/>
  <c r="AG182" i="12" s="1"/>
  <c r="AG183" i="12"/>
  <c r="C150" i="12"/>
  <c r="AG150" i="12" s="1"/>
  <c r="AG152" i="12"/>
  <c r="AG151" i="12"/>
  <c r="C146" i="12"/>
  <c r="AG146" i="12" s="1"/>
  <c r="C100" i="12"/>
  <c r="AG100" i="12" s="1"/>
  <c r="C94" i="12"/>
  <c r="AG114" i="12"/>
  <c r="C84" i="12"/>
  <c r="AG84" i="12" s="1"/>
  <c r="C82" i="12"/>
  <c r="C83" i="12" s="1"/>
  <c r="B3" i="12"/>
  <c r="AG54" i="12"/>
  <c r="C53" i="12"/>
  <c r="C28" i="12"/>
  <c r="C144" i="12" s="1"/>
  <c r="AG5" i="12"/>
  <c r="AG14" i="12"/>
  <c r="AG22" i="12"/>
  <c r="AG10" i="12"/>
  <c r="AG18" i="12"/>
  <c r="AG26" i="12"/>
  <c r="AG12" i="12"/>
  <c r="AG20" i="12"/>
  <c r="AG6" i="12"/>
  <c r="AG4" i="12"/>
  <c r="AG11" i="12"/>
  <c r="AG7" i="12"/>
  <c r="AG8" i="12"/>
  <c r="AG9" i="12"/>
  <c r="C79" i="12"/>
  <c r="C78" i="12" s="1"/>
  <c r="AG78" i="12" s="1"/>
  <c r="C3" i="12"/>
  <c r="D93" i="12"/>
  <c r="L93" i="12"/>
  <c r="T93" i="12"/>
  <c r="K93" i="12"/>
  <c r="S93" i="12"/>
  <c r="AA93" i="12"/>
  <c r="I93" i="12"/>
  <c r="Q93" i="12"/>
  <c r="Y93" i="12"/>
  <c r="E93" i="12"/>
  <c r="M93" i="12"/>
  <c r="U93" i="12"/>
  <c r="AC93" i="12"/>
  <c r="G93" i="12"/>
  <c r="O93" i="12"/>
  <c r="W93" i="12"/>
  <c r="AE93" i="12"/>
  <c r="H93" i="12"/>
  <c r="P93" i="12"/>
  <c r="X93" i="12"/>
  <c r="AB93" i="12"/>
  <c r="AG192" i="12"/>
  <c r="AF93" i="12"/>
  <c r="V93" i="12"/>
  <c r="D144" i="11"/>
  <c r="T144" i="11"/>
  <c r="AG147" i="11"/>
  <c r="AG196" i="12"/>
  <c r="N93" i="12"/>
  <c r="AD93" i="12"/>
  <c r="AG167" i="11"/>
  <c r="AG215" i="11"/>
  <c r="AG223" i="11"/>
  <c r="AG188" i="12"/>
  <c r="R93" i="12"/>
  <c r="Z93" i="12"/>
  <c r="N93" i="11"/>
  <c r="AD93" i="11"/>
  <c r="L144" i="11"/>
  <c r="AB144" i="11"/>
  <c r="AG158" i="11"/>
  <c r="AG219" i="11"/>
  <c r="J93" i="12"/>
  <c r="AG80" i="12"/>
  <c r="F93" i="12"/>
  <c r="AG87" i="12"/>
  <c r="I83" i="12"/>
  <c r="I81" i="12" s="1"/>
  <c r="Q83" i="12"/>
  <c r="Q81" i="12" s="1"/>
  <c r="AC83" i="12"/>
  <c r="AC81" i="12" s="1"/>
  <c r="G81" i="12"/>
  <c r="K81" i="12"/>
  <c r="O81" i="12"/>
  <c r="S81" i="12"/>
  <c r="W81" i="12"/>
  <c r="AA81" i="12"/>
  <c r="AE81" i="12"/>
  <c r="E83" i="12"/>
  <c r="U83" i="12"/>
  <c r="U81" i="12" s="1"/>
  <c r="B93" i="12"/>
  <c r="M83" i="12"/>
  <c r="M81" i="12" s="1"/>
  <c r="Y83" i="12"/>
  <c r="Y81" i="12" s="1"/>
  <c r="AC93" i="11"/>
  <c r="Q93" i="11"/>
  <c r="AG80" i="11"/>
  <c r="F93" i="11"/>
  <c r="F79" i="11"/>
  <c r="F78" i="11" s="1"/>
  <c r="AG78" i="11" s="1"/>
  <c r="AG100" i="11"/>
  <c r="AG209" i="11"/>
  <c r="AG182" i="11"/>
  <c r="AG173" i="11"/>
  <c r="AG130" i="11"/>
  <c r="AG87" i="11"/>
  <c r="AG84" i="11"/>
  <c r="AG82" i="11"/>
  <c r="AG177" i="11"/>
  <c r="AG145" i="11"/>
  <c r="AG116" i="11"/>
  <c r="AG53" i="11"/>
  <c r="AG28" i="11"/>
  <c r="AG3" i="11"/>
  <c r="B83" i="11"/>
  <c r="B81" i="11" s="1"/>
  <c r="J83" i="11"/>
  <c r="J81" i="11" s="1"/>
  <c r="V83" i="11"/>
  <c r="V81" i="11" s="1"/>
  <c r="F81" i="11"/>
  <c r="N81" i="11"/>
  <c r="R81" i="11"/>
  <c r="Z81" i="11"/>
  <c r="AD81" i="11"/>
  <c r="E83" i="11"/>
  <c r="E81" i="11" s="1"/>
  <c r="I83" i="11"/>
  <c r="I81" i="11" s="1"/>
  <c r="M83" i="11"/>
  <c r="M81" i="11" s="1"/>
  <c r="Q83" i="11"/>
  <c r="Q81" i="11" s="1"/>
  <c r="U83" i="11"/>
  <c r="U81" i="11" s="1"/>
  <c r="Y83" i="11"/>
  <c r="Y81" i="11" s="1"/>
  <c r="AC83" i="11"/>
  <c r="AC81" i="11" s="1"/>
  <c r="AG148" i="11"/>
  <c r="AG146" i="11" s="1"/>
  <c r="B93" i="11"/>
  <c r="AG94" i="11"/>
  <c r="AG144" i="11" l="1"/>
  <c r="AG79" i="11"/>
  <c r="AH171" i="18"/>
  <c r="AH119" i="18"/>
  <c r="AH133" i="18"/>
  <c r="AH93" i="18"/>
  <c r="AG53" i="12"/>
  <c r="C145" i="12"/>
  <c r="AG145" i="12" s="1"/>
  <c r="C93" i="12"/>
  <c r="AG93" i="12" s="1"/>
  <c r="AH182" i="12" s="1"/>
  <c r="AG28" i="12"/>
  <c r="C142" i="12"/>
  <c r="C130" i="12" s="1"/>
  <c r="AG130" i="12" s="1"/>
  <c r="AG144" i="12"/>
  <c r="AG94" i="12"/>
  <c r="AG82" i="12"/>
  <c r="AG3" i="12"/>
  <c r="C81" i="12"/>
  <c r="AG79" i="12"/>
  <c r="AG83" i="12"/>
  <c r="E81" i="12"/>
  <c r="AH87" i="12"/>
  <c r="AG93" i="11"/>
  <c r="AH209" i="11" s="1"/>
  <c r="AH87" i="11"/>
  <c r="AG81" i="11"/>
  <c r="AH81" i="11" s="1"/>
  <c r="AG83" i="11"/>
  <c r="AH84" i="11" s="1"/>
  <c r="Z134" i="10"/>
  <c r="Z142" i="10"/>
  <c r="Y142" i="10"/>
  <c r="Y139" i="10"/>
  <c r="AG81" i="12" l="1"/>
  <c r="AH81" i="12" s="1"/>
  <c r="AH84" i="12"/>
  <c r="AH93" i="12"/>
  <c r="AH130" i="12"/>
  <c r="AH144" i="12"/>
  <c r="AH93" i="11"/>
  <c r="AH130" i="11"/>
  <c r="AH144" i="11"/>
  <c r="X134" i="10"/>
  <c r="X142" i="10"/>
  <c r="X137" i="10"/>
  <c r="W134" i="10" l="1"/>
  <c r="W142" i="10"/>
  <c r="W137" i="10"/>
  <c r="M53" i="10" l="1"/>
  <c r="F142" i="10"/>
  <c r="F137" i="10"/>
  <c r="F143" i="10"/>
  <c r="F129" i="10"/>
  <c r="E134" i="10"/>
  <c r="E142" i="10"/>
  <c r="E143" i="10"/>
  <c r="E129" i="10"/>
  <c r="E116" i="10" s="1"/>
  <c r="D143" i="10"/>
  <c r="D134" i="10"/>
  <c r="D142" i="10"/>
  <c r="D137" i="10"/>
  <c r="D129" i="10"/>
  <c r="D116" i="10" s="1"/>
  <c r="C182" i="10"/>
  <c r="C134" i="10"/>
  <c r="C142" i="10"/>
  <c r="C139" i="10"/>
  <c r="AG139" i="10" s="1"/>
  <c r="C143" i="10"/>
  <c r="C129" i="10"/>
  <c r="C116" i="10" s="1"/>
  <c r="B134" i="10"/>
  <c r="B142" i="10"/>
  <c r="B143" i="10"/>
  <c r="B137" i="10"/>
  <c r="B129" i="10"/>
  <c r="B116" i="10" s="1"/>
  <c r="AG226" i="10"/>
  <c r="AG225" i="10"/>
  <c r="AG224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G222" i="10"/>
  <c r="AG221" i="10"/>
  <c r="AG220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G218" i="10"/>
  <c r="AG217" i="10"/>
  <c r="AG216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G214" i="10"/>
  <c r="AG213" i="10"/>
  <c r="AG212" i="10"/>
  <c r="AG211" i="10"/>
  <c r="AG210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G208" i="10"/>
  <c r="AG207" i="10"/>
  <c r="AG206" i="10"/>
  <c r="AG205" i="10"/>
  <c r="AG204" i="10"/>
  <c r="AG203" i="10"/>
  <c r="AG202" i="10"/>
  <c r="AG201" i="10"/>
  <c r="AG200" i="10"/>
  <c r="AG199" i="10"/>
  <c r="AG198" i="10"/>
  <c r="AG197" i="10"/>
  <c r="AG196" i="10"/>
  <c r="AG195" i="10"/>
  <c r="AG194" i="10"/>
  <c r="AG193" i="10"/>
  <c r="AG192" i="10"/>
  <c r="AG191" i="10"/>
  <c r="AG190" i="10"/>
  <c r="AG189" i="10"/>
  <c r="AG188" i="10"/>
  <c r="AG187" i="10"/>
  <c r="AG186" i="10"/>
  <c r="AG185" i="10"/>
  <c r="AG184" i="10"/>
  <c r="AG183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B182" i="10"/>
  <c r="AG181" i="10"/>
  <c r="AG180" i="10"/>
  <c r="AG179" i="10"/>
  <c r="AG178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G176" i="10"/>
  <c r="AG175" i="10"/>
  <c r="AG174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G172" i="10"/>
  <c r="AG171" i="10"/>
  <c r="AG170" i="10"/>
  <c r="AG169" i="10"/>
  <c r="AG168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G166" i="10"/>
  <c r="AG165" i="10"/>
  <c r="AG164" i="10"/>
  <c r="AG163" i="10"/>
  <c r="AG162" i="10"/>
  <c r="AG161" i="10"/>
  <c r="AG160" i="10"/>
  <c r="AG159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G155" i="10"/>
  <c r="AG154" i="10"/>
  <c r="AG153" i="10"/>
  <c r="AG152" i="10"/>
  <c r="AG151" i="10"/>
  <c r="AG150" i="10"/>
  <c r="AG149" i="10"/>
  <c r="AF148" i="10"/>
  <c r="AF146" i="10" s="1"/>
  <c r="AE148" i="10"/>
  <c r="AE146" i="10" s="1"/>
  <c r="AD148" i="10"/>
  <c r="AD146" i="10" s="1"/>
  <c r="AC148" i="10"/>
  <c r="AB148" i="10"/>
  <c r="AB146" i="10" s="1"/>
  <c r="AA148" i="10"/>
  <c r="AA146" i="10" s="1"/>
  <c r="Z148" i="10"/>
  <c r="Z146" i="10" s="1"/>
  <c r="Y148" i="10"/>
  <c r="Y146" i="10" s="1"/>
  <c r="X148" i="10"/>
  <c r="X146" i="10" s="1"/>
  <c r="W148" i="10"/>
  <c r="W146" i="10" s="1"/>
  <c r="V148" i="10"/>
  <c r="U148" i="10"/>
  <c r="U146" i="10" s="1"/>
  <c r="T148" i="10"/>
  <c r="T146" i="10" s="1"/>
  <c r="S148" i="10"/>
  <c r="S146" i="10" s="1"/>
  <c r="R148" i="10"/>
  <c r="R146" i="10" s="1"/>
  <c r="Q148" i="10"/>
  <c r="P148" i="10"/>
  <c r="P146" i="10" s="1"/>
  <c r="O148" i="10"/>
  <c r="O146" i="10" s="1"/>
  <c r="N148" i="10"/>
  <c r="N146" i="10" s="1"/>
  <c r="M148" i="10"/>
  <c r="M146" i="10" s="1"/>
  <c r="L148" i="10"/>
  <c r="L146" i="10" s="1"/>
  <c r="K148" i="10"/>
  <c r="K146" i="10" s="1"/>
  <c r="J148" i="10"/>
  <c r="J146" i="10" s="1"/>
  <c r="I148" i="10"/>
  <c r="I146" i="10" s="1"/>
  <c r="H148" i="10"/>
  <c r="H146" i="10" s="1"/>
  <c r="G148" i="10"/>
  <c r="G146" i="10" s="1"/>
  <c r="F148" i="10"/>
  <c r="F146" i="10" s="1"/>
  <c r="E148" i="10"/>
  <c r="E146" i="10" s="1"/>
  <c r="D148" i="10"/>
  <c r="D146" i="10" s="1"/>
  <c r="C148" i="10"/>
  <c r="C146" i="10" s="1"/>
  <c r="B148" i="10"/>
  <c r="B146" i="10" s="1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C146" i="10"/>
  <c r="V146" i="10"/>
  <c r="Q146" i="10"/>
  <c r="AG141" i="10"/>
  <c r="AG140" i="10"/>
  <c r="AG138" i="10"/>
  <c r="AG136" i="10"/>
  <c r="AG135" i="10"/>
  <c r="AG133" i="10"/>
  <c r="AG132" i="10"/>
  <c r="AG131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AG128" i="10"/>
  <c r="AG127" i="10"/>
  <c r="AG126" i="10"/>
  <c r="AG125" i="10"/>
  <c r="AG124" i="10"/>
  <c r="AG123" i="10"/>
  <c r="AG122" i="10"/>
  <c r="AG121" i="10"/>
  <c r="AG120" i="10"/>
  <c r="AG119" i="10"/>
  <c r="AG118" i="10"/>
  <c r="AG117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AG115" i="10"/>
  <c r="AG114" i="10"/>
  <c r="AG113" i="10"/>
  <c r="AG112" i="10"/>
  <c r="AG111" i="10"/>
  <c r="AG110" i="10"/>
  <c r="AG109" i="10"/>
  <c r="AG108" i="10"/>
  <c r="AG107" i="10"/>
  <c r="AG106" i="10"/>
  <c r="AG105" i="10"/>
  <c r="AG104" i="10"/>
  <c r="AG103" i="10"/>
  <c r="AG102" i="10"/>
  <c r="AG101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G99" i="10"/>
  <c r="AG98" i="10"/>
  <c r="AG97" i="10"/>
  <c r="AG96" i="10"/>
  <c r="AG95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Q93" i="10" s="1"/>
  <c r="P94" i="10"/>
  <c r="O94" i="10"/>
  <c r="O93" i="10" s="1"/>
  <c r="N94" i="10"/>
  <c r="N93" i="10" s="1"/>
  <c r="M94" i="10"/>
  <c r="L94" i="10"/>
  <c r="K94" i="10"/>
  <c r="J94" i="10"/>
  <c r="I94" i="10"/>
  <c r="H94" i="10"/>
  <c r="G94" i="10"/>
  <c r="G93" i="10" s="1"/>
  <c r="F94" i="10"/>
  <c r="E94" i="10"/>
  <c r="D94" i="10"/>
  <c r="C94" i="10"/>
  <c r="B94" i="10"/>
  <c r="AG92" i="10"/>
  <c r="AG91" i="10"/>
  <c r="AG90" i="10"/>
  <c r="AG89" i="10"/>
  <c r="AG88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G86" i="10"/>
  <c r="AG85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F82" i="10"/>
  <c r="AF83" i="10" s="1"/>
  <c r="AE82" i="10"/>
  <c r="AE83" i="10" s="1"/>
  <c r="AD82" i="10"/>
  <c r="AD83" i="10" s="1"/>
  <c r="AD81" i="10" s="1"/>
  <c r="AC82" i="10"/>
  <c r="AC83" i="10" s="1"/>
  <c r="AC81" i="10" s="1"/>
  <c r="AB82" i="10"/>
  <c r="AB83" i="10" s="1"/>
  <c r="AB81" i="10" s="1"/>
  <c r="AA82" i="10"/>
  <c r="AA83" i="10" s="1"/>
  <c r="Z82" i="10"/>
  <c r="Z83" i="10" s="1"/>
  <c r="Z81" i="10" s="1"/>
  <c r="Y82" i="10"/>
  <c r="Y83" i="10" s="1"/>
  <c r="Y81" i="10" s="1"/>
  <c r="X82" i="10"/>
  <c r="X83" i="10" s="1"/>
  <c r="W82" i="10"/>
  <c r="W83" i="10" s="1"/>
  <c r="V82" i="10"/>
  <c r="V83" i="10" s="1"/>
  <c r="V81" i="10" s="1"/>
  <c r="U82" i="10"/>
  <c r="U83" i="10" s="1"/>
  <c r="U81" i="10" s="1"/>
  <c r="T82" i="10"/>
  <c r="T83" i="10" s="1"/>
  <c r="T81" i="10" s="1"/>
  <c r="S82" i="10"/>
  <c r="S83" i="10" s="1"/>
  <c r="R82" i="10"/>
  <c r="R83" i="10" s="1"/>
  <c r="R81" i="10" s="1"/>
  <c r="Q82" i="10"/>
  <c r="Q83" i="10" s="1"/>
  <c r="Q81" i="10" s="1"/>
  <c r="P82" i="10"/>
  <c r="P83" i="10" s="1"/>
  <c r="O82" i="10"/>
  <c r="O83" i="10" s="1"/>
  <c r="N82" i="10"/>
  <c r="N83" i="10" s="1"/>
  <c r="N81" i="10" s="1"/>
  <c r="M82" i="10"/>
  <c r="M83" i="10" s="1"/>
  <c r="M81" i="10" s="1"/>
  <c r="L82" i="10"/>
  <c r="L83" i="10" s="1"/>
  <c r="L81" i="10" s="1"/>
  <c r="K82" i="10"/>
  <c r="K83" i="10" s="1"/>
  <c r="J82" i="10"/>
  <c r="J83" i="10" s="1"/>
  <c r="J81" i="10" s="1"/>
  <c r="I82" i="10"/>
  <c r="I83" i="10" s="1"/>
  <c r="I81" i="10" s="1"/>
  <c r="H82" i="10"/>
  <c r="H83" i="10" s="1"/>
  <c r="G82" i="10"/>
  <c r="G83" i="10" s="1"/>
  <c r="F82" i="10"/>
  <c r="F83" i="10" s="1"/>
  <c r="F81" i="10" s="1"/>
  <c r="E82" i="10"/>
  <c r="E83" i="10" s="1"/>
  <c r="E81" i="10" s="1"/>
  <c r="D82" i="10"/>
  <c r="D83" i="10" s="1"/>
  <c r="D81" i="10" s="1"/>
  <c r="C82" i="10"/>
  <c r="C83" i="10" s="1"/>
  <c r="B82" i="10"/>
  <c r="B83" i="10" s="1"/>
  <c r="AF80" i="10"/>
  <c r="AF79" i="10" s="1"/>
  <c r="AF78" i="10" s="1"/>
  <c r="AC80" i="10"/>
  <c r="AC79" i="10" s="1"/>
  <c r="AC78" i="10" s="1"/>
  <c r="AB80" i="10"/>
  <c r="AB79" i="10" s="1"/>
  <c r="AB78" i="10" s="1"/>
  <c r="AA80" i="10"/>
  <c r="AA79" i="10" s="1"/>
  <c r="AA78" i="10" s="1"/>
  <c r="Y80" i="10"/>
  <c r="Y79" i="10" s="1"/>
  <c r="Y78" i="10" s="1"/>
  <c r="V80" i="10"/>
  <c r="V79" i="10" s="1"/>
  <c r="V78" i="10" s="1"/>
  <c r="U80" i="10"/>
  <c r="U79" i="10" s="1"/>
  <c r="U78" i="10" s="1"/>
  <c r="T80" i="10"/>
  <c r="T79" i="10" s="1"/>
  <c r="T78" i="10" s="1"/>
  <c r="S80" i="10"/>
  <c r="S79" i="10" s="1"/>
  <c r="S78" i="10" s="1"/>
  <c r="R80" i="10"/>
  <c r="R79" i="10" s="1"/>
  <c r="R78" i="10" s="1"/>
  <c r="O80" i="10"/>
  <c r="O79" i="10" s="1"/>
  <c r="O78" i="10" s="1"/>
  <c r="N80" i="10"/>
  <c r="N79" i="10" s="1"/>
  <c r="N78" i="10" s="1"/>
  <c r="M80" i="10"/>
  <c r="M79" i="10" s="1"/>
  <c r="M78" i="10" s="1"/>
  <c r="H80" i="10"/>
  <c r="H79" i="10" s="1"/>
  <c r="H78" i="10" s="1"/>
  <c r="G80" i="10"/>
  <c r="G79" i="10" s="1"/>
  <c r="G78" i="10" s="1"/>
  <c r="F80" i="10"/>
  <c r="AE79" i="10"/>
  <c r="AE78" i="10" s="1"/>
  <c r="AD79" i="10"/>
  <c r="AD78" i="10" s="1"/>
  <c r="Z79" i="10"/>
  <c r="Z78" i="10" s="1"/>
  <c r="X79" i="10"/>
  <c r="X78" i="10" s="1"/>
  <c r="W79" i="10"/>
  <c r="W78" i="10" s="1"/>
  <c r="Q79" i="10"/>
  <c r="Q78" i="10" s="1"/>
  <c r="P79" i="10"/>
  <c r="P78" i="10" s="1"/>
  <c r="L79" i="10"/>
  <c r="L78" i="10" s="1"/>
  <c r="K79" i="10"/>
  <c r="K78" i="10" s="1"/>
  <c r="J79" i="10"/>
  <c r="J78" i="10" s="1"/>
  <c r="I79" i="10"/>
  <c r="I78" i="10" s="1"/>
  <c r="E79" i="10"/>
  <c r="E78" i="10" s="1"/>
  <c r="D79" i="10"/>
  <c r="D78" i="10" s="1"/>
  <c r="C79" i="10"/>
  <c r="C78" i="10" s="1"/>
  <c r="B79" i="10"/>
  <c r="B78" i="10" s="1"/>
  <c r="AG77" i="10"/>
  <c r="AG76" i="10"/>
  <c r="AG75" i="10"/>
  <c r="AG74" i="10"/>
  <c r="AG73" i="10"/>
  <c r="AG72" i="10"/>
  <c r="AG71" i="10"/>
  <c r="AG70" i="10"/>
  <c r="AG69" i="10"/>
  <c r="AG68" i="10"/>
  <c r="AG67" i="10"/>
  <c r="AG66" i="10"/>
  <c r="AG65" i="10"/>
  <c r="AG64" i="10"/>
  <c r="AG63" i="10"/>
  <c r="AG62" i="10"/>
  <c r="AG61" i="10"/>
  <c r="AG60" i="10"/>
  <c r="AG59" i="10"/>
  <c r="AG58" i="10"/>
  <c r="AG57" i="10"/>
  <c r="AG56" i="10"/>
  <c r="AG55" i="10"/>
  <c r="AG54" i="10"/>
  <c r="AF53" i="10"/>
  <c r="AF157" i="10" s="1"/>
  <c r="AF145" i="10" s="1"/>
  <c r="AE53" i="10"/>
  <c r="AE157" i="10" s="1"/>
  <c r="AE145" i="10" s="1"/>
  <c r="AD53" i="10"/>
  <c r="AD157" i="10" s="1"/>
  <c r="AD145" i="10" s="1"/>
  <c r="AC53" i="10"/>
  <c r="AC157" i="10" s="1"/>
  <c r="AC145" i="10" s="1"/>
  <c r="AB53" i="10"/>
  <c r="AB157" i="10" s="1"/>
  <c r="AB145" i="10" s="1"/>
  <c r="AA53" i="10"/>
  <c r="AA157" i="10" s="1"/>
  <c r="AA145" i="10" s="1"/>
  <c r="Z53" i="10"/>
  <c r="Z157" i="10" s="1"/>
  <c r="Z145" i="10" s="1"/>
  <c r="Y53" i="10"/>
  <c r="Y157" i="10" s="1"/>
  <c r="Y145" i="10" s="1"/>
  <c r="X53" i="10"/>
  <c r="X157" i="10" s="1"/>
  <c r="X145" i="10" s="1"/>
  <c r="W53" i="10"/>
  <c r="W157" i="10" s="1"/>
  <c r="W145" i="10" s="1"/>
  <c r="V53" i="10"/>
  <c r="V157" i="10" s="1"/>
  <c r="V145" i="10" s="1"/>
  <c r="U53" i="10"/>
  <c r="U157" i="10" s="1"/>
  <c r="U145" i="10" s="1"/>
  <c r="T53" i="10"/>
  <c r="T157" i="10" s="1"/>
  <c r="T145" i="10" s="1"/>
  <c r="S53" i="10"/>
  <c r="S157" i="10" s="1"/>
  <c r="S145" i="10" s="1"/>
  <c r="R53" i="10"/>
  <c r="R157" i="10" s="1"/>
  <c r="R145" i="10" s="1"/>
  <c r="Q53" i="10"/>
  <c r="Q157" i="10" s="1"/>
  <c r="Q145" i="10" s="1"/>
  <c r="P53" i="10"/>
  <c r="P157" i="10" s="1"/>
  <c r="P145" i="10" s="1"/>
  <c r="O53" i="10"/>
  <c r="O157" i="10" s="1"/>
  <c r="O145" i="10" s="1"/>
  <c r="N53" i="10"/>
  <c r="N157" i="10" s="1"/>
  <c r="N145" i="10" s="1"/>
  <c r="M157" i="10"/>
  <c r="M145" i="10" s="1"/>
  <c r="L53" i="10"/>
  <c r="L157" i="10" s="1"/>
  <c r="L145" i="10" s="1"/>
  <c r="K53" i="10"/>
  <c r="K157" i="10" s="1"/>
  <c r="K145" i="10" s="1"/>
  <c r="J53" i="10"/>
  <c r="J157" i="10" s="1"/>
  <c r="J145" i="10" s="1"/>
  <c r="I53" i="10"/>
  <c r="I157" i="10" s="1"/>
  <c r="I145" i="10" s="1"/>
  <c r="H53" i="10"/>
  <c r="H157" i="10" s="1"/>
  <c r="H145" i="10" s="1"/>
  <c r="G53" i="10"/>
  <c r="G157" i="10" s="1"/>
  <c r="G145" i="10" s="1"/>
  <c r="F53" i="10"/>
  <c r="F157" i="10" s="1"/>
  <c r="F145" i="10" s="1"/>
  <c r="E53" i="10"/>
  <c r="E157" i="10" s="1"/>
  <c r="E145" i="10" s="1"/>
  <c r="D53" i="10"/>
  <c r="D157" i="10" s="1"/>
  <c r="D145" i="10" s="1"/>
  <c r="C53" i="10"/>
  <c r="C157" i="10" s="1"/>
  <c r="C145" i="10" s="1"/>
  <c r="B53" i="10"/>
  <c r="B157" i="10" s="1"/>
  <c r="B145" i="10" s="1"/>
  <c r="AG52" i="10"/>
  <c r="AG51" i="10"/>
  <c r="AG50" i="10"/>
  <c r="AG49" i="10"/>
  <c r="AG48" i="10"/>
  <c r="AG47" i="10"/>
  <c r="AG46" i="10"/>
  <c r="AG45" i="10"/>
  <c r="AG44" i="10"/>
  <c r="AG43" i="10"/>
  <c r="AG42" i="10"/>
  <c r="AG41" i="10"/>
  <c r="AG40" i="10"/>
  <c r="AG39" i="10"/>
  <c r="AG38" i="10"/>
  <c r="AG37" i="10"/>
  <c r="AG36" i="10"/>
  <c r="AG35" i="10"/>
  <c r="AG34" i="10"/>
  <c r="AG33" i="10"/>
  <c r="AG32" i="10"/>
  <c r="AG31" i="10"/>
  <c r="AG30" i="10"/>
  <c r="AG29" i="10"/>
  <c r="AF28" i="10"/>
  <c r="AF156" i="10" s="1"/>
  <c r="AE28" i="10"/>
  <c r="AE156" i="10" s="1"/>
  <c r="AD28" i="10"/>
  <c r="AD156" i="10" s="1"/>
  <c r="AC28" i="10"/>
  <c r="AC156" i="10" s="1"/>
  <c r="AB28" i="10"/>
  <c r="AB156" i="10" s="1"/>
  <c r="AA28" i="10"/>
  <c r="AA156" i="10" s="1"/>
  <c r="Z28" i="10"/>
  <c r="Z156" i="10" s="1"/>
  <c r="Y28" i="10"/>
  <c r="Y156" i="10" s="1"/>
  <c r="X28" i="10"/>
  <c r="X156" i="10" s="1"/>
  <c r="W28" i="10"/>
  <c r="W156" i="10" s="1"/>
  <c r="V28" i="10"/>
  <c r="V156" i="10" s="1"/>
  <c r="U28" i="10"/>
  <c r="U156" i="10" s="1"/>
  <c r="T28" i="10"/>
  <c r="T156" i="10" s="1"/>
  <c r="S28" i="10"/>
  <c r="S156" i="10" s="1"/>
  <c r="R28" i="10"/>
  <c r="R156" i="10" s="1"/>
  <c r="Q28" i="10"/>
  <c r="Q156" i="10" s="1"/>
  <c r="P28" i="10"/>
  <c r="P156" i="10" s="1"/>
  <c r="O28" i="10"/>
  <c r="O156" i="10" s="1"/>
  <c r="N28" i="10"/>
  <c r="N156" i="10" s="1"/>
  <c r="M28" i="10"/>
  <c r="M156" i="10" s="1"/>
  <c r="L28" i="10"/>
  <c r="L156" i="10" s="1"/>
  <c r="K28" i="10"/>
  <c r="K156" i="10" s="1"/>
  <c r="J28" i="10"/>
  <c r="J156" i="10" s="1"/>
  <c r="I28" i="10"/>
  <c r="I156" i="10" s="1"/>
  <c r="H28" i="10"/>
  <c r="H156" i="10" s="1"/>
  <c r="G28" i="10"/>
  <c r="G156" i="10" s="1"/>
  <c r="F28" i="10"/>
  <c r="F156" i="10" s="1"/>
  <c r="E28" i="10"/>
  <c r="E156" i="10" s="1"/>
  <c r="D28" i="10"/>
  <c r="D156" i="10" s="1"/>
  <c r="C28" i="10"/>
  <c r="C156" i="10" s="1"/>
  <c r="B28" i="10"/>
  <c r="B156" i="10" s="1"/>
  <c r="AG27" i="10"/>
  <c r="AG26" i="10"/>
  <c r="AG25" i="10"/>
  <c r="AG24" i="10"/>
  <c r="AG23" i="10"/>
  <c r="AG22" i="10"/>
  <c r="AG21" i="10"/>
  <c r="AG20" i="10"/>
  <c r="AG19" i="10"/>
  <c r="AG18" i="10"/>
  <c r="AG17" i="10"/>
  <c r="AG16" i="10"/>
  <c r="AG15" i="10"/>
  <c r="AG14" i="10"/>
  <c r="AG13" i="10"/>
  <c r="AG12" i="10"/>
  <c r="AG11" i="10"/>
  <c r="AG10" i="10"/>
  <c r="AG9" i="10"/>
  <c r="AG8" i="10"/>
  <c r="AG7" i="10"/>
  <c r="AG6" i="10"/>
  <c r="AG5" i="10"/>
  <c r="AG4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C2" i="10"/>
  <c r="C2" i="10"/>
  <c r="D2" i="10" s="1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G226" i="9"/>
  <c r="AG225" i="9"/>
  <c r="AG224" i="9"/>
  <c r="AF223" i="9"/>
  <c r="AE223" i="9"/>
  <c r="AD223" i="9"/>
  <c r="AC223" i="9"/>
  <c r="AB223" i="9"/>
  <c r="AA223" i="9"/>
  <c r="Z223" i="9"/>
  <c r="Y223" i="9"/>
  <c r="X223" i="9"/>
  <c r="W223" i="9"/>
  <c r="V223" i="9"/>
  <c r="U223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D223" i="9"/>
  <c r="C223" i="9"/>
  <c r="B223" i="9"/>
  <c r="AG222" i="9"/>
  <c r="AG221" i="9"/>
  <c r="AG220" i="9"/>
  <c r="AF219" i="9"/>
  <c r="AE219" i="9"/>
  <c r="AD219" i="9"/>
  <c r="AC219" i="9"/>
  <c r="AB219" i="9"/>
  <c r="AA219" i="9"/>
  <c r="Z219" i="9"/>
  <c r="Y219" i="9"/>
  <c r="X219" i="9"/>
  <c r="W219" i="9"/>
  <c r="V219" i="9"/>
  <c r="U219" i="9"/>
  <c r="T219" i="9"/>
  <c r="S219" i="9"/>
  <c r="R219" i="9"/>
  <c r="Q219" i="9"/>
  <c r="P219" i="9"/>
  <c r="O219" i="9"/>
  <c r="N219" i="9"/>
  <c r="M219" i="9"/>
  <c r="L219" i="9"/>
  <c r="K219" i="9"/>
  <c r="J219" i="9"/>
  <c r="I219" i="9"/>
  <c r="H219" i="9"/>
  <c r="G219" i="9"/>
  <c r="F219" i="9"/>
  <c r="E219" i="9"/>
  <c r="D219" i="9"/>
  <c r="C219" i="9"/>
  <c r="B219" i="9"/>
  <c r="AG218" i="9"/>
  <c r="AG217" i="9"/>
  <c r="AG216" i="9"/>
  <c r="AF215" i="9"/>
  <c r="AE215" i="9"/>
  <c r="AD215" i="9"/>
  <c r="AC215" i="9"/>
  <c r="AB215" i="9"/>
  <c r="AA215" i="9"/>
  <c r="Z215" i="9"/>
  <c r="Y215" i="9"/>
  <c r="X215" i="9"/>
  <c r="W215" i="9"/>
  <c r="V215" i="9"/>
  <c r="U215" i="9"/>
  <c r="T215" i="9"/>
  <c r="S215" i="9"/>
  <c r="R215" i="9"/>
  <c r="Q215" i="9"/>
  <c r="P215" i="9"/>
  <c r="O215" i="9"/>
  <c r="N215" i="9"/>
  <c r="M215" i="9"/>
  <c r="L215" i="9"/>
  <c r="K215" i="9"/>
  <c r="J215" i="9"/>
  <c r="I215" i="9"/>
  <c r="H215" i="9"/>
  <c r="G215" i="9"/>
  <c r="F215" i="9"/>
  <c r="E215" i="9"/>
  <c r="D215" i="9"/>
  <c r="C215" i="9"/>
  <c r="B215" i="9"/>
  <c r="AG214" i="9"/>
  <c r="AG213" i="9"/>
  <c r="AG212" i="9"/>
  <c r="AG211" i="9"/>
  <c r="AG210" i="9"/>
  <c r="AF209" i="9"/>
  <c r="AE209" i="9"/>
  <c r="AD209" i="9"/>
  <c r="AC209" i="9"/>
  <c r="AB209" i="9"/>
  <c r="AA209" i="9"/>
  <c r="Z209" i="9"/>
  <c r="Y209" i="9"/>
  <c r="X209" i="9"/>
  <c r="W209" i="9"/>
  <c r="V209" i="9"/>
  <c r="U209" i="9"/>
  <c r="T209" i="9"/>
  <c r="S209" i="9"/>
  <c r="R209" i="9"/>
  <c r="Q209" i="9"/>
  <c r="P209" i="9"/>
  <c r="O209" i="9"/>
  <c r="N209" i="9"/>
  <c r="M209" i="9"/>
  <c r="L209" i="9"/>
  <c r="K209" i="9"/>
  <c r="J209" i="9"/>
  <c r="I209" i="9"/>
  <c r="H209" i="9"/>
  <c r="G209" i="9"/>
  <c r="F209" i="9"/>
  <c r="E209" i="9"/>
  <c r="D209" i="9"/>
  <c r="C209" i="9"/>
  <c r="B209" i="9"/>
  <c r="AG208" i="9"/>
  <c r="AG207" i="9"/>
  <c r="AG206" i="9"/>
  <c r="AG205" i="9"/>
  <c r="AG204" i="9"/>
  <c r="AG203" i="9"/>
  <c r="AG202" i="9"/>
  <c r="AG201" i="9"/>
  <c r="AG200" i="9"/>
  <c r="AG199" i="9"/>
  <c r="AG198" i="9"/>
  <c r="AG197" i="9"/>
  <c r="AG196" i="9"/>
  <c r="AG195" i="9"/>
  <c r="AG194" i="9"/>
  <c r="AG193" i="9"/>
  <c r="AG192" i="9"/>
  <c r="AG191" i="9"/>
  <c r="AG190" i="9"/>
  <c r="AG189" i="9"/>
  <c r="AG188" i="9"/>
  <c r="AG187" i="9"/>
  <c r="AG186" i="9"/>
  <c r="AG185" i="9"/>
  <c r="AG184" i="9"/>
  <c r="AG183" i="9"/>
  <c r="AF182" i="9"/>
  <c r="AE182" i="9"/>
  <c r="AD182" i="9"/>
  <c r="AC182" i="9"/>
  <c r="AB182" i="9"/>
  <c r="AA182" i="9"/>
  <c r="Z182" i="9"/>
  <c r="Y182" i="9"/>
  <c r="X182" i="9"/>
  <c r="W182" i="9"/>
  <c r="V182" i="9"/>
  <c r="U182" i="9"/>
  <c r="T182" i="9"/>
  <c r="S182" i="9"/>
  <c r="R182" i="9"/>
  <c r="Q182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B182" i="9"/>
  <c r="AG181" i="9"/>
  <c r="AG180" i="9"/>
  <c r="AG179" i="9"/>
  <c r="AG178" i="9"/>
  <c r="AF177" i="9"/>
  <c r="AE177" i="9"/>
  <c r="AD177" i="9"/>
  <c r="AC177" i="9"/>
  <c r="AB177" i="9"/>
  <c r="AA177" i="9"/>
  <c r="Z177" i="9"/>
  <c r="Y177" i="9"/>
  <c r="X177" i="9"/>
  <c r="W177" i="9"/>
  <c r="V177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AG176" i="9"/>
  <c r="AG175" i="9"/>
  <c r="AG174" i="9"/>
  <c r="AF173" i="9"/>
  <c r="AE173" i="9"/>
  <c r="AD173" i="9"/>
  <c r="AC173" i="9"/>
  <c r="AB173" i="9"/>
  <c r="AA173" i="9"/>
  <c r="Z173" i="9"/>
  <c r="Y173" i="9"/>
  <c r="X173" i="9"/>
  <c r="W173" i="9"/>
  <c r="V173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AG172" i="9"/>
  <c r="AG171" i="9"/>
  <c r="AG170" i="9"/>
  <c r="AG169" i="9"/>
  <c r="AG168" i="9"/>
  <c r="AF167" i="9"/>
  <c r="AE167" i="9"/>
  <c r="AD167" i="9"/>
  <c r="AC167" i="9"/>
  <c r="AB167" i="9"/>
  <c r="AA167" i="9"/>
  <c r="Z167" i="9"/>
  <c r="Y167" i="9"/>
  <c r="X167" i="9"/>
  <c r="W167" i="9"/>
  <c r="V167" i="9"/>
  <c r="U167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B167" i="9"/>
  <c r="AG166" i="9"/>
  <c r="AG165" i="9"/>
  <c r="AG164" i="9"/>
  <c r="AG163" i="9"/>
  <c r="AG162" i="9"/>
  <c r="AG161" i="9"/>
  <c r="AG160" i="9"/>
  <c r="AG159" i="9"/>
  <c r="AF158" i="9"/>
  <c r="AE158" i="9"/>
  <c r="AD158" i="9"/>
  <c r="AC158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AG157" i="9"/>
  <c r="AG156" i="9"/>
  <c r="AG155" i="9"/>
  <c r="AG154" i="9"/>
  <c r="AG153" i="9"/>
  <c r="AG152" i="9"/>
  <c r="AG151" i="9"/>
  <c r="AG150" i="9"/>
  <c r="AG149" i="9"/>
  <c r="AF148" i="9"/>
  <c r="AF146" i="9" s="1"/>
  <c r="AE148" i="9"/>
  <c r="AD148" i="9"/>
  <c r="AC148" i="9"/>
  <c r="AC146" i="9" s="1"/>
  <c r="AB148" i="9"/>
  <c r="AB146" i="9" s="1"/>
  <c r="AA148" i="9"/>
  <c r="AA146" i="9" s="1"/>
  <c r="Z148" i="9"/>
  <c r="Z146" i="9" s="1"/>
  <c r="Y148" i="9"/>
  <c r="Y146" i="9" s="1"/>
  <c r="X148" i="9"/>
  <c r="X146" i="9" s="1"/>
  <c r="W148" i="9"/>
  <c r="W146" i="9" s="1"/>
  <c r="V148" i="9"/>
  <c r="V146" i="9" s="1"/>
  <c r="U148" i="9"/>
  <c r="U146" i="9" s="1"/>
  <c r="T148" i="9"/>
  <c r="T146" i="9" s="1"/>
  <c r="S148" i="9"/>
  <c r="S146" i="9" s="1"/>
  <c r="R148" i="9"/>
  <c r="R146" i="9" s="1"/>
  <c r="Q148" i="9"/>
  <c r="Q146" i="9" s="1"/>
  <c r="P148" i="9"/>
  <c r="P146" i="9" s="1"/>
  <c r="O148" i="9"/>
  <c r="O146" i="9" s="1"/>
  <c r="N148" i="9"/>
  <c r="N146" i="9" s="1"/>
  <c r="M148" i="9"/>
  <c r="M146" i="9" s="1"/>
  <c r="L148" i="9"/>
  <c r="L146" i="9" s="1"/>
  <c r="K148" i="9"/>
  <c r="K146" i="9" s="1"/>
  <c r="J148" i="9"/>
  <c r="J146" i="9" s="1"/>
  <c r="I148" i="9"/>
  <c r="I146" i="9" s="1"/>
  <c r="H148" i="9"/>
  <c r="H146" i="9" s="1"/>
  <c r="G148" i="9"/>
  <c r="G146" i="9" s="1"/>
  <c r="F148" i="9"/>
  <c r="F146" i="9" s="1"/>
  <c r="E148" i="9"/>
  <c r="E146" i="9" s="1"/>
  <c r="D148" i="9"/>
  <c r="D146" i="9" s="1"/>
  <c r="C148" i="9"/>
  <c r="B148" i="9"/>
  <c r="B146" i="9" s="1"/>
  <c r="AE147" i="9"/>
  <c r="AD147" i="9"/>
  <c r="AC147" i="9"/>
  <c r="AB147" i="9"/>
  <c r="AA147" i="9"/>
  <c r="Z147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AE146" i="9"/>
  <c r="AD146" i="9"/>
  <c r="AF145" i="9"/>
  <c r="AE145" i="9"/>
  <c r="AD145" i="9"/>
  <c r="AC145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AG143" i="9"/>
  <c r="AG142" i="9"/>
  <c r="AG141" i="9"/>
  <c r="AG140" i="9"/>
  <c r="AG139" i="9"/>
  <c r="AG138" i="9"/>
  <c r="AG137" i="9"/>
  <c r="AG136" i="9"/>
  <c r="AG135" i="9"/>
  <c r="AG134" i="9"/>
  <c r="AG133" i="9"/>
  <c r="AG132" i="9"/>
  <c r="AG131" i="9"/>
  <c r="AF130" i="9"/>
  <c r="AE130" i="9"/>
  <c r="AD130" i="9"/>
  <c r="AC130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AG129" i="9"/>
  <c r="AG128" i="9"/>
  <c r="AG127" i="9"/>
  <c r="AG126" i="9"/>
  <c r="AG125" i="9"/>
  <c r="AG124" i="9"/>
  <c r="AG123" i="9"/>
  <c r="AG122" i="9"/>
  <c r="AG121" i="9"/>
  <c r="AG120" i="9"/>
  <c r="AG119" i="9"/>
  <c r="AG118" i="9"/>
  <c r="AG117" i="9"/>
  <c r="AF116" i="9"/>
  <c r="AE116" i="9"/>
  <c r="AD116" i="9"/>
  <c r="AC116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AG115" i="9"/>
  <c r="AG114" i="9"/>
  <c r="AG113" i="9"/>
  <c r="AG112" i="9"/>
  <c r="AG111" i="9"/>
  <c r="AG110" i="9"/>
  <c r="AG109" i="9"/>
  <c r="AG108" i="9"/>
  <c r="AG107" i="9"/>
  <c r="AG106" i="9"/>
  <c r="AG105" i="9"/>
  <c r="AG104" i="9"/>
  <c r="AG103" i="9"/>
  <c r="AG102" i="9"/>
  <c r="AG101" i="9"/>
  <c r="AF100" i="9"/>
  <c r="AE100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G99" i="9"/>
  <c r="AG98" i="9"/>
  <c r="AG97" i="9"/>
  <c r="AG96" i="9"/>
  <c r="AG95" i="9"/>
  <c r="AF94" i="9"/>
  <c r="AE94" i="9"/>
  <c r="AD94" i="9"/>
  <c r="AD93" i="9" s="1"/>
  <c r="AC94" i="9"/>
  <c r="AB94" i="9"/>
  <c r="AB93" i="9" s="1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J93" i="9" s="1"/>
  <c r="I94" i="9"/>
  <c r="H94" i="9"/>
  <c r="G94" i="9"/>
  <c r="G93" i="9" s="1"/>
  <c r="F94" i="9"/>
  <c r="E94" i="9"/>
  <c r="D94" i="9"/>
  <c r="C94" i="9"/>
  <c r="B94" i="9"/>
  <c r="AG92" i="9"/>
  <c r="AG91" i="9"/>
  <c r="AG90" i="9"/>
  <c r="AG89" i="9"/>
  <c r="AG88" i="9"/>
  <c r="AF87" i="9"/>
  <c r="AE87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G86" i="9"/>
  <c r="AG85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F82" i="9"/>
  <c r="AF83" i="9" s="1"/>
  <c r="AE82" i="9"/>
  <c r="AE83" i="9" s="1"/>
  <c r="AE81" i="9" s="1"/>
  <c r="AD82" i="9"/>
  <c r="AD83" i="9" s="1"/>
  <c r="AD81" i="9" s="1"/>
  <c r="AC82" i="9"/>
  <c r="AB82" i="9"/>
  <c r="AB83" i="9" s="1"/>
  <c r="AA82" i="9"/>
  <c r="AA83" i="9" s="1"/>
  <c r="AA81" i="9" s="1"/>
  <c r="Z82" i="9"/>
  <c r="Z83" i="9" s="1"/>
  <c r="Z81" i="9" s="1"/>
  <c r="Y82" i="9"/>
  <c r="X82" i="9"/>
  <c r="X83" i="9" s="1"/>
  <c r="W82" i="9"/>
  <c r="W83" i="9" s="1"/>
  <c r="W81" i="9" s="1"/>
  <c r="V82" i="9"/>
  <c r="V83" i="9" s="1"/>
  <c r="V81" i="9" s="1"/>
  <c r="U82" i="9"/>
  <c r="T82" i="9"/>
  <c r="T83" i="9" s="1"/>
  <c r="S82" i="9"/>
  <c r="S83" i="9" s="1"/>
  <c r="S81" i="9" s="1"/>
  <c r="R82" i="9"/>
  <c r="R83" i="9" s="1"/>
  <c r="R81" i="9" s="1"/>
  <c r="Q82" i="9"/>
  <c r="P82" i="9"/>
  <c r="P83" i="9" s="1"/>
  <c r="O82" i="9"/>
  <c r="O83" i="9" s="1"/>
  <c r="O81" i="9" s="1"/>
  <c r="N82" i="9"/>
  <c r="N83" i="9" s="1"/>
  <c r="N81" i="9" s="1"/>
  <c r="M82" i="9"/>
  <c r="L82" i="9"/>
  <c r="L83" i="9" s="1"/>
  <c r="K82" i="9"/>
  <c r="K83" i="9" s="1"/>
  <c r="K81" i="9" s="1"/>
  <c r="J82" i="9"/>
  <c r="J83" i="9" s="1"/>
  <c r="J81" i="9" s="1"/>
  <c r="I82" i="9"/>
  <c r="H82" i="9"/>
  <c r="H83" i="9" s="1"/>
  <c r="G82" i="9"/>
  <c r="G83" i="9" s="1"/>
  <c r="G81" i="9" s="1"/>
  <c r="F82" i="9"/>
  <c r="F83" i="9" s="1"/>
  <c r="F81" i="9" s="1"/>
  <c r="E82" i="9"/>
  <c r="D82" i="9"/>
  <c r="D83" i="9" s="1"/>
  <c r="C82" i="9"/>
  <c r="C83" i="9" s="1"/>
  <c r="C81" i="9" s="1"/>
  <c r="B82" i="9"/>
  <c r="B83" i="9" s="1"/>
  <c r="AF80" i="9"/>
  <c r="AF79" i="9" s="1"/>
  <c r="AF78" i="9" s="1"/>
  <c r="AC80" i="9"/>
  <c r="AC79" i="9" s="1"/>
  <c r="AC78" i="9" s="1"/>
  <c r="AB80" i="9"/>
  <c r="AB79" i="9" s="1"/>
  <c r="AB78" i="9" s="1"/>
  <c r="AA80" i="9"/>
  <c r="AA79" i="9" s="1"/>
  <c r="AA78" i="9" s="1"/>
  <c r="Y80" i="9"/>
  <c r="Y79" i="9" s="1"/>
  <c r="Y78" i="9" s="1"/>
  <c r="V80" i="9"/>
  <c r="V79" i="9" s="1"/>
  <c r="V78" i="9" s="1"/>
  <c r="U80" i="9"/>
  <c r="U79" i="9" s="1"/>
  <c r="U78" i="9" s="1"/>
  <c r="T80" i="9"/>
  <c r="T79" i="9" s="1"/>
  <c r="T78" i="9" s="1"/>
  <c r="S80" i="9"/>
  <c r="S79" i="9" s="1"/>
  <c r="S78" i="9" s="1"/>
  <c r="R80" i="9"/>
  <c r="R79" i="9" s="1"/>
  <c r="R78" i="9" s="1"/>
  <c r="O80" i="9"/>
  <c r="O79" i="9" s="1"/>
  <c r="O78" i="9" s="1"/>
  <c r="N80" i="9"/>
  <c r="N79" i="9" s="1"/>
  <c r="N78" i="9" s="1"/>
  <c r="M80" i="9"/>
  <c r="M79" i="9" s="1"/>
  <c r="M78" i="9" s="1"/>
  <c r="H80" i="9"/>
  <c r="H79" i="9" s="1"/>
  <c r="H78" i="9" s="1"/>
  <c r="G80" i="9"/>
  <c r="G79" i="9" s="1"/>
  <c r="G78" i="9" s="1"/>
  <c r="F80" i="9"/>
  <c r="F79" i="9" s="1"/>
  <c r="F78" i="9" s="1"/>
  <c r="AE79" i="9"/>
  <c r="AE78" i="9" s="1"/>
  <c r="AD79" i="9"/>
  <c r="AD78" i="9" s="1"/>
  <c r="Z79" i="9"/>
  <c r="Z78" i="9" s="1"/>
  <c r="X79" i="9"/>
  <c r="X78" i="9" s="1"/>
  <c r="W79" i="9"/>
  <c r="W78" i="9" s="1"/>
  <c r="Q79" i="9"/>
  <c r="Q78" i="9" s="1"/>
  <c r="P79" i="9"/>
  <c r="P78" i="9" s="1"/>
  <c r="L79" i="9"/>
  <c r="L78" i="9" s="1"/>
  <c r="K79" i="9"/>
  <c r="K78" i="9" s="1"/>
  <c r="J79" i="9"/>
  <c r="J78" i="9" s="1"/>
  <c r="I79" i="9"/>
  <c r="I78" i="9" s="1"/>
  <c r="E79" i="9"/>
  <c r="E78" i="9" s="1"/>
  <c r="D79" i="9"/>
  <c r="D78" i="9" s="1"/>
  <c r="C79" i="9"/>
  <c r="C78" i="9" s="1"/>
  <c r="B79" i="9"/>
  <c r="B78" i="9" s="1"/>
  <c r="AG77" i="9"/>
  <c r="AG76" i="9"/>
  <c r="AG75" i="9"/>
  <c r="AG74" i="9"/>
  <c r="AG73" i="9"/>
  <c r="AG72" i="9"/>
  <c r="AG71" i="9"/>
  <c r="AG70" i="9"/>
  <c r="AG69" i="9"/>
  <c r="AG68" i="9"/>
  <c r="AG67" i="9"/>
  <c r="AG66" i="9"/>
  <c r="AG65" i="9"/>
  <c r="AG64" i="9"/>
  <c r="AG63" i="9"/>
  <c r="AG62" i="9"/>
  <c r="AG61" i="9"/>
  <c r="AG60" i="9"/>
  <c r="AG59" i="9"/>
  <c r="AG58" i="9"/>
  <c r="AG57" i="9"/>
  <c r="AG56" i="9"/>
  <c r="AG55" i="9"/>
  <c r="AG54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G52" i="9"/>
  <c r="AG51" i="9"/>
  <c r="AG50" i="9"/>
  <c r="AG49" i="9"/>
  <c r="AG48" i="9"/>
  <c r="AG47" i="9"/>
  <c r="AG46" i="9"/>
  <c r="AG45" i="9"/>
  <c r="AG44" i="9"/>
  <c r="AG43" i="9"/>
  <c r="AG42" i="9"/>
  <c r="AG41" i="9"/>
  <c r="AG40" i="9"/>
  <c r="AG39" i="9"/>
  <c r="AG38" i="9"/>
  <c r="AG37" i="9"/>
  <c r="AG36" i="9"/>
  <c r="AG35" i="9"/>
  <c r="AG34" i="9"/>
  <c r="AG33" i="9"/>
  <c r="AG32" i="9"/>
  <c r="AG31" i="9"/>
  <c r="AG30" i="9"/>
  <c r="AG29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G27" i="9"/>
  <c r="AG26" i="9"/>
  <c r="AG25" i="9"/>
  <c r="AG24" i="9"/>
  <c r="AG23" i="9"/>
  <c r="AG22" i="9"/>
  <c r="AG21" i="9"/>
  <c r="AG20" i="9"/>
  <c r="AG19" i="9"/>
  <c r="AG18" i="9"/>
  <c r="AG17" i="9"/>
  <c r="AG16" i="9"/>
  <c r="AG15" i="9"/>
  <c r="AG14" i="9"/>
  <c r="AG13" i="9"/>
  <c r="AG12" i="9"/>
  <c r="AG11" i="9"/>
  <c r="AG10" i="9"/>
  <c r="AG9" i="9"/>
  <c r="AG8" i="9"/>
  <c r="AG7" i="9"/>
  <c r="AG6" i="9"/>
  <c r="AG5" i="9"/>
  <c r="AG4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C2" i="9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G226" i="8"/>
  <c r="AG225" i="8"/>
  <c r="AG224" i="8"/>
  <c r="AF223" i="8"/>
  <c r="AE223" i="8"/>
  <c r="AD223" i="8"/>
  <c r="AC223" i="8"/>
  <c r="AB223" i="8"/>
  <c r="AA223" i="8"/>
  <c r="Z223" i="8"/>
  <c r="Y223" i="8"/>
  <c r="X223" i="8"/>
  <c r="W223" i="8"/>
  <c r="V223" i="8"/>
  <c r="U223" i="8"/>
  <c r="T223" i="8"/>
  <c r="S223" i="8"/>
  <c r="R223" i="8"/>
  <c r="Q223" i="8"/>
  <c r="P223" i="8"/>
  <c r="O223" i="8"/>
  <c r="N223" i="8"/>
  <c r="M223" i="8"/>
  <c r="L223" i="8"/>
  <c r="K223" i="8"/>
  <c r="J223" i="8"/>
  <c r="I223" i="8"/>
  <c r="H223" i="8"/>
  <c r="G223" i="8"/>
  <c r="F223" i="8"/>
  <c r="E223" i="8"/>
  <c r="D223" i="8"/>
  <c r="C223" i="8"/>
  <c r="B223" i="8"/>
  <c r="AG222" i="8"/>
  <c r="AG221" i="8"/>
  <c r="AG220" i="8"/>
  <c r="AF219" i="8"/>
  <c r="AE219" i="8"/>
  <c r="AD219" i="8"/>
  <c r="AC219" i="8"/>
  <c r="AB219" i="8"/>
  <c r="AA219" i="8"/>
  <c r="Z219" i="8"/>
  <c r="Y219" i="8"/>
  <c r="X219" i="8"/>
  <c r="W219" i="8"/>
  <c r="V219" i="8"/>
  <c r="U219" i="8"/>
  <c r="T219" i="8"/>
  <c r="S219" i="8"/>
  <c r="R219" i="8"/>
  <c r="Q219" i="8"/>
  <c r="P219" i="8"/>
  <c r="O219" i="8"/>
  <c r="N219" i="8"/>
  <c r="M219" i="8"/>
  <c r="L219" i="8"/>
  <c r="K219" i="8"/>
  <c r="J219" i="8"/>
  <c r="I219" i="8"/>
  <c r="H219" i="8"/>
  <c r="G219" i="8"/>
  <c r="F219" i="8"/>
  <c r="E219" i="8"/>
  <c r="D219" i="8"/>
  <c r="C219" i="8"/>
  <c r="B219" i="8"/>
  <c r="AG218" i="8"/>
  <c r="AG217" i="8"/>
  <c r="AG216" i="8"/>
  <c r="AF215" i="8"/>
  <c r="AE215" i="8"/>
  <c r="AD215" i="8"/>
  <c r="AC215" i="8"/>
  <c r="AB215" i="8"/>
  <c r="AA215" i="8"/>
  <c r="Z215" i="8"/>
  <c r="Y215" i="8"/>
  <c r="X215" i="8"/>
  <c r="W215" i="8"/>
  <c r="V215" i="8"/>
  <c r="U215" i="8"/>
  <c r="T215" i="8"/>
  <c r="S215" i="8"/>
  <c r="R215" i="8"/>
  <c r="Q215" i="8"/>
  <c r="P215" i="8"/>
  <c r="O215" i="8"/>
  <c r="N215" i="8"/>
  <c r="M215" i="8"/>
  <c r="L215" i="8"/>
  <c r="K215" i="8"/>
  <c r="J215" i="8"/>
  <c r="I215" i="8"/>
  <c r="H215" i="8"/>
  <c r="G215" i="8"/>
  <c r="F215" i="8"/>
  <c r="E215" i="8"/>
  <c r="D215" i="8"/>
  <c r="C215" i="8"/>
  <c r="B215" i="8"/>
  <c r="AG214" i="8"/>
  <c r="AG213" i="8"/>
  <c r="AG212" i="8"/>
  <c r="AG211" i="8"/>
  <c r="AG210" i="8"/>
  <c r="AF209" i="8"/>
  <c r="AE209" i="8"/>
  <c r="AD209" i="8"/>
  <c r="AC209" i="8"/>
  <c r="AB209" i="8"/>
  <c r="AA209" i="8"/>
  <c r="Z209" i="8"/>
  <c r="Y209" i="8"/>
  <c r="X209" i="8"/>
  <c r="W209" i="8"/>
  <c r="V209" i="8"/>
  <c r="U209" i="8"/>
  <c r="T209" i="8"/>
  <c r="S209" i="8"/>
  <c r="R209" i="8"/>
  <c r="Q209" i="8"/>
  <c r="P209" i="8"/>
  <c r="O209" i="8"/>
  <c r="N209" i="8"/>
  <c r="M209" i="8"/>
  <c r="L209" i="8"/>
  <c r="K209" i="8"/>
  <c r="J209" i="8"/>
  <c r="I209" i="8"/>
  <c r="H209" i="8"/>
  <c r="G209" i="8"/>
  <c r="F209" i="8"/>
  <c r="E209" i="8"/>
  <c r="D209" i="8"/>
  <c r="C209" i="8"/>
  <c r="B209" i="8"/>
  <c r="AG208" i="8"/>
  <c r="AG207" i="8"/>
  <c r="AG206" i="8"/>
  <c r="AG205" i="8"/>
  <c r="AG204" i="8"/>
  <c r="AG203" i="8"/>
  <c r="AG202" i="8"/>
  <c r="AG201" i="8"/>
  <c r="AG200" i="8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G186" i="8"/>
  <c r="AG185" i="8"/>
  <c r="AG184" i="8"/>
  <c r="AG183" i="8"/>
  <c r="AF182" i="8"/>
  <c r="AE182" i="8"/>
  <c r="AD182" i="8"/>
  <c r="AC182" i="8"/>
  <c r="AB182" i="8"/>
  <c r="AA182" i="8"/>
  <c r="Z182" i="8"/>
  <c r="Y182" i="8"/>
  <c r="X182" i="8"/>
  <c r="W182" i="8"/>
  <c r="V182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B182" i="8"/>
  <c r="AG181" i="8"/>
  <c r="AG180" i="8"/>
  <c r="AG179" i="8"/>
  <c r="AG178" i="8"/>
  <c r="AF177" i="8"/>
  <c r="AE177" i="8"/>
  <c r="AD177" i="8"/>
  <c r="AC177" i="8"/>
  <c r="AB177" i="8"/>
  <c r="AA177" i="8"/>
  <c r="Z177" i="8"/>
  <c r="Y177" i="8"/>
  <c r="X177" i="8"/>
  <c r="W177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B177" i="8"/>
  <c r="AG176" i="8"/>
  <c r="AG175" i="8"/>
  <c r="AG174" i="8"/>
  <c r="AF173" i="8"/>
  <c r="AE173" i="8"/>
  <c r="AD173" i="8"/>
  <c r="AC173" i="8"/>
  <c r="AB173" i="8"/>
  <c r="AA173" i="8"/>
  <c r="Z173" i="8"/>
  <c r="Y173" i="8"/>
  <c r="X173" i="8"/>
  <c r="W173" i="8"/>
  <c r="V173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B173" i="8"/>
  <c r="AG172" i="8"/>
  <c r="AG171" i="8"/>
  <c r="AG170" i="8"/>
  <c r="AG169" i="8"/>
  <c r="AG168" i="8"/>
  <c r="AF167" i="8"/>
  <c r="AE167" i="8"/>
  <c r="AD167" i="8"/>
  <c r="AC167" i="8"/>
  <c r="AB167" i="8"/>
  <c r="AA167" i="8"/>
  <c r="Z167" i="8"/>
  <c r="Y167" i="8"/>
  <c r="X167" i="8"/>
  <c r="W167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B167" i="8"/>
  <c r="AG166" i="8"/>
  <c r="AG165" i="8"/>
  <c r="AG164" i="8"/>
  <c r="AG163" i="8"/>
  <c r="AG162" i="8"/>
  <c r="AG161" i="8"/>
  <c r="AG160" i="8"/>
  <c r="AG159" i="8"/>
  <c r="AF158" i="8"/>
  <c r="AE158" i="8"/>
  <c r="AD158" i="8"/>
  <c r="AC158" i="8"/>
  <c r="AB158" i="8"/>
  <c r="AA158" i="8"/>
  <c r="Z158" i="8"/>
  <c r="Y158" i="8"/>
  <c r="X158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B158" i="8"/>
  <c r="AG157" i="8"/>
  <c r="AG156" i="8"/>
  <c r="AG155" i="8"/>
  <c r="AG154" i="8"/>
  <c r="AG153" i="8"/>
  <c r="AG152" i="8"/>
  <c r="AG151" i="8"/>
  <c r="AG150" i="8"/>
  <c r="AG149" i="8"/>
  <c r="AF148" i="8"/>
  <c r="AF146" i="8" s="1"/>
  <c r="AE148" i="8"/>
  <c r="AD148" i="8"/>
  <c r="AD146" i="8" s="1"/>
  <c r="AC148" i="8"/>
  <c r="AC146" i="8" s="1"/>
  <c r="AB148" i="8"/>
  <c r="AB146" i="8" s="1"/>
  <c r="AA148" i="8"/>
  <c r="AA146" i="8" s="1"/>
  <c r="Z148" i="8"/>
  <c r="Z146" i="8" s="1"/>
  <c r="Y148" i="8"/>
  <c r="Y146" i="8" s="1"/>
  <c r="X148" i="8"/>
  <c r="X146" i="8" s="1"/>
  <c r="W148" i="8"/>
  <c r="W146" i="8" s="1"/>
  <c r="V148" i="8"/>
  <c r="V146" i="8" s="1"/>
  <c r="U148" i="8"/>
  <c r="U146" i="8" s="1"/>
  <c r="T148" i="8"/>
  <c r="T146" i="8" s="1"/>
  <c r="S148" i="8"/>
  <c r="R148" i="8"/>
  <c r="R146" i="8" s="1"/>
  <c r="Q148" i="8"/>
  <c r="Q146" i="8" s="1"/>
  <c r="P148" i="8"/>
  <c r="P146" i="8" s="1"/>
  <c r="O148" i="8"/>
  <c r="O146" i="8" s="1"/>
  <c r="N148" i="8"/>
  <c r="N146" i="8" s="1"/>
  <c r="M148" i="8"/>
  <c r="M146" i="8" s="1"/>
  <c r="L148" i="8"/>
  <c r="L146" i="8" s="1"/>
  <c r="K148" i="8"/>
  <c r="K146" i="8" s="1"/>
  <c r="J148" i="8"/>
  <c r="J146" i="8" s="1"/>
  <c r="I148" i="8"/>
  <c r="I146" i="8" s="1"/>
  <c r="H148" i="8"/>
  <c r="H146" i="8" s="1"/>
  <c r="G148" i="8"/>
  <c r="G146" i="8" s="1"/>
  <c r="F148" i="8"/>
  <c r="F146" i="8" s="1"/>
  <c r="E148" i="8"/>
  <c r="E146" i="8" s="1"/>
  <c r="D148" i="8"/>
  <c r="D146" i="8" s="1"/>
  <c r="C148" i="8"/>
  <c r="C146" i="8" s="1"/>
  <c r="B148" i="8"/>
  <c r="B146" i="8" s="1"/>
  <c r="AE147" i="8"/>
  <c r="AD147" i="8"/>
  <c r="AC147" i="8"/>
  <c r="AB147" i="8"/>
  <c r="AA147" i="8"/>
  <c r="Z147" i="8"/>
  <c r="Y147" i="8"/>
  <c r="X147" i="8"/>
  <c r="W147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B147" i="8"/>
  <c r="AE146" i="8"/>
  <c r="S146" i="8"/>
  <c r="S144" i="8" s="1"/>
  <c r="AF145" i="8"/>
  <c r="AE145" i="8"/>
  <c r="AD145" i="8"/>
  <c r="AC145" i="8"/>
  <c r="AB145" i="8"/>
  <c r="AA145" i="8"/>
  <c r="Z145" i="8"/>
  <c r="Y145" i="8"/>
  <c r="X145" i="8"/>
  <c r="W145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B145" i="8"/>
  <c r="AG143" i="8"/>
  <c r="AG142" i="8"/>
  <c r="AG141" i="8"/>
  <c r="AG140" i="8"/>
  <c r="AG139" i="8"/>
  <c r="AG138" i="8"/>
  <c r="AG137" i="8"/>
  <c r="AG136" i="8"/>
  <c r="AG135" i="8"/>
  <c r="AG134" i="8"/>
  <c r="AG133" i="8"/>
  <c r="AG132" i="8"/>
  <c r="AG131" i="8"/>
  <c r="AF130" i="8"/>
  <c r="AE130" i="8"/>
  <c r="AD130" i="8"/>
  <c r="AC130" i="8"/>
  <c r="AB130" i="8"/>
  <c r="AA130" i="8"/>
  <c r="Z130" i="8"/>
  <c r="Y130" i="8"/>
  <c r="X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AG129" i="8"/>
  <c r="AG128" i="8"/>
  <c r="AG127" i="8"/>
  <c r="AG126" i="8"/>
  <c r="AG125" i="8"/>
  <c r="AG124" i="8"/>
  <c r="AG123" i="8"/>
  <c r="AG122" i="8"/>
  <c r="AG121" i="8"/>
  <c r="AG120" i="8"/>
  <c r="AG119" i="8"/>
  <c r="AG118" i="8"/>
  <c r="AG117" i="8"/>
  <c r="AF116" i="8"/>
  <c r="AE116" i="8"/>
  <c r="AD116" i="8"/>
  <c r="AC116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B116" i="8"/>
  <c r="AG115" i="8"/>
  <c r="AG114" i="8"/>
  <c r="AG113" i="8"/>
  <c r="AG112" i="8"/>
  <c r="AG111" i="8"/>
  <c r="AG110" i="8"/>
  <c r="AG109" i="8"/>
  <c r="AG108" i="8"/>
  <c r="AG107" i="8"/>
  <c r="AG106" i="8"/>
  <c r="AG105" i="8"/>
  <c r="AG104" i="8"/>
  <c r="AG103" i="8"/>
  <c r="AG102" i="8"/>
  <c r="AG101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AG99" i="8"/>
  <c r="AG98" i="8"/>
  <c r="AG97" i="8"/>
  <c r="AG96" i="8"/>
  <c r="AG95" i="8"/>
  <c r="AF94" i="8"/>
  <c r="AE94" i="8"/>
  <c r="AD94" i="8"/>
  <c r="AC94" i="8"/>
  <c r="AB94" i="8"/>
  <c r="AA94" i="8"/>
  <c r="Z94" i="8"/>
  <c r="Y94" i="8"/>
  <c r="X94" i="8"/>
  <c r="W94" i="8"/>
  <c r="V94" i="8"/>
  <c r="U94" i="8"/>
  <c r="U93" i="8" s="1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C93" i="8" s="1"/>
  <c r="B94" i="8"/>
  <c r="AG92" i="8"/>
  <c r="AG91" i="8"/>
  <c r="AG90" i="8"/>
  <c r="AG89" i="8"/>
  <c r="AG88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AG86" i="8"/>
  <c r="AG85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AF82" i="8"/>
  <c r="AF83" i="8" s="1"/>
  <c r="AF81" i="8" s="1"/>
  <c r="AE82" i="8"/>
  <c r="AE83" i="8" s="1"/>
  <c r="AD82" i="8"/>
  <c r="AD83" i="8" s="1"/>
  <c r="AD81" i="8" s="1"/>
  <c r="AC82" i="8"/>
  <c r="AB82" i="8"/>
  <c r="AB83" i="8" s="1"/>
  <c r="AB81" i="8" s="1"/>
  <c r="AA82" i="8"/>
  <c r="AA83" i="8" s="1"/>
  <c r="Z82" i="8"/>
  <c r="Z83" i="8" s="1"/>
  <c r="Z81" i="8" s="1"/>
  <c r="Y82" i="8"/>
  <c r="X82" i="8"/>
  <c r="X83" i="8" s="1"/>
  <c r="X81" i="8" s="1"/>
  <c r="W82" i="8"/>
  <c r="W83" i="8" s="1"/>
  <c r="V82" i="8"/>
  <c r="V83" i="8" s="1"/>
  <c r="V81" i="8" s="1"/>
  <c r="U82" i="8"/>
  <c r="T82" i="8"/>
  <c r="T83" i="8" s="1"/>
  <c r="T81" i="8" s="1"/>
  <c r="S82" i="8"/>
  <c r="S83" i="8" s="1"/>
  <c r="R82" i="8"/>
  <c r="R83" i="8" s="1"/>
  <c r="R81" i="8" s="1"/>
  <c r="Q82" i="8"/>
  <c r="P82" i="8"/>
  <c r="P83" i="8" s="1"/>
  <c r="P81" i="8" s="1"/>
  <c r="O82" i="8"/>
  <c r="O83" i="8" s="1"/>
  <c r="N82" i="8"/>
  <c r="N83" i="8" s="1"/>
  <c r="N81" i="8" s="1"/>
  <c r="M82" i="8"/>
  <c r="L82" i="8"/>
  <c r="L83" i="8" s="1"/>
  <c r="L81" i="8" s="1"/>
  <c r="K82" i="8"/>
  <c r="K83" i="8" s="1"/>
  <c r="J82" i="8"/>
  <c r="J83" i="8" s="1"/>
  <c r="J81" i="8" s="1"/>
  <c r="I82" i="8"/>
  <c r="H82" i="8"/>
  <c r="H83" i="8" s="1"/>
  <c r="H81" i="8" s="1"/>
  <c r="G82" i="8"/>
  <c r="G83" i="8" s="1"/>
  <c r="F82" i="8"/>
  <c r="F83" i="8" s="1"/>
  <c r="F81" i="8" s="1"/>
  <c r="E82" i="8"/>
  <c r="D82" i="8"/>
  <c r="D83" i="8" s="1"/>
  <c r="D81" i="8" s="1"/>
  <c r="C82" i="8"/>
  <c r="C83" i="8" s="1"/>
  <c r="B82" i="8"/>
  <c r="B83" i="8" s="1"/>
  <c r="AF80" i="8"/>
  <c r="AF79" i="8" s="1"/>
  <c r="AF78" i="8" s="1"/>
  <c r="AC80" i="8"/>
  <c r="AC79" i="8" s="1"/>
  <c r="AC78" i="8" s="1"/>
  <c r="AB80" i="8"/>
  <c r="AB79" i="8" s="1"/>
  <c r="AB78" i="8" s="1"/>
  <c r="AA80" i="8"/>
  <c r="AA79" i="8" s="1"/>
  <c r="AA78" i="8" s="1"/>
  <c r="Y80" i="8"/>
  <c r="Y79" i="8" s="1"/>
  <c r="Y78" i="8" s="1"/>
  <c r="V80" i="8"/>
  <c r="V79" i="8" s="1"/>
  <c r="V78" i="8" s="1"/>
  <c r="U80" i="8"/>
  <c r="U79" i="8" s="1"/>
  <c r="U78" i="8" s="1"/>
  <c r="T80" i="8"/>
  <c r="T79" i="8" s="1"/>
  <c r="T78" i="8" s="1"/>
  <c r="S80" i="8"/>
  <c r="S79" i="8" s="1"/>
  <c r="S78" i="8" s="1"/>
  <c r="R80" i="8"/>
  <c r="R79" i="8" s="1"/>
  <c r="R78" i="8" s="1"/>
  <c r="O80" i="8"/>
  <c r="O79" i="8" s="1"/>
  <c r="O78" i="8" s="1"/>
  <c r="N80" i="8"/>
  <c r="N79" i="8" s="1"/>
  <c r="N78" i="8" s="1"/>
  <c r="M80" i="8"/>
  <c r="M79" i="8" s="1"/>
  <c r="M78" i="8" s="1"/>
  <c r="H80" i="8"/>
  <c r="H79" i="8" s="1"/>
  <c r="H78" i="8" s="1"/>
  <c r="G80" i="8"/>
  <c r="G79" i="8" s="1"/>
  <c r="G78" i="8" s="1"/>
  <c r="F80" i="8"/>
  <c r="F79" i="8" s="1"/>
  <c r="F78" i="8" s="1"/>
  <c r="AE79" i="8"/>
  <c r="AE78" i="8" s="1"/>
  <c r="AD79" i="8"/>
  <c r="AD78" i="8" s="1"/>
  <c r="Z79" i="8"/>
  <c r="Z78" i="8" s="1"/>
  <c r="X79" i="8"/>
  <c r="X78" i="8" s="1"/>
  <c r="W79" i="8"/>
  <c r="W78" i="8" s="1"/>
  <c r="Q79" i="8"/>
  <c r="Q78" i="8" s="1"/>
  <c r="P79" i="8"/>
  <c r="P78" i="8" s="1"/>
  <c r="L79" i="8"/>
  <c r="L78" i="8" s="1"/>
  <c r="K79" i="8"/>
  <c r="K78" i="8" s="1"/>
  <c r="J79" i="8"/>
  <c r="J78" i="8" s="1"/>
  <c r="I79" i="8"/>
  <c r="I78" i="8" s="1"/>
  <c r="E79" i="8"/>
  <c r="E78" i="8" s="1"/>
  <c r="D79" i="8"/>
  <c r="D78" i="8" s="1"/>
  <c r="C79" i="8"/>
  <c r="C78" i="8" s="1"/>
  <c r="B79" i="8"/>
  <c r="B78" i="8" s="1"/>
  <c r="AG77" i="8"/>
  <c r="AG76" i="8"/>
  <c r="AG75" i="8"/>
  <c r="AG74" i="8"/>
  <c r="AG73" i="8"/>
  <c r="AG72" i="8"/>
  <c r="AG71" i="8"/>
  <c r="AG70" i="8"/>
  <c r="AG69" i="8"/>
  <c r="AG68" i="8"/>
  <c r="AG67" i="8"/>
  <c r="AG66" i="8"/>
  <c r="AG65" i="8"/>
  <c r="AG64" i="8"/>
  <c r="AG63" i="8"/>
  <c r="AG62" i="8"/>
  <c r="AG61" i="8"/>
  <c r="AG60" i="8"/>
  <c r="AG59" i="8"/>
  <c r="AG58" i="8"/>
  <c r="AG57" i="8"/>
  <c r="AG56" i="8"/>
  <c r="AG55" i="8"/>
  <c r="AG54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G52" i="8"/>
  <c r="AG51" i="8"/>
  <c r="AG50" i="8"/>
  <c r="AG49" i="8"/>
  <c r="AG48" i="8"/>
  <c r="AG47" i="8"/>
  <c r="AG46" i="8"/>
  <c r="AG45" i="8"/>
  <c r="AG44" i="8"/>
  <c r="AG43" i="8"/>
  <c r="AG42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G27" i="8"/>
  <c r="AG26" i="8"/>
  <c r="AG25" i="8"/>
  <c r="AG24" i="8"/>
  <c r="AG23" i="8"/>
  <c r="AG22" i="8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G6" i="8"/>
  <c r="AG5" i="8"/>
  <c r="AG4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C2" i="8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E93" i="8" l="1"/>
  <c r="Y93" i="8"/>
  <c r="L93" i="9"/>
  <c r="S93" i="10"/>
  <c r="W93" i="10"/>
  <c r="O93" i="9"/>
  <c r="I93" i="8"/>
  <c r="M93" i="8"/>
  <c r="T93" i="9"/>
  <c r="AA93" i="10"/>
  <c r="X93" i="8"/>
  <c r="V93" i="10"/>
  <c r="R93" i="10"/>
  <c r="AA93" i="8"/>
  <c r="Z93" i="10"/>
  <c r="V93" i="9"/>
  <c r="I93" i="10"/>
  <c r="N93" i="9"/>
  <c r="P93" i="8"/>
  <c r="C144" i="8"/>
  <c r="W93" i="9"/>
  <c r="J93" i="10"/>
  <c r="AD93" i="10"/>
  <c r="AE93" i="9"/>
  <c r="R93" i="9"/>
  <c r="AF93" i="8"/>
  <c r="Q93" i="8"/>
  <c r="D93" i="9"/>
  <c r="K93" i="10"/>
  <c r="AE93" i="10"/>
  <c r="AC93" i="8"/>
  <c r="H93" i="8"/>
  <c r="AB93" i="8"/>
  <c r="K93" i="8"/>
  <c r="S93" i="8"/>
  <c r="F93" i="9"/>
  <c r="Z93" i="9"/>
  <c r="K144" i="8"/>
  <c r="AA144" i="8"/>
  <c r="H144" i="8"/>
  <c r="P144" i="8"/>
  <c r="T144" i="8"/>
  <c r="AB144" i="8"/>
  <c r="AD144" i="9"/>
  <c r="F144" i="9"/>
  <c r="N144" i="9"/>
  <c r="V144" i="9"/>
  <c r="V144" i="10"/>
  <c r="G144" i="9"/>
  <c r="O144" i="9"/>
  <c r="D144" i="8"/>
  <c r="L144" i="8"/>
  <c r="X144" i="8"/>
  <c r="AF144" i="8"/>
  <c r="J144" i="9"/>
  <c r="Z144" i="9"/>
  <c r="Y144" i="8"/>
  <c r="E144" i="8"/>
  <c r="I144" i="8"/>
  <c r="M144" i="8"/>
  <c r="Q144" i="8"/>
  <c r="U144" i="8"/>
  <c r="AC144" i="8"/>
  <c r="AE144" i="9"/>
  <c r="K144" i="9"/>
  <c r="S144" i="9"/>
  <c r="AA144" i="9"/>
  <c r="K144" i="10"/>
  <c r="W144" i="9"/>
  <c r="I144" i="9"/>
  <c r="Q144" i="9"/>
  <c r="Y144" i="9"/>
  <c r="L93" i="8"/>
  <c r="G144" i="8"/>
  <c r="H93" i="9"/>
  <c r="P93" i="9"/>
  <c r="X93" i="9"/>
  <c r="E144" i="9"/>
  <c r="M144" i="9"/>
  <c r="U144" i="9"/>
  <c r="AC144" i="9"/>
  <c r="AD144" i="10"/>
  <c r="AE144" i="8"/>
  <c r="R144" i="9"/>
  <c r="AG147" i="8"/>
  <c r="AG215" i="9"/>
  <c r="G93" i="8"/>
  <c r="O93" i="8"/>
  <c r="W93" i="8"/>
  <c r="AE93" i="8"/>
  <c r="O144" i="8"/>
  <c r="C93" i="9"/>
  <c r="S93" i="9"/>
  <c r="AA93" i="9"/>
  <c r="B144" i="9"/>
  <c r="E93" i="10"/>
  <c r="M93" i="10"/>
  <c r="U93" i="10"/>
  <c r="AC93" i="10"/>
  <c r="L144" i="10"/>
  <c r="AG147" i="10"/>
  <c r="AG215" i="10"/>
  <c r="N144" i="10"/>
  <c r="W144" i="8"/>
  <c r="AG215" i="8"/>
  <c r="AG148" i="9"/>
  <c r="AG223" i="10"/>
  <c r="AG223" i="8"/>
  <c r="Y93" i="10"/>
  <c r="AG80" i="10"/>
  <c r="S144" i="10"/>
  <c r="AA144" i="10"/>
  <c r="H144" i="10"/>
  <c r="P144" i="10"/>
  <c r="T144" i="10"/>
  <c r="X144" i="10"/>
  <c r="AF144" i="10"/>
  <c r="AB144" i="10"/>
  <c r="AG219" i="8"/>
  <c r="AG147" i="9"/>
  <c r="D144" i="9"/>
  <c r="H144" i="9"/>
  <c r="L144" i="9"/>
  <c r="P144" i="9"/>
  <c r="T144" i="9"/>
  <c r="X144" i="9"/>
  <c r="AB144" i="9"/>
  <c r="AF144" i="9"/>
  <c r="F144" i="10"/>
  <c r="B93" i="10"/>
  <c r="M144" i="10"/>
  <c r="AC144" i="10"/>
  <c r="D93" i="8"/>
  <c r="B144" i="8"/>
  <c r="F144" i="8"/>
  <c r="J144" i="8"/>
  <c r="N144" i="8"/>
  <c r="R144" i="8"/>
  <c r="V144" i="8"/>
  <c r="Z144" i="8"/>
  <c r="AD144" i="8"/>
  <c r="AG167" i="8"/>
  <c r="C146" i="9"/>
  <c r="C144" i="9" s="1"/>
  <c r="AG167" i="9"/>
  <c r="C144" i="10"/>
  <c r="C93" i="10"/>
  <c r="J144" i="10"/>
  <c r="R144" i="10"/>
  <c r="Z144" i="10"/>
  <c r="AG167" i="10"/>
  <c r="AG219" i="10"/>
  <c r="AG158" i="8"/>
  <c r="AG158" i="9"/>
  <c r="AG219" i="9"/>
  <c r="AG223" i="9"/>
  <c r="D144" i="10"/>
  <c r="H93" i="10"/>
  <c r="L93" i="10"/>
  <c r="P93" i="10"/>
  <c r="T93" i="10"/>
  <c r="X93" i="10"/>
  <c r="AB93" i="10"/>
  <c r="AF93" i="10"/>
  <c r="U144" i="10"/>
  <c r="G144" i="10"/>
  <c r="O144" i="10"/>
  <c r="W144" i="10"/>
  <c r="AE144" i="10"/>
  <c r="AG158" i="10"/>
  <c r="AG137" i="10"/>
  <c r="F130" i="10"/>
  <c r="F93" i="10"/>
  <c r="AG209" i="10"/>
  <c r="AG134" i="10"/>
  <c r="E130" i="10"/>
  <c r="E144" i="10"/>
  <c r="AG182" i="10"/>
  <c r="AG142" i="10"/>
  <c r="D130" i="10"/>
  <c r="AG143" i="10"/>
  <c r="AG129" i="10"/>
  <c r="C130" i="10"/>
  <c r="AG116" i="10"/>
  <c r="AG94" i="10"/>
  <c r="AG87" i="10"/>
  <c r="AG84" i="10"/>
  <c r="AG28" i="10"/>
  <c r="AG156" i="10"/>
  <c r="AG53" i="10"/>
  <c r="C81" i="10"/>
  <c r="AG3" i="10"/>
  <c r="AG177" i="10"/>
  <c r="AG173" i="10"/>
  <c r="I144" i="10"/>
  <c r="AG157" i="10"/>
  <c r="Y144" i="10"/>
  <c r="Q144" i="10"/>
  <c r="AG145" i="10"/>
  <c r="B144" i="10"/>
  <c r="B130" i="10"/>
  <c r="AG100" i="10"/>
  <c r="AG83" i="10"/>
  <c r="B81" i="10"/>
  <c r="AG82" i="10"/>
  <c r="K81" i="10"/>
  <c r="S81" i="10"/>
  <c r="AA81" i="10"/>
  <c r="AG148" i="10"/>
  <c r="F79" i="10"/>
  <c r="F78" i="10" s="1"/>
  <c r="AG78" i="10" s="1"/>
  <c r="D93" i="10"/>
  <c r="G81" i="10"/>
  <c r="O81" i="10"/>
  <c r="W81" i="10"/>
  <c r="AE81" i="10"/>
  <c r="H81" i="10"/>
  <c r="P81" i="10"/>
  <c r="X81" i="10"/>
  <c r="AF81" i="10"/>
  <c r="AF93" i="9"/>
  <c r="AC93" i="9"/>
  <c r="Y93" i="9"/>
  <c r="U93" i="9"/>
  <c r="Q93" i="9"/>
  <c r="M93" i="9"/>
  <c r="K93" i="9"/>
  <c r="I93" i="9"/>
  <c r="AG80" i="9"/>
  <c r="E93" i="9"/>
  <c r="AG182" i="9"/>
  <c r="AG94" i="9"/>
  <c r="AG209" i="9"/>
  <c r="AG177" i="9"/>
  <c r="AG173" i="9"/>
  <c r="AG145" i="9"/>
  <c r="AG130" i="9"/>
  <c r="AG116" i="9"/>
  <c r="AG100" i="9"/>
  <c r="AG87" i="9"/>
  <c r="AG53" i="9"/>
  <c r="AG28" i="9"/>
  <c r="AG3" i="9"/>
  <c r="AG84" i="9"/>
  <c r="AG78" i="9"/>
  <c r="AG79" i="9"/>
  <c r="B81" i="9"/>
  <c r="AG82" i="9"/>
  <c r="I83" i="9"/>
  <c r="I81" i="9" s="1"/>
  <c r="Q83" i="9"/>
  <c r="Q81" i="9" s="1"/>
  <c r="Y83" i="9"/>
  <c r="Y81" i="9" s="1"/>
  <c r="AC83" i="9"/>
  <c r="AC81" i="9" s="1"/>
  <c r="E83" i="9"/>
  <c r="E81" i="9" s="1"/>
  <c r="M83" i="9"/>
  <c r="M81" i="9" s="1"/>
  <c r="U83" i="9"/>
  <c r="U81" i="9" s="1"/>
  <c r="D81" i="9"/>
  <c r="H81" i="9"/>
  <c r="L81" i="9"/>
  <c r="P81" i="9"/>
  <c r="T81" i="9"/>
  <c r="X81" i="9"/>
  <c r="AB81" i="9"/>
  <c r="AF81" i="9"/>
  <c r="B93" i="9"/>
  <c r="AD93" i="8"/>
  <c r="Z93" i="8"/>
  <c r="T93" i="8"/>
  <c r="V93" i="8"/>
  <c r="R93" i="8"/>
  <c r="N93" i="8"/>
  <c r="J93" i="8"/>
  <c r="AG80" i="8"/>
  <c r="AG209" i="8"/>
  <c r="F93" i="8"/>
  <c r="AG173" i="8"/>
  <c r="AG130" i="8"/>
  <c r="AG100" i="8"/>
  <c r="AG87" i="8"/>
  <c r="AG182" i="8"/>
  <c r="AG177" i="8"/>
  <c r="AG145" i="8"/>
  <c r="AG116" i="8"/>
  <c r="AG84" i="8"/>
  <c r="AG53" i="8"/>
  <c r="AG28" i="8"/>
  <c r="AG3" i="8"/>
  <c r="B81" i="8"/>
  <c r="AG78" i="8"/>
  <c r="AG79" i="8"/>
  <c r="E83" i="8"/>
  <c r="E81" i="8" s="1"/>
  <c r="M83" i="8"/>
  <c r="M81" i="8" s="1"/>
  <c r="U83" i="8"/>
  <c r="U81" i="8" s="1"/>
  <c r="C81" i="8"/>
  <c r="G81" i="8"/>
  <c r="K81" i="8"/>
  <c r="O81" i="8"/>
  <c r="S81" i="8"/>
  <c r="W81" i="8"/>
  <c r="AA81" i="8"/>
  <c r="AE81" i="8"/>
  <c r="AG148" i="8"/>
  <c r="B93" i="8"/>
  <c r="AG94" i="8"/>
  <c r="AG82" i="8"/>
  <c r="I83" i="8"/>
  <c r="I81" i="8" s="1"/>
  <c r="Q83" i="8"/>
  <c r="Q81" i="8" s="1"/>
  <c r="Y83" i="8"/>
  <c r="Y81" i="8" s="1"/>
  <c r="AC83" i="8"/>
  <c r="AC81" i="8" s="1"/>
  <c r="AG144" i="8" l="1"/>
  <c r="AG144" i="9"/>
  <c r="AG146" i="8"/>
  <c r="AG146" i="10"/>
  <c r="AG146" i="9"/>
  <c r="AG93" i="10"/>
  <c r="AG79" i="10"/>
  <c r="AG144" i="10"/>
  <c r="AG130" i="10"/>
  <c r="AH87" i="10"/>
  <c r="AH84" i="10"/>
  <c r="AG81" i="10"/>
  <c r="AG93" i="9"/>
  <c r="AH87" i="9"/>
  <c r="AG83" i="9"/>
  <c r="AG81" i="9"/>
  <c r="AG93" i="8"/>
  <c r="AH87" i="8"/>
  <c r="AG83" i="8"/>
  <c r="AG81" i="8"/>
  <c r="AH144" i="9" l="1"/>
  <c r="AH81" i="8"/>
  <c r="AH84" i="9"/>
  <c r="AH84" i="8"/>
  <c r="AH209" i="8"/>
  <c r="AH81" i="9"/>
  <c r="AH209" i="10"/>
  <c r="AH81" i="10"/>
  <c r="AH144" i="10"/>
  <c r="AH93" i="10"/>
  <c r="AH130" i="10"/>
  <c r="AH93" i="9"/>
  <c r="AH209" i="9"/>
  <c r="AH130" i="9"/>
  <c r="AH144" i="8"/>
  <c r="AH93" i="8"/>
  <c r="AH130" i="8"/>
  <c r="AG226" i="7"/>
  <c r="AG225" i="7"/>
  <c r="AG224" i="7"/>
  <c r="AF223" i="7"/>
  <c r="AE223" i="7"/>
  <c r="AD223" i="7"/>
  <c r="AC223" i="7"/>
  <c r="AB223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C223" i="7"/>
  <c r="B223" i="7"/>
  <c r="AG222" i="7"/>
  <c r="AG221" i="7"/>
  <c r="AG220" i="7"/>
  <c r="AF219" i="7"/>
  <c r="AE219" i="7"/>
  <c r="AD219" i="7"/>
  <c r="AC219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C219" i="7"/>
  <c r="B219" i="7"/>
  <c r="AG218" i="7"/>
  <c r="AG217" i="7"/>
  <c r="AG216" i="7"/>
  <c r="AF215" i="7"/>
  <c r="AE215" i="7"/>
  <c r="AD215" i="7"/>
  <c r="AC215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B215" i="7"/>
  <c r="AG214" i="7"/>
  <c r="AG213" i="7"/>
  <c r="AG212" i="7"/>
  <c r="AG211" i="7"/>
  <c r="AG210" i="7"/>
  <c r="AF209" i="7"/>
  <c r="AE209" i="7"/>
  <c r="AD209" i="7"/>
  <c r="AC209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C209" i="7"/>
  <c r="B209" i="7"/>
  <c r="AG208" i="7"/>
  <c r="AG207" i="7"/>
  <c r="AG206" i="7"/>
  <c r="AG205" i="7"/>
  <c r="AG204" i="7"/>
  <c r="AG203" i="7"/>
  <c r="AG202" i="7"/>
  <c r="AG201" i="7"/>
  <c r="AG200" i="7"/>
  <c r="AG199" i="7"/>
  <c r="AG198" i="7"/>
  <c r="AG197" i="7"/>
  <c r="AG196" i="7"/>
  <c r="AG195" i="7"/>
  <c r="AG194" i="7"/>
  <c r="AG193" i="7"/>
  <c r="AG192" i="7"/>
  <c r="AG191" i="7"/>
  <c r="AG190" i="7"/>
  <c r="AG189" i="7"/>
  <c r="AG188" i="7"/>
  <c r="AG187" i="7"/>
  <c r="AG186" i="7"/>
  <c r="AG185" i="7"/>
  <c r="AG184" i="7"/>
  <c r="AG183" i="7"/>
  <c r="AF182" i="7"/>
  <c r="AE182" i="7"/>
  <c r="AD182" i="7"/>
  <c r="AC182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B182" i="7"/>
  <c r="AG181" i="7"/>
  <c r="AG180" i="7"/>
  <c r="AG179" i="7"/>
  <c r="AG178" i="7"/>
  <c r="AF177" i="7"/>
  <c r="AE177" i="7"/>
  <c r="AD177" i="7"/>
  <c r="AC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B177" i="7"/>
  <c r="AG176" i="7"/>
  <c r="AG175" i="7"/>
  <c r="AG174" i="7"/>
  <c r="AF173" i="7"/>
  <c r="AE173" i="7"/>
  <c r="AD173" i="7"/>
  <c r="AC173" i="7"/>
  <c r="AB173" i="7"/>
  <c r="AA173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B173" i="7"/>
  <c r="AG172" i="7"/>
  <c r="AG171" i="7"/>
  <c r="AG170" i="7"/>
  <c r="AG169" i="7"/>
  <c r="AG168" i="7"/>
  <c r="AF167" i="7"/>
  <c r="AE167" i="7"/>
  <c r="AD167" i="7"/>
  <c r="AC167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B167" i="7"/>
  <c r="AG166" i="7"/>
  <c r="AG165" i="7"/>
  <c r="AG164" i="7"/>
  <c r="AG163" i="7"/>
  <c r="AG162" i="7"/>
  <c r="AG161" i="7"/>
  <c r="AG160" i="7"/>
  <c r="AG159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B158" i="7"/>
  <c r="AG157" i="7"/>
  <c r="AG156" i="7"/>
  <c r="AG155" i="7"/>
  <c r="AG154" i="7"/>
  <c r="AG153" i="7"/>
  <c r="AG152" i="7"/>
  <c r="AG151" i="7"/>
  <c r="AG150" i="7"/>
  <c r="AG149" i="7"/>
  <c r="AF148" i="7"/>
  <c r="AE148" i="7"/>
  <c r="AE146" i="7" s="1"/>
  <c r="AD148" i="7"/>
  <c r="AD146" i="7" s="1"/>
  <c r="AC148" i="7"/>
  <c r="AC146" i="7" s="1"/>
  <c r="AB148" i="7"/>
  <c r="AB146" i="7" s="1"/>
  <c r="AB144" i="7" s="1"/>
  <c r="AA148" i="7"/>
  <c r="AA146" i="7" s="1"/>
  <c r="Z148" i="7"/>
  <c r="Z146" i="7" s="1"/>
  <c r="Z144" i="7" s="1"/>
  <c r="Y148" i="7"/>
  <c r="Y146" i="7" s="1"/>
  <c r="X148" i="7"/>
  <c r="X146" i="7" s="1"/>
  <c r="W148" i="7"/>
  <c r="W146" i="7" s="1"/>
  <c r="V148" i="7"/>
  <c r="V146" i="7" s="1"/>
  <c r="U148" i="7"/>
  <c r="U146" i="7" s="1"/>
  <c r="T148" i="7"/>
  <c r="T146" i="7" s="1"/>
  <c r="S148" i="7"/>
  <c r="S146" i="7" s="1"/>
  <c r="R148" i="7"/>
  <c r="R146" i="7" s="1"/>
  <c r="R144" i="7" s="1"/>
  <c r="Q148" i="7"/>
  <c r="Q146" i="7" s="1"/>
  <c r="P148" i="7"/>
  <c r="O148" i="7"/>
  <c r="O146" i="7" s="1"/>
  <c r="N148" i="7"/>
  <c r="N146" i="7" s="1"/>
  <c r="N144" i="7" s="1"/>
  <c r="M148" i="7"/>
  <c r="M146" i="7" s="1"/>
  <c r="L148" i="7"/>
  <c r="L146" i="7" s="1"/>
  <c r="K148" i="7"/>
  <c r="K146" i="7" s="1"/>
  <c r="J148" i="7"/>
  <c r="J146" i="7" s="1"/>
  <c r="I148" i="7"/>
  <c r="I146" i="7" s="1"/>
  <c r="H148" i="7"/>
  <c r="H146" i="7" s="1"/>
  <c r="G148" i="7"/>
  <c r="G146" i="7" s="1"/>
  <c r="F148" i="7"/>
  <c r="F146" i="7" s="1"/>
  <c r="F144" i="7" s="1"/>
  <c r="E148" i="7"/>
  <c r="E146" i="7" s="1"/>
  <c r="D148" i="7"/>
  <c r="C148" i="7"/>
  <c r="B148" i="7"/>
  <c r="B146" i="7" s="1"/>
  <c r="AE147" i="7"/>
  <c r="AD147" i="7"/>
  <c r="AC147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B147" i="7"/>
  <c r="AF146" i="7"/>
  <c r="AF144" i="7" s="1"/>
  <c r="P146" i="7"/>
  <c r="C146" i="7"/>
  <c r="AF145" i="7"/>
  <c r="AE145" i="7"/>
  <c r="AD145" i="7"/>
  <c r="AC145" i="7"/>
  <c r="AB145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B145" i="7"/>
  <c r="Q144" i="7"/>
  <c r="M144" i="7"/>
  <c r="AG143" i="7"/>
  <c r="H142" i="7"/>
  <c r="AG142" i="7" s="1"/>
  <c r="AG141" i="7"/>
  <c r="AG140" i="7"/>
  <c r="AG139" i="7"/>
  <c r="AG138" i="7"/>
  <c r="AG137" i="7"/>
  <c r="AG136" i="7"/>
  <c r="AG135" i="7"/>
  <c r="AG134" i="7"/>
  <c r="AG133" i="7"/>
  <c r="AG132" i="7"/>
  <c r="AG131" i="7"/>
  <c r="AF130" i="7"/>
  <c r="AE130" i="7"/>
  <c r="AD130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B130" i="7"/>
  <c r="AG129" i="7"/>
  <c r="AG128" i="7"/>
  <c r="AG127" i="7"/>
  <c r="AG126" i="7"/>
  <c r="AG125" i="7"/>
  <c r="AG124" i="7"/>
  <c r="AG123" i="7"/>
  <c r="AG122" i="7"/>
  <c r="AG121" i="7"/>
  <c r="AG120" i="7"/>
  <c r="AG119" i="7"/>
  <c r="AG118" i="7"/>
  <c r="AG117" i="7"/>
  <c r="AF116" i="7"/>
  <c r="AE116" i="7"/>
  <c r="AD116" i="7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AG115" i="7"/>
  <c r="AG114" i="7"/>
  <c r="AG113" i="7"/>
  <c r="AG112" i="7"/>
  <c r="AG111" i="7"/>
  <c r="AG110" i="7"/>
  <c r="AG109" i="7"/>
  <c r="AG108" i="7"/>
  <c r="AG107" i="7"/>
  <c r="AG106" i="7"/>
  <c r="AG105" i="7"/>
  <c r="AG104" i="7"/>
  <c r="AG103" i="7"/>
  <c r="AG102" i="7"/>
  <c r="AG101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AG99" i="7"/>
  <c r="AG98" i="7"/>
  <c r="AG97" i="7"/>
  <c r="AG96" i="7"/>
  <c r="AG95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R93" i="7" s="1"/>
  <c r="Q94" i="7"/>
  <c r="P94" i="7"/>
  <c r="O94" i="7"/>
  <c r="N94" i="7"/>
  <c r="N93" i="7" s="1"/>
  <c r="M94" i="7"/>
  <c r="M93" i="7" s="1"/>
  <c r="L94" i="7"/>
  <c r="K94" i="7"/>
  <c r="K93" i="7" s="1"/>
  <c r="J94" i="7"/>
  <c r="I94" i="7"/>
  <c r="H94" i="7"/>
  <c r="G94" i="7"/>
  <c r="F94" i="7"/>
  <c r="F93" i="7" s="1"/>
  <c r="E94" i="7"/>
  <c r="E93" i="7" s="1"/>
  <c r="D94" i="7"/>
  <c r="C94" i="7"/>
  <c r="C93" i="7" s="1"/>
  <c r="B94" i="7"/>
  <c r="AG92" i="7"/>
  <c r="AG91" i="7"/>
  <c r="AG90" i="7"/>
  <c r="AG89" i="7"/>
  <c r="AG88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AG86" i="7"/>
  <c r="AG85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AF82" i="7"/>
  <c r="AF83" i="7" s="1"/>
  <c r="AF81" i="7" s="1"/>
  <c r="AE82" i="7"/>
  <c r="AE83" i="7" s="1"/>
  <c r="AD82" i="7"/>
  <c r="AD83" i="7" s="1"/>
  <c r="AC82" i="7"/>
  <c r="AC83" i="7" s="1"/>
  <c r="AB82" i="7"/>
  <c r="AB83" i="7" s="1"/>
  <c r="AB81" i="7" s="1"/>
  <c r="AA82" i="7"/>
  <c r="Z82" i="7"/>
  <c r="Z83" i="7" s="1"/>
  <c r="Y82" i="7"/>
  <c r="Y83" i="7" s="1"/>
  <c r="X82" i="7"/>
  <c r="X83" i="7" s="1"/>
  <c r="X81" i="7" s="1"/>
  <c r="W82" i="7"/>
  <c r="W83" i="7" s="1"/>
  <c r="W81" i="7" s="1"/>
  <c r="V82" i="7"/>
  <c r="V83" i="7" s="1"/>
  <c r="U82" i="7"/>
  <c r="U83" i="7" s="1"/>
  <c r="T82" i="7"/>
  <c r="T83" i="7" s="1"/>
  <c r="T81" i="7" s="1"/>
  <c r="S82" i="7"/>
  <c r="R82" i="7"/>
  <c r="R83" i="7" s="1"/>
  <c r="Q82" i="7"/>
  <c r="Q83" i="7" s="1"/>
  <c r="P82" i="7"/>
  <c r="P83" i="7" s="1"/>
  <c r="P81" i="7" s="1"/>
  <c r="O82" i="7"/>
  <c r="O83" i="7" s="1"/>
  <c r="O81" i="7" s="1"/>
  <c r="N82" i="7"/>
  <c r="N83" i="7" s="1"/>
  <c r="M82" i="7"/>
  <c r="M83" i="7" s="1"/>
  <c r="L82" i="7"/>
  <c r="L83" i="7" s="1"/>
  <c r="K82" i="7"/>
  <c r="J82" i="7"/>
  <c r="J83" i="7" s="1"/>
  <c r="I82" i="7"/>
  <c r="I83" i="7" s="1"/>
  <c r="H82" i="7"/>
  <c r="H83" i="7" s="1"/>
  <c r="H81" i="7" s="1"/>
  <c r="G82" i="7"/>
  <c r="G83" i="7" s="1"/>
  <c r="G81" i="7" s="1"/>
  <c r="F82" i="7"/>
  <c r="F83" i="7" s="1"/>
  <c r="E82" i="7"/>
  <c r="E83" i="7" s="1"/>
  <c r="D82" i="7"/>
  <c r="D83" i="7" s="1"/>
  <c r="C82" i="7"/>
  <c r="B82" i="7"/>
  <c r="B83" i="7" s="1"/>
  <c r="AF80" i="7"/>
  <c r="AC80" i="7"/>
  <c r="AC79" i="7" s="1"/>
  <c r="AC78" i="7" s="1"/>
  <c r="AB80" i="7"/>
  <c r="AB79" i="7" s="1"/>
  <c r="AB78" i="7" s="1"/>
  <c r="AA80" i="7"/>
  <c r="AA79" i="7" s="1"/>
  <c r="AA78" i="7" s="1"/>
  <c r="Y80" i="7"/>
  <c r="Y79" i="7" s="1"/>
  <c r="Y78" i="7" s="1"/>
  <c r="V80" i="7"/>
  <c r="V79" i="7" s="1"/>
  <c r="V78" i="7" s="1"/>
  <c r="U80" i="7"/>
  <c r="U79" i="7" s="1"/>
  <c r="U78" i="7" s="1"/>
  <c r="T80" i="7"/>
  <c r="T79" i="7" s="1"/>
  <c r="T78" i="7" s="1"/>
  <c r="S80" i="7"/>
  <c r="S79" i="7" s="1"/>
  <c r="S78" i="7" s="1"/>
  <c r="R80" i="7"/>
  <c r="R79" i="7" s="1"/>
  <c r="R78" i="7" s="1"/>
  <c r="O80" i="7"/>
  <c r="O79" i="7" s="1"/>
  <c r="O78" i="7" s="1"/>
  <c r="N80" i="7"/>
  <c r="N79" i="7" s="1"/>
  <c r="N78" i="7" s="1"/>
  <c r="M80" i="7"/>
  <c r="M79" i="7" s="1"/>
  <c r="M78" i="7" s="1"/>
  <c r="H80" i="7"/>
  <c r="H79" i="7" s="1"/>
  <c r="H78" i="7" s="1"/>
  <c r="G80" i="7"/>
  <c r="G79" i="7" s="1"/>
  <c r="G78" i="7" s="1"/>
  <c r="F80" i="7"/>
  <c r="F79" i="7" s="1"/>
  <c r="F78" i="7" s="1"/>
  <c r="AF79" i="7"/>
  <c r="AF78" i="7" s="1"/>
  <c r="AE79" i="7"/>
  <c r="AE78" i="7" s="1"/>
  <c r="AD79" i="7"/>
  <c r="AD78" i="7" s="1"/>
  <c r="Z79" i="7"/>
  <c r="Z78" i="7" s="1"/>
  <c r="X79" i="7"/>
  <c r="X78" i="7" s="1"/>
  <c r="W79" i="7"/>
  <c r="W78" i="7" s="1"/>
  <c r="Q79" i="7"/>
  <c r="Q78" i="7" s="1"/>
  <c r="P79" i="7"/>
  <c r="P78" i="7" s="1"/>
  <c r="L79" i="7"/>
  <c r="L78" i="7" s="1"/>
  <c r="K79" i="7"/>
  <c r="J79" i="7"/>
  <c r="I79" i="7"/>
  <c r="I78" i="7" s="1"/>
  <c r="E79" i="7"/>
  <c r="E78" i="7" s="1"/>
  <c r="D79" i="7"/>
  <c r="C79" i="7"/>
  <c r="C78" i="7" s="1"/>
  <c r="B79" i="7"/>
  <c r="B78" i="7" s="1"/>
  <c r="K78" i="7"/>
  <c r="J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62" i="7"/>
  <c r="AG61" i="7"/>
  <c r="AG60" i="7"/>
  <c r="AG59" i="7"/>
  <c r="AG58" i="7"/>
  <c r="AG57" i="7"/>
  <c r="AG56" i="7"/>
  <c r="AG55" i="7"/>
  <c r="AG54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AG52" i="7"/>
  <c r="AG51" i="7"/>
  <c r="AG50" i="7"/>
  <c r="AG49" i="7"/>
  <c r="AG48" i="7"/>
  <c r="AG47" i="7"/>
  <c r="AG46" i="7"/>
  <c r="AG45" i="7"/>
  <c r="AG44" i="7"/>
  <c r="AG43" i="7"/>
  <c r="AG42" i="7"/>
  <c r="AG41" i="7"/>
  <c r="AG40" i="7"/>
  <c r="AG39" i="7"/>
  <c r="AG38" i="7"/>
  <c r="AG37" i="7"/>
  <c r="AG36" i="7"/>
  <c r="AG35" i="7"/>
  <c r="AG34" i="7"/>
  <c r="AG33" i="7"/>
  <c r="AG32" i="7"/>
  <c r="AG31" i="7"/>
  <c r="AG30" i="7"/>
  <c r="AG29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G27" i="7"/>
  <c r="AG26" i="7"/>
  <c r="AG25" i="7"/>
  <c r="AG24" i="7"/>
  <c r="AG23" i="7"/>
  <c r="AG22" i="7"/>
  <c r="AG21" i="7"/>
  <c r="AG20" i="7"/>
  <c r="AG19" i="7"/>
  <c r="AG18" i="7"/>
  <c r="AG17" i="7"/>
  <c r="AG16" i="7"/>
  <c r="AG15" i="7"/>
  <c r="AG14" i="7"/>
  <c r="AG13" i="7"/>
  <c r="AG12" i="7"/>
  <c r="AG11" i="7"/>
  <c r="AG10" i="7"/>
  <c r="AG9" i="7"/>
  <c r="AG8" i="7"/>
  <c r="AG7" i="7"/>
  <c r="AG6" i="7"/>
  <c r="AG5" i="7"/>
  <c r="AG4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C2" i="7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G226" i="6"/>
  <c r="AG225" i="6"/>
  <c r="AG224" i="6"/>
  <c r="AF223" i="6"/>
  <c r="AE223" i="6"/>
  <c r="AD223" i="6"/>
  <c r="AC223" i="6"/>
  <c r="AB223" i="6"/>
  <c r="AA223" i="6"/>
  <c r="Z223" i="6"/>
  <c r="Y223" i="6"/>
  <c r="X223" i="6"/>
  <c r="W223" i="6"/>
  <c r="V223" i="6"/>
  <c r="U223" i="6"/>
  <c r="T223" i="6"/>
  <c r="S223" i="6"/>
  <c r="R223" i="6"/>
  <c r="Q223" i="6"/>
  <c r="P223" i="6"/>
  <c r="O223" i="6"/>
  <c r="N223" i="6"/>
  <c r="M223" i="6"/>
  <c r="L223" i="6"/>
  <c r="K223" i="6"/>
  <c r="J223" i="6"/>
  <c r="I223" i="6"/>
  <c r="H223" i="6"/>
  <c r="G223" i="6"/>
  <c r="F223" i="6"/>
  <c r="E223" i="6"/>
  <c r="D223" i="6"/>
  <c r="C223" i="6"/>
  <c r="B223" i="6"/>
  <c r="AG222" i="6"/>
  <c r="AG221" i="6"/>
  <c r="AG220" i="6"/>
  <c r="AF219" i="6"/>
  <c r="AE219" i="6"/>
  <c r="AD219" i="6"/>
  <c r="AC219" i="6"/>
  <c r="AB219" i="6"/>
  <c r="AA219" i="6"/>
  <c r="Z219" i="6"/>
  <c r="Y219" i="6"/>
  <c r="X219" i="6"/>
  <c r="W219" i="6"/>
  <c r="V219" i="6"/>
  <c r="U219" i="6"/>
  <c r="AG218" i="6"/>
  <c r="AG217" i="6"/>
  <c r="AG216" i="6"/>
  <c r="AF215" i="6"/>
  <c r="AE215" i="6"/>
  <c r="AD215" i="6"/>
  <c r="AC215" i="6"/>
  <c r="AB215" i="6"/>
  <c r="AA215" i="6"/>
  <c r="Z215" i="6"/>
  <c r="Y215" i="6"/>
  <c r="X215" i="6"/>
  <c r="W215" i="6"/>
  <c r="V215" i="6"/>
  <c r="U215" i="6"/>
  <c r="AG214" i="6"/>
  <c r="AG213" i="6"/>
  <c r="AG212" i="6"/>
  <c r="AG211" i="6"/>
  <c r="AG210" i="6"/>
  <c r="AF209" i="6"/>
  <c r="AE209" i="6"/>
  <c r="AD209" i="6"/>
  <c r="AC209" i="6"/>
  <c r="AB209" i="6"/>
  <c r="AA209" i="6"/>
  <c r="Z209" i="6"/>
  <c r="Y209" i="6"/>
  <c r="X209" i="6"/>
  <c r="W209" i="6"/>
  <c r="V209" i="6"/>
  <c r="U209" i="6"/>
  <c r="T209" i="6"/>
  <c r="S209" i="6"/>
  <c r="R209" i="6"/>
  <c r="Q209" i="6"/>
  <c r="P209" i="6"/>
  <c r="O209" i="6"/>
  <c r="N209" i="6"/>
  <c r="M209" i="6"/>
  <c r="L209" i="6"/>
  <c r="K209" i="6"/>
  <c r="J209" i="6"/>
  <c r="I209" i="6"/>
  <c r="H209" i="6"/>
  <c r="G209" i="6"/>
  <c r="F209" i="6"/>
  <c r="E209" i="6"/>
  <c r="D209" i="6"/>
  <c r="C209" i="6"/>
  <c r="B209" i="6"/>
  <c r="AG208" i="6"/>
  <c r="AG207" i="6"/>
  <c r="AG206" i="6"/>
  <c r="AG205" i="6"/>
  <c r="AG204" i="6"/>
  <c r="AG203" i="6"/>
  <c r="AG202" i="6"/>
  <c r="AG201" i="6"/>
  <c r="AG200" i="6"/>
  <c r="AG199" i="6"/>
  <c r="AG198" i="6"/>
  <c r="AG197" i="6"/>
  <c r="AG196" i="6"/>
  <c r="AG195" i="6"/>
  <c r="AG194" i="6"/>
  <c r="AG193" i="6"/>
  <c r="AG192" i="6"/>
  <c r="AG191" i="6"/>
  <c r="AG190" i="6"/>
  <c r="AG189" i="6"/>
  <c r="AG188" i="6"/>
  <c r="AG187" i="6"/>
  <c r="AG186" i="6"/>
  <c r="AG185" i="6"/>
  <c r="AG184" i="6"/>
  <c r="AG183" i="6"/>
  <c r="AF182" i="6"/>
  <c r="AE182" i="6"/>
  <c r="AD182" i="6"/>
  <c r="AC18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D182" i="6"/>
  <c r="C182" i="6"/>
  <c r="B182" i="6"/>
  <c r="AG181" i="6"/>
  <c r="AG180" i="6"/>
  <c r="AG179" i="6"/>
  <c r="AG178" i="6"/>
  <c r="AF177" i="6"/>
  <c r="AE177" i="6"/>
  <c r="AD177" i="6"/>
  <c r="AC177" i="6"/>
  <c r="AB177" i="6"/>
  <c r="AA177" i="6"/>
  <c r="Z177" i="6"/>
  <c r="Y177" i="6"/>
  <c r="X177" i="6"/>
  <c r="W177" i="6"/>
  <c r="V177" i="6"/>
  <c r="U177" i="6"/>
  <c r="T177" i="6"/>
  <c r="S177" i="6"/>
  <c r="R177" i="6"/>
  <c r="Q177" i="6"/>
  <c r="P177" i="6"/>
  <c r="O177" i="6"/>
  <c r="N177" i="6"/>
  <c r="M177" i="6"/>
  <c r="L177" i="6"/>
  <c r="K177" i="6"/>
  <c r="J177" i="6"/>
  <c r="I177" i="6"/>
  <c r="H177" i="6"/>
  <c r="G177" i="6"/>
  <c r="F177" i="6"/>
  <c r="E177" i="6"/>
  <c r="D177" i="6"/>
  <c r="C177" i="6"/>
  <c r="B177" i="6"/>
  <c r="AG176" i="6"/>
  <c r="AG175" i="6"/>
  <c r="AG174" i="6"/>
  <c r="AF173" i="6"/>
  <c r="AE173" i="6"/>
  <c r="AD173" i="6"/>
  <c r="AC173" i="6"/>
  <c r="AB173" i="6"/>
  <c r="AA173" i="6"/>
  <c r="Z173" i="6"/>
  <c r="Y173" i="6"/>
  <c r="X173" i="6"/>
  <c r="W173" i="6"/>
  <c r="V173" i="6"/>
  <c r="U173" i="6"/>
  <c r="T173" i="6"/>
  <c r="S173" i="6"/>
  <c r="R173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D173" i="6"/>
  <c r="C173" i="6"/>
  <c r="B173" i="6"/>
  <c r="AG172" i="6"/>
  <c r="AG171" i="6"/>
  <c r="AG170" i="6"/>
  <c r="AG169" i="6"/>
  <c r="AG168" i="6"/>
  <c r="AF167" i="6"/>
  <c r="AE167" i="6"/>
  <c r="AD167" i="6"/>
  <c r="AC167" i="6"/>
  <c r="AB167" i="6"/>
  <c r="AA167" i="6"/>
  <c r="Z167" i="6"/>
  <c r="Y167" i="6"/>
  <c r="X167" i="6"/>
  <c r="W167" i="6"/>
  <c r="V167" i="6"/>
  <c r="U167" i="6"/>
  <c r="T167" i="6"/>
  <c r="S167" i="6"/>
  <c r="R167" i="6"/>
  <c r="Q167" i="6"/>
  <c r="P167" i="6"/>
  <c r="O167" i="6"/>
  <c r="N167" i="6"/>
  <c r="M167" i="6"/>
  <c r="L167" i="6"/>
  <c r="K167" i="6"/>
  <c r="J167" i="6"/>
  <c r="I167" i="6"/>
  <c r="H167" i="6"/>
  <c r="G167" i="6"/>
  <c r="F167" i="6"/>
  <c r="E167" i="6"/>
  <c r="D167" i="6"/>
  <c r="C167" i="6"/>
  <c r="B167" i="6"/>
  <c r="AG166" i="6"/>
  <c r="AG165" i="6"/>
  <c r="AG164" i="6"/>
  <c r="AG163" i="6"/>
  <c r="AG162" i="6"/>
  <c r="AG161" i="6"/>
  <c r="AG160" i="6"/>
  <c r="AG159" i="6"/>
  <c r="AF158" i="6"/>
  <c r="AE158" i="6"/>
  <c r="AD158" i="6"/>
  <c r="AC158" i="6"/>
  <c r="AB158" i="6"/>
  <c r="AA158" i="6"/>
  <c r="Z158" i="6"/>
  <c r="Y158" i="6"/>
  <c r="X158" i="6"/>
  <c r="W158" i="6"/>
  <c r="V158" i="6"/>
  <c r="U158" i="6"/>
  <c r="T158" i="6"/>
  <c r="S158" i="6"/>
  <c r="R158" i="6"/>
  <c r="Q158" i="6"/>
  <c r="P158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C158" i="6"/>
  <c r="B158" i="6"/>
  <c r="AG157" i="6"/>
  <c r="AG156" i="6"/>
  <c r="AG155" i="6"/>
  <c r="AG154" i="6"/>
  <c r="AG153" i="6"/>
  <c r="AG152" i="6"/>
  <c r="AG151" i="6"/>
  <c r="AG150" i="6"/>
  <c r="AG149" i="6"/>
  <c r="AF148" i="6"/>
  <c r="AF146" i="6" s="1"/>
  <c r="AE148" i="6"/>
  <c r="AE146" i="6" s="1"/>
  <c r="AD148" i="6"/>
  <c r="AD146" i="6" s="1"/>
  <c r="AC148" i="6"/>
  <c r="AC146" i="6" s="1"/>
  <c r="AC144" i="6" s="1"/>
  <c r="AB148" i="6"/>
  <c r="AA148" i="6"/>
  <c r="AA146" i="6" s="1"/>
  <c r="Z148" i="6"/>
  <c r="Z146" i="6" s="1"/>
  <c r="Y148" i="6"/>
  <c r="Y146" i="6" s="1"/>
  <c r="X148" i="6"/>
  <c r="W148" i="6"/>
  <c r="W146" i="6" s="1"/>
  <c r="V148" i="6"/>
  <c r="V146" i="6" s="1"/>
  <c r="U148" i="6"/>
  <c r="U146" i="6" s="1"/>
  <c r="T148" i="6"/>
  <c r="T146" i="6" s="1"/>
  <c r="S148" i="6"/>
  <c r="S146" i="6" s="1"/>
  <c r="R148" i="6"/>
  <c r="R146" i="6" s="1"/>
  <c r="Q148" i="6"/>
  <c r="Q146" i="6" s="1"/>
  <c r="P148" i="6"/>
  <c r="P146" i="6" s="1"/>
  <c r="O148" i="6"/>
  <c r="O146" i="6" s="1"/>
  <c r="N148" i="6"/>
  <c r="N146" i="6" s="1"/>
  <c r="M148" i="6"/>
  <c r="M146" i="6" s="1"/>
  <c r="L148" i="6"/>
  <c r="L146" i="6" s="1"/>
  <c r="L144" i="6" s="1"/>
  <c r="K148" i="6"/>
  <c r="K146" i="6" s="1"/>
  <c r="J148" i="6"/>
  <c r="J146" i="6" s="1"/>
  <c r="I148" i="6"/>
  <c r="I146" i="6" s="1"/>
  <c r="H148" i="6"/>
  <c r="H146" i="6" s="1"/>
  <c r="G148" i="6"/>
  <c r="G146" i="6" s="1"/>
  <c r="F148" i="6"/>
  <c r="F146" i="6" s="1"/>
  <c r="E148" i="6"/>
  <c r="E146" i="6" s="1"/>
  <c r="D148" i="6"/>
  <c r="D146" i="6" s="1"/>
  <c r="D144" i="6" s="1"/>
  <c r="C148" i="6"/>
  <c r="C146" i="6" s="1"/>
  <c r="B148" i="6"/>
  <c r="B146" i="6" s="1"/>
  <c r="AE147" i="6"/>
  <c r="AD147" i="6"/>
  <c r="AC147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C147" i="6"/>
  <c r="B147" i="6"/>
  <c r="AB146" i="6"/>
  <c r="AB144" i="6" s="1"/>
  <c r="X146" i="6"/>
  <c r="X144" i="6" s="1"/>
  <c r="AF145" i="6"/>
  <c r="AE145" i="6"/>
  <c r="AD145" i="6"/>
  <c r="AC145" i="6"/>
  <c r="AB145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C145" i="6"/>
  <c r="B145" i="6"/>
  <c r="AG143" i="6"/>
  <c r="T142" i="6"/>
  <c r="T130" i="6" s="1"/>
  <c r="D142" i="6"/>
  <c r="AG141" i="6"/>
  <c r="AG140" i="6"/>
  <c r="AG139" i="6"/>
  <c r="AG138" i="6"/>
  <c r="AG137" i="6"/>
  <c r="AG136" i="6"/>
  <c r="AG135" i="6"/>
  <c r="AD134" i="6"/>
  <c r="AD130" i="6" s="1"/>
  <c r="AG133" i="6"/>
  <c r="AG132" i="6"/>
  <c r="AG131" i="6"/>
  <c r="AF130" i="6"/>
  <c r="AE130" i="6"/>
  <c r="AC130" i="6"/>
  <c r="AB130" i="6"/>
  <c r="AA130" i="6"/>
  <c r="Z130" i="6"/>
  <c r="Y130" i="6"/>
  <c r="X130" i="6"/>
  <c r="W130" i="6"/>
  <c r="V130" i="6"/>
  <c r="U130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C130" i="6"/>
  <c r="B130" i="6"/>
  <c r="AG129" i="6"/>
  <c r="AG128" i="6"/>
  <c r="AG127" i="6"/>
  <c r="AG126" i="6"/>
  <c r="AG125" i="6"/>
  <c r="AG124" i="6"/>
  <c r="AG123" i="6"/>
  <c r="AG122" i="6"/>
  <c r="AG121" i="6"/>
  <c r="AG120" i="6"/>
  <c r="AG119" i="6"/>
  <c r="AG118" i="6"/>
  <c r="AG117" i="6"/>
  <c r="AF116" i="6"/>
  <c r="AE116" i="6"/>
  <c r="AD116" i="6"/>
  <c r="AC116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B116" i="6"/>
  <c r="AG115" i="6"/>
  <c r="AG114" i="6"/>
  <c r="AG113" i="6"/>
  <c r="AG112" i="6"/>
  <c r="AG111" i="6"/>
  <c r="AG110" i="6"/>
  <c r="AG109" i="6"/>
  <c r="AG108" i="6"/>
  <c r="AG107" i="6"/>
  <c r="AG106" i="6"/>
  <c r="AG105" i="6"/>
  <c r="AG104" i="6"/>
  <c r="AG103" i="6"/>
  <c r="AG102" i="6"/>
  <c r="AG101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AG99" i="6"/>
  <c r="AG98" i="6"/>
  <c r="AG97" i="6"/>
  <c r="AG96" i="6"/>
  <c r="AG95" i="6"/>
  <c r="AF94" i="6"/>
  <c r="AE94" i="6"/>
  <c r="AD94" i="6"/>
  <c r="AC94" i="6"/>
  <c r="AB94" i="6"/>
  <c r="AA94" i="6"/>
  <c r="Z94" i="6"/>
  <c r="Y94" i="6"/>
  <c r="Y93" i="6" s="1"/>
  <c r="X94" i="6"/>
  <c r="W94" i="6"/>
  <c r="V94" i="6"/>
  <c r="V93" i="6" s="1"/>
  <c r="U94" i="6"/>
  <c r="U93" i="6" s="1"/>
  <c r="T94" i="6"/>
  <c r="S94" i="6"/>
  <c r="R94" i="6"/>
  <c r="Q94" i="6"/>
  <c r="P94" i="6"/>
  <c r="O94" i="6"/>
  <c r="N94" i="6"/>
  <c r="N93" i="6" s="1"/>
  <c r="M94" i="6"/>
  <c r="M93" i="6" s="1"/>
  <c r="L94" i="6"/>
  <c r="K94" i="6"/>
  <c r="J94" i="6"/>
  <c r="I94" i="6"/>
  <c r="H94" i="6"/>
  <c r="G94" i="6"/>
  <c r="F94" i="6"/>
  <c r="F93" i="6" s="1"/>
  <c r="E94" i="6"/>
  <c r="E93" i="6" s="1"/>
  <c r="D94" i="6"/>
  <c r="C94" i="6"/>
  <c r="B94" i="6"/>
  <c r="AG92" i="6"/>
  <c r="AG91" i="6"/>
  <c r="AG90" i="6"/>
  <c r="AG89" i="6"/>
  <c r="AG88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AG86" i="6"/>
  <c r="AG85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AF82" i="6"/>
  <c r="AE82" i="6"/>
  <c r="AE83" i="6" s="1"/>
  <c r="AE81" i="6" s="1"/>
  <c r="AD82" i="6"/>
  <c r="AD83" i="6" s="1"/>
  <c r="AD81" i="6" s="1"/>
  <c r="AC82" i="6"/>
  <c r="AC83" i="6" s="1"/>
  <c r="AC81" i="6" s="1"/>
  <c r="AB82" i="6"/>
  <c r="AA82" i="6"/>
  <c r="AA83" i="6" s="1"/>
  <c r="AA81" i="6" s="1"/>
  <c r="Z82" i="6"/>
  <c r="Z83" i="6" s="1"/>
  <c r="Y82" i="6"/>
  <c r="Y83" i="6" s="1"/>
  <c r="X82" i="6"/>
  <c r="W82" i="6"/>
  <c r="W83" i="6" s="1"/>
  <c r="W81" i="6" s="1"/>
  <c r="V82" i="6"/>
  <c r="V83" i="6" s="1"/>
  <c r="V81" i="6" s="1"/>
  <c r="U82" i="6"/>
  <c r="T82" i="6"/>
  <c r="S82" i="6"/>
  <c r="S83" i="6" s="1"/>
  <c r="S81" i="6" s="1"/>
  <c r="R82" i="6"/>
  <c r="R83" i="6" s="1"/>
  <c r="R81" i="6" s="1"/>
  <c r="Q82" i="6"/>
  <c r="P82" i="6"/>
  <c r="O82" i="6"/>
  <c r="O83" i="6" s="1"/>
  <c r="O81" i="6" s="1"/>
  <c r="N82" i="6"/>
  <c r="N83" i="6" s="1"/>
  <c r="M82" i="6"/>
  <c r="M83" i="6" s="1"/>
  <c r="L82" i="6"/>
  <c r="K82" i="6"/>
  <c r="K83" i="6" s="1"/>
  <c r="K81" i="6" s="1"/>
  <c r="J82" i="6"/>
  <c r="I82" i="6"/>
  <c r="H82" i="6"/>
  <c r="G82" i="6"/>
  <c r="G83" i="6" s="1"/>
  <c r="G81" i="6" s="1"/>
  <c r="F82" i="6"/>
  <c r="E82" i="6"/>
  <c r="D82" i="6"/>
  <c r="C82" i="6"/>
  <c r="B82" i="6"/>
  <c r="B83" i="6" s="1"/>
  <c r="AF80" i="6"/>
  <c r="AC80" i="6"/>
  <c r="AC79" i="6" s="1"/>
  <c r="AC78" i="6" s="1"/>
  <c r="AB80" i="6"/>
  <c r="AB79" i="6" s="1"/>
  <c r="AB78" i="6" s="1"/>
  <c r="AA80" i="6"/>
  <c r="AA79" i="6" s="1"/>
  <c r="AA78" i="6" s="1"/>
  <c r="Y80" i="6"/>
  <c r="Y79" i="6" s="1"/>
  <c r="Y78" i="6" s="1"/>
  <c r="V80" i="6"/>
  <c r="V79" i="6" s="1"/>
  <c r="V78" i="6" s="1"/>
  <c r="U80" i="6"/>
  <c r="U79" i="6" s="1"/>
  <c r="U78" i="6" s="1"/>
  <c r="T80" i="6"/>
  <c r="T79" i="6" s="1"/>
  <c r="T78" i="6" s="1"/>
  <c r="S80" i="6"/>
  <c r="S79" i="6" s="1"/>
  <c r="S78" i="6" s="1"/>
  <c r="R80" i="6"/>
  <c r="R79" i="6" s="1"/>
  <c r="R78" i="6" s="1"/>
  <c r="O80" i="6"/>
  <c r="O79" i="6" s="1"/>
  <c r="O78" i="6" s="1"/>
  <c r="N80" i="6"/>
  <c r="N79" i="6" s="1"/>
  <c r="N78" i="6" s="1"/>
  <c r="M80" i="6"/>
  <c r="M79" i="6" s="1"/>
  <c r="M78" i="6" s="1"/>
  <c r="H80" i="6"/>
  <c r="H79" i="6" s="1"/>
  <c r="H78" i="6" s="1"/>
  <c r="G80" i="6"/>
  <c r="G79" i="6" s="1"/>
  <c r="G78" i="6" s="1"/>
  <c r="F80" i="6"/>
  <c r="F79" i="6" s="1"/>
  <c r="F78" i="6" s="1"/>
  <c r="AF79" i="6"/>
  <c r="AF78" i="6" s="1"/>
  <c r="AE79" i="6"/>
  <c r="AE78" i="6" s="1"/>
  <c r="AD79" i="6"/>
  <c r="AD78" i="6" s="1"/>
  <c r="Z79" i="6"/>
  <c r="Z78" i="6" s="1"/>
  <c r="X79" i="6"/>
  <c r="X78" i="6" s="1"/>
  <c r="W79" i="6"/>
  <c r="W78" i="6" s="1"/>
  <c r="Q79" i="6"/>
  <c r="Q78" i="6" s="1"/>
  <c r="P79" i="6"/>
  <c r="P78" i="6" s="1"/>
  <c r="L79" i="6"/>
  <c r="L78" i="6" s="1"/>
  <c r="K79" i="6"/>
  <c r="K78" i="6" s="1"/>
  <c r="J79" i="6"/>
  <c r="J78" i="6" s="1"/>
  <c r="I79" i="6"/>
  <c r="I78" i="6" s="1"/>
  <c r="E79" i="6"/>
  <c r="E78" i="6" s="1"/>
  <c r="D79" i="6"/>
  <c r="D78" i="6" s="1"/>
  <c r="C79" i="6"/>
  <c r="C78" i="6" s="1"/>
  <c r="B79" i="6"/>
  <c r="B78" i="6" s="1"/>
  <c r="AG77" i="6"/>
  <c r="AG76" i="6"/>
  <c r="AG75" i="6"/>
  <c r="AG74" i="6"/>
  <c r="AG73" i="6"/>
  <c r="AG72" i="6"/>
  <c r="AG71" i="6"/>
  <c r="AG70" i="6"/>
  <c r="AG69" i="6"/>
  <c r="AG68" i="6"/>
  <c r="AG67" i="6"/>
  <c r="AG66" i="6"/>
  <c r="AG65" i="6"/>
  <c r="AG64" i="6"/>
  <c r="AG63" i="6"/>
  <c r="AG62" i="6"/>
  <c r="AG61" i="6"/>
  <c r="AG60" i="6"/>
  <c r="AG59" i="6"/>
  <c r="AG58" i="6"/>
  <c r="AG57" i="6"/>
  <c r="AG56" i="6"/>
  <c r="AG55" i="6"/>
  <c r="AG54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G52" i="6"/>
  <c r="AG51" i="6"/>
  <c r="AG50" i="6"/>
  <c r="AG49" i="6"/>
  <c r="AG48" i="6"/>
  <c r="AG47" i="6"/>
  <c r="AG46" i="6"/>
  <c r="AG45" i="6"/>
  <c r="AG44" i="6"/>
  <c r="AG43" i="6"/>
  <c r="AG42" i="6"/>
  <c r="AG41" i="6"/>
  <c r="AG40" i="6"/>
  <c r="AG39" i="6"/>
  <c r="AG38" i="6"/>
  <c r="AG37" i="6"/>
  <c r="AG36" i="6"/>
  <c r="AG35" i="6"/>
  <c r="AG34" i="6"/>
  <c r="AG33" i="6"/>
  <c r="AG32" i="6"/>
  <c r="AG31" i="6"/>
  <c r="AG30" i="6"/>
  <c r="AG29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G27" i="6"/>
  <c r="AG26" i="6"/>
  <c r="AG25" i="6"/>
  <c r="AG24" i="6"/>
  <c r="AG23" i="6"/>
  <c r="AG22" i="6"/>
  <c r="AG21" i="6"/>
  <c r="AG20" i="6"/>
  <c r="AG19" i="6"/>
  <c r="AG18" i="6"/>
  <c r="AG17" i="6"/>
  <c r="AG16" i="6"/>
  <c r="AG15" i="6"/>
  <c r="AG14" i="6"/>
  <c r="AG13" i="6"/>
  <c r="AG12" i="6"/>
  <c r="AG11" i="6"/>
  <c r="AG10" i="6"/>
  <c r="AG9" i="6"/>
  <c r="AG8" i="6"/>
  <c r="AG7" i="6"/>
  <c r="AG6" i="6"/>
  <c r="AG5" i="6"/>
  <c r="AG4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C2" i="6"/>
  <c r="C2" i="6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G226" i="5"/>
  <c r="AG225" i="5"/>
  <c r="AG224" i="5"/>
  <c r="AF223" i="5"/>
  <c r="AE223" i="5"/>
  <c r="AD223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B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F209" i="5"/>
  <c r="AE209" i="5"/>
  <c r="AD209" i="5"/>
  <c r="AC209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B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AG181" i="5"/>
  <c r="AG180" i="5"/>
  <c r="AG179" i="5"/>
  <c r="AG178" i="5"/>
  <c r="AF177" i="5"/>
  <c r="AE177" i="5"/>
  <c r="AD177" i="5"/>
  <c r="AC177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AG176" i="5"/>
  <c r="AG175" i="5"/>
  <c r="AG174" i="5"/>
  <c r="AF173" i="5"/>
  <c r="AE173" i="5"/>
  <c r="AD173" i="5"/>
  <c r="AC173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AG172" i="5"/>
  <c r="AG171" i="5"/>
  <c r="AG170" i="5"/>
  <c r="AG169" i="5"/>
  <c r="AG168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AG166" i="5"/>
  <c r="AG165" i="5"/>
  <c r="AG164" i="5"/>
  <c r="AG163" i="5"/>
  <c r="AG162" i="5"/>
  <c r="AG161" i="5"/>
  <c r="AG160" i="5"/>
  <c r="AG159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AG157" i="5"/>
  <c r="AG156" i="5"/>
  <c r="AG155" i="5"/>
  <c r="AG154" i="5"/>
  <c r="AG153" i="5"/>
  <c r="AG152" i="5"/>
  <c r="AG151" i="5"/>
  <c r="AG150" i="5"/>
  <c r="AG149" i="5"/>
  <c r="AF148" i="5"/>
  <c r="AE148" i="5"/>
  <c r="AE146" i="5" s="1"/>
  <c r="AD148" i="5"/>
  <c r="AD146" i="5" s="1"/>
  <c r="AC148" i="5"/>
  <c r="AC146" i="5" s="1"/>
  <c r="AB148" i="5"/>
  <c r="AB146" i="5" s="1"/>
  <c r="AA148" i="5"/>
  <c r="AA146" i="5" s="1"/>
  <c r="Z148" i="5"/>
  <c r="Z146" i="5" s="1"/>
  <c r="Y148" i="5"/>
  <c r="Y146" i="5" s="1"/>
  <c r="X148" i="5"/>
  <c r="X146" i="5" s="1"/>
  <c r="W148" i="5"/>
  <c r="W146" i="5" s="1"/>
  <c r="V148" i="5"/>
  <c r="V146" i="5" s="1"/>
  <c r="V144" i="5" s="1"/>
  <c r="U148" i="5"/>
  <c r="U146" i="5" s="1"/>
  <c r="T148" i="5"/>
  <c r="S148" i="5"/>
  <c r="S146" i="5" s="1"/>
  <c r="R148" i="5"/>
  <c r="R146" i="5" s="1"/>
  <c r="Q148" i="5"/>
  <c r="Q146" i="5" s="1"/>
  <c r="P148" i="5"/>
  <c r="P146" i="5" s="1"/>
  <c r="O148" i="5"/>
  <c r="O146" i="5" s="1"/>
  <c r="N148" i="5"/>
  <c r="N146" i="5" s="1"/>
  <c r="M148" i="5"/>
  <c r="M146" i="5" s="1"/>
  <c r="L148" i="5"/>
  <c r="K148" i="5"/>
  <c r="K146" i="5" s="1"/>
  <c r="J148" i="5"/>
  <c r="J146" i="5" s="1"/>
  <c r="I148" i="5"/>
  <c r="I146" i="5" s="1"/>
  <c r="H148" i="5"/>
  <c r="G148" i="5"/>
  <c r="G146" i="5" s="1"/>
  <c r="F148" i="5"/>
  <c r="F146" i="5" s="1"/>
  <c r="E148" i="5"/>
  <c r="E146" i="5" s="1"/>
  <c r="D148" i="5"/>
  <c r="D146" i="5" s="1"/>
  <c r="C148" i="5"/>
  <c r="C146" i="5" s="1"/>
  <c r="B148" i="5"/>
  <c r="B146" i="5" s="1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AF146" i="5"/>
  <c r="AF144" i="5" s="1"/>
  <c r="T146" i="5"/>
  <c r="L146" i="5"/>
  <c r="H146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AG143" i="5"/>
  <c r="Y142" i="5"/>
  <c r="Y130" i="5" s="1"/>
  <c r="R142" i="5"/>
  <c r="AG141" i="5"/>
  <c r="AG140" i="5"/>
  <c r="AG139" i="5"/>
  <c r="AG138" i="5"/>
  <c r="N137" i="5"/>
  <c r="N130" i="5" s="1"/>
  <c r="AG136" i="5"/>
  <c r="AG135" i="5"/>
  <c r="W134" i="5"/>
  <c r="W130" i="5" s="1"/>
  <c r="T134" i="5"/>
  <c r="S134" i="5"/>
  <c r="S130" i="5" s="1"/>
  <c r="AG133" i="5"/>
  <c r="AG132" i="5"/>
  <c r="AG131" i="5"/>
  <c r="AF130" i="5"/>
  <c r="AE130" i="5"/>
  <c r="AD130" i="5"/>
  <c r="AC130" i="5"/>
  <c r="AB130" i="5"/>
  <c r="AA130" i="5"/>
  <c r="Z130" i="5"/>
  <c r="X130" i="5"/>
  <c r="V130" i="5"/>
  <c r="U130" i="5"/>
  <c r="T130" i="5"/>
  <c r="Q130" i="5"/>
  <c r="P130" i="5"/>
  <c r="O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O129" i="5"/>
  <c r="O116" i="5" s="1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F100" i="5"/>
  <c r="AE100" i="5"/>
  <c r="AD100" i="5"/>
  <c r="AC100" i="5"/>
  <c r="AB100" i="5"/>
  <c r="AA100" i="5"/>
  <c r="Z100" i="5"/>
  <c r="Y100" i="5"/>
  <c r="X100" i="5"/>
  <c r="W100" i="5"/>
  <c r="W93" i="5" s="1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G99" i="5"/>
  <c r="AG98" i="5"/>
  <c r="AG97" i="5"/>
  <c r="AG96" i="5"/>
  <c r="AG95" i="5"/>
  <c r="AF94" i="5"/>
  <c r="AE94" i="5"/>
  <c r="AD94" i="5"/>
  <c r="AC94" i="5"/>
  <c r="AB94" i="5"/>
  <c r="AB93" i="5" s="1"/>
  <c r="AA94" i="5"/>
  <c r="AA93" i="5" s="1"/>
  <c r="Z94" i="5"/>
  <c r="Y94" i="5"/>
  <c r="X94" i="5"/>
  <c r="W94" i="5"/>
  <c r="V94" i="5"/>
  <c r="U94" i="5"/>
  <c r="T94" i="5"/>
  <c r="T93" i="5" s="1"/>
  <c r="S94" i="5"/>
  <c r="S93" i="5" s="1"/>
  <c r="R94" i="5"/>
  <c r="R93" i="5" s="1"/>
  <c r="Q94" i="5"/>
  <c r="P94" i="5"/>
  <c r="O94" i="5"/>
  <c r="N94" i="5"/>
  <c r="M94" i="5"/>
  <c r="L94" i="5"/>
  <c r="K94" i="5"/>
  <c r="J94" i="5"/>
  <c r="I94" i="5"/>
  <c r="H94" i="5"/>
  <c r="G94" i="5"/>
  <c r="G93" i="5" s="1"/>
  <c r="F94" i="5"/>
  <c r="E94" i="5"/>
  <c r="D94" i="5"/>
  <c r="C94" i="5"/>
  <c r="B94" i="5"/>
  <c r="O93" i="5"/>
  <c r="AG92" i="5"/>
  <c r="AG91" i="5"/>
  <c r="AG90" i="5"/>
  <c r="AG89" i="5"/>
  <c r="AG88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G86" i="5"/>
  <c r="AG85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F82" i="5"/>
  <c r="AE82" i="5"/>
  <c r="AE83" i="5" s="1"/>
  <c r="AE81" i="5" s="1"/>
  <c r="AD82" i="5"/>
  <c r="AD83" i="5" s="1"/>
  <c r="AD81" i="5" s="1"/>
  <c r="AC82" i="5"/>
  <c r="AB82" i="5"/>
  <c r="AA82" i="5"/>
  <c r="AA83" i="5" s="1"/>
  <c r="AA81" i="5" s="1"/>
  <c r="Z82" i="5"/>
  <c r="Z83" i="5" s="1"/>
  <c r="Y82" i="5"/>
  <c r="Y83" i="5" s="1"/>
  <c r="Y81" i="5" s="1"/>
  <c r="X82" i="5"/>
  <c r="X83" i="5" s="1"/>
  <c r="W82" i="5"/>
  <c r="W83" i="5" s="1"/>
  <c r="W81" i="5" s="1"/>
  <c r="V82" i="5"/>
  <c r="V83" i="5" s="1"/>
  <c r="V81" i="5" s="1"/>
  <c r="U82" i="5"/>
  <c r="T82" i="5"/>
  <c r="S82" i="5"/>
  <c r="S83" i="5" s="1"/>
  <c r="S81" i="5" s="1"/>
  <c r="R82" i="5"/>
  <c r="R83" i="5" s="1"/>
  <c r="Q82" i="5"/>
  <c r="Q83" i="5" s="1"/>
  <c r="Q81" i="5" s="1"/>
  <c r="P82" i="5"/>
  <c r="P83" i="5" s="1"/>
  <c r="O82" i="5"/>
  <c r="O83" i="5" s="1"/>
  <c r="O81" i="5" s="1"/>
  <c r="N82" i="5"/>
  <c r="N83" i="5" s="1"/>
  <c r="N81" i="5" s="1"/>
  <c r="M82" i="5"/>
  <c r="L82" i="5"/>
  <c r="K82" i="5"/>
  <c r="K83" i="5" s="1"/>
  <c r="K81" i="5" s="1"/>
  <c r="J82" i="5"/>
  <c r="J83" i="5" s="1"/>
  <c r="I82" i="5"/>
  <c r="I83" i="5" s="1"/>
  <c r="I81" i="5" s="1"/>
  <c r="H82" i="5"/>
  <c r="H83" i="5" s="1"/>
  <c r="G82" i="5"/>
  <c r="G83" i="5" s="1"/>
  <c r="G81" i="5" s="1"/>
  <c r="F82" i="5"/>
  <c r="F83" i="5" s="1"/>
  <c r="F81" i="5" s="1"/>
  <c r="E82" i="5"/>
  <c r="D82" i="5"/>
  <c r="C82" i="5"/>
  <c r="C83" i="5" s="1"/>
  <c r="C81" i="5" s="1"/>
  <c r="B82" i="5"/>
  <c r="B83" i="5" s="1"/>
  <c r="AF80" i="5"/>
  <c r="AF79" i="5" s="1"/>
  <c r="AF78" i="5" s="1"/>
  <c r="AC80" i="5"/>
  <c r="AC79" i="5" s="1"/>
  <c r="AC78" i="5" s="1"/>
  <c r="AB80" i="5"/>
  <c r="AB79" i="5" s="1"/>
  <c r="AB78" i="5" s="1"/>
  <c r="AA80" i="5"/>
  <c r="Y80" i="5"/>
  <c r="V80" i="5"/>
  <c r="V79" i="5" s="1"/>
  <c r="V78" i="5" s="1"/>
  <c r="U80" i="5"/>
  <c r="U79" i="5" s="1"/>
  <c r="U78" i="5" s="1"/>
  <c r="T80" i="5"/>
  <c r="T79" i="5" s="1"/>
  <c r="T78" i="5" s="1"/>
  <c r="S80" i="5"/>
  <c r="R80" i="5"/>
  <c r="R79" i="5" s="1"/>
  <c r="R78" i="5" s="1"/>
  <c r="O80" i="5"/>
  <c r="O79" i="5" s="1"/>
  <c r="O78" i="5" s="1"/>
  <c r="N80" i="5"/>
  <c r="N79" i="5" s="1"/>
  <c r="N78" i="5" s="1"/>
  <c r="M80" i="5"/>
  <c r="M79" i="5" s="1"/>
  <c r="M78" i="5" s="1"/>
  <c r="H80" i="5"/>
  <c r="G80" i="5"/>
  <c r="G79" i="5" s="1"/>
  <c r="G78" i="5" s="1"/>
  <c r="F80" i="5"/>
  <c r="F79" i="5" s="1"/>
  <c r="F78" i="5" s="1"/>
  <c r="AE79" i="5"/>
  <c r="AE78" i="5" s="1"/>
  <c r="AD79" i="5"/>
  <c r="AD78" i="5" s="1"/>
  <c r="AA79" i="5"/>
  <c r="AA78" i="5" s="1"/>
  <c r="Z79" i="5"/>
  <c r="Z78" i="5" s="1"/>
  <c r="Y79" i="5"/>
  <c r="Y78" i="5" s="1"/>
  <c r="X79" i="5"/>
  <c r="X78" i="5" s="1"/>
  <c r="W79" i="5"/>
  <c r="W78" i="5" s="1"/>
  <c r="S79" i="5"/>
  <c r="S78" i="5" s="1"/>
  <c r="Q79" i="5"/>
  <c r="Q78" i="5" s="1"/>
  <c r="P79" i="5"/>
  <c r="P78" i="5" s="1"/>
  <c r="L79" i="5"/>
  <c r="L78" i="5" s="1"/>
  <c r="K79" i="5"/>
  <c r="K78" i="5" s="1"/>
  <c r="J79" i="5"/>
  <c r="J78" i="5" s="1"/>
  <c r="I79" i="5"/>
  <c r="I78" i="5" s="1"/>
  <c r="H79" i="5"/>
  <c r="H78" i="5" s="1"/>
  <c r="E79" i="5"/>
  <c r="E78" i="5" s="1"/>
  <c r="D79" i="5"/>
  <c r="D78" i="5" s="1"/>
  <c r="C79" i="5"/>
  <c r="C78" i="5" s="1"/>
  <c r="B79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G52" i="5"/>
  <c r="AG51" i="5"/>
  <c r="AG50" i="5"/>
  <c r="AG49" i="5"/>
  <c r="AG48" i="5"/>
  <c r="AG47" i="5"/>
  <c r="AG46" i="5"/>
  <c r="AG45" i="5"/>
  <c r="AG44" i="5"/>
  <c r="AG43" i="5"/>
  <c r="AG42" i="5"/>
  <c r="AG41" i="5"/>
  <c r="AG40" i="5"/>
  <c r="AG39" i="5"/>
  <c r="AG38" i="5"/>
  <c r="AG37" i="5"/>
  <c r="AG36" i="5"/>
  <c r="AG35" i="5"/>
  <c r="AG34" i="5"/>
  <c r="AG33" i="5"/>
  <c r="AG32" i="5"/>
  <c r="AG31" i="5"/>
  <c r="AG30" i="5"/>
  <c r="AG29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G8" i="5"/>
  <c r="AG7" i="5"/>
  <c r="AG6" i="5"/>
  <c r="AG5" i="5"/>
  <c r="AG4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C2" i="5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G226" i="4"/>
  <c r="AG225" i="4"/>
  <c r="AG224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AG222" i="4"/>
  <c r="AG221" i="4"/>
  <c r="AG220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AG218" i="4"/>
  <c r="AG217" i="4"/>
  <c r="AG216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AG214" i="4"/>
  <c r="AG213" i="4"/>
  <c r="AG212" i="4"/>
  <c r="AG211" i="4"/>
  <c r="AG210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AG208" i="4"/>
  <c r="AG207" i="4"/>
  <c r="AG206" i="4"/>
  <c r="AG205" i="4"/>
  <c r="AG204" i="4"/>
  <c r="AG203" i="4"/>
  <c r="AG202" i="4"/>
  <c r="AG201" i="4"/>
  <c r="AG200" i="4"/>
  <c r="AG199" i="4"/>
  <c r="AG198" i="4"/>
  <c r="AG197" i="4"/>
  <c r="AG196" i="4"/>
  <c r="AG195" i="4"/>
  <c r="AG194" i="4"/>
  <c r="AG193" i="4"/>
  <c r="AG192" i="4"/>
  <c r="AG191" i="4"/>
  <c r="AG190" i="4"/>
  <c r="AG189" i="4"/>
  <c r="AG188" i="4"/>
  <c r="AG187" i="4"/>
  <c r="AG186" i="4"/>
  <c r="AG185" i="4"/>
  <c r="AG184" i="4"/>
  <c r="AG183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AG181" i="4"/>
  <c r="AG180" i="4"/>
  <c r="AG179" i="4"/>
  <c r="AG178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AG176" i="4"/>
  <c r="AG175" i="4"/>
  <c r="AG174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AG172" i="4"/>
  <c r="AG171" i="4"/>
  <c r="AG170" i="4"/>
  <c r="AG169" i="4"/>
  <c r="AG168" i="4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G166" i="4"/>
  <c r="AG165" i="4"/>
  <c r="AG164" i="4"/>
  <c r="AG163" i="4"/>
  <c r="AG162" i="4"/>
  <c r="AG161" i="4"/>
  <c r="AG160" i="4"/>
  <c r="AG159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G157" i="4"/>
  <c r="AG156" i="4"/>
  <c r="AG155" i="4"/>
  <c r="AG154" i="4"/>
  <c r="AG153" i="4"/>
  <c r="AG152" i="4"/>
  <c r="AG151" i="4"/>
  <c r="AG150" i="4"/>
  <c r="AG149" i="4"/>
  <c r="AF148" i="4"/>
  <c r="AF146" i="4" s="1"/>
  <c r="AE148" i="4"/>
  <c r="AE146" i="4" s="1"/>
  <c r="AD148" i="4"/>
  <c r="AD146" i="4" s="1"/>
  <c r="AD144" i="4" s="1"/>
  <c r="AC148" i="4"/>
  <c r="AC146" i="4" s="1"/>
  <c r="AB148" i="4"/>
  <c r="AB146" i="4" s="1"/>
  <c r="AA148" i="4"/>
  <c r="AA146" i="4" s="1"/>
  <c r="Z148" i="4"/>
  <c r="Z146" i="4" s="1"/>
  <c r="Y148" i="4"/>
  <c r="Y146" i="4" s="1"/>
  <c r="X148" i="4"/>
  <c r="X146" i="4" s="1"/>
  <c r="W148" i="4"/>
  <c r="W146" i="4" s="1"/>
  <c r="W144" i="4" s="1"/>
  <c r="V148" i="4"/>
  <c r="V146" i="4" s="1"/>
  <c r="U148" i="4"/>
  <c r="U146" i="4" s="1"/>
  <c r="T148" i="4"/>
  <c r="T146" i="4" s="1"/>
  <c r="S148" i="4"/>
  <c r="S146" i="4" s="1"/>
  <c r="S144" i="4" s="1"/>
  <c r="R148" i="4"/>
  <c r="R146" i="4" s="1"/>
  <c r="Q148" i="4"/>
  <c r="Q146" i="4" s="1"/>
  <c r="P148" i="4"/>
  <c r="P146" i="4" s="1"/>
  <c r="O148" i="4"/>
  <c r="O146" i="4" s="1"/>
  <c r="N148" i="4"/>
  <c r="N146" i="4" s="1"/>
  <c r="M148" i="4"/>
  <c r="M146" i="4" s="1"/>
  <c r="L148" i="4"/>
  <c r="L146" i="4" s="1"/>
  <c r="K148" i="4"/>
  <c r="K146" i="4" s="1"/>
  <c r="J148" i="4"/>
  <c r="I148" i="4"/>
  <c r="I146" i="4" s="1"/>
  <c r="H148" i="4"/>
  <c r="H146" i="4" s="1"/>
  <c r="G148" i="4"/>
  <c r="G146" i="4" s="1"/>
  <c r="F148" i="4"/>
  <c r="F146" i="4" s="1"/>
  <c r="F144" i="4" s="1"/>
  <c r="E148" i="4"/>
  <c r="E146" i="4" s="1"/>
  <c r="D148" i="4"/>
  <c r="D146" i="4" s="1"/>
  <c r="C148" i="4"/>
  <c r="C146" i="4" s="1"/>
  <c r="C144" i="4" s="1"/>
  <c r="B148" i="4"/>
  <c r="B146" i="4" s="1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J146" i="4"/>
  <c r="J144" i="4" s="1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AG143" i="4"/>
  <c r="B142" i="4"/>
  <c r="AG142" i="4" s="1"/>
  <c r="AG141" i="4"/>
  <c r="AG140" i="4"/>
  <c r="AG139" i="4"/>
  <c r="AG138" i="4"/>
  <c r="AG137" i="4"/>
  <c r="AG136" i="4"/>
  <c r="AG135" i="4"/>
  <c r="AG134" i="4"/>
  <c r="AG133" i="4"/>
  <c r="AG132" i="4"/>
  <c r="AG131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G99" i="4"/>
  <c r="AG98" i="4"/>
  <c r="AG97" i="4"/>
  <c r="AG96" i="4"/>
  <c r="AG95" i="4"/>
  <c r="AF94" i="4"/>
  <c r="AE94" i="4"/>
  <c r="AD94" i="4"/>
  <c r="AD93" i="4" s="1"/>
  <c r="AC94" i="4"/>
  <c r="AB94" i="4"/>
  <c r="AB93" i="4" s="1"/>
  <c r="AA94" i="4"/>
  <c r="Z94" i="4"/>
  <c r="Y94" i="4"/>
  <c r="X94" i="4"/>
  <c r="W94" i="4"/>
  <c r="V94" i="4"/>
  <c r="V93" i="4" s="1"/>
  <c r="U94" i="4"/>
  <c r="T94" i="4"/>
  <c r="T93" i="4" s="1"/>
  <c r="S94" i="4"/>
  <c r="S93" i="4" s="1"/>
  <c r="R94" i="4"/>
  <c r="R93" i="4" s="1"/>
  <c r="Q94" i="4"/>
  <c r="P94" i="4"/>
  <c r="O94" i="4"/>
  <c r="N94" i="4"/>
  <c r="N93" i="4" s="1"/>
  <c r="M94" i="4"/>
  <c r="L94" i="4"/>
  <c r="K94" i="4"/>
  <c r="J94" i="4"/>
  <c r="J93" i="4" s="1"/>
  <c r="I94" i="4"/>
  <c r="H94" i="4"/>
  <c r="G94" i="4"/>
  <c r="F94" i="4"/>
  <c r="E94" i="4"/>
  <c r="D94" i="4"/>
  <c r="C94" i="4"/>
  <c r="B94" i="4"/>
  <c r="AG92" i="4"/>
  <c r="AG91" i="4"/>
  <c r="AG90" i="4"/>
  <c r="AG89" i="4"/>
  <c r="AG88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G86" i="4"/>
  <c r="AG85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F82" i="4"/>
  <c r="AE82" i="4"/>
  <c r="AE83" i="4" s="1"/>
  <c r="AE81" i="4" s="1"/>
  <c r="AD82" i="4"/>
  <c r="AD83" i="4" s="1"/>
  <c r="AD81" i="4" s="1"/>
  <c r="AC82" i="4"/>
  <c r="AB82" i="4"/>
  <c r="AA82" i="4"/>
  <c r="AA83" i="4" s="1"/>
  <c r="AA81" i="4" s="1"/>
  <c r="Z82" i="4"/>
  <c r="Z83" i="4" s="1"/>
  <c r="Y82" i="4"/>
  <c r="X82" i="4"/>
  <c r="W82" i="4"/>
  <c r="W83" i="4" s="1"/>
  <c r="W81" i="4" s="1"/>
  <c r="V82" i="4"/>
  <c r="V83" i="4" s="1"/>
  <c r="V81" i="4" s="1"/>
  <c r="U82" i="4"/>
  <c r="T82" i="4"/>
  <c r="S82" i="4"/>
  <c r="S83" i="4" s="1"/>
  <c r="S81" i="4" s="1"/>
  <c r="R82" i="4"/>
  <c r="R83" i="4" s="1"/>
  <c r="Q82" i="4"/>
  <c r="Q83" i="4" s="1"/>
  <c r="Q81" i="4" s="1"/>
  <c r="P82" i="4"/>
  <c r="P83" i="4" s="1"/>
  <c r="O82" i="4"/>
  <c r="O83" i="4" s="1"/>
  <c r="O81" i="4" s="1"/>
  <c r="N82" i="4"/>
  <c r="N83" i="4" s="1"/>
  <c r="N81" i="4" s="1"/>
  <c r="M82" i="4"/>
  <c r="L82" i="4"/>
  <c r="K82" i="4"/>
  <c r="K83" i="4" s="1"/>
  <c r="K81" i="4" s="1"/>
  <c r="J82" i="4"/>
  <c r="J83" i="4" s="1"/>
  <c r="I82" i="4"/>
  <c r="H82" i="4"/>
  <c r="G82" i="4"/>
  <c r="G83" i="4" s="1"/>
  <c r="G81" i="4" s="1"/>
  <c r="F82" i="4"/>
  <c r="F83" i="4" s="1"/>
  <c r="F81" i="4" s="1"/>
  <c r="E82" i="4"/>
  <c r="D82" i="4"/>
  <c r="C82" i="4"/>
  <c r="C83" i="4" s="1"/>
  <c r="C81" i="4" s="1"/>
  <c r="B82" i="4"/>
  <c r="B83" i="4" s="1"/>
  <c r="AF80" i="4"/>
  <c r="AF79" i="4" s="1"/>
  <c r="AF78" i="4" s="1"/>
  <c r="AC80" i="4"/>
  <c r="AC79" i="4" s="1"/>
  <c r="AC78" i="4" s="1"/>
  <c r="AB80" i="4"/>
  <c r="AB79" i="4" s="1"/>
  <c r="AB78" i="4" s="1"/>
  <c r="AA80" i="4"/>
  <c r="Y80" i="4"/>
  <c r="V80" i="4"/>
  <c r="V79" i="4" s="1"/>
  <c r="V78" i="4" s="1"/>
  <c r="U80" i="4"/>
  <c r="U79" i="4" s="1"/>
  <c r="U78" i="4" s="1"/>
  <c r="T80" i="4"/>
  <c r="T79" i="4" s="1"/>
  <c r="T78" i="4" s="1"/>
  <c r="S80" i="4"/>
  <c r="R80" i="4"/>
  <c r="O80" i="4"/>
  <c r="O79" i="4" s="1"/>
  <c r="O78" i="4" s="1"/>
  <c r="N80" i="4"/>
  <c r="N79" i="4" s="1"/>
  <c r="N78" i="4" s="1"/>
  <c r="M80" i="4"/>
  <c r="M79" i="4" s="1"/>
  <c r="M78" i="4" s="1"/>
  <c r="H80" i="4"/>
  <c r="G80" i="4"/>
  <c r="G79" i="4" s="1"/>
  <c r="G78" i="4" s="1"/>
  <c r="F80" i="4"/>
  <c r="F79" i="4" s="1"/>
  <c r="F78" i="4" s="1"/>
  <c r="AE79" i="4"/>
  <c r="AE78" i="4" s="1"/>
  <c r="AD79" i="4"/>
  <c r="AD78" i="4" s="1"/>
  <c r="AA79" i="4"/>
  <c r="AA78" i="4" s="1"/>
  <c r="Z79" i="4"/>
  <c r="Z78" i="4" s="1"/>
  <c r="Y79" i="4"/>
  <c r="Y78" i="4" s="1"/>
  <c r="X79" i="4"/>
  <c r="X78" i="4" s="1"/>
  <c r="W79" i="4"/>
  <c r="W78" i="4" s="1"/>
  <c r="S79" i="4"/>
  <c r="S78" i="4" s="1"/>
  <c r="R79" i="4"/>
  <c r="R78" i="4" s="1"/>
  <c r="Q79" i="4"/>
  <c r="Q78" i="4" s="1"/>
  <c r="P79" i="4"/>
  <c r="P78" i="4" s="1"/>
  <c r="L79" i="4"/>
  <c r="L78" i="4" s="1"/>
  <c r="K79" i="4"/>
  <c r="K78" i="4" s="1"/>
  <c r="J79" i="4"/>
  <c r="J78" i="4" s="1"/>
  <c r="I79" i="4"/>
  <c r="I78" i="4" s="1"/>
  <c r="H79" i="4"/>
  <c r="H78" i="4" s="1"/>
  <c r="E79" i="4"/>
  <c r="E78" i="4" s="1"/>
  <c r="D79" i="4"/>
  <c r="D78" i="4" s="1"/>
  <c r="C79" i="4"/>
  <c r="C78" i="4" s="1"/>
  <c r="B79" i="4"/>
  <c r="AG77" i="4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G6" i="4"/>
  <c r="AG5" i="4"/>
  <c r="AG4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C2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G226" i="3"/>
  <c r="AG225" i="3"/>
  <c r="AG224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AG222" i="3"/>
  <c r="AG221" i="3"/>
  <c r="AG220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AG218" i="3"/>
  <c r="AG217" i="3"/>
  <c r="AG216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AG214" i="3"/>
  <c r="AG213" i="3"/>
  <c r="AG212" i="3"/>
  <c r="AG211" i="3"/>
  <c r="AG210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AG208" i="3"/>
  <c r="AG207" i="3"/>
  <c r="AG206" i="3"/>
  <c r="AG205" i="3"/>
  <c r="AG204" i="3"/>
  <c r="AG203" i="3"/>
  <c r="AG202" i="3"/>
  <c r="AG201" i="3"/>
  <c r="AG200" i="3"/>
  <c r="AG199" i="3"/>
  <c r="AG198" i="3"/>
  <c r="AG197" i="3"/>
  <c r="AG196" i="3"/>
  <c r="AG195" i="3"/>
  <c r="AG194" i="3"/>
  <c r="AG193" i="3"/>
  <c r="AG192" i="3"/>
  <c r="AG191" i="3"/>
  <c r="AG190" i="3"/>
  <c r="AG189" i="3"/>
  <c r="AG188" i="3"/>
  <c r="AG187" i="3"/>
  <c r="AG186" i="3"/>
  <c r="AG185" i="3"/>
  <c r="AG184" i="3"/>
  <c r="AG183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AG181" i="3"/>
  <c r="AG180" i="3"/>
  <c r="AG179" i="3"/>
  <c r="AG178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AG176" i="3"/>
  <c r="AG175" i="3"/>
  <c r="AG174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AG172" i="3"/>
  <c r="AG171" i="3"/>
  <c r="AG170" i="3"/>
  <c r="AG169" i="3"/>
  <c r="AG168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AG166" i="3"/>
  <c r="AG165" i="3"/>
  <c r="AG164" i="3"/>
  <c r="AG163" i="3"/>
  <c r="AG162" i="3"/>
  <c r="AG161" i="3"/>
  <c r="AG160" i="3"/>
  <c r="AG159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G157" i="3"/>
  <c r="AG156" i="3"/>
  <c r="AG155" i="3"/>
  <c r="AG154" i="3"/>
  <c r="AG153" i="3"/>
  <c r="AG152" i="3"/>
  <c r="AG151" i="3"/>
  <c r="AG150" i="3"/>
  <c r="AG149" i="3"/>
  <c r="AF148" i="3"/>
  <c r="AE148" i="3"/>
  <c r="AE146" i="3" s="1"/>
  <c r="AD148" i="3"/>
  <c r="AD146" i="3" s="1"/>
  <c r="AC148" i="3"/>
  <c r="AC146" i="3" s="1"/>
  <c r="AB148" i="3"/>
  <c r="AB146" i="3" s="1"/>
  <c r="AA148" i="3"/>
  <c r="AA146" i="3" s="1"/>
  <c r="Z148" i="3"/>
  <c r="Z146" i="3" s="1"/>
  <c r="Z144" i="3" s="1"/>
  <c r="Y148" i="3"/>
  <c r="Y146" i="3" s="1"/>
  <c r="Y144" i="3" s="1"/>
  <c r="X148" i="3"/>
  <c r="W148" i="3"/>
  <c r="W146" i="3" s="1"/>
  <c r="V148" i="3"/>
  <c r="V146" i="3" s="1"/>
  <c r="V144" i="3" s="1"/>
  <c r="U148" i="3"/>
  <c r="U146" i="3" s="1"/>
  <c r="U144" i="3" s="1"/>
  <c r="T148" i="3"/>
  <c r="S148" i="3"/>
  <c r="S146" i="3" s="1"/>
  <c r="R148" i="3"/>
  <c r="R146" i="3" s="1"/>
  <c r="R144" i="3" s="1"/>
  <c r="Q148" i="3"/>
  <c r="Q146" i="3" s="1"/>
  <c r="P148" i="3"/>
  <c r="O148" i="3"/>
  <c r="O146" i="3" s="1"/>
  <c r="N148" i="3"/>
  <c r="N146" i="3" s="1"/>
  <c r="N144" i="3" s="1"/>
  <c r="M148" i="3"/>
  <c r="M146" i="3" s="1"/>
  <c r="L148" i="3"/>
  <c r="K148" i="3"/>
  <c r="K146" i="3" s="1"/>
  <c r="J148" i="3"/>
  <c r="J146" i="3" s="1"/>
  <c r="I148" i="3"/>
  <c r="I146" i="3" s="1"/>
  <c r="H148" i="3"/>
  <c r="H146" i="3" s="1"/>
  <c r="G148" i="3"/>
  <c r="G146" i="3" s="1"/>
  <c r="F148" i="3"/>
  <c r="F146" i="3" s="1"/>
  <c r="E148" i="3"/>
  <c r="E146" i="3" s="1"/>
  <c r="E144" i="3" s="1"/>
  <c r="D148" i="3"/>
  <c r="C148" i="3"/>
  <c r="C146" i="3" s="1"/>
  <c r="B148" i="3"/>
  <c r="B146" i="3" s="1"/>
  <c r="B144" i="3" s="1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F146" i="3"/>
  <c r="AF144" i="3" s="1"/>
  <c r="X146" i="3"/>
  <c r="T146" i="3"/>
  <c r="P146" i="3"/>
  <c r="L146" i="3"/>
  <c r="D146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AF143" i="3"/>
  <c r="AE143" i="3"/>
  <c r="AB143" i="3"/>
  <c r="Y143" i="3"/>
  <c r="W143" i="3"/>
  <c r="V143" i="3"/>
  <c r="V130" i="3" s="1"/>
  <c r="U143" i="3"/>
  <c r="AF142" i="3"/>
  <c r="AE142" i="3"/>
  <c r="AB142" i="3"/>
  <c r="Y142" i="3"/>
  <c r="X142" i="3"/>
  <c r="W142" i="3"/>
  <c r="L142" i="3"/>
  <c r="L130" i="3" s="1"/>
  <c r="D142" i="3"/>
  <c r="AG141" i="3"/>
  <c r="AG140" i="3"/>
  <c r="Y139" i="3"/>
  <c r="AG139" i="3" s="1"/>
  <c r="AG138" i="3"/>
  <c r="Y137" i="3"/>
  <c r="W137" i="3"/>
  <c r="AG136" i="3"/>
  <c r="AG135" i="3"/>
  <c r="AF134" i="3"/>
  <c r="AE134" i="3"/>
  <c r="AB134" i="3"/>
  <c r="AA134" i="3"/>
  <c r="AA130" i="3" s="1"/>
  <c r="Z134" i="3"/>
  <c r="Z130" i="3" s="1"/>
  <c r="Y134" i="3"/>
  <c r="X134" i="3"/>
  <c r="U134" i="3"/>
  <c r="T134" i="3"/>
  <c r="T130" i="3" s="1"/>
  <c r="I134" i="3"/>
  <c r="I130" i="3" s="1"/>
  <c r="F134" i="3"/>
  <c r="F130" i="3" s="1"/>
  <c r="D134" i="3"/>
  <c r="D130" i="3" s="1"/>
  <c r="AG133" i="3"/>
  <c r="AG132" i="3"/>
  <c r="AG131" i="3"/>
  <c r="AD130" i="3"/>
  <c r="AC130" i="3"/>
  <c r="S130" i="3"/>
  <c r="R130" i="3"/>
  <c r="Q130" i="3"/>
  <c r="P130" i="3"/>
  <c r="O130" i="3"/>
  <c r="N130" i="3"/>
  <c r="M130" i="3"/>
  <c r="K130" i="3"/>
  <c r="J130" i="3"/>
  <c r="H130" i="3"/>
  <c r="G130" i="3"/>
  <c r="E130" i="3"/>
  <c r="C130" i="3"/>
  <c r="B130" i="3"/>
  <c r="S129" i="3"/>
  <c r="K129" i="3"/>
  <c r="K116" i="3" s="1"/>
  <c r="AG128" i="3"/>
  <c r="AG127" i="3"/>
  <c r="AG126" i="3"/>
  <c r="AG125" i="3"/>
  <c r="AG124" i="3"/>
  <c r="AG123" i="3"/>
  <c r="AG122" i="3"/>
  <c r="AG121" i="3"/>
  <c r="AG120" i="3"/>
  <c r="AG119" i="3"/>
  <c r="AG118" i="3"/>
  <c r="AG117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R116" i="3"/>
  <c r="Q116" i="3"/>
  <c r="P116" i="3"/>
  <c r="O116" i="3"/>
  <c r="N116" i="3"/>
  <c r="M116" i="3"/>
  <c r="L116" i="3"/>
  <c r="J116" i="3"/>
  <c r="I116" i="3"/>
  <c r="H116" i="3"/>
  <c r="G116" i="3"/>
  <c r="F116" i="3"/>
  <c r="E116" i="3"/>
  <c r="D116" i="3"/>
  <c r="C116" i="3"/>
  <c r="B116" i="3"/>
  <c r="AG115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2" i="3"/>
  <c r="AG101" i="3"/>
  <c r="AF100" i="3"/>
  <c r="AE100" i="3"/>
  <c r="AD100" i="3"/>
  <c r="AC100" i="3"/>
  <c r="AB100" i="3"/>
  <c r="AA100" i="3"/>
  <c r="Z100" i="3"/>
  <c r="Y100" i="3"/>
  <c r="X100" i="3"/>
  <c r="W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G99" i="3"/>
  <c r="AG98" i="3"/>
  <c r="AG97" i="3"/>
  <c r="AG96" i="3"/>
  <c r="AG95" i="3"/>
  <c r="AF94" i="3"/>
  <c r="AE94" i="3"/>
  <c r="AD94" i="3"/>
  <c r="AC94" i="3"/>
  <c r="AB94" i="3"/>
  <c r="AA94" i="3"/>
  <c r="Z94" i="3"/>
  <c r="Y94" i="3"/>
  <c r="X94" i="3"/>
  <c r="W94" i="3"/>
  <c r="U94" i="3"/>
  <c r="T94" i="3"/>
  <c r="S94" i="3"/>
  <c r="R94" i="3"/>
  <c r="Q94" i="3"/>
  <c r="P94" i="3"/>
  <c r="O94" i="3"/>
  <c r="N94" i="3"/>
  <c r="N93" i="3" s="1"/>
  <c r="M94" i="3"/>
  <c r="M93" i="3" s="1"/>
  <c r="L94" i="3"/>
  <c r="K94" i="3"/>
  <c r="J94" i="3"/>
  <c r="I94" i="3"/>
  <c r="H94" i="3"/>
  <c r="G94" i="3"/>
  <c r="F94" i="3"/>
  <c r="E94" i="3"/>
  <c r="D94" i="3"/>
  <c r="C94" i="3"/>
  <c r="B94" i="3"/>
  <c r="H93" i="3"/>
  <c r="AG92" i="3"/>
  <c r="AG91" i="3"/>
  <c r="AG90" i="3"/>
  <c r="AG89" i="3"/>
  <c r="AG88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G86" i="3"/>
  <c r="AG85" i="3"/>
  <c r="AF84" i="3"/>
  <c r="AE84" i="3"/>
  <c r="AD84" i="3"/>
  <c r="AC84" i="3"/>
  <c r="AB84" i="3"/>
  <c r="AA84" i="3"/>
  <c r="Z84" i="3"/>
  <c r="Y84" i="3"/>
  <c r="X84" i="3"/>
  <c r="W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F82" i="3"/>
  <c r="AE82" i="3"/>
  <c r="AD82" i="3"/>
  <c r="AD83" i="3" s="1"/>
  <c r="AB82" i="3"/>
  <c r="AB83" i="3" s="1"/>
  <c r="AB81" i="3" s="1"/>
  <c r="AA82" i="3"/>
  <c r="AA83" i="3" s="1"/>
  <c r="Z82" i="3"/>
  <c r="Y82" i="3"/>
  <c r="Y83" i="3" s="1"/>
  <c r="Y81" i="3" s="1"/>
  <c r="X82" i="3"/>
  <c r="X83" i="3" s="1"/>
  <c r="X81" i="3" s="1"/>
  <c r="W82" i="3"/>
  <c r="U82" i="3"/>
  <c r="U83" i="3" s="1"/>
  <c r="T82" i="3"/>
  <c r="T83" i="3" s="1"/>
  <c r="T81" i="3" s="1"/>
  <c r="S82" i="3"/>
  <c r="S83" i="3" s="1"/>
  <c r="S81" i="3" s="1"/>
  <c r="R82" i="3"/>
  <c r="R83" i="3" s="1"/>
  <c r="Q82" i="3"/>
  <c r="P82" i="3"/>
  <c r="P83" i="3" s="1"/>
  <c r="P81" i="3" s="1"/>
  <c r="O82" i="3"/>
  <c r="O83" i="3" s="1"/>
  <c r="O81" i="3" s="1"/>
  <c r="N82" i="3"/>
  <c r="M82" i="3"/>
  <c r="M83" i="3" s="1"/>
  <c r="L82" i="3"/>
  <c r="L83" i="3" s="1"/>
  <c r="L81" i="3" s="1"/>
  <c r="K82" i="3"/>
  <c r="K83" i="3" s="1"/>
  <c r="K81" i="3" s="1"/>
  <c r="J82" i="3"/>
  <c r="J83" i="3" s="1"/>
  <c r="I82" i="3"/>
  <c r="H82" i="3"/>
  <c r="H83" i="3" s="1"/>
  <c r="H81" i="3" s="1"/>
  <c r="G82" i="3"/>
  <c r="G83" i="3" s="1"/>
  <c r="G81" i="3" s="1"/>
  <c r="F82" i="3"/>
  <c r="E82" i="3"/>
  <c r="E83" i="3" s="1"/>
  <c r="E81" i="3" s="1"/>
  <c r="D82" i="3"/>
  <c r="D83" i="3" s="1"/>
  <c r="D81" i="3" s="1"/>
  <c r="C82" i="3"/>
  <c r="C83" i="3" s="1"/>
  <c r="C81" i="3" s="1"/>
  <c r="B82" i="3"/>
  <c r="AC81" i="3"/>
  <c r="AF80" i="3"/>
  <c r="AF79" i="3" s="1"/>
  <c r="AF78" i="3" s="1"/>
  <c r="AB80" i="3"/>
  <c r="AB79" i="3" s="1"/>
  <c r="AB78" i="3" s="1"/>
  <c r="AA80" i="3"/>
  <c r="AA79" i="3" s="1"/>
  <c r="AA78" i="3" s="1"/>
  <c r="Y80" i="3"/>
  <c r="Y79" i="3" s="1"/>
  <c r="Y78" i="3" s="1"/>
  <c r="U80" i="3"/>
  <c r="U79" i="3" s="1"/>
  <c r="U78" i="3" s="1"/>
  <c r="T80" i="3"/>
  <c r="T79" i="3" s="1"/>
  <c r="T78" i="3" s="1"/>
  <c r="S80" i="3"/>
  <c r="S79" i="3" s="1"/>
  <c r="S78" i="3" s="1"/>
  <c r="R80" i="3"/>
  <c r="R79" i="3" s="1"/>
  <c r="R78" i="3" s="1"/>
  <c r="O80" i="3"/>
  <c r="O79" i="3" s="1"/>
  <c r="O78" i="3" s="1"/>
  <c r="N80" i="3"/>
  <c r="N79" i="3" s="1"/>
  <c r="N78" i="3" s="1"/>
  <c r="M80" i="3"/>
  <c r="M79" i="3" s="1"/>
  <c r="M78" i="3" s="1"/>
  <c r="H80" i="3"/>
  <c r="H79" i="3" s="1"/>
  <c r="H78" i="3" s="1"/>
  <c r="G80" i="3"/>
  <c r="G79" i="3" s="1"/>
  <c r="G78" i="3" s="1"/>
  <c r="F80" i="3"/>
  <c r="F79" i="3" s="1"/>
  <c r="F78" i="3" s="1"/>
  <c r="AE79" i="3"/>
  <c r="AE78" i="3" s="1"/>
  <c r="AD79" i="3"/>
  <c r="Z79" i="3"/>
  <c r="Z78" i="3" s="1"/>
  <c r="X79" i="3"/>
  <c r="X78" i="3" s="1"/>
  <c r="Q79" i="3"/>
  <c r="Q78" i="3" s="1"/>
  <c r="P79" i="3"/>
  <c r="P78" i="3" s="1"/>
  <c r="L79" i="3"/>
  <c r="L78" i="3" s="1"/>
  <c r="K79" i="3"/>
  <c r="K78" i="3" s="1"/>
  <c r="J79" i="3"/>
  <c r="J78" i="3" s="1"/>
  <c r="I79" i="3"/>
  <c r="I78" i="3" s="1"/>
  <c r="E79" i="3"/>
  <c r="E78" i="3" s="1"/>
  <c r="D79" i="3"/>
  <c r="D78" i="3" s="1"/>
  <c r="C79" i="3"/>
  <c r="C78" i="3" s="1"/>
  <c r="B79" i="3"/>
  <c r="B78" i="3" s="1"/>
  <c r="AD78" i="3"/>
  <c r="AC78" i="3"/>
  <c r="AG77" i="3"/>
  <c r="AG76" i="3"/>
  <c r="AG75" i="3"/>
  <c r="AG74" i="3"/>
  <c r="AG73" i="3"/>
  <c r="AG72" i="3"/>
  <c r="AG71" i="3"/>
  <c r="AG70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30" i="3"/>
  <c r="AG29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G4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C2" i="3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N97" i="1"/>
  <c r="J144" i="3" l="1"/>
  <c r="V93" i="5"/>
  <c r="D93" i="4"/>
  <c r="C93" i="5"/>
  <c r="D93" i="5"/>
  <c r="I144" i="5"/>
  <c r="I93" i="6"/>
  <c r="AC93" i="6"/>
  <c r="AC93" i="7"/>
  <c r="F144" i="3"/>
  <c r="C93" i="4"/>
  <c r="W93" i="4"/>
  <c r="AA93" i="7"/>
  <c r="J144" i="7"/>
  <c r="AD144" i="7"/>
  <c r="M144" i="3"/>
  <c r="F93" i="4"/>
  <c r="Z93" i="4"/>
  <c r="K144" i="4"/>
  <c r="AE144" i="4"/>
  <c r="AD93" i="6"/>
  <c r="J93" i="7"/>
  <c r="AD93" i="7"/>
  <c r="E144" i="5"/>
  <c r="M144" i="5"/>
  <c r="Q144" i="3"/>
  <c r="O144" i="4"/>
  <c r="N144" i="5"/>
  <c r="AA144" i="4"/>
  <c r="K93" i="4"/>
  <c r="AE93" i="4"/>
  <c r="J93" i="5"/>
  <c r="AD93" i="5"/>
  <c r="K93" i="5"/>
  <c r="AE93" i="5"/>
  <c r="P144" i="5"/>
  <c r="F144" i="5"/>
  <c r="L93" i="4"/>
  <c r="F93" i="3"/>
  <c r="L93" i="5"/>
  <c r="Q144" i="5"/>
  <c r="Q93" i="6"/>
  <c r="I144" i="7"/>
  <c r="AD144" i="3"/>
  <c r="Z93" i="5"/>
  <c r="U144" i="7"/>
  <c r="I144" i="3"/>
  <c r="G93" i="4"/>
  <c r="F93" i="5"/>
  <c r="E93" i="3"/>
  <c r="U130" i="3"/>
  <c r="O93" i="4"/>
  <c r="N93" i="5"/>
  <c r="S93" i="7"/>
  <c r="B144" i="7"/>
  <c r="V144" i="7"/>
  <c r="AD93" i="3"/>
  <c r="D81" i="7"/>
  <c r="W93" i="3"/>
  <c r="AE93" i="3"/>
  <c r="U144" i="5"/>
  <c r="Z81" i="6"/>
  <c r="G144" i="6"/>
  <c r="L81" i="7"/>
  <c r="U93" i="7"/>
  <c r="AC144" i="3"/>
  <c r="G144" i="4"/>
  <c r="AA93" i="4"/>
  <c r="U93" i="3"/>
  <c r="B93" i="7"/>
  <c r="V93" i="7"/>
  <c r="E144" i="7"/>
  <c r="Y144" i="7"/>
  <c r="AG134" i="5"/>
  <c r="N144" i="4"/>
  <c r="V144" i="4"/>
  <c r="Z144" i="4"/>
  <c r="Y144" i="5"/>
  <c r="AC144" i="5"/>
  <c r="H144" i="6"/>
  <c r="P144" i="6"/>
  <c r="T144" i="6"/>
  <c r="AF144" i="6"/>
  <c r="AD144" i="5"/>
  <c r="X144" i="5"/>
  <c r="AG142" i="5"/>
  <c r="R130" i="5"/>
  <c r="J83" i="6"/>
  <c r="J81" i="6" s="1"/>
  <c r="AB130" i="3"/>
  <c r="P144" i="7"/>
  <c r="E83" i="6"/>
  <c r="E81" i="6" s="1"/>
  <c r="AG147" i="3"/>
  <c r="H144" i="5"/>
  <c r="K93" i="3"/>
  <c r="S93" i="3"/>
  <c r="B144" i="6"/>
  <c r="J144" i="6"/>
  <c r="R144" i="6"/>
  <c r="Z144" i="6"/>
  <c r="S144" i="6"/>
  <c r="AA144" i="6"/>
  <c r="AE144" i="6"/>
  <c r="H144" i="7"/>
  <c r="L144" i="7"/>
  <c r="T144" i="7"/>
  <c r="X144" i="7"/>
  <c r="D144" i="5"/>
  <c r="L144" i="5"/>
  <c r="T144" i="5"/>
  <c r="AB144" i="5"/>
  <c r="N214" i="1"/>
  <c r="N40" i="1"/>
  <c r="N99" i="1"/>
  <c r="N150" i="1"/>
  <c r="AA81" i="3"/>
  <c r="D93" i="3"/>
  <c r="L93" i="3"/>
  <c r="P93" i="3"/>
  <c r="T93" i="3"/>
  <c r="Y93" i="3"/>
  <c r="AC93" i="3"/>
  <c r="I93" i="3"/>
  <c r="C144" i="3"/>
  <c r="K144" i="3"/>
  <c r="S144" i="3"/>
  <c r="AA144" i="3"/>
  <c r="H93" i="4"/>
  <c r="P93" i="4"/>
  <c r="X93" i="4"/>
  <c r="AF93" i="4"/>
  <c r="AG116" i="4"/>
  <c r="D144" i="4"/>
  <c r="H144" i="4"/>
  <c r="L144" i="4"/>
  <c r="P144" i="4"/>
  <c r="T144" i="4"/>
  <c r="X144" i="4"/>
  <c r="AB144" i="4"/>
  <c r="AF144" i="4"/>
  <c r="M81" i="6"/>
  <c r="C144" i="6"/>
  <c r="K144" i="6"/>
  <c r="O144" i="6"/>
  <c r="W144" i="6"/>
  <c r="K144" i="7"/>
  <c r="W144" i="7"/>
  <c r="N111" i="1"/>
  <c r="Y130" i="3"/>
  <c r="X130" i="3"/>
  <c r="Z81" i="5"/>
  <c r="H93" i="5"/>
  <c r="P93" i="5"/>
  <c r="X93" i="5"/>
  <c r="AF93" i="5"/>
  <c r="N81" i="6"/>
  <c r="G93" i="3"/>
  <c r="O93" i="3"/>
  <c r="X93" i="3"/>
  <c r="AF93" i="3"/>
  <c r="AG53" i="6"/>
  <c r="F83" i="6"/>
  <c r="F81" i="6" s="1"/>
  <c r="J93" i="6"/>
  <c r="R93" i="6"/>
  <c r="AG116" i="6"/>
  <c r="N144" i="6"/>
  <c r="N24" i="1"/>
  <c r="N174" i="1"/>
  <c r="C93" i="3"/>
  <c r="AB93" i="3"/>
  <c r="AF130" i="3"/>
  <c r="W144" i="3"/>
  <c r="AG137" i="5"/>
  <c r="B144" i="5"/>
  <c r="J144" i="5"/>
  <c r="R144" i="5"/>
  <c r="Z144" i="5"/>
  <c r="F144" i="6"/>
  <c r="V144" i="6"/>
  <c r="AG219" i="6"/>
  <c r="G144" i="7"/>
  <c r="AG215" i="7"/>
  <c r="N22" i="1"/>
  <c r="J81" i="3"/>
  <c r="D144" i="3"/>
  <c r="AG87" i="5"/>
  <c r="AG215" i="6"/>
  <c r="N6" i="1"/>
  <c r="N8" i="1"/>
  <c r="N110" i="1"/>
  <c r="N112" i="1"/>
  <c r="N121" i="1"/>
  <c r="N124" i="1"/>
  <c r="N162" i="1"/>
  <c r="N192" i="1"/>
  <c r="G144" i="3"/>
  <c r="AG209" i="4"/>
  <c r="AG134" i="6"/>
  <c r="N41" i="1"/>
  <c r="N96" i="1"/>
  <c r="N98" i="1"/>
  <c r="N151" i="1"/>
  <c r="AE144" i="3"/>
  <c r="B81" i="4"/>
  <c r="B144" i="4"/>
  <c r="R144" i="4"/>
  <c r="AG173" i="5"/>
  <c r="B93" i="6"/>
  <c r="Z93" i="6"/>
  <c r="G93" i="7"/>
  <c r="O93" i="7"/>
  <c r="W93" i="7"/>
  <c r="AE93" i="7"/>
  <c r="N23" i="1"/>
  <c r="N222" i="1"/>
  <c r="AD81" i="3"/>
  <c r="J93" i="3"/>
  <c r="R93" i="3"/>
  <c r="AA93" i="3"/>
  <c r="AG28" i="5"/>
  <c r="AG130" i="5"/>
  <c r="AD144" i="6"/>
  <c r="AG148" i="6"/>
  <c r="AG177" i="6"/>
  <c r="AG219" i="7"/>
  <c r="N171" i="1"/>
  <c r="N213" i="1"/>
  <c r="N220" i="1"/>
  <c r="O144" i="3"/>
  <c r="AG173" i="4"/>
  <c r="AG215" i="4"/>
  <c r="AG3" i="5"/>
  <c r="I93" i="7"/>
  <c r="Q93" i="7"/>
  <c r="Y93" i="7"/>
  <c r="AG148" i="7"/>
  <c r="N7" i="1"/>
  <c r="N109" i="1"/>
  <c r="N113" i="1"/>
  <c r="N120" i="1"/>
  <c r="N163" i="1"/>
  <c r="N187" i="1"/>
  <c r="Z93" i="3"/>
  <c r="AG173" i="3"/>
  <c r="Y81" i="6"/>
  <c r="AG78" i="3"/>
  <c r="N4" i="1"/>
  <c r="N72" i="1"/>
  <c r="N18" i="1"/>
  <c r="N56" i="1"/>
  <c r="N58" i="1"/>
  <c r="N60" i="1"/>
  <c r="N62" i="1"/>
  <c r="N64" i="1"/>
  <c r="N66" i="1"/>
  <c r="N69" i="1"/>
  <c r="N86" i="1"/>
  <c r="N91" i="1"/>
  <c r="N132" i="1"/>
  <c r="N135" i="1"/>
  <c r="N140" i="1"/>
  <c r="N170" i="1"/>
  <c r="N179" i="1"/>
  <c r="N183" i="1"/>
  <c r="N188" i="1"/>
  <c r="N191" i="1"/>
  <c r="N217" i="1"/>
  <c r="N218" i="1"/>
  <c r="N224" i="1"/>
  <c r="N225" i="1"/>
  <c r="N20" i="1"/>
  <c r="N54" i="1"/>
  <c r="N57" i="1"/>
  <c r="N59" i="1"/>
  <c r="N61" i="1"/>
  <c r="N65" i="1"/>
  <c r="N68" i="1"/>
  <c r="N70" i="1"/>
  <c r="N89" i="1"/>
  <c r="N90" i="1"/>
  <c r="N131" i="1"/>
  <c r="N136" i="1"/>
  <c r="N139" i="1"/>
  <c r="N154" i="1"/>
  <c r="N178" i="1"/>
  <c r="N10" i="1"/>
  <c r="N12" i="1"/>
  <c r="N29" i="1"/>
  <c r="N36" i="1"/>
  <c r="N37" i="1"/>
  <c r="N48" i="1"/>
  <c r="N49" i="1"/>
  <c r="N50" i="1"/>
  <c r="N73" i="1"/>
  <c r="N74" i="1"/>
  <c r="N75" i="1"/>
  <c r="N76" i="1"/>
  <c r="N77" i="1"/>
  <c r="N128" i="1"/>
  <c r="N199" i="1"/>
  <c r="N207" i="1"/>
  <c r="N208" i="1"/>
  <c r="AG3" i="3"/>
  <c r="N5" i="1"/>
  <c r="N9" i="1"/>
  <c r="N13" i="1"/>
  <c r="N17" i="1"/>
  <c r="N21" i="1"/>
  <c r="N25" i="1"/>
  <c r="N39" i="1"/>
  <c r="Q93" i="3"/>
  <c r="AG100" i="3"/>
  <c r="N123" i="1"/>
  <c r="N14" i="1"/>
  <c r="N15" i="1"/>
  <c r="N16" i="1"/>
  <c r="N26" i="1"/>
  <c r="N32" i="1"/>
  <c r="N33" i="1"/>
  <c r="N34" i="1"/>
  <c r="N44" i="1"/>
  <c r="N45" i="1"/>
  <c r="N52" i="1"/>
  <c r="N101" i="1"/>
  <c r="N102" i="1"/>
  <c r="N103" i="1"/>
  <c r="N104" i="1"/>
  <c r="N105" i="1"/>
  <c r="N108" i="1"/>
  <c r="N155" i="1"/>
  <c r="N159" i="1"/>
  <c r="N186" i="1"/>
  <c r="N194" i="1"/>
  <c r="N195" i="1"/>
  <c r="N203" i="1"/>
  <c r="N210" i="1"/>
  <c r="N211" i="1"/>
  <c r="U81" i="3"/>
  <c r="N88" i="1"/>
  <c r="AE130" i="3"/>
  <c r="AG143" i="3"/>
  <c r="N143" i="1" s="1"/>
  <c r="AG145" i="3"/>
  <c r="AG158" i="3"/>
  <c r="H144" i="3"/>
  <c r="L144" i="3"/>
  <c r="T144" i="3"/>
  <c r="X144" i="3"/>
  <c r="AB144" i="3"/>
  <c r="AG177" i="3"/>
  <c r="AG28" i="4"/>
  <c r="Z81" i="4"/>
  <c r="AG84" i="4"/>
  <c r="AG145" i="4"/>
  <c r="AG148" i="4"/>
  <c r="AG177" i="4"/>
  <c r="R81" i="5"/>
  <c r="C144" i="5"/>
  <c r="K144" i="5"/>
  <c r="S144" i="5"/>
  <c r="AA144" i="5"/>
  <c r="AG148" i="5"/>
  <c r="AG146" i="5" s="1"/>
  <c r="AG223" i="5"/>
  <c r="N226" i="1"/>
  <c r="C83" i="6"/>
  <c r="C81" i="6" s="1"/>
  <c r="AG94" i="6"/>
  <c r="AG158" i="6"/>
  <c r="AG182" i="6"/>
  <c r="AG223" i="6"/>
  <c r="AG158" i="7"/>
  <c r="AG223" i="7"/>
  <c r="N38" i="1"/>
  <c r="AG80" i="5"/>
  <c r="B81" i="5"/>
  <c r="E93" i="5"/>
  <c r="I93" i="5"/>
  <c r="M93" i="5"/>
  <c r="Q93" i="5"/>
  <c r="U93" i="5"/>
  <c r="Y93" i="5"/>
  <c r="AC93" i="5"/>
  <c r="AG147" i="5"/>
  <c r="N175" i="1"/>
  <c r="AG223" i="3"/>
  <c r="AG3" i="4"/>
  <c r="J81" i="4"/>
  <c r="E93" i="4"/>
  <c r="I93" i="4"/>
  <c r="M93" i="4"/>
  <c r="Q93" i="4"/>
  <c r="U93" i="4"/>
  <c r="Y93" i="4"/>
  <c r="AC93" i="4"/>
  <c r="AG147" i="4"/>
  <c r="AG167" i="4"/>
  <c r="AG223" i="4"/>
  <c r="N117" i="1"/>
  <c r="N125" i="1"/>
  <c r="AG167" i="5"/>
  <c r="AG209" i="5"/>
  <c r="AG84" i="6"/>
  <c r="C93" i="6"/>
  <c r="G93" i="6"/>
  <c r="K93" i="6"/>
  <c r="O93" i="6"/>
  <c r="S93" i="6"/>
  <c r="W93" i="6"/>
  <c r="AA93" i="6"/>
  <c r="AE93" i="6"/>
  <c r="AG173" i="6"/>
  <c r="Z93" i="7"/>
  <c r="N165" i="1"/>
  <c r="AG182" i="3"/>
  <c r="N185" i="1"/>
  <c r="N201" i="1"/>
  <c r="AG209" i="3"/>
  <c r="AG219" i="3"/>
  <c r="N30" i="1"/>
  <c r="N42" i="1"/>
  <c r="N46" i="1"/>
  <c r="R81" i="4"/>
  <c r="AG87" i="4"/>
  <c r="AG158" i="4"/>
  <c r="AG182" i="4"/>
  <c r="J81" i="5"/>
  <c r="AG84" i="5"/>
  <c r="AG158" i="5"/>
  <c r="AG182" i="5"/>
  <c r="AG3" i="6"/>
  <c r="AG80" i="6"/>
  <c r="AG145" i="6"/>
  <c r="AG147" i="6"/>
  <c r="AG167" i="6"/>
  <c r="AG147" i="7"/>
  <c r="AG167" i="7"/>
  <c r="AE81" i="7"/>
  <c r="AG209" i="7"/>
  <c r="AG84" i="7"/>
  <c r="AG173" i="7"/>
  <c r="AG130" i="7"/>
  <c r="AG87" i="7"/>
  <c r="AG182" i="7"/>
  <c r="AG116" i="7"/>
  <c r="AG53" i="7"/>
  <c r="AG28" i="7"/>
  <c r="AG3" i="7"/>
  <c r="N202" i="1"/>
  <c r="N190" i="1"/>
  <c r="N166" i="1"/>
  <c r="N198" i="1"/>
  <c r="N206" i="1"/>
  <c r="N35" i="1"/>
  <c r="N51" i="1"/>
  <c r="I83" i="3"/>
  <c r="I81" i="3" s="1"/>
  <c r="Q83" i="3"/>
  <c r="Q81" i="3" s="1"/>
  <c r="AE83" i="3"/>
  <c r="AE81" i="3" s="1"/>
  <c r="N127" i="1"/>
  <c r="N141" i="1"/>
  <c r="AG80" i="4"/>
  <c r="N169" i="1"/>
  <c r="AG84" i="3"/>
  <c r="N138" i="1"/>
  <c r="AG148" i="3"/>
  <c r="N161" i="1"/>
  <c r="N197" i="1"/>
  <c r="N212" i="1"/>
  <c r="N47" i="1"/>
  <c r="AG79" i="3"/>
  <c r="Z83" i="3"/>
  <c r="Z81" i="3" s="1"/>
  <c r="N92" i="1"/>
  <c r="AG94" i="3"/>
  <c r="B93" i="3"/>
  <c r="N119" i="1"/>
  <c r="N133" i="1"/>
  <c r="N55" i="1"/>
  <c r="B83" i="3"/>
  <c r="AG82" i="3"/>
  <c r="F83" i="3"/>
  <c r="F81" i="3" s="1"/>
  <c r="N83" i="3"/>
  <c r="N81" i="3" s="1"/>
  <c r="W83" i="3"/>
  <c r="W81" i="3" s="1"/>
  <c r="N152" i="1"/>
  <c r="N189" i="1"/>
  <c r="AG100" i="4"/>
  <c r="AG129" i="5"/>
  <c r="M81" i="3"/>
  <c r="N149" i="1"/>
  <c r="N153" i="1"/>
  <c r="N157" i="1"/>
  <c r="N180" i="1"/>
  <c r="D83" i="4"/>
  <c r="D81" i="4" s="1"/>
  <c r="H83" i="4"/>
  <c r="H81" i="4" s="1"/>
  <c r="L83" i="4"/>
  <c r="L81" i="4" s="1"/>
  <c r="P81" i="4"/>
  <c r="T83" i="4"/>
  <c r="T81" i="4" s="1"/>
  <c r="X83" i="4"/>
  <c r="X81" i="4" s="1"/>
  <c r="AB83" i="4"/>
  <c r="AB81" i="4" s="1"/>
  <c r="AF83" i="4"/>
  <c r="AF81" i="4" s="1"/>
  <c r="N31" i="1"/>
  <c r="N43" i="1"/>
  <c r="AG79" i="5"/>
  <c r="B78" i="5"/>
  <c r="AG78" i="5" s="1"/>
  <c r="N71" i="1"/>
  <c r="N160" i="1"/>
  <c r="N168" i="1"/>
  <c r="N181" i="1"/>
  <c r="N196" i="1"/>
  <c r="N216" i="1"/>
  <c r="N221" i="1"/>
  <c r="AF83" i="3"/>
  <c r="AF81" i="3" s="1"/>
  <c r="AG142" i="3"/>
  <c r="N156" i="1"/>
  <c r="N193" i="1"/>
  <c r="N205" i="1"/>
  <c r="B130" i="4"/>
  <c r="AG130" i="4" s="1"/>
  <c r="N11" i="1"/>
  <c r="N19" i="1"/>
  <c r="N27" i="1"/>
  <c r="N67" i="1"/>
  <c r="N95" i="1"/>
  <c r="N106" i="1"/>
  <c r="N107" i="1"/>
  <c r="N114" i="1"/>
  <c r="N115" i="1"/>
  <c r="N164" i="1"/>
  <c r="N172" i="1"/>
  <c r="N184" i="1"/>
  <c r="N200" i="1"/>
  <c r="N63" i="1"/>
  <c r="N176" i="1"/>
  <c r="N204" i="1"/>
  <c r="AG28" i="3"/>
  <c r="R81" i="3"/>
  <c r="N85" i="1"/>
  <c r="N118" i="1"/>
  <c r="N122" i="1"/>
  <c r="N126" i="1"/>
  <c r="AG129" i="3"/>
  <c r="S116" i="3"/>
  <c r="AG116" i="3" s="1"/>
  <c r="AG137" i="3"/>
  <c r="W130" i="3"/>
  <c r="E83" i="4"/>
  <c r="E81" i="4" s="1"/>
  <c r="I83" i="4"/>
  <c r="I81" i="4" s="1"/>
  <c r="M83" i="4"/>
  <c r="M81" i="4" s="1"/>
  <c r="U83" i="4"/>
  <c r="U81" i="4" s="1"/>
  <c r="Y83" i="4"/>
  <c r="Y81" i="4" s="1"/>
  <c r="AC83" i="4"/>
  <c r="AC81" i="4"/>
  <c r="AG82" i="4"/>
  <c r="M144" i="4"/>
  <c r="D83" i="5"/>
  <c r="D81" i="5" s="1"/>
  <c r="X81" i="5"/>
  <c r="AG87" i="3"/>
  <c r="AG134" i="3"/>
  <c r="P144" i="3"/>
  <c r="E144" i="4"/>
  <c r="U144" i="4"/>
  <c r="AC144" i="4"/>
  <c r="H81" i="5"/>
  <c r="L83" i="5"/>
  <c r="L81" i="5" s="1"/>
  <c r="P81" i="5"/>
  <c r="T83" i="5"/>
  <c r="T81" i="5" s="1"/>
  <c r="AB83" i="5"/>
  <c r="AB81" i="5" s="1"/>
  <c r="AF83" i="5"/>
  <c r="AF81" i="5" s="1"/>
  <c r="AG100" i="5"/>
  <c r="AG116" i="5"/>
  <c r="AG53" i="3"/>
  <c r="AG80" i="3"/>
  <c r="AG79" i="4"/>
  <c r="B78" i="4"/>
  <c r="AG78" i="4" s="1"/>
  <c r="E83" i="5"/>
  <c r="E81" i="5" s="1"/>
  <c r="M83" i="5"/>
  <c r="M81" i="5" s="1"/>
  <c r="U83" i="5"/>
  <c r="U81" i="5" s="1"/>
  <c r="AC83" i="5"/>
  <c r="AC81" i="5" s="1"/>
  <c r="AG82" i="5"/>
  <c r="AG78" i="6"/>
  <c r="AG79" i="6"/>
  <c r="AG87" i="6"/>
  <c r="AG94" i="4"/>
  <c r="B93" i="4"/>
  <c r="AG94" i="5"/>
  <c r="B93" i="5"/>
  <c r="D83" i="6"/>
  <c r="D81" i="6" s="1"/>
  <c r="H83" i="6"/>
  <c r="H81" i="6" s="1"/>
  <c r="L83" i="6"/>
  <c r="L81" i="6" s="1"/>
  <c r="P83" i="6"/>
  <c r="P81" i="6" s="1"/>
  <c r="T83" i="6"/>
  <c r="T81" i="6" s="1"/>
  <c r="X83" i="6"/>
  <c r="X81" i="6" s="1"/>
  <c r="AB83" i="6"/>
  <c r="AB81" i="6" s="1"/>
  <c r="AF83" i="6"/>
  <c r="AF81" i="6" s="1"/>
  <c r="AG167" i="3"/>
  <c r="AG215" i="3"/>
  <c r="AG53" i="4"/>
  <c r="I144" i="4"/>
  <c r="Q144" i="4"/>
  <c r="Y144" i="4"/>
  <c r="AG219" i="4"/>
  <c r="N219" i="1" s="1"/>
  <c r="AG53" i="5"/>
  <c r="AG145" i="5"/>
  <c r="G144" i="5"/>
  <c r="O144" i="5"/>
  <c r="W144" i="5"/>
  <c r="AE144" i="5"/>
  <c r="AG177" i="5"/>
  <c r="AG28" i="6"/>
  <c r="I83" i="6"/>
  <c r="I81" i="6" s="1"/>
  <c r="Q83" i="6"/>
  <c r="Q81" i="6" s="1"/>
  <c r="U83" i="6"/>
  <c r="U81" i="6" s="1"/>
  <c r="B81" i="6"/>
  <c r="AG142" i="6"/>
  <c r="D130" i="6"/>
  <c r="AG130" i="6" s="1"/>
  <c r="D78" i="7"/>
  <c r="AG78" i="7" s="1"/>
  <c r="AG79" i="7"/>
  <c r="M144" i="6"/>
  <c r="Y144" i="6"/>
  <c r="C83" i="7"/>
  <c r="C81" i="7" s="1"/>
  <c r="K83" i="7"/>
  <c r="K81" i="7" s="1"/>
  <c r="S83" i="7"/>
  <c r="S81" i="7" s="1"/>
  <c r="AA83" i="7"/>
  <c r="AA81" i="7" s="1"/>
  <c r="AG94" i="7"/>
  <c r="I144" i="6"/>
  <c r="AG209" i="6"/>
  <c r="AA144" i="7"/>
  <c r="AG82" i="6"/>
  <c r="AG100" i="6"/>
  <c r="E144" i="6"/>
  <c r="U144" i="6"/>
  <c r="AG100" i="7"/>
  <c r="AG145" i="7"/>
  <c r="C144" i="7"/>
  <c r="S144" i="7"/>
  <c r="AG177" i="7"/>
  <c r="D93" i="6"/>
  <c r="H93" i="6"/>
  <c r="L93" i="6"/>
  <c r="P93" i="6"/>
  <c r="T93" i="6"/>
  <c r="X93" i="6"/>
  <c r="AB93" i="6"/>
  <c r="AF93" i="6"/>
  <c r="Q144" i="6"/>
  <c r="AG80" i="7"/>
  <c r="AG82" i="7"/>
  <c r="B81" i="7"/>
  <c r="F81" i="7"/>
  <c r="J81" i="7"/>
  <c r="N81" i="7"/>
  <c r="R81" i="7"/>
  <c r="V81" i="7"/>
  <c r="Z81" i="7"/>
  <c r="AD81" i="7"/>
  <c r="D93" i="7"/>
  <c r="H93" i="7"/>
  <c r="L93" i="7"/>
  <c r="P93" i="7"/>
  <c r="T93" i="7"/>
  <c r="X93" i="7"/>
  <c r="AB93" i="7"/>
  <c r="AF93" i="7"/>
  <c r="D146" i="7"/>
  <c r="D144" i="7" s="1"/>
  <c r="O144" i="7"/>
  <c r="AE144" i="7"/>
  <c r="E81" i="7"/>
  <c r="I81" i="7"/>
  <c r="M81" i="7"/>
  <c r="Q81" i="7"/>
  <c r="U81" i="7"/>
  <c r="Y81" i="7"/>
  <c r="AC81" i="7"/>
  <c r="AG130" i="3" l="1"/>
  <c r="N223" i="1"/>
  <c r="N173" i="1"/>
  <c r="N167" i="1"/>
  <c r="N215" i="1"/>
  <c r="N134" i="1"/>
  <c r="N137" i="1"/>
  <c r="N116" i="1"/>
  <c r="AG146" i="6"/>
  <c r="N147" i="1"/>
  <c r="AG144" i="3"/>
  <c r="AG146" i="7"/>
  <c r="AG93" i="5"/>
  <c r="AH209" i="5" s="1"/>
  <c r="N78" i="1"/>
  <c r="AH3" i="4"/>
  <c r="N3" i="1"/>
  <c r="AG93" i="6"/>
  <c r="N177" i="1"/>
  <c r="AG144" i="5"/>
  <c r="AH87" i="5"/>
  <c r="AG93" i="3"/>
  <c r="N182" i="1"/>
  <c r="N158" i="1"/>
  <c r="AG81" i="4"/>
  <c r="AG83" i="6"/>
  <c r="AG144" i="6"/>
  <c r="N145" i="1"/>
  <c r="AG93" i="4"/>
  <c r="AH130" i="4" s="1"/>
  <c r="N80" i="1"/>
  <c r="AG144" i="4"/>
  <c r="AH87" i="4"/>
  <c r="N100" i="1"/>
  <c r="AG146" i="4"/>
  <c r="AH28" i="4"/>
  <c r="N28" i="1"/>
  <c r="AH87" i="7"/>
  <c r="AG93" i="7"/>
  <c r="AG83" i="7"/>
  <c r="AH130" i="3"/>
  <c r="AG83" i="3"/>
  <c r="AG83" i="5"/>
  <c r="B81" i="3"/>
  <c r="AG81" i="3" s="1"/>
  <c r="AG83" i="4"/>
  <c r="AH209" i="4"/>
  <c r="AH93" i="3"/>
  <c r="AG146" i="3"/>
  <c r="AH209" i="6"/>
  <c r="N209" i="1"/>
  <c r="N53" i="1"/>
  <c r="AG81" i="5"/>
  <c r="N94" i="1"/>
  <c r="N79" i="1"/>
  <c r="AH209" i="3"/>
  <c r="AG144" i="7"/>
  <c r="N82" i="1"/>
  <c r="AG81" i="7"/>
  <c r="AG81" i="6"/>
  <c r="AH87" i="6"/>
  <c r="AH87" i="3"/>
  <c r="N129" i="1"/>
  <c r="N142" i="1"/>
  <c r="N84" i="1"/>
  <c r="AH84" i="4" l="1"/>
  <c r="AH93" i="4"/>
  <c r="AH93" i="6"/>
  <c r="AH81" i="4"/>
  <c r="AH144" i="3"/>
  <c r="AH130" i="6"/>
  <c r="AH130" i="5"/>
  <c r="AH93" i="5"/>
  <c r="AH144" i="4"/>
  <c r="AH144" i="5"/>
  <c r="AH84" i="6"/>
  <c r="AH84" i="3"/>
  <c r="N148" i="1"/>
  <c r="N146" i="1" s="1"/>
  <c r="AH84" i="7"/>
  <c r="AH209" i="7"/>
  <c r="N93" i="1"/>
  <c r="O93" i="1" s="1"/>
  <c r="AH144" i="6"/>
  <c r="AH81" i="7"/>
  <c r="N87" i="1"/>
  <c r="O87" i="1" s="1"/>
  <c r="AH93" i="7"/>
  <c r="AH144" i="7"/>
  <c r="AH130" i="7"/>
  <c r="AH81" i="6"/>
  <c r="AH81" i="5"/>
  <c r="AH84" i="5"/>
  <c r="AH81" i="3"/>
  <c r="N130" i="1"/>
  <c r="N83" i="1" l="1"/>
  <c r="O84" i="1" s="1"/>
  <c r="N144" i="1"/>
  <c r="O130" i="1"/>
  <c r="N81" i="1"/>
  <c r="O81" i="1" s="1"/>
  <c r="O144" i="1"/>
  <c r="O209" i="1"/>
  <c r="AG142" i="12" l="1"/>
  <c r="AG143" i="12"/>
</calcChain>
</file>

<file path=xl/sharedStrings.xml><?xml version="1.0" encoding="utf-8"?>
<sst xmlns="http://schemas.openxmlformats.org/spreadsheetml/2006/main" count="3215" uniqueCount="202">
  <si>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</si>
  <si>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</si>
  <si>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</si>
  <si>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</si>
  <si>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</si>
  <si>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</si>
  <si>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</si>
  <si>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</si>
  <si>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</si>
  <si>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</si>
  <si>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</si>
  <si>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</si>
  <si>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</si>
  <si>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</si>
  <si>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Total de Inscritos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</si>
  <si>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</si>
  <si>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</si>
  <si>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</si>
  <si>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</si>
  <si>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</si>
  <si>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</si>
  <si>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</si>
  <si>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</si>
  <si>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</si>
  <si>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</si>
  <si>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</si>
  <si>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</si>
  <si>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</si>
  <si>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</si>
  <si>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</si>
  <si>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</si>
  <si>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</si>
  <si>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</si>
  <si>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</si>
  <si>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</si>
  <si>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</si>
  <si>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</si>
  <si>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</si>
  <si>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</si>
  <si>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Total de atendidos</t>
  </si>
  <si>
    <t>Total de NSP</t>
  </si>
  <si>
    <t>TOTAL PACIENTES INSCRITOS</t>
  </si>
  <si>
    <t>SAR</t>
  </si>
  <si>
    <t>PAR</t>
  </si>
  <si>
    <t>TOTAL NSP</t>
  </si>
  <si>
    <t>NSP PEDIATR. / ADULTOS</t>
  </si>
  <si>
    <t>NSP</t>
  </si>
  <si>
    <t>NSP PEDIATRICOS (&lt;15 AÑOS)</t>
  </si>
  <si>
    <t>NSP ADULTOS</t>
  </si>
  <si>
    <t>NSP CATEGORIZACION</t>
  </si>
  <si>
    <t>SIN CATEGORIZACIÓN nsp</t>
  </si>
  <si>
    <t>C2</t>
  </si>
  <si>
    <t>C3</t>
  </si>
  <si>
    <t>C4</t>
  </si>
  <si>
    <t>C5</t>
  </si>
  <si>
    <t>TOTAL PACIENTES ATENDIDOS</t>
  </si>
  <si>
    <t>Menor 15 años</t>
  </si>
  <si>
    <t>Menor 1 Año</t>
  </si>
  <si>
    <t>1 Año</t>
  </si>
  <si>
    <t xml:space="preserve"> 2 - 4</t>
  </si>
  <si>
    <t>5 - 9</t>
  </si>
  <si>
    <t>10 - 14</t>
  </si>
  <si>
    <t>Mayor de 15 años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</si>
  <si>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</si>
  <si>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</si>
  <si>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</si>
  <si>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</si>
  <si>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</si>
  <si>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</si>
  <si>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</si>
  <si>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</si>
  <si>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</si>
  <si>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</si>
  <si>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</si>
  <si>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</si>
  <si>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</si>
  <si>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y mas</t>
  </si>
  <si>
    <t>CENTRO DE SALUD INSCRITO</t>
  </si>
  <si>
    <t>Violeta Parra</t>
  </si>
  <si>
    <t>Ultraestación</t>
  </si>
  <si>
    <t>Los Volcanes</t>
  </si>
  <si>
    <t>Isabel Riquelme</t>
  </si>
  <si>
    <t>Sol de Oriente</t>
  </si>
  <si>
    <t>San Ramón Nonato</t>
  </si>
  <si>
    <t>Federico Puga</t>
  </si>
  <si>
    <t>Michelle Bachelet</t>
  </si>
  <si>
    <t>Coihueco</t>
  </si>
  <si>
    <t>Pinto</t>
  </si>
  <si>
    <t>Portezuelo</t>
  </si>
  <si>
    <t>Otros</t>
  </si>
  <si>
    <t>Sin Centro de Salud</t>
  </si>
  <si>
    <t>CENTRO DE SALUD ATENDIDO</t>
  </si>
  <si>
    <t>TOTAL ATENDIDOS</t>
  </si>
  <si>
    <t>EST. ORIGEN</t>
  </si>
  <si>
    <t>Redirec. de UEH a SAR</t>
  </si>
  <si>
    <t>NSP Infantil + Adultos</t>
  </si>
  <si>
    <t>UE Pediatrica a SAR</t>
  </si>
  <si>
    <t>NSP Infantil</t>
  </si>
  <si>
    <t>&lt; 1 año</t>
  </si>
  <si>
    <t>1 - 4 años</t>
  </si>
  <si>
    <t>5 - 9 años</t>
  </si>
  <si>
    <t>10 - 14 años</t>
  </si>
  <si>
    <t>UE Adulto a SAR</t>
  </si>
  <si>
    <t>NSP Adultos</t>
  </si>
  <si>
    <t>CONSULTA ESPONTANEA</t>
  </si>
  <si>
    <t>PROC. EXTERNA</t>
  </si>
  <si>
    <t>Derivados de SAPU  a SAR</t>
  </si>
  <si>
    <t>Derivados de SUR a SAR</t>
  </si>
  <si>
    <t>Otros Derivados</t>
  </si>
  <si>
    <t>OTROS NSP</t>
  </si>
  <si>
    <t>Traidos por SAMU a SAR</t>
  </si>
  <si>
    <t>MEDIO DE LLEGADA</t>
  </si>
  <si>
    <t>SAMU 1</t>
  </si>
  <si>
    <t>SAMU 2</t>
  </si>
  <si>
    <t>SAMU 3</t>
  </si>
  <si>
    <t>Derivado de SAR  a UEH</t>
  </si>
  <si>
    <t>DESTINO</t>
  </si>
  <si>
    <t>PEDIATRICOS</t>
  </si>
  <si>
    <t>ADULTOS</t>
  </si>
  <si>
    <t>ACTIVID. KINE. RAYEN (DIURNO)</t>
  </si>
  <si>
    <t>ACTIVID. KINE. SAR</t>
  </si>
  <si>
    <t>TOTAL MOTIVO CONSULTA</t>
  </si>
  <si>
    <t>Constatacion de lesiones</t>
  </si>
  <si>
    <t>Accidente de Transito</t>
  </si>
  <si>
    <t>Accidente Otro Tipo</t>
  </si>
  <si>
    <t>ACC. DE TRANSITO Y LABORAL</t>
  </si>
  <si>
    <t>RESPIRATORIO</t>
  </si>
  <si>
    <t>Accidente Bicicleta</t>
  </si>
  <si>
    <t>Accidente trabajo Obrero</t>
  </si>
  <si>
    <t>Accidente Trabajo Funcionario</t>
  </si>
  <si>
    <t>Accidentes en el Hogar</t>
  </si>
  <si>
    <t>Accidentes Escolares</t>
  </si>
  <si>
    <t>Accidente por Agresion</t>
  </si>
  <si>
    <t>Accidente por Asalto</t>
  </si>
  <si>
    <t>Accidente por caida de Animal</t>
  </si>
  <si>
    <t>Alcoholemias</t>
  </si>
  <si>
    <t>Agresor Sexual</t>
  </si>
  <si>
    <t>Autoagresion</t>
  </si>
  <si>
    <t>Derivado al Servicio Medico Legal</t>
  </si>
  <si>
    <t>VIF</t>
  </si>
  <si>
    <t>INTOXICACION POR ALCOHOL</t>
  </si>
  <si>
    <t>Intoxicación por Medicamentos</t>
  </si>
  <si>
    <t>Intoxicación por Alimentos</t>
  </si>
  <si>
    <t>Intoxicación por Quimicos</t>
  </si>
  <si>
    <t>Mordedura de Gato</t>
  </si>
  <si>
    <t>Mordedura de Perro</t>
  </si>
  <si>
    <t>Mordedura de Araña</t>
  </si>
  <si>
    <t>Mordedura de  Raton</t>
  </si>
  <si>
    <t>TOTAL TRIAGE</t>
  </si>
  <si>
    <t>C1</t>
  </si>
  <si>
    <t>PCR</t>
  </si>
  <si>
    <t>PCR Pendientes</t>
  </si>
  <si>
    <t>PCR Rechazados de Laboratorio</t>
  </si>
  <si>
    <t>PCR Positivos-Indetermindados</t>
  </si>
  <si>
    <t>TEST RAPIDO</t>
  </si>
  <si>
    <t>POSITIVO</t>
  </si>
  <si>
    <t>NEGATIVO</t>
  </si>
  <si>
    <t>INVALIDO</t>
  </si>
  <si>
    <t>SALIDA DE AMBULANCIA</t>
  </si>
  <si>
    <t>SERVICIOS GENERALES</t>
  </si>
  <si>
    <t>HORARIO DIURNO (08:00 - 17:00)</t>
  </si>
  <si>
    <t>HORARIO SAR (17:00 - 07:59)</t>
  </si>
  <si>
    <t xml:space="preserve">OTRAS SALIDAS </t>
  </si>
  <si>
    <t>CESFAM COIHUECO</t>
  </si>
  <si>
    <t>CESFAM DR.FED. PUGA CH. VIEJO</t>
  </si>
  <si>
    <t>CESFAM LOS VOLCANES</t>
  </si>
  <si>
    <t>CESFAM MICHELLE BACHELET JERIA</t>
  </si>
  <si>
    <t>CESFAM QUINCHAMALI</t>
  </si>
  <si>
    <t>CESFAM SAN GREGORIO</t>
  </si>
  <si>
    <t>CESFAM SAN RAMON NONATO</t>
  </si>
  <si>
    <t>CESFAM SANTA CLARA BULNES</t>
  </si>
  <si>
    <t>CESFAM SOL DE ORIENTE</t>
  </si>
  <si>
    <t>CESFAM TERESA BALDECCHI</t>
  </si>
  <si>
    <t>CESFAM ULTRAESTACION</t>
  </si>
  <si>
    <t>CESFAM VIOLETA PARRA</t>
  </si>
  <si>
    <t>CONS. NO DEFINIDO</t>
  </si>
  <si>
    <t>CONS. RURAL PINTO</t>
  </si>
  <si>
    <t>CONS. RURAL PORTEZUELO</t>
  </si>
  <si>
    <t>CONS. RURAL QUILLON</t>
  </si>
  <si>
    <t>CONS. RURAL SAN FABIAN</t>
  </si>
  <si>
    <t>CONS. RURAL SAN IGNACIO</t>
  </si>
  <si>
    <t>CONS. RURAL SAN NICOLAS</t>
  </si>
  <si>
    <t>CONS. RURAL TREHUACO</t>
  </si>
  <si>
    <t>CONS. SAN RAFAEL (LA PINTANA)</t>
  </si>
  <si>
    <t>CONSULTORIO CAMPANARIO</t>
  </si>
  <si>
    <t>CONSULTORIO DE NIPAS</t>
  </si>
  <si>
    <t>CONSULTORIO DURAN TRUJILLO</t>
  </si>
  <si>
    <t>CONSULTORIO PEMUCO</t>
  </si>
  <si>
    <t>CONSULTORIO RURAL PUEBLO SECO</t>
  </si>
  <si>
    <t>CONSULTORIO RURAL QUIRIQUINA</t>
  </si>
  <si>
    <t>DESAMU COELEMU</t>
  </si>
  <si>
    <t>DESAMU EL CARMEN</t>
  </si>
  <si>
    <t>HOSPITAL COMUNITARIO BULNES</t>
  </si>
  <si>
    <t>HOSPITAL COMUNITARIO COELEMU</t>
  </si>
  <si>
    <t>HOSPITAL COMUNITARIO DE YUNGAY</t>
  </si>
  <si>
    <t>HOSPITAL COMUNITARIO EL CARMEN</t>
  </si>
  <si>
    <t>HOSPITAL COMUNITARIO QUIRIHUE</t>
  </si>
  <si>
    <t>HOSPITAL SAN CARLOS</t>
  </si>
  <si>
    <t>ISABEL RIQUELME</t>
  </si>
  <si>
    <t>SI CONSULTORIO</t>
  </si>
  <si>
    <t>SIN CONSULTORIO ASOCIADO</t>
  </si>
  <si>
    <t>UAPO COELEMU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</si>
</sst>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2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theme="1"/>
      <name val="Calibri"/>
      <family val="2"/>
    </font>
    <font>
      <i/>
      <sz val="14"/>
      <color theme="1"/>
      <name val="Calibri"/>
      <family val="2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</font>
  </fonts>
  <fills count="5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9CC2E5"/>
        <bgColor rgb="FF9CC2E5"/>
      </patternFill>
    </fill>
    <fill>
      <patternFill patternType="solid">
        <fgColor rgb="FF2E75B5"/>
        <bgColor rgb="FF2E75B5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FFC000"/>
        <bgColor rgb="FFFFC000"/>
      </patternFill>
    </fill>
    <fill>
      <patternFill patternType="solid">
        <fgColor rgb="FF8496B0"/>
        <bgColor rgb="FF8496B0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4" fillId="0" borderId="52" applyNumberFormat="0" applyFill="0" applyAlignment="0" applyProtection="0"/>
    <xf numFmtId="0" fontId="15" fillId="0" borderId="53" applyNumberFormat="0" applyFill="0" applyAlignment="0" applyProtection="0"/>
    <xf numFmtId="0" fontId="16" fillId="0" borderId="54" applyNumberFormat="0" applyFill="0" applyAlignment="0" applyProtection="0"/>
    <xf numFmtId="0" fontId="19" fillId="20" borderId="55" applyNumberFormat="0" applyAlignment="0" applyProtection="0"/>
    <xf numFmtId="0" fontId="20" fillId="21" borderId="56" applyNumberFormat="0" applyAlignment="0" applyProtection="0"/>
    <xf numFmtId="0" fontId="21" fillId="21" borderId="55" applyNumberFormat="0" applyAlignment="0" applyProtection="0"/>
    <xf numFmtId="0" fontId="22" fillId="0" borderId="57" applyNumberFormat="0" applyFill="0" applyAlignment="0" applyProtection="0"/>
    <xf numFmtId="0" fontId="23" fillId="22" borderId="58" applyNumberFormat="0" applyAlignment="0" applyProtection="0"/>
    <xf numFmtId="0" fontId="26" fillId="0" borderId="60" applyNumberFormat="0" applyFill="0" applyAlignment="0" applyProtection="0"/>
    <xf numFmtId="0" fontId="1" fillId="0" borderId="27"/>
    <xf numFmtId="0" fontId="13" fillId="0" borderId="27" applyNumberFormat="0" applyFill="0" applyBorder="0" applyAlignment="0" applyProtection="0"/>
    <xf numFmtId="0" fontId="16" fillId="0" borderId="27" applyNumberFormat="0" applyFill="0" applyBorder="0" applyAlignment="0" applyProtection="0"/>
    <xf numFmtId="0" fontId="17" fillId="17" borderId="27" applyNumberFormat="0" applyBorder="0" applyAlignment="0" applyProtection="0"/>
    <xf numFmtId="0" fontId="18" fillId="18" borderId="27" applyNumberFormat="0" applyBorder="0" applyAlignment="0" applyProtection="0"/>
    <xf numFmtId="0" fontId="28" fillId="19" borderId="27" applyNumberFormat="0" applyBorder="0" applyAlignment="0" applyProtection="0"/>
    <xf numFmtId="0" fontId="24" fillId="0" borderId="27" applyNumberFormat="0" applyFill="0" applyBorder="0" applyAlignment="0" applyProtection="0"/>
    <xf numFmtId="0" fontId="1" fillId="23" borderId="59" applyNumberFormat="0" applyFont="0" applyAlignment="0" applyProtection="0"/>
    <xf numFmtId="0" fontId="25" fillId="0" borderId="27" applyNumberFormat="0" applyFill="0" applyBorder="0" applyAlignment="0" applyProtection="0"/>
    <xf numFmtId="0" fontId="27" fillId="24" borderId="27" applyNumberFormat="0" applyBorder="0" applyAlignment="0" applyProtection="0"/>
    <xf numFmtId="0" fontId="1" fillId="25" borderId="27" applyNumberFormat="0" applyBorder="0" applyAlignment="0" applyProtection="0"/>
    <xf numFmtId="0" fontId="1" fillId="26" borderId="27" applyNumberFormat="0" applyBorder="0" applyAlignment="0" applyProtection="0"/>
    <xf numFmtId="0" fontId="1" fillId="27" borderId="27" applyNumberFormat="0" applyBorder="0" applyAlignment="0" applyProtection="0"/>
    <xf numFmtId="0" fontId="27" fillId="28" borderId="27" applyNumberFormat="0" applyBorder="0" applyAlignment="0" applyProtection="0"/>
    <xf numFmtId="0" fontId="1" fillId="29" borderId="27" applyNumberFormat="0" applyBorder="0" applyAlignment="0" applyProtection="0"/>
    <xf numFmtId="0" fontId="1" fillId="30" borderId="27" applyNumberFormat="0" applyBorder="0" applyAlignment="0" applyProtection="0"/>
    <xf numFmtId="0" fontId="1" fillId="31" borderId="27" applyNumberFormat="0" applyBorder="0" applyAlignment="0" applyProtection="0"/>
    <xf numFmtId="0" fontId="27" fillId="32" borderId="27" applyNumberFormat="0" applyBorder="0" applyAlignment="0" applyProtection="0"/>
    <xf numFmtId="0" fontId="1" fillId="33" borderId="27" applyNumberFormat="0" applyBorder="0" applyAlignment="0" applyProtection="0"/>
    <xf numFmtId="0" fontId="1" fillId="34" borderId="27" applyNumberFormat="0" applyBorder="0" applyAlignment="0" applyProtection="0"/>
    <xf numFmtId="0" fontId="1" fillId="35" borderId="27" applyNumberFormat="0" applyBorder="0" applyAlignment="0" applyProtection="0"/>
    <xf numFmtId="0" fontId="27" fillId="36" borderId="27" applyNumberFormat="0" applyBorder="0" applyAlignment="0" applyProtection="0"/>
    <xf numFmtId="0" fontId="1" fillId="37" borderId="27" applyNumberFormat="0" applyBorder="0" applyAlignment="0" applyProtection="0"/>
    <xf numFmtId="0" fontId="1" fillId="38" borderId="27" applyNumberFormat="0" applyBorder="0" applyAlignment="0" applyProtection="0"/>
    <xf numFmtId="0" fontId="1" fillId="39" borderId="27" applyNumberFormat="0" applyBorder="0" applyAlignment="0" applyProtection="0"/>
    <xf numFmtId="0" fontId="27" fillId="40" borderId="27" applyNumberFormat="0" applyBorder="0" applyAlignment="0" applyProtection="0"/>
    <xf numFmtId="0" fontId="1" fillId="41" borderId="27" applyNumberFormat="0" applyBorder="0" applyAlignment="0" applyProtection="0"/>
    <xf numFmtId="0" fontId="1" fillId="42" borderId="27" applyNumberFormat="0" applyBorder="0" applyAlignment="0" applyProtection="0"/>
    <xf numFmtId="0" fontId="1" fillId="43" borderId="27" applyNumberFormat="0" applyBorder="0" applyAlignment="0" applyProtection="0"/>
    <xf numFmtId="0" fontId="27" fillId="44" borderId="27" applyNumberFormat="0" applyBorder="0" applyAlignment="0" applyProtection="0"/>
    <xf numFmtId="0" fontId="1" fillId="45" borderId="27" applyNumberFormat="0" applyBorder="0" applyAlignment="0" applyProtection="0"/>
    <xf numFmtId="0" fontId="1" fillId="46" borderId="27" applyNumberFormat="0" applyBorder="0" applyAlignment="0" applyProtection="0"/>
    <xf numFmtId="0" fontId="1" fillId="47" borderId="27" applyNumberFormat="0" applyBorder="0" applyAlignment="0" applyProtection="0"/>
  </cellStyleXfs>
  <cellXfs count="370">
    <xf numFmtId="0" fontId="0" fillId="0" borderId="0" xfId="0"/>
    <xf numFmtId="0" fontId="4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vertical="center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left" vertical="center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left" vertical="center"/>
    </xf>
    <xf numFmtId="0" fontId="7" fillId="6" borderId="13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 vertical="center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vertical="center"/>
    </xf>
    <xf numFmtId="0" fontId="7" fillId="5" borderId="19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left" vertical="center"/>
    </xf>
    <xf numFmtId="0" fontId="7" fillId="6" borderId="22" xfId="0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left" vertical="center"/>
    </xf>
    <xf numFmtId="0" fontId="7" fillId="6" borderId="25" xfId="0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vertical="center"/>
    </xf>
    <xf numFmtId="0" fontId="7" fillId="8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vertical="center"/>
    </xf>
    <xf numFmtId="0" fontId="6" fillId="6" borderId="21" xfId="0" applyFont="1" applyFill="1" applyBorder="1" applyAlignment="1">
      <alignment vertical="center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vertical="center"/>
    </xf>
    <xf numFmtId="0" fontId="7" fillId="9" borderId="7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vertical="center"/>
    </xf>
    <xf numFmtId="0" fontId="7" fillId="9" borderId="10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vertical="center"/>
    </xf>
    <xf numFmtId="0" fontId="7" fillId="9" borderId="22" xfId="0" applyFont="1" applyFill="1" applyBorder="1" applyAlignment="1">
      <alignment horizontal="center" vertical="center" wrapText="1"/>
    </xf>
    <xf numFmtId="0" fontId="7" fillId="9" borderId="23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vertical="center"/>
    </xf>
    <xf numFmtId="0" fontId="7" fillId="10" borderId="7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10" borderId="24" xfId="0" applyFont="1" applyFill="1" applyBorder="1" applyAlignment="1">
      <alignment vertical="center"/>
    </xf>
    <xf numFmtId="0" fontId="6" fillId="10" borderId="21" xfId="0" applyFont="1" applyFill="1" applyBorder="1" applyAlignment="1">
      <alignment vertical="center"/>
    </xf>
    <xf numFmtId="0" fontId="6" fillId="7" borderId="18" xfId="0" applyFont="1" applyFill="1" applyBorder="1" applyAlignment="1">
      <alignment vertical="center"/>
    </xf>
    <xf numFmtId="0" fontId="7" fillId="7" borderId="19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vertical="center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/>
    </xf>
    <xf numFmtId="2" fontId="6" fillId="6" borderId="12" xfId="0" applyNumberFormat="1" applyFont="1" applyFill="1" applyBorder="1" applyAlignment="1">
      <alignment horizontal="center" vertical="center"/>
    </xf>
    <xf numFmtId="16" fontId="6" fillId="6" borderId="12" xfId="0" applyNumberFormat="1" applyFont="1" applyFill="1" applyBorder="1" applyAlignment="1">
      <alignment horizontal="center" vertical="center"/>
    </xf>
    <xf numFmtId="49" fontId="6" fillId="6" borderId="12" xfId="0" applyNumberFormat="1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9" fillId="0" borderId="0" xfId="0" applyFont="1"/>
    <xf numFmtId="0" fontId="6" fillId="2" borderId="33" xfId="0" applyFont="1" applyFill="1" applyBorder="1" applyAlignment="1">
      <alignment vertical="center"/>
    </xf>
    <xf numFmtId="0" fontId="7" fillId="2" borderId="34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vertical="center"/>
    </xf>
    <xf numFmtId="0" fontId="7" fillId="11" borderId="5" xfId="0" applyFont="1" applyFill="1" applyBorder="1" applyAlignment="1">
      <alignment horizontal="center" vertical="center" wrapText="1"/>
    </xf>
    <xf numFmtId="0" fontId="7" fillId="11" borderId="36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vertical="center"/>
    </xf>
    <xf numFmtId="0" fontId="7" fillId="12" borderId="5" xfId="0" applyFont="1" applyFill="1" applyBorder="1" applyAlignment="1">
      <alignment horizontal="center" vertical="center" wrapText="1"/>
    </xf>
    <xf numFmtId="0" fontId="7" fillId="12" borderId="36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vertical="center"/>
    </xf>
    <xf numFmtId="0" fontId="7" fillId="12" borderId="10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8" fillId="0" borderId="0" xfId="0" applyFont="1"/>
    <xf numFmtId="0" fontId="6" fillId="12" borderId="12" xfId="0" applyFont="1" applyFill="1" applyBorder="1" applyAlignment="1">
      <alignment vertical="center"/>
    </xf>
    <xf numFmtId="0" fontId="7" fillId="12" borderId="13" xfId="0" applyFont="1" applyFill="1" applyBorder="1" applyAlignment="1">
      <alignment horizontal="center" vertical="center" wrapText="1"/>
    </xf>
    <xf numFmtId="0" fontId="7" fillId="12" borderId="14" xfId="0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vertical="center"/>
    </xf>
    <xf numFmtId="0" fontId="7" fillId="12" borderId="16" xfId="0" applyFont="1" applyFill="1" applyBorder="1" applyAlignment="1">
      <alignment horizontal="center" vertical="center" wrapText="1"/>
    </xf>
    <xf numFmtId="0" fontId="7" fillId="12" borderId="17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6" fillId="11" borderId="18" xfId="0" applyFont="1" applyFill="1" applyBorder="1" applyAlignment="1">
      <alignment vertical="center"/>
    </xf>
    <xf numFmtId="0" fontId="7" fillId="11" borderId="19" xfId="0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horizontal="center" vertical="center" wrapText="1"/>
    </xf>
    <xf numFmtId="0" fontId="7" fillId="11" borderId="18" xfId="0" applyFont="1" applyFill="1" applyBorder="1" applyAlignment="1">
      <alignment horizontal="center" vertical="center" wrapText="1"/>
    </xf>
    <xf numFmtId="0" fontId="6" fillId="0" borderId="0" xfId="0" applyFont="1"/>
    <xf numFmtId="0" fontId="7" fillId="2" borderId="15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vertical="center"/>
    </xf>
    <xf numFmtId="0" fontId="7" fillId="11" borderId="7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left" vertical="center"/>
    </xf>
    <xf numFmtId="0" fontId="6" fillId="12" borderId="15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vertical="center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vertical="center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vertical="center"/>
    </xf>
    <xf numFmtId="0" fontId="7" fillId="4" borderId="22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6" fillId="10" borderId="18" xfId="0" applyFont="1" applyFill="1" applyBorder="1" applyAlignment="1">
      <alignment vertical="center"/>
    </xf>
    <xf numFmtId="0" fontId="7" fillId="4" borderId="19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6" fillId="13" borderId="18" xfId="0" applyFont="1" applyFill="1" applyBorder="1" applyAlignment="1">
      <alignment vertical="center"/>
    </xf>
    <xf numFmtId="0" fontId="7" fillId="13" borderId="19" xfId="0" applyFont="1" applyFill="1" applyBorder="1" applyAlignment="1">
      <alignment horizontal="center" vertical="center" wrapText="1"/>
    </xf>
    <xf numFmtId="0" fontId="7" fillId="13" borderId="20" xfId="0" applyFont="1" applyFill="1" applyBorder="1" applyAlignment="1">
      <alignment horizontal="center" vertical="center" wrapText="1"/>
    </xf>
    <xf numFmtId="0" fontId="7" fillId="13" borderId="18" xfId="0" applyFont="1" applyFill="1" applyBorder="1" applyAlignment="1">
      <alignment horizontal="center" vertical="center" wrapText="1"/>
    </xf>
    <xf numFmtId="0" fontId="6" fillId="13" borderId="15" xfId="0" applyFont="1" applyFill="1" applyBorder="1" applyAlignment="1">
      <alignment vertical="center"/>
    </xf>
    <xf numFmtId="0" fontId="7" fillId="13" borderId="16" xfId="0" applyFont="1" applyFill="1" applyBorder="1" applyAlignment="1">
      <alignment horizontal="center" vertical="center" wrapText="1"/>
    </xf>
    <xf numFmtId="0" fontId="7" fillId="13" borderId="17" xfId="0" applyFont="1" applyFill="1" applyBorder="1" applyAlignment="1">
      <alignment horizontal="center" vertical="center" wrapText="1"/>
    </xf>
    <xf numFmtId="0" fontId="7" fillId="13" borderId="1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vertical="center"/>
    </xf>
    <xf numFmtId="0" fontId="7" fillId="14" borderId="10" xfId="0" applyFont="1" applyFill="1" applyBorder="1" applyAlignment="1">
      <alignment horizontal="center" vertical="center" wrapText="1"/>
    </xf>
    <xf numFmtId="0" fontId="7" fillId="14" borderId="11" xfId="0" applyFont="1" applyFill="1" applyBorder="1" applyAlignment="1">
      <alignment horizontal="center" vertical="center" wrapText="1"/>
    </xf>
    <xf numFmtId="0" fontId="7" fillId="14" borderId="18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vertical="center"/>
    </xf>
    <xf numFmtId="0" fontId="6" fillId="11" borderId="9" xfId="0" applyFont="1" applyFill="1" applyBorder="1" applyAlignment="1">
      <alignment vertical="center"/>
    </xf>
    <xf numFmtId="0" fontId="7" fillId="11" borderId="13" xfId="0" applyFont="1" applyFill="1" applyBorder="1" applyAlignment="1">
      <alignment horizontal="center" vertical="center" wrapText="1"/>
    </xf>
    <xf numFmtId="0" fontId="7" fillId="11" borderId="14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8" fillId="11" borderId="27" xfId="0" applyFont="1" applyFill="1" applyBorder="1"/>
    <xf numFmtId="0" fontId="6" fillId="13" borderId="12" xfId="0" applyFont="1" applyFill="1" applyBorder="1" applyAlignment="1">
      <alignment vertical="center"/>
    </xf>
    <xf numFmtId="0" fontId="7" fillId="13" borderId="13" xfId="0" applyFont="1" applyFill="1" applyBorder="1" applyAlignment="1">
      <alignment horizontal="center" vertical="center" wrapText="1"/>
    </xf>
    <xf numFmtId="0" fontId="7" fillId="13" borderId="14" xfId="0" applyFont="1" applyFill="1" applyBorder="1" applyAlignment="1">
      <alignment horizontal="center" vertical="center" wrapText="1"/>
    </xf>
    <xf numFmtId="0" fontId="7" fillId="13" borderId="12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vertical="center"/>
    </xf>
    <xf numFmtId="0" fontId="7" fillId="7" borderId="22" xfId="0" applyFont="1" applyFill="1" applyBorder="1" applyAlignment="1">
      <alignment horizontal="center"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vertical="center"/>
    </xf>
    <xf numFmtId="0" fontId="6" fillId="7" borderId="15" xfId="0" applyFont="1" applyFill="1" applyBorder="1" applyAlignment="1">
      <alignment vertical="center"/>
    </xf>
    <xf numFmtId="0" fontId="6" fillId="15" borderId="6" xfId="0" applyFont="1" applyFill="1" applyBorder="1" applyAlignment="1">
      <alignment vertical="center"/>
    </xf>
    <xf numFmtId="0" fontId="7" fillId="15" borderId="7" xfId="0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center" vertical="center" wrapText="1"/>
    </xf>
    <xf numFmtId="0" fontId="7" fillId="15" borderId="6" xfId="0" applyFont="1" applyFill="1" applyBorder="1" applyAlignment="1">
      <alignment horizontal="center" vertical="center" wrapText="1"/>
    </xf>
    <xf numFmtId="0" fontId="6" fillId="15" borderId="9" xfId="0" applyFont="1" applyFill="1" applyBorder="1" applyAlignment="1">
      <alignment vertical="center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1" xfId="0" applyFont="1" applyFill="1" applyBorder="1" applyAlignment="1">
      <alignment horizontal="center" vertical="center" wrapText="1"/>
    </xf>
    <xf numFmtId="0" fontId="7" fillId="15" borderId="9" xfId="0" applyFont="1" applyFill="1" applyBorder="1" applyAlignment="1">
      <alignment horizontal="center" vertical="center" wrapText="1"/>
    </xf>
    <xf numFmtId="0" fontId="6" fillId="15" borderId="12" xfId="0" applyFont="1" applyFill="1" applyBorder="1" applyAlignment="1">
      <alignment vertical="center"/>
    </xf>
    <xf numFmtId="0" fontId="7" fillId="15" borderId="13" xfId="0" applyFont="1" applyFill="1" applyBorder="1" applyAlignment="1">
      <alignment horizontal="center" vertical="center" wrapText="1"/>
    </xf>
    <xf numFmtId="0" fontId="7" fillId="15" borderId="14" xfId="0" applyFont="1" applyFill="1" applyBorder="1" applyAlignment="1">
      <alignment horizontal="center" vertical="center" wrapText="1"/>
    </xf>
    <xf numFmtId="0" fontId="7" fillId="15" borderId="12" xfId="0" applyFont="1" applyFill="1" applyBorder="1" applyAlignment="1">
      <alignment horizontal="center" vertical="center" wrapText="1"/>
    </xf>
    <xf numFmtId="0" fontId="6" fillId="15" borderId="15" xfId="0" applyFont="1" applyFill="1" applyBorder="1" applyAlignment="1">
      <alignment vertical="center"/>
    </xf>
    <xf numFmtId="0" fontId="7" fillId="15" borderId="16" xfId="0" applyFont="1" applyFill="1" applyBorder="1" applyAlignment="1">
      <alignment horizontal="center" vertical="center" wrapText="1"/>
    </xf>
    <xf numFmtId="0" fontId="7" fillId="15" borderId="17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vertical="center"/>
    </xf>
    <xf numFmtId="0" fontId="7" fillId="11" borderId="10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6" fillId="11" borderId="21" xfId="0" applyFont="1" applyFill="1" applyBorder="1" applyAlignment="1">
      <alignment vertical="center"/>
    </xf>
    <xf numFmtId="0" fontId="7" fillId="11" borderId="22" xfId="0" applyFont="1" applyFill="1" applyBorder="1" applyAlignment="1">
      <alignment horizontal="center" vertical="center" wrapText="1"/>
    </xf>
    <xf numFmtId="0" fontId="7" fillId="11" borderId="23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vertical="center"/>
    </xf>
    <xf numFmtId="0" fontId="6" fillId="11" borderId="18" xfId="0" applyFont="1" applyFill="1" applyBorder="1" applyAlignment="1">
      <alignment horizontal="left" vertical="center"/>
    </xf>
    <xf numFmtId="0" fontId="6" fillId="16" borderId="12" xfId="0" applyFont="1" applyFill="1" applyBorder="1" applyAlignment="1">
      <alignment horizontal="left" vertical="center"/>
    </xf>
    <xf numFmtId="0" fontId="10" fillId="16" borderId="13" xfId="0" applyFont="1" applyFill="1" applyBorder="1" applyAlignment="1">
      <alignment horizontal="center" vertical="center" wrapText="1"/>
    </xf>
    <xf numFmtId="0" fontId="10" fillId="16" borderId="14" xfId="0" applyFont="1" applyFill="1" applyBorder="1" applyAlignment="1">
      <alignment horizontal="center" vertical="center" wrapText="1"/>
    </xf>
    <xf numFmtId="0" fontId="7" fillId="7" borderId="38" xfId="0" applyFont="1" applyFill="1" applyBorder="1" applyAlignment="1">
      <alignment horizontal="center" vertical="center" wrapText="1"/>
    </xf>
    <xf numFmtId="0" fontId="6" fillId="16" borderId="15" xfId="0" applyFont="1" applyFill="1" applyBorder="1" applyAlignment="1">
      <alignment horizontal="left" vertical="center"/>
    </xf>
    <xf numFmtId="0" fontId="10" fillId="16" borderId="16" xfId="0" applyFont="1" applyFill="1" applyBorder="1" applyAlignment="1">
      <alignment horizontal="center" vertical="center" wrapText="1"/>
    </xf>
    <xf numFmtId="0" fontId="10" fillId="16" borderId="17" xfId="0" applyFont="1" applyFill="1" applyBorder="1" applyAlignment="1">
      <alignment horizontal="center" vertical="center" wrapText="1"/>
    </xf>
    <xf numFmtId="0" fontId="7" fillId="16" borderId="17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center" wrapText="1"/>
    </xf>
    <xf numFmtId="0" fontId="7" fillId="6" borderId="41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center" vertical="center" wrapText="1"/>
    </xf>
    <xf numFmtId="0" fontId="7" fillId="6" borderId="43" xfId="0" applyFont="1" applyFill="1" applyBorder="1" applyAlignment="1">
      <alignment horizontal="center" vertical="center" wrapText="1"/>
    </xf>
    <xf numFmtId="0" fontId="7" fillId="6" borderId="44" xfId="0" applyFont="1" applyFill="1" applyBorder="1" applyAlignment="1">
      <alignment horizontal="center" vertical="center" wrapText="1"/>
    </xf>
    <xf numFmtId="0" fontId="7" fillId="6" borderId="45" xfId="0" applyFont="1" applyFill="1" applyBorder="1" applyAlignment="1">
      <alignment horizontal="center" vertical="center" wrapText="1"/>
    </xf>
    <xf numFmtId="0" fontId="7" fillId="7" borderId="46" xfId="0" applyFont="1" applyFill="1" applyBorder="1" applyAlignment="1">
      <alignment horizontal="center" vertical="center" wrapText="1"/>
    </xf>
    <xf numFmtId="0" fontId="7" fillId="9" borderId="47" xfId="0" applyFont="1" applyFill="1" applyBorder="1" applyAlignment="1">
      <alignment horizontal="center" vertical="center" wrapText="1"/>
    </xf>
    <xf numFmtId="0" fontId="7" fillId="9" borderId="44" xfId="0" applyFont="1" applyFill="1" applyBorder="1" applyAlignment="1">
      <alignment horizontal="center" vertical="center" wrapText="1"/>
    </xf>
    <xf numFmtId="0" fontId="7" fillId="7" borderId="48" xfId="0" applyFont="1" applyFill="1" applyBorder="1" applyAlignment="1">
      <alignment horizontal="center" vertical="center" wrapText="1"/>
    </xf>
    <xf numFmtId="0" fontId="7" fillId="7" borderId="42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7" fillId="11" borderId="50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12" borderId="50" xfId="0" applyFont="1" applyFill="1" applyBorder="1" applyAlignment="1">
      <alignment horizontal="center" vertical="center" wrapText="1"/>
    </xf>
    <xf numFmtId="0" fontId="7" fillId="12" borderId="41" xfId="0" applyFont="1" applyFill="1" applyBorder="1" applyAlignment="1">
      <alignment horizontal="center" vertical="center" wrapText="1"/>
    </xf>
    <xf numFmtId="0" fontId="7" fillId="12" borderId="42" xfId="0" applyFont="1" applyFill="1" applyBorder="1" applyAlignment="1">
      <alignment horizontal="center" vertical="center" wrapText="1"/>
    </xf>
    <xf numFmtId="0" fontId="7" fillId="12" borderId="43" xfId="0" applyFont="1" applyFill="1" applyBorder="1" applyAlignment="1">
      <alignment horizontal="center" vertical="center" wrapText="1"/>
    </xf>
    <xf numFmtId="0" fontId="7" fillId="11" borderId="48" xfId="0" applyFont="1" applyFill="1" applyBorder="1" applyAlignment="1">
      <alignment horizontal="center" vertical="center" wrapText="1"/>
    </xf>
    <xf numFmtId="0" fontId="7" fillId="11" borderId="46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5" borderId="46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7" fillId="4" borderId="42" xfId="0" applyFont="1" applyFill="1" applyBorder="1" applyAlignment="1">
      <alignment horizontal="center" vertical="center" wrapText="1"/>
    </xf>
    <xf numFmtId="0" fontId="7" fillId="4" borderId="44" xfId="0" applyFont="1" applyFill="1" applyBorder="1" applyAlignment="1">
      <alignment horizontal="center" vertical="center" wrapText="1"/>
    </xf>
    <xf numFmtId="0" fontId="7" fillId="4" borderId="46" xfId="0" applyFont="1" applyFill="1" applyBorder="1" applyAlignment="1">
      <alignment horizontal="center" vertical="center" wrapText="1"/>
    </xf>
    <xf numFmtId="0" fontId="7" fillId="4" borderId="48" xfId="0" applyFont="1" applyFill="1" applyBorder="1" applyAlignment="1">
      <alignment horizontal="center" vertical="center" wrapText="1"/>
    </xf>
    <xf numFmtId="0" fontId="7" fillId="4" borderId="45" xfId="0" applyFont="1" applyFill="1" applyBorder="1" applyAlignment="1">
      <alignment horizontal="center" vertical="center" wrapText="1"/>
    </xf>
    <xf numFmtId="0" fontId="7" fillId="13" borderId="48" xfId="0" applyFont="1" applyFill="1" applyBorder="1" applyAlignment="1">
      <alignment horizontal="center" vertical="center" wrapText="1"/>
    </xf>
    <xf numFmtId="0" fontId="7" fillId="13" borderId="43" xfId="0" applyFont="1" applyFill="1" applyBorder="1" applyAlignment="1">
      <alignment horizontal="center" vertical="center" wrapText="1"/>
    </xf>
    <xf numFmtId="0" fontId="7" fillId="6" borderId="46" xfId="0" applyFont="1" applyFill="1" applyBorder="1" applyAlignment="1">
      <alignment horizontal="center" vertical="center" wrapText="1"/>
    </xf>
    <xf numFmtId="0" fontId="7" fillId="14" borderId="41" xfId="0" applyFont="1" applyFill="1" applyBorder="1" applyAlignment="1">
      <alignment horizontal="center" vertical="center" wrapText="1"/>
    </xf>
    <xf numFmtId="0" fontId="7" fillId="11" borderId="42" xfId="0" applyFont="1" applyFill="1" applyBorder="1" applyAlignment="1">
      <alignment horizontal="center" vertical="center" wrapText="1"/>
    </xf>
    <xf numFmtId="0" fontId="7" fillId="13" borderId="42" xfId="0" applyFont="1" applyFill="1" applyBorder="1" applyAlignment="1">
      <alignment horizontal="center" vertical="center" wrapText="1"/>
    </xf>
    <xf numFmtId="0" fontId="7" fillId="7" borderId="44" xfId="0" applyFont="1" applyFill="1" applyBorder="1" applyAlignment="1">
      <alignment horizontal="center" vertical="center" wrapText="1"/>
    </xf>
    <xf numFmtId="0" fontId="7" fillId="15" borderId="46" xfId="0" applyFont="1" applyFill="1" applyBorder="1" applyAlignment="1">
      <alignment horizontal="center" vertical="center" wrapText="1"/>
    </xf>
    <xf numFmtId="0" fontId="7" fillId="15" borderId="41" xfId="0" applyFont="1" applyFill="1" applyBorder="1" applyAlignment="1">
      <alignment horizontal="center" vertical="center" wrapText="1"/>
    </xf>
    <xf numFmtId="0" fontId="7" fillId="15" borderId="42" xfId="0" applyFont="1" applyFill="1" applyBorder="1" applyAlignment="1">
      <alignment horizontal="center" vertical="center" wrapText="1"/>
    </xf>
    <xf numFmtId="0" fontId="7" fillId="15" borderId="43" xfId="0" applyFont="1" applyFill="1" applyBorder="1" applyAlignment="1">
      <alignment horizontal="center" vertical="center" wrapText="1"/>
    </xf>
    <xf numFmtId="0" fontId="7" fillId="11" borderId="47" xfId="0" applyFont="1" applyFill="1" applyBorder="1" applyAlignment="1">
      <alignment horizontal="center" vertical="center" wrapText="1"/>
    </xf>
    <xf numFmtId="0" fontId="7" fillId="11" borderId="51" xfId="0" applyFont="1" applyFill="1" applyBorder="1" applyAlignment="1">
      <alignment horizontal="center" vertical="center" wrapText="1"/>
    </xf>
    <xf numFmtId="0" fontId="10" fillId="16" borderId="42" xfId="0" applyFont="1" applyFill="1" applyBorder="1" applyAlignment="1">
      <alignment horizontal="center" vertical="center" wrapText="1"/>
    </xf>
    <xf numFmtId="0" fontId="10" fillId="16" borderId="38" xfId="0" applyFont="1" applyFill="1" applyBorder="1" applyAlignment="1">
      <alignment horizontal="center" vertical="center" wrapText="1"/>
    </xf>
    <xf numFmtId="0" fontId="7" fillId="16" borderId="34" xfId="0" applyFont="1" applyFill="1" applyBorder="1" applyAlignment="1">
      <alignment horizontal="center" vertical="center" wrapText="1"/>
    </xf>
    <xf numFmtId="0" fontId="7" fillId="16" borderId="35" xfId="0" applyFont="1" applyFill="1" applyBorder="1" applyAlignment="1">
      <alignment horizontal="center" vertical="center" wrapText="1"/>
    </xf>
    <xf numFmtId="0" fontId="7" fillId="16" borderId="4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9" borderId="36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0" fillId="48" borderId="0" xfId="0" applyFill="1"/>
    <xf numFmtId="0" fontId="5" fillId="49" borderId="36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3" fillId="0" borderId="30" xfId="0" applyFont="1" applyBorder="1"/>
    <xf numFmtId="0" fontId="8" fillId="0" borderId="28" xfId="0" applyFont="1" applyBorder="1" applyAlignment="1">
      <alignment vertical="center" wrapText="1"/>
    </xf>
    <xf numFmtId="0" fontId="0" fillId="0" borderId="0" xfId="0" applyProtection="1">
      <protection locked="0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5" fillId="0" borderId="36" xfId="0" applyFont="1" applyBorder="1" applyAlignment="1" applyProtection="1">
      <alignment horizontal="center" vertical="center" wrapText="1"/>
      <protection locked="0"/>
    </xf>
    <xf numFmtId="0" fontId="5" fillId="4" borderId="36" xfId="0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6" fillId="5" borderId="6" xfId="0" applyFont="1" applyFill="1" applyBorder="1" applyAlignment="1" applyProtection="1">
      <alignment vertical="center"/>
      <protection locked="0"/>
    </xf>
    <xf numFmtId="0" fontId="6" fillId="6" borderId="9" xfId="0" applyFont="1" applyFill="1" applyBorder="1" applyAlignment="1" applyProtection="1">
      <alignment horizontal="left" vertical="center"/>
      <protection locked="0"/>
    </xf>
    <xf numFmtId="0" fontId="7" fillId="6" borderId="14" xfId="0" applyFont="1" applyFill="1" applyBorder="1" applyAlignment="1" applyProtection="1">
      <alignment horizontal="center" vertical="center" wrapText="1"/>
      <protection locked="0"/>
    </xf>
    <xf numFmtId="0" fontId="7" fillId="6" borderId="11" xfId="0" applyFont="1" applyFill="1" applyBorder="1" applyAlignment="1" applyProtection="1">
      <alignment horizontal="center" vertical="center" wrapText="1"/>
      <protection locked="0"/>
    </xf>
    <xf numFmtId="0" fontId="6" fillId="6" borderId="12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left" vertical="center"/>
      <protection locked="0"/>
    </xf>
    <xf numFmtId="0" fontId="7" fillId="6" borderId="17" xfId="0" applyFont="1" applyFill="1" applyBorder="1" applyAlignment="1" applyProtection="1">
      <alignment horizontal="center" vertical="center" wrapText="1"/>
      <protection locked="0"/>
    </xf>
    <xf numFmtId="0" fontId="6" fillId="5" borderId="18" xfId="0" applyFont="1" applyFill="1" applyBorder="1" applyAlignment="1" applyProtection="1">
      <alignment vertical="center"/>
      <protection locked="0"/>
    </xf>
    <xf numFmtId="0" fontId="7" fillId="6" borderId="23" xfId="0" applyFont="1" applyFill="1" applyBorder="1" applyAlignment="1" applyProtection="1">
      <alignment horizontal="center" vertical="center" wrapText="1"/>
      <protection locked="0"/>
    </xf>
    <xf numFmtId="0" fontId="6" fillId="6" borderId="21" xfId="0" applyFont="1" applyFill="1" applyBorder="1" applyAlignment="1" applyProtection="1">
      <alignment horizontal="left" vertical="center"/>
      <protection locked="0"/>
    </xf>
    <xf numFmtId="0" fontId="7" fillId="6" borderId="26" xfId="0" applyFont="1" applyFill="1" applyBorder="1" applyAlignment="1" applyProtection="1">
      <alignment horizontal="center" vertical="center" wrapText="1"/>
      <protection locked="0"/>
    </xf>
    <xf numFmtId="0" fontId="6" fillId="7" borderId="6" xfId="0" applyFont="1" applyFill="1" applyBorder="1" applyAlignment="1" applyProtection="1">
      <alignment vertical="center"/>
      <protection locked="0"/>
    </xf>
    <xf numFmtId="0" fontId="6" fillId="6" borderId="9" xfId="0" applyFont="1" applyFill="1" applyBorder="1" applyAlignment="1" applyProtection="1">
      <alignment vertical="center"/>
      <protection locked="0"/>
    </xf>
    <xf numFmtId="0" fontId="6" fillId="6" borderId="21" xfId="0" applyFont="1" applyFill="1" applyBorder="1" applyAlignment="1" applyProtection="1">
      <alignment vertical="center"/>
      <protection locked="0"/>
    </xf>
    <xf numFmtId="0" fontId="7" fillId="2" borderId="23" xfId="0" applyFont="1" applyFill="1" applyBorder="1" applyAlignment="1" applyProtection="1">
      <alignment horizontal="center" vertical="center" wrapText="1"/>
      <protection locked="0"/>
    </xf>
    <xf numFmtId="0" fontId="6" fillId="9" borderId="6" xfId="0" applyFont="1" applyFill="1" applyBorder="1" applyAlignment="1" applyProtection="1">
      <alignment vertical="center"/>
      <protection locked="0"/>
    </xf>
    <xf numFmtId="0" fontId="6" fillId="9" borderId="24" xfId="0" applyFont="1" applyFill="1" applyBorder="1" applyAlignment="1" applyProtection="1">
      <alignment vertical="center"/>
      <protection locked="0"/>
    </xf>
    <xf numFmtId="0" fontId="7" fillId="9" borderId="11" xfId="0" applyFont="1" applyFill="1" applyBorder="1" applyAlignment="1" applyProtection="1">
      <alignment horizontal="center" vertical="center" wrapText="1"/>
      <protection locked="0"/>
    </xf>
    <xf numFmtId="0" fontId="6" fillId="9" borderId="21" xfId="0" applyFont="1" applyFill="1" applyBorder="1" applyAlignment="1" applyProtection="1">
      <alignment vertical="center"/>
      <protection locked="0"/>
    </xf>
    <xf numFmtId="0" fontId="7" fillId="9" borderId="23" xfId="0" applyFont="1" applyFill="1" applyBorder="1" applyAlignment="1" applyProtection="1">
      <alignment horizontal="center" vertical="center" wrapText="1"/>
      <protection locked="0"/>
    </xf>
    <xf numFmtId="0" fontId="6" fillId="10" borderId="6" xfId="0" applyFont="1" applyFill="1" applyBorder="1" applyAlignment="1" applyProtection="1">
      <alignment vertical="center"/>
      <protection locked="0"/>
    </xf>
    <xf numFmtId="0" fontId="6" fillId="10" borderId="24" xfId="0" applyFont="1" applyFill="1" applyBorder="1" applyAlignment="1" applyProtection="1">
      <alignment vertical="center"/>
      <protection locked="0"/>
    </xf>
    <xf numFmtId="0" fontId="6" fillId="10" borderId="21" xfId="0" applyFont="1" applyFill="1" applyBorder="1" applyAlignment="1" applyProtection="1">
      <alignment vertical="center"/>
      <protection locked="0"/>
    </xf>
    <xf numFmtId="0" fontId="6" fillId="7" borderId="18" xfId="0" applyFont="1" applyFill="1" applyBorder="1" applyAlignment="1" applyProtection="1">
      <alignment vertical="center"/>
      <protection locked="0"/>
    </xf>
    <xf numFmtId="0" fontId="6" fillId="7" borderId="12" xfId="0" applyFont="1" applyFill="1" applyBorder="1" applyAlignment="1" applyProtection="1">
      <alignment vertical="center"/>
      <protection locked="0"/>
    </xf>
    <xf numFmtId="0" fontId="7" fillId="7" borderId="14" xfId="0" applyFont="1" applyFill="1" applyBorder="1" applyAlignment="1" applyProtection="1">
      <alignment horizontal="center" vertical="center" wrapText="1"/>
      <protection locked="0"/>
    </xf>
    <xf numFmtId="0" fontId="6" fillId="6" borderId="12" xfId="0" applyFont="1" applyFill="1" applyBorder="1" applyAlignment="1" applyProtection="1">
      <alignment horizontal="center" vertical="center"/>
      <protection locked="0"/>
    </xf>
    <xf numFmtId="2" fontId="6" fillId="6" borderId="12" xfId="0" applyNumberFormat="1" applyFont="1" applyFill="1" applyBorder="1" applyAlignment="1" applyProtection="1">
      <alignment horizontal="center" vertical="center"/>
      <protection locked="0"/>
    </xf>
    <xf numFmtId="16" fontId="6" fillId="6" borderId="12" xfId="0" applyNumberFormat="1" applyFont="1" applyFill="1" applyBorder="1" applyAlignment="1" applyProtection="1">
      <alignment horizontal="center" vertical="center"/>
      <protection locked="0"/>
    </xf>
    <xf numFmtId="49" fontId="6" fillId="6" borderId="12" xfId="0" applyNumberFormat="1" applyFont="1" applyFill="1" applyBorder="1" applyAlignment="1" applyProtection="1">
      <alignment horizontal="center" vertical="center" wrapText="1"/>
      <protection locked="0"/>
    </xf>
    <xf numFmtId="0" fontId="6" fillId="6" borderId="12" xfId="0" applyFont="1" applyFill="1" applyBorder="1" applyAlignment="1" applyProtection="1">
      <alignment horizontal="center" vertical="center" wrapText="1"/>
      <protection locked="0"/>
    </xf>
    <xf numFmtId="0" fontId="6" fillId="2" borderId="2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/>
      <protection locked="0"/>
    </xf>
    <xf numFmtId="0" fontId="6" fillId="6" borderId="12" xfId="0" applyFont="1" applyFill="1" applyBorder="1" applyAlignment="1" applyProtection="1">
      <alignment vertical="center"/>
      <protection locked="0"/>
    </xf>
    <xf numFmtId="0" fontId="6" fillId="2" borderId="15" xfId="0" applyFont="1" applyFill="1" applyBorder="1" applyAlignment="1" applyProtection="1">
      <alignment vertical="center"/>
      <protection locked="0"/>
    </xf>
    <xf numFmtId="0" fontId="7" fillId="2" borderId="17" xfId="0" applyFont="1" applyFill="1" applyBorder="1" applyAlignment="1" applyProtection="1">
      <alignment horizontal="center" vertical="center" wrapText="1"/>
      <protection locked="0"/>
    </xf>
    <xf numFmtId="0" fontId="0" fillId="48" borderId="0" xfId="0" applyFill="1" applyAlignment="1" applyProtection="1">
      <alignment horizontal="left"/>
      <protection locked="0"/>
    </xf>
    <xf numFmtId="0" fontId="6" fillId="2" borderId="33" xfId="0" applyFont="1" applyFill="1" applyBorder="1" applyAlignment="1" applyProtection="1">
      <alignment vertical="center"/>
      <protection locked="0"/>
    </xf>
    <xf numFmtId="0" fontId="6" fillId="4" borderId="9" xfId="0" applyFont="1" applyFill="1" applyBorder="1" applyAlignment="1" applyProtection="1">
      <alignment vertical="center"/>
      <protection locked="0"/>
    </xf>
    <xf numFmtId="0" fontId="7" fillId="4" borderId="11" xfId="0" applyFont="1" applyFill="1" applyBorder="1" applyAlignment="1" applyProtection="1">
      <alignment horizontal="center" vertical="center" wrapText="1"/>
      <protection locked="0"/>
    </xf>
    <xf numFmtId="0" fontId="6" fillId="4" borderId="12" xfId="0" applyFont="1" applyFill="1" applyBorder="1" applyAlignment="1" applyProtection="1">
      <alignment vertical="center"/>
      <protection locked="0"/>
    </xf>
    <xf numFmtId="0" fontId="7" fillId="4" borderId="14" xfId="0" applyFont="1" applyFill="1" applyBorder="1" applyAlignment="1" applyProtection="1">
      <alignment horizontal="center" vertical="center" wrapText="1"/>
      <protection locked="0"/>
    </xf>
    <xf numFmtId="0" fontId="6" fillId="4" borderId="21" xfId="0" applyFont="1" applyFill="1" applyBorder="1" applyAlignment="1" applyProtection="1">
      <alignment vertical="center"/>
      <protection locked="0"/>
    </xf>
    <xf numFmtId="0" fontId="7" fillId="4" borderId="23" xfId="0" applyFont="1" applyFill="1" applyBorder="1" applyAlignment="1" applyProtection="1">
      <alignment horizontal="center" vertical="center" wrapText="1"/>
      <protection locked="0"/>
    </xf>
    <xf numFmtId="0" fontId="6" fillId="10" borderId="18" xfId="0" applyFont="1" applyFill="1" applyBorder="1" applyAlignment="1" applyProtection="1">
      <alignment vertical="center"/>
      <protection locked="0"/>
    </xf>
    <xf numFmtId="0" fontId="7" fillId="4" borderId="20" xfId="0" applyFont="1" applyFill="1" applyBorder="1" applyAlignment="1" applyProtection="1">
      <alignment horizontal="center" vertical="center" wrapText="1"/>
      <protection locked="0"/>
    </xf>
    <xf numFmtId="0" fontId="7" fillId="4" borderId="26" xfId="0" applyFont="1" applyFill="1" applyBorder="1" applyAlignment="1" applyProtection="1">
      <alignment horizontal="center" vertical="center" wrapText="1"/>
      <protection locked="0"/>
    </xf>
    <xf numFmtId="0" fontId="6" fillId="13" borderId="18" xfId="0" applyFont="1" applyFill="1" applyBorder="1" applyAlignment="1" applyProtection="1">
      <alignment vertical="center"/>
      <protection locked="0"/>
    </xf>
    <xf numFmtId="0" fontId="7" fillId="13" borderId="20" xfId="0" applyFont="1" applyFill="1" applyBorder="1" applyAlignment="1" applyProtection="1">
      <alignment horizontal="center" vertical="center" wrapText="1"/>
      <protection locked="0"/>
    </xf>
    <xf numFmtId="0" fontId="6" fillId="13" borderId="15" xfId="0" applyFont="1" applyFill="1" applyBorder="1" applyAlignment="1" applyProtection="1">
      <alignment vertical="center"/>
      <protection locked="0"/>
    </xf>
    <xf numFmtId="0" fontId="7" fillId="13" borderId="17" xfId="0" applyFont="1" applyFill="1" applyBorder="1" applyAlignment="1" applyProtection="1">
      <alignment horizontal="center" vertical="center" wrapText="1"/>
      <protection locked="0"/>
    </xf>
    <xf numFmtId="0" fontId="6" fillId="6" borderId="6" xfId="0" applyFont="1" applyFill="1" applyBorder="1" applyAlignment="1" applyProtection="1">
      <alignment vertical="center"/>
      <protection locked="0"/>
    </xf>
    <xf numFmtId="0" fontId="6" fillId="14" borderId="9" xfId="0" applyFont="1" applyFill="1" applyBorder="1" applyAlignment="1" applyProtection="1">
      <alignment vertical="center"/>
      <protection locked="0"/>
    </xf>
    <xf numFmtId="0" fontId="7" fillId="14" borderId="11" xfId="0" applyFont="1" applyFill="1" applyBorder="1" applyAlignment="1" applyProtection="1">
      <alignment horizontal="center" vertical="center" wrapText="1"/>
      <protection locked="0"/>
    </xf>
    <xf numFmtId="0" fontId="6" fillId="7" borderId="9" xfId="0" applyFont="1" applyFill="1" applyBorder="1" applyAlignment="1" applyProtection="1">
      <alignment vertical="center"/>
      <protection locked="0"/>
    </xf>
    <xf numFmtId="0" fontId="6" fillId="11" borderId="9" xfId="0" applyFont="1" applyFill="1" applyBorder="1" applyAlignment="1" applyProtection="1">
      <alignment vertical="center"/>
      <protection locked="0"/>
    </xf>
    <xf numFmtId="0" fontId="7" fillId="11" borderId="14" xfId="0" applyFont="1" applyFill="1" applyBorder="1" applyAlignment="1" applyProtection="1">
      <alignment horizontal="center" vertical="center" wrapText="1"/>
      <protection locked="0"/>
    </xf>
    <xf numFmtId="0" fontId="0" fillId="48" borderId="0" xfId="0" applyFill="1" applyProtection="1">
      <protection locked="0"/>
    </xf>
    <xf numFmtId="0" fontId="6" fillId="13" borderId="12" xfId="0" applyFont="1" applyFill="1" applyBorder="1" applyAlignment="1" applyProtection="1">
      <alignment vertical="center"/>
      <protection locked="0"/>
    </xf>
    <xf numFmtId="0" fontId="7" fillId="13" borderId="14" xfId="0" applyFont="1" applyFill="1" applyBorder="1" applyAlignment="1" applyProtection="1">
      <alignment horizontal="center" vertical="center" wrapText="1"/>
      <protection locked="0"/>
    </xf>
    <xf numFmtId="0" fontId="6" fillId="7" borderId="21" xfId="0" applyFont="1" applyFill="1" applyBorder="1" applyAlignment="1" applyProtection="1">
      <alignment vertical="center"/>
      <protection locked="0"/>
    </xf>
    <xf numFmtId="0" fontId="7" fillId="7" borderId="23" xfId="0" applyFont="1" applyFill="1" applyBorder="1" applyAlignment="1" applyProtection="1">
      <alignment horizontal="center" vertical="center" wrapText="1"/>
      <protection locked="0"/>
    </xf>
    <xf numFmtId="0" fontId="6" fillId="7" borderId="24" xfId="0" applyFont="1" applyFill="1" applyBorder="1" applyAlignment="1" applyProtection="1">
      <alignment vertical="center"/>
      <protection locked="0"/>
    </xf>
    <xf numFmtId="0" fontId="6" fillId="7" borderId="15" xfId="0" applyFont="1" applyFill="1" applyBorder="1" applyAlignment="1" applyProtection="1">
      <alignment vertical="center"/>
      <protection locked="0"/>
    </xf>
    <xf numFmtId="0" fontId="6" fillId="15" borderId="6" xfId="0" applyFont="1" applyFill="1" applyBorder="1" applyAlignment="1" applyProtection="1">
      <alignment vertical="center"/>
      <protection locked="0"/>
    </xf>
    <xf numFmtId="0" fontId="6" fillId="15" borderId="9" xfId="0" applyFont="1" applyFill="1" applyBorder="1" applyAlignment="1" applyProtection="1">
      <alignment vertical="center"/>
      <protection locked="0"/>
    </xf>
    <xf numFmtId="0" fontId="7" fillId="15" borderId="11" xfId="0" applyFont="1" applyFill="1" applyBorder="1" applyAlignment="1" applyProtection="1">
      <alignment horizontal="center" vertical="center" wrapText="1"/>
      <protection locked="0"/>
    </xf>
    <xf numFmtId="0" fontId="6" fillId="15" borderId="12" xfId="0" applyFont="1" applyFill="1" applyBorder="1" applyAlignment="1" applyProtection="1">
      <alignment vertical="center"/>
      <protection locked="0"/>
    </xf>
    <xf numFmtId="0" fontId="7" fillId="15" borderId="14" xfId="0" applyFont="1" applyFill="1" applyBorder="1" applyAlignment="1" applyProtection="1">
      <alignment horizontal="center" vertical="center" wrapText="1"/>
      <protection locked="0"/>
    </xf>
    <xf numFmtId="0" fontId="6" fillId="15" borderId="15" xfId="0" applyFont="1" applyFill="1" applyBorder="1" applyAlignment="1" applyProtection="1">
      <alignment vertical="center"/>
      <protection locked="0"/>
    </xf>
    <xf numFmtId="0" fontId="7" fillId="15" borderId="17" xfId="0" applyFont="1" applyFill="1" applyBorder="1" applyAlignment="1" applyProtection="1">
      <alignment horizontal="center" vertical="center" wrapText="1"/>
      <protection locked="0"/>
    </xf>
    <xf numFmtId="0" fontId="6" fillId="11" borderId="18" xfId="0" applyFont="1" applyFill="1" applyBorder="1" applyAlignment="1" applyProtection="1">
      <alignment horizontal="left" vertical="center"/>
      <protection locked="0"/>
    </xf>
    <xf numFmtId="0" fontId="7" fillId="11" borderId="36" xfId="0" applyFont="1" applyFill="1" applyBorder="1" applyAlignment="1" applyProtection="1">
      <alignment horizontal="center" vertical="center" wrapText="1"/>
      <protection locked="0"/>
    </xf>
    <xf numFmtId="0" fontId="6" fillId="16" borderId="12" xfId="0" applyFont="1" applyFill="1" applyBorder="1" applyAlignment="1" applyProtection="1">
      <alignment horizontal="left" vertical="center"/>
      <protection locked="0"/>
    </xf>
    <xf numFmtId="0" fontId="10" fillId="16" borderId="14" xfId="0" applyFont="1" applyFill="1" applyBorder="1" applyAlignment="1" applyProtection="1">
      <alignment horizontal="center" vertical="center" wrapText="1"/>
      <protection locked="0"/>
    </xf>
    <xf numFmtId="0" fontId="10" fillId="16" borderId="38" xfId="0" applyFont="1" applyFill="1" applyBorder="1" applyAlignment="1" applyProtection="1">
      <alignment horizontal="center" vertical="center" wrapText="1"/>
      <protection locked="0"/>
    </xf>
    <xf numFmtId="0" fontId="6" fillId="16" borderId="15" xfId="0" applyFont="1" applyFill="1" applyBorder="1" applyAlignment="1" applyProtection="1">
      <alignment horizontal="left" vertical="center"/>
      <protection locked="0"/>
    </xf>
    <xf numFmtId="0" fontId="10" fillId="16" borderId="17" xfId="0" applyFont="1" applyFill="1" applyBorder="1" applyAlignment="1" applyProtection="1">
      <alignment horizontal="center" vertical="center" wrapText="1"/>
      <protection locked="0"/>
    </xf>
    <xf numFmtId="0" fontId="7" fillId="16" borderId="35" xfId="0" applyFont="1" applyFill="1" applyBorder="1" applyAlignment="1" applyProtection="1">
      <alignment horizontal="center" vertical="center" wrapText="1"/>
      <protection locked="0"/>
    </xf>
    <xf numFmtId="0" fontId="7" fillId="16" borderId="49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26" fillId="0" borderId="0" xfId="0" applyFont="1" applyProtection="1">
      <protection locked="0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8" fillId="0" borderId="28" xfId="0" applyFont="1" applyBorder="1" applyAlignment="1">
      <alignment horizontal="center" vertical="center" wrapText="1"/>
    </xf>
    <xf numFmtId="0" fontId="3" fillId="0" borderId="29" xfId="0" applyFont="1" applyBorder="1"/>
    <xf numFmtId="0" fontId="3" fillId="0" borderId="30" xfId="0" applyFont="1" applyBorder="1"/>
    <xf numFmtId="0" fontId="6" fillId="2" borderId="37" xfId="0" applyFont="1" applyFill="1" applyBorder="1" applyAlignment="1">
      <alignment horizontal="center" vertical="center" wrapText="1"/>
    </xf>
    <xf numFmtId="0" fontId="3" fillId="0" borderId="39" xfId="0" applyFont="1" applyBorder="1"/>
    <xf numFmtId="0" fontId="3" fillId="0" borderId="40" xfId="0" applyFont="1" applyBorder="1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</cellXfs>
  <cellStyles count="43">
    <cellStyle name="20% - Énfasis1 2" xfId="20" xr:uid="{00000000-0005-0000-0000-000000000000}"/>
    <cellStyle name="20% - Énfasis2 2" xfId="24" xr:uid="{00000000-0005-0000-0000-000001000000}"/>
    <cellStyle name="20% - Énfasis3 2" xfId="28" xr:uid="{00000000-0005-0000-0000-000002000000}"/>
    <cellStyle name="20% - Énfasis4 2" xfId="32" xr:uid="{00000000-0005-0000-0000-000003000000}"/>
    <cellStyle name="20% - Énfasis5 2" xfId="36" xr:uid="{00000000-0005-0000-0000-000004000000}"/>
    <cellStyle name="20% - Énfasis6 2" xfId="40" xr:uid="{00000000-0005-0000-0000-000005000000}"/>
    <cellStyle name="40% - Énfasis1 2" xfId="21" xr:uid="{00000000-0005-0000-0000-000006000000}"/>
    <cellStyle name="40% - Énfasis2 2" xfId="25" xr:uid="{00000000-0005-0000-0000-000007000000}"/>
    <cellStyle name="40% - Énfasis3 2" xfId="29" xr:uid="{00000000-0005-0000-0000-000008000000}"/>
    <cellStyle name="40% - Énfasis4 2" xfId="33" xr:uid="{00000000-0005-0000-0000-000009000000}"/>
    <cellStyle name="40% - Énfasis5 2" xfId="37" xr:uid="{00000000-0005-0000-0000-00000A000000}"/>
    <cellStyle name="40% - Énfasis6 2" xfId="41" xr:uid="{00000000-0005-0000-0000-00000B000000}"/>
    <cellStyle name="60% - Énfasis1 2" xfId="22" xr:uid="{00000000-0005-0000-0000-00000C000000}"/>
    <cellStyle name="60% - Énfasis2 2" xfId="26" xr:uid="{00000000-0005-0000-0000-00000D000000}"/>
    <cellStyle name="60% - Énfasis3 2" xfId="30" xr:uid="{00000000-0005-0000-0000-00000E000000}"/>
    <cellStyle name="60% - Énfasis4 2" xfId="34" xr:uid="{00000000-0005-0000-0000-00000F000000}"/>
    <cellStyle name="60% - Énfasis5 2" xfId="38" xr:uid="{00000000-0005-0000-0000-000010000000}"/>
    <cellStyle name="60% - Énfasis6 2" xfId="42" xr:uid="{00000000-0005-0000-0000-000011000000}"/>
    <cellStyle name="Buena 2" xfId="13" xr:uid="{00000000-0005-0000-0000-000012000000}"/>
    <cellStyle name="Cálculo" xfId="6" builtinId="22" customBuiltin="1"/>
    <cellStyle name="Celda de comprobación" xfId="8" builtinId="23" customBuiltin="1"/>
    <cellStyle name="Celda vinculada" xfId="7" builtinId="24" customBuiltin="1"/>
    <cellStyle name="Encabezado 1" xfId="1" builtinId="16" customBuiltin="1"/>
    <cellStyle name="Encabezado 4 2" xfId="12" xr:uid="{00000000-0005-0000-0000-000017000000}"/>
    <cellStyle name="Énfasis1 2" xfId="19" xr:uid="{00000000-0005-0000-0000-000018000000}"/>
    <cellStyle name="Énfasis2 2" xfId="23" xr:uid="{00000000-0005-0000-0000-000019000000}"/>
    <cellStyle name="Énfasis3 2" xfId="27" xr:uid="{00000000-0005-0000-0000-00001A000000}"/>
    <cellStyle name="Énfasis4 2" xfId="31" xr:uid="{00000000-0005-0000-0000-00001B000000}"/>
    <cellStyle name="Énfasis5 2" xfId="35" xr:uid="{00000000-0005-0000-0000-00001C000000}"/>
    <cellStyle name="Énfasis6 2" xfId="39" xr:uid="{00000000-0005-0000-0000-00001D000000}"/>
    <cellStyle name="Entrada" xfId="4" builtinId="20" customBuiltin="1"/>
    <cellStyle name="Incorrecto 2" xfId="14" xr:uid="{00000000-0005-0000-0000-00001F000000}"/>
    <cellStyle name="Neutral 2" xfId="15" xr:uid="{00000000-0005-0000-0000-000020000000}"/>
    <cellStyle name="Normal" xfId="0" builtinId="0"/>
    <cellStyle name="Normal 2" xfId="10" xr:uid="{00000000-0005-0000-0000-000022000000}"/>
    <cellStyle name="Notas 2" xfId="17" xr:uid="{00000000-0005-0000-0000-000023000000}"/>
    <cellStyle name="Salida" xfId="5" builtinId="21" customBuiltin="1"/>
    <cellStyle name="Texto de advertencia 2" xfId="16" xr:uid="{00000000-0005-0000-0000-000025000000}"/>
    <cellStyle name="Texto explicativo 2" xfId="18" xr:uid="{00000000-0005-0000-0000-000026000000}"/>
    <cellStyle name="Título 2" xfId="2" builtinId="17" customBuiltin="1"/>
    <cellStyle name="Título 3" xfId="3" builtinId="18" customBuiltin="1"/>
    <cellStyle name="Título 4" xfId="11" xr:uid="{00000000-0005-0000-0000-000029000000}"/>
    <cellStyle name="Total" xfId="9" builtinId="25" customBuiltin="1"/>
  </cellStyles>
  <dxfs count="118"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1790700</xdr:colOff>
          <xdr:row>1</xdr:row>
          <xdr:rowOff>38100</xdr:rowOff>
        </xdr:from>
        <xdr:to>
          <xdr:col>0</xdr:col>
          <xdr:colOff>2219325</xdr:colOff>
          <xdr:row>1</xdr:row>
          <xdr:rowOff>295275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1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OK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1790700</xdr:colOff>
          <xdr:row>1</xdr:row>
          <xdr:rowOff>38100</xdr:rowOff>
        </xdr:from>
        <xdr:to>
          <xdr:col>0</xdr:col>
          <xdr:colOff>2219325</xdr:colOff>
          <xdr:row>1</xdr:row>
          <xdr:rowOff>295275</xdr:rowOff>
        </xdr:to>
        <xdr:sp macro="" textlink="">
          <xdr:nvSpPr>
            <xdr:cNvPr id="14348" name="Button 12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0C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OK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1790700</xdr:colOff>
          <xdr:row>1</xdr:row>
          <xdr:rowOff>38100</xdr:rowOff>
        </xdr:from>
        <xdr:to>
          <xdr:col>0</xdr:col>
          <xdr:colOff>2219325</xdr:colOff>
          <xdr:row>1</xdr:row>
          <xdr:rowOff>295275</xdr:rowOff>
        </xdr:to>
        <xdr:sp macro="" textlink="">
          <xdr:nvSpPr>
            <xdr:cNvPr id="18433" name="Butto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D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OK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1000"/>
  <sheetViews>
    <sheetView tabSelected="1" zoomScale="85" zoomScaleNormal="85" workbookViewId="0">
      <selection sqref="A1:N1"/>
    </sheetView>
  </sheetViews>
  <sheetFormatPr baseColWidth="10" defaultColWidth="14.42578125" defaultRowHeight="15" customHeight="1" x14ac:dyDescent="0.25"/>
  <cols>
    <col min="1" max="1" width="34.7109375" customWidth="1"/>
    <col min="2" max="13" width="12.28515625" customWidth="1"/>
    <col min="14" max="14" width="11.140625" customWidth="1"/>
    <col min="15" max="15" width="12.42578125" customWidth="1"/>
    <col min="16" max="26" width="10.7109375" customWidth="1"/>
  </cols>
  <sheetData>
    <row r="1" spans="1:14" ht="21" x14ac:dyDescent="0.25">
      <c r="A1" s="358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60"/>
    </row>
    <row r="2" spans="1:14" ht="31.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</row>
    <row r="3" spans="1:14" ht="18.75" x14ac:dyDescent="0.25">
      <c r="A3" s="4" t="s">
        <v>14</v>
      </c>
      <c r="B3" s="5">
        <f>+ENERO!$AG3</f>
        <v>6791</v>
      </c>
      <c r="C3" s="5">
        <f>+FEBRERO!$AG3</f>
        <v>5643</v>
      </c>
      <c r="D3" s="5">
        <f>+MARZO!$AG3</f>
        <v>8086</v>
      </c>
      <c r="E3" s="5">
        <f>+ABRIL!$AG3</f>
        <v>7514</v>
      </c>
      <c r="F3" s="5">
        <f>+MAYO!$AG3</f>
        <v>8107</v>
      </c>
      <c r="G3" s="5">
        <f>+JUNIO!$AG3</f>
        <v>5854</v>
      </c>
      <c r="H3" s="5">
        <f>+Julio!$AG3</f>
        <v>5599</v>
      </c>
      <c r="I3" s="5">
        <f>+agosto!$AG3</f>
        <v>6783</v>
      </c>
      <c r="J3" s="5">
        <f>+septiembre!$AG3</f>
        <v>7200</v>
      </c>
      <c r="K3" s="5">
        <f>+OCTUBRE!$AG3</f>
        <v>8467</v>
      </c>
      <c r="L3" s="5">
        <f>+NOVIEMBRE!$AG3</f>
        <v>7348</v>
      </c>
      <c r="M3" s="5">
        <f>+DICIEMBRE!$AG3</f>
        <v>6844</v>
      </c>
      <c r="N3" s="7">
        <f t="shared" ref="N3:N145" si="0">SUM(B3:M3)</f>
        <v>84236</v>
      </c>
    </row>
    <row r="4" spans="1:14" ht="18.75" x14ac:dyDescent="0.25">
      <c r="A4" s="8" t="s">
        <v>15</v>
      </c>
      <c r="B4" s="9">
        <f>+ENERO!$AG4</f>
        <v>272</v>
      </c>
      <c r="C4" s="9">
        <f>+FEBRERO!$AG4</f>
        <v>234</v>
      </c>
      <c r="D4" s="9">
        <f>+MARZO!$AG4</f>
        <v>420</v>
      </c>
      <c r="E4" s="9">
        <f>+ABRIL!$AG4</f>
        <v>411</v>
      </c>
      <c r="F4" s="9">
        <f>+MAYO!$AG4</f>
        <v>431</v>
      </c>
      <c r="G4" s="9">
        <f>+JUNIO!$AG4</f>
        <v>278</v>
      </c>
      <c r="H4" s="9">
        <f>+Julio!$AG4</f>
        <v>249</v>
      </c>
      <c r="I4" s="9">
        <f>+agosto!$AG4</f>
        <v>322</v>
      </c>
      <c r="J4" s="9">
        <f>+septiembre!$AG4</f>
        <v>328</v>
      </c>
      <c r="K4" s="9">
        <f>+OCTUBRE!$AG4</f>
        <v>507</v>
      </c>
      <c r="L4" s="9">
        <f>+NOVIEMBRE!$AG4</f>
        <v>406</v>
      </c>
      <c r="M4" s="9">
        <f>+DICIEMBRE!$AG4</f>
        <v>341</v>
      </c>
      <c r="N4" s="11">
        <f t="shared" si="0"/>
        <v>4199</v>
      </c>
    </row>
    <row r="5" spans="1:14" ht="18.75" x14ac:dyDescent="0.25">
      <c r="A5" s="12" t="s">
        <v>16</v>
      </c>
      <c r="B5" s="13">
        <f>+ENERO!$AG5</f>
        <v>357</v>
      </c>
      <c r="C5" s="13">
        <f>+FEBRERO!$AG5</f>
        <v>310</v>
      </c>
      <c r="D5" s="13">
        <f>+MARZO!$AG5</f>
        <v>534</v>
      </c>
      <c r="E5" s="13">
        <f>+ABRIL!$AG5</f>
        <v>444</v>
      </c>
      <c r="F5" s="13">
        <f>+MAYO!$AG5</f>
        <v>509</v>
      </c>
      <c r="G5" s="13">
        <f>+JUNIO!$AG5</f>
        <v>355</v>
      </c>
      <c r="H5" s="13">
        <f>+Julio!$AG5</f>
        <v>319</v>
      </c>
      <c r="I5" s="13">
        <f>+agosto!$AG5</f>
        <v>404</v>
      </c>
      <c r="J5" s="13">
        <f>+septiembre!$AG5</f>
        <v>418</v>
      </c>
      <c r="K5" s="13">
        <f>+OCTUBRE!$AG5</f>
        <v>546</v>
      </c>
      <c r="L5" s="13">
        <f>+NOVIEMBRE!$AG5</f>
        <v>443</v>
      </c>
      <c r="M5" s="13">
        <f>+DICIEMBRE!$AG5</f>
        <v>372</v>
      </c>
      <c r="N5" s="15">
        <f t="shared" si="0"/>
        <v>5011</v>
      </c>
    </row>
    <row r="6" spans="1:14" ht="18.75" x14ac:dyDescent="0.25">
      <c r="A6" s="12" t="s">
        <v>17</v>
      </c>
      <c r="B6" s="13">
        <f>+ENERO!$AG6</f>
        <v>406</v>
      </c>
      <c r="C6" s="13">
        <f>+FEBRERO!$AG6</f>
        <v>335</v>
      </c>
      <c r="D6" s="13">
        <f>+MARZO!$AG6</f>
        <v>538</v>
      </c>
      <c r="E6" s="13">
        <f>+ABRIL!$AG6</f>
        <v>549</v>
      </c>
      <c r="F6" s="13">
        <f>+MAYO!$AG6</f>
        <v>552</v>
      </c>
      <c r="G6" s="13">
        <f>+JUNIO!$AG6</f>
        <v>417</v>
      </c>
      <c r="H6" s="13">
        <f>+Julio!$AG6</f>
        <v>376</v>
      </c>
      <c r="I6" s="13">
        <f>+agosto!$AG6</f>
        <v>451</v>
      </c>
      <c r="J6" s="13">
        <f>+septiembre!$AG6</f>
        <v>491</v>
      </c>
      <c r="K6" s="13">
        <f>+OCTUBRE!$AG6</f>
        <v>589</v>
      </c>
      <c r="L6" s="13">
        <f>+NOVIEMBRE!$AG6</f>
        <v>507</v>
      </c>
      <c r="M6" s="13">
        <f>+DICIEMBRE!$AG6</f>
        <v>463</v>
      </c>
      <c r="N6" s="15">
        <f t="shared" si="0"/>
        <v>5674</v>
      </c>
    </row>
    <row r="7" spans="1:14" ht="18.75" x14ac:dyDescent="0.25">
      <c r="A7" s="12" t="s">
        <v>18</v>
      </c>
      <c r="B7" s="13">
        <f>+ENERO!$AG7</f>
        <v>448</v>
      </c>
      <c r="C7" s="13">
        <f>+FEBRERO!$AG7</f>
        <v>311</v>
      </c>
      <c r="D7" s="13">
        <f>+MARZO!$AG7</f>
        <v>535</v>
      </c>
      <c r="E7" s="13">
        <f>+ABRIL!$AG7</f>
        <v>569</v>
      </c>
      <c r="F7" s="13">
        <f>+MAYO!$AG7</f>
        <v>611</v>
      </c>
      <c r="G7" s="13">
        <f>+JUNIO!$AG7</f>
        <v>436</v>
      </c>
      <c r="H7" s="13">
        <f>+Julio!$AG7</f>
        <v>373</v>
      </c>
      <c r="I7" s="13">
        <f>+agosto!$AG7</f>
        <v>475</v>
      </c>
      <c r="J7" s="13">
        <f>+septiembre!$AG7</f>
        <v>488</v>
      </c>
      <c r="K7" s="13">
        <f>+OCTUBRE!$AG7</f>
        <v>603</v>
      </c>
      <c r="L7" s="13">
        <f>+NOVIEMBRE!$AG7</f>
        <v>507</v>
      </c>
      <c r="M7" s="13">
        <f>+DICIEMBRE!$AG7</f>
        <v>428</v>
      </c>
      <c r="N7" s="15">
        <f t="shared" si="0"/>
        <v>5784</v>
      </c>
    </row>
    <row r="8" spans="1:14" ht="18.75" x14ac:dyDescent="0.25">
      <c r="A8" s="12" t="s">
        <v>19</v>
      </c>
      <c r="B8" s="13">
        <f>+ENERO!$AG8</f>
        <v>430</v>
      </c>
      <c r="C8" s="13">
        <f>+FEBRERO!$AG8</f>
        <v>347</v>
      </c>
      <c r="D8" s="13">
        <f>+MARZO!$AG8</f>
        <v>502</v>
      </c>
      <c r="E8" s="13">
        <f>+ABRIL!$AG8</f>
        <v>515</v>
      </c>
      <c r="F8" s="13">
        <f>+MAYO!$AG8</f>
        <v>543</v>
      </c>
      <c r="G8" s="13">
        <f>+JUNIO!$AG8</f>
        <v>381</v>
      </c>
      <c r="H8" s="13">
        <f>+Julio!$AG8</f>
        <v>365</v>
      </c>
      <c r="I8" s="13">
        <f>+agosto!$AG8</f>
        <v>418</v>
      </c>
      <c r="J8" s="13">
        <f>+septiembre!$AG8</f>
        <v>466</v>
      </c>
      <c r="K8" s="13">
        <f>+OCTUBRE!$AG8</f>
        <v>544</v>
      </c>
      <c r="L8" s="13">
        <f>+NOVIEMBRE!$AG8</f>
        <v>509</v>
      </c>
      <c r="M8" s="13">
        <f>+DICIEMBRE!$AG8</f>
        <v>444</v>
      </c>
      <c r="N8" s="15">
        <f t="shared" si="0"/>
        <v>5464</v>
      </c>
    </row>
    <row r="9" spans="1:14" ht="18.75" x14ac:dyDescent="0.25">
      <c r="A9" s="12" t="s">
        <v>20</v>
      </c>
      <c r="B9" s="13">
        <f>+ENERO!$AG9</f>
        <v>303</v>
      </c>
      <c r="C9" s="13">
        <f>+FEBRERO!$AG9</f>
        <v>283</v>
      </c>
      <c r="D9" s="13">
        <f>+MARZO!$AG9</f>
        <v>417</v>
      </c>
      <c r="E9" s="13">
        <f>+ABRIL!$AG9</f>
        <v>382</v>
      </c>
      <c r="F9" s="13">
        <f>+MAYO!$AG9</f>
        <v>454</v>
      </c>
      <c r="G9" s="13">
        <f>+JUNIO!$AG9</f>
        <v>329</v>
      </c>
      <c r="H9" s="13">
        <f>+Julio!$AG9</f>
        <v>334</v>
      </c>
      <c r="I9" s="13">
        <f>+agosto!$AG9</f>
        <v>410</v>
      </c>
      <c r="J9" s="13">
        <f>+septiembre!$AG9</f>
        <v>423</v>
      </c>
      <c r="K9" s="13">
        <f>+OCTUBRE!$AG9</f>
        <v>468</v>
      </c>
      <c r="L9" s="13">
        <f>+NOVIEMBRE!$AG9</f>
        <v>365</v>
      </c>
      <c r="M9" s="13">
        <f>+DICIEMBRE!$AG9</f>
        <v>345</v>
      </c>
      <c r="N9" s="15">
        <f t="shared" si="0"/>
        <v>4513</v>
      </c>
    </row>
    <row r="10" spans="1:14" ht="18.75" x14ac:dyDescent="0.25">
      <c r="A10" s="12" t="s">
        <v>21</v>
      </c>
      <c r="B10" s="13">
        <f>+ENERO!$AG10</f>
        <v>322</v>
      </c>
      <c r="C10" s="13">
        <f>+FEBRERO!$AG10</f>
        <v>293</v>
      </c>
      <c r="D10" s="13">
        <f>+MARZO!$AG10</f>
        <v>429</v>
      </c>
      <c r="E10" s="13">
        <f>+ABRIL!$AG10</f>
        <v>419</v>
      </c>
      <c r="F10" s="13">
        <f>+MAYO!$AG10</f>
        <v>531</v>
      </c>
      <c r="G10" s="13">
        <f>+JUNIO!$AG10</f>
        <v>358</v>
      </c>
      <c r="H10" s="13">
        <f>+Julio!$AG10</f>
        <v>333</v>
      </c>
      <c r="I10" s="13">
        <f>+agosto!$AG10</f>
        <v>435</v>
      </c>
      <c r="J10" s="13">
        <f>+septiembre!$AG10</f>
        <v>425</v>
      </c>
      <c r="K10" s="13">
        <f>+OCTUBRE!$AG10</f>
        <v>474</v>
      </c>
      <c r="L10" s="13">
        <f>+NOVIEMBRE!$AG10</f>
        <v>415</v>
      </c>
      <c r="M10" s="13">
        <f>+DICIEMBRE!$AG10</f>
        <v>375</v>
      </c>
      <c r="N10" s="15">
        <f t="shared" si="0"/>
        <v>4809</v>
      </c>
    </row>
    <row r="11" spans="1:14" ht="18.75" x14ac:dyDescent="0.25">
      <c r="A11" s="12" t="s">
        <v>22</v>
      </c>
      <c r="B11" s="13">
        <f>+ENERO!$AG11</f>
        <v>412</v>
      </c>
      <c r="C11" s="13">
        <f>+FEBRERO!$AG11</f>
        <v>329</v>
      </c>
      <c r="D11" s="13">
        <f>+MARZO!$AG11</f>
        <v>461</v>
      </c>
      <c r="E11" s="13">
        <f>+ABRIL!$AG11</f>
        <v>465</v>
      </c>
      <c r="F11" s="13">
        <f>+MAYO!$AG11</f>
        <v>525</v>
      </c>
      <c r="G11" s="13">
        <f>+JUNIO!$AG11</f>
        <v>447</v>
      </c>
      <c r="H11" s="13">
        <f>+Julio!$AG11</f>
        <v>426</v>
      </c>
      <c r="I11" s="13">
        <f>+agosto!$AG11</f>
        <v>518</v>
      </c>
      <c r="J11" s="13">
        <f>+septiembre!$AG11</f>
        <v>497</v>
      </c>
      <c r="K11" s="13">
        <f>+OCTUBRE!$AG11</f>
        <v>543</v>
      </c>
      <c r="L11" s="13">
        <f>+NOVIEMBRE!$AG11</f>
        <v>423</v>
      </c>
      <c r="M11" s="13">
        <f>+DICIEMBRE!$AG11</f>
        <v>380</v>
      </c>
      <c r="N11" s="15">
        <f t="shared" si="0"/>
        <v>5426</v>
      </c>
    </row>
    <row r="12" spans="1:14" ht="18.75" x14ac:dyDescent="0.25">
      <c r="A12" s="12" t="s">
        <v>23</v>
      </c>
      <c r="B12" s="13">
        <f>+ENERO!$AG12</f>
        <v>518</v>
      </c>
      <c r="C12" s="13">
        <f>+FEBRERO!$AG12</f>
        <v>422</v>
      </c>
      <c r="D12" s="13">
        <f>+MARZO!$AG12</f>
        <v>632</v>
      </c>
      <c r="E12" s="13">
        <f>+ABRIL!$AG12</f>
        <v>593</v>
      </c>
      <c r="F12" s="13">
        <f>+MAYO!$AG12</f>
        <v>617</v>
      </c>
      <c r="G12" s="13">
        <f>+JUNIO!$AG12</f>
        <v>412</v>
      </c>
      <c r="H12" s="13">
        <f>+Julio!$AG12</f>
        <v>459</v>
      </c>
      <c r="I12" s="13">
        <f>+agosto!$AG12</f>
        <v>527</v>
      </c>
      <c r="J12" s="13">
        <f>+septiembre!$AG12</f>
        <v>556</v>
      </c>
      <c r="K12" s="13">
        <f>+OCTUBRE!$AG12</f>
        <v>555</v>
      </c>
      <c r="L12" s="13">
        <f>+NOVIEMBRE!$AG12</f>
        <v>529</v>
      </c>
      <c r="M12" s="13">
        <f>+DICIEMBRE!$AG12</f>
        <v>442</v>
      </c>
      <c r="N12" s="15">
        <f t="shared" si="0"/>
        <v>6262</v>
      </c>
    </row>
    <row r="13" spans="1:14" ht="18.75" x14ac:dyDescent="0.25">
      <c r="A13" s="12" t="s">
        <v>24</v>
      </c>
      <c r="B13" s="13">
        <f>+ENERO!$AG13</f>
        <v>523</v>
      </c>
      <c r="C13" s="13">
        <f>+FEBRERO!$AG13</f>
        <v>434</v>
      </c>
      <c r="D13" s="13">
        <f>+MARZO!$AG13</f>
        <v>567</v>
      </c>
      <c r="E13" s="13">
        <f>+ABRIL!$AG13</f>
        <v>616</v>
      </c>
      <c r="F13" s="13">
        <f>+MAYO!$AG13</f>
        <v>647</v>
      </c>
      <c r="G13" s="13">
        <f>+JUNIO!$AG13</f>
        <v>445</v>
      </c>
      <c r="H13" s="13">
        <f>+Julio!$AG13</f>
        <v>427</v>
      </c>
      <c r="I13" s="13">
        <f>+agosto!$AG13</f>
        <v>495</v>
      </c>
      <c r="J13" s="13">
        <f>+septiembre!$AG13</f>
        <v>502</v>
      </c>
      <c r="K13" s="13">
        <f>+OCTUBRE!$AG13</f>
        <v>613</v>
      </c>
      <c r="L13" s="13">
        <f>+NOVIEMBRE!$AG13</f>
        <v>548</v>
      </c>
      <c r="M13" s="13">
        <f>+DICIEMBRE!$AG13</f>
        <v>533</v>
      </c>
      <c r="N13" s="15">
        <f t="shared" si="0"/>
        <v>6350</v>
      </c>
    </row>
    <row r="14" spans="1:14" ht="18.75" x14ac:dyDescent="0.25">
      <c r="A14" s="12" t="s">
        <v>25</v>
      </c>
      <c r="B14" s="13">
        <f>+ENERO!$AG14</f>
        <v>399</v>
      </c>
      <c r="C14" s="13">
        <f>+FEBRERO!$AG14</f>
        <v>366</v>
      </c>
      <c r="D14" s="13">
        <f>+MARZO!$AG14</f>
        <v>533</v>
      </c>
      <c r="E14" s="13">
        <f>+ABRIL!$AG14</f>
        <v>523</v>
      </c>
      <c r="F14" s="13">
        <f>+MAYO!$AG14</f>
        <v>505</v>
      </c>
      <c r="G14" s="13">
        <f>+JUNIO!$AG14</f>
        <v>350</v>
      </c>
      <c r="H14" s="13">
        <f>+Julio!$AG14</f>
        <v>346</v>
      </c>
      <c r="I14" s="13">
        <f>+agosto!$AG14</f>
        <v>445</v>
      </c>
      <c r="J14" s="13">
        <f>+septiembre!$AG14</f>
        <v>440</v>
      </c>
      <c r="K14" s="13">
        <f>+OCTUBRE!$AG14</f>
        <v>481</v>
      </c>
      <c r="L14" s="13">
        <f>+NOVIEMBRE!$AG14</f>
        <v>408</v>
      </c>
      <c r="M14" s="13">
        <f>+DICIEMBRE!$AG14</f>
        <v>392</v>
      </c>
      <c r="N14" s="15">
        <f t="shared" si="0"/>
        <v>5188</v>
      </c>
    </row>
    <row r="15" spans="1:14" ht="18.75" x14ac:dyDescent="0.25">
      <c r="A15" s="12" t="s">
        <v>26</v>
      </c>
      <c r="B15" s="13">
        <f>+ENERO!$AG15</f>
        <v>388</v>
      </c>
      <c r="C15" s="13">
        <f>+FEBRERO!$AG15</f>
        <v>346</v>
      </c>
      <c r="D15" s="13">
        <f>+MARZO!$AG15</f>
        <v>478</v>
      </c>
      <c r="E15" s="13">
        <f>+ABRIL!$AG15</f>
        <v>402</v>
      </c>
      <c r="F15" s="13">
        <f>+MAYO!$AG15</f>
        <v>421</v>
      </c>
      <c r="G15" s="13">
        <f>+JUNIO!$AG15</f>
        <v>313</v>
      </c>
      <c r="H15" s="13">
        <f>+Julio!$AG15</f>
        <v>289</v>
      </c>
      <c r="I15" s="13">
        <f>+agosto!$AG15</f>
        <v>359</v>
      </c>
      <c r="J15" s="13">
        <f>+septiembre!$AG15</f>
        <v>411</v>
      </c>
      <c r="K15" s="13">
        <f>+OCTUBRE!$AG15</f>
        <v>507</v>
      </c>
      <c r="L15" s="13">
        <f>+NOVIEMBRE!$AG15</f>
        <v>372</v>
      </c>
      <c r="M15" s="13">
        <f>+DICIEMBRE!$AG15</f>
        <v>369</v>
      </c>
      <c r="N15" s="15">
        <f t="shared" si="0"/>
        <v>4655</v>
      </c>
    </row>
    <row r="16" spans="1:14" ht="18.75" x14ac:dyDescent="0.25">
      <c r="A16" s="12" t="s">
        <v>27</v>
      </c>
      <c r="B16" s="13">
        <f>+ENERO!$AG16</f>
        <v>417</v>
      </c>
      <c r="C16" s="13">
        <f>+FEBRERO!$AG16</f>
        <v>308</v>
      </c>
      <c r="D16" s="13">
        <f>+MARZO!$AG16</f>
        <v>462</v>
      </c>
      <c r="E16" s="13">
        <f>+ABRIL!$AG16</f>
        <v>342</v>
      </c>
      <c r="F16" s="13">
        <f>+MAYO!$AG16</f>
        <v>362</v>
      </c>
      <c r="G16" s="13">
        <f>+JUNIO!$AG16</f>
        <v>284</v>
      </c>
      <c r="H16" s="13">
        <f>+Julio!$AG16</f>
        <v>304</v>
      </c>
      <c r="I16" s="13">
        <f>+agosto!$AG16</f>
        <v>335</v>
      </c>
      <c r="J16" s="13">
        <f>+septiembre!$AG16</f>
        <v>408</v>
      </c>
      <c r="K16" s="13">
        <f>+OCTUBRE!$AG16</f>
        <v>469</v>
      </c>
      <c r="L16" s="13">
        <f>+NOVIEMBRE!$AG16</f>
        <v>396</v>
      </c>
      <c r="M16" s="13">
        <f>+DICIEMBRE!$AG16</f>
        <v>386</v>
      </c>
      <c r="N16" s="15">
        <f t="shared" si="0"/>
        <v>4473</v>
      </c>
    </row>
    <row r="17" spans="1:14" ht="18.75" x14ac:dyDescent="0.25">
      <c r="A17" s="12" t="s">
        <v>28</v>
      </c>
      <c r="B17" s="13">
        <f>+ENERO!$AG17</f>
        <v>388</v>
      </c>
      <c r="C17" s="13">
        <f>+FEBRERO!$AG17</f>
        <v>327</v>
      </c>
      <c r="D17" s="13">
        <f>+MARZO!$AG17</f>
        <v>391</v>
      </c>
      <c r="E17" s="13">
        <f>+ABRIL!$AG17</f>
        <v>300</v>
      </c>
      <c r="F17" s="13">
        <f>+MAYO!$AG17</f>
        <v>339</v>
      </c>
      <c r="G17" s="13">
        <f>+JUNIO!$AG17</f>
        <v>246</v>
      </c>
      <c r="H17" s="13">
        <f>+Julio!$AG17</f>
        <v>231</v>
      </c>
      <c r="I17" s="13">
        <f>+agosto!$AG17</f>
        <v>277</v>
      </c>
      <c r="J17" s="13">
        <f>+septiembre!$AG17</f>
        <v>350</v>
      </c>
      <c r="K17" s="13">
        <f>+OCTUBRE!$AG17</f>
        <v>426</v>
      </c>
      <c r="L17" s="13">
        <f>+NOVIEMBRE!$AG17</f>
        <v>396</v>
      </c>
      <c r="M17" s="13">
        <f>+DICIEMBRE!$AG17</f>
        <v>362</v>
      </c>
      <c r="N17" s="15">
        <f t="shared" si="0"/>
        <v>4033</v>
      </c>
    </row>
    <row r="18" spans="1:14" ht="18.75" x14ac:dyDescent="0.25">
      <c r="A18" s="12" t="s">
        <v>29</v>
      </c>
      <c r="B18" s="13">
        <f>+ENERO!$AG18</f>
        <v>355</v>
      </c>
      <c r="C18" s="13">
        <f>+FEBRERO!$AG18</f>
        <v>261</v>
      </c>
      <c r="D18" s="13">
        <f>+MARZO!$AG18</f>
        <v>307</v>
      </c>
      <c r="E18" s="13">
        <f>+ABRIL!$AG18</f>
        <v>268</v>
      </c>
      <c r="F18" s="13">
        <f>+MAYO!$AG18</f>
        <v>275</v>
      </c>
      <c r="G18" s="13">
        <f>+JUNIO!$AG18</f>
        <v>184</v>
      </c>
      <c r="H18" s="13">
        <f>+Julio!$AG18</f>
        <v>194</v>
      </c>
      <c r="I18" s="13">
        <f>+agosto!$AG18</f>
        <v>220</v>
      </c>
      <c r="J18" s="13">
        <f>+septiembre!$AG18</f>
        <v>288</v>
      </c>
      <c r="K18" s="13">
        <f>+OCTUBRE!$AG18</f>
        <v>307</v>
      </c>
      <c r="L18" s="13">
        <f>+NOVIEMBRE!$AG18</f>
        <v>298</v>
      </c>
      <c r="M18" s="13">
        <f>+DICIEMBRE!$AG18</f>
        <v>312</v>
      </c>
      <c r="N18" s="15">
        <f t="shared" si="0"/>
        <v>3269</v>
      </c>
    </row>
    <row r="19" spans="1:14" ht="18.75" x14ac:dyDescent="0.25">
      <c r="A19" s="12" t="s">
        <v>30</v>
      </c>
      <c r="B19" s="13">
        <f>+ENERO!$AG19</f>
        <v>235</v>
      </c>
      <c r="C19" s="13">
        <f>+FEBRERO!$AG19</f>
        <v>180</v>
      </c>
      <c r="D19" s="13">
        <f>+MARZO!$AG19</f>
        <v>221</v>
      </c>
      <c r="E19" s="13">
        <f>+ABRIL!$AG19</f>
        <v>174</v>
      </c>
      <c r="F19" s="13">
        <f>+MAYO!$AG19</f>
        <v>220</v>
      </c>
      <c r="G19" s="13">
        <f>+JUNIO!$AG19</f>
        <v>150</v>
      </c>
      <c r="H19" s="13">
        <f>+Julio!$AG19</f>
        <v>132</v>
      </c>
      <c r="I19" s="13">
        <f>+agosto!$AG19</f>
        <v>182</v>
      </c>
      <c r="J19" s="13">
        <f>+septiembre!$AG19</f>
        <v>206</v>
      </c>
      <c r="K19" s="13">
        <f>+OCTUBRE!$AG19</f>
        <v>222</v>
      </c>
      <c r="L19" s="13">
        <f>+NOVIEMBRE!$AG19</f>
        <v>214</v>
      </c>
      <c r="M19" s="13">
        <f>+DICIEMBRE!$AG19</f>
        <v>218</v>
      </c>
      <c r="N19" s="15">
        <f t="shared" si="0"/>
        <v>2354</v>
      </c>
    </row>
    <row r="20" spans="1:14" ht="18.75" x14ac:dyDescent="0.25">
      <c r="A20" s="12" t="s">
        <v>31</v>
      </c>
      <c r="B20" s="13">
        <f>+ENERO!$AG20</f>
        <v>188</v>
      </c>
      <c r="C20" s="13">
        <f>+FEBRERO!$AG20</f>
        <v>146</v>
      </c>
      <c r="D20" s="13">
        <f>+MARZO!$AG20</f>
        <v>126</v>
      </c>
      <c r="E20" s="13">
        <f>+ABRIL!$AG20</f>
        <v>129</v>
      </c>
      <c r="F20" s="13">
        <f>+MAYO!$AG20</f>
        <v>129</v>
      </c>
      <c r="G20" s="13">
        <f>+JUNIO!$AG20</f>
        <v>93</v>
      </c>
      <c r="H20" s="13">
        <f>+Julio!$AG20</f>
        <v>110</v>
      </c>
      <c r="I20" s="13">
        <f>+agosto!$AG20</f>
        <v>132</v>
      </c>
      <c r="J20" s="13">
        <f>+septiembre!$AG20</f>
        <v>112</v>
      </c>
      <c r="K20" s="13">
        <f>+OCTUBRE!$AG20</f>
        <v>110</v>
      </c>
      <c r="L20" s="13">
        <f>+NOVIEMBRE!$AG20</f>
        <v>143</v>
      </c>
      <c r="M20" s="13">
        <f>+DICIEMBRE!$AG20</f>
        <v>166</v>
      </c>
      <c r="N20" s="15">
        <f t="shared" si="0"/>
        <v>1584</v>
      </c>
    </row>
    <row r="21" spans="1:14" ht="15.75" customHeight="1" x14ac:dyDescent="0.25">
      <c r="A21" s="12" t="s">
        <v>32</v>
      </c>
      <c r="B21" s="13">
        <f>+ENERO!$AG21</f>
        <v>108</v>
      </c>
      <c r="C21" s="13">
        <f>+FEBRERO!$AG21</f>
        <v>93</v>
      </c>
      <c r="D21" s="13">
        <f>+MARZO!$AG21</f>
        <v>103</v>
      </c>
      <c r="E21" s="13">
        <f>+ABRIL!$AG21</f>
        <v>101</v>
      </c>
      <c r="F21" s="13">
        <f>+MAYO!$AG21</f>
        <v>97</v>
      </c>
      <c r="G21" s="13">
        <f>+JUNIO!$AG21</f>
        <v>89</v>
      </c>
      <c r="H21" s="13">
        <f>+Julio!$AG21</f>
        <v>84</v>
      </c>
      <c r="I21" s="13">
        <f>+agosto!$AG21</f>
        <v>81</v>
      </c>
      <c r="J21" s="13">
        <f>+septiembre!$AG21</f>
        <v>89</v>
      </c>
      <c r="K21" s="13">
        <f>+OCTUBRE!$AG21</f>
        <v>97</v>
      </c>
      <c r="L21" s="13">
        <f>+NOVIEMBRE!$AG21</f>
        <v>68</v>
      </c>
      <c r="M21" s="13">
        <f>+DICIEMBRE!$AG21</f>
        <v>88</v>
      </c>
      <c r="N21" s="15">
        <f t="shared" si="0"/>
        <v>1098</v>
      </c>
    </row>
    <row r="22" spans="1:14" ht="15.75" customHeight="1" x14ac:dyDescent="0.25">
      <c r="A22" s="12" t="s">
        <v>33</v>
      </c>
      <c r="B22" s="13">
        <f>+ENERO!$AG22</f>
        <v>79</v>
      </c>
      <c r="C22" s="13">
        <f>+FEBRERO!$AG22</f>
        <v>58</v>
      </c>
      <c r="D22" s="13">
        <f>+MARZO!$AG22</f>
        <v>72</v>
      </c>
      <c r="E22" s="13">
        <f>+ABRIL!$AG22</f>
        <v>53</v>
      </c>
      <c r="F22" s="13">
        <f>+MAYO!$AG22</f>
        <v>59</v>
      </c>
      <c r="G22" s="13">
        <f>+JUNIO!$AG22</f>
        <v>64</v>
      </c>
      <c r="H22" s="13">
        <f>+Julio!$AG22</f>
        <v>43</v>
      </c>
      <c r="I22" s="13">
        <f>+agosto!$AG22</f>
        <v>51</v>
      </c>
      <c r="J22" s="13">
        <f>+septiembre!$AG22</f>
        <v>46</v>
      </c>
      <c r="K22" s="13">
        <f>+OCTUBRE!$AG22</f>
        <v>61</v>
      </c>
      <c r="L22" s="13">
        <f>+NOVIEMBRE!$AG22</f>
        <v>71</v>
      </c>
      <c r="M22" s="13">
        <f>+DICIEMBRE!$AG22</f>
        <v>87</v>
      </c>
      <c r="N22" s="15">
        <f t="shared" si="0"/>
        <v>744</v>
      </c>
    </row>
    <row r="23" spans="1:14" ht="15.75" customHeight="1" x14ac:dyDescent="0.25">
      <c r="A23" s="12" t="s">
        <v>34</v>
      </c>
      <c r="B23" s="13">
        <f>+ENERO!$AG23</f>
        <v>50</v>
      </c>
      <c r="C23" s="13">
        <f>+FEBRERO!$AG23</f>
        <v>33</v>
      </c>
      <c r="D23" s="13">
        <f>+MARZO!$AG23</f>
        <v>65</v>
      </c>
      <c r="E23" s="13">
        <f>+ABRIL!$AG23</f>
        <v>36</v>
      </c>
      <c r="F23" s="13">
        <f>+MAYO!$AG23</f>
        <v>58</v>
      </c>
      <c r="G23" s="13">
        <f>+JUNIO!$AG23</f>
        <v>46</v>
      </c>
      <c r="H23" s="13">
        <f>+Julio!$AG23</f>
        <v>34</v>
      </c>
      <c r="I23" s="13">
        <f>+agosto!$AG23</f>
        <v>45</v>
      </c>
      <c r="J23" s="13">
        <f>+septiembre!$AG23</f>
        <v>44</v>
      </c>
      <c r="K23" s="13">
        <f>+OCTUBRE!$AG23</f>
        <v>62</v>
      </c>
      <c r="L23" s="13">
        <f>+NOVIEMBRE!$AG23</f>
        <v>57</v>
      </c>
      <c r="M23" s="13">
        <f>+DICIEMBRE!$AG23</f>
        <v>72</v>
      </c>
      <c r="N23" s="15">
        <f t="shared" si="0"/>
        <v>602</v>
      </c>
    </row>
    <row r="24" spans="1:14" ht="15.75" customHeight="1" x14ac:dyDescent="0.25">
      <c r="A24" s="12" t="s">
        <v>35</v>
      </c>
      <c r="B24" s="13">
        <f>+ENERO!$AG24</f>
        <v>20</v>
      </c>
      <c r="C24" s="13">
        <f>+FEBRERO!$AG24</f>
        <v>46</v>
      </c>
      <c r="D24" s="13">
        <f>+MARZO!$AG24</f>
        <v>47</v>
      </c>
      <c r="E24" s="13">
        <f>+ABRIL!$AG24</f>
        <v>30</v>
      </c>
      <c r="F24" s="13">
        <f>+MAYO!$AG24</f>
        <v>42</v>
      </c>
      <c r="G24" s="13">
        <f>+JUNIO!$AG24</f>
        <v>36</v>
      </c>
      <c r="H24" s="13">
        <f>+Julio!$AG24</f>
        <v>33</v>
      </c>
      <c r="I24" s="13">
        <f>+agosto!$AG24</f>
        <v>30</v>
      </c>
      <c r="J24" s="13">
        <f>+septiembre!$AG24</f>
        <v>46</v>
      </c>
      <c r="K24" s="13">
        <f>+OCTUBRE!$AG24</f>
        <v>46</v>
      </c>
      <c r="L24" s="13">
        <f>+NOVIEMBRE!$AG24</f>
        <v>43</v>
      </c>
      <c r="M24" s="13">
        <f>+DICIEMBRE!$AG24</f>
        <v>43</v>
      </c>
      <c r="N24" s="15">
        <f t="shared" si="0"/>
        <v>462</v>
      </c>
    </row>
    <row r="25" spans="1:14" ht="15.75" customHeight="1" x14ac:dyDescent="0.25">
      <c r="A25" s="12" t="s">
        <v>36</v>
      </c>
      <c r="B25" s="13">
        <f>+ENERO!$AG25</f>
        <v>33</v>
      </c>
      <c r="C25" s="13">
        <f>+FEBRERO!$AG25</f>
        <v>30</v>
      </c>
      <c r="D25" s="13">
        <f>+MARZO!$AG25</f>
        <v>36</v>
      </c>
      <c r="E25" s="13">
        <f>+ABRIL!$AG25</f>
        <v>27</v>
      </c>
      <c r="F25" s="13">
        <f>+MAYO!$AG25</f>
        <v>36</v>
      </c>
      <c r="G25" s="13">
        <f>+JUNIO!$AG25</f>
        <v>31</v>
      </c>
      <c r="H25" s="13">
        <f>+Julio!$AG25</f>
        <v>35</v>
      </c>
      <c r="I25" s="13">
        <f>+agosto!$AG25</f>
        <v>34</v>
      </c>
      <c r="J25" s="13">
        <f>+septiembre!$AG25</f>
        <v>43</v>
      </c>
      <c r="K25" s="13">
        <f>+OCTUBRE!$AG25</f>
        <v>44</v>
      </c>
      <c r="L25" s="13">
        <f>+NOVIEMBRE!$AG25</f>
        <v>33</v>
      </c>
      <c r="M25" s="13">
        <f>+DICIEMBRE!$AG25</f>
        <v>51</v>
      </c>
      <c r="N25" s="15">
        <f t="shared" si="0"/>
        <v>433</v>
      </c>
    </row>
    <row r="26" spans="1:14" ht="15.75" customHeight="1" x14ac:dyDescent="0.25">
      <c r="A26" s="12" t="s">
        <v>37</v>
      </c>
      <c r="B26" s="13">
        <f>+ENERO!$AG26</f>
        <v>34</v>
      </c>
      <c r="C26" s="13">
        <f>+FEBRERO!$AG26</f>
        <v>35</v>
      </c>
      <c r="D26" s="13">
        <f>+MARZO!$AG26</f>
        <v>65</v>
      </c>
      <c r="E26" s="13">
        <f>+ABRIL!$AG26</f>
        <v>45</v>
      </c>
      <c r="F26" s="13">
        <f>+MAYO!$AG26</f>
        <v>40</v>
      </c>
      <c r="G26" s="13">
        <f>+JUNIO!$AG26</f>
        <v>46</v>
      </c>
      <c r="H26" s="13">
        <f>+Julio!$AG26</f>
        <v>41</v>
      </c>
      <c r="I26" s="13">
        <f>+agosto!$AG26</f>
        <v>43</v>
      </c>
      <c r="J26" s="13">
        <f>+septiembre!$AG26</f>
        <v>48</v>
      </c>
      <c r="K26" s="13">
        <f>+OCTUBRE!$AG26</f>
        <v>55</v>
      </c>
      <c r="L26" s="13">
        <f>+NOVIEMBRE!$AG26</f>
        <v>49</v>
      </c>
      <c r="M26" s="13">
        <f>+DICIEMBRE!$AG26</f>
        <v>71</v>
      </c>
      <c r="N26" s="15">
        <f t="shared" si="0"/>
        <v>572</v>
      </c>
    </row>
    <row r="27" spans="1:14" ht="15.75" customHeight="1" x14ac:dyDescent="0.25">
      <c r="A27" s="16" t="s">
        <v>38</v>
      </c>
      <c r="B27" s="17">
        <f>+ENERO!$AG27</f>
        <v>106</v>
      </c>
      <c r="C27" s="17">
        <f>+FEBRERO!$AG27</f>
        <v>116</v>
      </c>
      <c r="D27" s="17">
        <f>+MARZO!$AG27</f>
        <v>145</v>
      </c>
      <c r="E27" s="17">
        <f>+ABRIL!$AG27</f>
        <v>121</v>
      </c>
      <c r="F27" s="17">
        <f>+MAYO!$AG27</f>
        <v>104</v>
      </c>
      <c r="G27" s="17">
        <f>+JUNIO!$AG27</f>
        <v>64</v>
      </c>
      <c r="H27" s="17">
        <f>+Julio!$AG27</f>
        <v>62</v>
      </c>
      <c r="I27" s="17">
        <f>+agosto!$AG27</f>
        <v>94</v>
      </c>
      <c r="J27" s="17">
        <f>+septiembre!$AG27</f>
        <v>75</v>
      </c>
      <c r="K27" s="17">
        <f>+OCTUBRE!$AG27</f>
        <v>138</v>
      </c>
      <c r="L27" s="17">
        <f>+NOVIEMBRE!$AG27</f>
        <v>148</v>
      </c>
      <c r="M27" s="17">
        <f>+DICIEMBRE!$AG27</f>
        <v>104</v>
      </c>
      <c r="N27" s="15">
        <f t="shared" si="0"/>
        <v>1277</v>
      </c>
    </row>
    <row r="28" spans="1:14" ht="15.75" customHeight="1" x14ac:dyDescent="0.25">
      <c r="A28" s="19" t="s">
        <v>39</v>
      </c>
      <c r="B28" s="20">
        <f>+ENERO!$AG28</f>
        <v>6218</v>
      </c>
      <c r="C28" s="20">
        <f>+FEBRERO!$AG28</f>
        <v>5247</v>
      </c>
      <c r="D28" s="20">
        <f>+MARZO!$AG28</f>
        <v>7090</v>
      </c>
      <c r="E28" s="20">
        <f>+ABRIL!$AG28</f>
        <v>6604</v>
      </c>
      <c r="F28" s="20">
        <f>+MAYO!$AG28</f>
        <v>6766</v>
      </c>
      <c r="G28" s="20">
        <f>+JUNIO!$AG28</f>
        <v>5310</v>
      </c>
      <c r="H28" s="20">
        <f>+Julio!$AG28</f>
        <v>5138</v>
      </c>
      <c r="I28" s="20">
        <f>+agosto!$AG28</f>
        <v>6080</v>
      </c>
      <c r="J28" s="20">
        <f>+septiembre!$AG28</f>
        <v>6458</v>
      </c>
      <c r="K28" s="20">
        <f>+OCTUBRE!$AG28</f>
        <v>6981</v>
      </c>
      <c r="L28" s="20">
        <f>+NOVIEMBRE!$AG28</f>
        <v>6178</v>
      </c>
      <c r="M28" s="20">
        <f>+DICIEMBRE!$AG28</f>
        <v>6254</v>
      </c>
      <c r="N28" s="22">
        <f t="shared" si="0"/>
        <v>74324</v>
      </c>
    </row>
    <row r="29" spans="1:14" ht="15.75" customHeight="1" x14ac:dyDescent="0.25">
      <c r="A29" s="12" t="s">
        <v>15</v>
      </c>
      <c r="B29" s="13">
        <f>+ENERO!$AG29</f>
        <v>155</v>
      </c>
      <c r="C29" s="13">
        <f>+FEBRERO!$AG29</f>
        <v>134</v>
      </c>
      <c r="D29" s="13">
        <f>+MARZO!$AG29</f>
        <v>188</v>
      </c>
      <c r="E29" s="13">
        <f>+ABRIL!$AG29</f>
        <v>176</v>
      </c>
      <c r="F29" s="13">
        <f>+MAYO!$AG29</f>
        <v>190</v>
      </c>
      <c r="G29" s="13">
        <f>+JUNIO!$AG29</f>
        <v>150</v>
      </c>
      <c r="H29" s="13">
        <f>+Julio!$AG29</f>
        <v>123</v>
      </c>
      <c r="I29" s="13">
        <f>+agosto!$AG29</f>
        <v>174</v>
      </c>
      <c r="J29" s="13">
        <f>+septiembre!$AG29</f>
        <v>158</v>
      </c>
      <c r="K29" s="13">
        <f>+OCTUBRE!$AG29</f>
        <v>238</v>
      </c>
      <c r="L29" s="13">
        <f>+NOVIEMBRE!$AG29</f>
        <v>200</v>
      </c>
      <c r="M29" s="13">
        <f>+DICIEMBRE!$AG29</f>
        <v>214</v>
      </c>
      <c r="N29" s="15">
        <f t="shared" si="0"/>
        <v>2100</v>
      </c>
    </row>
    <row r="30" spans="1:14" ht="15.75" customHeight="1" x14ac:dyDescent="0.25">
      <c r="A30" s="12" t="s">
        <v>16</v>
      </c>
      <c r="B30" s="13">
        <f>+ENERO!$AG30</f>
        <v>237</v>
      </c>
      <c r="C30" s="13">
        <f>+FEBRERO!$AG30</f>
        <v>261</v>
      </c>
      <c r="D30" s="13">
        <f>+MARZO!$AG30</f>
        <v>339</v>
      </c>
      <c r="E30" s="13">
        <f>+ABRIL!$AG30</f>
        <v>334</v>
      </c>
      <c r="F30" s="13">
        <f>+MAYO!$AG30</f>
        <v>332</v>
      </c>
      <c r="G30" s="13">
        <f>+JUNIO!$AG30</f>
        <v>237</v>
      </c>
      <c r="H30" s="13">
        <f>+Julio!$AG30</f>
        <v>225</v>
      </c>
      <c r="I30" s="13">
        <f>+agosto!$AG30</f>
        <v>267</v>
      </c>
      <c r="J30" s="13">
        <f>+septiembre!$AG30</f>
        <v>278</v>
      </c>
      <c r="K30" s="13">
        <f>+OCTUBRE!$AG30</f>
        <v>319</v>
      </c>
      <c r="L30" s="13">
        <f>+NOVIEMBRE!$AG30</f>
        <v>283</v>
      </c>
      <c r="M30" s="13">
        <f>+DICIEMBRE!$AG30</f>
        <v>298</v>
      </c>
      <c r="N30" s="15">
        <f t="shared" si="0"/>
        <v>3410</v>
      </c>
    </row>
    <row r="31" spans="1:14" ht="15.75" customHeight="1" x14ac:dyDescent="0.25">
      <c r="A31" s="12" t="s">
        <v>17</v>
      </c>
      <c r="B31" s="13">
        <f>+ENERO!$AG31</f>
        <v>304</v>
      </c>
      <c r="C31" s="13">
        <f>+FEBRERO!$AG31</f>
        <v>264</v>
      </c>
      <c r="D31" s="13">
        <f>+MARZO!$AG31</f>
        <v>340</v>
      </c>
      <c r="E31" s="13">
        <f>+ABRIL!$AG31</f>
        <v>384</v>
      </c>
      <c r="F31" s="13">
        <f>+MAYO!$AG31</f>
        <v>355</v>
      </c>
      <c r="G31" s="13">
        <f>+JUNIO!$AG31</f>
        <v>291</v>
      </c>
      <c r="H31" s="13">
        <f>+Julio!$AG31</f>
        <v>280</v>
      </c>
      <c r="I31" s="13">
        <f>+agosto!$AG31</f>
        <v>293</v>
      </c>
      <c r="J31" s="13">
        <f>+septiembre!$AG31</f>
        <v>303</v>
      </c>
      <c r="K31" s="13">
        <f>+OCTUBRE!$AG31</f>
        <v>365</v>
      </c>
      <c r="L31" s="13">
        <f>+NOVIEMBRE!$AG31</f>
        <v>295</v>
      </c>
      <c r="M31" s="13">
        <f>+DICIEMBRE!$AG31</f>
        <v>345</v>
      </c>
      <c r="N31" s="15">
        <f t="shared" si="0"/>
        <v>3819</v>
      </c>
    </row>
    <row r="32" spans="1:14" ht="15.75" customHeight="1" x14ac:dyDescent="0.25">
      <c r="A32" s="12" t="s">
        <v>18</v>
      </c>
      <c r="B32" s="13">
        <f>+ENERO!$AG32</f>
        <v>302</v>
      </c>
      <c r="C32" s="13">
        <f>+FEBRERO!$AG32</f>
        <v>268</v>
      </c>
      <c r="D32" s="13">
        <f>+MARZO!$AG32</f>
        <v>381</v>
      </c>
      <c r="E32" s="13">
        <f>+ABRIL!$AG32</f>
        <v>369</v>
      </c>
      <c r="F32" s="13">
        <f>+MAYO!$AG32</f>
        <v>335</v>
      </c>
      <c r="G32" s="13">
        <f>+JUNIO!$AG32</f>
        <v>292</v>
      </c>
      <c r="H32" s="13">
        <f>+Julio!$AG32</f>
        <v>269</v>
      </c>
      <c r="I32" s="13">
        <f>+agosto!$AG32</f>
        <v>282</v>
      </c>
      <c r="J32" s="13">
        <f>+septiembre!$AG32</f>
        <v>319</v>
      </c>
      <c r="K32" s="13">
        <f>+OCTUBRE!$AG32</f>
        <v>352</v>
      </c>
      <c r="L32" s="13">
        <f>+NOVIEMBRE!$AG32</f>
        <v>287</v>
      </c>
      <c r="M32" s="13">
        <f>+DICIEMBRE!$AG32</f>
        <v>335</v>
      </c>
      <c r="N32" s="15">
        <f t="shared" si="0"/>
        <v>3791</v>
      </c>
    </row>
    <row r="33" spans="1:14" ht="15.75" customHeight="1" x14ac:dyDescent="0.25">
      <c r="A33" s="12" t="s">
        <v>19</v>
      </c>
      <c r="B33" s="13">
        <f>+ENERO!$AG33</f>
        <v>329</v>
      </c>
      <c r="C33" s="13">
        <f>+FEBRERO!$AG33</f>
        <v>253</v>
      </c>
      <c r="D33" s="13">
        <f>+MARZO!$AG33</f>
        <v>370</v>
      </c>
      <c r="E33" s="13">
        <f>+ABRIL!$AG33</f>
        <v>379</v>
      </c>
      <c r="F33" s="13">
        <f>+MAYO!$AG33</f>
        <v>312</v>
      </c>
      <c r="G33" s="13">
        <f>+JUNIO!$AG33</f>
        <v>261</v>
      </c>
      <c r="H33" s="13">
        <f>+Julio!$AG33</f>
        <v>258</v>
      </c>
      <c r="I33" s="13">
        <f>+agosto!$AG33</f>
        <v>316</v>
      </c>
      <c r="J33" s="13">
        <f>+septiembre!$AG33</f>
        <v>336</v>
      </c>
      <c r="K33" s="13">
        <f>+OCTUBRE!$AG33</f>
        <v>343</v>
      </c>
      <c r="L33" s="13">
        <f>+NOVIEMBRE!$AG33</f>
        <v>287</v>
      </c>
      <c r="M33" s="13">
        <f>+DICIEMBRE!$AG33</f>
        <v>286</v>
      </c>
      <c r="N33" s="15">
        <f t="shared" si="0"/>
        <v>3730</v>
      </c>
    </row>
    <row r="34" spans="1:14" ht="15.75" customHeight="1" x14ac:dyDescent="0.25">
      <c r="A34" s="12" t="s">
        <v>20</v>
      </c>
      <c r="B34" s="13">
        <f>+ENERO!$AG34</f>
        <v>260</v>
      </c>
      <c r="C34" s="13">
        <f>+FEBRERO!$AG34</f>
        <v>194</v>
      </c>
      <c r="D34" s="13">
        <f>+MARZO!$AG34</f>
        <v>275</v>
      </c>
      <c r="E34" s="13">
        <f>+ABRIL!$AG34</f>
        <v>276</v>
      </c>
      <c r="F34" s="13">
        <f>+MAYO!$AG34</f>
        <v>273</v>
      </c>
      <c r="G34" s="13">
        <f>+JUNIO!$AG34</f>
        <v>221</v>
      </c>
      <c r="H34" s="13">
        <f>+Julio!$AG34</f>
        <v>237</v>
      </c>
      <c r="I34" s="13">
        <f>+agosto!$AG34</f>
        <v>241</v>
      </c>
      <c r="J34" s="13">
        <f>+septiembre!$AG34</f>
        <v>284</v>
      </c>
      <c r="K34" s="13">
        <f>+OCTUBRE!$AG34</f>
        <v>277</v>
      </c>
      <c r="L34" s="13">
        <f>+NOVIEMBRE!$AG34</f>
        <v>270</v>
      </c>
      <c r="M34" s="13">
        <f>+DICIEMBRE!$AG34</f>
        <v>297</v>
      </c>
      <c r="N34" s="15">
        <f t="shared" si="0"/>
        <v>3105</v>
      </c>
    </row>
    <row r="35" spans="1:14" ht="15.75" customHeight="1" x14ac:dyDescent="0.25">
      <c r="A35" s="12" t="s">
        <v>21</v>
      </c>
      <c r="B35" s="13">
        <f>+ENERO!$AG35</f>
        <v>267</v>
      </c>
      <c r="C35" s="13">
        <f>+FEBRERO!$AG35</f>
        <v>218</v>
      </c>
      <c r="D35" s="13">
        <f>+MARZO!$AG35</f>
        <v>311</v>
      </c>
      <c r="E35" s="13">
        <f>+ABRIL!$AG35</f>
        <v>299</v>
      </c>
      <c r="F35" s="13">
        <f>+MAYO!$AG35</f>
        <v>328</v>
      </c>
      <c r="G35" s="13">
        <f>+JUNIO!$AG35</f>
        <v>299</v>
      </c>
      <c r="H35" s="13">
        <f>+Julio!$AG35</f>
        <v>265</v>
      </c>
      <c r="I35" s="13">
        <f>+agosto!$AG35</f>
        <v>310</v>
      </c>
      <c r="J35" s="13">
        <f>+septiembre!$AG35</f>
        <v>322</v>
      </c>
      <c r="K35" s="13">
        <f>+OCTUBRE!$AG35</f>
        <v>314</v>
      </c>
      <c r="L35" s="13">
        <f>+NOVIEMBRE!$AG35</f>
        <v>294</v>
      </c>
      <c r="M35" s="13">
        <f>+DICIEMBRE!$AG35</f>
        <v>302</v>
      </c>
      <c r="N35" s="15">
        <f t="shared" si="0"/>
        <v>3529</v>
      </c>
    </row>
    <row r="36" spans="1:14" ht="15.75" customHeight="1" x14ac:dyDescent="0.25">
      <c r="A36" s="12" t="s">
        <v>22</v>
      </c>
      <c r="B36" s="13">
        <f>+ENERO!$AG36</f>
        <v>337</v>
      </c>
      <c r="C36" s="13">
        <f>+FEBRERO!$AG36</f>
        <v>289</v>
      </c>
      <c r="D36" s="13">
        <f>+MARZO!$AG36</f>
        <v>406</v>
      </c>
      <c r="E36" s="13">
        <f>+ABRIL!$AG36</f>
        <v>374</v>
      </c>
      <c r="F36" s="13">
        <f>+MAYO!$AG36</f>
        <v>343</v>
      </c>
      <c r="G36" s="13">
        <f>+JUNIO!$AG36</f>
        <v>285</v>
      </c>
      <c r="H36" s="13">
        <f>+Julio!$AG36</f>
        <v>313</v>
      </c>
      <c r="I36" s="13">
        <f>+agosto!$AG36</f>
        <v>335</v>
      </c>
      <c r="J36" s="13">
        <f>+septiembre!$AG36</f>
        <v>381</v>
      </c>
      <c r="K36" s="13">
        <f>+OCTUBRE!$AG36</f>
        <v>355</v>
      </c>
      <c r="L36" s="13">
        <f>+NOVIEMBRE!$AG36</f>
        <v>298</v>
      </c>
      <c r="M36" s="13">
        <f>+DICIEMBRE!$AG36</f>
        <v>313</v>
      </c>
      <c r="N36" s="15">
        <f t="shared" si="0"/>
        <v>4029</v>
      </c>
    </row>
    <row r="37" spans="1:14" ht="15.75" customHeight="1" x14ac:dyDescent="0.25">
      <c r="A37" s="12" t="s">
        <v>23</v>
      </c>
      <c r="B37" s="13">
        <f>+ENERO!$AG37</f>
        <v>350</v>
      </c>
      <c r="C37" s="13">
        <f>+FEBRERO!$AG37</f>
        <v>284</v>
      </c>
      <c r="D37" s="13">
        <f>+MARZO!$AG37</f>
        <v>405</v>
      </c>
      <c r="E37" s="13">
        <f>+ABRIL!$AG37</f>
        <v>366</v>
      </c>
      <c r="F37" s="13">
        <f>+MAYO!$AG37</f>
        <v>413</v>
      </c>
      <c r="G37" s="13">
        <f>+JUNIO!$AG37</f>
        <v>314</v>
      </c>
      <c r="H37" s="13">
        <f>+Julio!$AG37</f>
        <v>303</v>
      </c>
      <c r="I37" s="13">
        <f>+agosto!$AG37</f>
        <v>388</v>
      </c>
      <c r="J37" s="13">
        <f>+septiembre!$AG37</f>
        <v>384</v>
      </c>
      <c r="K37" s="13">
        <f>+OCTUBRE!$AG37</f>
        <v>353</v>
      </c>
      <c r="L37" s="13">
        <f>+NOVIEMBRE!$AG37</f>
        <v>315</v>
      </c>
      <c r="M37" s="13">
        <f>+DICIEMBRE!$AG37</f>
        <v>314</v>
      </c>
      <c r="N37" s="15">
        <f t="shared" si="0"/>
        <v>4189</v>
      </c>
    </row>
    <row r="38" spans="1:14" ht="15.75" customHeight="1" x14ac:dyDescent="0.25">
      <c r="A38" s="12" t="s">
        <v>24</v>
      </c>
      <c r="B38" s="13">
        <f>+ENERO!$AG38</f>
        <v>300</v>
      </c>
      <c r="C38" s="13">
        <f>+FEBRERO!$AG38</f>
        <v>281</v>
      </c>
      <c r="D38" s="13">
        <f>+MARZO!$AG38</f>
        <v>360</v>
      </c>
      <c r="E38" s="13">
        <f>+ABRIL!$AG38</f>
        <v>351</v>
      </c>
      <c r="F38" s="13">
        <f>+MAYO!$AG38</f>
        <v>360</v>
      </c>
      <c r="G38" s="13">
        <f>+JUNIO!$AG38</f>
        <v>303</v>
      </c>
      <c r="H38" s="13">
        <f>+Julio!$AG38</f>
        <v>350</v>
      </c>
      <c r="I38" s="13">
        <f>+agosto!$AG38</f>
        <v>372</v>
      </c>
      <c r="J38" s="13">
        <f>+septiembre!$AG38</f>
        <v>339</v>
      </c>
      <c r="K38" s="13">
        <f>+OCTUBRE!$AG38</f>
        <v>330</v>
      </c>
      <c r="L38" s="13">
        <f>+NOVIEMBRE!$AG38</f>
        <v>301</v>
      </c>
      <c r="M38" s="13">
        <f>+DICIEMBRE!$AG38</f>
        <v>358</v>
      </c>
      <c r="N38" s="15">
        <f t="shared" si="0"/>
        <v>4005</v>
      </c>
    </row>
    <row r="39" spans="1:14" ht="15.75" customHeight="1" x14ac:dyDescent="0.25">
      <c r="A39" s="12" t="s">
        <v>25</v>
      </c>
      <c r="B39" s="13">
        <f>+ENERO!$AG39</f>
        <v>405</v>
      </c>
      <c r="C39" s="13">
        <f>+FEBRERO!$AG39</f>
        <v>390</v>
      </c>
      <c r="D39" s="13">
        <f>+MARZO!$AG39</f>
        <v>517</v>
      </c>
      <c r="E39" s="13">
        <f>+ABRIL!$AG39</f>
        <v>497</v>
      </c>
      <c r="F39" s="13">
        <f>+MAYO!$AG39</f>
        <v>473</v>
      </c>
      <c r="G39" s="13">
        <f>+JUNIO!$AG39</f>
        <v>448</v>
      </c>
      <c r="H39" s="13">
        <f>+Julio!$AG39</f>
        <v>428</v>
      </c>
      <c r="I39" s="13">
        <f>+agosto!$AG39</f>
        <v>529</v>
      </c>
      <c r="J39" s="13">
        <f>+septiembre!$AG39</f>
        <v>536</v>
      </c>
      <c r="K39" s="13">
        <f>+OCTUBRE!$AG39</f>
        <v>469</v>
      </c>
      <c r="L39" s="13">
        <f>+NOVIEMBRE!$AG39</f>
        <v>421</v>
      </c>
      <c r="M39" s="13">
        <f>+DICIEMBRE!$AG39</f>
        <v>443</v>
      </c>
      <c r="N39" s="15">
        <f t="shared" si="0"/>
        <v>5556</v>
      </c>
    </row>
    <row r="40" spans="1:14" ht="15.75" customHeight="1" x14ac:dyDescent="0.25">
      <c r="A40" s="12" t="s">
        <v>26</v>
      </c>
      <c r="B40" s="13">
        <f>+ENERO!$AG40</f>
        <v>484</v>
      </c>
      <c r="C40" s="13">
        <f>+FEBRERO!$AG40</f>
        <v>432</v>
      </c>
      <c r="D40" s="13">
        <f>+MARZO!$AG40</f>
        <v>538</v>
      </c>
      <c r="E40" s="13">
        <f>+ABRIL!$AG40</f>
        <v>490</v>
      </c>
      <c r="F40" s="13">
        <f>+MAYO!$AG40</f>
        <v>506</v>
      </c>
      <c r="G40" s="13">
        <f>+JUNIO!$AG40</f>
        <v>441</v>
      </c>
      <c r="H40" s="13">
        <f>+Julio!$AG40</f>
        <v>439</v>
      </c>
      <c r="I40" s="13">
        <f>+agosto!$AG40</f>
        <v>559</v>
      </c>
      <c r="J40" s="13">
        <f>+septiembre!$AG40</f>
        <v>556</v>
      </c>
      <c r="K40" s="13">
        <f>+OCTUBRE!$AG40</f>
        <v>543</v>
      </c>
      <c r="L40" s="13">
        <f>+NOVIEMBRE!$AG40</f>
        <v>475</v>
      </c>
      <c r="M40" s="13">
        <f>+DICIEMBRE!$AG40</f>
        <v>462</v>
      </c>
      <c r="N40" s="15">
        <f t="shared" si="0"/>
        <v>5925</v>
      </c>
    </row>
    <row r="41" spans="1:14" ht="15.75" customHeight="1" x14ac:dyDescent="0.25">
      <c r="A41" s="12" t="s">
        <v>27</v>
      </c>
      <c r="B41" s="13">
        <f>+ENERO!$AG41</f>
        <v>427</v>
      </c>
      <c r="C41" s="13">
        <f>+FEBRERO!$AG41</f>
        <v>420</v>
      </c>
      <c r="D41" s="13">
        <f>+MARZO!$AG41</f>
        <v>541</v>
      </c>
      <c r="E41" s="13">
        <f>+ABRIL!$AG41</f>
        <v>498</v>
      </c>
      <c r="F41" s="13">
        <f>+MAYO!$AG41</f>
        <v>480</v>
      </c>
      <c r="G41" s="13">
        <f>+JUNIO!$AG41</f>
        <v>392</v>
      </c>
      <c r="H41" s="13">
        <f>+Julio!$AG41</f>
        <v>409</v>
      </c>
      <c r="I41" s="13">
        <f>+agosto!$AG41</f>
        <v>503</v>
      </c>
      <c r="J41" s="13">
        <f>+septiembre!$AG41</f>
        <v>508</v>
      </c>
      <c r="K41" s="13">
        <f>+OCTUBRE!$AG41</f>
        <v>517</v>
      </c>
      <c r="L41" s="13">
        <f>+NOVIEMBRE!$AG41</f>
        <v>482</v>
      </c>
      <c r="M41" s="13">
        <f>+DICIEMBRE!$AG41</f>
        <v>403</v>
      </c>
      <c r="N41" s="15">
        <f t="shared" si="0"/>
        <v>5580</v>
      </c>
    </row>
    <row r="42" spans="1:14" ht="15.75" customHeight="1" x14ac:dyDescent="0.25">
      <c r="A42" s="12" t="s">
        <v>28</v>
      </c>
      <c r="B42" s="13">
        <f>+ENERO!$AG42</f>
        <v>449</v>
      </c>
      <c r="C42" s="13">
        <f>+FEBRERO!$AG42</f>
        <v>352</v>
      </c>
      <c r="D42" s="13">
        <f>+MARZO!$AG42</f>
        <v>490</v>
      </c>
      <c r="E42" s="13">
        <f>+ABRIL!$AG42</f>
        <v>419</v>
      </c>
      <c r="F42" s="13">
        <f>+MAYO!$AG42</f>
        <v>464</v>
      </c>
      <c r="G42" s="13">
        <f>+JUNIO!$AG42</f>
        <v>369</v>
      </c>
      <c r="H42" s="13">
        <f>+Julio!$AG42</f>
        <v>308</v>
      </c>
      <c r="I42" s="13">
        <f>+agosto!$AG42</f>
        <v>443</v>
      </c>
      <c r="J42" s="13">
        <f>+septiembre!$AG42</f>
        <v>424</v>
      </c>
      <c r="K42" s="13">
        <f>+OCTUBRE!$AG42</f>
        <v>472</v>
      </c>
      <c r="L42" s="13">
        <f>+NOVIEMBRE!$AG42</f>
        <v>407</v>
      </c>
      <c r="M42" s="13">
        <f>+DICIEMBRE!$AG42</f>
        <v>367</v>
      </c>
      <c r="N42" s="15">
        <f t="shared" si="0"/>
        <v>4964</v>
      </c>
    </row>
    <row r="43" spans="1:14" ht="15.75" customHeight="1" x14ac:dyDescent="0.25">
      <c r="A43" s="12" t="s">
        <v>29</v>
      </c>
      <c r="B43" s="13">
        <f>+ENERO!$AG43</f>
        <v>444</v>
      </c>
      <c r="C43" s="13">
        <f>+FEBRERO!$AG43</f>
        <v>348</v>
      </c>
      <c r="D43" s="13">
        <f>+MARZO!$AG43</f>
        <v>476</v>
      </c>
      <c r="E43" s="13">
        <f>+ABRIL!$AG43</f>
        <v>424</v>
      </c>
      <c r="F43" s="13">
        <f>+MAYO!$AG43</f>
        <v>382</v>
      </c>
      <c r="G43" s="13">
        <f>+JUNIO!$AG43</f>
        <v>307</v>
      </c>
      <c r="H43" s="13">
        <f>+Julio!$AG43</f>
        <v>257</v>
      </c>
      <c r="I43" s="13">
        <f>+agosto!$AG43</f>
        <v>303</v>
      </c>
      <c r="J43" s="13">
        <f>+septiembre!$AG43</f>
        <v>361</v>
      </c>
      <c r="K43" s="13">
        <f>+OCTUBRE!$AG43</f>
        <v>402</v>
      </c>
      <c r="L43" s="13">
        <f>+NOVIEMBRE!$AG43</f>
        <v>341</v>
      </c>
      <c r="M43" s="13">
        <f>+DICIEMBRE!$AG43</f>
        <v>331</v>
      </c>
      <c r="N43" s="15">
        <f t="shared" si="0"/>
        <v>4376</v>
      </c>
    </row>
    <row r="44" spans="1:14" ht="15.75" customHeight="1" x14ac:dyDescent="0.25">
      <c r="A44" s="12" t="s">
        <v>30</v>
      </c>
      <c r="B44" s="13">
        <f>+ENERO!$AG44</f>
        <v>353</v>
      </c>
      <c r="C44" s="13">
        <f>+FEBRERO!$AG44</f>
        <v>282</v>
      </c>
      <c r="D44" s="13">
        <f>+MARZO!$AG44</f>
        <v>362</v>
      </c>
      <c r="E44" s="13">
        <f>+ABRIL!$AG44</f>
        <v>357</v>
      </c>
      <c r="F44" s="13">
        <f>+MAYO!$AG44</f>
        <v>332</v>
      </c>
      <c r="G44" s="13">
        <f>+JUNIO!$AG44</f>
        <v>202</v>
      </c>
      <c r="H44" s="13">
        <f>+Julio!$AG44</f>
        <v>174</v>
      </c>
      <c r="I44" s="13">
        <f>+agosto!$AG44</f>
        <v>208</v>
      </c>
      <c r="J44" s="13">
        <f>+septiembre!$AG44</f>
        <v>254</v>
      </c>
      <c r="K44" s="13">
        <f>+OCTUBRE!$AG44</f>
        <v>330</v>
      </c>
      <c r="L44" s="13">
        <f>+NOVIEMBRE!$AG44</f>
        <v>306</v>
      </c>
      <c r="M44" s="13">
        <f>+DICIEMBRE!$AG44</f>
        <v>269</v>
      </c>
      <c r="N44" s="15">
        <f t="shared" si="0"/>
        <v>3429</v>
      </c>
    </row>
    <row r="45" spans="1:14" ht="15.75" customHeight="1" x14ac:dyDescent="0.25">
      <c r="A45" s="12" t="s">
        <v>31</v>
      </c>
      <c r="B45" s="13">
        <f>+ENERO!$AG45</f>
        <v>289</v>
      </c>
      <c r="C45" s="13">
        <f>+FEBRERO!$AG45</f>
        <v>193</v>
      </c>
      <c r="D45" s="13">
        <f>+MARZO!$AG45</f>
        <v>232</v>
      </c>
      <c r="E45" s="13">
        <f>+ABRIL!$AG45</f>
        <v>215</v>
      </c>
      <c r="F45" s="13">
        <f>+MAYO!$AG45</f>
        <v>221</v>
      </c>
      <c r="G45" s="13">
        <f>+JUNIO!$AG45</f>
        <v>140</v>
      </c>
      <c r="H45" s="13">
        <f>+Julio!$AG45</f>
        <v>134</v>
      </c>
      <c r="I45" s="13">
        <f>+agosto!$AG45</f>
        <v>148</v>
      </c>
      <c r="J45" s="13">
        <f>+septiembre!$AG45</f>
        <v>200</v>
      </c>
      <c r="K45" s="13">
        <f>+OCTUBRE!$AG45</f>
        <v>250</v>
      </c>
      <c r="L45" s="13">
        <f>+NOVIEMBRE!$AG45</f>
        <v>221</v>
      </c>
      <c r="M45" s="13">
        <f>+DICIEMBRE!$AG45</f>
        <v>218</v>
      </c>
      <c r="N45" s="15">
        <f t="shared" si="0"/>
        <v>2461</v>
      </c>
    </row>
    <row r="46" spans="1:14" ht="15.75" customHeight="1" x14ac:dyDescent="0.25">
      <c r="A46" s="12" t="s">
        <v>32</v>
      </c>
      <c r="B46" s="13">
        <f>+ENERO!$AG46</f>
        <v>229</v>
      </c>
      <c r="C46" s="13">
        <f>+FEBRERO!$AG46</f>
        <v>150</v>
      </c>
      <c r="D46" s="13">
        <f>+MARZO!$AG46</f>
        <v>175</v>
      </c>
      <c r="E46" s="13">
        <f>+ABRIL!$AG46</f>
        <v>127</v>
      </c>
      <c r="F46" s="13">
        <f>+MAYO!$AG46</f>
        <v>271</v>
      </c>
      <c r="G46" s="13">
        <f>+JUNIO!$AG46</f>
        <v>136</v>
      </c>
      <c r="H46" s="13">
        <f>+Julio!$AG46</f>
        <v>112</v>
      </c>
      <c r="I46" s="13">
        <f>+agosto!$AG46</f>
        <v>114</v>
      </c>
      <c r="J46" s="13">
        <f>+septiembre!$AG46</f>
        <v>150</v>
      </c>
      <c r="K46" s="13">
        <f>+OCTUBRE!$AG46</f>
        <v>227</v>
      </c>
      <c r="L46" s="13">
        <f>+NOVIEMBRE!$AG46</f>
        <v>208</v>
      </c>
      <c r="M46" s="13">
        <f>+DICIEMBRE!$AG46</f>
        <v>209</v>
      </c>
      <c r="N46" s="15">
        <f t="shared" si="0"/>
        <v>2108</v>
      </c>
    </row>
    <row r="47" spans="1:14" ht="15.75" customHeight="1" x14ac:dyDescent="0.25">
      <c r="A47" s="12" t="s">
        <v>33</v>
      </c>
      <c r="B47" s="13">
        <f>+ENERO!$AG47</f>
        <v>111</v>
      </c>
      <c r="C47" s="13">
        <f>+FEBRERO!$AG47</f>
        <v>72</v>
      </c>
      <c r="D47" s="13">
        <f>+MARZO!$AG47</f>
        <v>149</v>
      </c>
      <c r="E47" s="13">
        <f>+ABRIL!$AG47</f>
        <v>96</v>
      </c>
      <c r="F47" s="13">
        <f>+MAYO!$AG47</f>
        <v>161</v>
      </c>
      <c r="G47" s="13">
        <f>+JUNIO!$AG47</f>
        <v>58</v>
      </c>
      <c r="H47" s="13">
        <f>+Julio!$AG47</f>
        <v>74</v>
      </c>
      <c r="I47" s="13">
        <f>+agosto!$AG47</f>
        <v>74</v>
      </c>
      <c r="J47" s="13">
        <f>+septiembre!$AG47</f>
        <v>110</v>
      </c>
      <c r="K47" s="13">
        <f>+OCTUBRE!$AG47</f>
        <v>165</v>
      </c>
      <c r="L47" s="13">
        <f>+NOVIEMBRE!$AG47</f>
        <v>167</v>
      </c>
      <c r="M47" s="13">
        <f>+DICIEMBRE!$AG47</f>
        <v>137</v>
      </c>
      <c r="N47" s="15">
        <f t="shared" si="0"/>
        <v>1374</v>
      </c>
    </row>
    <row r="48" spans="1:14" ht="15.75" customHeight="1" x14ac:dyDescent="0.25">
      <c r="A48" s="12" t="s">
        <v>34</v>
      </c>
      <c r="B48" s="13">
        <f>+ENERO!$AG48</f>
        <v>69</v>
      </c>
      <c r="C48" s="13">
        <f>+FEBRERO!$AG48</f>
        <v>33</v>
      </c>
      <c r="D48" s="13">
        <f>+MARZO!$AG48</f>
        <v>63</v>
      </c>
      <c r="E48" s="13">
        <f>+ABRIL!$AG48</f>
        <v>58</v>
      </c>
      <c r="F48" s="13">
        <f>+MAYO!$AG48</f>
        <v>85</v>
      </c>
      <c r="G48" s="13">
        <f>+JUNIO!$AG48</f>
        <v>48</v>
      </c>
      <c r="H48" s="13">
        <f>+Julio!$AG48</f>
        <v>64</v>
      </c>
      <c r="I48" s="13">
        <f>+agosto!$AG48</f>
        <v>52</v>
      </c>
      <c r="J48" s="13">
        <f>+septiembre!$AG48</f>
        <v>67</v>
      </c>
      <c r="K48" s="13">
        <f>+OCTUBRE!$AG48</f>
        <v>130</v>
      </c>
      <c r="L48" s="13">
        <f>+NOVIEMBRE!$AG48</f>
        <v>101</v>
      </c>
      <c r="M48" s="13">
        <f>+DICIEMBRE!$AG48</f>
        <v>102</v>
      </c>
      <c r="N48" s="15">
        <f t="shared" si="0"/>
        <v>872</v>
      </c>
    </row>
    <row r="49" spans="1:14" ht="15.75" customHeight="1" x14ac:dyDescent="0.25">
      <c r="A49" s="12" t="s">
        <v>35</v>
      </c>
      <c r="B49" s="13">
        <f>+ENERO!$AG49</f>
        <v>25</v>
      </c>
      <c r="C49" s="13">
        <f>+FEBRERO!$AG49</f>
        <v>32</v>
      </c>
      <c r="D49" s="13">
        <f>+MARZO!$AG49</f>
        <v>54</v>
      </c>
      <c r="E49" s="13">
        <f>+ABRIL!$AG49</f>
        <v>42</v>
      </c>
      <c r="F49" s="13">
        <f>+MAYO!$AG49</f>
        <v>42</v>
      </c>
      <c r="G49" s="13">
        <f>+JUNIO!$AG49</f>
        <v>28</v>
      </c>
      <c r="H49" s="13">
        <f>+Julio!$AG49</f>
        <v>25</v>
      </c>
      <c r="I49" s="13">
        <f>+agosto!$AG49</f>
        <v>40</v>
      </c>
      <c r="J49" s="13">
        <f>+septiembre!$AG49</f>
        <v>46</v>
      </c>
      <c r="K49" s="13">
        <f>+OCTUBRE!$AG49</f>
        <v>79</v>
      </c>
      <c r="L49" s="13">
        <f>+NOVIEMBRE!$AG49</f>
        <v>69</v>
      </c>
      <c r="M49" s="13">
        <f>+DICIEMBRE!$AG49</f>
        <v>77</v>
      </c>
      <c r="N49" s="15">
        <f t="shared" si="0"/>
        <v>559</v>
      </c>
    </row>
    <row r="50" spans="1:14" ht="15.75" customHeight="1" x14ac:dyDescent="0.25">
      <c r="A50" s="12" t="s">
        <v>36</v>
      </c>
      <c r="B50" s="13">
        <f>+ENERO!$AG50</f>
        <v>22</v>
      </c>
      <c r="C50" s="13">
        <f>+FEBRERO!$AG50</f>
        <v>29</v>
      </c>
      <c r="D50" s="13">
        <f>+MARZO!$AG50</f>
        <v>36</v>
      </c>
      <c r="E50" s="13">
        <f>+ABRIL!$AG50</f>
        <v>26</v>
      </c>
      <c r="F50" s="13">
        <f>+MAYO!$AG50</f>
        <v>22</v>
      </c>
      <c r="G50" s="13">
        <f>+JUNIO!$AG50</f>
        <v>25</v>
      </c>
      <c r="H50" s="13">
        <f>+Julio!$AG50</f>
        <v>31</v>
      </c>
      <c r="I50" s="13">
        <f>+agosto!$AG50</f>
        <v>31</v>
      </c>
      <c r="J50" s="13">
        <f>+septiembre!$AG50</f>
        <v>41</v>
      </c>
      <c r="K50" s="13">
        <f>+OCTUBRE!$AG50</f>
        <v>43</v>
      </c>
      <c r="L50" s="13">
        <f>+NOVIEMBRE!$AG50</f>
        <v>37</v>
      </c>
      <c r="M50" s="13">
        <f>+DICIEMBRE!$AG50</f>
        <v>32</v>
      </c>
      <c r="N50" s="15">
        <f t="shared" si="0"/>
        <v>375</v>
      </c>
    </row>
    <row r="51" spans="1:14" ht="15.75" customHeight="1" x14ac:dyDescent="0.25">
      <c r="A51" s="12" t="s">
        <v>37</v>
      </c>
      <c r="B51" s="13">
        <f>+ENERO!$AG51</f>
        <v>21</v>
      </c>
      <c r="C51" s="13">
        <f>+FEBRERO!$AG51</f>
        <v>24</v>
      </c>
      <c r="D51" s="13">
        <f>+MARZO!$AG51</f>
        <v>31</v>
      </c>
      <c r="E51" s="13">
        <f>+ABRIL!$AG51</f>
        <v>14</v>
      </c>
      <c r="F51" s="13">
        <f>+MAYO!$AG51</f>
        <v>36</v>
      </c>
      <c r="G51" s="13">
        <f>+JUNIO!$AG51</f>
        <v>27</v>
      </c>
      <c r="H51" s="13">
        <f>+Julio!$AG51</f>
        <v>20</v>
      </c>
      <c r="I51" s="13">
        <f>+agosto!$AG51</f>
        <v>46</v>
      </c>
      <c r="J51" s="13">
        <f>+septiembre!$AG51</f>
        <v>51</v>
      </c>
      <c r="K51" s="13">
        <f>+OCTUBRE!$AG51</f>
        <v>46</v>
      </c>
      <c r="L51" s="13">
        <f>+NOVIEMBRE!$AG51</f>
        <v>57</v>
      </c>
      <c r="M51" s="13">
        <f>+DICIEMBRE!$AG51</f>
        <v>53</v>
      </c>
      <c r="N51" s="15">
        <f t="shared" si="0"/>
        <v>426</v>
      </c>
    </row>
    <row r="52" spans="1:14" ht="15.75" customHeight="1" x14ac:dyDescent="0.25">
      <c r="A52" s="23" t="s">
        <v>38</v>
      </c>
      <c r="B52" s="24">
        <f>+ENERO!$AG52</f>
        <v>49</v>
      </c>
      <c r="C52" s="24">
        <f>+FEBRERO!$AG52</f>
        <v>44</v>
      </c>
      <c r="D52" s="24">
        <f>+MARZO!$AG52</f>
        <v>51</v>
      </c>
      <c r="E52" s="24">
        <f>+ABRIL!$AG52</f>
        <v>33</v>
      </c>
      <c r="F52" s="24">
        <f>+MAYO!$AG52</f>
        <v>50</v>
      </c>
      <c r="G52" s="24">
        <f>+JUNIO!$AG52</f>
        <v>36</v>
      </c>
      <c r="H52" s="24">
        <f>+Julio!$AG52</f>
        <v>40</v>
      </c>
      <c r="I52" s="24">
        <f>+agosto!$AG52</f>
        <v>52</v>
      </c>
      <c r="J52" s="24">
        <f>+septiembre!$AG52</f>
        <v>50</v>
      </c>
      <c r="K52" s="24">
        <f>+OCTUBRE!$AG52</f>
        <v>62</v>
      </c>
      <c r="L52" s="24">
        <f>+NOVIEMBRE!$AG52</f>
        <v>56</v>
      </c>
      <c r="M52" s="24">
        <f>+DICIEMBRE!$AG52</f>
        <v>89</v>
      </c>
      <c r="N52" s="26">
        <f t="shared" si="0"/>
        <v>612</v>
      </c>
    </row>
    <row r="53" spans="1:14" ht="15.75" customHeight="1" x14ac:dyDescent="0.25">
      <c r="A53" s="4" t="s">
        <v>40</v>
      </c>
      <c r="B53" s="5">
        <f>+ENERO!$AG53</f>
        <v>576</v>
      </c>
      <c r="C53" s="5">
        <f>+FEBRERO!$AG53</f>
        <v>396</v>
      </c>
      <c r="D53" s="5">
        <f>+MARZO!$AG53</f>
        <v>996</v>
      </c>
      <c r="E53" s="5">
        <f>+ABRIL!$AG53</f>
        <v>910</v>
      </c>
      <c r="F53" s="5">
        <f>+MAYO!$AG53</f>
        <v>1341</v>
      </c>
      <c r="G53" s="5">
        <f>+JUNIO!$AG53</f>
        <v>544</v>
      </c>
      <c r="H53" s="5">
        <f>+Julio!$AG53</f>
        <v>461</v>
      </c>
      <c r="I53" s="5">
        <f>+agosto!$AG53</f>
        <v>703</v>
      </c>
      <c r="J53" s="5">
        <f>+septiembre!$AG53</f>
        <v>766</v>
      </c>
      <c r="K53" s="5">
        <f>+OCTUBRE!$AG53</f>
        <v>1496</v>
      </c>
      <c r="L53" s="5">
        <f>+NOVIEMBRE!$AG53</f>
        <v>1170</v>
      </c>
      <c r="M53" s="5">
        <f>+DICIEMBRE!$AG53</f>
        <v>590</v>
      </c>
      <c r="N53" s="27">
        <f t="shared" si="0"/>
        <v>9949</v>
      </c>
    </row>
    <row r="54" spans="1:14" ht="15.75" customHeight="1" x14ac:dyDescent="0.25">
      <c r="A54" s="8" t="s">
        <v>15</v>
      </c>
      <c r="B54" s="9">
        <f>+ENERO!$AG54</f>
        <v>5</v>
      </c>
      <c r="C54" s="9">
        <f>+FEBRERO!$AG54</f>
        <v>6</v>
      </c>
      <c r="D54" s="9">
        <f>+MARZO!$AG54</f>
        <v>5</v>
      </c>
      <c r="E54" s="9">
        <f>+ABRIL!$AG54</f>
        <v>7</v>
      </c>
      <c r="F54" s="9">
        <f>+MAYO!$AG54</f>
        <v>7</v>
      </c>
      <c r="G54" s="9">
        <f>+JUNIO!$AG54</f>
        <v>2</v>
      </c>
      <c r="H54" s="9">
        <f>+Julio!$AG54</f>
        <v>6</v>
      </c>
      <c r="I54" s="9">
        <f>+agosto!$AG54</f>
        <v>6</v>
      </c>
      <c r="J54" s="9">
        <f>+septiembre!$AG54</f>
        <v>10</v>
      </c>
      <c r="K54" s="9">
        <f>+OCTUBRE!$AG54</f>
        <v>8</v>
      </c>
      <c r="L54" s="9">
        <f>+NOVIEMBRE!$AG54</f>
        <v>4</v>
      </c>
      <c r="M54" s="9">
        <f>+DICIEMBRE!$AG54</f>
        <v>8</v>
      </c>
      <c r="N54" s="11">
        <f t="shared" si="0"/>
        <v>74</v>
      </c>
    </row>
    <row r="55" spans="1:14" ht="15.75" customHeight="1" x14ac:dyDescent="0.25">
      <c r="A55" s="12" t="s">
        <v>16</v>
      </c>
      <c r="B55" s="13">
        <f>+ENERO!$AG55</f>
        <v>7</v>
      </c>
      <c r="C55" s="13">
        <f>+FEBRERO!$AG55</f>
        <v>6</v>
      </c>
      <c r="D55" s="13">
        <f>+MARZO!$AG55</f>
        <v>14</v>
      </c>
      <c r="E55" s="13">
        <f>+ABRIL!$AG55</f>
        <v>13</v>
      </c>
      <c r="F55" s="13">
        <f>+MAYO!$AG55</f>
        <v>24</v>
      </c>
      <c r="G55" s="13">
        <f>+JUNIO!$AG55</f>
        <v>5</v>
      </c>
      <c r="H55" s="13">
        <f>+Julio!$AG55</f>
        <v>6</v>
      </c>
      <c r="I55" s="13">
        <f>+agosto!$AG55</f>
        <v>11</v>
      </c>
      <c r="J55" s="13">
        <f>+septiembre!$AG55</f>
        <v>10</v>
      </c>
      <c r="K55" s="13">
        <f>+OCTUBRE!$AG55</f>
        <v>22</v>
      </c>
      <c r="L55" s="13">
        <f>+NOVIEMBRE!$AG55</f>
        <v>5</v>
      </c>
      <c r="M55" s="13">
        <f>+DICIEMBRE!$AG55</f>
        <v>9</v>
      </c>
      <c r="N55" s="15">
        <f t="shared" si="0"/>
        <v>132</v>
      </c>
    </row>
    <row r="56" spans="1:14" ht="15.75" customHeight="1" x14ac:dyDescent="0.25">
      <c r="A56" s="12" t="s">
        <v>17</v>
      </c>
      <c r="B56" s="13">
        <f>+ENERO!$AG56</f>
        <v>6</v>
      </c>
      <c r="C56" s="13">
        <f>+FEBRERO!$AG56</f>
        <v>13</v>
      </c>
      <c r="D56" s="13">
        <f>+MARZO!$AG56</f>
        <v>27</v>
      </c>
      <c r="E56" s="13">
        <f>+ABRIL!$AG56</f>
        <v>15</v>
      </c>
      <c r="F56" s="13">
        <f>+MAYO!$AG56</f>
        <v>25</v>
      </c>
      <c r="G56" s="13">
        <f>+JUNIO!$AG56</f>
        <v>12</v>
      </c>
      <c r="H56" s="13">
        <f>+Julio!$AG56</f>
        <v>11</v>
      </c>
      <c r="I56" s="13">
        <f>+agosto!$AG56</f>
        <v>12</v>
      </c>
      <c r="J56" s="13">
        <f>+septiembre!$AG56</f>
        <v>9</v>
      </c>
      <c r="K56" s="13">
        <f>+OCTUBRE!$AG56</f>
        <v>17</v>
      </c>
      <c r="L56" s="13">
        <f>+NOVIEMBRE!$AG56</f>
        <v>10</v>
      </c>
      <c r="M56" s="13">
        <f>+DICIEMBRE!$AG56</f>
        <v>11</v>
      </c>
      <c r="N56" s="15">
        <f t="shared" si="0"/>
        <v>168</v>
      </c>
    </row>
    <row r="57" spans="1:14" ht="15.75" customHeight="1" x14ac:dyDescent="0.25">
      <c r="A57" s="12" t="s">
        <v>18</v>
      </c>
      <c r="B57" s="13">
        <f>+ENERO!$AG57</f>
        <v>15</v>
      </c>
      <c r="C57" s="13">
        <f>+FEBRERO!$AG57</f>
        <v>10</v>
      </c>
      <c r="D57" s="13">
        <f>+MARZO!$AG57</f>
        <v>45</v>
      </c>
      <c r="E57" s="13">
        <f>+ABRIL!$AG57</f>
        <v>21</v>
      </c>
      <c r="F57" s="13">
        <f>+MAYO!$AG57</f>
        <v>19</v>
      </c>
      <c r="G57" s="13">
        <f>+JUNIO!$AG57</f>
        <v>12</v>
      </c>
      <c r="H57" s="13">
        <f>+Julio!$AG57</f>
        <v>14</v>
      </c>
      <c r="I57" s="13">
        <f>+agosto!$AG57</f>
        <v>10</v>
      </c>
      <c r="J57" s="13">
        <f>+septiembre!$AG57</f>
        <v>12</v>
      </c>
      <c r="K57" s="13">
        <f>+OCTUBRE!$AG57</f>
        <v>16</v>
      </c>
      <c r="L57" s="13">
        <f>+NOVIEMBRE!$AG57</f>
        <v>13</v>
      </c>
      <c r="M57" s="13">
        <f>+DICIEMBRE!$AG57</f>
        <v>17</v>
      </c>
      <c r="N57" s="15">
        <f t="shared" si="0"/>
        <v>204</v>
      </c>
    </row>
    <row r="58" spans="1:14" ht="15.75" customHeight="1" x14ac:dyDescent="0.25">
      <c r="A58" s="12" t="s">
        <v>19</v>
      </c>
      <c r="B58" s="13">
        <f>+ENERO!$AG58</f>
        <v>24</v>
      </c>
      <c r="C58" s="13">
        <f>+FEBRERO!$AG58</f>
        <v>13</v>
      </c>
      <c r="D58" s="13">
        <f>+MARZO!$AG58</f>
        <v>33</v>
      </c>
      <c r="E58" s="13">
        <f>+ABRIL!$AG58</f>
        <v>34</v>
      </c>
      <c r="F58" s="13">
        <f>+MAYO!$AG58</f>
        <v>33</v>
      </c>
      <c r="G58" s="13">
        <f>+JUNIO!$AG58</f>
        <v>15</v>
      </c>
      <c r="H58" s="13">
        <f>+Julio!$AG58</f>
        <v>8</v>
      </c>
      <c r="I58" s="13">
        <f>+agosto!$AG58</f>
        <v>24</v>
      </c>
      <c r="J58" s="13">
        <f>+septiembre!$AG58</f>
        <v>24</v>
      </c>
      <c r="K58" s="13">
        <f>+OCTUBRE!$AG58</f>
        <v>24</v>
      </c>
      <c r="L58" s="13">
        <f>+NOVIEMBRE!$AG58</f>
        <v>25</v>
      </c>
      <c r="M58" s="13">
        <f>+DICIEMBRE!$AG58</f>
        <v>15</v>
      </c>
      <c r="N58" s="15">
        <f t="shared" si="0"/>
        <v>272</v>
      </c>
    </row>
    <row r="59" spans="1:14" ht="15.75" customHeight="1" x14ac:dyDescent="0.25">
      <c r="A59" s="12" t="s">
        <v>20</v>
      </c>
      <c r="B59" s="13">
        <f>+ENERO!$AG59</f>
        <v>21</v>
      </c>
      <c r="C59" s="13">
        <f>+FEBRERO!$AG59</f>
        <v>11</v>
      </c>
      <c r="D59" s="13">
        <f>+MARZO!$AG59</f>
        <v>27</v>
      </c>
      <c r="E59" s="13">
        <f>+ABRIL!$AG59</f>
        <v>45</v>
      </c>
      <c r="F59" s="13">
        <f>+MAYO!$AG59</f>
        <v>36</v>
      </c>
      <c r="G59" s="13">
        <f>+JUNIO!$AG59</f>
        <v>27</v>
      </c>
      <c r="H59" s="13">
        <f>+Julio!$AG59</f>
        <v>15</v>
      </c>
      <c r="I59" s="13">
        <f>+agosto!$AG59</f>
        <v>27</v>
      </c>
      <c r="J59" s="13">
        <f>+septiembre!$AG59</f>
        <v>17</v>
      </c>
      <c r="K59" s="13">
        <f>+OCTUBRE!$AG59</f>
        <v>31</v>
      </c>
      <c r="L59" s="13">
        <f>+NOVIEMBRE!$AG59</f>
        <v>24</v>
      </c>
      <c r="M59" s="13">
        <f>+DICIEMBRE!$AG59</f>
        <v>28</v>
      </c>
      <c r="N59" s="15">
        <f t="shared" si="0"/>
        <v>309</v>
      </c>
    </row>
    <row r="60" spans="1:14" ht="15.75" customHeight="1" x14ac:dyDescent="0.25">
      <c r="A60" s="12" t="s">
        <v>21</v>
      </c>
      <c r="B60" s="13">
        <f>+ENERO!$AG60</f>
        <v>41</v>
      </c>
      <c r="C60" s="13">
        <f>+FEBRERO!$AG60</f>
        <v>24</v>
      </c>
      <c r="D60" s="13">
        <f>+MARZO!$AG60</f>
        <v>78</v>
      </c>
      <c r="E60" s="13">
        <f>+ABRIL!$AG60</f>
        <v>78</v>
      </c>
      <c r="F60" s="13">
        <f>+MAYO!$AG60</f>
        <v>75</v>
      </c>
      <c r="G60" s="13">
        <f>+JUNIO!$AG60</f>
        <v>45</v>
      </c>
      <c r="H60" s="13">
        <f>+Julio!$AG60</f>
        <v>25</v>
      </c>
      <c r="I60" s="13">
        <f>+agosto!$AG60</f>
        <v>56</v>
      </c>
      <c r="J60" s="13">
        <f>+septiembre!$AG60</f>
        <v>64</v>
      </c>
      <c r="K60" s="13">
        <f>+OCTUBRE!$AG60</f>
        <v>63</v>
      </c>
      <c r="L60" s="13">
        <f>+NOVIEMBRE!$AG60</f>
        <v>41</v>
      </c>
      <c r="M60" s="13">
        <f>+DICIEMBRE!$AG60</f>
        <v>27</v>
      </c>
      <c r="N60" s="15">
        <f t="shared" si="0"/>
        <v>617</v>
      </c>
    </row>
    <row r="61" spans="1:14" ht="15.75" customHeight="1" x14ac:dyDescent="0.25">
      <c r="A61" s="12" t="s">
        <v>22</v>
      </c>
      <c r="B61" s="13">
        <f>+ENERO!$AG61</f>
        <v>49</v>
      </c>
      <c r="C61" s="13">
        <f>+FEBRERO!$AG61</f>
        <v>29</v>
      </c>
      <c r="D61" s="13">
        <f>+MARZO!$AG61</f>
        <v>80</v>
      </c>
      <c r="E61" s="13">
        <f>+ABRIL!$AG61</f>
        <v>84</v>
      </c>
      <c r="F61" s="13">
        <f>+MAYO!$AG61</f>
        <v>139</v>
      </c>
      <c r="G61" s="13">
        <f>+JUNIO!$AG61</f>
        <v>45</v>
      </c>
      <c r="H61" s="13">
        <f>+Julio!$AG61</f>
        <v>37</v>
      </c>
      <c r="I61" s="13">
        <f>+agosto!$AG61</f>
        <v>70</v>
      </c>
      <c r="J61" s="13">
        <f>+septiembre!$AG61</f>
        <v>84</v>
      </c>
      <c r="K61" s="13">
        <f>+OCTUBRE!$AG61</f>
        <v>123</v>
      </c>
      <c r="L61" s="13">
        <f>+NOVIEMBRE!$AG61</f>
        <v>69</v>
      </c>
      <c r="M61" s="13">
        <f>+DICIEMBRE!$AG61</f>
        <v>37</v>
      </c>
      <c r="N61" s="15">
        <f t="shared" si="0"/>
        <v>846</v>
      </c>
    </row>
    <row r="62" spans="1:14" ht="15.75" customHeight="1" x14ac:dyDescent="0.25">
      <c r="A62" s="12" t="s">
        <v>23</v>
      </c>
      <c r="B62" s="13">
        <f>+ENERO!$AG62</f>
        <v>28</v>
      </c>
      <c r="C62" s="13">
        <f>+FEBRERO!$AG62</f>
        <v>40</v>
      </c>
      <c r="D62" s="13">
        <f>+MARZO!$AG62</f>
        <v>93</v>
      </c>
      <c r="E62" s="13">
        <f>+ABRIL!$AG62</f>
        <v>76</v>
      </c>
      <c r="F62" s="13">
        <f>+MAYO!$AG62</f>
        <v>125</v>
      </c>
      <c r="G62" s="13">
        <f>+JUNIO!$AG62</f>
        <v>35</v>
      </c>
      <c r="H62" s="13">
        <f>+Julio!$AG62</f>
        <v>39</v>
      </c>
      <c r="I62" s="13">
        <f>+agosto!$AG62</f>
        <v>69</v>
      </c>
      <c r="J62" s="13">
        <f>+septiembre!$AG62</f>
        <v>73</v>
      </c>
      <c r="K62" s="13">
        <f>+OCTUBRE!$AG62</f>
        <v>80</v>
      </c>
      <c r="L62" s="13">
        <f>+NOVIEMBRE!$AG62</f>
        <v>68</v>
      </c>
      <c r="M62" s="13">
        <f>+DICIEMBRE!$AG62</f>
        <v>48</v>
      </c>
      <c r="N62" s="15">
        <f t="shared" si="0"/>
        <v>774</v>
      </c>
    </row>
    <row r="63" spans="1:14" ht="15.75" customHeight="1" x14ac:dyDescent="0.25">
      <c r="A63" s="12" t="s">
        <v>24</v>
      </c>
      <c r="B63" s="13">
        <f>+ENERO!$AG63</f>
        <v>44</v>
      </c>
      <c r="C63" s="13">
        <f>+FEBRERO!$AG63</f>
        <v>24</v>
      </c>
      <c r="D63" s="13">
        <f>+MARZO!$AG63</f>
        <v>78</v>
      </c>
      <c r="E63" s="13">
        <f>+ABRIL!$AG63</f>
        <v>81</v>
      </c>
      <c r="F63" s="13">
        <f>+MAYO!$AG63</f>
        <v>135</v>
      </c>
      <c r="G63" s="13">
        <f>+JUNIO!$AG63</f>
        <v>77</v>
      </c>
      <c r="H63" s="13">
        <f>+Julio!$AG63</f>
        <v>66</v>
      </c>
      <c r="I63" s="13">
        <f>+agosto!$AG63</f>
        <v>75</v>
      </c>
      <c r="J63" s="13">
        <f>+septiembre!$AG63</f>
        <v>51</v>
      </c>
      <c r="K63" s="13">
        <f>+OCTUBRE!$AG63</f>
        <v>141</v>
      </c>
      <c r="L63" s="13">
        <f>+NOVIEMBRE!$AG63</f>
        <v>122</v>
      </c>
      <c r="M63" s="13">
        <f>+DICIEMBRE!$AG63</f>
        <v>44</v>
      </c>
      <c r="N63" s="15">
        <f t="shared" si="0"/>
        <v>938</v>
      </c>
    </row>
    <row r="64" spans="1:14" ht="15.75" customHeight="1" x14ac:dyDescent="0.25">
      <c r="A64" s="12" t="s">
        <v>25</v>
      </c>
      <c r="B64" s="13">
        <f>+ENERO!$AG64</f>
        <v>54</v>
      </c>
      <c r="C64" s="13">
        <f>+FEBRERO!$AG64</f>
        <v>44</v>
      </c>
      <c r="D64" s="13">
        <f>+MARZO!$AG64</f>
        <v>105</v>
      </c>
      <c r="E64" s="13">
        <f>+ABRIL!$AG64</f>
        <v>89</v>
      </c>
      <c r="F64" s="13">
        <f>+MAYO!$AG64</f>
        <v>204</v>
      </c>
      <c r="G64" s="13">
        <f>+JUNIO!$AG64</f>
        <v>104</v>
      </c>
      <c r="H64" s="13">
        <f>+Julio!$AG64</f>
        <v>82</v>
      </c>
      <c r="I64" s="13">
        <f>+agosto!$AG64</f>
        <v>139</v>
      </c>
      <c r="J64" s="13">
        <f>+septiembre!$AG64</f>
        <v>144</v>
      </c>
      <c r="K64" s="13">
        <f>+OCTUBRE!$AG64</f>
        <v>212</v>
      </c>
      <c r="L64" s="13">
        <f>+NOVIEMBRE!$AG64</f>
        <v>145</v>
      </c>
      <c r="M64" s="13">
        <f>+DICIEMBRE!$AG64</f>
        <v>69</v>
      </c>
      <c r="N64" s="15">
        <f t="shared" si="0"/>
        <v>1391</v>
      </c>
    </row>
    <row r="65" spans="1:14" ht="15.75" customHeight="1" x14ac:dyDescent="0.25">
      <c r="A65" s="12" t="s">
        <v>26</v>
      </c>
      <c r="B65" s="13">
        <f>+ENERO!$AG65</f>
        <v>43</v>
      </c>
      <c r="C65" s="13">
        <f>+FEBRERO!$AG65</f>
        <v>44</v>
      </c>
      <c r="D65" s="13">
        <f>+MARZO!$AG65</f>
        <v>93</v>
      </c>
      <c r="E65" s="13">
        <f>+ABRIL!$AG65</f>
        <v>115</v>
      </c>
      <c r="F65" s="13">
        <f>+MAYO!$AG65</f>
        <v>88</v>
      </c>
      <c r="G65" s="13">
        <f>+JUNIO!$AG65</f>
        <v>61</v>
      </c>
      <c r="H65" s="13">
        <f>+Julio!$AG65</f>
        <v>50</v>
      </c>
      <c r="I65" s="13">
        <f>+agosto!$AG65</f>
        <v>83</v>
      </c>
      <c r="J65" s="13">
        <f>+septiembre!$AG65</f>
        <v>89</v>
      </c>
      <c r="K65" s="13">
        <f>+OCTUBRE!$AG65</f>
        <v>190</v>
      </c>
      <c r="L65" s="13">
        <f>+NOVIEMBRE!$AG65</f>
        <v>149</v>
      </c>
      <c r="M65" s="13">
        <f>+DICIEMBRE!$AG65</f>
        <v>72</v>
      </c>
      <c r="N65" s="15">
        <f t="shared" si="0"/>
        <v>1077</v>
      </c>
    </row>
    <row r="66" spans="1:14" ht="15.75" customHeight="1" x14ac:dyDescent="0.25">
      <c r="A66" s="12" t="s">
        <v>27</v>
      </c>
      <c r="B66" s="13">
        <f>+ENERO!$AG66</f>
        <v>58</v>
      </c>
      <c r="C66" s="13">
        <f>+FEBRERO!$AG66</f>
        <v>41</v>
      </c>
      <c r="D66" s="13">
        <f>+MARZO!$AG66</f>
        <v>89</v>
      </c>
      <c r="E66" s="13">
        <f>+ABRIL!$AG66</f>
        <v>57</v>
      </c>
      <c r="F66" s="13">
        <f>+MAYO!$AG66</f>
        <v>110</v>
      </c>
      <c r="G66" s="13">
        <f>+JUNIO!$AG66</f>
        <v>44</v>
      </c>
      <c r="H66" s="13">
        <f>+Julio!$AG66</f>
        <v>34</v>
      </c>
      <c r="I66" s="13">
        <f>+agosto!$AG66</f>
        <v>62</v>
      </c>
      <c r="J66" s="13">
        <f>+septiembre!$AG66</f>
        <v>68</v>
      </c>
      <c r="K66" s="13">
        <f>+OCTUBRE!$AG66</f>
        <v>113</v>
      </c>
      <c r="L66" s="13">
        <f>+NOVIEMBRE!$AG66</f>
        <v>112</v>
      </c>
      <c r="M66" s="13">
        <f>+DICIEMBRE!$AG66</f>
        <v>37</v>
      </c>
      <c r="N66" s="15">
        <f t="shared" si="0"/>
        <v>825</v>
      </c>
    </row>
    <row r="67" spans="1:14" ht="15.75" customHeight="1" x14ac:dyDescent="0.25">
      <c r="A67" s="12" t="s">
        <v>28</v>
      </c>
      <c r="B67" s="13">
        <f>+ENERO!$AG67</f>
        <v>51</v>
      </c>
      <c r="C67" s="13">
        <f>+FEBRERO!$AG67</f>
        <v>32</v>
      </c>
      <c r="D67" s="13">
        <f>+MARZO!$AG67</f>
        <v>56</v>
      </c>
      <c r="E67" s="13">
        <f>+ABRIL!$AG67</f>
        <v>50</v>
      </c>
      <c r="F67" s="13">
        <f>+MAYO!$AG67</f>
        <v>116</v>
      </c>
      <c r="G67" s="13">
        <f>+JUNIO!$AG67</f>
        <v>32</v>
      </c>
      <c r="H67" s="13">
        <f>+Julio!$AG67</f>
        <v>17</v>
      </c>
      <c r="I67" s="13">
        <f>+agosto!$AG67</f>
        <v>23</v>
      </c>
      <c r="J67" s="13">
        <f>+septiembre!$AG67</f>
        <v>30</v>
      </c>
      <c r="K67" s="13">
        <f>+OCTUBRE!$AG67</f>
        <v>109</v>
      </c>
      <c r="L67" s="13">
        <f>+NOVIEMBRE!$AG67</f>
        <v>67</v>
      </c>
      <c r="M67" s="13">
        <f>+DICIEMBRE!$AG67</f>
        <v>17</v>
      </c>
      <c r="N67" s="15">
        <f t="shared" si="0"/>
        <v>600</v>
      </c>
    </row>
    <row r="68" spans="1:14" ht="15.75" customHeight="1" x14ac:dyDescent="0.25">
      <c r="A68" s="12" t="s">
        <v>29</v>
      </c>
      <c r="B68" s="13">
        <f>+ENERO!$AG68</f>
        <v>43</v>
      </c>
      <c r="C68" s="13">
        <f>+FEBRERO!$AG68</f>
        <v>25</v>
      </c>
      <c r="D68" s="13">
        <f>+MARZO!$AG68</f>
        <v>58</v>
      </c>
      <c r="E68" s="13">
        <f>+ABRIL!$AG68</f>
        <v>56</v>
      </c>
      <c r="F68" s="13">
        <f>+MAYO!$AG68</f>
        <v>53</v>
      </c>
      <c r="G68" s="13">
        <f>+JUNIO!$AG68</f>
        <v>12</v>
      </c>
      <c r="H68" s="13">
        <f>+Julio!$AG68</f>
        <v>17</v>
      </c>
      <c r="I68" s="13">
        <f>+agosto!$AG68</f>
        <v>10</v>
      </c>
      <c r="J68" s="13">
        <f>+septiembre!$AG68</f>
        <v>21</v>
      </c>
      <c r="K68" s="13">
        <f>+OCTUBRE!$AG68</f>
        <v>77</v>
      </c>
      <c r="L68" s="13">
        <f>+NOVIEMBRE!$AG68</f>
        <v>79</v>
      </c>
      <c r="M68" s="13">
        <f>+DICIEMBRE!$AG68</f>
        <v>31</v>
      </c>
      <c r="N68" s="15">
        <f t="shared" si="0"/>
        <v>482</v>
      </c>
    </row>
    <row r="69" spans="1:14" ht="15.75" customHeight="1" x14ac:dyDescent="0.25">
      <c r="A69" s="12" t="s">
        <v>30</v>
      </c>
      <c r="B69" s="13">
        <f>+ENERO!$AG69</f>
        <v>30</v>
      </c>
      <c r="C69" s="13">
        <f>+FEBRERO!$AG69</f>
        <v>15</v>
      </c>
      <c r="D69" s="13">
        <f>+MARZO!$AG69</f>
        <v>27</v>
      </c>
      <c r="E69" s="13">
        <f>+ABRIL!$AG69</f>
        <v>35</v>
      </c>
      <c r="F69" s="13">
        <f>+MAYO!$AG69</f>
        <v>49</v>
      </c>
      <c r="G69" s="13">
        <f>+JUNIO!$AG69</f>
        <v>7</v>
      </c>
      <c r="H69" s="13">
        <f>+Julio!$AG69</f>
        <v>12</v>
      </c>
      <c r="I69" s="13">
        <f>+agosto!$AG69</f>
        <v>7</v>
      </c>
      <c r="J69" s="13">
        <f>+septiembre!$AG69</f>
        <v>17</v>
      </c>
      <c r="K69" s="13">
        <f>+OCTUBRE!$AG69</f>
        <v>55</v>
      </c>
      <c r="L69" s="13">
        <f>+NOVIEMBRE!$AG69</f>
        <v>60</v>
      </c>
      <c r="M69" s="13">
        <f>+DICIEMBRE!$AG69</f>
        <v>22</v>
      </c>
      <c r="N69" s="15">
        <f t="shared" si="0"/>
        <v>336</v>
      </c>
    </row>
    <row r="70" spans="1:14" ht="15.75" customHeight="1" x14ac:dyDescent="0.25">
      <c r="A70" s="12" t="s">
        <v>31</v>
      </c>
      <c r="B70" s="9">
        <f>+ENERO!$AG70</f>
        <v>25</v>
      </c>
      <c r="C70" s="9">
        <f>+FEBRERO!$AG70</f>
        <v>6</v>
      </c>
      <c r="D70" s="9">
        <f>+MARZO!$AG70</f>
        <v>30</v>
      </c>
      <c r="E70" s="9">
        <f>+ABRIL!$AG70</f>
        <v>21</v>
      </c>
      <c r="F70" s="9">
        <f>+MAYO!$AG70</f>
        <v>40</v>
      </c>
      <c r="G70" s="9">
        <f>+JUNIO!$AG70</f>
        <v>0</v>
      </c>
      <c r="H70" s="9">
        <f>+Julio!$AG70</f>
        <v>4</v>
      </c>
      <c r="I70" s="9">
        <f>+agosto!$AG70</f>
        <v>5</v>
      </c>
      <c r="J70" s="9">
        <f>+septiembre!$AG70</f>
        <v>10</v>
      </c>
      <c r="K70" s="9">
        <f>+OCTUBRE!$AG70</f>
        <v>64</v>
      </c>
      <c r="L70" s="9">
        <f>+NOVIEMBRE!$AG70</f>
        <v>34</v>
      </c>
      <c r="M70" s="9">
        <f>+DICIEMBRE!$AG70</f>
        <v>19</v>
      </c>
      <c r="N70" s="15">
        <f t="shared" si="0"/>
        <v>258</v>
      </c>
    </row>
    <row r="71" spans="1:14" ht="15.75" customHeight="1" x14ac:dyDescent="0.25">
      <c r="A71" s="12" t="s">
        <v>32</v>
      </c>
      <c r="B71" s="9">
        <f>+ENERO!$AG71</f>
        <v>21</v>
      </c>
      <c r="C71" s="9">
        <f>+FEBRERO!$AG71</f>
        <v>4</v>
      </c>
      <c r="D71" s="9">
        <f>+MARZO!$AG71</f>
        <v>33</v>
      </c>
      <c r="E71" s="9">
        <f>+ABRIL!$AG71</f>
        <v>19</v>
      </c>
      <c r="F71" s="9">
        <f>+MAYO!$AG71</f>
        <v>26</v>
      </c>
      <c r="G71" s="9">
        <f>+JUNIO!$AG71</f>
        <v>1</v>
      </c>
      <c r="H71" s="9">
        <f>+Julio!$AG71</f>
        <v>10</v>
      </c>
      <c r="I71" s="9">
        <f>+agosto!$AG71</f>
        <v>2</v>
      </c>
      <c r="J71" s="9">
        <f>+septiembre!$AG71</f>
        <v>19</v>
      </c>
      <c r="K71" s="9">
        <f>+OCTUBRE!$AG71</f>
        <v>53</v>
      </c>
      <c r="L71" s="9">
        <f>+NOVIEMBRE!$AG71</f>
        <v>47</v>
      </c>
      <c r="M71" s="9">
        <f>+DICIEMBRE!$AG71</f>
        <v>28</v>
      </c>
      <c r="N71" s="15">
        <f t="shared" si="0"/>
        <v>263</v>
      </c>
    </row>
    <row r="72" spans="1:14" ht="15.75" customHeight="1" x14ac:dyDescent="0.25">
      <c r="A72" s="12" t="s">
        <v>33</v>
      </c>
      <c r="B72" s="9">
        <f>+ENERO!$AG72</f>
        <v>5</v>
      </c>
      <c r="C72" s="9">
        <f>+FEBRERO!$AG72</f>
        <v>4</v>
      </c>
      <c r="D72" s="9">
        <f>+MARZO!$AG72</f>
        <v>18</v>
      </c>
      <c r="E72" s="9">
        <f>+ABRIL!$AG72</f>
        <v>6</v>
      </c>
      <c r="F72" s="9">
        <f>+MAYO!$AG72</f>
        <v>25</v>
      </c>
      <c r="G72" s="9">
        <f>+JUNIO!$AG72</f>
        <v>2</v>
      </c>
      <c r="H72" s="9">
        <f>+Julio!$AG72</f>
        <v>1</v>
      </c>
      <c r="I72" s="9">
        <f>+agosto!$AG72</f>
        <v>2</v>
      </c>
      <c r="J72" s="9">
        <f>+septiembre!$AG72</f>
        <v>11</v>
      </c>
      <c r="K72" s="9">
        <f>+OCTUBRE!$AG72</f>
        <v>51</v>
      </c>
      <c r="L72" s="9">
        <f>+NOVIEMBRE!$AG72</f>
        <v>54</v>
      </c>
      <c r="M72" s="9">
        <f>+DICIEMBRE!$AG72</f>
        <v>21</v>
      </c>
      <c r="N72" s="15">
        <f t="shared" si="0"/>
        <v>200</v>
      </c>
    </row>
    <row r="73" spans="1:14" ht="15.75" customHeight="1" x14ac:dyDescent="0.25">
      <c r="A73" s="12" t="s">
        <v>34</v>
      </c>
      <c r="B73" s="9">
        <f>+ENERO!$AG73</f>
        <v>2</v>
      </c>
      <c r="C73" s="9">
        <f>+FEBRERO!$AG73</f>
        <v>0</v>
      </c>
      <c r="D73" s="9">
        <f>+MARZO!$AG73</f>
        <v>0</v>
      </c>
      <c r="E73" s="9">
        <f>+ABRIL!$AG73</f>
        <v>2</v>
      </c>
      <c r="F73" s="9">
        <f>+MAYO!$AG73</f>
        <v>5</v>
      </c>
      <c r="G73" s="9">
        <f>+JUNIO!$AG73</f>
        <v>1</v>
      </c>
      <c r="H73" s="9">
        <f>+Julio!$AG73</f>
        <v>1</v>
      </c>
      <c r="I73" s="9">
        <f>+agosto!$AG73</f>
        <v>3</v>
      </c>
      <c r="J73" s="9">
        <f>+septiembre!$AG73</f>
        <v>0</v>
      </c>
      <c r="K73" s="9">
        <f>+OCTUBRE!$AG73</f>
        <v>42</v>
      </c>
      <c r="L73" s="9">
        <f>+NOVIEMBRE!$AG73</f>
        <v>19</v>
      </c>
      <c r="M73" s="9">
        <f>+DICIEMBRE!$AG73</f>
        <v>21</v>
      </c>
      <c r="N73" s="15">
        <f t="shared" si="0"/>
        <v>96</v>
      </c>
    </row>
    <row r="74" spans="1:14" ht="15.75" customHeight="1" x14ac:dyDescent="0.25">
      <c r="A74" s="12" t="s">
        <v>35</v>
      </c>
      <c r="B74" s="9">
        <f>+ENERO!$AG74</f>
        <v>1</v>
      </c>
      <c r="C74" s="9">
        <f>+FEBRERO!$AG74</f>
        <v>1</v>
      </c>
      <c r="D74" s="9">
        <f>+MARZO!$AG74</f>
        <v>0</v>
      </c>
      <c r="E74" s="9">
        <f>+ABRIL!$AG74</f>
        <v>2</v>
      </c>
      <c r="F74" s="9">
        <f>+MAYO!$AG74</f>
        <v>3</v>
      </c>
      <c r="G74" s="9">
        <f>+JUNIO!$AG74</f>
        <v>0</v>
      </c>
      <c r="H74" s="9">
        <f>+Julio!$AG74</f>
        <v>0</v>
      </c>
      <c r="I74" s="9">
        <f>+agosto!$AG74</f>
        <v>2</v>
      </c>
      <c r="J74" s="9">
        <f>+septiembre!$AG74</f>
        <v>1</v>
      </c>
      <c r="K74" s="9">
        <f>+OCTUBRE!$AG74</f>
        <v>4</v>
      </c>
      <c r="L74" s="9">
        <f>+NOVIEMBRE!$AG74</f>
        <v>9</v>
      </c>
      <c r="M74" s="9">
        <f>+DICIEMBRE!$AG74</f>
        <v>4</v>
      </c>
      <c r="N74" s="15">
        <f t="shared" si="0"/>
        <v>27</v>
      </c>
    </row>
    <row r="75" spans="1:14" ht="15.75" customHeight="1" x14ac:dyDescent="0.25">
      <c r="A75" s="12" t="s">
        <v>36</v>
      </c>
      <c r="B75" s="9">
        <f>+ENERO!$AG75</f>
        <v>0</v>
      </c>
      <c r="C75" s="9">
        <f>+FEBRERO!$AG75</f>
        <v>0</v>
      </c>
      <c r="D75" s="9">
        <f>+MARZO!$AG75</f>
        <v>0</v>
      </c>
      <c r="E75" s="9">
        <f>+ABRIL!$AG75</f>
        <v>0</v>
      </c>
      <c r="F75" s="9">
        <f>+MAYO!$AG75</f>
        <v>1</v>
      </c>
      <c r="G75" s="9">
        <f>+JUNIO!$AG75</f>
        <v>0</v>
      </c>
      <c r="H75" s="9">
        <f>+Julio!$AG75</f>
        <v>2</v>
      </c>
      <c r="I75" s="9">
        <f>+agosto!$AG75</f>
        <v>2</v>
      </c>
      <c r="J75" s="9">
        <f>+septiembre!$AG75</f>
        <v>0</v>
      </c>
      <c r="K75" s="9">
        <f>+OCTUBRE!$AG75</f>
        <v>0</v>
      </c>
      <c r="L75" s="9">
        <f>+NOVIEMBRE!$AG75</f>
        <v>8</v>
      </c>
      <c r="M75" s="9">
        <f>+DICIEMBRE!$AG75</f>
        <v>1</v>
      </c>
      <c r="N75" s="15">
        <f t="shared" si="0"/>
        <v>14</v>
      </c>
    </row>
    <row r="76" spans="1:14" ht="15.75" customHeight="1" x14ac:dyDescent="0.25">
      <c r="A76" s="12" t="s">
        <v>37</v>
      </c>
      <c r="B76" s="9">
        <f>+ENERO!$AG76</f>
        <v>1</v>
      </c>
      <c r="C76" s="9">
        <f>+FEBRERO!$AG76</f>
        <v>2</v>
      </c>
      <c r="D76" s="9">
        <f>+MARZO!$AG76</f>
        <v>2</v>
      </c>
      <c r="E76" s="9">
        <f>+ABRIL!$AG76</f>
        <v>1</v>
      </c>
      <c r="F76" s="9">
        <f>+MAYO!$AG76</f>
        <v>0</v>
      </c>
      <c r="G76" s="9">
        <f>+JUNIO!$AG76</f>
        <v>4</v>
      </c>
      <c r="H76" s="9">
        <f>+Julio!$AG76</f>
        <v>4</v>
      </c>
      <c r="I76" s="9">
        <f>+agosto!$AG76</f>
        <v>3</v>
      </c>
      <c r="J76" s="9">
        <f>+septiembre!$AG76</f>
        <v>1</v>
      </c>
      <c r="K76" s="9">
        <f>+OCTUBRE!$AG76</f>
        <v>0</v>
      </c>
      <c r="L76" s="9">
        <f>+NOVIEMBRE!$AG76</f>
        <v>4</v>
      </c>
      <c r="M76" s="9">
        <f>+DICIEMBRE!$AG76</f>
        <v>2</v>
      </c>
      <c r="N76" s="15">
        <f t="shared" si="0"/>
        <v>24</v>
      </c>
    </row>
    <row r="77" spans="1:14" ht="15.75" customHeight="1" x14ac:dyDescent="0.25">
      <c r="A77" s="28" t="s">
        <v>38</v>
      </c>
      <c r="B77" s="29">
        <f>+ENERO!$AG77</f>
        <v>2</v>
      </c>
      <c r="C77" s="29">
        <f>+FEBRERO!$AG77</f>
        <v>2</v>
      </c>
      <c r="D77" s="29">
        <f>+MARZO!$AG77</f>
        <v>5</v>
      </c>
      <c r="E77" s="29">
        <f>+ABRIL!$AG77</f>
        <v>3</v>
      </c>
      <c r="F77" s="29">
        <f>+MAYO!$AG77</f>
        <v>3</v>
      </c>
      <c r="G77" s="29">
        <f>+JUNIO!$AG77</f>
        <v>1</v>
      </c>
      <c r="H77" s="29">
        <f>+Julio!$AG77</f>
        <v>0</v>
      </c>
      <c r="I77" s="29">
        <f>+agosto!$AG77</f>
        <v>0</v>
      </c>
      <c r="J77" s="29">
        <f>+septiembre!$AG77</f>
        <v>1</v>
      </c>
      <c r="K77" s="29">
        <f>+OCTUBRE!$AG77</f>
        <v>1</v>
      </c>
      <c r="L77" s="29">
        <f>+NOVIEMBRE!$AG77</f>
        <v>2</v>
      </c>
      <c r="M77" s="29">
        <f>+DICIEMBRE!$AG77</f>
        <v>2</v>
      </c>
      <c r="N77" s="26">
        <f t="shared" si="0"/>
        <v>22</v>
      </c>
    </row>
    <row r="78" spans="1:14" ht="19.5" customHeight="1" x14ac:dyDescent="0.25">
      <c r="A78" s="31" t="s">
        <v>41</v>
      </c>
      <c r="B78" s="32">
        <f>+ENERO!$AG78</f>
        <v>6818</v>
      </c>
      <c r="C78" s="32">
        <f>+FEBRERO!$AG78</f>
        <v>5643</v>
      </c>
      <c r="D78" s="32">
        <f>+MARZO!$AG78</f>
        <v>8086</v>
      </c>
      <c r="E78" s="32">
        <f>+ABRIL!$AG78</f>
        <v>7514</v>
      </c>
      <c r="F78" s="32">
        <f>+MAYO!$AG78</f>
        <v>8107</v>
      </c>
      <c r="G78" s="32">
        <f>+JUNIO!$AG78</f>
        <v>5854</v>
      </c>
      <c r="H78" s="32">
        <f>+Julio!$AG78</f>
        <v>5599</v>
      </c>
      <c r="I78" s="32">
        <f>+agosto!$AG78</f>
        <v>6783</v>
      </c>
      <c r="J78" s="32">
        <f>+septiembre!$AG78</f>
        <v>7200</v>
      </c>
      <c r="K78" s="32">
        <f>+OCTUBRE!$AG78</f>
        <v>8226</v>
      </c>
      <c r="L78" s="32">
        <f>+NOVIEMBRE!$AG78</f>
        <v>7348</v>
      </c>
      <c r="M78" s="32">
        <f>+DICIEMBRE!$AG78</f>
        <v>6844</v>
      </c>
      <c r="N78" s="27">
        <f t="shared" si="0"/>
        <v>84022</v>
      </c>
    </row>
    <row r="79" spans="1:14" ht="19.5" customHeight="1" x14ac:dyDescent="0.25">
      <c r="A79" s="35" t="s">
        <v>42</v>
      </c>
      <c r="B79" s="9">
        <f>+ENERO!$AG79</f>
        <v>4952</v>
      </c>
      <c r="C79" s="9">
        <f>+FEBRERO!$AG79</f>
        <v>4117</v>
      </c>
      <c r="D79" s="9">
        <f>+MARZO!$AG79</f>
        <v>5648</v>
      </c>
      <c r="E79" s="9">
        <f>+ABRIL!$AG79</f>
        <v>5314</v>
      </c>
      <c r="F79" s="9">
        <f>+MAYO!$AG79</f>
        <v>5903</v>
      </c>
      <c r="G79" s="9">
        <f>+JUNIO!$AG79</f>
        <v>4051</v>
      </c>
      <c r="H79" s="9">
        <f>+Julio!$AG79</f>
        <v>3848</v>
      </c>
      <c r="I79" s="9">
        <f>+agosto!$AG79</f>
        <v>4780</v>
      </c>
      <c r="J79" s="9">
        <f>+septiembre!$AG79</f>
        <v>5104</v>
      </c>
      <c r="K79" s="9">
        <f>+OCTUBRE!$AG79</f>
        <v>5754</v>
      </c>
      <c r="L79" s="9">
        <f>+NOVIEMBRE!$AG79</f>
        <v>7348</v>
      </c>
      <c r="M79" s="9">
        <f>+DICIEMBRE!$AG79</f>
        <v>6844</v>
      </c>
      <c r="N79" s="11">
        <f t="shared" si="0"/>
        <v>63663</v>
      </c>
    </row>
    <row r="80" spans="1:14" ht="22.5" customHeight="1" x14ac:dyDescent="0.25">
      <c r="A80" s="36" t="s">
        <v>43</v>
      </c>
      <c r="B80" s="37">
        <f>+ENERO!$AG80</f>
        <v>1866</v>
      </c>
      <c r="C80" s="37">
        <f>+FEBRERO!$AG80</f>
        <v>1526</v>
      </c>
      <c r="D80" s="37">
        <f>+MARZO!$AG80</f>
        <v>2438</v>
      </c>
      <c r="E80" s="37">
        <f>+ABRIL!$AG80</f>
        <v>2200</v>
      </c>
      <c r="F80" s="37">
        <f>+MAYO!$AG80</f>
        <v>2204</v>
      </c>
      <c r="G80" s="37">
        <f>+JUNIO!$AG80</f>
        <v>1803</v>
      </c>
      <c r="H80" s="37">
        <f>+Julio!$AG80</f>
        <v>1751</v>
      </c>
      <c r="I80" s="37">
        <f>+agosto!$AG80</f>
        <v>2003</v>
      </c>
      <c r="J80" s="37">
        <f>+septiembre!$AG80</f>
        <v>2096</v>
      </c>
      <c r="K80" s="37">
        <f>+OCTUBRE!$AG80</f>
        <v>2472</v>
      </c>
      <c r="L80" s="37">
        <f>+NOVIEMBRE!$AG80</f>
        <v>0</v>
      </c>
      <c r="M80" s="37">
        <f>+DICIEMBRE!$AG80</f>
        <v>0</v>
      </c>
      <c r="N80" s="26">
        <f t="shared" si="0"/>
        <v>20359</v>
      </c>
    </row>
    <row r="81" spans="1:16" ht="15.75" customHeight="1" x14ac:dyDescent="0.25">
      <c r="A81" s="31" t="s">
        <v>44</v>
      </c>
      <c r="B81" s="39">
        <f>+ENERO!$AG81</f>
        <v>576</v>
      </c>
      <c r="C81" s="39">
        <f>+FEBRERO!$AG81</f>
        <v>396</v>
      </c>
      <c r="D81" s="39">
        <f>+MARZO!$AG81</f>
        <v>996</v>
      </c>
      <c r="E81" s="39">
        <f>+ABRIL!$AG81</f>
        <v>910</v>
      </c>
      <c r="F81" s="39">
        <f>+MAYO!$AG81</f>
        <v>1341</v>
      </c>
      <c r="G81" s="39">
        <f>+JUNIO!$AG81</f>
        <v>544</v>
      </c>
      <c r="H81" s="39">
        <f>+Julio!$AG81</f>
        <v>461</v>
      </c>
      <c r="I81" s="39">
        <f>+agosto!$AG81</f>
        <v>703</v>
      </c>
      <c r="J81" s="39">
        <f>+septiembre!$AG81</f>
        <v>766</v>
      </c>
      <c r="K81" s="39">
        <f>+OCTUBRE!$AG81</f>
        <v>1486</v>
      </c>
      <c r="L81" s="39">
        <f>+NOVIEMBRE!$AG81</f>
        <v>1170</v>
      </c>
      <c r="M81" s="39">
        <f>+DICIEMBRE!$AG81</f>
        <v>590</v>
      </c>
      <c r="N81" s="27">
        <f t="shared" si="0"/>
        <v>9939</v>
      </c>
      <c r="O81" s="40" t="str">
        <f>IF(N81&lt;&gt;N53,"*","")</f>
        <v>*</v>
      </c>
    </row>
    <row r="82" spans="1:16" ht="15.75" customHeight="1" x14ac:dyDescent="0.25">
      <c r="A82" s="35" t="s">
        <v>43</v>
      </c>
      <c r="B82" s="9">
        <f>+ENERO!$AG82</f>
        <v>196</v>
      </c>
      <c r="C82" s="9">
        <f>+FEBRERO!$AG82</f>
        <v>152</v>
      </c>
      <c r="D82" s="9">
        <f>+MARZO!$AG82</f>
        <v>402</v>
      </c>
      <c r="E82" s="9">
        <f>+ABRIL!$AG82</f>
        <v>373</v>
      </c>
      <c r="F82" s="9">
        <f>+MAYO!$AG82</f>
        <v>483</v>
      </c>
      <c r="G82" s="9">
        <f>+JUNIO!$AG82</f>
        <v>198</v>
      </c>
      <c r="H82" s="9">
        <f>+Julio!$AG82</f>
        <v>161</v>
      </c>
      <c r="I82" s="9">
        <f>+agosto!$AG82</f>
        <v>285</v>
      </c>
      <c r="J82" s="9">
        <f>+septiembre!$AG82</f>
        <v>303</v>
      </c>
      <c r="K82" s="9">
        <f>+OCTUBRE!$AG82</f>
        <v>384</v>
      </c>
      <c r="L82" s="9">
        <f>+NOVIEMBRE!$AG82</f>
        <v>259</v>
      </c>
      <c r="M82" s="9">
        <f>+DICIEMBRE!$AG82</f>
        <v>200</v>
      </c>
      <c r="N82" s="11">
        <f t="shared" si="0"/>
        <v>3396</v>
      </c>
    </row>
    <row r="83" spans="1:16" ht="15.75" customHeight="1" x14ac:dyDescent="0.25">
      <c r="A83" s="36" t="s">
        <v>42</v>
      </c>
      <c r="B83" s="24">
        <f>+ENERO!$AG83</f>
        <v>380</v>
      </c>
      <c r="C83" s="24">
        <f>+FEBRERO!$AG83</f>
        <v>244</v>
      </c>
      <c r="D83" s="24">
        <f>+MARZO!$AG83</f>
        <v>594</v>
      </c>
      <c r="E83" s="24">
        <f>+ABRIL!$AG83</f>
        <v>537</v>
      </c>
      <c r="F83" s="24">
        <f>+MAYO!$AG83</f>
        <v>858</v>
      </c>
      <c r="G83" s="24">
        <f>+JUNIO!$AG83</f>
        <v>346</v>
      </c>
      <c r="H83" s="24">
        <f>+Julio!$AG83</f>
        <v>300</v>
      </c>
      <c r="I83" s="24">
        <f>+agosto!$AG83</f>
        <v>418</v>
      </c>
      <c r="J83" s="24">
        <f>+septiembre!$AG83</f>
        <v>463</v>
      </c>
      <c r="K83" s="24">
        <f>+OCTUBRE!$AG83</f>
        <v>1112</v>
      </c>
      <c r="L83" s="24">
        <f>+NOVIEMBRE!$AG83</f>
        <v>911</v>
      </c>
      <c r="M83" s="24">
        <f>+DICIEMBRE!$AG83</f>
        <v>390</v>
      </c>
      <c r="N83" s="15">
        <f t="shared" si="0"/>
        <v>6553</v>
      </c>
    </row>
    <row r="84" spans="1:16" ht="15.75" customHeight="1" x14ac:dyDescent="0.25">
      <c r="A84" s="41" t="s">
        <v>45</v>
      </c>
      <c r="B84" s="42">
        <f>+ENERO!$AG84</f>
        <v>576</v>
      </c>
      <c r="C84" s="42">
        <f>+FEBRERO!$AG84</f>
        <v>396</v>
      </c>
      <c r="D84" s="42">
        <f>+MARZO!$AG84</f>
        <v>996</v>
      </c>
      <c r="E84" s="42">
        <f>+ABRIL!$AG84</f>
        <v>910</v>
      </c>
      <c r="F84" s="42">
        <f>+MAYO!$AG84</f>
        <v>1341</v>
      </c>
      <c r="G84" s="42">
        <f>+JUNIO!$AG84</f>
        <v>544</v>
      </c>
      <c r="H84" s="42">
        <f>+Julio!$AG84</f>
        <v>461</v>
      </c>
      <c r="I84" s="42">
        <f>+agosto!$AG84</f>
        <v>703</v>
      </c>
      <c r="J84" s="42">
        <f>+septiembre!$AG84</f>
        <v>766</v>
      </c>
      <c r="K84" s="42">
        <f>+OCTUBRE!$AG84</f>
        <v>1496</v>
      </c>
      <c r="L84" s="42">
        <f>+NOVIEMBRE!$AG84</f>
        <v>1170</v>
      </c>
      <c r="M84" s="42">
        <f>+DICIEMBRE!$AG84</f>
        <v>590</v>
      </c>
      <c r="N84" s="44">
        <f t="shared" si="0"/>
        <v>9949</v>
      </c>
      <c r="O84" s="40" t="str">
        <f>IF(N84&lt;&gt;N82+N83,"*","")</f>
        <v/>
      </c>
      <c r="P84" s="361" t="s">
        <v>46</v>
      </c>
    </row>
    <row r="85" spans="1:16" ht="15.75" customHeight="1" x14ac:dyDescent="0.25">
      <c r="A85" s="45" t="s">
        <v>47</v>
      </c>
      <c r="B85" s="46">
        <f>+ENERO!$AG85</f>
        <v>102</v>
      </c>
      <c r="C85" s="46">
        <f>+FEBRERO!$AG85</f>
        <v>68</v>
      </c>
      <c r="D85" s="46">
        <f>+MARZO!$AG85</f>
        <v>231</v>
      </c>
      <c r="E85" s="46">
        <f>+ABRIL!$AG85</f>
        <v>242</v>
      </c>
      <c r="F85" s="46">
        <f>+MAYO!$AG85</f>
        <v>400</v>
      </c>
      <c r="G85" s="46">
        <f>+JUNIO!$AG85</f>
        <v>94</v>
      </c>
      <c r="H85" s="46">
        <f>+Julio!$AG85</f>
        <v>64</v>
      </c>
      <c r="I85" s="46">
        <f>+agosto!$AG85</f>
        <v>136</v>
      </c>
      <c r="J85" s="46">
        <f>+septiembre!$AG85</f>
        <v>160</v>
      </c>
      <c r="K85" s="46">
        <f>+OCTUBRE!$AG85</f>
        <v>355</v>
      </c>
      <c r="L85" s="46">
        <f>+NOVIEMBRE!$AG85</f>
        <v>285</v>
      </c>
      <c r="M85" s="46">
        <f>+DICIEMBRE!$AG85</f>
        <v>116</v>
      </c>
      <c r="N85" s="48">
        <f t="shared" si="0"/>
        <v>2253</v>
      </c>
      <c r="P85" s="362"/>
    </row>
    <row r="86" spans="1:16" ht="15.75" customHeight="1" x14ac:dyDescent="0.25">
      <c r="A86" s="49" t="s">
        <v>48</v>
      </c>
      <c r="B86" s="50">
        <f>+ENERO!$AG86</f>
        <v>474</v>
      </c>
      <c r="C86" s="50">
        <f>+FEBRERO!$AG86</f>
        <v>328</v>
      </c>
      <c r="D86" s="50">
        <f>+MARZO!$AG86</f>
        <v>765</v>
      </c>
      <c r="E86" s="50">
        <f>+ABRIL!$AG86</f>
        <v>668</v>
      </c>
      <c r="F86" s="50">
        <f>+MAYO!$AG86</f>
        <v>941</v>
      </c>
      <c r="G86" s="50">
        <f>+JUNIO!$AG86</f>
        <v>450</v>
      </c>
      <c r="H86" s="50">
        <f>+Julio!$AG86</f>
        <v>397</v>
      </c>
      <c r="I86" s="50">
        <f>+agosto!$AG86</f>
        <v>567</v>
      </c>
      <c r="J86" s="50">
        <f>+septiembre!$AG86</f>
        <v>606</v>
      </c>
      <c r="K86" s="50">
        <f>+OCTUBRE!$AG86</f>
        <v>1141</v>
      </c>
      <c r="L86" s="50">
        <f>+NOVIEMBRE!$AG86</f>
        <v>885</v>
      </c>
      <c r="M86" s="50">
        <f>+DICIEMBRE!$AG86</f>
        <v>474</v>
      </c>
      <c r="N86" s="52">
        <f t="shared" si="0"/>
        <v>7696</v>
      </c>
      <c r="P86" s="363"/>
    </row>
    <row r="87" spans="1:16" ht="15.75" customHeight="1" x14ac:dyDescent="0.25">
      <c r="A87" s="53" t="s">
        <v>49</v>
      </c>
      <c r="B87" s="54">
        <f>+ENERO!$AG87</f>
        <v>576</v>
      </c>
      <c r="C87" s="54">
        <f>+FEBRERO!$AG87</f>
        <v>396</v>
      </c>
      <c r="D87" s="54">
        <f>+MARZO!$AG87</f>
        <v>996</v>
      </c>
      <c r="E87" s="54">
        <f>+ABRIL!$AG87</f>
        <v>910</v>
      </c>
      <c r="F87" s="54">
        <f>+MAYO!$AG87</f>
        <v>1341</v>
      </c>
      <c r="G87" s="54">
        <f>+JUNIO!$AG87</f>
        <v>544</v>
      </c>
      <c r="H87" s="54">
        <f>+Julio!$AG87</f>
        <v>461</v>
      </c>
      <c r="I87" s="54">
        <f>+agosto!$AG87</f>
        <v>703</v>
      </c>
      <c r="J87" s="54">
        <f>+septiembre!$AG87</f>
        <v>766</v>
      </c>
      <c r="K87" s="54">
        <f>+OCTUBRE!$AG87</f>
        <v>1496</v>
      </c>
      <c r="L87" s="54">
        <f>+NOVIEMBRE!$AG87</f>
        <v>1170</v>
      </c>
      <c r="M87" s="54">
        <f>+DICIEMBRE!$AG87</f>
        <v>590</v>
      </c>
      <c r="N87" s="56">
        <f t="shared" si="0"/>
        <v>9949</v>
      </c>
      <c r="O87" s="57" t="str">
        <f>IF(N87&lt;&gt;N84,"*","")</f>
        <v/>
      </c>
    </row>
    <row r="88" spans="1:16" ht="15.75" customHeight="1" x14ac:dyDescent="0.25">
      <c r="A88" s="58" t="s">
        <v>50</v>
      </c>
      <c r="B88" s="29">
        <f>+ENERO!$AG88</f>
        <v>164</v>
      </c>
      <c r="C88" s="29">
        <f>+FEBRERO!$AG88</f>
        <v>111</v>
      </c>
      <c r="D88" s="29">
        <f>+MARZO!$AG88</f>
        <v>239</v>
      </c>
      <c r="E88" s="29">
        <f>+ABRIL!$AG88</f>
        <v>234</v>
      </c>
      <c r="F88" s="29">
        <f>+MAYO!$AG88</f>
        <v>337</v>
      </c>
      <c r="G88" s="29">
        <f>+JUNIO!$AG88</f>
        <v>115</v>
      </c>
      <c r="H88" s="29">
        <f>+Julio!$AG88</f>
        <v>102</v>
      </c>
      <c r="I88" s="29">
        <f>+agosto!$AG88</f>
        <v>174</v>
      </c>
      <c r="J88" s="29">
        <f>+septiembre!$AG88</f>
        <v>141</v>
      </c>
      <c r="K88" s="29">
        <f>+OCTUBRE!$AG88</f>
        <v>238</v>
      </c>
      <c r="L88" s="29">
        <f>+NOVIEMBRE!$AG88</f>
        <v>180</v>
      </c>
      <c r="M88" s="29">
        <f>+DICIEMBRE!$AG88</f>
        <v>179</v>
      </c>
      <c r="N88" s="11">
        <f t="shared" si="0"/>
        <v>2214</v>
      </c>
    </row>
    <row r="89" spans="1:16" ht="15.75" customHeight="1" x14ac:dyDescent="0.25">
      <c r="A89" s="59" t="s">
        <v>51</v>
      </c>
      <c r="B89" s="24">
        <f>+ENERO!$AG89</f>
        <v>1</v>
      </c>
      <c r="C89" s="24">
        <f>+FEBRERO!$AG89</f>
        <v>0</v>
      </c>
      <c r="D89" s="24">
        <f>+MARZO!$AG89</f>
        <v>0</v>
      </c>
      <c r="E89" s="24">
        <f>+ABRIL!$AG89</f>
        <v>1</v>
      </c>
      <c r="F89" s="24">
        <f>+MAYO!$AG89</f>
        <v>0</v>
      </c>
      <c r="G89" s="24">
        <f>+JUNIO!$AG89</f>
        <v>0</v>
      </c>
      <c r="H89" s="24">
        <f>+Julio!$AG89</f>
        <v>0</v>
      </c>
      <c r="I89" s="24">
        <f>+agosto!$AG89</f>
        <v>0</v>
      </c>
      <c r="J89" s="24">
        <f>+septiembre!$AG89</f>
        <v>1</v>
      </c>
      <c r="K89" s="24">
        <f>+OCTUBRE!$AG89</f>
        <v>0</v>
      </c>
      <c r="L89" s="24">
        <f>+NOVIEMBRE!$AG89</f>
        <v>0</v>
      </c>
      <c r="M89" s="24">
        <f>+DICIEMBRE!$AG89</f>
        <v>0</v>
      </c>
      <c r="N89" s="15">
        <f t="shared" si="0"/>
        <v>3</v>
      </c>
    </row>
    <row r="90" spans="1:16" ht="15.75" customHeight="1" x14ac:dyDescent="0.25">
      <c r="A90" s="59" t="s">
        <v>52</v>
      </c>
      <c r="B90" s="24">
        <f>+ENERO!$AG90</f>
        <v>5</v>
      </c>
      <c r="C90" s="24">
        <f>+FEBRERO!$AG90</f>
        <v>3</v>
      </c>
      <c r="D90" s="24">
        <f>+MARZO!$AG90</f>
        <v>7</v>
      </c>
      <c r="E90" s="24">
        <f>+ABRIL!$AG90</f>
        <v>12</v>
      </c>
      <c r="F90" s="24">
        <f>+MAYO!$AG90</f>
        <v>18</v>
      </c>
      <c r="G90" s="24">
        <f>+JUNIO!$AG90</f>
        <v>9</v>
      </c>
      <c r="H90" s="24">
        <f>+Julio!$AG90</f>
        <v>12</v>
      </c>
      <c r="I90" s="24">
        <f>+agosto!$AG90</f>
        <v>13</v>
      </c>
      <c r="J90" s="24">
        <f>+septiembre!$AG90</f>
        <v>16</v>
      </c>
      <c r="K90" s="24">
        <f>+OCTUBRE!$AG90</f>
        <v>27</v>
      </c>
      <c r="L90" s="24">
        <f>+NOVIEMBRE!$AG90</f>
        <v>17</v>
      </c>
      <c r="M90" s="24">
        <f>+DICIEMBRE!$AG90</f>
        <v>7</v>
      </c>
      <c r="N90" s="15">
        <f t="shared" si="0"/>
        <v>146</v>
      </c>
    </row>
    <row r="91" spans="1:16" ht="15.75" customHeight="1" x14ac:dyDescent="0.25">
      <c r="A91" s="59" t="s">
        <v>53</v>
      </c>
      <c r="B91" s="24">
        <f>+ENERO!$AG91</f>
        <v>202</v>
      </c>
      <c r="C91" s="24">
        <f>+FEBRERO!$AG91</f>
        <v>129</v>
      </c>
      <c r="D91" s="24">
        <f>+MARZO!$AG91</f>
        <v>507</v>
      </c>
      <c r="E91" s="24">
        <f>+ABRIL!$AG91</f>
        <v>432</v>
      </c>
      <c r="F91" s="24">
        <f>+MAYO!$AG91</f>
        <v>698</v>
      </c>
      <c r="G91" s="24">
        <f>+JUNIO!$AG91</f>
        <v>280</v>
      </c>
      <c r="H91" s="24">
        <f>+Julio!$AG91</f>
        <v>215</v>
      </c>
      <c r="I91" s="24">
        <f>+agosto!$AG91</f>
        <v>349</v>
      </c>
      <c r="J91" s="24">
        <f>+septiembre!$AG91</f>
        <v>348</v>
      </c>
      <c r="K91" s="24">
        <f>+OCTUBRE!$AG91</f>
        <v>753</v>
      </c>
      <c r="L91" s="24">
        <f>+NOVIEMBRE!$AG91</f>
        <v>593</v>
      </c>
      <c r="M91" s="24">
        <f>+DICIEMBRE!$AG91</f>
        <v>241</v>
      </c>
      <c r="N91" s="15">
        <f t="shared" si="0"/>
        <v>4747</v>
      </c>
    </row>
    <row r="92" spans="1:16" ht="15.75" customHeight="1" x14ac:dyDescent="0.25">
      <c r="A92" s="59" t="s">
        <v>54</v>
      </c>
      <c r="B92" s="24">
        <f>+ENERO!$AG92</f>
        <v>204</v>
      </c>
      <c r="C92" s="24">
        <f>+FEBRERO!$AG92</f>
        <v>153</v>
      </c>
      <c r="D92" s="24">
        <f>+MARZO!$AG92</f>
        <v>243</v>
      </c>
      <c r="E92" s="24">
        <f>+ABRIL!$AG92</f>
        <v>231</v>
      </c>
      <c r="F92" s="24">
        <f>+MAYO!$AG92</f>
        <v>288</v>
      </c>
      <c r="G92" s="24">
        <f>+JUNIO!$AG92</f>
        <v>140</v>
      </c>
      <c r="H92" s="24">
        <f>+Julio!$AG92</f>
        <v>132</v>
      </c>
      <c r="I92" s="24">
        <f>+agosto!$AG92</f>
        <v>167</v>
      </c>
      <c r="J92" s="24">
        <f>+septiembre!$AG92</f>
        <v>260</v>
      </c>
      <c r="K92" s="24">
        <f>+OCTUBRE!$AG92</f>
        <v>478</v>
      </c>
      <c r="L92" s="24">
        <f>+NOVIEMBRE!$AG92</f>
        <v>380</v>
      </c>
      <c r="M92" s="24">
        <f>+DICIEMBRE!$AG92</f>
        <v>163</v>
      </c>
      <c r="N92" s="15">
        <f t="shared" si="0"/>
        <v>2839</v>
      </c>
    </row>
    <row r="93" spans="1:16" ht="15.75" customHeight="1" x14ac:dyDescent="0.25">
      <c r="A93" s="60" t="s">
        <v>55</v>
      </c>
      <c r="B93" s="61">
        <f>+ENERO!$AG93</f>
        <v>6511</v>
      </c>
      <c r="C93" s="61">
        <f>+FEBRERO!$AG93</f>
        <v>5247</v>
      </c>
      <c r="D93" s="61">
        <f>+MARZO!$AG93</f>
        <v>7090</v>
      </c>
      <c r="E93" s="61">
        <f>+ABRIL!$AG93</f>
        <v>6604</v>
      </c>
      <c r="F93" s="61">
        <f>+MAYO!$AG93</f>
        <v>6766</v>
      </c>
      <c r="G93" s="61">
        <f>+JUNIO!$AG93</f>
        <v>5310</v>
      </c>
      <c r="H93" s="61">
        <f>+Julio!$AG93</f>
        <v>5138</v>
      </c>
      <c r="I93" s="61">
        <f>+agosto!$AG93</f>
        <v>6080</v>
      </c>
      <c r="J93" s="61">
        <f>+septiembre!$AG93</f>
        <v>6434</v>
      </c>
      <c r="K93" s="61">
        <f>+OCTUBRE!$AG93</f>
        <v>6981</v>
      </c>
      <c r="L93" s="61">
        <f>+NOVIEMBRE!$AG93</f>
        <v>6178</v>
      </c>
      <c r="M93" s="61">
        <f>+DICIEMBRE!$AG93</f>
        <v>6254</v>
      </c>
      <c r="N93" s="22">
        <f t="shared" si="0"/>
        <v>74593</v>
      </c>
      <c r="O93" s="63" t="str">
        <f>IF(N93&lt;&gt;N28,"*","")</f>
        <v>*</v>
      </c>
    </row>
    <row r="94" spans="1:16" ht="15.75" customHeight="1" x14ac:dyDescent="0.25">
      <c r="A94" s="64" t="s">
        <v>56</v>
      </c>
      <c r="B94" s="65">
        <f>+ENERO!$AG94</f>
        <v>867</v>
      </c>
      <c r="C94" s="65">
        <f>+FEBRERO!$AG94</f>
        <v>595</v>
      </c>
      <c r="D94" s="65">
        <f>+MARZO!$AG94</f>
        <v>1405</v>
      </c>
      <c r="E94" s="65">
        <f>+ABRIL!$AG94</f>
        <v>1537</v>
      </c>
      <c r="F94" s="65">
        <f>+MAYO!$AG94</f>
        <v>1942</v>
      </c>
      <c r="G94" s="65">
        <f>+JUNIO!$AG94</f>
        <v>983</v>
      </c>
      <c r="H94" s="65">
        <f>+Julio!$AG94</f>
        <v>586</v>
      </c>
      <c r="I94" s="65">
        <f>+agosto!$AG94</f>
        <v>1134</v>
      </c>
      <c r="J94" s="65">
        <f>+septiembre!$AG94</f>
        <v>1196</v>
      </c>
      <c r="K94" s="65">
        <f>+OCTUBRE!$AG94</f>
        <v>1370</v>
      </c>
      <c r="L94" s="65">
        <f>+NOVIEMBRE!$AG94</f>
        <v>1319</v>
      </c>
      <c r="M94" s="65">
        <f>+DICIEMBRE!$AG94</f>
        <v>1063</v>
      </c>
      <c r="N94" s="15">
        <f t="shared" si="0"/>
        <v>13997</v>
      </c>
    </row>
    <row r="95" spans="1:16" ht="15.75" customHeight="1" x14ac:dyDescent="0.25">
      <c r="A95" s="67" t="s">
        <v>57</v>
      </c>
      <c r="B95" s="13">
        <f>+ENERO!$AG95</f>
        <v>38</v>
      </c>
      <c r="C95" s="13">
        <f>+FEBRERO!$AG95</f>
        <v>16</v>
      </c>
      <c r="D95" s="13">
        <f>+MARZO!$AG95</f>
        <v>23</v>
      </c>
      <c r="E95" s="13">
        <f>+ABRIL!$AG95</f>
        <v>21</v>
      </c>
      <c r="F95" s="13">
        <f>+MAYO!$AG95</f>
        <v>34</v>
      </c>
      <c r="G95" s="13">
        <f>+JUNIO!$AG95</f>
        <v>35</v>
      </c>
      <c r="H95" s="13">
        <f>+Julio!$AG95</f>
        <v>16</v>
      </c>
      <c r="I95" s="13">
        <f>+agosto!$AG95</f>
        <v>28</v>
      </c>
      <c r="J95" s="13">
        <f>+septiembre!$AG95</f>
        <v>24</v>
      </c>
      <c r="K95" s="13">
        <f>+OCTUBRE!$AG95</f>
        <v>30</v>
      </c>
      <c r="L95" s="13">
        <f>+NOVIEMBRE!$AG95</f>
        <v>24</v>
      </c>
      <c r="M95" s="13">
        <f>+DICIEMBRE!$AG95</f>
        <v>31</v>
      </c>
      <c r="N95" s="15">
        <f t="shared" si="0"/>
        <v>320</v>
      </c>
    </row>
    <row r="96" spans="1:16" ht="15.75" customHeight="1" x14ac:dyDescent="0.25">
      <c r="A96" s="68" t="s">
        <v>58</v>
      </c>
      <c r="B96" s="13">
        <f>+ENERO!$AG96</f>
        <v>59</v>
      </c>
      <c r="C96" s="13">
        <f>+FEBRERO!$AG96</f>
        <v>44</v>
      </c>
      <c r="D96" s="13">
        <f>+MARZO!$AG96</f>
        <v>60</v>
      </c>
      <c r="E96" s="13">
        <f>+ABRIL!$AG96</f>
        <v>62</v>
      </c>
      <c r="F96" s="13">
        <f>+MAYO!$AG96</f>
        <v>74</v>
      </c>
      <c r="G96" s="13">
        <f>+JUNIO!$AG96</f>
        <v>52</v>
      </c>
      <c r="H96" s="13">
        <f>+Julio!$AG96</f>
        <v>34</v>
      </c>
      <c r="I96" s="13">
        <f>+agosto!$AG96</f>
        <v>52</v>
      </c>
      <c r="J96" s="13">
        <f>+septiembre!$AG96</f>
        <v>54</v>
      </c>
      <c r="K96" s="13">
        <f>+OCTUBRE!$AG96</f>
        <v>68</v>
      </c>
      <c r="L96" s="13">
        <f>+NOVIEMBRE!$AG96</f>
        <v>51</v>
      </c>
      <c r="M96" s="13">
        <f>+DICIEMBRE!$AG96</f>
        <v>67</v>
      </c>
      <c r="N96" s="15">
        <f t="shared" si="0"/>
        <v>677</v>
      </c>
    </row>
    <row r="97" spans="1:14" ht="15.75" customHeight="1" x14ac:dyDescent="0.25">
      <c r="A97" s="69" t="s">
        <v>59</v>
      </c>
      <c r="B97" s="13">
        <f>+ENERO!$AG97</f>
        <v>233</v>
      </c>
      <c r="C97" s="13">
        <f>+FEBRERO!$AG97</f>
        <v>138</v>
      </c>
      <c r="D97" s="13">
        <f>+MARZO!$AG97</f>
        <v>275</v>
      </c>
      <c r="E97" s="13">
        <f>+ABRIL!$AG97</f>
        <v>366</v>
      </c>
      <c r="F97" s="13">
        <f>+MAYO!$AG97</f>
        <v>483</v>
      </c>
      <c r="G97" s="13">
        <f>+JUNIO!$AG97</f>
        <v>204</v>
      </c>
      <c r="H97" s="13">
        <f>+Julio!$AG97</f>
        <v>97</v>
      </c>
      <c r="I97" s="13">
        <f>+agosto!$AG97</f>
        <v>215</v>
      </c>
      <c r="J97" s="13">
        <f>+septiembre!$AG97</f>
        <v>215</v>
      </c>
      <c r="K97" s="13">
        <f>+OCTUBRE!$AG97</f>
        <v>247</v>
      </c>
      <c r="L97" s="13">
        <f>+NOVIEMBRE!$AG97</f>
        <v>227</v>
      </c>
      <c r="M97" s="13">
        <f>+DICIEMBRE!$AG97</f>
        <v>279</v>
      </c>
      <c r="N97" s="15">
        <f t="shared" si="0"/>
        <v>2979</v>
      </c>
    </row>
    <row r="98" spans="1:14" ht="15.75" customHeight="1" x14ac:dyDescent="0.25">
      <c r="A98" s="70" t="s">
        <v>60</v>
      </c>
      <c r="B98" s="13">
        <f>+ENERO!$AG98</f>
        <v>313</v>
      </c>
      <c r="C98" s="13">
        <f>+FEBRERO!$AG98</f>
        <v>208</v>
      </c>
      <c r="D98" s="13">
        <f>+MARZO!$AG98</f>
        <v>527</v>
      </c>
      <c r="E98" s="13">
        <f>+ABRIL!$AG98</f>
        <v>649</v>
      </c>
      <c r="F98" s="13">
        <f>+MAYO!$AG98</f>
        <v>796</v>
      </c>
      <c r="G98" s="13">
        <f>+JUNIO!$AG98</f>
        <v>397</v>
      </c>
      <c r="H98" s="13">
        <f>+Julio!$AG98</f>
        <v>220</v>
      </c>
      <c r="I98" s="13">
        <f>+agosto!$AG98</f>
        <v>430</v>
      </c>
      <c r="J98" s="13">
        <f>+septiembre!$AG98</f>
        <v>492</v>
      </c>
      <c r="K98" s="13">
        <f>+OCTUBRE!$AG98</f>
        <v>576</v>
      </c>
      <c r="L98" s="13">
        <f>+NOVIEMBRE!$AG98</f>
        <v>543</v>
      </c>
      <c r="M98" s="13">
        <f>+DICIEMBRE!$AG98</f>
        <v>399</v>
      </c>
      <c r="N98" s="15">
        <f t="shared" si="0"/>
        <v>5550</v>
      </c>
    </row>
    <row r="99" spans="1:14" ht="15.75" customHeight="1" x14ac:dyDescent="0.25">
      <c r="A99" s="71" t="s">
        <v>61</v>
      </c>
      <c r="B99" s="13">
        <f>+ENERO!$AG99</f>
        <v>224</v>
      </c>
      <c r="C99" s="13">
        <f>+FEBRERO!$AG99</f>
        <v>189</v>
      </c>
      <c r="D99" s="13">
        <f>+MARZO!$AG99</f>
        <v>520</v>
      </c>
      <c r="E99" s="13">
        <f>+ABRIL!$AG99</f>
        <v>439</v>
      </c>
      <c r="F99" s="13">
        <f>+MAYO!$AG99</f>
        <v>555</v>
      </c>
      <c r="G99" s="13">
        <f>+JUNIO!$AG99</f>
        <v>295</v>
      </c>
      <c r="H99" s="13">
        <f>+Julio!$AG99</f>
        <v>219</v>
      </c>
      <c r="I99" s="13">
        <f>+agosto!$AG99</f>
        <v>409</v>
      </c>
      <c r="J99" s="13">
        <f>+septiembre!$AG99</f>
        <v>411</v>
      </c>
      <c r="K99" s="13">
        <f>+OCTUBRE!$AG99</f>
        <v>449</v>
      </c>
      <c r="L99" s="13">
        <f>+NOVIEMBRE!$AG99</f>
        <v>474</v>
      </c>
      <c r="M99" s="13">
        <f>+DICIEMBRE!$AG99</f>
        <v>287</v>
      </c>
      <c r="N99" s="15">
        <f t="shared" si="0"/>
        <v>4471</v>
      </c>
    </row>
    <row r="100" spans="1:14" ht="15.75" customHeight="1" x14ac:dyDescent="0.25">
      <c r="A100" s="64" t="s">
        <v>62</v>
      </c>
      <c r="B100" s="65">
        <f>+ENERO!$AG100</f>
        <v>5644</v>
      </c>
      <c r="C100" s="65">
        <f>+FEBRERO!$AG100</f>
        <v>4652</v>
      </c>
      <c r="D100" s="65">
        <f>+MARZO!$AG100</f>
        <v>5685</v>
      </c>
      <c r="E100" s="65">
        <f>+ABRIL!$AG100</f>
        <v>5067</v>
      </c>
      <c r="F100" s="65">
        <f>+MAYO!$AG100</f>
        <v>4824</v>
      </c>
      <c r="G100" s="65">
        <f>+JUNIO!$AG100</f>
        <v>4327</v>
      </c>
      <c r="H100" s="65">
        <f>+Julio!$AG100</f>
        <v>4552</v>
      </c>
      <c r="I100" s="65">
        <f>+agosto!$AG100</f>
        <v>4946</v>
      </c>
      <c r="J100" s="65">
        <f>+septiembre!$AG100</f>
        <v>5238</v>
      </c>
      <c r="K100" s="65">
        <f>+OCTUBRE!$AG100</f>
        <v>5611</v>
      </c>
      <c r="L100" s="65">
        <f>+NOVIEMBRE!$AG100</f>
        <v>4859</v>
      </c>
      <c r="M100" s="65">
        <f>+DICIEMBRE!$AG100</f>
        <v>5191</v>
      </c>
      <c r="N100" s="15">
        <f t="shared" si="0"/>
        <v>60596</v>
      </c>
    </row>
    <row r="101" spans="1:14" ht="15.75" customHeight="1" x14ac:dyDescent="0.25">
      <c r="A101" s="71" t="s">
        <v>63</v>
      </c>
      <c r="B101" s="13">
        <f>+ENERO!$AG101</f>
        <v>364</v>
      </c>
      <c r="C101" s="13">
        <f>+FEBRERO!$AG101</f>
        <v>298</v>
      </c>
      <c r="D101" s="13">
        <f>+MARZO!$AG101</f>
        <v>513</v>
      </c>
      <c r="E101" s="13">
        <f>+ABRIL!$AG101</f>
        <v>509</v>
      </c>
      <c r="F101" s="13">
        <f>+MAYO!$AG101</f>
        <v>447</v>
      </c>
      <c r="G101" s="13">
        <f>+JUNIO!$AG101</f>
        <v>370</v>
      </c>
      <c r="H101" s="13">
        <f>+Julio!$AG101</f>
        <v>297</v>
      </c>
      <c r="I101" s="13">
        <f>+agosto!$AG101</f>
        <v>445</v>
      </c>
      <c r="J101" s="13">
        <f>+septiembre!$AG101</f>
        <v>421</v>
      </c>
      <c r="K101" s="13">
        <f>+OCTUBRE!$AG101</f>
        <v>468</v>
      </c>
      <c r="L101" s="13">
        <f>+NOVIEMBRE!$AG101</f>
        <v>378</v>
      </c>
      <c r="M101" s="13">
        <f>+DICIEMBRE!$AG101</f>
        <v>341</v>
      </c>
      <c r="N101" s="15">
        <f t="shared" si="0"/>
        <v>4851</v>
      </c>
    </row>
    <row r="102" spans="1:14" ht="15.75" customHeight="1" x14ac:dyDescent="0.25">
      <c r="A102" s="71" t="s">
        <v>64</v>
      </c>
      <c r="B102" s="13">
        <f>+ENERO!$AG102</f>
        <v>506</v>
      </c>
      <c r="C102" s="13">
        <f>+FEBRERO!$AG102</f>
        <v>438</v>
      </c>
      <c r="D102" s="13">
        <f>+MARZO!$AG102</f>
        <v>488</v>
      </c>
      <c r="E102" s="13">
        <f>+ABRIL!$AG102</f>
        <v>530</v>
      </c>
      <c r="F102" s="13">
        <f>+MAYO!$AG102</f>
        <v>487</v>
      </c>
      <c r="G102" s="13">
        <f>+JUNIO!$AG102</f>
        <v>397</v>
      </c>
      <c r="H102" s="13">
        <f>+Julio!$AG102</f>
        <v>364</v>
      </c>
      <c r="I102" s="13">
        <f>+agosto!$AG102</f>
        <v>451</v>
      </c>
      <c r="J102" s="13">
        <f>+septiembre!$AG102</f>
        <v>493</v>
      </c>
      <c r="K102" s="13">
        <f>+OCTUBRE!$AG102</f>
        <v>508</v>
      </c>
      <c r="L102" s="13">
        <f>+NOVIEMBRE!$AG102</f>
        <v>418</v>
      </c>
      <c r="M102" s="13">
        <f>+DICIEMBRE!$AG102</f>
        <v>440</v>
      </c>
      <c r="N102" s="15">
        <f t="shared" si="0"/>
        <v>5520</v>
      </c>
    </row>
    <row r="103" spans="1:14" ht="15.75" customHeight="1" x14ac:dyDescent="0.25">
      <c r="A103" s="67" t="s">
        <v>65</v>
      </c>
      <c r="B103" s="13">
        <f>+ENERO!$AG103</f>
        <v>527</v>
      </c>
      <c r="C103" s="13">
        <f>+FEBRERO!$AG103</f>
        <v>384</v>
      </c>
      <c r="D103" s="13">
        <f>+MARZO!$AG103</f>
        <v>489</v>
      </c>
      <c r="E103" s="13">
        <f>+ABRIL!$AG103</f>
        <v>448</v>
      </c>
      <c r="F103" s="13">
        <f>+MAYO!$AG103</f>
        <v>433</v>
      </c>
      <c r="G103" s="13">
        <f>+JUNIO!$AG103</f>
        <v>401</v>
      </c>
      <c r="H103" s="13">
        <f>+Julio!$AG103</f>
        <v>412</v>
      </c>
      <c r="I103" s="13">
        <f>+agosto!$AG103</f>
        <v>472</v>
      </c>
      <c r="J103" s="13">
        <f>+septiembre!$AG103</f>
        <v>460</v>
      </c>
      <c r="K103" s="13">
        <f>+OCTUBRE!$AG103</f>
        <v>449</v>
      </c>
      <c r="L103" s="13">
        <f>+NOVIEMBRE!$AG103</f>
        <v>444</v>
      </c>
      <c r="M103" s="13">
        <f>+DICIEMBRE!$AG103</f>
        <v>492</v>
      </c>
      <c r="N103" s="15">
        <f t="shared" si="0"/>
        <v>5411</v>
      </c>
    </row>
    <row r="104" spans="1:14" ht="15.75" customHeight="1" x14ac:dyDescent="0.25">
      <c r="A104" s="67" t="s">
        <v>66</v>
      </c>
      <c r="B104" s="13">
        <f>+ENERO!$AG104</f>
        <v>500</v>
      </c>
      <c r="C104" s="13">
        <f>+FEBRERO!$AG104</f>
        <v>394</v>
      </c>
      <c r="D104" s="13">
        <f>+MARZO!$AG104</f>
        <v>530</v>
      </c>
      <c r="E104" s="13">
        <f>+ABRIL!$AG104</f>
        <v>388</v>
      </c>
      <c r="F104" s="13">
        <f>+MAYO!$AG104</f>
        <v>401</v>
      </c>
      <c r="G104" s="13">
        <f>+JUNIO!$AG104</f>
        <v>380</v>
      </c>
      <c r="H104" s="13">
        <f>+Julio!$AG104</f>
        <v>358</v>
      </c>
      <c r="I104" s="13">
        <f>+agosto!$AG104</f>
        <v>389</v>
      </c>
      <c r="J104" s="13">
        <f>+septiembre!$AG104</f>
        <v>424</v>
      </c>
      <c r="K104" s="13">
        <f>+OCTUBRE!$AG104</f>
        <v>468</v>
      </c>
      <c r="L104" s="13">
        <f>+NOVIEMBRE!$AG104</f>
        <v>395</v>
      </c>
      <c r="M104" s="13">
        <f>+DICIEMBRE!$AG104</f>
        <v>432</v>
      </c>
      <c r="N104" s="15">
        <f t="shared" si="0"/>
        <v>5059</v>
      </c>
    </row>
    <row r="105" spans="1:14" ht="15.75" customHeight="1" x14ac:dyDescent="0.25">
      <c r="A105" s="67" t="s">
        <v>67</v>
      </c>
      <c r="B105" s="13">
        <f>+ENERO!$AG105</f>
        <v>374</v>
      </c>
      <c r="C105" s="13">
        <f>+FEBRERO!$AG105</f>
        <v>345</v>
      </c>
      <c r="D105" s="13">
        <f>+MARZO!$AG105</f>
        <v>421</v>
      </c>
      <c r="E105" s="13">
        <f>+ABRIL!$AG105</f>
        <v>362</v>
      </c>
      <c r="F105" s="13">
        <f>+MAYO!$AG105</f>
        <v>369</v>
      </c>
      <c r="G105" s="13">
        <f>+JUNIO!$AG105</f>
        <v>343</v>
      </c>
      <c r="H105" s="13">
        <f>+Julio!$AG105</f>
        <v>353</v>
      </c>
      <c r="I105" s="13">
        <f>+agosto!$AG105</f>
        <v>365</v>
      </c>
      <c r="J105" s="13">
        <f>+septiembre!$AG105</f>
        <v>383</v>
      </c>
      <c r="K105" s="13">
        <f>+OCTUBRE!$AG105</f>
        <v>430</v>
      </c>
      <c r="L105" s="13">
        <f>+NOVIEMBRE!$AG105</f>
        <v>392</v>
      </c>
      <c r="M105" s="13">
        <f>+DICIEMBRE!$AG105</f>
        <v>392</v>
      </c>
      <c r="N105" s="15">
        <f t="shared" si="0"/>
        <v>4529</v>
      </c>
    </row>
    <row r="106" spans="1:14" ht="15.75" customHeight="1" x14ac:dyDescent="0.25">
      <c r="A106" s="67" t="s">
        <v>68</v>
      </c>
      <c r="B106" s="13">
        <f>+ENERO!$AG106</f>
        <v>413</v>
      </c>
      <c r="C106" s="13">
        <f>+FEBRERO!$AG106</f>
        <v>318</v>
      </c>
      <c r="D106" s="13">
        <f>+MARZO!$AG106</f>
        <v>403</v>
      </c>
      <c r="E106" s="13">
        <f>+ABRIL!$AG106</f>
        <v>323</v>
      </c>
      <c r="F106" s="13">
        <f>+MAYO!$AG106</f>
        <v>361</v>
      </c>
      <c r="G106" s="13">
        <f>+JUNIO!$AG106</f>
        <v>315</v>
      </c>
      <c r="H106" s="13">
        <f>+Julio!$AG106</f>
        <v>327</v>
      </c>
      <c r="I106" s="13">
        <f>+agosto!$AG106</f>
        <v>336</v>
      </c>
      <c r="J106" s="13">
        <f>+septiembre!$AG106</f>
        <v>411</v>
      </c>
      <c r="K106" s="13">
        <f>+OCTUBRE!$AG106</f>
        <v>367</v>
      </c>
      <c r="L106" s="13">
        <f>+NOVIEMBRE!$AG106</f>
        <v>326</v>
      </c>
      <c r="M106" s="13">
        <f>+DICIEMBRE!$AG106</f>
        <v>336</v>
      </c>
      <c r="N106" s="15">
        <f t="shared" si="0"/>
        <v>4236</v>
      </c>
    </row>
    <row r="107" spans="1:14" ht="15.75" customHeight="1" x14ac:dyDescent="0.25">
      <c r="A107" s="67" t="s">
        <v>69</v>
      </c>
      <c r="B107" s="13">
        <f>+ENERO!$AG107</f>
        <v>380</v>
      </c>
      <c r="C107" s="13">
        <f>+FEBRERO!$AG107</f>
        <v>363</v>
      </c>
      <c r="D107" s="13">
        <f>+MARZO!$AG107</f>
        <v>432</v>
      </c>
      <c r="E107" s="13">
        <f>+ABRIL!$AG107</f>
        <v>371</v>
      </c>
      <c r="F107" s="13">
        <f>+MAYO!$AG107</f>
        <v>348</v>
      </c>
      <c r="G107" s="13">
        <f>+JUNIO!$AG107</f>
        <v>329</v>
      </c>
      <c r="H107" s="13">
        <f>+Julio!$AG107</f>
        <v>316</v>
      </c>
      <c r="I107" s="13">
        <f>+agosto!$AG107</f>
        <v>331</v>
      </c>
      <c r="J107" s="13">
        <f>+septiembre!$AG107</f>
        <v>318</v>
      </c>
      <c r="K107" s="13">
        <f>+OCTUBRE!$AG107</f>
        <v>373</v>
      </c>
      <c r="L107" s="13">
        <f>+NOVIEMBRE!$AG107</f>
        <v>338</v>
      </c>
      <c r="M107" s="13">
        <f>+DICIEMBRE!$AG107</f>
        <v>347</v>
      </c>
      <c r="N107" s="15">
        <f t="shared" si="0"/>
        <v>4246</v>
      </c>
    </row>
    <row r="108" spans="1:14" ht="15.75" customHeight="1" x14ac:dyDescent="0.25">
      <c r="A108" s="67" t="s">
        <v>70</v>
      </c>
      <c r="B108" s="13">
        <f>+ENERO!$AG108</f>
        <v>481</v>
      </c>
      <c r="C108" s="13">
        <f>+FEBRERO!$AG108</f>
        <v>427</v>
      </c>
      <c r="D108" s="13">
        <f>+MARZO!$AG108</f>
        <v>477</v>
      </c>
      <c r="E108" s="13">
        <f>+ABRIL!$AG108</f>
        <v>412</v>
      </c>
      <c r="F108" s="13">
        <f>+MAYO!$AG108</f>
        <v>402</v>
      </c>
      <c r="G108" s="13">
        <f>+JUNIO!$AG108</f>
        <v>370</v>
      </c>
      <c r="H108" s="13">
        <f>+Julio!$AG108</f>
        <v>396</v>
      </c>
      <c r="I108" s="13">
        <f>+agosto!$AG108</f>
        <v>415</v>
      </c>
      <c r="J108" s="13">
        <f>+septiembre!$AG108</f>
        <v>422</v>
      </c>
      <c r="K108" s="13">
        <f>+OCTUBRE!$AG108</f>
        <v>428</v>
      </c>
      <c r="L108" s="13">
        <f>+NOVIEMBRE!$AG108</f>
        <v>420</v>
      </c>
      <c r="M108" s="13">
        <f>+DICIEMBRE!$AG108</f>
        <v>425</v>
      </c>
      <c r="N108" s="15">
        <f t="shared" si="0"/>
        <v>5075</v>
      </c>
    </row>
    <row r="109" spans="1:14" ht="15.75" customHeight="1" x14ac:dyDescent="0.25">
      <c r="A109" s="67" t="s">
        <v>71</v>
      </c>
      <c r="B109" s="13">
        <f>+ENERO!$AG109</f>
        <v>515</v>
      </c>
      <c r="C109" s="13">
        <f>+FEBRERO!$AG109</f>
        <v>347</v>
      </c>
      <c r="D109" s="13">
        <f>+MARZO!$AG109</f>
        <v>425</v>
      </c>
      <c r="E109" s="13">
        <f>+ABRIL!$AG109</f>
        <v>364</v>
      </c>
      <c r="F109" s="13">
        <f>+MAYO!$AG109</f>
        <v>394</v>
      </c>
      <c r="G109" s="13">
        <f>+JUNIO!$AG109</f>
        <v>330</v>
      </c>
      <c r="H109" s="13">
        <f>+Julio!$AG109</f>
        <v>411</v>
      </c>
      <c r="I109" s="13">
        <f>+agosto!$AG109</f>
        <v>395</v>
      </c>
      <c r="J109" s="13">
        <f>+septiembre!$AG109</f>
        <v>397</v>
      </c>
      <c r="K109" s="13">
        <f>+OCTUBRE!$AG109</f>
        <v>451</v>
      </c>
      <c r="L109" s="13">
        <f>+NOVIEMBRE!$AG109</f>
        <v>386</v>
      </c>
      <c r="M109" s="13">
        <f>+DICIEMBRE!$AG109</f>
        <v>434</v>
      </c>
      <c r="N109" s="15">
        <f t="shared" si="0"/>
        <v>4849</v>
      </c>
    </row>
    <row r="110" spans="1:14" ht="15.75" customHeight="1" x14ac:dyDescent="0.25">
      <c r="A110" s="67" t="s">
        <v>72</v>
      </c>
      <c r="B110" s="13">
        <f>+ENERO!$AG110</f>
        <v>397</v>
      </c>
      <c r="C110" s="13">
        <f>+FEBRERO!$AG110</f>
        <v>352</v>
      </c>
      <c r="D110" s="13">
        <f>+MARZO!$AG110</f>
        <v>393</v>
      </c>
      <c r="E110" s="13">
        <f>+ABRIL!$AG110</f>
        <v>346</v>
      </c>
      <c r="F110" s="13">
        <f>+MAYO!$AG110</f>
        <v>332</v>
      </c>
      <c r="G110" s="13">
        <f>+JUNIO!$AG110</f>
        <v>291</v>
      </c>
      <c r="H110" s="13">
        <f>+Julio!$AG110</f>
        <v>324</v>
      </c>
      <c r="I110" s="13">
        <f>+agosto!$AG110</f>
        <v>335</v>
      </c>
      <c r="J110" s="13">
        <f>+septiembre!$AG110</f>
        <v>370</v>
      </c>
      <c r="K110" s="13">
        <f>+OCTUBRE!$AG110</f>
        <v>447</v>
      </c>
      <c r="L110" s="13">
        <f>+NOVIEMBRE!$AG110</f>
        <v>334</v>
      </c>
      <c r="M110" s="13">
        <f>+DICIEMBRE!$AG110</f>
        <v>373</v>
      </c>
      <c r="N110" s="15">
        <f t="shared" si="0"/>
        <v>4294</v>
      </c>
    </row>
    <row r="111" spans="1:14" ht="15.75" customHeight="1" x14ac:dyDescent="0.25">
      <c r="A111" s="67" t="s">
        <v>73</v>
      </c>
      <c r="B111" s="13">
        <f>+ENERO!$AG111</f>
        <v>317</v>
      </c>
      <c r="C111" s="13">
        <f>+FEBRERO!$AG111</f>
        <v>294</v>
      </c>
      <c r="D111" s="13">
        <f>+MARZO!$AG111</f>
        <v>352</v>
      </c>
      <c r="E111" s="13">
        <f>+ABRIL!$AG111</f>
        <v>312</v>
      </c>
      <c r="F111" s="13">
        <f>+MAYO!$AG111</f>
        <v>266</v>
      </c>
      <c r="G111" s="13">
        <f>+JUNIO!$AG111</f>
        <v>233</v>
      </c>
      <c r="H111" s="13">
        <f>+Julio!$AG111</f>
        <v>300</v>
      </c>
      <c r="I111" s="13">
        <f>+agosto!$AG111</f>
        <v>308</v>
      </c>
      <c r="J111" s="13">
        <f>+septiembre!$AG111</f>
        <v>322</v>
      </c>
      <c r="K111" s="13">
        <f>+OCTUBRE!$AG111</f>
        <v>334</v>
      </c>
      <c r="L111" s="13">
        <f>+NOVIEMBRE!$AG111</f>
        <v>315</v>
      </c>
      <c r="M111" s="13">
        <f>+DICIEMBRE!$AG111</f>
        <v>313</v>
      </c>
      <c r="N111" s="15">
        <f t="shared" si="0"/>
        <v>3666</v>
      </c>
    </row>
    <row r="112" spans="1:14" ht="15.75" customHeight="1" x14ac:dyDescent="0.25">
      <c r="A112" s="67" t="s">
        <v>74</v>
      </c>
      <c r="B112" s="13">
        <f>+ENERO!$AG112</f>
        <v>287</v>
      </c>
      <c r="C112" s="13">
        <f>+FEBRERO!$AG112</f>
        <v>246</v>
      </c>
      <c r="D112" s="13">
        <f>+MARZO!$AG112</f>
        <v>250</v>
      </c>
      <c r="E112" s="13">
        <f>+ABRIL!$AG112</f>
        <v>242</v>
      </c>
      <c r="F112" s="13">
        <f>+MAYO!$AG112</f>
        <v>205</v>
      </c>
      <c r="G112" s="13">
        <f>+JUNIO!$AG112</f>
        <v>168</v>
      </c>
      <c r="H112" s="13">
        <f>+Julio!$AG112</f>
        <v>224</v>
      </c>
      <c r="I112" s="13">
        <f>+agosto!$AG112</f>
        <v>233</v>
      </c>
      <c r="J112" s="13">
        <f>+septiembre!$AG112</f>
        <v>268</v>
      </c>
      <c r="K112" s="13">
        <f>+OCTUBRE!$AG112</f>
        <v>278</v>
      </c>
      <c r="L112" s="13">
        <f>+NOVIEMBRE!$AG112</f>
        <v>253</v>
      </c>
      <c r="M112" s="13">
        <f>+DICIEMBRE!$AG112</f>
        <v>258</v>
      </c>
      <c r="N112" s="15">
        <f t="shared" si="0"/>
        <v>2912</v>
      </c>
    </row>
    <row r="113" spans="1:14" ht="15.75" customHeight="1" x14ac:dyDescent="0.25">
      <c r="A113" s="67" t="s">
        <v>75</v>
      </c>
      <c r="B113" s="13">
        <f>+ENERO!$AG113</f>
        <v>287</v>
      </c>
      <c r="C113" s="13">
        <f>+FEBRERO!$AG113</f>
        <v>167</v>
      </c>
      <c r="D113" s="13">
        <f>+MARZO!$AG113</f>
        <v>214</v>
      </c>
      <c r="E113" s="13">
        <f>+ABRIL!$AG113</f>
        <v>209</v>
      </c>
      <c r="F113" s="13">
        <f>+MAYO!$AG113</f>
        <v>171</v>
      </c>
      <c r="G113" s="13">
        <f>+JUNIO!$AG113</f>
        <v>193</v>
      </c>
      <c r="H113" s="13">
        <f>+Julio!$AG113</f>
        <v>215</v>
      </c>
      <c r="I113" s="13">
        <f>+agosto!$AG113</f>
        <v>206</v>
      </c>
      <c r="J113" s="13">
        <f>+septiembre!$AG113</f>
        <v>263</v>
      </c>
      <c r="K113" s="13">
        <f>+OCTUBRE!$AG113</f>
        <v>282</v>
      </c>
      <c r="L113" s="13">
        <f>+NOVIEMBRE!$AG113</f>
        <v>199</v>
      </c>
      <c r="M113" s="13">
        <f>+DICIEMBRE!$AG113</f>
        <v>271</v>
      </c>
      <c r="N113" s="15">
        <f t="shared" si="0"/>
        <v>2677</v>
      </c>
    </row>
    <row r="114" spans="1:14" ht="15.75" customHeight="1" x14ac:dyDescent="0.25">
      <c r="A114" s="67" t="s">
        <v>76</v>
      </c>
      <c r="B114" s="13">
        <f>+ENERO!$AG114</f>
        <v>296</v>
      </c>
      <c r="C114" s="13">
        <f>+FEBRERO!$AG114</f>
        <v>279</v>
      </c>
      <c r="D114" s="13">
        <f>+MARZO!$AG114</f>
        <v>298</v>
      </c>
      <c r="E114" s="13">
        <f>+ABRIL!$AG114</f>
        <v>251</v>
      </c>
      <c r="F114" s="13">
        <f>+MAYO!$AG114</f>
        <v>207</v>
      </c>
      <c r="G114" s="13">
        <f>+JUNIO!$AG114</f>
        <v>207</v>
      </c>
      <c r="H114" s="13">
        <f>+Julio!$AG114</f>
        <v>255</v>
      </c>
      <c r="I114" s="13">
        <f>+agosto!$AG114</f>
        <v>265</v>
      </c>
      <c r="J114" s="13">
        <f>+septiembre!$AG114</f>
        <v>286</v>
      </c>
      <c r="K114" s="13">
        <f>+OCTUBRE!$AG114</f>
        <v>328</v>
      </c>
      <c r="L114" s="13">
        <f>+NOVIEMBRE!$AG114</f>
        <v>261</v>
      </c>
      <c r="M114" s="13">
        <f>+DICIEMBRE!$AG114</f>
        <v>337</v>
      </c>
      <c r="N114" s="15">
        <f t="shared" si="0"/>
        <v>3270</v>
      </c>
    </row>
    <row r="115" spans="1:14" ht="15.75" customHeight="1" x14ac:dyDescent="0.25">
      <c r="A115" s="72"/>
      <c r="B115" s="37">
        <f>+ENERO!$AG115</f>
        <v>0</v>
      </c>
      <c r="C115" s="37">
        <f>+FEBRERO!$AG115</f>
        <v>0</v>
      </c>
      <c r="D115" s="37">
        <f>+MARZO!$AG115</f>
        <v>0</v>
      </c>
      <c r="E115" s="37">
        <f>+ABRIL!$AG115</f>
        <v>0</v>
      </c>
      <c r="F115" s="37">
        <f>+MAYO!$AG115</f>
        <v>1</v>
      </c>
      <c r="G115" s="37">
        <f>+JUNIO!$AG115</f>
        <v>0</v>
      </c>
      <c r="H115" s="37">
        <f>+Julio!$AG115</f>
        <v>0</v>
      </c>
      <c r="I115" s="37">
        <f>+agosto!$AG115</f>
        <v>0</v>
      </c>
      <c r="J115" s="37">
        <f>+septiembre!$AG115</f>
        <v>0</v>
      </c>
      <c r="K115" s="37">
        <f>+OCTUBRE!$AG115</f>
        <v>0</v>
      </c>
      <c r="L115" s="37">
        <f>+NOVIEMBRE!$AG115</f>
        <v>0</v>
      </c>
      <c r="M115" s="37">
        <f>+DICIEMBRE!$AG115</f>
        <v>0</v>
      </c>
      <c r="N115" s="15">
        <f t="shared" si="0"/>
        <v>1</v>
      </c>
    </row>
    <row r="116" spans="1:14" ht="15.75" customHeight="1" x14ac:dyDescent="0.25">
      <c r="A116" s="60" t="s">
        <v>77</v>
      </c>
      <c r="B116" s="61">
        <f>+ENERO!$AG116</f>
        <v>1514</v>
      </c>
      <c r="C116" s="61">
        <f>+FEBRERO!$AG116</f>
        <v>1379</v>
      </c>
      <c r="D116" s="61">
        <f>+MARZO!$AG116</f>
        <v>2223</v>
      </c>
      <c r="E116" s="61">
        <f>+ABRIL!$AG116</f>
        <v>2053</v>
      </c>
      <c r="F116" s="61">
        <f>+MAYO!$AG116</f>
        <v>2471</v>
      </c>
      <c r="G116" s="61">
        <f>+JUNIO!$AG116</f>
        <v>1761</v>
      </c>
      <c r="H116" s="61">
        <f>+Julio!$AG116</f>
        <v>1549</v>
      </c>
      <c r="I116" s="61">
        <f>+agosto!$AG116</f>
        <v>1815</v>
      </c>
      <c r="J116" s="61">
        <f>+septiembre!$AG116</f>
        <v>1776</v>
      </c>
      <c r="K116" s="61">
        <f>+OCTUBRE!$AG116</f>
        <v>2197</v>
      </c>
      <c r="L116" s="61">
        <f>+NOVIEMBRE!$AG116</f>
        <v>1368</v>
      </c>
      <c r="M116" s="61">
        <f>+DICIEMBRE!$AG116</f>
        <v>1224</v>
      </c>
      <c r="N116" s="15">
        <f t="shared" si="0"/>
        <v>21330</v>
      </c>
    </row>
    <row r="117" spans="1:14" ht="15.75" customHeight="1" x14ac:dyDescent="0.25">
      <c r="A117" s="73" t="s">
        <v>78</v>
      </c>
      <c r="B117" s="13">
        <f>+ENERO!$AG117</f>
        <v>1179</v>
      </c>
      <c r="C117" s="13">
        <f>+FEBRERO!$AG117</f>
        <v>1052</v>
      </c>
      <c r="D117" s="13">
        <f>+MARZO!$AG117</f>
        <v>1750</v>
      </c>
      <c r="E117" s="13">
        <f>+ABRIL!$AG117</f>
        <v>1592</v>
      </c>
      <c r="F117" s="13">
        <f>+MAYO!$AG117</f>
        <v>1761</v>
      </c>
      <c r="G117" s="13">
        <f>+JUNIO!$AG117</f>
        <v>1375</v>
      </c>
      <c r="H117" s="13">
        <f>+Julio!$AG117</f>
        <v>1228</v>
      </c>
      <c r="I117" s="13">
        <f>+agosto!$AG117</f>
        <v>1399</v>
      </c>
      <c r="J117" s="13">
        <f>+septiembre!$AG117</f>
        <v>1393</v>
      </c>
      <c r="K117" s="13">
        <f>+OCTUBRE!$AG117</f>
        <v>1744</v>
      </c>
      <c r="L117" s="13">
        <f>+NOVIEMBRE!$AG117</f>
        <v>1329</v>
      </c>
      <c r="M117" s="13">
        <f>+DICIEMBRE!$AG117</f>
        <v>1175</v>
      </c>
      <c r="N117" s="15">
        <f t="shared" si="0"/>
        <v>16977</v>
      </c>
    </row>
    <row r="118" spans="1:14" ht="19.5" customHeight="1" x14ac:dyDescent="0.25">
      <c r="A118" s="73" t="s">
        <v>79</v>
      </c>
      <c r="B118" s="13">
        <f>+ENERO!$AG118</f>
        <v>0</v>
      </c>
      <c r="C118" s="13">
        <f>+FEBRERO!$AG118</f>
        <v>0</v>
      </c>
      <c r="D118" s="13">
        <f>+MARZO!$AG118</f>
        <v>0</v>
      </c>
      <c r="E118" s="13">
        <f>+ABRIL!$AG118</f>
        <v>0</v>
      </c>
      <c r="F118" s="13">
        <f>+MAYO!$AG118</f>
        <v>0</v>
      </c>
      <c r="G118" s="13">
        <f>+JUNIO!$AG118</f>
        <v>0</v>
      </c>
      <c r="H118" s="13">
        <f>+Julio!$AG118</f>
        <v>0</v>
      </c>
      <c r="I118" s="13">
        <f>+agosto!$AG118</f>
        <v>0</v>
      </c>
      <c r="J118" s="13">
        <f>+septiembre!$AG118</f>
        <v>0</v>
      </c>
      <c r="K118" s="13">
        <f>+OCTUBRE!$AG118</f>
        <v>0</v>
      </c>
      <c r="L118" s="13">
        <f>+NOVIEMBRE!$AG118</f>
        <v>39</v>
      </c>
      <c r="M118" s="13">
        <f>+DICIEMBRE!$AG118</f>
        <v>49</v>
      </c>
      <c r="N118" s="15">
        <f t="shared" si="0"/>
        <v>88</v>
      </c>
    </row>
    <row r="119" spans="1:14" ht="19.5" customHeight="1" x14ac:dyDescent="0.25">
      <c r="A119" s="73" t="s">
        <v>80</v>
      </c>
      <c r="B119" s="13">
        <f>+ENERO!$AG119</f>
        <v>0</v>
      </c>
      <c r="C119" s="13">
        <f>+FEBRERO!$AG119</f>
        <v>0</v>
      </c>
      <c r="D119" s="13">
        <f>+MARZO!$AG119</f>
        <v>0</v>
      </c>
      <c r="E119" s="13">
        <f>+ABRIL!$AG119</f>
        <v>0</v>
      </c>
      <c r="F119" s="13">
        <f>+MAYO!$AG119</f>
        <v>0</v>
      </c>
      <c r="G119" s="13">
        <f>+JUNIO!$AG119</f>
        <v>0</v>
      </c>
      <c r="H119" s="13">
        <f>+Julio!$AG119</f>
        <v>0</v>
      </c>
      <c r="I119" s="13">
        <f>+agosto!$AG119</f>
        <v>0</v>
      </c>
      <c r="J119" s="13">
        <f>+septiembre!$AG119</f>
        <v>0</v>
      </c>
      <c r="K119" s="13">
        <f>+OCTUBRE!$AG119</f>
        <v>0</v>
      </c>
      <c r="L119" s="13">
        <f>+NOVIEMBRE!$AG119</f>
        <v>6178</v>
      </c>
      <c r="M119" s="13">
        <f>+DICIEMBRE!$AG119</f>
        <v>6254</v>
      </c>
      <c r="N119" s="15">
        <f t="shared" si="0"/>
        <v>12432</v>
      </c>
    </row>
    <row r="120" spans="1:14" ht="19.5" customHeight="1" x14ac:dyDescent="0.25">
      <c r="A120" s="73" t="s">
        <v>81</v>
      </c>
      <c r="B120" s="13">
        <f>+ENERO!$AG120</f>
        <v>0</v>
      </c>
      <c r="C120" s="13">
        <f>+FEBRERO!$AG120</f>
        <v>0</v>
      </c>
      <c r="D120" s="13">
        <f>+MARZO!$AG120</f>
        <v>0</v>
      </c>
      <c r="E120" s="13">
        <f>+ABRIL!$AG120</f>
        <v>0</v>
      </c>
      <c r="F120" s="13">
        <f>+MAYO!$AG120</f>
        <v>0</v>
      </c>
      <c r="G120" s="13">
        <f>+JUNIO!$AG120</f>
        <v>0</v>
      </c>
      <c r="H120" s="13">
        <f>+Julio!$AG120</f>
        <v>0</v>
      </c>
      <c r="I120" s="13">
        <f>+agosto!$AG120</f>
        <v>0</v>
      </c>
      <c r="J120" s="13">
        <f>+septiembre!$AG120</f>
        <v>0</v>
      </c>
      <c r="K120" s="13">
        <f>+OCTUBRE!$AG120</f>
        <v>0</v>
      </c>
      <c r="L120" s="13">
        <f>+NOVIEMBRE!$AG120</f>
        <v>1113</v>
      </c>
      <c r="M120" s="13">
        <f>+DICIEMBRE!$AG120</f>
        <v>1084</v>
      </c>
      <c r="N120" s="15">
        <f t="shared" si="0"/>
        <v>2197</v>
      </c>
    </row>
    <row r="121" spans="1:14" ht="19.5" customHeight="1" x14ac:dyDescent="0.25">
      <c r="A121" s="73" t="s">
        <v>82</v>
      </c>
      <c r="B121" s="13">
        <f>+ENERO!$AG121</f>
        <v>0</v>
      </c>
      <c r="C121" s="13">
        <f>+FEBRERO!$AG121</f>
        <v>0</v>
      </c>
      <c r="D121" s="13">
        <f>+MARZO!$AG121</f>
        <v>0</v>
      </c>
      <c r="E121" s="13">
        <f>+ABRIL!$AG121</f>
        <v>0</v>
      </c>
      <c r="F121" s="13">
        <f>+MAYO!$AG121</f>
        <v>0</v>
      </c>
      <c r="G121" s="13">
        <f>+JUNIO!$AG121</f>
        <v>0</v>
      </c>
      <c r="H121" s="13">
        <f>+Julio!$AG121</f>
        <v>0</v>
      </c>
      <c r="I121" s="13">
        <f>+agosto!$AG121</f>
        <v>0</v>
      </c>
      <c r="J121" s="13">
        <f>+septiembre!$AG121</f>
        <v>0</v>
      </c>
      <c r="K121" s="13">
        <f>+OCTUBRE!$AG121</f>
        <v>0</v>
      </c>
      <c r="L121" s="13">
        <f>+NOVIEMBRE!$AG121</f>
        <v>235</v>
      </c>
      <c r="M121" s="13">
        <f>+DICIEMBRE!$AG121</f>
        <v>228</v>
      </c>
      <c r="N121" s="15">
        <f t="shared" si="0"/>
        <v>463</v>
      </c>
    </row>
    <row r="122" spans="1:14" ht="19.5" customHeight="1" x14ac:dyDescent="0.25">
      <c r="A122" s="73" t="s">
        <v>83</v>
      </c>
      <c r="B122" s="13">
        <f>+ENERO!$AG122</f>
        <v>0</v>
      </c>
      <c r="C122" s="13">
        <f>+FEBRERO!$AG122</f>
        <v>0</v>
      </c>
      <c r="D122" s="13">
        <f>+MARZO!$AG122</f>
        <v>0</v>
      </c>
      <c r="E122" s="13">
        <f>+ABRIL!$AG122</f>
        <v>0</v>
      </c>
      <c r="F122" s="13">
        <f>+MAYO!$AG122</f>
        <v>0</v>
      </c>
      <c r="G122" s="13">
        <f>+JUNIO!$AG122</f>
        <v>0</v>
      </c>
      <c r="H122" s="13">
        <f>+Julio!$AG122</f>
        <v>0</v>
      </c>
      <c r="I122" s="13">
        <f>+agosto!$AG122</f>
        <v>0</v>
      </c>
      <c r="J122" s="13">
        <f>+septiembre!$AG122</f>
        <v>0</v>
      </c>
      <c r="K122" s="13">
        <f>+OCTUBRE!$AG122</f>
        <v>0</v>
      </c>
      <c r="L122" s="13">
        <f>+NOVIEMBRE!$AG122</f>
        <v>292</v>
      </c>
      <c r="M122" s="13">
        <f>+DICIEMBRE!$AG122</f>
        <v>304</v>
      </c>
      <c r="N122" s="15">
        <f t="shared" si="0"/>
        <v>596</v>
      </c>
    </row>
    <row r="123" spans="1:14" ht="19.5" customHeight="1" x14ac:dyDescent="0.25">
      <c r="A123" s="73" t="s">
        <v>84</v>
      </c>
      <c r="B123" s="13">
        <f>+ENERO!$AG123</f>
        <v>0</v>
      </c>
      <c r="C123" s="13">
        <f>+FEBRERO!$AG123</f>
        <v>0</v>
      </c>
      <c r="D123" s="13">
        <f>+MARZO!$AG123</f>
        <v>0</v>
      </c>
      <c r="E123" s="13">
        <f>+ABRIL!$AG123</f>
        <v>0</v>
      </c>
      <c r="F123" s="13">
        <f>+MAYO!$AG123</f>
        <v>0</v>
      </c>
      <c r="G123" s="13">
        <f>+JUNIO!$AG123</f>
        <v>0</v>
      </c>
      <c r="H123" s="13">
        <f>+Julio!$AG123</f>
        <v>0</v>
      </c>
      <c r="I123" s="13">
        <f>+agosto!$AG123</f>
        <v>0</v>
      </c>
      <c r="J123" s="13">
        <f>+septiembre!$AG123</f>
        <v>0</v>
      </c>
      <c r="K123" s="13">
        <f>+OCTUBRE!$AG123</f>
        <v>0</v>
      </c>
      <c r="L123" s="13">
        <f>+NOVIEMBRE!$AG123</f>
        <v>291</v>
      </c>
      <c r="M123" s="13">
        <f>+DICIEMBRE!$AG123</f>
        <v>322</v>
      </c>
      <c r="N123" s="15">
        <f t="shared" si="0"/>
        <v>613</v>
      </c>
    </row>
    <row r="124" spans="1:14" ht="19.5" customHeight="1" x14ac:dyDescent="0.25">
      <c r="A124" s="73" t="s">
        <v>85</v>
      </c>
      <c r="B124" s="13">
        <f>+ENERO!$AG124</f>
        <v>0</v>
      </c>
      <c r="C124" s="13">
        <f>+FEBRERO!$AG124</f>
        <v>0</v>
      </c>
      <c r="D124" s="13">
        <f>+MARZO!$AG124</f>
        <v>0</v>
      </c>
      <c r="E124" s="13">
        <f>+ABRIL!$AG124</f>
        <v>0</v>
      </c>
      <c r="F124" s="13">
        <f>+MAYO!$AG124</f>
        <v>0</v>
      </c>
      <c r="G124" s="13">
        <f>+JUNIO!$AG124</f>
        <v>0</v>
      </c>
      <c r="H124" s="13">
        <f>+Julio!$AG124</f>
        <v>0</v>
      </c>
      <c r="I124" s="13">
        <f>+agosto!$AG124</f>
        <v>0</v>
      </c>
      <c r="J124" s="13">
        <f>+septiembre!$AG124</f>
        <v>0</v>
      </c>
      <c r="K124" s="13">
        <f>+OCTUBRE!$AG124</f>
        <v>0</v>
      </c>
      <c r="L124" s="13">
        <f>+NOVIEMBRE!$AG124</f>
        <v>298</v>
      </c>
      <c r="M124" s="13">
        <f>+DICIEMBRE!$AG124</f>
        <v>304</v>
      </c>
      <c r="N124" s="15">
        <f t="shared" si="0"/>
        <v>602</v>
      </c>
    </row>
    <row r="125" spans="1:14" ht="19.5" customHeight="1" x14ac:dyDescent="0.25">
      <c r="A125" s="12" t="s">
        <v>86</v>
      </c>
      <c r="B125" s="13">
        <f>+ENERO!$AG125</f>
        <v>0</v>
      </c>
      <c r="C125" s="13">
        <f>+FEBRERO!$AG125</f>
        <v>0</v>
      </c>
      <c r="D125" s="13">
        <f>+MARZO!$AG125</f>
        <v>0</v>
      </c>
      <c r="E125" s="13">
        <f>+ABRIL!$AG125</f>
        <v>0</v>
      </c>
      <c r="F125" s="13">
        <f>+MAYO!$AG125</f>
        <v>0</v>
      </c>
      <c r="G125" s="13">
        <f>+JUNIO!$AG125</f>
        <v>0</v>
      </c>
      <c r="H125" s="13">
        <f>+Julio!$AG125</f>
        <v>0</v>
      </c>
      <c r="I125" s="13">
        <f>+agosto!$AG125</f>
        <v>0</v>
      </c>
      <c r="J125" s="13">
        <f>+septiembre!$AG125</f>
        <v>0</v>
      </c>
      <c r="K125" s="13">
        <f>+OCTUBRE!$AG125</f>
        <v>0</v>
      </c>
      <c r="L125" s="13">
        <f>+NOVIEMBRE!$AG125</f>
        <v>3092</v>
      </c>
      <c r="M125" s="13">
        <f>+DICIEMBRE!$AG125</f>
        <v>3164</v>
      </c>
      <c r="N125" s="15">
        <f t="shared" si="0"/>
        <v>6256</v>
      </c>
    </row>
    <row r="126" spans="1:14" ht="19.5" customHeight="1" x14ac:dyDescent="0.25">
      <c r="A126" s="12" t="s">
        <v>87</v>
      </c>
      <c r="B126" s="13">
        <f>+ENERO!$AG126</f>
        <v>0</v>
      </c>
      <c r="C126" s="13">
        <f>+FEBRERO!$AG126</f>
        <v>0</v>
      </c>
      <c r="D126" s="13">
        <f>+MARZO!$AG126</f>
        <v>0</v>
      </c>
      <c r="E126" s="13">
        <f>+ABRIL!$AG126</f>
        <v>0</v>
      </c>
      <c r="F126" s="13">
        <f>+MAYO!$AG126</f>
        <v>0</v>
      </c>
      <c r="G126" s="13">
        <f>+JUNIO!$AG126</f>
        <v>0</v>
      </c>
      <c r="H126" s="13">
        <f>+Julio!$AG126</f>
        <v>0</v>
      </c>
      <c r="I126" s="13">
        <f>+agosto!$AG126</f>
        <v>0</v>
      </c>
      <c r="J126" s="13">
        <f>+septiembre!$AG126</f>
        <v>0</v>
      </c>
      <c r="K126" s="13">
        <f>+OCTUBRE!$AG126</f>
        <v>0</v>
      </c>
      <c r="L126" s="13">
        <f>+NOVIEMBRE!$AG126</f>
        <v>113</v>
      </c>
      <c r="M126" s="13">
        <f>+DICIEMBRE!$AG126</f>
        <v>84</v>
      </c>
      <c r="N126" s="15">
        <f t="shared" si="0"/>
        <v>197</v>
      </c>
    </row>
    <row r="127" spans="1:14" ht="19.5" customHeight="1" x14ac:dyDescent="0.25">
      <c r="A127" s="12" t="s">
        <v>88</v>
      </c>
      <c r="B127" s="13">
        <f>+ENERO!$AG127</f>
        <v>0</v>
      </c>
      <c r="C127" s="13">
        <f>+FEBRERO!$AG127</f>
        <v>0</v>
      </c>
      <c r="D127" s="13">
        <f>+MARZO!$AG127</f>
        <v>0</v>
      </c>
      <c r="E127" s="13">
        <f>+ABRIL!$AG127</f>
        <v>0</v>
      </c>
      <c r="F127" s="13">
        <f>+MAYO!$AG127</f>
        <v>0</v>
      </c>
      <c r="G127" s="13">
        <f>+JUNIO!$AG127</f>
        <v>0</v>
      </c>
      <c r="H127" s="13">
        <f>+Julio!$AG127</f>
        <v>0</v>
      </c>
      <c r="I127" s="13">
        <f>+agosto!$AG127</f>
        <v>0</v>
      </c>
      <c r="J127" s="13">
        <f>+septiembre!$AG127</f>
        <v>0</v>
      </c>
      <c r="K127" s="13">
        <f>+OCTUBRE!$AG127</f>
        <v>0</v>
      </c>
      <c r="L127" s="13">
        <f>+NOVIEMBRE!$AG127</f>
        <v>51</v>
      </c>
      <c r="M127" s="13">
        <f>+DICIEMBRE!$AG127</f>
        <v>53</v>
      </c>
      <c r="N127" s="15">
        <f t="shared" si="0"/>
        <v>104</v>
      </c>
    </row>
    <row r="128" spans="1:14" ht="19.5" customHeight="1" x14ac:dyDescent="0.25">
      <c r="A128" s="73" t="s">
        <v>89</v>
      </c>
      <c r="B128" s="13">
        <f>+ENERO!$AG128</f>
        <v>0</v>
      </c>
      <c r="C128" s="13">
        <f>+FEBRERO!$AG128</f>
        <v>0</v>
      </c>
      <c r="D128" s="13">
        <f>+MARZO!$AG128</f>
        <v>0</v>
      </c>
      <c r="E128" s="13">
        <f>+ABRIL!$AG128</f>
        <v>0</v>
      </c>
      <c r="F128" s="13">
        <f>+MAYO!$AG128</f>
        <v>0</v>
      </c>
      <c r="G128" s="13">
        <f>+JUNIO!$AG128</f>
        <v>0</v>
      </c>
      <c r="H128" s="13">
        <f>+Julio!$AG128</f>
        <v>0</v>
      </c>
      <c r="I128" s="13">
        <f>+agosto!$AG128</f>
        <v>0</v>
      </c>
      <c r="J128" s="13">
        <f>+septiembre!$AG128</f>
        <v>0</v>
      </c>
      <c r="K128" s="13">
        <f>+OCTUBRE!$AG128</f>
        <v>0</v>
      </c>
      <c r="L128" s="13">
        <f>+NOVIEMBRE!$AG128</f>
        <v>87</v>
      </c>
      <c r="M128" s="13">
        <f>+DICIEMBRE!$AG128</f>
        <v>86</v>
      </c>
      <c r="N128" s="15">
        <f t="shared" si="0"/>
        <v>173</v>
      </c>
    </row>
    <row r="129" spans="1:16" ht="15.75" customHeight="1" x14ac:dyDescent="0.25">
      <c r="A129" s="74" t="s">
        <v>90</v>
      </c>
      <c r="B129" s="75">
        <f>+ENERO!$AG129</f>
        <v>335</v>
      </c>
      <c r="C129" s="75">
        <f>+FEBRERO!$AG129</f>
        <v>327</v>
      </c>
      <c r="D129" s="75">
        <f>+MARZO!$AG129</f>
        <v>473</v>
      </c>
      <c r="E129" s="75">
        <f>+ABRIL!$AG129</f>
        <v>461</v>
      </c>
      <c r="F129" s="75">
        <f>+MAYO!$AG129</f>
        <v>710</v>
      </c>
      <c r="G129" s="75">
        <f>+JUNIO!$AG129</f>
        <v>386</v>
      </c>
      <c r="H129" s="75">
        <f>+Julio!$AG129</f>
        <v>321</v>
      </c>
      <c r="I129" s="75">
        <f>+agosto!$AG129</f>
        <v>416</v>
      </c>
      <c r="J129" s="75">
        <f>+septiembre!$AG129</f>
        <v>383</v>
      </c>
      <c r="K129" s="75">
        <f>+OCTUBRE!$AG129</f>
        <v>453</v>
      </c>
      <c r="L129" s="75">
        <f>+NOVIEMBRE!$AG129</f>
        <v>64</v>
      </c>
      <c r="M129" s="75">
        <f>+DICIEMBRE!$AG129</f>
        <v>34</v>
      </c>
      <c r="N129" s="15">
        <f t="shared" si="0"/>
        <v>4363</v>
      </c>
    </row>
    <row r="130" spans="1:16" ht="15.75" customHeight="1" x14ac:dyDescent="0.25">
      <c r="A130" s="60" t="s">
        <v>91</v>
      </c>
      <c r="B130" s="61">
        <f>+ENERO!$AG130</f>
        <v>6218</v>
      </c>
      <c r="C130" s="61">
        <f>+FEBRERO!$AG130</f>
        <v>5247</v>
      </c>
      <c r="D130" s="61">
        <f>+MARZO!$AG130</f>
        <v>7090</v>
      </c>
      <c r="E130" s="61">
        <f>+ABRIL!$AG130</f>
        <v>6604</v>
      </c>
      <c r="F130" s="61">
        <f>+MAYO!$AG130</f>
        <v>6766</v>
      </c>
      <c r="G130" s="61">
        <f>+JUNIO!$AG130</f>
        <v>5310</v>
      </c>
      <c r="H130" s="61">
        <f>+Julio!$AG130</f>
        <v>5138</v>
      </c>
      <c r="I130" s="61">
        <f>+agosto!$AG130</f>
        <v>6080</v>
      </c>
      <c r="J130" s="61">
        <f>+septiembre!$AG130</f>
        <v>6434</v>
      </c>
      <c r="K130" s="61">
        <f>+OCTUBRE!$AG130</f>
        <v>6981</v>
      </c>
      <c r="L130" s="61">
        <f>+NOVIEMBRE!$AG130</f>
        <v>17</v>
      </c>
      <c r="M130" s="61">
        <f>+DICIEMBRE!$AG130</f>
        <v>17</v>
      </c>
      <c r="N130" s="22">
        <f t="shared" si="0"/>
        <v>61902</v>
      </c>
      <c r="O130" s="77" t="str">
        <f>IF(N130&lt;&gt;N93,"*","")</f>
        <v>*</v>
      </c>
    </row>
    <row r="131" spans="1:16" ht="15.75" customHeight="1" x14ac:dyDescent="0.25">
      <c r="A131" s="73" t="s">
        <v>78</v>
      </c>
      <c r="B131" s="13">
        <f>+ENERO!$AG131</f>
        <v>1141</v>
      </c>
      <c r="C131" s="13">
        <f>+FEBRERO!$AG131</f>
        <v>969</v>
      </c>
      <c r="D131" s="13">
        <f>+MARZO!$AG131</f>
        <v>1503</v>
      </c>
      <c r="E131" s="13">
        <f>+ABRIL!$AG131</f>
        <v>1376</v>
      </c>
      <c r="F131" s="13">
        <f>+MAYO!$AG131</f>
        <v>1440</v>
      </c>
      <c r="G131" s="13">
        <f>+JUNIO!$AG131</f>
        <v>1235</v>
      </c>
      <c r="H131" s="13">
        <f>+Julio!$AG131</f>
        <v>1114</v>
      </c>
      <c r="I131" s="13">
        <f>+agosto!$AG131</f>
        <v>1261</v>
      </c>
      <c r="J131" s="13">
        <f>+septiembre!$AG131</f>
        <v>1233</v>
      </c>
      <c r="K131" s="13">
        <f>+OCTUBRE!$AG131</f>
        <v>1443</v>
      </c>
      <c r="L131" s="13">
        <f>+NOVIEMBRE!$AG131</f>
        <v>282</v>
      </c>
      <c r="M131" s="13">
        <f>+DICIEMBRE!$AG131</f>
        <v>291</v>
      </c>
      <c r="N131" s="15">
        <f t="shared" si="0"/>
        <v>13288</v>
      </c>
    </row>
    <row r="132" spans="1:16" ht="15.75" customHeight="1" x14ac:dyDescent="0.25">
      <c r="A132" s="73" t="s">
        <v>79</v>
      </c>
      <c r="B132" s="13">
        <f>+ENERO!$AG132</f>
        <v>221</v>
      </c>
      <c r="C132" s="13">
        <f>+FEBRERO!$AG132</f>
        <v>199</v>
      </c>
      <c r="D132" s="13">
        <f>+MARZO!$AG132</f>
        <v>316</v>
      </c>
      <c r="E132" s="13">
        <f>+ABRIL!$AG132</f>
        <v>271</v>
      </c>
      <c r="F132" s="13">
        <f>+MAYO!$AG132</f>
        <v>238</v>
      </c>
      <c r="G132" s="13">
        <f>+JUNIO!$AG132</f>
        <v>217</v>
      </c>
      <c r="H132" s="13">
        <f>+Julio!$AG132</f>
        <v>240</v>
      </c>
      <c r="I132" s="13">
        <f>+agosto!$AG132</f>
        <v>256</v>
      </c>
      <c r="J132" s="13">
        <f>+septiembre!$AG132</f>
        <v>237</v>
      </c>
      <c r="K132" s="13">
        <f>+OCTUBRE!$AG132</f>
        <v>280</v>
      </c>
      <c r="L132" s="13">
        <f>+NOVIEMBRE!$AG132</f>
        <v>243</v>
      </c>
      <c r="M132" s="13">
        <f>+DICIEMBRE!$AG132</f>
        <v>283</v>
      </c>
      <c r="N132" s="15">
        <f t="shared" si="0"/>
        <v>3001</v>
      </c>
    </row>
    <row r="133" spans="1:16" ht="15.75" customHeight="1" x14ac:dyDescent="0.25">
      <c r="A133" s="73" t="s">
        <v>80</v>
      </c>
      <c r="B133" s="13">
        <f>+ENERO!$AG133</f>
        <v>272</v>
      </c>
      <c r="C133" s="13">
        <f>+FEBRERO!$AG133</f>
        <v>248</v>
      </c>
      <c r="D133" s="13">
        <f>+MARZO!$AG133</f>
        <v>341</v>
      </c>
      <c r="E133" s="13">
        <f>+ABRIL!$AG133</f>
        <v>338</v>
      </c>
      <c r="F133" s="13">
        <f>+MAYO!$AG133</f>
        <v>352</v>
      </c>
      <c r="G133" s="13">
        <f>+JUNIO!$AG133</f>
        <v>248</v>
      </c>
      <c r="H133" s="13">
        <f>+Julio!$AG133</f>
        <v>221</v>
      </c>
      <c r="I133" s="13">
        <f>+agosto!$AG133</f>
        <v>298</v>
      </c>
      <c r="J133" s="13">
        <f>+septiembre!$AG133</f>
        <v>308</v>
      </c>
      <c r="K133" s="13">
        <f>+OCTUBRE!$AG133</f>
        <v>381</v>
      </c>
      <c r="L133" s="13">
        <f>+NOVIEMBRE!$AG133</f>
        <v>6178</v>
      </c>
      <c r="M133" s="13">
        <f>+DICIEMBRE!$AG133</f>
        <v>6254</v>
      </c>
      <c r="N133" s="15">
        <f t="shared" si="0"/>
        <v>15439</v>
      </c>
    </row>
    <row r="134" spans="1:16" ht="15.75" customHeight="1" x14ac:dyDescent="0.25">
      <c r="A134" s="73" t="s">
        <v>81</v>
      </c>
      <c r="B134" s="13">
        <f>+ENERO!$AG134</f>
        <v>327</v>
      </c>
      <c r="C134" s="13">
        <f>+FEBRERO!$AG134</f>
        <v>220</v>
      </c>
      <c r="D134" s="13">
        <f>+MARZO!$AG134</f>
        <v>409</v>
      </c>
      <c r="E134" s="13">
        <f>+ABRIL!$AG134</f>
        <v>352</v>
      </c>
      <c r="F134" s="13">
        <f>+MAYO!$AG134</f>
        <v>353</v>
      </c>
      <c r="G134" s="13">
        <f>+JUNIO!$AG134</f>
        <v>251</v>
      </c>
      <c r="H134" s="13">
        <f>+Julio!$AG134</f>
        <v>250</v>
      </c>
      <c r="I134" s="13">
        <f>+agosto!$AG134</f>
        <v>345</v>
      </c>
      <c r="J134" s="13">
        <f>+septiembre!$AG134</f>
        <v>322</v>
      </c>
      <c r="K134" s="13">
        <f>+OCTUBRE!$AG134</f>
        <v>345</v>
      </c>
      <c r="L134" s="13">
        <f>+NOVIEMBRE!$AG134</f>
        <v>1170</v>
      </c>
      <c r="M134" s="13">
        <f>+DICIEMBRE!$AG134</f>
        <v>590</v>
      </c>
      <c r="N134" s="15">
        <f t="shared" si="0"/>
        <v>4934</v>
      </c>
    </row>
    <row r="135" spans="1:16" ht="15.75" customHeight="1" x14ac:dyDescent="0.25">
      <c r="A135" s="73" t="s">
        <v>82</v>
      </c>
      <c r="B135" s="13">
        <f>+ENERO!$AG135</f>
        <v>296</v>
      </c>
      <c r="C135" s="13">
        <f>+FEBRERO!$AG135</f>
        <v>244</v>
      </c>
      <c r="D135" s="13">
        <f>+MARZO!$AG135</f>
        <v>423</v>
      </c>
      <c r="E135" s="13">
        <f>+ABRIL!$AG135</f>
        <v>383</v>
      </c>
      <c r="F135" s="13">
        <f>+MAYO!$AG135</f>
        <v>404</v>
      </c>
      <c r="G135" s="13">
        <f>+JUNIO!$AG135</f>
        <v>310</v>
      </c>
      <c r="H135" s="13">
        <f>+Julio!$AG135</f>
        <v>265</v>
      </c>
      <c r="I135" s="13">
        <f>+agosto!$AG135</f>
        <v>349</v>
      </c>
      <c r="J135" s="13">
        <f>+septiembre!$AG135</f>
        <v>389</v>
      </c>
      <c r="K135" s="13">
        <f>+OCTUBRE!$AG135</f>
        <v>423</v>
      </c>
      <c r="L135" s="13">
        <f>+NOVIEMBRE!$AG135</f>
        <v>24</v>
      </c>
      <c r="M135" s="13">
        <f>+DICIEMBRE!$AG135</f>
        <v>24</v>
      </c>
      <c r="N135" s="15">
        <f t="shared" si="0"/>
        <v>3534</v>
      </c>
    </row>
    <row r="136" spans="1:16" ht="15.75" customHeight="1" x14ac:dyDescent="0.25">
      <c r="A136" s="73" t="s">
        <v>83</v>
      </c>
      <c r="B136" s="13">
        <f>+ENERO!$AG136</f>
        <v>3023</v>
      </c>
      <c r="C136" s="13">
        <f>+FEBRERO!$AG136</f>
        <v>2548</v>
      </c>
      <c r="D136" s="13">
        <f>+MARZO!$AG136</f>
        <v>3063</v>
      </c>
      <c r="E136" s="13">
        <f>+ABRIL!$AG136</f>
        <v>2894</v>
      </c>
      <c r="F136" s="13">
        <f>+MAYO!$AG136</f>
        <v>2884</v>
      </c>
      <c r="G136" s="13">
        <f>+JUNIO!$AG136</f>
        <v>2185</v>
      </c>
      <c r="H136" s="13">
        <f>+Julio!$AG136</f>
        <v>2304</v>
      </c>
      <c r="I136" s="13">
        <f>+agosto!$AG136</f>
        <v>2653</v>
      </c>
      <c r="J136" s="13">
        <f>+septiembre!$AG136</f>
        <v>3054</v>
      </c>
      <c r="K136" s="13">
        <f>+OCTUBRE!$AG136</f>
        <v>3052</v>
      </c>
      <c r="L136" s="13">
        <f>+NOVIEMBRE!$AG136</f>
        <v>20</v>
      </c>
      <c r="M136" s="13">
        <f>+DICIEMBRE!$AG136</f>
        <v>20</v>
      </c>
      <c r="N136" s="15">
        <f t="shared" si="0"/>
        <v>27700</v>
      </c>
    </row>
    <row r="137" spans="1:16" ht="15.75" customHeight="1" x14ac:dyDescent="0.25">
      <c r="A137" s="73" t="s">
        <v>84</v>
      </c>
      <c r="B137" s="13">
        <f>+ENERO!$AG137</f>
        <v>108</v>
      </c>
      <c r="C137" s="13">
        <f>+FEBRERO!$AG137</f>
        <v>105</v>
      </c>
      <c r="D137" s="13">
        <f>+MARZO!$AG137</f>
        <v>153</v>
      </c>
      <c r="E137" s="13">
        <f>+ABRIL!$AG137</f>
        <v>162</v>
      </c>
      <c r="F137" s="13">
        <f>+MAYO!$AG137</f>
        <v>172</v>
      </c>
      <c r="G137" s="13">
        <f>+JUNIO!$AG137</f>
        <v>104</v>
      </c>
      <c r="H137" s="13">
        <f>+Julio!$AG137</f>
        <v>92</v>
      </c>
      <c r="I137" s="13">
        <f>+agosto!$AG137</f>
        <v>134</v>
      </c>
      <c r="J137" s="13">
        <f>+septiembre!$AG137</f>
        <v>128</v>
      </c>
      <c r="K137" s="13">
        <f>+OCTUBRE!$AG137</f>
        <v>153</v>
      </c>
      <c r="L137" s="13">
        <f>+NOVIEMBRE!$AG137</f>
        <v>4</v>
      </c>
      <c r="M137" s="13">
        <f>+DICIEMBRE!$AG137</f>
        <v>4</v>
      </c>
      <c r="N137" s="15">
        <f t="shared" si="0"/>
        <v>1319</v>
      </c>
    </row>
    <row r="138" spans="1:16" ht="15.75" customHeight="1" x14ac:dyDescent="0.25">
      <c r="A138" s="73" t="s">
        <v>85</v>
      </c>
      <c r="B138" s="13">
        <f>+ENERO!$AG138</f>
        <v>35</v>
      </c>
      <c r="C138" s="13">
        <f>+FEBRERO!$AG138</f>
        <v>55</v>
      </c>
      <c r="D138" s="13">
        <f>+MARZO!$AG138</f>
        <v>68</v>
      </c>
      <c r="E138" s="13">
        <f>+ABRIL!$AG138</f>
        <v>68</v>
      </c>
      <c r="F138" s="13">
        <f>+MAYO!$AG138</f>
        <v>73</v>
      </c>
      <c r="G138" s="13">
        <f>+JUNIO!$AG138</f>
        <v>54</v>
      </c>
      <c r="H138" s="13">
        <f>+Julio!$AG138</f>
        <v>50</v>
      </c>
      <c r="I138" s="13">
        <f>+agosto!$AG138</f>
        <v>53</v>
      </c>
      <c r="J138" s="13">
        <f>+septiembre!$AG138</f>
        <v>65</v>
      </c>
      <c r="K138" s="13">
        <f>+OCTUBRE!$AG138</f>
        <v>66</v>
      </c>
      <c r="L138" s="13">
        <f>+NOVIEMBRE!$AG138</f>
        <v>0</v>
      </c>
      <c r="M138" s="13">
        <f>+DICIEMBRE!$AG138</f>
        <v>0</v>
      </c>
      <c r="N138" s="15">
        <f t="shared" si="0"/>
        <v>587</v>
      </c>
    </row>
    <row r="139" spans="1:16" ht="15.75" customHeight="1" x14ac:dyDescent="0.25">
      <c r="A139" s="12" t="s">
        <v>86</v>
      </c>
      <c r="B139" s="13">
        <f>+ENERO!$AG139</f>
        <v>74</v>
      </c>
      <c r="C139" s="13">
        <f>+FEBRERO!$AG139</f>
        <v>77</v>
      </c>
      <c r="D139" s="13">
        <f>+MARZO!$AG139</f>
        <v>78</v>
      </c>
      <c r="E139" s="13">
        <f>+ABRIL!$AG139</f>
        <v>78</v>
      </c>
      <c r="F139" s="13">
        <f>+MAYO!$AG139</f>
        <v>93</v>
      </c>
      <c r="G139" s="13">
        <f>+JUNIO!$AG139</f>
        <v>73</v>
      </c>
      <c r="H139" s="13">
        <f>+Julio!$AG139</f>
        <v>62</v>
      </c>
      <c r="I139" s="13">
        <f>+agosto!$AG139</f>
        <v>80</v>
      </c>
      <c r="J139" s="13">
        <f>+septiembre!$AG139</f>
        <v>67</v>
      </c>
      <c r="K139" s="13">
        <f>+OCTUBRE!$AG139</f>
        <v>102</v>
      </c>
      <c r="L139" s="13">
        <f>+NOVIEMBRE!$AG139</f>
        <v>116</v>
      </c>
      <c r="M139" s="13">
        <f>+DICIEMBRE!$AG139</f>
        <v>110</v>
      </c>
      <c r="N139" s="15">
        <f t="shared" si="0"/>
        <v>1010</v>
      </c>
    </row>
    <row r="140" spans="1:16" ht="15.75" customHeight="1" x14ac:dyDescent="0.25">
      <c r="A140" s="12" t="s">
        <v>87</v>
      </c>
      <c r="B140" s="13">
        <f>+ENERO!$AG140</f>
        <v>58</v>
      </c>
      <c r="C140" s="13">
        <f>+FEBRERO!$AG140</f>
        <v>41</v>
      </c>
      <c r="D140" s="13">
        <f>+MARZO!$AG140</f>
        <v>62</v>
      </c>
      <c r="E140" s="13">
        <f>+ABRIL!$AG140</f>
        <v>42</v>
      </c>
      <c r="F140" s="13">
        <f>+MAYO!$AG140</f>
        <v>60</v>
      </c>
      <c r="G140" s="13">
        <f>+JUNIO!$AG140</f>
        <v>43</v>
      </c>
      <c r="H140" s="13">
        <f>+Julio!$AG140</f>
        <v>44</v>
      </c>
      <c r="I140" s="13">
        <f>+agosto!$AG140</f>
        <v>38</v>
      </c>
      <c r="J140" s="13">
        <f>+septiembre!$AG140</f>
        <v>47</v>
      </c>
      <c r="K140" s="13">
        <f>+OCTUBRE!$AG140</f>
        <v>66</v>
      </c>
      <c r="L140" s="13">
        <f>+NOVIEMBRE!$AG140</f>
        <v>13</v>
      </c>
      <c r="M140" s="13">
        <f>+DICIEMBRE!$AG140</f>
        <v>15</v>
      </c>
      <c r="N140" s="15">
        <f t="shared" si="0"/>
        <v>529</v>
      </c>
    </row>
    <row r="141" spans="1:16" ht="15.75" customHeight="1" x14ac:dyDescent="0.25">
      <c r="A141" s="12" t="s">
        <v>88</v>
      </c>
      <c r="B141" s="13">
        <f>+ENERO!$AG141</f>
        <v>7</v>
      </c>
      <c r="C141" s="13">
        <f>+FEBRERO!$AG141</f>
        <v>11</v>
      </c>
      <c r="D141" s="13">
        <f>+MARZO!$AG141</f>
        <v>21</v>
      </c>
      <c r="E141" s="13">
        <f>+ABRIL!$AG141</f>
        <v>13</v>
      </c>
      <c r="F141" s="13">
        <f>+MAYO!$AG141</f>
        <v>9</v>
      </c>
      <c r="G141" s="13">
        <f>+JUNIO!$AG141</f>
        <v>7</v>
      </c>
      <c r="H141" s="13">
        <f>+Julio!$AG141</f>
        <v>17</v>
      </c>
      <c r="I141" s="13">
        <f>+agosto!$AG141</f>
        <v>13</v>
      </c>
      <c r="J141" s="13">
        <f>+septiembre!$AG141</f>
        <v>18</v>
      </c>
      <c r="K141" s="13">
        <f>+OCTUBRE!$AG141</f>
        <v>24</v>
      </c>
      <c r="L141" s="13">
        <f>+NOVIEMBRE!$AG141</f>
        <v>103</v>
      </c>
      <c r="M141" s="13">
        <f>+DICIEMBRE!$AG141</f>
        <v>95</v>
      </c>
      <c r="N141" s="15">
        <f t="shared" si="0"/>
        <v>338</v>
      </c>
    </row>
    <row r="142" spans="1:16" ht="15.75" customHeight="1" x14ac:dyDescent="0.25">
      <c r="A142" s="73" t="s">
        <v>89</v>
      </c>
      <c r="B142" s="13">
        <f>+ENERO!$AG142</f>
        <v>211</v>
      </c>
      <c r="C142" s="13">
        <f>+FEBRERO!$AG142</f>
        <v>191</v>
      </c>
      <c r="D142" s="13">
        <f>+MARZO!$AG142</f>
        <v>249</v>
      </c>
      <c r="E142" s="13">
        <f>+ABRIL!$AG142</f>
        <v>238</v>
      </c>
      <c r="F142" s="13">
        <f>+MAYO!$AG142</f>
        <v>253</v>
      </c>
      <c r="G142" s="13">
        <f>+JUNIO!$AG142</f>
        <v>233</v>
      </c>
      <c r="H142" s="13">
        <f>+Julio!$AG142</f>
        <v>197</v>
      </c>
      <c r="I142" s="13">
        <f>+agosto!$AG142</f>
        <v>240</v>
      </c>
      <c r="J142" s="13">
        <f>+septiembre!$AG142</f>
        <v>227</v>
      </c>
      <c r="K142" s="13">
        <f>+OCTUBRE!$AG142</f>
        <v>270</v>
      </c>
      <c r="L142" s="13">
        <f>+NOVIEMBRE!$AG142</f>
        <v>0</v>
      </c>
      <c r="M142" s="13">
        <f>+DICIEMBRE!$AG142</f>
        <v>0</v>
      </c>
      <c r="N142" s="15">
        <f t="shared" si="0"/>
        <v>2309</v>
      </c>
    </row>
    <row r="143" spans="1:16" ht="15.75" customHeight="1" x14ac:dyDescent="0.25">
      <c r="A143" s="74" t="s">
        <v>90</v>
      </c>
      <c r="B143" s="75">
        <f>+ENERO!$AG143</f>
        <v>445</v>
      </c>
      <c r="C143" s="75">
        <f>+FEBRERO!$AG143</f>
        <v>339</v>
      </c>
      <c r="D143" s="75">
        <f>+MARZO!$AG143</f>
        <v>404</v>
      </c>
      <c r="E143" s="75">
        <f>+ABRIL!$AG143</f>
        <v>389</v>
      </c>
      <c r="F143" s="75">
        <f>+MAYO!$AG143</f>
        <v>435</v>
      </c>
      <c r="G143" s="75">
        <f>+JUNIO!$AG143</f>
        <v>350</v>
      </c>
      <c r="H143" s="75">
        <f>+Julio!$AG143</f>
        <v>282</v>
      </c>
      <c r="I143" s="75">
        <f>+agosto!$AG143</f>
        <v>360</v>
      </c>
      <c r="J143" s="75">
        <f>+septiembre!$AG143</f>
        <v>339</v>
      </c>
      <c r="K143" s="75">
        <f>+OCTUBRE!$AG143</f>
        <v>376</v>
      </c>
      <c r="L143" s="75">
        <f>+NOVIEMBRE!$AG143</f>
        <v>0</v>
      </c>
      <c r="M143" s="75">
        <f>+DICIEMBRE!$AG143</f>
        <v>0</v>
      </c>
      <c r="N143" s="26">
        <f t="shared" si="0"/>
        <v>3719</v>
      </c>
    </row>
    <row r="144" spans="1:16" ht="15.75" customHeight="1" x14ac:dyDescent="0.25">
      <c r="A144" s="41" t="s">
        <v>92</v>
      </c>
      <c r="B144" s="42">
        <f>+ENERO!$AG144</f>
        <v>6218</v>
      </c>
      <c r="C144" s="42">
        <f>+FEBRERO!$AG144</f>
        <v>5247</v>
      </c>
      <c r="D144" s="42">
        <f>+MARZO!$AG144</f>
        <v>7090</v>
      </c>
      <c r="E144" s="42">
        <f>+ABRIL!$AG144</f>
        <v>6604</v>
      </c>
      <c r="F144" s="42">
        <f>+MAYO!$AG144</f>
        <v>6766</v>
      </c>
      <c r="G144" s="42">
        <f>+JUNIO!$AG144</f>
        <v>5310</v>
      </c>
      <c r="H144" s="42">
        <f>+Julio!$AG144</f>
        <v>5138</v>
      </c>
      <c r="I144" s="42">
        <f>+agosto!$AG144</f>
        <v>6080</v>
      </c>
      <c r="J144" s="42">
        <f>+septiembre!$AG144</f>
        <v>6435</v>
      </c>
      <c r="K144" s="42">
        <f>+OCTUBRE!$AG144</f>
        <v>6981</v>
      </c>
      <c r="L144" s="42">
        <f>+NOVIEMBRE!$AG144</f>
        <v>1964</v>
      </c>
      <c r="M144" s="42">
        <f>+DICIEMBRE!$AG144</f>
        <v>1608</v>
      </c>
      <c r="N144" s="27">
        <f t="shared" si="0"/>
        <v>65441</v>
      </c>
      <c r="O144" s="78" t="str">
        <f>IF(N144&lt;&gt;N93,"*","")</f>
        <v>*</v>
      </c>
      <c r="P144" s="79" t="s">
        <v>93</v>
      </c>
    </row>
    <row r="145" spans="1:16" ht="15.75" customHeight="1" x14ac:dyDescent="0.25">
      <c r="A145" s="80" t="s">
        <v>44</v>
      </c>
      <c r="B145" s="81">
        <f>+ENERO!$AG145</f>
        <v>576</v>
      </c>
      <c r="C145" s="81">
        <f>+FEBRERO!$AG145</f>
        <v>396</v>
      </c>
      <c r="D145" s="81">
        <f>+MARZO!$AG145</f>
        <v>997</v>
      </c>
      <c r="E145" s="81">
        <f>+ABRIL!$AG145</f>
        <v>910</v>
      </c>
      <c r="F145" s="81">
        <f>+MAYO!$AG145</f>
        <v>1351</v>
      </c>
      <c r="G145" s="81">
        <f>+JUNIO!$AG145</f>
        <v>544</v>
      </c>
      <c r="H145" s="81">
        <f>+Julio!$AG145</f>
        <v>461</v>
      </c>
      <c r="I145" s="81">
        <f>+agosto!$AG145</f>
        <v>703</v>
      </c>
      <c r="J145" s="81">
        <f>+septiembre!$AG145</f>
        <v>766</v>
      </c>
      <c r="K145" s="81">
        <f>+OCTUBRE!$AG145</f>
        <v>1496</v>
      </c>
      <c r="L145" s="81">
        <f>+NOVIEMBRE!$AG145</f>
        <v>109</v>
      </c>
      <c r="M145" s="81">
        <f>+DICIEMBRE!$AG145</f>
        <v>127</v>
      </c>
      <c r="N145" s="83">
        <f t="shared" si="0"/>
        <v>8436</v>
      </c>
      <c r="O145" s="77"/>
    </row>
    <row r="146" spans="1:16" ht="15.75" customHeight="1" x14ac:dyDescent="0.25">
      <c r="A146" s="84" t="s">
        <v>94</v>
      </c>
      <c r="B146" s="85">
        <f>+ENERO!$AG146</f>
        <v>0</v>
      </c>
      <c r="C146" s="85">
        <f>+FEBRERO!$AG146</f>
        <v>0</v>
      </c>
      <c r="D146" s="85">
        <f>+MARZO!$AG146</f>
        <v>0</v>
      </c>
      <c r="E146" s="85">
        <f>+ABRIL!$AG146</f>
        <v>0</v>
      </c>
      <c r="F146" s="85">
        <f>+MAYO!$AG146</f>
        <v>0</v>
      </c>
      <c r="G146" s="85">
        <f>+JUNIO!$AG146</f>
        <v>0</v>
      </c>
      <c r="H146" s="85">
        <f>+Julio!$AG146</f>
        <v>0</v>
      </c>
      <c r="I146" s="85">
        <f>+agosto!$AG146</f>
        <v>0</v>
      </c>
      <c r="J146" s="85">
        <f>+septiembre!$AG146</f>
        <v>0</v>
      </c>
      <c r="K146" s="85">
        <f>+OCTUBRE!$AG146</f>
        <v>31</v>
      </c>
      <c r="L146" s="85">
        <f>+NOVIEMBRE!$AG146</f>
        <v>0</v>
      </c>
      <c r="M146" s="85">
        <f>+DICIEMBRE!$AG146</f>
        <v>1</v>
      </c>
      <c r="N146" s="87">
        <f t="shared" ref="N146" si="1">+N148+N154</f>
        <v>68</v>
      </c>
    </row>
    <row r="147" spans="1:16" ht="15.75" customHeight="1" x14ac:dyDescent="0.25">
      <c r="A147" s="88" t="s">
        <v>95</v>
      </c>
      <c r="B147" s="89">
        <f>+ENERO!$AG147</f>
        <v>0</v>
      </c>
      <c r="C147" s="89">
        <f>+FEBRERO!$AG147</f>
        <v>0</v>
      </c>
      <c r="D147" s="89">
        <f>+MARZO!$AG147</f>
        <v>0</v>
      </c>
      <c r="E147" s="89">
        <f>+ABRIL!$AG147</f>
        <v>0</v>
      </c>
      <c r="F147" s="89">
        <f>+MAYO!$AG147</f>
        <v>0</v>
      </c>
      <c r="G147" s="89">
        <f>+JUNIO!$AG147</f>
        <v>0</v>
      </c>
      <c r="H147" s="89">
        <f>+Julio!$AG147</f>
        <v>0</v>
      </c>
      <c r="I147" s="89">
        <f>+agosto!$AG147</f>
        <v>0</v>
      </c>
      <c r="J147" s="89">
        <f>+septiembre!$AG147</f>
        <v>0</v>
      </c>
      <c r="K147" s="89">
        <f>+OCTUBRE!$AG147</f>
        <v>28</v>
      </c>
      <c r="L147" s="89">
        <f>+NOVIEMBRE!$AG147</f>
        <v>6</v>
      </c>
      <c r="M147" s="89">
        <f>+DICIEMBRE!$AG147</f>
        <v>3</v>
      </c>
      <c r="N147" s="91">
        <f t="shared" ref="N147:N226" si="2">SUM(B147:M147)</f>
        <v>37</v>
      </c>
    </row>
    <row r="148" spans="1:16" ht="15.75" customHeight="1" x14ac:dyDescent="0.25">
      <c r="A148" s="92" t="s">
        <v>96</v>
      </c>
      <c r="B148" s="93">
        <f>+ENERO!$AG148</f>
        <v>0</v>
      </c>
      <c r="C148" s="93">
        <f>+FEBRERO!$AG148</f>
        <v>0</v>
      </c>
      <c r="D148" s="93">
        <f>+MARZO!$AG148</f>
        <v>0</v>
      </c>
      <c r="E148" s="93">
        <f>+ABRIL!$AG148</f>
        <v>0</v>
      </c>
      <c r="F148" s="93">
        <f>+MAYO!$AG148</f>
        <v>0</v>
      </c>
      <c r="G148" s="93">
        <f>+JUNIO!$AG148</f>
        <v>0</v>
      </c>
      <c r="H148" s="93">
        <f>+Julio!$AG148</f>
        <v>0</v>
      </c>
      <c r="I148" s="93">
        <f>+agosto!$AG148</f>
        <v>0</v>
      </c>
      <c r="J148" s="93">
        <f>+septiembre!$AG148</f>
        <v>0</v>
      </c>
      <c r="K148" s="93">
        <f>+OCTUBRE!$AG148</f>
        <v>2</v>
      </c>
      <c r="L148" s="93">
        <f>+NOVIEMBRE!$AG148</f>
        <v>0</v>
      </c>
      <c r="M148" s="93">
        <f>+DICIEMBRE!$AG148</f>
        <v>1</v>
      </c>
      <c r="N148" s="95">
        <f t="shared" si="2"/>
        <v>3</v>
      </c>
    </row>
    <row r="149" spans="1:16" ht="15.75" customHeight="1" x14ac:dyDescent="0.25">
      <c r="A149" s="88" t="s">
        <v>97</v>
      </c>
      <c r="B149" s="89">
        <f>+ENERO!$AG149</f>
        <v>0</v>
      </c>
      <c r="C149" s="89">
        <f>+FEBRERO!$AG149</f>
        <v>0</v>
      </c>
      <c r="D149" s="89">
        <f>+MARZO!$AG149</f>
        <v>0</v>
      </c>
      <c r="E149" s="89">
        <f>+ABRIL!$AG149</f>
        <v>0</v>
      </c>
      <c r="F149" s="89">
        <f>+MAYO!$AG149</f>
        <v>0</v>
      </c>
      <c r="G149" s="89">
        <f>+JUNIO!$AG149</f>
        <v>0</v>
      </c>
      <c r="H149" s="89">
        <f>+Julio!$AG149</f>
        <v>0</v>
      </c>
      <c r="I149" s="89">
        <f>+agosto!$AG149</f>
        <v>0</v>
      </c>
      <c r="J149" s="89">
        <f>+septiembre!$AG149</f>
        <v>0</v>
      </c>
      <c r="K149" s="89">
        <f>+OCTUBRE!$AG149</f>
        <v>1</v>
      </c>
      <c r="L149" s="89">
        <f>+NOVIEMBRE!$AG149</f>
        <v>1729</v>
      </c>
      <c r="M149" s="89">
        <f>+DICIEMBRE!$AG149</f>
        <v>1379</v>
      </c>
      <c r="N149" s="91">
        <f t="shared" si="2"/>
        <v>3109</v>
      </c>
    </row>
    <row r="150" spans="1:16" ht="15.75" customHeight="1" x14ac:dyDescent="0.25">
      <c r="A150" s="96" t="s">
        <v>98</v>
      </c>
      <c r="B150" s="97">
        <f>+ENERO!$AG150</f>
        <v>0</v>
      </c>
      <c r="C150" s="97">
        <f>+FEBRERO!$AG150</f>
        <v>0</v>
      </c>
      <c r="D150" s="97">
        <f>+MARZO!$AG150</f>
        <v>0</v>
      </c>
      <c r="E150" s="97">
        <f>+ABRIL!$AG150</f>
        <v>0</v>
      </c>
      <c r="F150" s="97">
        <f>+MAYO!$AG150</f>
        <v>0</v>
      </c>
      <c r="G150" s="97">
        <f>+JUNIO!$AG150</f>
        <v>0</v>
      </c>
      <c r="H150" s="97">
        <f>+Julio!$AG150</f>
        <v>0</v>
      </c>
      <c r="I150" s="97">
        <f>+agosto!$AG150</f>
        <v>0</v>
      </c>
      <c r="J150" s="97">
        <f>+septiembre!$AG150</f>
        <v>0</v>
      </c>
      <c r="K150" s="97">
        <f>+OCTUBRE!$AG150</f>
        <v>100</v>
      </c>
      <c r="L150" s="97">
        <f>+NOVIEMBRE!$AG150</f>
        <v>0</v>
      </c>
      <c r="M150" s="97">
        <f>+DICIEMBRE!$AG150</f>
        <v>0</v>
      </c>
      <c r="N150" s="11">
        <f t="shared" si="2"/>
        <v>100</v>
      </c>
      <c r="P150" s="99"/>
    </row>
    <row r="151" spans="1:16" ht="15.75" customHeight="1" x14ac:dyDescent="0.25">
      <c r="A151" s="100" t="s">
        <v>99</v>
      </c>
      <c r="B151" s="101">
        <f>+ENERO!$AG151</f>
        <v>0</v>
      </c>
      <c r="C151" s="101">
        <f>+FEBRERO!$AG151</f>
        <v>0</v>
      </c>
      <c r="D151" s="101">
        <f>+MARZO!$AG151</f>
        <v>0</v>
      </c>
      <c r="E151" s="101">
        <f>+ABRIL!$AG151</f>
        <v>0</v>
      </c>
      <c r="F151" s="101">
        <f>+MAYO!$AG151</f>
        <v>0</v>
      </c>
      <c r="G151" s="101">
        <f>+JUNIO!$AG151</f>
        <v>0</v>
      </c>
      <c r="H151" s="101">
        <f>+Julio!$AG151</f>
        <v>0</v>
      </c>
      <c r="I151" s="101">
        <f>+agosto!$AG151</f>
        <v>0</v>
      </c>
      <c r="J151" s="101">
        <f>+septiembre!$AG151</f>
        <v>0</v>
      </c>
      <c r="K151" s="101">
        <f>+OCTUBRE!$AG151</f>
        <v>17</v>
      </c>
      <c r="L151" s="101">
        <f>+NOVIEMBRE!$AG151</f>
        <v>0</v>
      </c>
      <c r="M151" s="101">
        <f>+DICIEMBRE!$AG151</f>
        <v>0</v>
      </c>
      <c r="N151" s="15">
        <f t="shared" si="2"/>
        <v>17</v>
      </c>
      <c r="P151" s="99"/>
    </row>
    <row r="152" spans="1:16" ht="15.75" customHeight="1" x14ac:dyDescent="0.25">
      <c r="A152" s="100" t="s">
        <v>100</v>
      </c>
      <c r="B152" s="101">
        <f>+ENERO!$AG152</f>
        <v>0</v>
      </c>
      <c r="C152" s="101">
        <f>+FEBRERO!$AG152</f>
        <v>0</v>
      </c>
      <c r="D152" s="101">
        <f>+MARZO!$AG152</f>
        <v>0</v>
      </c>
      <c r="E152" s="101">
        <f>+ABRIL!$AG152</f>
        <v>0</v>
      </c>
      <c r="F152" s="101">
        <f>+MAYO!$AG152</f>
        <v>0</v>
      </c>
      <c r="G152" s="101">
        <f>+JUNIO!$AG152</f>
        <v>0</v>
      </c>
      <c r="H152" s="101">
        <f>+Julio!$AG152</f>
        <v>0</v>
      </c>
      <c r="I152" s="101">
        <f>+agosto!$AG152</f>
        <v>0</v>
      </c>
      <c r="J152" s="101">
        <f>+septiembre!$AG152</f>
        <v>0</v>
      </c>
      <c r="K152" s="101">
        <f>+OCTUBRE!$AG152</f>
        <v>83</v>
      </c>
      <c r="L152" s="101">
        <f>+NOVIEMBRE!$AG152</f>
        <v>0</v>
      </c>
      <c r="M152" s="101">
        <f>+DICIEMBRE!$AG152</f>
        <v>0</v>
      </c>
      <c r="N152" s="15">
        <f t="shared" si="2"/>
        <v>83</v>
      </c>
    </row>
    <row r="153" spans="1:16" ht="15.75" customHeight="1" x14ac:dyDescent="0.25">
      <c r="A153" s="103" t="s">
        <v>101</v>
      </c>
      <c r="B153" s="104">
        <f>+ENERO!$AG153</f>
        <v>0</v>
      </c>
      <c r="C153" s="104">
        <f>+FEBRERO!$AG153</f>
        <v>0</v>
      </c>
      <c r="D153" s="104">
        <f>+MARZO!$AG153</f>
        <v>0</v>
      </c>
      <c r="E153" s="104">
        <f>+ABRIL!$AG153</f>
        <v>0</v>
      </c>
      <c r="F153" s="104">
        <f>+MAYO!$AG153</f>
        <v>0</v>
      </c>
      <c r="G153" s="104">
        <f>+JUNIO!$AG153</f>
        <v>0</v>
      </c>
      <c r="H153" s="104">
        <f>+Julio!$AG153</f>
        <v>0</v>
      </c>
      <c r="I153" s="104">
        <f>+agosto!$AG153</f>
        <v>0</v>
      </c>
      <c r="J153" s="104">
        <f>+septiembre!$AG153</f>
        <v>0</v>
      </c>
      <c r="K153" s="104">
        <f>+OCTUBRE!$AG153</f>
        <v>0</v>
      </c>
      <c r="L153" s="104">
        <f>+NOVIEMBRE!$AG153</f>
        <v>0</v>
      </c>
      <c r="M153" s="104">
        <f>+DICIEMBRE!$AG153</f>
        <v>4</v>
      </c>
      <c r="N153" s="106">
        <f t="shared" si="2"/>
        <v>4</v>
      </c>
    </row>
    <row r="154" spans="1:16" ht="15.75" customHeight="1" x14ac:dyDescent="0.25">
      <c r="A154" s="92" t="s">
        <v>102</v>
      </c>
      <c r="B154" s="93">
        <f>+ENERO!$AG154</f>
        <v>0</v>
      </c>
      <c r="C154" s="93">
        <f>+FEBRERO!$AG154</f>
        <v>0</v>
      </c>
      <c r="D154" s="93">
        <f>+MARZO!$AG154</f>
        <v>0</v>
      </c>
      <c r="E154" s="93">
        <f>+ABRIL!$AG154</f>
        <v>0</v>
      </c>
      <c r="F154" s="93">
        <f>+MAYO!$AG154</f>
        <v>0</v>
      </c>
      <c r="G154" s="93">
        <f>+JUNIO!$AG154</f>
        <v>0</v>
      </c>
      <c r="H154" s="93">
        <f>+Julio!$AG154</f>
        <v>0</v>
      </c>
      <c r="I154" s="93">
        <f>+agosto!$AG154</f>
        <v>0</v>
      </c>
      <c r="J154" s="93">
        <f>+septiembre!$AG154</f>
        <v>0</v>
      </c>
      <c r="K154" s="93">
        <f>+OCTUBRE!$AG154</f>
        <v>0</v>
      </c>
      <c r="L154" s="93">
        <f>+NOVIEMBRE!$AG154</f>
        <v>54</v>
      </c>
      <c r="M154" s="93">
        <f>+DICIEMBRE!$AG154</f>
        <v>11</v>
      </c>
      <c r="N154" s="95">
        <f t="shared" si="2"/>
        <v>65</v>
      </c>
    </row>
    <row r="155" spans="1:16" ht="15.75" customHeight="1" x14ac:dyDescent="0.25">
      <c r="A155" s="88" t="s">
        <v>103</v>
      </c>
      <c r="B155" s="89">
        <f>+ENERO!$AG155</f>
        <v>0</v>
      </c>
      <c r="C155" s="89">
        <f>+FEBRERO!$AG155</f>
        <v>0</v>
      </c>
      <c r="D155" s="89">
        <f>+MARZO!$AG155</f>
        <v>0</v>
      </c>
      <c r="E155" s="89">
        <f>+ABRIL!$AG155</f>
        <v>0</v>
      </c>
      <c r="F155" s="89">
        <f>+MAYO!$AG155</f>
        <v>0</v>
      </c>
      <c r="G155" s="89">
        <f>+JUNIO!$AG155</f>
        <v>0</v>
      </c>
      <c r="H155" s="89">
        <f>+Julio!$AG155</f>
        <v>0</v>
      </c>
      <c r="I155" s="89">
        <f>+agosto!$AG155</f>
        <v>0</v>
      </c>
      <c r="J155" s="89">
        <f>+septiembre!$AG155</f>
        <v>0</v>
      </c>
      <c r="K155" s="89">
        <f>+OCTUBRE!$AG155</f>
        <v>2714</v>
      </c>
      <c r="L155" s="89">
        <f>+NOVIEMBRE!$AG155</f>
        <v>0</v>
      </c>
      <c r="M155" s="89">
        <f>+DICIEMBRE!$AG155</f>
        <v>0</v>
      </c>
      <c r="N155" s="91">
        <f t="shared" si="2"/>
        <v>2714</v>
      </c>
    </row>
    <row r="156" spans="1:16" ht="15.75" customHeight="1" x14ac:dyDescent="0.25">
      <c r="A156" s="107" t="s">
        <v>104</v>
      </c>
      <c r="B156" s="108">
        <f>+ENERO!$AG156</f>
        <v>6218</v>
      </c>
      <c r="C156" s="108">
        <f>+FEBRERO!$AG156</f>
        <v>5247</v>
      </c>
      <c r="D156" s="108">
        <f>+MARZO!$AG156</f>
        <v>7090</v>
      </c>
      <c r="E156" s="108">
        <f>+ABRIL!$AG156</f>
        <v>6604</v>
      </c>
      <c r="F156" s="108">
        <f>+MAYO!$AG156</f>
        <v>6789</v>
      </c>
      <c r="G156" s="108">
        <f>+JUNIO!$AG156</f>
        <v>5310</v>
      </c>
      <c r="H156" s="108">
        <f>+Julio!$AG156</f>
        <v>5138</v>
      </c>
      <c r="I156" s="108">
        <f>+agosto!$AG156</f>
        <v>6080</v>
      </c>
      <c r="J156" s="108">
        <f>+septiembre!$AG156</f>
        <v>6459</v>
      </c>
      <c r="K156" s="108">
        <f>+OCTUBRE!$AG156</f>
        <v>143</v>
      </c>
      <c r="L156" s="108">
        <f>+NOVIEMBRE!$AG156</f>
        <v>0</v>
      </c>
      <c r="M156" s="108">
        <f>+DICIEMBRE!$AG156</f>
        <v>0</v>
      </c>
      <c r="N156" s="110">
        <f t="shared" si="2"/>
        <v>55078</v>
      </c>
      <c r="O156" s="111" t="s">
        <v>105</v>
      </c>
    </row>
    <row r="157" spans="1:16" ht="15.75" customHeight="1" x14ac:dyDescent="0.25">
      <c r="A157" s="74" t="s">
        <v>46</v>
      </c>
      <c r="B157" s="75">
        <f>+ENERO!$AG157</f>
        <v>576</v>
      </c>
      <c r="C157" s="75">
        <f>+FEBRERO!$AG157</f>
        <v>396</v>
      </c>
      <c r="D157" s="75">
        <f>+MARZO!$AG157</f>
        <v>997</v>
      </c>
      <c r="E157" s="75">
        <f>+ABRIL!$AG157</f>
        <v>910</v>
      </c>
      <c r="F157" s="75">
        <f>+MAYO!$AG157</f>
        <v>1351</v>
      </c>
      <c r="G157" s="75">
        <f>+JUNIO!$AG157</f>
        <v>544</v>
      </c>
      <c r="H157" s="75">
        <f>+Julio!$AG157</f>
        <v>461</v>
      </c>
      <c r="I157" s="75">
        <f>+agosto!$AG157</f>
        <v>703</v>
      </c>
      <c r="J157" s="75">
        <f>+septiembre!$AG157</f>
        <v>766</v>
      </c>
      <c r="K157" s="75">
        <f>+OCTUBRE!$AG157</f>
        <v>0</v>
      </c>
      <c r="L157" s="75">
        <f>+NOVIEMBRE!$AG157</f>
        <v>0</v>
      </c>
      <c r="M157" s="75">
        <f>+DICIEMBRE!$AG157</f>
        <v>0</v>
      </c>
      <c r="N157" s="112">
        <f t="shared" si="2"/>
        <v>6704</v>
      </c>
      <c r="O157" s="111"/>
    </row>
    <row r="158" spans="1:16" ht="15.75" customHeight="1" x14ac:dyDescent="0.25">
      <c r="A158" s="113" t="s">
        <v>106</v>
      </c>
      <c r="B158" s="114">
        <f>+ENERO!$AG158</f>
        <v>0</v>
      </c>
      <c r="C158" s="114">
        <f>+FEBRERO!$AG158</f>
        <v>0</v>
      </c>
      <c r="D158" s="114">
        <f>+MARZO!$AG158</f>
        <v>0</v>
      </c>
      <c r="E158" s="114">
        <f>+ABRIL!$AG158</f>
        <v>0</v>
      </c>
      <c r="F158" s="114">
        <f>+MAYO!$AG158</f>
        <v>0</v>
      </c>
      <c r="G158" s="114">
        <f>+JUNIO!$AG158</f>
        <v>0</v>
      </c>
      <c r="H158" s="114">
        <f>+Julio!$AG158</f>
        <v>0</v>
      </c>
      <c r="I158" s="114">
        <f>+agosto!$AG158</f>
        <v>0</v>
      </c>
      <c r="J158" s="114">
        <f>+septiembre!$AG158</f>
        <v>0</v>
      </c>
      <c r="K158" s="114">
        <f>+OCTUBRE!$AG158</f>
        <v>10</v>
      </c>
      <c r="L158" s="114">
        <f>+NOVIEMBRE!$AG158</f>
        <v>42</v>
      </c>
      <c r="M158" s="114">
        <f>+DICIEMBRE!$AG158</f>
        <v>44</v>
      </c>
      <c r="N158" s="116">
        <f t="shared" si="2"/>
        <v>96</v>
      </c>
    </row>
    <row r="159" spans="1:16" ht="15.75" customHeight="1" x14ac:dyDescent="0.25">
      <c r="A159" s="96" t="s">
        <v>79</v>
      </c>
      <c r="B159" s="97">
        <f>+ENERO!$AG159</f>
        <v>0</v>
      </c>
      <c r="C159" s="97">
        <f>+FEBRERO!$AG159</f>
        <v>0</v>
      </c>
      <c r="D159" s="97">
        <f>+MARZO!$AG159</f>
        <v>0</v>
      </c>
      <c r="E159" s="97">
        <f>+ABRIL!$AG159</f>
        <v>0</v>
      </c>
      <c r="F159" s="97">
        <f>+MAYO!$AG159</f>
        <v>0</v>
      </c>
      <c r="G159" s="97">
        <f>+JUNIO!$AG159</f>
        <v>0</v>
      </c>
      <c r="H159" s="97">
        <f>+Julio!$AG159</f>
        <v>0</v>
      </c>
      <c r="I159" s="97">
        <f>+agosto!$AG159</f>
        <v>0</v>
      </c>
      <c r="J159" s="97">
        <f>+septiembre!$AG159</f>
        <v>0</v>
      </c>
      <c r="K159" s="97">
        <f>+OCTUBRE!$AG159</f>
        <v>0</v>
      </c>
      <c r="L159" s="97">
        <f>+NOVIEMBRE!$AG159</f>
        <v>0</v>
      </c>
      <c r="M159" s="97">
        <f>+DICIEMBRE!$AG159</f>
        <v>0</v>
      </c>
      <c r="N159" s="11">
        <f t="shared" si="2"/>
        <v>0</v>
      </c>
    </row>
    <row r="160" spans="1:16" ht="15.75" customHeight="1" x14ac:dyDescent="0.25">
      <c r="A160" s="100" t="s">
        <v>80</v>
      </c>
      <c r="B160" s="101">
        <f>+ENERO!$AG160</f>
        <v>0</v>
      </c>
      <c r="C160" s="101">
        <f>+FEBRERO!$AG160</f>
        <v>0</v>
      </c>
      <c r="D160" s="101">
        <f>+MARZO!$AG160</f>
        <v>0</v>
      </c>
      <c r="E160" s="101">
        <f>+ABRIL!$AG160</f>
        <v>0</v>
      </c>
      <c r="F160" s="101">
        <f>+MAYO!$AG160</f>
        <v>0</v>
      </c>
      <c r="G160" s="101">
        <f>+JUNIO!$AG160</f>
        <v>0</v>
      </c>
      <c r="H160" s="101">
        <f>+Julio!$AG160</f>
        <v>0</v>
      </c>
      <c r="I160" s="101">
        <f>+agosto!$AG160</f>
        <v>0</v>
      </c>
      <c r="J160" s="101">
        <f>+septiembre!$AG160</f>
        <v>0</v>
      </c>
      <c r="K160" s="101">
        <f>+OCTUBRE!$AG160</f>
        <v>2416</v>
      </c>
      <c r="L160" s="101">
        <f>+NOVIEMBRE!$AG160</f>
        <v>0</v>
      </c>
      <c r="M160" s="101">
        <f>+DICIEMBRE!$AG160</f>
        <v>0</v>
      </c>
      <c r="N160" s="15">
        <f t="shared" si="2"/>
        <v>2416</v>
      </c>
    </row>
    <row r="161" spans="1:15" ht="15.75" customHeight="1" x14ac:dyDescent="0.25">
      <c r="A161" s="100" t="s">
        <v>78</v>
      </c>
      <c r="B161" s="101">
        <f>+ENERO!$AG161</f>
        <v>0</v>
      </c>
      <c r="C161" s="101">
        <f>+FEBRERO!$AG161</f>
        <v>0</v>
      </c>
      <c r="D161" s="101">
        <f>+MARZO!$AG161</f>
        <v>0</v>
      </c>
      <c r="E161" s="101">
        <f>+ABRIL!$AG161</f>
        <v>0</v>
      </c>
      <c r="F161" s="101">
        <f>+MAYO!$AG161</f>
        <v>0</v>
      </c>
      <c r="G161" s="101">
        <f>+JUNIO!$AG161</f>
        <v>0</v>
      </c>
      <c r="H161" s="101">
        <f>+Julio!$AG161</f>
        <v>0</v>
      </c>
      <c r="I161" s="101">
        <f>+agosto!$AG161</f>
        <v>0</v>
      </c>
      <c r="J161" s="101">
        <f>+septiembre!$AG161</f>
        <v>0</v>
      </c>
      <c r="K161" s="101">
        <f>+OCTUBRE!$AG161</f>
        <v>0</v>
      </c>
      <c r="L161" s="101">
        <f>+NOVIEMBRE!$AG161</f>
        <v>0</v>
      </c>
      <c r="M161" s="101">
        <f>+DICIEMBRE!$AG161</f>
        <v>0</v>
      </c>
      <c r="N161" s="15">
        <f t="shared" si="2"/>
        <v>0</v>
      </c>
    </row>
    <row r="162" spans="1:15" ht="15.75" customHeight="1" x14ac:dyDescent="0.25">
      <c r="A162" s="100" t="s">
        <v>81</v>
      </c>
      <c r="B162" s="101">
        <f>+ENERO!$AG162</f>
        <v>0</v>
      </c>
      <c r="C162" s="101">
        <f>+FEBRERO!$AG162</f>
        <v>0</v>
      </c>
      <c r="D162" s="101">
        <f>+MARZO!$AG162</f>
        <v>0</v>
      </c>
      <c r="E162" s="101">
        <f>+ABRIL!$AG162</f>
        <v>0</v>
      </c>
      <c r="F162" s="101">
        <f>+MAYO!$AG162</f>
        <v>0</v>
      </c>
      <c r="G162" s="101">
        <f>+JUNIO!$AG162</f>
        <v>0</v>
      </c>
      <c r="H162" s="101">
        <f>+Julio!$AG162</f>
        <v>0</v>
      </c>
      <c r="I162" s="101">
        <f>+agosto!$AG162</f>
        <v>0</v>
      </c>
      <c r="J162" s="101">
        <f>+septiembre!$AG162</f>
        <v>0</v>
      </c>
      <c r="K162" s="101">
        <f>+OCTUBRE!$AG162</f>
        <v>0</v>
      </c>
      <c r="L162" s="101">
        <f>+NOVIEMBRE!$AG162</f>
        <v>0</v>
      </c>
      <c r="M162" s="101">
        <f>+DICIEMBRE!$AG162</f>
        <v>2</v>
      </c>
      <c r="N162" s="15">
        <f t="shared" si="2"/>
        <v>2</v>
      </c>
    </row>
    <row r="163" spans="1:15" ht="15.75" customHeight="1" x14ac:dyDescent="0.25">
      <c r="A163" s="100" t="s">
        <v>82</v>
      </c>
      <c r="B163" s="101">
        <f>+ENERO!$AG163</f>
        <v>0</v>
      </c>
      <c r="C163" s="101">
        <f>+FEBRERO!$AG163</f>
        <v>0</v>
      </c>
      <c r="D163" s="101">
        <f>+MARZO!$AG163</f>
        <v>0</v>
      </c>
      <c r="E163" s="101">
        <f>+ABRIL!$AG163</f>
        <v>0</v>
      </c>
      <c r="F163" s="101">
        <f>+MAYO!$AG163</f>
        <v>0</v>
      </c>
      <c r="G163" s="101">
        <f>+JUNIO!$AG163</f>
        <v>0</v>
      </c>
      <c r="H163" s="101">
        <f>+Julio!$AG163</f>
        <v>0</v>
      </c>
      <c r="I163" s="101">
        <f>+agosto!$AG163</f>
        <v>0</v>
      </c>
      <c r="J163" s="101">
        <f>+septiembre!$AG163</f>
        <v>0</v>
      </c>
      <c r="K163" s="101">
        <f>+OCTUBRE!$AG163</f>
        <v>0</v>
      </c>
      <c r="L163" s="101">
        <f>+NOVIEMBRE!$AG163</f>
        <v>0</v>
      </c>
      <c r="M163" s="101">
        <f>+DICIEMBRE!$AG163</f>
        <v>0</v>
      </c>
      <c r="N163" s="15">
        <f t="shared" si="2"/>
        <v>0</v>
      </c>
    </row>
    <row r="164" spans="1:15" ht="15.75" customHeight="1" x14ac:dyDescent="0.25">
      <c r="A164" s="100" t="s">
        <v>83</v>
      </c>
      <c r="B164" s="101">
        <f>+ENERO!$AG164</f>
        <v>0</v>
      </c>
      <c r="C164" s="101">
        <f>+FEBRERO!$AG164</f>
        <v>0</v>
      </c>
      <c r="D164" s="101">
        <f>+MARZO!$AG164</f>
        <v>0</v>
      </c>
      <c r="E164" s="101">
        <f>+ABRIL!$AG164</f>
        <v>0</v>
      </c>
      <c r="F164" s="101">
        <f>+MAYO!$AG164</f>
        <v>0</v>
      </c>
      <c r="G164" s="101">
        <f>+JUNIO!$AG164</f>
        <v>0</v>
      </c>
      <c r="H164" s="101">
        <f>+Julio!$AG164</f>
        <v>0</v>
      </c>
      <c r="I164" s="101">
        <f>+agosto!$AG164</f>
        <v>0</v>
      </c>
      <c r="J164" s="101">
        <f>+septiembre!$AG164</f>
        <v>0</v>
      </c>
      <c r="K164" s="101">
        <f>+OCTUBRE!$AG164</f>
        <v>13</v>
      </c>
      <c r="L164" s="101">
        <f>+NOVIEMBRE!$AG164</f>
        <v>0</v>
      </c>
      <c r="M164" s="101">
        <f>+DICIEMBRE!$AG164</f>
        <v>0</v>
      </c>
      <c r="N164" s="15">
        <f t="shared" si="2"/>
        <v>13</v>
      </c>
    </row>
    <row r="165" spans="1:15" ht="15.75" customHeight="1" x14ac:dyDescent="0.25">
      <c r="A165" s="100" t="s">
        <v>84</v>
      </c>
      <c r="B165" s="101">
        <f>+ENERO!$AG165</f>
        <v>0</v>
      </c>
      <c r="C165" s="101">
        <f>+FEBRERO!$AG165</f>
        <v>0</v>
      </c>
      <c r="D165" s="101">
        <f>+MARZO!$AG165</f>
        <v>0</v>
      </c>
      <c r="E165" s="101">
        <f>+ABRIL!$AG165</f>
        <v>0</v>
      </c>
      <c r="F165" s="101">
        <f>+MAYO!$AG165</f>
        <v>0</v>
      </c>
      <c r="G165" s="101">
        <f>+JUNIO!$AG165</f>
        <v>0</v>
      </c>
      <c r="H165" s="101">
        <f>+Julio!$AG165</f>
        <v>0</v>
      </c>
      <c r="I165" s="101">
        <f>+agosto!$AG165</f>
        <v>0</v>
      </c>
      <c r="J165" s="101">
        <f>+septiembre!$AG165</f>
        <v>0</v>
      </c>
      <c r="K165" s="101">
        <f>+OCTUBRE!$AG165</f>
        <v>54</v>
      </c>
      <c r="L165" s="101">
        <f>+NOVIEMBRE!$AG165</f>
        <v>0</v>
      </c>
      <c r="M165" s="101">
        <f>+DICIEMBRE!$AG165</f>
        <v>1</v>
      </c>
      <c r="N165" s="15">
        <f t="shared" si="2"/>
        <v>55</v>
      </c>
    </row>
    <row r="166" spans="1:15" ht="15.75" customHeight="1" x14ac:dyDescent="0.25">
      <c r="A166" s="103" t="s">
        <v>85</v>
      </c>
      <c r="B166" s="104">
        <f>+ENERO!$AG166</f>
        <v>0</v>
      </c>
      <c r="C166" s="104">
        <f>+FEBRERO!$AG166</f>
        <v>0</v>
      </c>
      <c r="D166" s="104">
        <f>+MARZO!$AG166</f>
        <v>0</v>
      </c>
      <c r="E166" s="104">
        <f>+ABRIL!$AG166</f>
        <v>0</v>
      </c>
      <c r="F166" s="104">
        <f>+MAYO!$AG166</f>
        <v>0</v>
      </c>
      <c r="G166" s="104">
        <f>+JUNIO!$AG166</f>
        <v>0</v>
      </c>
      <c r="H166" s="104">
        <f>+Julio!$AG166</f>
        <v>0</v>
      </c>
      <c r="I166" s="104">
        <f>+agosto!$AG166</f>
        <v>0</v>
      </c>
      <c r="J166" s="104">
        <f>+septiembre!$AG166</f>
        <v>0</v>
      </c>
      <c r="K166" s="104">
        <f>+OCTUBRE!$AG166</f>
        <v>0</v>
      </c>
      <c r="L166" s="104">
        <f>+NOVIEMBRE!$AG166</f>
        <v>0</v>
      </c>
      <c r="M166" s="104">
        <f>+DICIEMBRE!$AG166</f>
        <v>0</v>
      </c>
      <c r="N166" s="106">
        <f t="shared" si="2"/>
        <v>0</v>
      </c>
    </row>
    <row r="167" spans="1:15" ht="15.75" customHeight="1" x14ac:dyDescent="0.25">
      <c r="A167" s="107" t="s">
        <v>107</v>
      </c>
      <c r="B167" s="108">
        <f>+ENERO!$AG167</f>
        <v>0</v>
      </c>
      <c r="C167" s="108">
        <f>+FEBRERO!$AG167</f>
        <v>0</v>
      </c>
      <c r="D167" s="108">
        <f>+MARZO!$AG167</f>
        <v>0</v>
      </c>
      <c r="E167" s="108">
        <f>+ABRIL!$AG167</f>
        <v>0</v>
      </c>
      <c r="F167" s="108">
        <f>+MAYO!$AG167</f>
        <v>0</v>
      </c>
      <c r="G167" s="108">
        <f>+JUNIO!$AG167</f>
        <v>0</v>
      </c>
      <c r="H167" s="108">
        <f>+Julio!$AG167</f>
        <v>0</v>
      </c>
      <c r="I167" s="108">
        <f>+agosto!$AG167</f>
        <v>0</v>
      </c>
      <c r="J167" s="108">
        <f>+septiembre!$AG167</f>
        <v>0</v>
      </c>
      <c r="K167" s="108">
        <f>+OCTUBRE!$AG167</f>
        <v>0</v>
      </c>
      <c r="L167" s="108">
        <f>+NOVIEMBRE!$AG167</f>
        <v>4</v>
      </c>
      <c r="M167" s="108">
        <f>+DICIEMBRE!$AG167</f>
        <v>9</v>
      </c>
      <c r="N167" s="110">
        <f t="shared" si="2"/>
        <v>13</v>
      </c>
    </row>
    <row r="168" spans="1:15" ht="15.75" customHeight="1" x14ac:dyDescent="0.25">
      <c r="A168" s="117" t="s">
        <v>86</v>
      </c>
      <c r="B168" s="101">
        <f>+ENERO!$AG168</f>
        <v>0</v>
      </c>
      <c r="C168" s="101">
        <f>+FEBRERO!$AG168</f>
        <v>0</v>
      </c>
      <c r="D168" s="101">
        <f>+MARZO!$AG168</f>
        <v>0</v>
      </c>
      <c r="E168" s="101">
        <f>+ABRIL!$AG168</f>
        <v>0</v>
      </c>
      <c r="F168" s="101">
        <f>+MAYO!$AG168</f>
        <v>0</v>
      </c>
      <c r="G168" s="101">
        <f>+JUNIO!$AG168</f>
        <v>0</v>
      </c>
      <c r="H168" s="101">
        <f>+Julio!$AG168</f>
        <v>0</v>
      </c>
      <c r="I168" s="101">
        <f>+agosto!$AG168</f>
        <v>0</v>
      </c>
      <c r="J168" s="101">
        <f>+septiembre!$AG168</f>
        <v>0</v>
      </c>
      <c r="K168" s="101">
        <f>+OCTUBRE!$AG168</f>
        <v>0</v>
      </c>
      <c r="L168" s="101">
        <f>+NOVIEMBRE!$AG168</f>
        <v>13</v>
      </c>
      <c r="M168" s="101">
        <f>+DICIEMBRE!$AG168</f>
        <v>14</v>
      </c>
      <c r="N168" s="15">
        <f t="shared" si="2"/>
        <v>27</v>
      </c>
    </row>
    <row r="169" spans="1:15" ht="15.75" customHeight="1" x14ac:dyDescent="0.25">
      <c r="A169" s="117" t="s">
        <v>87</v>
      </c>
      <c r="B169" s="101">
        <f>+ENERO!$AG169</f>
        <v>0</v>
      </c>
      <c r="C169" s="101">
        <f>+FEBRERO!$AG169</f>
        <v>0</v>
      </c>
      <c r="D169" s="101">
        <f>+MARZO!$AG169</f>
        <v>0</v>
      </c>
      <c r="E169" s="101">
        <f>+ABRIL!$AG169</f>
        <v>0</v>
      </c>
      <c r="F169" s="101">
        <f>+MAYO!$AG169</f>
        <v>0</v>
      </c>
      <c r="G169" s="101">
        <f>+JUNIO!$AG169</f>
        <v>0</v>
      </c>
      <c r="H169" s="101">
        <f>+Julio!$AG169</f>
        <v>0</v>
      </c>
      <c r="I169" s="101">
        <f>+agosto!$AG169</f>
        <v>0</v>
      </c>
      <c r="J169" s="101">
        <f>+septiembre!$AG169</f>
        <v>0</v>
      </c>
      <c r="K169" s="101">
        <f>+OCTUBRE!$AG169</f>
        <v>51</v>
      </c>
      <c r="L169" s="101">
        <f>+NOVIEMBRE!$AG169</f>
        <v>7</v>
      </c>
      <c r="M169" s="101">
        <f>+DICIEMBRE!$AG169</f>
        <v>12</v>
      </c>
      <c r="N169" s="15">
        <f t="shared" si="2"/>
        <v>70</v>
      </c>
    </row>
    <row r="170" spans="1:15" ht="15.75" customHeight="1" x14ac:dyDescent="0.25">
      <c r="A170" s="117" t="s">
        <v>88</v>
      </c>
      <c r="B170" s="101">
        <f>+ENERO!$AG170</f>
        <v>0</v>
      </c>
      <c r="C170" s="101">
        <f>+FEBRERO!$AG170</f>
        <v>0</v>
      </c>
      <c r="D170" s="101">
        <f>+MARZO!$AG170</f>
        <v>0</v>
      </c>
      <c r="E170" s="101">
        <f>+ABRIL!$AG170</f>
        <v>0</v>
      </c>
      <c r="F170" s="101">
        <f>+MAYO!$AG170</f>
        <v>0</v>
      </c>
      <c r="G170" s="101">
        <f>+JUNIO!$AG170</f>
        <v>0</v>
      </c>
      <c r="H170" s="101">
        <f>+Julio!$AG170</f>
        <v>0</v>
      </c>
      <c r="I170" s="101">
        <f>+agosto!$AG170</f>
        <v>0</v>
      </c>
      <c r="J170" s="101">
        <f>+septiembre!$AG170</f>
        <v>0</v>
      </c>
      <c r="K170" s="101">
        <f>+OCTUBRE!$AG170</f>
        <v>0</v>
      </c>
      <c r="L170" s="101">
        <f>+NOVIEMBRE!$AG170</f>
        <v>0</v>
      </c>
      <c r="M170" s="101">
        <f>+DICIEMBRE!$AG170</f>
        <v>0</v>
      </c>
      <c r="N170" s="15">
        <f t="shared" si="2"/>
        <v>0</v>
      </c>
    </row>
    <row r="171" spans="1:15" ht="15.75" customHeight="1" x14ac:dyDescent="0.25">
      <c r="A171" s="118" t="s">
        <v>108</v>
      </c>
      <c r="B171" s="104">
        <f>+ENERO!$AG171</f>
        <v>0</v>
      </c>
      <c r="C171" s="104">
        <f>+FEBRERO!$AG171</f>
        <v>0</v>
      </c>
      <c r="D171" s="104">
        <f>+MARZO!$AG171</f>
        <v>0</v>
      </c>
      <c r="E171" s="104">
        <f>+ABRIL!$AG171</f>
        <v>0</v>
      </c>
      <c r="F171" s="104">
        <f>+MAYO!$AG171</f>
        <v>0</v>
      </c>
      <c r="G171" s="104">
        <f>+JUNIO!$AG171</f>
        <v>0</v>
      </c>
      <c r="H171" s="104">
        <f>+Julio!$AG171</f>
        <v>0</v>
      </c>
      <c r="I171" s="104">
        <f>+agosto!$AG171</f>
        <v>0</v>
      </c>
      <c r="J171" s="104">
        <f>+septiembre!$AG171</f>
        <v>0</v>
      </c>
      <c r="K171" s="104">
        <f>+OCTUBRE!$AG171</f>
        <v>0</v>
      </c>
      <c r="L171" s="104">
        <f>+NOVIEMBRE!$AG171</f>
        <v>6178</v>
      </c>
      <c r="M171" s="104">
        <f>+DICIEMBRE!$AG171</f>
        <v>6254</v>
      </c>
      <c r="N171" s="106">
        <f t="shared" si="2"/>
        <v>12432</v>
      </c>
    </row>
    <row r="172" spans="1:15" ht="15.75" customHeight="1" x14ac:dyDescent="0.25">
      <c r="A172" s="119" t="s">
        <v>109</v>
      </c>
      <c r="B172" s="120">
        <f>+ENERO!$AG172</f>
        <v>0</v>
      </c>
      <c r="C172" s="120">
        <f>+FEBRERO!$AG172</f>
        <v>0</v>
      </c>
      <c r="D172" s="120">
        <f>+MARZO!$AG172</f>
        <v>0</v>
      </c>
      <c r="E172" s="120">
        <f>+ABRIL!$AG172</f>
        <v>0</v>
      </c>
      <c r="F172" s="120">
        <f>+MAYO!$AG172</f>
        <v>0</v>
      </c>
      <c r="G172" s="120">
        <f>+JUNIO!$AG172</f>
        <v>0</v>
      </c>
      <c r="H172" s="120">
        <f>+Julio!$AG172</f>
        <v>0</v>
      </c>
      <c r="I172" s="120">
        <f>+agosto!$AG172</f>
        <v>0</v>
      </c>
      <c r="J172" s="120">
        <f>+septiembre!$AG172</f>
        <v>0</v>
      </c>
      <c r="K172" s="120">
        <f>+OCTUBRE!$AG172</f>
        <v>0</v>
      </c>
      <c r="L172" s="120">
        <f>+NOVIEMBRE!$AG172</f>
        <v>2</v>
      </c>
      <c r="M172" s="120">
        <f>+DICIEMBRE!$AG172</f>
        <v>1</v>
      </c>
      <c r="N172" s="122">
        <f t="shared" si="2"/>
        <v>3</v>
      </c>
    </row>
    <row r="173" spans="1:15" ht="15.75" customHeight="1" x14ac:dyDescent="0.25">
      <c r="A173" s="4" t="s">
        <v>110</v>
      </c>
      <c r="B173" s="5">
        <f>+ENERO!$AG173</f>
        <v>28</v>
      </c>
      <c r="C173" s="5">
        <f>+FEBRERO!$AG173</f>
        <v>26</v>
      </c>
      <c r="D173" s="5">
        <f>+MARZO!$AG173</f>
        <v>20</v>
      </c>
      <c r="E173" s="5">
        <f>+ABRIL!$AG173</f>
        <v>28</v>
      </c>
      <c r="F173" s="5">
        <f>+MAYO!$AG173</f>
        <v>44</v>
      </c>
      <c r="G173" s="5">
        <f>+JUNIO!$AG173</f>
        <v>32</v>
      </c>
      <c r="H173" s="5">
        <f>+Julio!$AG173</f>
        <v>42</v>
      </c>
      <c r="I173" s="5">
        <f>+agosto!$AG173</f>
        <v>90</v>
      </c>
      <c r="J173" s="5">
        <f>+septiembre!$AG173</f>
        <v>27</v>
      </c>
      <c r="K173" s="5">
        <f>+OCTUBRE!$AG173</f>
        <v>0</v>
      </c>
      <c r="L173" s="5">
        <f>+NOVIEMBRE!$AG173</f>
        <v>90</v>
      </c>
      <c r="M173" s="5">
        <f>+DICIEMBRE!$AG173</f>
        <v>83</v>
      </c>
      <c r="N173" s="7">
        <f t="shared" si="2"/>
        <v>510</v>
      </c>
      <c r="O173" s="111" t="s">
        <v>111</v>
      </c>
    </row>
    <row r="174" spans="1:15" ht="15.75" customHeight="1" x14ac:dyDescent="0.25">
      <c r="A174" s="123" t="s">
        <v>112</v>
      </c>
      <c r="B174" s="124">
        <f>+ENERO!$AG174</f>
        <v>25</v>
      </c>
      <c r="C174" s="124">
        <f>+FEBRERO!$AG174</f>
        <v>23</v>
      </c>
      <c r="D174" s="124">
        <f>+MARZO!$AG174</f>
        <v>13</v>
      </c>
      <c r="E174" s="124">
        <f>+ABRIL!$AG174</f>
        <v>22</v>
      </c>
      <c r="F174" s="124">
        <f>+MAYO!$AG174</f>
        <v>43</v>
      </c>
      <c r="G174" s="124">
        <f>+JUNIO!$AG174</f>
        <v>27</v>
      </c>
      <c r="H174" s="124">
        <f>+Julio!$AG174</f>
        <v>36</v>
      </c>
      <c r="I174" s="124">
        <f>+agosto!$AG174</f>
        <v>82</v>
      </c>
      <c r="J174" s="124">
        <f>+septiembre!$AG174</f>
        <v>23</v>
      </c>
      <c r="K174" s="124">
        <f>+OCTUBRE!$AG174</f>
        <v>1</v>
      </c>
      <c r="L174" s="124">
        <f>+NOVIEMBRE!$AG174</f>
        <v>1094</v>
      </c>
      <c r="M174" s="124">
        <f>+DICIEMBRE!$AG174</f>
        <v>934</v>
      </c>
      <c r="N174" s="126">
        <f t="shared" si="2"/>
        <v>2323</v>
      </c>
      <c r="O174" s="111"/>
    </row>
    <row r="175" spans="1:15" ht="15.75" customHeight="1" x14ac:dyDescent="0.25">
      <c r="A175" s="127" t="s">
        <v>113</v>
      </c>
      <c r="B175" s="128">
        <f>+ENERO!$AG175</f>
        <v>3</v>
      </c>
      <c r="C175" s="128">
        <f>+FEBRERO!$AG175</f>
        <v>2</v>
      </c>
      <c r="D175" s="128">
        <f>+MARZO!$AG175</f>
        <v>7</v>
      </c>
      <c r="E175" s="128">
        <f>+ABRIL!$AG175</f>
        <v>6</v>
      </c>
      <c r="F175" s="128">
        <f>+MAYO!$AG175</f>
        <v>1</v>
      </c>
      <c r="G175" s="128">
        <f>+JUNIO!$AG175</f>
        <v>5</v>
      </c>
      <c r="H175" s="128">
        <f>+Julio!$AG175</f>
        <v>6</v>
      </c>
      <c r="I175" s="128">
        <f>+agosto!$AG175</f>
        <v>8</v>
      </c>
      <c r="J175" s="128">
        <f>+septiembre!$AG175</f>
        <v>4</v>
      </c>
      <c r="K175" s="128">
        <f>+OCTUBRE!$AG175</f>
        <v>0</v>
      </c>
      <c r="L175" s="128">
        <f>+NOVIEMBRE!$AG175</f>
        <v>3738</v>
      </c>
      <c r="M175" s="128">
        <f>+DICIEMBRE!$AG175</f>
        <v>3876</v>
      </c>
      <c r="N175" s="130">
        <f t="shared" si="2"/>
        <v>7656</v>
      </c>
      <c r="O175" s="111"/>
    </row>
    <row r="176" spans="1:15" ht="15.75" customHeight="1" x14ac:dyDescent="0.25">
      <c r="A176" s="131" t="s">
        <v>114</v>
      </c>
      <c r="B176" s="132">
        <f>+ENERO!$AG176</f>
        <v>0</v>
      </c>
      <c r="C176" s="132">
        <f>+FEBRERO!$AG176</f>
        <v>1</v>
      </c>
      <c r="D176" s="132">
        <f>+MARZO!$AG176</f>
        <v>0</v>
      </c>
      <c r="E176" s="132">
        <f>+ABRIL!$AG176</f>
        <v>0</v>
      </c>
      <c r="F176" s="132">
        <f>+MAYO!$AG176</f>
        <v>0</v>
      </c>
      <c r="G176" s="132">
        <f>+JUNIO!$AG176</f>
        <v>0</v>
      </c>
      <c r="H176" s="132">
        <f>+Julio!$AG176</f>
        <v>0</v>
      </c>
      <c r="I176" s="132">
        <f>+agosto!$AG176</f>
        <v>0</v>
      </c>
      <c r="J176" s="132">
        <f>+septiembre!$AG176</f>
        <v>0</v>
      </c>
      <c r="K176" s="132">
        <f>+OCTUBRE!$AG176</f>
        <v>0</v>
      </c>
      <c r="L176" s="132">
        <f>+NOVIEMBRE!$AG176</f>
        <v>1254</v>
      </c>
      <c r="M176" s="132">
        <f>+DICIEMBRE!$AG176</f>
        <v>1360</v>
      </c>
      <c r="N176" s="134">
        <f t="shared" si="2"/>
        <v>2615</v>
      </c>
      <c r="O176" s="111"/>
    </row>
    <row r="177" spans="1:26" ht="15.75" customHeight="1" x14ac:dyDescent="0.25">
      <c r="A177" s="53" t="s">
        <v>115</v>
      </c>
      <c r="B177" s="135">
        <f>+ENERO!$AG177</f>
        <v>125</v>
      </c>
      <c r="C177" s="135">
        <f>+FEBRERO!$AG177</f>
        <v>98</v>
      </c>
      <c r="D177" s="135">
        <f>+MARZO!$AG177</f>
        <v>101</v>
      </c>
      <c r="E177" s="135">
        <f>+ABRIL!$AG177</f>
        <v>131</v>
      </c>
      <c r="F177" s="135">
        <f>+MAYO!$AG177</f>
        <v>103</v>
      </c>
      <c r="G177" s="135">
        <f>+JUNIO!$AG177</f>
        <v>120</v>
      </c>
      <c r="H177" s="135">
        <f>+Julio!$AG177</f>
        <v>115</v>
      </c>
      <c r="I177" s="135">
        <f>+agosto!$AG177</f>
        <v>104</v>
      </c>
      <c r="J177" s="135">
        <f>+septiembre!$AG177</f>
        <v>91</v>
      </c>
      <c r="K177" s="135">
        <f>+OCTUBRE!$AG177</f>
        <v>0</v>
      </c>
      <c r="L177" s="135">
        <f>+NOVIEMBRE!$AG177</f>
        <v>0</v>
      </c>
      <c r="M177" s="135">
        <f>+DICIEMBRE!$AG177</f>
        <v>0</v>
      </c>
      <c r="N177" s="137">
        <f t="shared" si="2"/>
        <v>988</v>
      </c>
      <c r="O177" s="111" t="s">
        <v>116</v>
      </c>
    </row>
    <row r="178" spans="1:26" ht="15.75" customHeight="1" x14ac:dyDescent="0.25">
      <c r="A178" s="138" t="s">
        <v>117</v>
      </c>
      <c r="B178" s="139">
        <f>+ENERO!$AG178</f>
        <v>15</v>
      </c>
      <c r="C178" s="139">
        <f>+FEBRERO!$AG178</f>
        <v>10</v>
      </c>
      <c r="D178" s="139">
        <f>+MARZO!$AG178</f>
        <v>12</v>
      </c>
      <c r="E178" s="139">
        <f>+ABRIL!$AG178</f>
        <v>21</v>
      </c>
      <c r="F178" s="139">
        <f>+MAYO!$AG178</f>
        <v>15</v>
      </c>
      <c r="G178" s="139">
        <f>+JUNIO!$AG178</f>
        <v>18</v>
      </c>
      <c r="H178" s="139">
        <f>+Julio!$AG178</f>
        <v>11</v>
      </c>
      <c r="I178" s="139">
        <f>+agosto!$AG178</f>
        <v>15</v>
      </c>
      <c r="J178" s="139">
        <f>+septiembre!$AG178</f>
        <v>14</v>
      </c>
      <c r="K178" s="139">
        <f>+OCTUBRE!$AG178</f>
        <v>3</v>
      </c>
      <c r="L178" s="139">
        <f>+NOVIEMBRE!$AG178</f>
        <v>0</v>
      </c>
      <c r="M178" s="139">
        <f>+DICIEMBRE!$AG178</f>
        <v>0</v>
      </c>
      <c r="N178" s="141">
        <f t="shared" si="2"/>
        <v>134</v>
      </c>
      <c r="O178" s="111" t="s">
        <v>116</v>
      </c>
    </row>
    <row r="179" spans="1:26" ht="15.75" customHeight="1" x14ac:dyDescent="0.25">
      <c r="A179" s="58" t="s">
        <v>118</v>
      </c>
      <c r="B179" s="142">
        <f>+ENERO!$AG179</f>
        <v>110</v>
      </c>
      <c r="C179" s="142">
        <f>+FEBRERO!$AG179</f>
        <v>88</v>
      </c>
      <c r="D179" s="142">
        <f>+MARZO!$AG179</f>
        <v>89</v>
      </c>
      <c r="E179" s="142">
        <f>+ABRIL!$AG179</f>
        <v>110</v>
      </c>
      <c r="F179" s="142">
        <f>+MAYO!$AG179</f>
        <v>88</v>
      </c>
      <c r="G179" s="142">
        <f>+JUNIO!$AG179</f>
        <v>102</v>
      </c>
      <c r="H179" s="142">
        <f>+Julio!$AG179</f>
        <v>104</v>
      </c>
      <c r="I179" s="142">
        <f>+agosto!$AG179</f>
        <v>89</v>
      </c>
      <c r="J179" s="142">
        <f>+septiembre!$AG179</f>
        <v>77</v>
      </c>
      <c r="K179" s="142">
        <f>+OCTUBRE!$AG179</f>
        <v>20</v>
      </c>
      <c r="L179" s="142">
        <f>+NOVIEMBRE!$AG179</f>
        <v>0</v>
      </c>
      <c r="M179" s="142">
        <f>+DICIEMBRE!$AG179</f>
        <v>0</v>
      </c>
      <c r="N179" s="144">
        <f t="shared" si="2"/>
        <v>877</v>
      </c>
      <c r="O179" s="111" t="s">
        <v>116</v>
      </c>
    </row>
    <row r="180" spans="1:26" ht="15.75" customHeight="1" x14ac:dyDescent="0.25">
      <c r="A180" s="145" t="s">
        <v>119</v>
      </c>
      <c r="B180" s="146">
        <f>+ENERO!$AG180</f>
        <v>0</v>
      </c>
      <c r="C180" s="146">
        <f>+FEBRERO!$AG180</f>
        <v>0</v>
      </c>
      <c r="D180" s="146">
        <f>+MARZO!$AG180</f>
        <v>0</v>
      </c>
      <c r="E180" s="146">
        <f>+ABRIL!$AG180</f>
        <v>0</v>
      </c>
      <c r="F180" s="146">
        <f>+MAYO!$AG180</f>
        <v>0</v>
      </c>
      <c r="G180" s="146">
        <f>+JUNIO!$AG180</f>
        <v>0</v>
      </c>
      <c r="H180" s="146">
        <f>+Julio!$AG180</f>
        <v>0</v>
      </c>
      <c r="I180" s="146">
        <f>+agosto!$AG180</f>
        <v>0</v>
      </c>
      <c r="J180" s="146">
        <f>+septiembre!$AG180</f>
        <v>0</v>
      </c>
      <c r="K180" s="146">
        <f>+OCTUBRE!$AG180</f>
        <v>3</v>
      </c>
      <c r="L180" s="146">
        <f>+NOVIEMBRE!$AG180</f>
        <v>0</v>
      </c>
      <c r="M180" s="146">
        <f>+DICIEMBRE!$AG180</f>
        <v>0</v>
      </c>
      <c r="N180" s="148">
        <f t="shared" si="2"/>
        <v>3</v>
      </c>
    </row>
    <row r="181" spans="1:26" ht="15.75" customHeight="1" x14ac:dyDescent="0.25">
      <c r="A181" s="149" t="s">
        <v>120</v>
      </c>
      <c r="B181" s="150">
        <f>+ENERO!$AG181</f>
        <v>0</v>
      </c>
      <c r="C181" s="150">
        <f>+FEBRERO!$AG181</f>
        <v>0</v>
      </c>
      <c r="D181" s="150">
        <f>+MARZO!$AG181</f>
        <v>0</v>
      </c>
      <c r="E181" s="150">
        <f>+ABRIL!$AG181</f>
        <v>0</v>
      </c>
      <c r="F181" s="150">
        <f>+MAYO!$AG181</f>
        <v>0</v>
      </c>
      <c r="G181" s="150">
        <f>+JUNIO!$AG181</f>
        <v>0</v>
      </c>
      <c r="H181" s="150">
        <f>+Julio!$AG181</f>
        <v>0</v>
      </c>
      <c r="I181" s="150">
        <f>+agosto!$AG181</f>
        <v>0</v>
      </c>
      <c r="J181" s="150">
        <f>+septiembre!$AG181</f>
        <v>0</v>
      </c>
      <c r="K181" s="150">
        <f>+OCTUBRE!$AG181</f>
        <v>0</v>
      </c>
      <c r="L181" s="150">
        <f>+NOVIEMBRE!$AG181</f>
        <v>0</v>
      </c>
      <c r="M181" s="150">
        <f>+DICIEMBRE!$AG181</f>
        <v>0</v>
      </c>
      <c r="N181" s="152">
        <f t="shared" si="2"/>
        <v>0</v>
      </c>
    </row>
    <row r="182" spans="1:26" ht="15.75" customHeight="1" x14ac:dyDescent="0.25">
      <c r="A182" s="153" t="s">
        <v>121</v>
      </c>
      <c r="B182" s="154">
        <f>+ENERO!$AG182</f>
        <v>2131</v>
      </c>
      <c r="C182" s="154">
        <f>+FEBRERO!$AG182</f>
        <v>919</v>
      </c>
      <c r="D182" s="154">
        <f>+MARZO!$AG182</f>
        <v>2848</v>
      </c>
      <c r="E182" s="154">
        <f>+ABRIL!$AG182</f>
        <v>2555</v>
      </c>
      <c r="F182" s="154">
        <f>+MAYO!$AG182</f>
        <v>3330</v>
      </c>
      <c r="G182" s="154">
        <f>+JUNIO!$AG182</f>
        <v>2002</v>
      </c>
      <c r="H182" s="154">
        <f>+Julio!$AG182</f>
        <v>1354</v>
      </c>
      <c r="I182" s="154">
        <f>+agosto!$AG182</f>
        <v>1970</v>
      </c>
      <c r="J182" s="154">
        <f>+septiembre!$AG182</f>
        <v>2399</v>
      </c>
      <c r="K182" s="154">
        <f>+OCTUBRE!$AG182</f>
        <v>6981</v>
      </c>
      <c r="L182" s="154">
        <f>+NOVIEMBRE!$AG182</f>
        <v>0</v>
      </c>
      <c r="M182" s="154">
        <f>+DICIEMBRE!$AG182</f>
        <v>0</v>
      </c>
      <c r="N182" s="91">
        <f t="shared" si="2"/>
        <v>26489</v>
      </c>
      <c r="O182" s="78"/>
    </row>
    <row r="183" spans="1:26" ht="15.75" customHeight="1" x14ac:dyDescent="0.25">
      <c r="A183" s="156" t="s">
        <v>122</v>
      </c>
      <c r="B183" s="157">
        <f>+ENERO!$AG183</f>
        <v>159</v>
      </c>
      <c r="C183" s="157">
        <f>+FEBRERO!$AG183</f>
        <v>122</v>
      </c>
      <c r="D183" s="157">
        <f>+MARZO!$AG183</f>
        <v>193</v>
      </c>
      <c r="E183" s="157">
        <f>+ABRIL!$AG183</f>
        <v>147</v>
      </c>
      <c r="F183" s="157">
        <f>+MAYO!$AG183</f>
        <v>136</v>
      </c>
      <c r="G183" s="157">
        <f>+JUNIO!$AG183</f>
        <v>136</v>
      </c>
      <c r="H183" s="157">
        <f>+Julio!$AG183</f>
        <v>164</v>
      </c>
      <c r="I183" s="157">
        <f>+agosto!$AG183</f>
        <v>157</v>
      </c>
      <c r="J183" s="157">
        <f>+septiembre!$AG183</f>
        <v>171</v>
      </c>
      <c r="K183" s="157">
        <f>+OCTUBRE!$AG183</f>
        <v>4</v>
      </c>
      <c r="L183" s="157">
        <f>+NOVIEMBRE!$AG183</f>
        <v>0</v>
      </c>
      <c r="M183" s="157">
        <f>+DICIEMBRE!$AG183</f>
        <v>0</v>
      </c>
      <c r="N183" s="159">
        <f t="shared" si="2"/>
        <v>1389</v>
      </c>
    </row>
    <row r="184" spans="1:26" ht="15.75" customHeight="1" x14ac:dyDescent="0.25">
      <c r="A184" s="160" t="s">
        <v>123</v>
      </c>
      <c r="B184" s="65">
        <f>+ENERO!$AG184</f>
        <v>1</v>
      </c>
      <c r="C184" s="65">
        <f>+FEBRERO!$AG184</f>
        <v>2</v>
      </c>
      <c r="D184" s="65">
        <f>+MARZO!$AG184</f>
        <v>0</v>
      </c>
      <c r="E184" s="65">
        <f>+ABRIL!$AG184</f>
        <v>0</v>
      </c>
      <c r="F184" s="65">
        <f>+MAYO!$AG184</f>
        <v>0</v>
      </c>
      <c r="G184" s="65">
        <f>+JUNIO!$AG184</f>
        <v>0</v>
      </c>
      <c r="H184" s="65">
        <f>+Julio!$AG184</f>
        <v>1</v>
      </c>
      <c r="I184" s="65">
        <f>+agosto!$AG184</f>
        <v>0</v>
      </c>
      <c r="J184" s="65">
        <f>+septiembre!$AG184</f>
        <v>0</v>
      </c>
      <c r="K184" s="65">
        <f>+OCTUBRE!$AG184</f>
        <v>108</v>
      </c>
      <c r="L184" s="65">
        <f>+NOVIEMBRE!$AG184</f>
        <v>0</v>
      </c>
      <c r="M184" s="65">
        <f>+DICIEMBRE!$AG184</f>
        <v>0</v>
      </c>
      <c r="N184" s="15">
        <f t="shared" si="2"/>
        <v>112</v>
      </c>
    </row>
    <row r="185" spans="1:26" ht="15.75" customHeight="1" x14ac:dyDescent="0.25">
      <c r="A185" s="160" t="s">
        <v>124</v>
      </c>
      <c r="B185" s="65">
        <f>+ENERO!$AG185</f>
        <v>53</v>
      </c>
      <c r="C185" s="65">
        <f>+FEBRERO!$AG185</f>
        <v>6</v>
      </c>
      <c r="D185" s="65">
        <f>+MARZO!$AG185</f>
        <v>3</v>
      </c>
      <c r="E185" s="65">
        <f>+ABRIL!$AG185</f>
        <v>1</v>
      </c>
      <c r="F185" s="65">
        <f>+MAYO!$AG185</f>
        <v>13</v>
      </c>
      <c r="G185" s="65">
        <f>+JUNIO!$AG185</f>
        <v>14</v>
      </c>
      <c r="H185" s="65">
        <f>+Julio!$AG185</f>
        <v>8</v>
      </c>
      <c r="I185" s="65">
        <f>+agosto!$AG185</f>
        <v>8</v>
      </c>
      <c r="J185" s="65">
        <f>+septiembre!$AG185</f>
        <v>12</v>
      </c>
      <c r="K185" s="65">
        <f>+OCTUBRE!$AG185</f>
        <v>1183</v>
      </c>
      <c r="L185" s="65">
        <f>+NOVIEMBRE!$AG185</f>
        <v>0</v>
      </c>
      <c r="M185" s="65">
        <f>+DICIEMBRE!$AG185</f>
        <v>0</v>
      </c>
      <c r="N185" s="15">
        <f t="shared" si="2"/>
        <v>1301</v>
      </c>
    </row>
    <row r="186" spans="1:26" ht="15.75" customHeight="1" x14ac:dyDescent="0.25">
      <c r="A186" s="160" t="s">
        <v>125</v>
      </c>
      <c r="B186" s="65">
        <f>+ENERO!$AG186</f>
        <v>1</v>
      </c>
      <c r="C186" s="65">
        <f>+FEBRERO!$AG186</f>
        <v>0</v>
      </c>
      <c r="D186" s="65">
        <f>+MARZO!$AG186</f>
        <v>0</v>
      </c>
      <c r="E186" s="65">
        <f>+ABRIL!$AG186</f>
        <v>2</v>
      </c>
      <c r="F186" s="65">
        <f>+MAYO!$AG186</f>
        <v>1</v>
      </c>
      <c r="G186" s="65">
        <f>+JUNIO!$AG186</f>
        <v>2</v>
      </c>
      <c r="H186" s="65">
        <f>+Julio!$AG186</f>
        <v>0</v>
      </c>
      <c r="I186" s="65">
        <f>+agosto!$AG186</f>
        <v>0</v>
      </c>
      <c r="J186" s="65">
        <f>+septiembre!$AG186</f>
        <v>0</v>
      </c>
      <c r="K186" s="65">
        <f>+OCTUBRE!$AG186</f>
        <v>4229</v>
      </c>
      <c r="L186" s="65">
        <f>+NOVIEMBRE!$AG186</f>
        <v>0</v>
      </c>
      <c r="M186" s="65">
        <f>+DICIEMBRE!$AG186</f>
        <v>0</v>
      </c>
      <c r="N186" s="15">
        <f t="shared" si="2"/>
        <v>4235</v>
      </c>
    </row>
    <row r="187" spans="1:26" ht="15.75" customHeight="1" x14ac:dyDescent="0.25">
      <c r="A187" s="161" t="s">
        <v>126</v>
      </c>
      <c r="B187" s="162">
        <f>+ENERO!$AG187</f>
        <v>1742</v>
      </c>
      <c r="C187" s="162">
        <f>+FEBRERO!$AG187</f>
        <v>733</v>
      </c>
      <c r="D187" s="162">
        <f>+MARZO!$AG187</f>
        <v>2510</v>
      </c>
      <c r="E187" s="162">
        <f>+ABRIL!$AG187</f>
        <v>2267</v>
      </c>
      <c r="F187" s="162">
        <f>+MAYO!$AG187</f>
        <v>3035</v>
      </c>
      <c r="G187" s="162">
        <f>+JUNIO!$AG187</f>
        <v>1731</v>
      </c>
      <c r="H187" s="162">
        <f>+Julio!$AG187</f>
        <v>1081</v>
      </c>
      <c r="I187" s="162">
        <f>+agosto!$AG187</f>
        <v>1676</v>
      </c>
      <c r="J187" s="162">
        <f>+septiembre!$AG187</f>
        <v>2116</v>
      </c>
      <c r="K187" s="162">
        <f>+OCTUBRE!$AG187</f>
        <v>1457</v>
      </c>
      <c r="L187" s="162">
        <f>+NOVIEMBRE!$AG187</f>
        <v>0</v>
      </c>
      <c r="M187" s="162">
        <f>+DICIEMBRE!$AG187</f>
        <v>0</v>
      </c>
      <c r="N187" s="164">
        <f t="shared" si="2"/>
        <v>18348</v>
      </c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 spans="1:26" ht="15.75" customHeight="1" x14ac:dyDescent="0.25">
      <c r="A188" s="160" t="s">
        <v>127</v>
      </c>
      <c r="B188" s="65">
        <f>+ENERO!$AG188</f>
        <v>5</v>
      </c>
      <c r="C188" s="65">
        <f>+FEBRERO!$AG188</f>
        <v>1</v>
      </c>
      <c r="D188" s="65">
        <f>+MARZO!$AG188</f>
        <v>0</v>
      </c>
      <c r="E188" s="65">
        <f>+ABRIL!$AG188</f>
        <v>0</v>
      </c>
      <c r="F188" s="65">
        <f>+MAYO!$AG188</f>
        <v>0</v>
      </c>
      <c r="G188" s="65">
        <f>+JUNIO!$AG188</f>
        <v>0</v>
      </c>
      <c r="H188" s="65">
        <f>+Julio!$AG188</f>
        <v>0</v>
      </c>
      <c r="I188" s="65">
        <f>+agosto!$AG188</f>
        <v>0</v>
      </c>
      <c r="J188" s="65">
        <f>+septiembre!$AG188</f>
        <v>0</v>
      </c>
      <c r="K188" s="65">
        <f>+OCTUBRE!$AG188</f>
        <v>0</v>
      </c>
      <c r="L188" s="65">
        <f>+NOVIEMBRE!$AG188</f>
        <v>0</v>
      </c>
      <c r="M188" s="65">
        <f>+DICIEMBRE!$AG188</f>
        <v>0</v>
      </c>
      <c r="N188" s="15">
        <f t="shared" si="2"/>
        <v>6</v>
      </c>
    </row>
    <row r="189" spans="1:26" ht="15.75" customHeight="1" x14ac:dyDescent="0.25">
      <c r="A189" s="160" t="s">
        <v>128</v>
      </c>
      <c r="B189" s="65">
        <f>+ENERO!$AG189</f>
        <v>6</v>
      </c>
      <c r="C189" s="65">
        <f>+FEBRERO!$AG189</f>
        <v>0</v>
      </c>
      <c r="D189" s="65">
        <f>+MARZO!$AG189</f>
        <v>0</v>
      </c>
      <c r="E189" s="65">
        <f>+ABRIL!$AG189</f>
        <v>0</v>
      </c>
      <c r="F189" s="65">
        <f>+MAYO!$AG189</f>
        <v>1</v>
      </c>
      <c r="G189" s="65">
        <f>+JUNIO!$AG189</f>
        <v>2</v>
      </c>
      <c r="H189" s="65">
        <f>+Julio!$AG189</f>
        <v>0</v>
      </c>
      <c r="I189" s="65">
        <f>+agosto!$AG189</f>
        <v>0</v>
      </c>
      <c r="J189" s="65">
        <f>+septiembre!$AG189</f>
        <v>0</v>
      </c>
      <c r="K189" s="65">
        <f>+OCTUBRE!$AG189</f>
        <v>0</v>
      </c>
      <c r="L189" s="65">
        <f>+NOVIEMBRE!$AG189</f>
        <v>0</v>
      </c>
      <c r="M189" s="65">
        <f>+DICIEMBRE!$AG189</f>
        <v>0</v>
      </c>
      <c r="N189" s="15">
        <f t="shared" si="2"/>
        <v>9</v>
      </c>
    </row>
    <row r="190" spans="1:26" ht="15.75" customHeight="1" x14ac:dyDescent="0.25">
      <c r="A190" s="160" t="s">
        <v>129</v>
      </c>
      <c r="B190" s="65">
        <f>+ENERO!$AG190</f>
        <v>0</v>
      </c>
      <c r="C190" s="65">
        <f>+FEBRERO!$AG190</f>
        <v>0</v>
      </c>
      <c r="D190" s="65">
        <f>+MARZO!$AG190</f>
        <v>0</v>
      </c>
      <c r="E190" s="65">
        <f>+ABRIL!$AG190</f>
        <v>0</v>
      </c>
      <c r="F190" s="65">
        <f>+MAYO!$AG190</f>
        <v>0</v>
      </c>
      <c r="G190" s="65">
        <f>+JUNIO!$AG190</f>
        <v>0</v>
      </c>
      <c r="H190" s="65">
        <f>+Julio!$AG190</f>
        <v>0</v>
      </c>
      <c r="I190" s="65">
        <f>+agosto!$AG190</f>
        <v>0</v>
      </c>
      <c r="J190" s="65">
        <f>+septiembre!$AG190</f>
        <v>0</v>
      </c>
      <c r="K190" s="65">
        <f>+OCTUBRE!$AG190</f>
        <v>0</v>
      </c>
      <c r="L190" s="65">
        <f>+NOVIEMBRE!$AG190</f>
        <v>0</v>
      </c>
      <c r="M190" s="65">
        <f>+DICIEMBRE!$AG190</f>
        <v>0</v>
      </c>
      <c r="N190" s="15">
        <f t="shared" si="2"/>
        <v>0</v>
      </c>
    </row>
    <row r="191" spans="1:26" ht="15.75" customHeight="1" x14ac:dyDescent="0.25">
      <c r="A191" s="160" t="s">
        <v>130</v>
      </c>
      <c r="B191" s="65">
        <f>+ENERO!$AG191</f>
        <v>69</v>
      </c>
      <c r="C191" s="65">
        <f>+FEBRERO!$AG191</f>
        <v>4</v>
      </c>
      <c r="D191" s="65">
        <f>+MARZO!$AG191</f>
        <v>2</v>
      </c>
      <c r="E191" s="65">
        <f>+ABRIL!$AG191</f>
        <v>14</v>
      </c>
      <c r="F191" s="65">
        <f>+MAYO!$AG191</f>
        <v>6</v>
      </c>
      <c r="G191" s="65">
        <f>+JUNIO!$AG191</f>
        <v>13</v>
      </c>
      <c r="H191" s="65">
        <f>+Julio!$AG191</f>
        <v>6</v>
      </c>
      <c r="I191" s="65">
        <f>+agosto!$AG191</f>
        <v>7</v>
      </c>
      <c r="J191" s="65">
        <f>+septiembre!$AG191</f>
        <v>5</v>
      </c>
      <c r="K191" s="65">
        <f>+OCTUBRE!$AG191</f>
        <v>0</v>
      </c>
      <c r="L191" s="65">
        <f>+NOVIEMBRE!$AG191</f>
        <v>0</v>
      </c>
      <c r="M191" s="65">
        <f>+DICIEMBRE!$AG191</f>
        <v>0</v>
      </c>
      <c r="N191" s="15">
        <f t="shared" si="2"/>
        <v>126</v>
      </c>
    </row>
    <row r="192" spans="1:26" ht="15.75" customHeight="1" x14ac:dyDescent="0.25">
      <c r="A192" s="64" t="s">
        <v>131</v>
      </c>
      <c r="B192" s="65">
        <f>+ENERO!$AG192</f>
        <v>1</v>
      </c>
      <c r="C192" s="65">
        <f>+FEBRERO!$AG192</f>
        <v>1</v>
      </c>
      <c r="D192" s="65">
        <f>+MARZO!$AG192</f>
        <v>44</v>
      </c>
      <c r="E192" s="65">
        <f>+ABRIL!$AG192</f>
        <v>63</v>
      </c>
      <c r="F192" s="65">
        <f>+MAYO!$AG192</f>
        <v>56</v>
      </c>
      <c r="G192" s="65">
        <f>+JUNIO!$AG192</f>
        <v>32</v>
      </c>
      <c r="H192" s="65">
        <f>+Julio!$AG192</f>
        <v>33</v>
      </c>
      <c r="I192" s="65">
        <f>+agosto!$AG192</f>
        <v>55</v>
      </c>
      <c r="J192" s="65">
        <f>+septiembre!$AG192</f>
        <v>43</v>
      </c>
      <c r="K192" s="65">
        <f>+OCTUBRE!$AG192</f>
        <v>0</v>
      </c>
      <c r="L192" s="65">
        <f>+NOVIEMBRE!$AG192</f>
        <v>0</v>
      </c>
      <c r="M192" s="65">
        <f>+DICIEMBRE!$AG192</f>
        <v>0</v>
      </c>
      <c r="N192" s="15">
        <f t="shared" si="2"/>
        <v>328</v>
      </c>
    </row>
    <row r="193" spans="1:14" ht="15.75" customHeight="1" x14ac:dyDescent="0.25">
      <c r="A193" s="64" t="s">
        <v>132</v>
      </c>
      <c r="B193" s="65">
        <f>+ENERO!$AG193</f>
        <v>1</v>
      </c>
      <c r="C193" s="65">
        <f>+FEBRERO!$AG193</f>
        <v>0</v>
      </c>
      <c r="D193" s="65">
        <f>+MARZO!$AG193</f>
        <v>0</v>
      </c>
      <c r="E193" s="65">
        <f>+ABRIL!$AG193</f>
        <v>0</v>
      </c>
      <c r="F193" s="65">
        <f>+MAYO!$AG193</f>
        <v>1</v>
      </c>
      <c r="G193" s="65">
        <f>+JUNIO!$AG193</f>
        <v>14</v>
      </c>
      <c r="H193" s="65">
        <f>+Julio!$AG193</f>
        <v>0</v>
      </c>
      <c r="I193" s="65">
        <f>+agosto!$AG193</f>
        <v>1</v>
      </c>
      <c r="J193" s="65">
        <f>+septiembre!$AG193</f>
        <v>0</v>
      </c>
      <c r="K193" s="65">
        <f>+OCTUBRE!$AG193</f>
        <v>0</v>
      </c>
      <c r="L193" s="65">
        <f>+NOVIEMBRE!$AG193</f>
        <v>0</v>
      </c>
      <c r="M193" s="65">
        <f>+DICIEMBRE!$AG193</f>
        <v>0</v>
      </c>
      <c r="N193" s="15">
        <f t="shared" si="2"/>
        <v>17</v>
      </c>
    </row>
    <row r="194" spans="1:14" ht="15.75" customHeight="1" x14ac:dyDescent="0.25">
      <c r="A194" s="64" t="s">
        <v>133</v>
      </c>
      <c r="B194" s="65">
        <f>+ENERO!$AG194</f>
        <v>0</v>
      </c>
      <c r="C194" s="65">
        <f>+FEBRERO!$AG194</f>
        <v>0</v>
      </c>
      <c r="D194" s="65">
        <f>+MARZO!$AG194</f>
        <v>0</v>
      </c>
      <c r="E194" s="65">
        <f>+ABRIL!$AG194</f>
        <v>0</v>
      </c>
      <c r="F194" s="65">
        <f>+MAYO!$AG194</f>
        <v>0</v>
      </c>
      <c r="G194" s="65">
        <f>+JUNIO!$AG194</f>
        <v>1</v>
      </c>
      <c r="H194" s="65">
        <f>+Julio!$AG194</f>
        <v>0</v>
      </c>
      <c r="I194" s="65">
        <f>+agosto!$AG194</f>
        <v>0</v>
      </c>
      <c r="J194" s="65">
        <f>+septiembre!$AG194</f>
        <v>1</v>
      </c>
      <c r="K194" s="65">
        <f>+OCTUBRE!$AG194</f>
        <v>0</v>
      </c>
      <c r="L194" s="65">
        <f>+NOVIEMBRE!$AG194</f>
        <v>0</v>
      </c>
      <c r="M194" s="65">
        <f>+DICIEMBRE!$AG194</f>
        <v>0</v>
      </c>
      <c r="N194" s="15">
        <f t="shared" si="2"/>
        <v>2</v>
      </c>
    </row>
    <row r="195" spans="1:14" ht="15.75" customHeight="1" x14ac:dyDescent="0.25">
      <c r="A195" s="64" t="s">
        <v>134</v>
      </c>
      <c r="B195" s="65">
        <f>+ENERO!$AG195</f>
        <v>2</v>
      </c>
      <c r="C195" s="65">
        <f>+FEBRERO!$AG195</f>
        <v>0</v>
      </c>
      <c r="D195" s="65">
        <f>+MARZO!$AG195</f>
        <v>2</v>
      </c>
      <c r="E195" s="65">
        <f>+ABRIL!$AG195</f>
        <v>3</v>
      </c>
      <c r="F195" s="65">
        <f>+MAYO!$AG195</f>
        <v>0</v>
      </c>
      <c r="G195" s="65">
        <f>+JUNIO!$AG195</f>
        <v>0</v>
      </c>
      <c r="H195" s="65">
        <f>+Julio!$AG195</f>
        <v>0</v>
      </c>
      <c r="I195" s="65">
        <f>+agosto!$AG195</f>
        <v>1</v>
      </c>
      <c r="J195" s="65">
        <f>+septiembre!$AG195</f>
        <v>0</v>
      </c>
      <c r="K195" s="65">
        <f>+OCTUBRE!$AG195</f>
        <v>0</v>
      </c>
      <c r="L195" s="65">
        <f>+NOVIEMBRE!$AG195</f>
        <v>0</v>
      </c>
      <c r="M195" s="65">
        <f>+DICIEMBRE!$AG195</f>
        <v>0</v>
      </c>
      <c r="N195" s="15">
        <f t="shared" si="2"/>
        <v>8</v>
      </c>
    </row>
    <row r="196" spans="1:14" ht="15.75" customHeight="1" x14ac:dyDescent="0.25">
      <c r="A196" s="166" t="s">
        <v>135</v>
      </c>
      <c r="B196" s="167">
        <f>+ENERO!$AG196</f>
        <v>34</v>
      </c>
      <c r="C196" s="167">
        <f>+FEBRERO!$AG196</f>
        <v>29</v>
      </c>
      <c r="D196" s="167">
        <f>+MARZO!$AG196</f>
        <v>46</v>
      </c>
      <c r="E196" s="167">
        <f>+ABRIL!$AG196</f>
        <v>21</v>
      </c>
      <c r="F196" s="167">
        <f>+MAYO!$AG196</f>
        <v>43</v>
      </c>
      <c r="G196" s="167">
        <f>+JUNIO!$AG196</f>
        <v>32</v>
      </c>
      <c r="H196" s="167">
        <f>+Julio!$AG196</f>
        <v>45</v>
      </c>
      <c r="I196" s="167">
        <f>+agosto!$AG196</f>
        <v>39</v>
      </c>
      <c r="J196" s="167">
        <f>+septiembre!$AG196</f>
        <v>25</v>
      </c>
      <c r="K196" s="167">
        <f>+OCTUBRE!$AG196</f>
        <v>0</v>
      </c>
      <c r="L196" s="167">
        <f>+NOVIEMBRE!$AG196</f>
        <v>0</v>
      </c>
      <c r="M196" s="167">
        <f>+DICIEMBRE!$AG196</f>
        <v>0</v>
      </c>
      <c r="N196" s="169">
        <f t="shared" si="2"/>
        <v>314</v>
      </c>
    </row>
    <row r="197" spans="1:14" ht="15.75" customHeight="1" x14ac:dyDescent="0.25">
      <c r="A197" s="170" t="s">
        <v>136</v>
      </c>
      <c r="B197" s="65">
        <f>+ENERO!$AG197</f>
        <v>0</v>
      </c>
      <c r="C197" s="65">
        <f>+FEBRERO!$AG197</f>
        <v>0</v>
      </c>
      <c r="D197" s="65">
        <f>+MARZO!$AG197</f>
        <v>0</v>
      </c>
      <c r="E197" s="65">
        <f>+ABRIL!$AG197</f>
        <v>0</v>
      </c>
      <c r="F197" s="65">
        <f>+MAYO!$AG197</f>
        <v>1</v>
      </c>
      <c r="G197" s="65">
        <f>+JUNIO!$AG197</f>
        <v>0</v>
      </c>
      <c r="H197" s="65">
        <f>+Julio!$AG197</f>
        <v>0</v>
      </c>
      <c r="I197" s="65">
        <f>+agosto!$AG197</f>
        <v>0</v>
      </c>
      <c r="J197" s="65">
        <f>+septiembre!$AG197</f>
        <v>0</v>
      </c>
      <c r="K197" s="65">
        <f>+OCTUBRE!$AG197</f>
        <v>0</v>
      </c>
      <c r="L197" s="65">
        <f>+NOVIEMBRE!$AG197</f>
        <v>0</v>
      </c>
      <c r="M197" s="65">
        <f>+DICIEMBRE!$AG197</f>
        <v>0</v>
      </c>
      <c r="N197" s="15">
        <f t="shared" si="2"/>
        <v>1</v>
      </c>
    </row>
    <row r="198" spans="1:14" ht="15.75" customHeight="1" x14ac:dyDescent="0.25">
      <c r="A198" s="170" t="s">
        <v>137</v>
      </c>
      <c r="B198" s="65">
        <f>+ENERO!$AG198</f>
        <v>0</v>
      </c>
      <c r="C198" s="65">
        <f>+FEBRERO!$AG198</f>
        <v>0</v>
      </c>
      <c r="D198" s="65">
        <f>+MARZO!$AG198</f>
        <v>0</v>
      </c>
      <c r="E198" s="65">
        <f>+ABRIL!$AG198</f>
        <v>0</v>
      </c>
      <c r="F198" s="65">
        <f>+MAYO!$AG198</f>
        <v>0</v>
      </c>
      <c r="G198" s="65">
        <f>+JUNIO!$AG198</f>
        <v>0</v>
      </c>
      <c r="H198" s="65">
        <f>+Julio!$AG198</f>
        <v>0</v>
      </c>
      <c r="I198" s="65">
        <f>+agosto!$AG198</f>
        <v>0</v>
      </c>
      <c r="J198" s="65">
        <f>+septiembre!$AG198</f>
        <v>0</v>
      </c>
      <c r="K198" s="65">
        <f>+OCTUBRE!$AG198</f>
        <v>0</v>
      </c>
      <c r="L198" s="65">
        <f>+NOVIEMBRE!$AG198</f>
        <v>0</v>
      </c>
      <c r="M198" s="65">
        <f>+DICIEMBRE!$AG198</f>
        <v>0</v>
      </c>
      <c r="N198" s="15">
        <f t="shared" si="2"/>
        <v>0</v>
      </c>
    </row>
    <row r="199" spans="1:14" ht="15.75" customHeight="1" x14ac:dyDescent="0.25">
      <c r="A199" s="170" t="s">
        <v>138</v>
      </c>
      <c r="B199" s="65">
        <f>+ENERO!$AG199</f>
        <v>0</v>
      </c>
      <c r="C199" s="65">
        <f>+FEBRERO!$AG199</f>
        <v>0</v>
      </c>
      <c r="D199" s="65">
        <f>+MARZO!$AG199</f>
        <v>0</v>
      </c>
      <c r="E199" s="65">
        <f>+ABRIL!$AG199</f>
        <v>0</v>
      </c>
      <c r="F199" s="65">
        <f>+MAYO!$AG199</f>
        <v>0</v>
      </c>
      <c r="G199" s="65">
        <f>+JUNIO!$AG199</f>
        <v>0</v>
      </c>
      <c r="H199" s="65">
        <f>+Julio!$AG199</f>
        <v>0</v>
      </c>
      <c r="I199" s="65">
        <f>+agosto!$AG199</f>
        <v>0</v>
      </c>
      <c r="J199" s="65">
        <f>+septiembre!$AG199</f>
        <v>0</v>
      </c>
      <c r="K199" s="65">
        <f>+OCTUBRE!$AG199</f>
        <v>0</v>
      </c>
      <c r="L199" s="65">
        <f>+NOVIEMBRE!$AG199</f>
        <v>0</v>
      </c>
      <c r="M199" s="65">
        <f>+DICIEMBRE!$AG199</f>
        <v>0</v>
      </c>
      <c r="N199" s="15">
        <f t="shared" si="2"/>
        <v>0</v>
      </c>
    </row>
    <row r="200" spans="1:14" ht="15.75" customHeight="1" x14ac:dyDescent="0.25">
      <c r="A200" s="170" t="s">
        <v>139</v>
      </c>
      <c r="B200" s="65">
        <f>+ENERO!$AG200</f>
        <v>2</v>
      </c>
      <c r="C200" s="65">
        <f>+FEBRERO!$AG200</f>
        <v>0</v>
      </c>
      <c r="D200" s="65">
        <f>+MARZO!$AG200</f>
        <v>0</v>
      </c>
      <c r="E200" s="65">
        <f>+ABRIL!$AG200</f>
        <v>0</v>
      </c>
      <c r="F200" s="65">
        <f>+MAYO!$AG200</f>
        <v>0</v>
      </c>
      <c r="G200" s="65">
        <f>+JUNIO!$AG200</f>
        <v>3</v>
      </c>
      <c r="H200" s="65">
        <f>+Julio!$AG200</f>
        <v>0</v>
      </c>
      <c r="I200" s="65">
        <f>+agosto!$AG200</f>
        <v>0</v>
      </c>
      <c r="J200" s="65">
        <f>+septiembre!$AG200</f>
        <v>0</v>
      </c>
      <c r="K200" s="65">
        <f>+OCTUBRE!$AG200</f>
        <v>0</v>
      </c>
      <c r="L200" s="65">
        <f>+NOVIEMBRE!$AG200</f>
        <v>0</v>
      </c>
      <c r="M200" s="65">
        <f>+DICIEMBRE!$AG200</f>
        <v>0</v>
      </c>
      <c r="N200" s="15">
        <f t="shared" si="2"/>
        <v>5</v>
      </c>
    </row>
    <row r="201" spans="1:14" ht="15.75" customHeight="1" x14ac:dyDescent="0.25">
      <c r="A201" s="170" t="s">
        <v>140</v>
      </c>
      <c r="B201" s="65">
        <f>+ENERO!$AG201</f>
        <v>1</v>
      </c>
      <c r="C201" s="65">
        <f>+FEBRERO!$AG201</f>
        <v>0</v>
      </c>
      <c r="D201" s="65">
        <f>+MARZO!$AG201</f>
        <v>0</v>
      </c>
      <c r="E201" s="65">
        <f>+ABRIL!$AG201</f>
        <v>0</v>
      </c>
      <c r="F201" s="65">
        <f>+MAYO!$AG201</f>
        <v>1</v>
      </c>
      <c r="G201" s="65">
        <f>+JUNIO!$AG201</f>
        <v>0</v>
      </c>
      <c r="H201" s="65">
        <f>+Julio!$AG201</f>
        <v>0</v>
      </c>
      <c r="I201" s="65">
        <f>+agosto!$AG201</f>
        <v>0</v>
      </c>
      <c r="J201" s="65">
        <f>+septiembre!$AG201</f>
        <v>0</v>
      </c>
      <c r="K201" s="65">
        <f>+OCTUBRE!$AG201</f>
        <v>0</v>
      </c>
      <c r="L201" s="65">
        <f>+NOVIEMBRE!$AG201</f>
        <v>0</v>
      </c>
      <c r="M201" s="65">
        <f>+DICIEMBRE!$AG201</f>
        <v>0</v>
      </c>
      <c r="N201" s="15">
        <f t="shared" si="2"/>
        <v>2</v>
      </c>
    </row>
    <row r="202" spans="1:14" ht="15.75" customHeight="1" x14ac:dyDescent="0.25">
      <c r="A202" s="170" t="s">
        <v>141</v>
      </c>
      <c r="B202" s="65">
        <f>+ENERO!$AG202</f>
        <v>3</v>
      </c>
      <c r="C202" s="65">
        <f>+FEBRERO!$AG202</f>
        <v>1</v>
      </c>
      <c r="D202" s="65">
        <f>+MARZO!$AG202</f>
        <v>1</v>
      </c>
      <c r="E202" s="65">
        <f>+ABRIL!$AG202</f>
        <v>0</v>
      </c>
      <c r="F202" s="65">
        <f>+MAYO!$AG202</f>
        <v>1</v>
      </c>
      <c r="G202" s="65">
        <f>+JUNIO!$AG202</f>
        <v>5</v>
      </c>
      <c r="H202" s="65">
        <f>+Julio!$AG202</f>
        <v>0</v>
      </c>
      <c r="I202" s="65">
        <f>+agosto!$AG202</f>
        <v>0</v>
      </c>
      <c r="J202" s="65">
        <f>+septiembre!$AG202</f>
        <v>1</v>
      </c>
      <c r="K202" s="65">
        <f>+OCTUBRE!$AG202</f>
        <v>0</v>
      </c>
      <c r="L202" s="65">
        <f>+NOVIEMBRE!$AG202</f>
        <v>0</v>
      </c>
      <c r="M202" s="65">
        <f>+DICIEMBRE!$AG202</f>
        <v>0</v>
      </c>
      <c r="N202" s="15">
        <f t="shared" si="2"/>
        <v>12</v>
      </c>
    </row>
    <row r="203" spans="1:14" ht="15.75" customHeight="1" x14ac:dyDescent="0.25">
      <c r="A203" s="64" t="s">
        <v>142</v>
      </c>
      <c r="B203" s="65">
        <f>+ENERO!$AG203</f>
        <v>5</v>
      </c>
      <c r="C203" s="65">
        <f>+FEBRERO!$AG203</f>
        <v>0</v>
      </c>
      <c r="D203" s="65">
        <f>+MARZO!$AG203</f>
        <v>5</v>
      </c>
      <c r="E203" s="65">
        <f>+ABRIL!$AG203</f>
        <v>2</v>
      </c>
      <c r="F203" s="65">
        <f>+MAYO!$AG203</f>
        <v>8</v>
      </c>
      <c r="G203" s="65">
        <f>+JUNIO!$AG203</f>
        <v>1</v>
      </c>
      <c r="H203" s="65">
        <f>+Julio!$AG203</f>
        <v>0</v>
      </c>
      <c r="I203" s="65">
        <f>+agosto!$AG203</f>
        <v>0</v>
      </c>
      <c r="J203" s="65">
        <f>+septiembre!$AG203</f>
        <v>0</v>
      </c>
      <c r="K203" s="65">
        <f>+OCTUBRE!$AG203</f>
        <v>0</v>
      </c>
      <c r="L203" s="65">
        <f>+NOVIEMBRE!$AG203</f>
        <v>0</v>
      </c>
      <c r="M203" s="65">
        <f>+DICIEMBRE!$AG203</f>
        <v>0</v>
      </c>
      <c r="N203" s="15">
        <f t="shared" si="2"/>
        <v>21</v>
      </c>
    </row>
    <row r="204" spans="1:14" ht="15.75" customHeight="1" x14ac:dyDescent="0.25">
      <c r="A204" s="64" t="s">
        <v>143</v>
      </c>
      <c r="B204" s="65">
        <f>+ENERO!$AG204</f>
        <v>0</v>
      </c>
      <c r="C204" s="65">
        <f>+FEBRERO!$AG204</f>
        <v>0</v>
      </c>
      <c r="D204" s="65">
        <f>+MARZO!$AG204</f>
        <v>0</v>
      </c>
      <c r="E204" s="65">
        <f>+ABRIL!$AG204</f>
        <v>0</v>
      </c>
      <c r="F204" s="65">
        <f>+MAYO!$AG204</f>
        <v>1</v>
      </c>
      <c r="G204" s="65">
        <f>+JUNIO!$AG204</f>
        <v>0</v>
      </c>
      <c r="H204" s="65">
        <f>+Julio!$AG204</f>
        <v>0</v>
      </c>
      <c r="I204" s="65">
        <f>+agosto!$AG204</f>
        <v>0</v>
      </c>
      <c r="J204" s="65">
        <f>+septiembre!$AG204</f>
        <v>0</v>
      </c>
      <c r="K204" s="65">
        <f>+OCTUBRE!$AG204</f>
        <v>0</v>
      </c>
      <c r="L204" s="65">
        <f>+NOVIEMBRE!$AG204</f>
        <v>0</v>
      </c>
      <c r="M204" s="65">
        <f>+DICIEMBRE!$AG204</f>
        <v>0</v>
      </c>
      <c r="N204" s="15">
        <f t="shared" si="2"/>
        <v>1</v>
      </c>
    </row>
    <row r="205" spans="1:14" ht="15.75" customHeight="1" x14ac:dyDescent="0.25">
      <c r="A205" s="64" t="s">
        <v>144</v>
      </c>
      <c r="B205" s="65">
        <f>+ENERO!$AG205</f>
        <v>10</v>
      </c>
      <c r="C205" s="65">
        <f>+FEBRERO!$AG205</f>
        <v>4</v>
      </c>
      <c r="D205" s="65">
        <f>+MARZO!$AG205</f>
        <v>3</v>
      </c>
      <c r="E205" s="65">
        <f>+ABRIL!$AG205</f>
        <v>4</v>
      </c>
      <c r="F205" s="65">
        <f>+MAYO!$AG205</f>
        <v>3</v>
      </c>
      <c r="G205" s="65">
        <f>+JUNIO!$AG205</f>
        <v>1</v>
      </c>
      <c r="H205" s="65">
        <f>+Julio!$AG205</f>
        <v>5</v>
      </c>
      <c r="I205" s="65">
        <f>+agosto!$AG205</f>
        <v>5</v>
      </c>
      <c r="J205" s="65">
        <f>+septiembre!$AG205</f>
        <v>1</v>
      </c>
      <c r="K205" s="65">
        <f>+OCTUBRE!$AG205</f>
        <v>0</v>
      </c>
      <c r="L205" s="65">
        <f>+NOVIEMBRE!$AG205</f>
        <v>0</v>
      </c>
      <c r="M205" s="65">
        <f>+DICIEMBRE!$AG205</f>
        <v>0</v>
      </c>
      <c r="N205" s="15">
        <f t="shared" si="2"/>
        <v>36</v>
      </c>
    </row>
    <row r="206" spans="1:14" ht="15.75" customHeight="1" x14ac:dyDescent="0.25">
      <c r="A206" s="64" t="s">
        <v>145</v>
      </c>
      <c r="B206" s="171">
        <f>+ENERO!$AG206</f>
        <v>23</v>
      </c>
      <c r="C206" s="171">
        <f>+FEBRERO!$AG206</f>
        <v>13</v>
      </c>
      <c r="D206" s="171">
        <f>+MARZO!$AG206</f>
        <v>26</v>
      </c>
      <c r="E206" s="171">
        <f>+ABRIL!$AG206</f>
        <v>15</v>
      </c>
      <c r="F206" s="171">
        <f>+MAYO!$AG206</f>
        <v>16</v>
      </c>
      <c r="G206" s="171">
        <f>+JUNIO!$AG206</f>
        <v>10</v>
      </c>
      <c r="H206" s="171">
        <f>+Julio!$AG206</f>
        <v>8</v>
      </c>
      <c r="I206" s="171">
        <f>+agosto!$AG206</f>
        <v>14</v>
      </c>
      <c r="J206" s="171">
        <f>+septiembre!$AG206</f>
        <v>19</v>
      </c>
      <c r="K206" s="171">
        <f>+OCTUBRE!$AG206</f>
        <v>0</v>
      </c>
      <c r="L206" s="171">
        <f>+NOVIEMBRE!$AG206</f>
        <v>0</v>
      </c>
      <c r="M206" s="171">
        <f>+DICIEMBRE!$AG206</f>
        <v>0</v>
      </c>
      <c r="N206" s="15">
        <f t="shared" si="2"/>
        <v>144</v>
      </c>
    </row>
    <row r="207" spans="1:14" ht="15.75" customHeight="1" x14ac:dyDescent="0.25">
      <c r="A207" s="173" t="s">
        <v>146</v>
      </c>
      <c r="B207" s="171">
        <f>+ENERO!$AG207</f>
        <v>12</v>
      </c>
      <c r="C207" s="171">
        <f>+FEBRERO!$AG207</f>
        <v>3</v>
      </c>
      <c r="D207" s="171">
        <f>+MARZO!$AG207</f>
        <v>13</v>
      </c>
      <c r="E207" s="171">
        <f>+ABRIL!$AG207</f>
        <v>15</v>
      </c>
      <c r="F207" s="171">
        <f>+MAYO!$AG207</f>
        <v>7</v>
      </c>
      <c r="G207" s="171">
        <f>+JUNIO!$AG207</f>
        <v>5</v>
      </c>
      <c r="H207" s="171">
        <f>+Julio!$AG207</f>
        <v>1</v>
      </c>
      <c r="I207" s="171">
        <f>+agosto!$AG207</f>
        <v>5</v>
      </c>
      <c r="J207" s="171">
        <f>+septiembre!$AG207</f>
        <v>5</v>
      </c>
      <c r="K207" s="171">
        <f>+OCTUBRE!$AG207</f>
        <v>0</v>
      </c>
      <c r="L207" s="171">
        <f>+NOVIEMBRE!$AG207</f>
        <v>0</v>
      </c>
      <c r="M207" s="171">
        <f>+DICIEMBRE!$AG207</f>
        <v>0</v>
      </c>
      <c r="N207" s="15">
        <f t="shared" si="2"/>
        <v>66</v>
      </c>
    </row>
    <row r="208" spans="1:14" ht="15.75" customHeight="1" x14ac:dyDescent="0.25">
      <c r="A208" s="174" t="s">
        <v>147</v>
      </c>
      <c r="B208" s="171">
        <f>+ENERO!$AG208</f>
        <v>1</v>
      </c>
      <c r="C208" s="171">
        <f>+FEBRERO!$AG208</f>
        <v>0</v>
      </c>
      <c r="D208" s="171">
        <f>+MARZO!$AG208</f>
        <v>0</v>
      </c>
      <c r="E208" s="171">
        <f>+ABRIL!$AG208</f>
        <v>1</v>
      </c>
      <c r="F208" s="171">
        <f>+MAYO!$AG208</f>
        <v>0</v>
      </c>
      <c r="G208" s="171">
        <f>+JUNIO!$AG208</f>
        <v>0</v>
      </c>
      <c r="H208" s="171">
        <f>+Julio!$AG208</f>
        <v>2</v>
      </c>
      <c r="I208" s="171">
        <f>+agosto!$AG208</f>
        <v>2</v>
      </c>
      <c r="J208" s="171">
        <f>+septiembre!$AG208</f>
        <v>0</v>
      </c>
      <c r="K208" s="171">
        <f>+OCTUBRE!$AG208</f>
        <v>0</v>
      </c>
      <c r="L208" s="171">
        <f>+NOVIEMBRE!$AG208</f>
        <v>0</v>
      </c>
      <c r="M208" s="171">
        <f>+DICIEMBRE!$AG208</f>
        <v>0</v>
      </c>
      <c r="N208" s="106">
        <f t="shared" si="2"/>
        <v>6</v>
      </c>
    </row>
    <row r="209" spans="1:15" ht="15.75" customHeight="1" x14ac:dyDescent="0.25">
      <c r="A209" s="175" t="s">
        <v>148</v>
      </c>
      <c r="B209" s="176">
        <f>+ENERO!$AG209</f>
        <v>6508</v>
      </c>
      <c r="C209" s="176">
        <f>+FEBRERO!$AG209</f>
        <v>5247</v>
      </c>
      <c r="D209" s="176">
        <f>+MARZO!$AG209</f>
        <v>7090</v>
      </c>
      <c r="E209" s="176">
        <f>+ABRIL!$AG209</f>
        <v>6604</v>
      </c>
      <c r="F209" s="176">
        <f>+MAYO!$AG209</f>
        <v>6766</v>
      </c>
      <c r="G209" s="176">
        <f>+JUNIO!$AG209</f>
        <v>5310</v>
      </c>
      <c r="H209" s="176">
        <f>+Julio!$AG209</f>
        <v>5138</v>
      </c>
      <c r="I209" s="176">
        <f>+agosto!$AG209</f>
        <v>6080</v>
      </c>
      <c r="J209" s="176">
        <f>+septiembre!$AG209</f>
        <v>6434</v>
      </c>
      <c r="K209" s="176">
        <f>+OCTUBRE!$AG209</f>
        <v>0</v>
      </c>
      <c r="L209" s="176">
        <f>+NOVIEMBRE!$AG209</f>
        <v>0</v>
      </c>
      <c r="M209" s="176">
        <f>+DICIEMBRE!$AG209</f>
        <v>0</v>
      </c>
      <c r="N209" s="178">
        <f t="shared" si="2"/>
        <v>55177</v>
      </c>
      <c r="O209" s="40" t="str">
        <f>IF(N209&lt;&gt;N93,"X","")</f>
        <v>X</v>
      </c>
    </row>
    <row r="210" spans="1:15" ht="15.75" customHeight="1" x14ac:dyDescent="0.25">
      <c r="A210" s="179" t="s">
        <v>149</v>
      </c>
      <c r="B210" s="180">
        <f>+ENERO!$AG210</f>
        <v>4</v>
      </c>
      <c r="C210" s="180">
        <f>+FEBRERO!$AG210</f>
        <v>6</v>
      </c>
      <c r="D210" s="180">
        <f>+MARZO!$AG210</f>
        <v>3</v>
      </c>
      <c r="E210" s="180">
        <f>+ABRIL!$AG210</f>
        <v>6</v>
      </c>
      <c r="F210" s="180">
        <f>+MAYO!$AG210</f>
        <v>9</v>
      </c>
      <c r="G210" s="180">
        <f>+JUNIO!$AG210</f>
        <v>5</v>
      </c>
      <c r="H210" s="180">
        <f>+Julio!$AG210</f>
        <v>1</v>
      </c>
      <c r="I210" s="180">
        <f>+agosto!$AG210</f>
        <v>4</v>
      </c>
      <c r="J210" s="180">
        <f>+septiembre!$AG210</f>
        <v>4</v>
      </c>
      <c r="K210" s="180">
        <f>+OCTUBRE!$AG210</f>
        <v>0</v>
      </c>
      <c r="L210" s="180">
        <f>+NOVIEMBRE!$AG210</f>
        <v>0</v>
      </c>
      <c r="M210" s="180">
        <f>+DICIEMBRE!$AG210</f>
        <v>0</v>
      </c>
      <c r="N210" s="182">
        <f t="shared" si="2"/>
        <v>42</v>
      </c>
    </row>
    <row r="211" spans="1:15" ht="15.75" customHeight="1" x14ac:dyDescent="0.25">
      <c r="A211" s="183" t="s">
        <v>51</v>
      </c>
      <c r="B211" s="184">
        <f>+ENERO!$AG211</f>
        <v>62</v>
      </c>
      <c r="C211" s="184">
        <f>+FEBRERO!$AG211</f>
        <v>73</v>
      </c>
      <c r="D211" s="184">
        <f>+MARZO!$AG211</f>
        <v>70</v>
      </c>
      <c r="E211" s="184">
        <f>+ABRIL!$AG211</f>
        <v>79</v>
      </c>
      <c r="F211" s="184">
        <f>+MAYO!$AG211</f>
        <v>154</v>
      </c>
      <c r="G211" s="184">
        <f>+JUNIO!$AG211</f>
        <v>112</v>
      </c>
      <c r="H211" s="184">
        <f>+Julio!$AG211</f>
        <v>91</v>
      </c>
      <c r="I211" s="184">
        <f>+agosto!$AG211</f>
        <v>78</v>
      </c>
      <c r="J211" s="184">
        <f>+septiembre!$AG211</f>
        <v>102</v>
      </c>
      <c r="K211" s="184">
        <f>+OCTUBRE!$AG211</f>
        <v>0</v>
      </c>
      <c r="L211" s="184">
        <f>+NOVIEMBRE!$AG211</f>
        <v>0</v>
      </c>
      <c r="M211" s="184">
        <f>+DICIEMBRE!$AG211</f>
        <v>0</v>
      </c>
      <c r="N211" s="186">
        <f t="shared" si="2"/>
        <v>821</v>
      </c>
    </row>
    <row r="212" spans="1:15" ht="15.75" customHeight="1" x14ac:dyDescent="0.25">
      <c r="A212" s="183" t="s">
        <v>52</v>
      </c>
      <c r="B212" s="184">
        <f>+ENERO!$AG212</f>
        <v>753</v>
      </c>
      <c r="C212" s="184">
        <f>+FEBRERO!$AG212</f>
        <v>620</v>
      </c>
      <c r="D212" s="184">
        <f>+MARZO!$AG212</f>
        <v>860</v>
      </c>
      <c r="E212" s="184">
        <f>+ABRIL!$AG212</f>
        <v>877</v>
      </c>
      <c r="F212" s="184">
        <f>+MAYO!$AG212</f>
        <v>1273</v>
      </c>
      <c r="G212" s="184">
        <f>+JUNIO!$AG212</f>
        <v>988</v>
      </c>
      <c r="H212" s="184">
        <f>+Julio!$AG212</f>
        <v>858</v>
      </c>
      <c r="I212" s="184">
        <f>+agosto!$AG212</f>
        <v>960</v>
      </c>
      <c r="J212" s="184">
        <f>+septiembre!$AG212</f>
        <v>1047</v>
      </c>
      <c r="K212" s="184">
        <f>+OCTUBRE!$AG212</f>
        <v>0</v>
      </c>
      <c r="L212" s="184">
        <f>+NOVIEMBRE!$AG212</f>
        <v>0</v>
      </c>
      <c r="M212" s="184">
        <f>+DICIEMBRE!$AG212</f>
        <v>0</v>
      </c>
      <c r="N212" s="186">
        <f t="shared" si="2"/>
        <v>8236</v>
      </c>
    </row>
    <row r="213" spans="1:15" ht="15.75" customHeight="1" x14ac:dyDescent="0.25">
      <c r="A213" s="183" t="s">
        <v>53</v>
      </c>
      <c r="B213" s="184">
        <f>+ENERO!$AG213</f>
        <v>4448</v>
      </c>
      <c r="C213" s="184">
        <f>+FEBRERO!$AG213</f>
        <v>3447</v>
      </c>
      <c r="D213" s="184">
        <f>+MARZO!$AG213</f>
        <v>5195</v>
      </c>
      <c r="E213" s="184">
        <f>+ABRIL!$AG213</f>
        <v>4750</v>
      </c>
      <c r="F213" s="184">
        <f>+MAYO!$AG213</f>
        <v>4606</v>
      </c>
      <c r="G213" s="184">
        <f>+JUNIO!$AG213</f>
        <v>3383</v>
      </c>
      <c r="H213" s="184">
        <f>+Julio!$AG213</f>
        <v>3269</v>
      </c>
      <c r="I213" s="184">
        <f>+agosto!$AG213</f>
        <v>4291</v>
      </c>
      <c r="J213" s="184">
        <f>+septiembre!$AG213</f>
        <v>3741</v>
      </c>
      <c r="K213" s="184">
        <f>+OCTUBRE!$AG213</f>
        <v>0</v>
      </c>
      <c r="L213" s="184">
        <f>+NOVIEMBRE!$AG213</f>
        <v>0</v>
      </c>
      <c r="M213" s="184">
        <f>+DICIEMBRE!$AG213</f>
        <v>0</v>
      </c>
      <c r="N213" s="186">
        <f t="shared" si="2"/>
        <v>37130</v>
      </c>
    </row>
    <row r="214" spans="1:15" ht="15.75" customHeight="1" x14ac:dyDescent="0.25">
      <c r="A214" s="187" t="s">
        <v>54</v>
      </c>
      <c r="B214" s="188">
        <f>+ENERO!$AG214</f>
        <v>1241</v>
      </c>
      <c r="C214" s="188">
        <f>+FEBRERO!$AG214</f>
        <v>1101</v>
      </c>
      <c r="D214" s="188">
        <f>+MARZO!$AG214</f>
        <v>962</v>
      </c>
      <c r="E214" s="188">
        <f>+ABRIL!$AG214</f>
        <v>892</v>
      </c>
      <c r="F214" s="188">
        <f>+MAYO!$AG214</f>
        <v>724</v>
      </c>
      <c r="G214" s="188">
        <f>+JUNIO!$AG214</f>
        <v>822</v>
      </c>
      <c r="H214" s="188">
        <f>+Julio!$AG214</f>
        <v>919</v>
      </c>
      <c r="I214" s="188">
        <f>+agosto!$AG214</f>
        <v>747</v>
      </c>
      <c r="J214" s="188">
        <f>+septiembre!$AG214</f>
        <v>1540</v>
      </c>
      <c r="K214" s="188">
        <f>+OCTUBRE!$AG214</f>
        <v>0</v>
      </c>
      <c r="L214" s="188">
        <f>+NOVIEMBRE!$AG214</f>
        <v>0</v>
      </c>
      <c r="M214" s="188">
        <f>+DICIEMBRE!$AG214</f>
        <v>0</v>
      </c>
      <c r="N214" s="190">
        <f t="shared" si="2"/>
        <v>8948</v>
      </c>
    </row>
    <row r="215" spans="1:15" ht="15.75" customHeight="1" x14ac:dyDescent="0.25">
      <c r="A215" s="113" t="s">
        <v>150</v>
      </c>
      <c r="B215" s="114">
        <f>+ENERO!$AG215</f>
        <v>266</v>
      </c>
      <c r="C215" s="114">
        <f>+FEBRERO!$AG215</f>
        <v>43</v>
      </c>
      <c r="D215" s="114">
        <f>+MARZO!$AG215</f>
        <v>635</v>
      </c>
      <c r="E215" s="114">
        <f>+ABRIL!$AG215</f>
        <v>260</v>
      </c>
      <c r="F215" s="114">
        <f>+MAYO!$AG215</f>
        <v>0</v>
      </c>
      <c r="G215" s="114">
        <f>+JUNIO!$AG215</f>
        <v>0</v>
      </c>
      <c r="H215" s="114">
        <f>+Julio!$AG215</f>
        <v>0</v>
      </c>
      <c r="I215" s="114">
        <f>+agosto!$AG215</f>
        <v>0</v>
      </c>
      <c r="J215" s="114">
        <f>+septiembre!$AG215</f>
        <v>0</v>
      </c>
      <c r="K215" s="114">
        <f>+OCTUBRE!$AG215</f>
        <v>0</v>
      </c>
      <c r="L215" s="114">
        <f>+NOVIEMBRE!$AG215</f>
        <v>0</v>
      </c>
      <c r="M215" s="114">
        <f>+DICIEMBRE!$AG215</f>
        <v>0</v>
      </c>
      <c r="N215" s="116">
        <f t="shared" si="2"/>
        <v>1204</v>
      </c>
    </row>
    <row r="216" spans="1:15" ht="15.75" customHeight="1" x14ac:dyDescent="0.25">
      <c r="A216" s="191" t="s">
        <v>151</v>
      </c>
      <c r="B216" s="192">
        <f>+ENERO!$AG216</f>
        <v>23</v>
      </c>
      <c r="C216" s="192">
        <f>+FEBRERO!$AG216</f>
        <v>8</v>
      </c>
      <c r="D216" s="192">
        <f>+MARZO!$AG216</f>
        <v>33</v>
      </c>
      <c r="E216" s="192">
        <f>+ABRIL!$AG216</f>
        <v>10</v>
      </c>
      <c r="F216" s="192">
        <f>+MAYO!$AG216</f>
        <v>0</v>
      </c>
      <c r="G216" s="192">
        <f>+JUNIO!$AG216</f>
        <v>0</v>
      </c>
      <c r="H216" s="192">
        <f>+Julio!$AG216</f>
        <v>0</v>
      </c>
      <c r="I216" s="192">
        <f>+agosto!$AG216</f>
        <v>0</v>
      </c>
      <c r="J216" s="192">
        <f>+septiembre!$AG216</f>
        <v>0</v>
      </c>
      <c r="K216" s="192">
        <f>+OCTUBRE!$AG216</f>
        <v>0</v>
      </c>
      <c r="L216" s="192">
        <f>+NOVIEMBRE!$AG216</f>
        <v>0</v>
      </c>
      <c r="M216" s="192">
        <f>+DICIEMBRE!$AG216</f>
        <v>0</v>
      </c>
      <c r="N216" s="194">
        <f t="shared" si="2"/>
        <v>74</v>
      </c>
    </row>
    <row r="217" spans="1:15" ht="15.75" customHeight="1" x14ac:dyDescent="0.25">
      <c r="A217" s="195" t="s">
        <v>152</v>
      </c>
      <c r="B217" s="196">
        <f>+ENERO!$AG217</f>
        <v>1</v>
      </c>
      <c r="C217" s="196">
        <f>+FEBRERO!$AG217</f>
        <v>1</v>
      </c>
      <c r="D217" s="196">
        <f>+MARZO!$AG217</f>
        <v>1</v>
      </c>
      <c r="E217" s="196">
        <f>+ABRIL!$AG217</f>
        <v>3</v>
      </c>
      <c r="F217" s="196">
        <f>+MAYO!$AG217</f>
        <v>0</v>
      </c>
      <c r="G217" s="196">
        <f>+JUNIO!$AG217</f>
        <v>0</v>
      </c>
      <c r="H217" s="196">
        <f>+Julio!$AG217</f>
        <v>0</v>
      </c>
      <c r="I217" s="196">
        <f>+agosto!$AG217</f>
        <v>0</v>
      </c>
      <c r="J217" s="196">
        <f>+septiembre!$AG217</f>
        <v>0</v>
      </c>
      <c r="K217" s="196">
        <f>+OCTUBRE!$AG217</f>
        <v>0</v>
      </c>
      <c r="L217" s="196">
        <f>+NOVIEMBRE!$AG217</f>
        <v>0</v>
      </c>
      <c r="M217" s="196">
        <f>+DICIEMBRE!$AG217</f>
        <v>0</v>
      </c>
      <c r="N217" s="164">
        <f t="shared" si="2"/>
        <v>6</v>
      </c>
    </row>
    <row r="218" spans="1:15" ht="15.75" customHeight="1" x14ac:dyDescent="0.25">
      <c r="A218" s="195" t="s">
        <v>153</v>
      </c>
      <c r="B218" s="196">
        <f>+ENERO!$AG218</f>
        <v>242</v>
      </c>
      <c r="C218" s="196">
        <f>+FEBRERO!$AG218</f>
        <v>34</v>
      </c>
      <c r="D218" s="196">
        <f>+MARZO!$AG218</f>
        <v>165</v>
      </c>
      <c r="E218" s="196">
        <f>+ABRIL!$AG218</f>
        <v>25</v>
      </c>
      <c r="F218" s="196">
        <f>+MAYO!$AG218</f>
        <v>0</v>
      </c>
      <c r="G218" s="196">
        <f>+JUNIO!$AG218</f>
        <v>0</v>
      </c>
      <c r="H218" s="196">
        <f>+Julio!$AG218</f>
        <v>0</v>
      </c>
      <c r="I218" s="196">
        <f>+agosto!$AG218</f>
        <v>0</v>
      </c>
      <c r="J218" s="196">
        <f>+septiembre!$AG218</f>
        <v>0</v>
      </c>
      <c r="K218" s="196">
        <f>+OCTUBRE!$AG218</f>
        <v>0</v>
      </c>
      <c r="L218" s="196">
        <f>+NOVIEMBRE!$AG218</f>
        <v>0</v>
      </c>
      <c r="M218" s="196">
        <f>+DICIEMBRE!$AG218</f>
        <v>0</v>
      </c>
      <c r="N218" s="164">
        <f t="shared" si="2"/>
        <v>466</v>
      </c>
    </row>
    <row r="219" spans="1:15" ht="15.75" customHeight="1" x14ac:dyDescent="0.25">
      <c r="A219" s="88" t="s">
        <v>154</v>
      </c>
      <c r="B219" s="89">
        <f>+ENERO!$AG219</f>
        <v>783</v>
      </c>
      <c r="C219" s="89">
        <f>+FEBRERO!$AG219</f>
        <v>429</v>
      </c>
      <c r="D219" s="89">
        <f>+MARZO!$AG219</f>
        <v>1275</v>
      </c>
      <c r="E219" s="89">
        <f>+ABRIL!$AG219</f>
        <v>465</v>
      </c>
      <c r="F219" s="89">
        <f>+MAYO!$AG219</f>
        <v>0</v>
      </c>
      <c r="G219" s="89">
        <f>+JUNIO!$AG219</f>
        <v>0</v>
      </c>
      <c r="H219" s="89">
        <f>+Julio!$AG219</f>
        <v>0</v>
      </c>
      <c r="I219" s="89">
        <f>+agosto!$AG219</f>
        <v>0</v>
      </c>
      <c r="J219" s="89">
        <f>+septiembre!$AG219</f>
        <v>0</v>
      </c>
      <c r="K219" s="89">
        <f>+OCTUBRE!$AG219</f>
        <v>0</v>
      </c>
      <c r="L219" s="89">
        <f>+NOVIEMBRE!$AG219</f>
        <v>0</v>
      </c>
      <c r="M219" s="89">
        <f>+DICIEMBRE!$AG219</f>
        <v>0</v>
      </c>
      <c r="N219" s="91">
        <f t="shared" si="2"/>
        <v>2952</v>
      </c>
    </row>
    <row r="220" spans="1:15" ht="15.75" customHeight="1" x14ac:dyDescent="0.25">
      <c r="A220" s="198" t="s">
        <v>155</v>
      </c>
      <c r="B220" s="199">
        <f>+ENERO!$AG220</f>
        <v>293</v>
      </c>
      <c r="C220" s="199">
        <f>+FEBRERO!$AG220</f>
        <v>124</v>
      </c>
      <c r="D220" s="199">
        <f>+MARZO!$AG220</f>
        <v>450</v>
      </c>
      <c r="E220" s="199">
        <f>+ABRIL!$AG220</f>
        <v>69</v>
      </c>
      <c r="F220" s="199">
        <f>+MAYO!$AG220</f>
        <v>0</v>
      </c>
      <c r="G220" s="199">
        <f>+JUNIO!$AG220</f>
        <v>0</v>
      </c>
      <c r="H220" s="199">
        <f>+Julio!$AG220</f>
        <v>0</v>
      </c>
      <c r="I220" s="199">
        <f>+agosto!$AG220</f>
        <v>0</v>
      </c>
      <c r="J220" s="199">
        <f>+septiembre!$AG220</f>
        <v>0</v>
      </c>
      <c r="K220" s="199">
        <f>+OCTUBRE!$AG220</f>
        <v>0</v>
      </c>
      <c r="L220" s="199">
        <f>+NOVIEMBRE!$AG220</f>
        <v>0</v>
      </c>
      <c r="M220" s="199">
        <f>+DICIEMBRE!$AG220</f>
        <v>0</v>
      </c>
      <c r="N220" s="201">
        <f t="shared" si="2"/>
        <v>936</v>
      </c>
    </row>
    <row r="221" spans="1:15" ht="15.75" customHeight="1" x14ac:dyDescent="0.25">
      <c r="A221" s="202" t="s">
        <v>156</v>
      </c>
      <c r="B221" s="120">
        <f>+ENERO!$AG221</f>
        <v>490</v>
      </c>
      <c r="C221" s="120">
        <f>+FEBRERO!$AG221</f>
        <v>305</v>
      </c>
      <c r="D221" s="120">
        <f>+MARZO!$AG221</f>
        <v>820</v>
      </c>
      <c r="E221" s="120">
        <f>+ABRIL!$AG221</f>
        <v>392</v>
      </c>
      <c r="F221" s="120">
        <f>+MAYO!$AG221</f>
        <v>0</v>
      </c>
      <c r="G221" s="120">
        <f>+JUNIO!$AG221</f>
        <v>0</v>
      </c>
      <c r="H221" s="120">
        <f>+Julio!$AG221</f>
        <v>0</v>
      </c>
      <c r="I221" s="120">
        <f>+agosto!$AG221</f>
        <v>0</v>
      </c>
      <c r="J221" s="120">
        <f>+septiembre!$AG221</f>
        <v>0</v>
      </c>
      <c r="K221" s="120">
        <f>+OCTUBRE!$AG221</f>
        <v>0</v>
      </c>
      <c r="L221" s="120">
        <f>+NOVIEMBRE!$AG221</f>
        <v>0</v>
      </c>
      <c r="M221" s="120">
        <f>+DICIEMBRE!$AG221</f>
        <v>0</v>
      </c>
      <c r="N221" s="122">
        <f t="shared" si="2"/>
        <v>2007</v>
      </c>
    </row>
    <row r="222" spans="1:15" ht="15.75" customHeight="1" x14ac:dyDescent="0.25">
      <c r="A222" s="74" t="s">
        <v>157</v>
      </c>
      <c r="B222" s="75">
        <f>+ENERO!$AG222</f>
        <v>0</v>
      </c>
      <c r="C222" s="75">
        <f>+FEBRERO!$AG222</f>
        <v>0</v>
      </c>
      <c r="D222" s="75">
        <f>+MARZO!$AG222</f>
        <v>5</v>
      </c>
      <c r="E222" s="75">
        <f>+ABRIL!$AG222</f>
        <v>4</v>
      </c>
      <c r="F222" s="75">
        <f>+MAYO!$AG222</f>
        <v>0</v>
      </c>
      <c r="G222" s="75">
        <f>+JUNIO!$AG222</f>
        <v>0</v>
      </c>
      <c r="H222" s="75">
        <f>+Julio!$AG222</f>
        <v>0</v>
      </c>
      <c r="I222" s="75">
        <f>+agosto!$AG222</f>
        <v>0</v>
      </c>
      <c r="J222" s="75">
        <f>+septiembre!$AG222</f>
        <v>0</v>
      </c>
      <c r="K222" s="75">
        <f>+OCTUBRE!$AG222</f>
        <v>0</v>
      </c>
      <c r="L222" s="75">
        <f>+NOVIEMBRE!$AG222</f>
        <v>0</v>
      </c>
      <c r="M222" s="75">
        <f>+DICIEMBRE!$AG222</f>
        <v>0</v>
      </c>
      <c r="N222" s="112">
        <f t="shared" si="2"/>
        <v>9</v>
      </c>
    </row>
    <row r="223" spans="1:15" ht="15.75" customHeight="1" x14ac:dyDescent="0.25">
      <c r="A223" s="203" t="s">
        <v>158</v>
      </c>
      <c r="B223" s="85">
        <f>+ENERO!$AG223</f>
        <v>76</v>
      </c>
      <c r="C223" s="85">
        <f>+FEBRERO!$AG223</f>
        <v>71</v>
      </c>
      <c r="D223" s="85">
        <f>+MARZO!$AG223</f>
        <v>95</v>
      </c>
      <c r="E223" s="85">
        <f>+ABRIL!$AG223</f>
        <v>26</v>
      </c>
      <c r="F223" s="85">
        <f>+MAYO!$AG223</f>
        <v>0</v>
      </c>
      <c r="G223" s="85">
        <f>+JUNIO!$AG223</f>
        <v>91</v>
      </c>
      <c r="H223" s="85">
        <f>+Julio!$AG223</f>
        <v>80</v>
      </c>
      <c r="I223" s="85">
        <f>+agosto!$AG223</f>
        <v>95</v>
      </c>
      <c r="J223" s="85">
        <f>+septiembre!$AG223</f>
        <v>0</v>
      </c>
      <c r="K223" s="85">
        <f>+OCTUBRE!$AG223</f>
        <v>0</v>
      </c>
      <c r="L223" s="85">
        <f>+NOVIEMBRE!$AG223</f>
        <v>0</v>
      </c>
      <c r="M223" s="85">
        <f>+DICIEMBRE!$AG223</f>
        <v>0</v>
      </c>
      <c r="N223" s="110">
        <f t="shared" si="2"/>
        <v>534</v>
      </c>
      <c r="O223" s="364" t="s">
        <v>159</v>
      </c>
    </row>
    <row r="224" spans="1:15" ht="15.75" customHeight="1" x14ac:dyDescent="0.25">
      <c r="A224" s="204" t="s">
        <v>160</v>
      </c>
      <c r="B224" s="205">
        <f>+ENERO!$AG224</f>
        <v>28</v>
      </c>
      <c r="C224" s="205">
        <f>+FEBRERO!$AG224</f>
        <v>29</v>
      </c>
      <c r="D224" s="205">
        <f>+MARZO!$AG224</f>
        <v>44</v>
      </c>
      <c r="E224" s="205">
        <f>+ABRIL!$AG224</f>
        <v>11</v>
      </c>
      <c r="F224" s="205">
        <f>+MAYO!$AG224</f>
        <v>0</v>
      </c>
      <c r="G224" s="205">
        <f>+JUNIO!$AG224</f>
        <v>37</v>
      </c>
      <c r="H224" s="205">
        <f>+Julio!$AG224</f>
        <v>29</v>
      </c>
      <c r="I224" s="205">
        <f>+agosto!$AG224</f>
        <v>38</v>
      </c>
      <c r="J224" s="205">
        <f>+septiembre!$AG224</f>
        <v>0</v>
      </c>
      <c r="K224" s="205">
        <f>+OCTUBRE!$AG224</f>
        <v>0</v>
      </c>
      <c r="L224" s="205">
        <f>+NOVIEMBRE!$AG224</f>
        <v>0</v>
      </c>
      <c r="M224" s="205">
        <f>+DICIEMBRE!$AG224</f>
        <v>0</v>
      </c>
      <c r="N224" s="207">
        <f t="shared" si="2"/>
        <v>216</v>
      </c>
      <c r="O224" s="365"/>
    </row>
    <row r="225" spans="1:15" ht="15.75" customHeight="1" x14ac:dyDescent="0.25">
      <c r="A225" s="204" t="s">
        <v>161</v>
      </c>
      <c r="B225" s="205">
        <f>+ENERO!$AG225</f>
        <v>48</v>
      </c>
      <c r="C225" s="205">
        <f>+FEBRERO!$AG225</f>
        <v>42</v>
      </c>
      <c r="D225" s="205">
        <f>+MARZO!$AG225</f>
        <v>51</v>
      </c>
      <c r="E225" s="205">
        <f>+ABRIL!$AG225</f>
        <v>15</v>
      </c>
      <c r="F225" s="205">
        <f>+MAYO!$AG225</f>
        <v>0</v>
      </c>
      <c r="G225" s="205">
        <f>+JUNIO!$AG225</f>
        <v>54</v>
      </c>
      <c r="H225" s="205">
        <f>+Julio!$AG225</f>
        <v>51</v>
      </c>
      <c r="I225" s="205">
        <f>+agosto!$AG225</f>
        <v>57</v>
      </c>
      <c r="J225" s="205">
        <f>+septiembre!$AG225</f>
        <v>0</v>
      </c>
      <c r="K225" s="205">
        <f>+OCTUBRE!$AG225</f>
        <v>0</v>
      </c>
      <c r="L225" s="205">
        <f>+NOVIEMBRE!$AG225</f>
        <v>0</v>
      </c>
      <c r="M225" s="205">
        <f>+DICIEMBRE!$AG225</f>
        <v>0</v>
      </c>
      <c r="N225" s="207">
        <f t="shared" si="2"/>
        <v>318</v>
      </c>
      <c r="O225" s="365"/>
    </row>
    <row r="226" spans="1:15" ht="15.75" customHeight="1" x14ac:dyDescent="0.25">
      <c r="A226" s="208" t="s">
        <v>162</v>
      </c>
      <c r="B226" s="209">
        <f>+ENERO!$AG226</f>
        <v>0</v>
      </c>
      <c r="C226" s="209">
        <f>+FEBRERO!$AG226</f>
        <v>0</v>
      </c>
      <c r="D226" s="209">
        <f>+MARZO!$AG226</f>
        <v>0</v>
      </c>
      <c r="E226" s="209">
        <f>+ABRIL!$AG226</f>
        <v>0</v>
      </c>
      <c r="F226" s="209">
        <f>+MAYO!$AG226</f>
        <v>0</v>
      </c>
      <c r="G226" s="209">
        <f>+JUNIO!$AG226</f>
        <v>0</v>
      </c>
      <c r="H226" s="209">
        <f>+Julio!$AG226</f>
        <v>0</v>
      </c>
      <c r="I226" s="209">
        <f>+agosto!$AG226</f>
        <v>0</v>
      </c>
      <c r="J226" s="209">
        <f>+septiembre!$AG226</f>
        <v>0</v>
      </c>
      <c r="K226" s="209">
        <f>+OCTUBRE!$AG226</f>
        <v>0</v>
      </c>
      <c r="L226" s="209">
        <f>+NOVIEMBRE!$AG226</f>
        <v>0</v>
      </c>
      <c r="M226" s="209">
        <f>+DICIEMBRE!$AG226</f>
        <v>0</v>
      </c>
      <c r="N226" s="106">
        <f t="shared" si="2"/>
        <v>0</v>
      </c>
      <c r="O226" s="366"/>
    </row>
    <row r="227" spans="1:15" ht="15.75" customHeight="1" x14ac:dyDescent="0.25"/>
    <row r="228" spans="1:15" ht="15.75" customHeight="1" x14ac:dyDescent="0.25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</row>
    <row r="229" spans="1:15" ht="15.75" customHeight="1" x14ac:dyDescent="0.25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</row>
    <row r="230" spans="1:15" ht="15.75" customHeight="1" x14ac:dyDescent="0.25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</row>
    <row r="231" spans="1:15" ht="15.75" customHeight="1" x14ac:dyDescent="0.25"/>
    <row r="232" spans="1:15" ht="15.75" customHeight="1" x14ac:dyDescent="0.25"/>
    <row r="233" spans="1:15" ht="15.75" customHeight="1" x14ac:dyDescent="0.25"/>
    <row r="234" spans="1:15" ht="15.75" customHeight="1" x14ac:dyDescent="0.25"/>
    <row r="235" spans="1:15" ht="15.75" customHeight="1" x14ac:dyDescent="0.25"/>
    <row r="236" spans="1:15" ht="15.75" customHeight="1" x14ac:dyDescent="0.25"/>
    <row r="237" spans="1:15" ht="15.75" customHeight="1" x14ac:dyDescent="0.25"/>
    <row r="238" spans="1:15" ht="15.75" customHeight="1" x14ac:dyDescent="0.25"/>
    <row r="239" spans="1:15" ht="15.75" customHeight="1" x14ac:dyDescent="0.25"/>
    <row r="240" spans="1:15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9.5" customHeight="1" x14ac:dyDescent="0.25"/>
    <row r="258" ht="15.75" customHeight="1" x14ac:dyDescent="0.25"/>
    <row r="259" ht="18.75" customHeight="1" x14ac:dyDescent="0.25"/>
    <row r="260" ht="15.75" customHeight="1" x14ac:dyDescent="0.25"/>
    <row r="261" ht="15.75" customHeight="1" x14ac:dyDescent="0.25"/>
    <row r="262" ht="18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N1"/>
    <mergeCell ref="P84:P86"/>
    <mergeCell ref="O223:O226"/>
  </mergeCells>
  <conditionalFormatting sqref="B29:M52">
    <cfRule type="cellIs" dxfId="117" priority="5" operator="lessThan">
      <formula>0</formula>
    </cfRule>
  </conditionalFormatting>
  <conditionalFormatting sqref="O81">
    <cfRule type="cellIs" dxfId="116" priority="7" operator="equal">
      <formula>"*"</formula>
    </cfRule>
  </conditionalFormatting>
  <conditionalFormatting sqref="O84 O87">
    <cfRule type="cellIs" dxfId="115" priority="6" operator="equal">
      <formula>"*"</formula>
    </cfRule>
  </conditionalFormatting>
  <conditionalFormatting sqref="O93">
    <cfRule type="cellIs" dxfId="114" priority="1" operator="equal">
      <formula>"*"</formula>
    </cfRule>
  </conditionalFormatting>
  <conditionalFormatting sqref="O130">
    <cfRule type="cellIs" dxfId="113" priority="3" operator="equal">
      <formula>"*"</formula>
    </cfRule>
  </conditionalFormatting>
  <conditionalFormatting sqref="O144:O145">
    <cfRule type="cellIs" dxfId="112" priority="2" operator="equal">
      <formula>"*"</formula>
    </cfRule>
  </conditionalFormatting>
  <conditionalFormatting sqref="O182">
    <cfRule type="cellIs" dxfId="111" priority="4" operator="equal">
      <formula>"*"</formula>
    </cfRule>
  </conditionalFormatting>
  <conditionalFormatting sqref="O209">
    <cfRule type="cellIs" dxfId="110" priority="8" operator="equal">
      <formula>"X"</formula>
    </cfRule>
  </conditionalFormatting>
  <dataValidations disablePrompts="1" count="1">
    <dataValidation type="decimal" allowBlank="1" showInputMessage="1" showErrorMessage="1" prompt="ERROR - Por favor ingrese solo Números" sqref="A98:A99 A101:A115" xr:uid="{00000000-0002-0000-0000-000000000000}">
      <formula1>0</formula1>
      <formula2>1000000000</formula2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4"/>
  <dimension ref="A1:AK954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4.42578125" defaultRowHeight="15" x14ac:dyDescent="0.25"/>
  <cols>
    <col min="1" max="1" width="34.7109375" style="271" customWidth="1"/>
    <col min="2" max="2" width="9.7109375" style="271" customWidth="1"/>
    <col min="3" max="32" width="8.28515625" style="271" customWidth="1"/>
    <col min="33" max="33" width="11.140625" style="271" customWidth="1"/>
    <col min="34" max="36" width="14.42578125" style="271"/>
    <col min="37" max="37" width="36.28515625" style="271" bestFit="1" customWidth="1"/>
    <col min="38" max="16384" width="14.42578125" style="271"/>
  </cols>
  <sheetData>
    <row r="1" spans="1:33" ht="21.75" thickBot="1" x14ac:dyDescent="0.3">
      <c r="A1" s="367"/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369"/>
    </row>
    <row r="2" spans="1:33" ht="29.25" thickBot="1" x14ac:dyDescent="0.3">
      <c r="A2" s="272" t="s">
        <v>0</v>
      </c>
      <c r="B2" s="273">
        <v>1</v>
      </c>
      <c r="C2" s="274">
        <f t="shared" ref="C2:AF2" si="0">+B2+1</f>
        <v>2</v>
      </c>
      <c r="D2" s="274">
        <f t="shared" si="0"/>
        <v>3</v>
      </c>
      <c r="E2" s="274">
        <f t="shared" si="0"/>
        <v>4</v>
      </c>
      <c r="F2" s="274">
        <f t="shared" si="0"/>
        <v>5</v>
      </c>
      <c r="G2" s="274">
        <f t="shared" si="0"/>
        <v>6</v>
      </c>
      <c r="H2" s="274">
        <f t="shared" si="0"/>
        <v>7</v>
      </c>
      <c r="I2" s="274">
        <f t="shared" si="0"/>
        <v>8</v>
      </c>
      <c r="J2" s="274">
        <f t="shared" si="0"/>
        <v>9</v>
      </c>
      <c r="K2" s="274">
        <f t="shared" si="0"/>
        <v>10</v>
      </c>
      <c r="L2" s="274">
        <f t="shared" si="0"/>
        <v>11</v>
      </c>
      <c r="M2" s="274">
        <f t="shared" si="0"/>
        <v>12</v>
      </c>
      <c r="N2" s="274">
        <f t="shared" si="0"/>
        <v>13</v>
      </c>
      <c r="O2" s="274">
        <f t="shared" si="0"/>
        <v>14</v>
      </c>
      <c r="P2" s="274">
        <f t="shared" si="0"/>
        <v>15</v>
      </c>
      <c r="Q2" s="274">
        <f t="shared" si="0"/>
        <v>16</v>
      </c>
      <c r="R2" s="274">
        <f t="shared" si="0"/>
        <v>17</v>
      </c>
      <c r="S2" s="274">
        <f t="shared" si="0"/>
        <v>18</v>
      </c>
      <c r="T2" s="274">
        <f t="shared" si="0"/>
        <v>19</v>
      </c>
      <c r="U2" s="274">
        <f t="shared" si="0"/>
        <v>20</v>
      </c>
      <c r="V2" s="274">
        <f t="shared" si="0"/>
        <v>21</v>
      </c>
      <c r="W2" s="274">
        <f t="shared" si="0"/>
        <v>22</v>
      </c>
      <c r="X2" s="274">
        <f t="shared" si="0"/>
        <v>23</v>
      </c>
      <c r="Y2" s="274">
        <f t="shared" si="0"/>
        <v>24</v>
      </c>
      <c r="Z2" s="274">
        <f t="shared" si="0"/>
        <v>25</v>
      </c>
      <c r="AA2" s="274">
        <f t="shared" si="0"/>
        <v>26</v>
      </c>
      <c r="AB2" s="274">
        <f t="shared" si="0"/>
        <v>27</v>
      </c>
      <c r="AC2" s="274">
        <f t="shared" si="0"/>
        <v>28</v>
      </c>
      <c r="AD2" s="274">
        <f t="shared" si="0"/>
        <v>29</v>
      </c>
      <c r="AE2" s="274">
        <f t="shared" si="0"/>
        <v>30</v>
      </c>
      <c r="AF2" s="274">
        <f t="shared" si="0"/>
        <v>31</v>
      </c>
      <c r="AG2" s="275" t="s">
        <v>13</v>
      </c>
    </row>
    <row r="3" spans="1:33" ht="19.5" thickBot="1" x14ac:dyDescent="0.3">
      <c r="A3" s="276" t="s">
        <v>14</v>
      </c>
      <c r="B3" s="6">
        <f t="shared" ref="B3:AF3" si="1">SUM(B4:B27)</f>
        <v>0</v>
      </c>
      <c r="C3" s="6">
        <f t="shared" si="1"/>
        <v>0</v>
      </c>
      <c r="D3" s="6">
        <f t="shared" si="1"/>
        <v>0</v>
      </c>
      <c r="E3" s="6">
        <f t="shared" si="1"/>
        <v>0</v>
      </c>
      <c r="F3" s="6">
        <f t="shared" si="1"/>
        <v>0</v>
      </c>
      <c r="G3" s="6">
        <f t="shared" si="1"/>
        <v>0</v>
      </c>
      <c r="H3" s="6">
        <f t="shared" si="1"/>
        <v>0</v>
      </c>
      <c r="I3" s="6">
        <f t="shared" si="1"/>
        <v>0</v>
      </c>
      <c r="J3" s="6">
        <f t="shared" si="1"/>
        <v>0</v>
      </c>
      <c r="K3" s="6">
        <f t="shared" si="1"/>
        <v>0</v>
      </c>
      <c r="L3" s="6">
        <f t="shared" si="1"/>
        <v>0</v>
      </c>
      <c r="M3" s="6">
        <f t="shared" si="1"/>
        <v>0</v>
      </c>
      <c r="N3" s="6">
        <f t="shared" si="1"/>
        <v>0</v>
      </c>
      <c r="O3" s="6">
        <f t="shared" si="1"/>
        <v>0</v>
      </c>
      <c r="P3" s="6">
        <f t="shared" si="1"/>
        <v>0</v>
      </c>
      <c r="Q3" s="6">
        <f t="shared" si="1"/>
        <v>0</v>
      </c>
      <c r="R3" s="6">
        <f t="shared" si="1"/>
        <v>0</v>
      </c>
      <c r="S3" s="6">
        <f t="shared" si="1"/>
        <v>0</v>
      </c>
      <c r="T3" s="6">
        <f t="shared" si="1"/>
        <v>0</v>
      </c>
      <c r="U3" s="6">
        <f t="shared" si="1"/>
        <v>0</v>
      </c>
      <c r="V3" s="6">
        <f t="shared" si="1"/>
        <v>0</v>
      </c>
      <c r="W3" s="6">
        <f t="shared" si="1"/>
        <v>0</v>
      </c>
      <c r="X3" s="6">
        <f t="shared" si="1"/>
        <v>0</v>
      </c>
      <c r="Y3" s="6">
        <f t="shared" si="1"/>
        <v>0</v>
      </c>
      <c r="Z3" s="6">
        <f t="shared" si="1"/>
        <v>0</v>
      </c>
      <c r="AA3" s="6">
        <f t="shared" si="1"/>
        <v>0</v>
      </c>
      <c r="AB3" s="6">
        <f t="shared" si="1"/>
        <v>0</v>
      </c>
      <c r="AC3" s="6">
        <f t="shared" si="1"/>
        <v>0</v>
      </c>
      <c r="AD3" s="6">
        <f t="shared" si="1"/>
        <v>0</v>
      </c>
      <c r="AE3" s="6">
        <f t="shared" si="1"/>
        <v>0</v>
      </c>
      <c r="AF3" s="6">
        <f t="shared" si="1"/>
        <v>0</v>
      </c>
      <c r="AG3" s="7">
        <f t="shared" ref="AG3:AG66" si="2">SUM(B3:AF3)</f>
        <v>0</v>
      </c>
    </row>
    <row r="4" spans="1:33" ht="18.75" x14ac:dyDescent="0.25">
      <c r="A4" s="277" t="s">
        <v>15</v>
      </c>
      <c r="B4" s="278"/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11">
        <f t="shared" si="2"/>
        <v>0</v>
      </c>
    </row>
    <row r="5" spans="1:33" ht="18.75" x14ac:dyDescent="0.25">
      <c r="A5" s="280" t="s">
        <v>16</v>
      </c>
      <c r="B5" s="278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15">
        <f t="shared" si="2"/>
        <v>0</v>
      </c>
    </row>
    <row r="6" spans="1:33" ht="18.75" x14ac:dyDescent="0.25">
      <c r="A6" s="280" t="s">
        <v>17</v>
      </c>
      <c r="B6" s="278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15">
        <f t="shared" si="2"/>
        <v>0</v>
      </c>
    </row>
    <row r="7" spans="1:33" ht="18.75" x14ac:dyDescent="0.25">
      <c r="A7" s="280" t="s">
        <v>18</v>
      </c>
      <c r="B7" s="278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15">
        <f t="shared" si="2"/>
        <v>0</v>
      </c>
    </row>
    <row r="8" spans="1:33" ht="18.75" x14ac:dyDescent="0.25">
      <c r="A8" s="280" t="s">
        <v>19</v>
      </c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15">
        <f t="shared" si="2"/>
        <v>0</v>
      </c>
    </row>
    <row r="9" spans="1:33" ht="18.75" x14ac:dyDescent="0.25">
      <c r="A9" s="280" t="s">
        <v>20</v>
      </c>
      <c r="B9" s="278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15">
        <f t="shared" si="2"/>
        <v>0</v>
      </c>
    </row>
    <row r="10" spans="1:33" ht="18.75" x14ac:dyDescent="0.25">
      <c r="A10" s="280" t="s">
        <v>21</v>
      </c>
      <c r="B10" s="278"/>
      <c r="C10" s="278"/>
      <c r="D10" s="278"/>
      <c r="E10" s="278"/>
      <c r="F10" s="278"/>
      <c r="G10" s="278"/>
      <c r="H10" s="278"/>
      <c r="I10" s="278"/>
      <c r="J10" s="278"/>
      <c r="K10" s="278"/>
      <c r="L10" s="278"/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  <c r="AC10" s="278"/>
      <c r="AD10" s="278"/>
      <c r="AE10" s="278"/>
      <c r="AF10" s="278"/>
      <c r="AG10" s="15">
        <f t="shared" si="2"/>
        <v>0</v>
      </c>
    </row>
    <row r="11" spans="1:33" ht="18.75" x14ac:dyDescent="0.25">
      <c r="A11" s="280" t="s">
        <v>22</v>
      </c>
      <c r="B11" s="278"/>
      <c r="C11" s="278"/>
      <c r="D11" s="278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15">
        <f t="shared" si="2"/>
        <v>0</v>
      </c>
    </row>
    <row r="12" spans="1:33" ht="18.75" x14ac:dyDescent="0.25">
      <c r="A12" s="280" t="s">
        <v>23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  <c r="AC12" s="278"/>
      <c r="AD12" s="278"/>
      <c r="AE12" s="278"/>
      <c r="AF12" s="278"/>
      <c r="AG12" s="15">
        <f t="shared" si="2"/>
        <v>0</v>
      </c>
    </row>
    <row r="13" spans="1:33" ht="18.75" x14ac:dyDescent="0.25">
      <c r="A13" s="280" t="s">
        <v>24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8"/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  <c r="AC13" s="278"/>
      <c r="AD13" s="278"/>
      <c r="AE13" s="278"/>
      <c r="AF13" s="278"/>
      <c r="AG13" s="15">
        <f t="shared" si="2"/>
        <v>0</v>
      </c>
    </row>
    <row r="14" spans="1:33" ht="18.75" x14ac:dyDescent="0.25">
      <c r="A14" s="280" t="s">
        <v>25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  <c r="AC14" s="278"/>
      <c r="AD14" s="278"/>
      <c r="AE14" s="278"/>
      <c r="AF14" s="278"/>
      <c r="AG14" s="15">
        <f t="shared" si="2"/>
        <v>0</v>
      </c>
    </row>
    <row r="15" spans="1:33" ht="18.75" x14ac:dyDescent="0.25">
      <c r="A15" s="280" t="s">
        <v>26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  <c r="AC15" s="278"/>
      <c r="AD15" s="278"/>
      <c r="AE15" s="278"/>
      <c r="AF15" s="278"/>
      <c r="AG15" s="15">
        <f t="shared" si="2"/>
        <v>0</v>
      </c>
    </row>
    <row r="16" spans="1:33" ht="18.75" x14ac:dyDescent="0.25">
      <c r="A16" s="280" t="s">
        <v>27</v>
      </c>
      <c r="B16" s="278"/>
      <c r="C16" s="278"/>
      <c r="D16" s="278"/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  <c r="AC16" s="278"/>
      <c r="AD16" s="278"/>
      <c r="AE16" s="278"/>
      <c r="AF16" s="278"/>
      <c r="AG16" s="15">
        <f t="shared" si="2"/>
        <v>0</v>
      </c>
    </row>
    <row r="17" spans="1:33" ht="18.75" x14ac:dyDescent="0.25">
      <c r="A17" s="280" t="s">
        <v>28</v>
      </c>
      <c r="B17" s="278"/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  <c r="AC17" s="278"/>
      <c r="AD17" s="278"/>
      <c r="AE17" s="278"/>
      <c r="AF17" s="278"/>
      <c r="AG17" s="15">
        <f t="shared" si="2"/>
        <v>0</v>
      </c>
    </row>
    <row r="18" spans="1:33" ht="18.75" x14ac:dyDescent="0.25">
      <c r="A18" s="280" t="s">
        <v>29</v>
      </c>
      <c r="B18" s="278"/>
      <c r="C18" s="278"/>
      <c r="D18" s="278"/>
      <c r="E18" s="278"/>
      <c r="F18" s="278"/>
      <c r="G18" s="278"/>
      <c r="H18" s="278"/>
      <c r="I18" s="278"/>
      <c r="J18" s="278"/>
      <c r="K18" s="278"/>
      <c r="L18" s="278"/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  <c r="AC18" s="278"/>
      <c r="AD18" s="278"/>
      <c r="AE18" s="278"/>
      <c r="AF18" s="278"/>
      <c r="AG18" s="15">
        <f t="shared" si="2"/>
        <v>0</v>
      </c>
    </row>
    <row r="19" spans="1:33" ht="18.75" x14ac:dyDescent="0.25">
      <c r="A19" s="280" t="s">
        <v>30</v>
      </c>
      <c r="B19" s="278"/>
      <c r="C19" s="278"/>
      <c r="D19" s="278"/>
      <c r="E19" s="278"/>
      <c r="F19" s="278"/>
      <c r="G19" s="278"/>
      <c r="H19" s="278"/>
      <c r="I19" s="278"/>
      <c r="J19" s="278"/>
      <c r="K19" s="278"/>
      <c r="L19" s="278"/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  <c r="AC19" s="278"/>
      <c r="AD19" s="278"/>
      <c r="AE19" s="278"/>
      <c r="AF19" s="278"/>
      <c r="AG19" s="15">
        <f t="shared" si="2"/>
        <v>0</v>
      </c>
    </row>
    <row r="20" spans="1:33" ht="18.75" x14ac:dyDescent="0.25">
      <c r="A20" s="280" t="s">
        <v>31</v>
      </c>
      <c r="B20" s="278"/>
      <c r="C20" s="278"/>
      <c r="D20" s="278"/>
      <c r="E20" s="278"/>
      <c r="F20" s="278"/>
      <c r="G20" s="278"/>
      <c r="H20" s="278"/>
      <c r="I20" s="278"/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  <c r="AC20" s="278"/>
      <c r="AD20" s="278"/>
      <c r="AE20" s="278"/>
      <c r="AF20" s="278"/>
      <c r="AG20" s="15">
        <f t="shared" si="2"/>
        <v>0</v>
      </c>
    </row>
    <row r="21" spans="1:33" ht="15.75" customHeight="1" x14ac:dyDescent="0.25">
      <c r="A21" s="280" t="s">
        <v>32</v>
      </c>
      <c r="B21" s="278"/>
      <c r="C21" s="278"/>
      <c r="D21" s="278"/>
      <c r="E21" s="278"/>
      <c r="F21" s="278"/>
      <c r="G21" s="278"/>
      <c r="H21" s="278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  <c r="AC21" s="278"/>
      <c r="AD21" s="278"/>
      <c r="AE21" s="278"/>
      <c r="AF21" s="278"/>
      <c r="AG21" s="15">
        <f t="shared" si="2"/>
        <v>0</v>
      </c>
    </row>
    <row r="22" spans="1:33" ht="15.75" customHeight="1" x14ac:dyDescent="0.25">
      <c r="A22" s="280" t="s">
        <v>33</v>
      </c>
      <c r="B22" s="278"/>
      <c r="C22" s="278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  <c r="AC22" s="278"/>
      <c r="AD22" s="278"/>
      <c r="AE22" s="278"/>
      <c r="AF22" s="278"/>
      <c r="AG22" s="15">
        <f t="shared" si="2"/>
        <v>0</v>
      </c>
    </row>
    <row r="23" spans="1:33" ht="15.75" customHeight="1" x14ac:dyDescent="0.25">
      <c r="A23" s="280" t="s">
        <v>34</v>
      </c>
      <c r="B23" s="278"/>
      <c r="C23" s="278"/>
      <c r="D23" s="278"/>
      <c r="E23" s="278"/>
      <c r="F23" s="278"/>
      <c r="G23" s="278"/>
      <c r="H23" s="278"/>
      <c r="I23" s="278"/>
      <c r="J23" s="278"/>
      <c r="K23" s="278"/>
      <c r="L23" s="278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15">
        <f t="shared" si="2"/>
        <v>0</v>
      </c>
    </row>
    <row r="24" spans="1:33" ht="15.75" customHeight="1" x14ac:dyDescent="0.25">
      <c r="A24" s="280" t="s">
        <v>35</v>
      </c>
      <c r="B24" s="278"/>
      <c r="C24" s="278"/>
      <c r="D24" s="278"/>
      <c r="E24" s="278"/>
      <c r="F24" s="278"/>
      <c r="G24" s="278"/>
      <c r="H24" s="278"/>
      <c r="I24" s="278"/>
      <c r="J24" s="278"/>
      <c r="K24" s="278"/>
      <c r="L24" s="278"/>
      <c r="M24" s="278"/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278"/>
      <c r="AB24" s="278"/>
      <c r="AC24" s="278"/>
      <c r="AD24" s="278"/>
      <c r="AE24" s="278"/>
      <c r="AF24" s="278"/>
      <c r="AG24" s="15">
        <f t="shared" si="2"/>
        <v>0</v>
      </c>
    </row>
    <row r="25" spans="1:33" ht="15.75" customHeight="1" x14ac:dyDescent="0.25">
      <c r="A25" s="280" t="s">
        <v>36</v>
      </c>
      <c r="B25" s="278"/>
      <c r="C25" s="278"/>
      <c r="D25" s="278"/>
      <c r="E25" s="278"/>
      <c r="F25" s="278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  <c r="AC25" s="278"/>
      <c r="AD25" s="278"/>
      <c r="AE25" s="278"/>
      <c r="AF25" s="278"/>
      <c r="AG25" s="15">
        <f t="shared" si="2"/>
        <v>0</v>
      </c>
    </row>
    <row r="26" spans="1:33" ht="15.75" customHeight="1" x14ac:dyDescent="0.25">
      <c r="A26" s="280" t="s">
        <v>37</v>
      </c>
      <c r="B26" s="278"/>
      <c r="C26" s="278"/>
      <c r="D26" s="278"/>
      <c r="E26" s="278"/>
      <c r="F26" s="278"/>
      <c r="G26" s="278"/>
      <c r="H26" s="278"/>
      <c r="I26" s="278"/>
      <c r="J26" s="278"/>
      <c r="K26" s="278"/>
      <c r="L26" s="278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  <c r="AC26" s="278"/>
      <c r="AD26" s="278"/>
      <c r="AE26" s="278"/>
      <c r="AF26" s="278"/>
      <c r="AG26" s="15">
        <f t="shared" si="2"/>
        <v>0</v>
      </c>
    </row>
    <row r="27" spans="1:33" ht="15.75" customHeight="1" thickBot="1" x14ac:dyDescent="0.3">
      <c r="A27" s="281" t="s">
        <v>38</v>
      </c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15">
        <f t="shared" si="2"/>
        <v>0</v>
      </c>
    </row>
    <row r="28" spans="1:33" ht="15.75" customHeight="1" x14ac:dyDescent="0.25">
      <c r="A28" s="283" t="s">
        <v>39</v>
      </c>
      <c r="B28" s="21">
        <f t="shared" ref="B28:AF28" si="3">SUM(B29:B52)</f>
        <v>0</v>
      </c>
      <c r="C28" s="21">
        <f t="shared" si="3"/>
        <v>0</v>
      </c>
      <c r="D28" s="21">
        <f t="shared" si="3"/>
        <v>0</v>
      </c>
      <c r="E28" s="21">
        <f t="shared" si="3"/>
        <v>0</v>
      </c>
      <c r="F28" s="21">
        <f t="shared" si="3"/>
        <v>0</v>
      </c>
      <c r="G28" s="21">
        <f t="shared" si="3"/>
        <v>0</v>
      </c>
      <c r="H28" s="21">
        <f t="shared" si="3"/>
        <v>0</v>
      </c>
      <c r="I28" s="21">
        <f t="shared" si="3"/>
        <v>0</v>
      </c>
      <c r="J28" s="21">
        <f t="shared" si="3"/>
        <v>0</v>
      </c>
      <c r="K28" s="21">
        <f t="shared" si="3"/>
        <v>0</v>
      </c>
      <c r="L28" s="21">
        <f t="shared" si="3"/>
        <v>0</v>
      </c>
      <c r="M28" s="21">
        <f t="shared" si="3"/>
        <v>0</v>
      </c>
      <c r="N28" s="21">
        <f t="shared" si="3"/>
        <v>0</v>
      </c>
      <c r="O28" s="21">
        <f t="shared" si="3"/>
        <v>0</v>
      </c>
      <c r="P28" s="21">
        <f t="shared" si="3"/>
        <v>0</v>
      </c>
      <c r="Q28" s="21">
        <f t="shared" si="3"/>
        <v>0</v>
      </c>
      <c r="R28" s="21">
        <f t="shared" si="3"/>
        <v>0</v>
      </c>
      <c r="S28" s="21">
        <f t="shared" si="3"/>
        <v>0</v>
      </c>
      <c r="T28" s="21">
        <f t="shared" si="3"/>
        <v>0</v>
      </c>
      <c r="U28" s="21">
        <f t="shared" si="3"/>
        <v>0</v>
      </c>
      <c r="V28" s="21">
        <f t="shared" si="3"/>
        <v>0</v>
      </c>
      <c r="W28" s="21">
        <f t="shared" si="3"/>
        <v>0</v>
      </c>
      <c r="X28" s="21">
        <f t="shared" si="3"/>
        <v>0</v>
      </c>
      <c r="Y28" s="21">
        <f t="shared" si="3"/>
        <v>0</v>
      </c>
      <c r="Z28" s="21">
        <f t="shared" si="3"/>
        <v>0</v>
      </c>
      <c r="AA28" s="21">
        <f t="shared" si="3"/>
        <v>0</v>
      </c>
      <c r="AB28" s="21">
        <f t="shared" si="3"/>
        <v>0</v>
      </c>
      <c r="AC28" s="21">
        <f t="shared" si="3"/>
        <v>0</v>
      </c>
      <c r="AD28" s="21">
        <f t="shared" si="3"/>
        <v>0</v>
      </c>
      <c r="AE28" s="21">
        <f t="shared" si="3"/>
        <v>0</v>
      </c>
      <c r="AF28" s="21">
        <f t="shared" si="3"/>
        <v>0</v>
      </c>
      <c r="AG28" s="22">
        <f t="shared" si="2"/>
        <v>0</v>
      </c>
    </row>
    <row r="29" spans="1:33" ht="15.75" customHeight="1" x14ac:dyDescent="0.25">
      <c r="A29" s="277" t="s">
        <v>15</v>
      </c>
      <c r="B29" s="278"/>
      <c r="C29" s="279"/>
      <c r="D29" s="279"/>
      <c r="E29" s="279"/>
      <c r="F29" s="279"/>
      <c r="G29" s="279"/>
      <c r="H29" s="279"/>
      <c r="I29" s="279"/>
      <c r="J29" s="279"/>
      <c r="K29" s="279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79"/>
      <c r="Y29" s="279"/>
      <c r="Z29" s="279"/>
      <c r="AA29" s="279"/>
      <c r="AB29" s="279"/>
      <c r="AC29" s="279"/>
      <c r="AD29" s="278"/>
      <c r="AE29" s="278"/>
      <c r="AF29" s="278"/>
      <c r="AG29" s="15">
        <f t="shared" si="2"/>
        <v>0</v>
      </c>
    </row>
    <row r="30" spans="1:33" ht="15.75" customHeight="1" x14ac:dyDescent="0.25">
      <c r="A30" s="280" t="s">
        <v>16</v>
      </c>
      <c r="B30" s="278"/>
      <c r="C30" s="278"/>
      <c r="D30" s="278"/>
      <c r="E30" s="278"/>
      <c r="F30" s="278"/>
      <c r="G30" s="278"/>
      <c r="H30" s="278"/>
      <c r="I30" s="278"/>
      <c r="J30" s="278"/>
      <c r="K30" s="278"/>
      <c r="L30" s="278"/>
      <c r="M30" s="278"/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  <c r="AB30" s="278"/>
      <c r="AC30" s="278"/>
      <c r="AD30" s="278"/>
      <c r="AE30" s="278"/>
      <c r="AF30" s="278"/>
      <c r="AG30" s="15">
        <f t="shared" si="2"/>
        <v>0</v>
      </c>
    </row>
    <row r="31" spans="1:33" ht="15.75" customHeight="1" x14ac:dyDescent="0.25">
      <c r="A31" s="280" t="s">
        <v>17</v>
      </c>
      <c r="B31" s="278"/>
      <c r="C31" s="278"/>
      <c r="D31" s="278"/>
      <c r="E31" s="278"/>
      <c r="F31" s="278"/>
      <c r="G31" s="278"/>
      <c r="H31" s="278"/>
      <c r="I31" s="278"/>
      <c r="J31" s="278"/>
      <c r="K31" s="278"/>
      <c r="L31" s="278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  <c r="AC31" s="278"/>
      <c r="AD31" s="278"/>
      <c r="AE31" s="278"/>
      <c r="AF31" s="278"/>
      <c r="AG31" s="15">
        <f t="shared" si="2"/>
        <v>0</v>
      </c>
    </row>
    <row r="32" spans="1:33" ht="15.75" customHeight="1" x14ac:dyDescent="0.25">
      <c r="A32" s="280" t="s">
        <v>18</v>
      </c>
      <c r="B32" s="278"/>
      <c r="C32" s="278"/>
      <c r="D32" s="278"/>
      <c r="E32" s="278"/>
      <c r="F32" s="278"/>
      <c r="G32" s="278"/>
      <c r="H32" s="278"/>
      <c r="I32" s="278"/>
      <c r="J32" s="278"/>
      <c r="K32" s="278"/>
      <c r="L32" s="278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  <c r="AB32" s="278"/>
      <c r="AC32" s="278"/>
      <c r="AD32" s="278"/>
      <c r="AE32" s="278"/>
      <c r="AF32" s="278"/>
      <c r="AG32" s="15">
        <f t="shared" si="2"/>
        <v>0</v>
      </c>
    </row>
    <row r="33" spans="1:33" ht="15.75" customHeight="1" x14ac:dyDescent="0.25">
      <c r="A33" s="280" t="s">
        <v>19</v>
      </c>
      <c r="B33" s="278"/>
      <c r="C33" s="278"/>
      <c r="D33" s="278"/>
      <c r="E33" s="278"/>
      <c r="F33" s="278"/>
      <c r="G33" s="278"/>
      <c r="H33" s="278"/>
      <c r="I33" s="278"/>
      <c r="J33" s="278"/>
      <c r="K33" s="278"/>
      <c r="L33" s="278"/>
      <c r="M33" s="278"/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  <c r="AB33" s="278"/>
      <c r="AC33" s="278"/>
      <c r="AD33" s="278"/>
      <c r="AE33" s="278"/>
      <c r="AF33" s="278"/>
      <c r="AG33" s="15">
        <f t="shared" si="2"/>
        <v>0</v>
      </c>
    </row>
    <row r="34" spans="1:33" ht="15.75" customHeight="1" x14ac:dyDescent="0.25">
      <c r="A34" s="280" t="s">
        <v>20</v>
      </c>
      <c r="B34" s="278"/>
      <c r="C34" s="278"/>
      <c r="D34" s="278"/>
      <c r="E34" s="278"/>
      <c r="F34" s="278"/>
      <c r="G34" s="278"/>
      <c r="H34" s="278"/>
      <c r="I34" s="278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  <c r="AC34" s="278"/>
      <c r="AD34" s="278"/>
      <c r="AE34" s="278"/>
      <c r="AF34" s="278"/>
      <c r="AG34" s="15">
        <f t="shared" si="2"/>
        <v>0</v>
      </c>
    </row>
    <row r="35" spans="1:33" ht="15.75" customHeight="1" x14ac:dyDescent="0.25">
      <c r="A35" s="280" t="s">
        <v>21</v>
      </c>
      <c r="B35" s="278"/>
      <c r="C35" s="278"/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  <c r="AB35" s="278"/>
      <c r="AC35" s="278"/>
      <c r="AD35" s="278"/>
      <c r="AE35" s="278"/>
      <c r="AF35" s="278"/>
      <c r="AG35" s="15">
        <f t="shared" si="2"/>
        <v>0</v>
      </c>
    </row>
    <row r="36" spans="1:33" ht="15.75" customHeight="1" x14ac:dyDescent="0.25">
      <c r="A36" s="280" t="s">
        <v>22</v>
      </c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  <c r="AB36" s="278"/>
      <c r="AC36" s="278"/>
      <c r="AD36" s="278"/>
      <c r="AE36" s="278"/>
      <c r="AF36" s="278"/>
      <c r="AG36" s="15">
        <f t="shared" si="2"/>
        <v>0</v>
      </c>
    </row>
    <row r="37" spans="1:33" ht="15.75" customHeight="1" x14ac:dyDescent="0.25">
      <c r="A37" s="280" t="s">
        <v>23</v>
      </c>
      <c r="B37" s="278"/>
      <c r="C37" s="278"/>
      <c r="D37" s="278"/>
      <c r="E37" s="278"/>
      <c r="F37" s="278"/>
      <c r="G37" s="278"/>
      <c r="H37" s="278"/>
      <c r="I37" s="278"/>
      <c r="J37" s="278"/>
      <c r="K37" s="278"/>
      <c r="L37" s="278"/>
      <c r="M37" s="278"/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278"/>
      <c r="AC37" s="278"/>
      <c r="AD37" s="278"/>
      <c r="AE37" s="278"/>
      <c r="AF37" s="278"/>
      <c r="AG37" s="15">
        <f t="shared" si="2"/>
        <v>0</v>
      </c>
    </row>
    <row r="38" spans="1:33" ht="15.75" customHeight="1" x14ac:dyDescent="0.25">
      <c r="A38" s="280" t="s">
        <v>24</v>
      </c>
      <c r="B38" s="278"/>
      <c r="C38" s="278"/>
      <c r="D38" s="278"/>
      <c r="E38" s="278"/>
      <c r="F38" s="278"/>
      <c r="G38" s="278"/>
      <c r="H38" s="278"/>
      <c r="I38" s="278"/>
      <c r="J38" s="278"/>
      <c r="K38" s="278"/>
      <c r="L38" s="278"/>
      <c r="M38" s="278"/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278"/>
      <c r="AB38" s="278"/>
      <c r="AC38" s="278"/>
      <c r="AD38" s="278"/>
      <c r="AE38" s="278"/>
      <c r="AF38" s="278"/>
      <c r="AG38" s="15">
        <f t="shared" si="2"/>
        <v>0</v>
      </c>
    </row>
    <row r="39" spans="1:33" ht="15.75" customHeight="1" x14ac:dyDescent="0.25">
      <c r="A39" s="280" t="s">
        <v>25</v>
      </c>
      <c r="B39" s="278"/>
      <c r="C39" s="278"/>
      <c r="D39" s="278"/>
      <c r="E39" s="278"/>
      <c r="F39" s="278"/>
      <c r="G39" s="278"/>
      <c r="H39" s="278"/>
      <c r="I39" s="278"/>
      <c r="J39" s="278"/>
      <c r="K39" s="278"/>
      <c r="L39" s="278"/>
      <c r="M39" s="278"/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78"/>
      <c r="AB39" s="278"/>
      <c r="AC39" s="278"/>
      <c r="AD39" s="278"/>
      <c r="AE39" s="278"/>
      <c r="AF39" s="278"/>
      <c r="AG39" s="15">
        <f t="shared" si="2"/>
        <v>0</v>
      </c>
    </row>
    <row r="40" spans="1:33" ht="15.75" customHeight="1" x14ac:dyDescent="0.25">
      <c r="A40" s="280" t="s">
        <v>26</v>
      </c>
      <c r="B40" s="278"/>
      <c r="C40" s="278"/>
      <c r="D40" s="278"/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  <c r="AB40" s="278"/>
      <c r="AC40" s="278"/>
      <c r="AD40" s="278"/>
      <c r="AE40" s="278"/>
      <c r="AF40" s="278"/>
      <c r="AG40" s="15">
        <f t="shared" si="2"/>
        <v>0</v>
      </c>
    </row>
    <row r="41" spans="1:33" ht="15.75" customHeight="1" x14ac:dyDescent="0.25">
      <c r="A41" s="280" t="s">
        <v>27</v>
      </c>
      <c r="B41" s="278"/>
      <c r="C41" s="278"/>
      <c r="D41" s="278"/>
      <c r="E41" s="278"/>
      <c r="F41" s="278"/>
      <c r="G41" s="278"/>
      <c r="H41" s="278"/>
      <c r="I41" s="278"/>
      <c r="J41" s="278"/>
      <c r="K41" s="278"/>
      <c r="L41" s="278"/>
      <c r="M41" s="278"/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  <c r="AA41" s="278"/>
      <c r="AB41" s="278"/>
      <c r="AC41" s="278"/>
      <c r="AD41" s="278"/>
      <c r="AE41" s="278"/>
      <c r="AF41" s="278"/>
      <c r="AG41" s="15">
        <f t="shared" si="2"/>
        <v>0</v>
      </c>
    </row>
    <row r="42" spans="1:33" ht="15.75" customHeight="1" x14ac:dyDescent="0.25">
      <c r="A42" s="280" t="s">
        <v>28</v>
      </c>
      <c r="B42" s="278"/>
      <c r="C42" s="278"/>
      <c r="D42" s="278"/>
      <c r="E42" s="278"/>
      <c r="F42" s="278"/>
      <c r="G42" s="278"/>
      <c r="H42" s="278"/>
      <c r="I42" s="278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  <c r="AB42" s="278"/>
      <c r="AC42" s="278"/>
      <c r="AD42" s="278"/>
      <c r="AE42" s="278"/>
      <c r="AF42" s="278"/>
      <c r="AG42" s="15">
        <f t="shared" si="2"/>
        <v>0</v>
      </c>
    </row>
    <row r="43" spans="1:33" ht="15.75" customHeight="1" x14ac:dyDescent="0.25">
      <c r="A43" s="280" t="s">
        <v>29</v>
      </c>
      <c r="B43" s="278"/>
      <c r="C43" s="278"/>
      <c r="D43" s="278"/>
      <c r="E43" s="278"/>
      <c r="F43" s="278"/>
      <c r="G43" s="278"/>
      <c r="H43" s="278"/>
      <c r="I43" s="278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  <c r="AA43" s="278"/>
      <c r="AB43" s="278"/>
      <c r="AC43" s="278"/>
      <c r="AD43" s="278"/>
      <c r="AE43" s="278"/>
      <c r="AF43" s="278"/>
      <c r="AG43" s="15">
        <f t="shared" si="2"/>
        <v>0</v>
      </c>
    </row>
    <row r="44" spans="1:33" ht="15.75" customHeight="1" x14ac:dyDescent="0.25">
      <c r="A44" s="280" t="s">
        <v>30</v>
      </c>
      <c r="B44" s="278"/>
      <c r="C44" s="278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  <c r="AB44" s="278"/>
      <c r="AC44" s="278"/>
      <c r="AD44" s="278"/>
      <c r="AE44" s="278"/>
      <c r="AF44" s="278"/>
      <c r="AG44" s="15">
        <f t="shared" si="2"/>
        <v>0</v>
      </c>
    </row>
    <row r="45" spans="1:33" ht="15.75" customHeight="1" x14ac:dyDescent="0.25">
      <c r="A45" s="280" t="s">
        <v>31</v>
      </c>
      <c r="B45" s="278"/>
      <c r="C45" s="278"/>
      <c r="D45" s="278"/>
      <c r="E45" s="278"/>
      <c r="F45" s="278"/>
      <c r="G45" s="278"/>
      <c r="H45" s="278"/>
      <c r="I45" s="278"/>
      <c r="J45" s="278"/>
      <c r="K45" s="278"/>
      <c r="L45" s="278"/>
      <c r="M45" s="278"/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  <c r="AA45" s="278"/>
      <c r="AB45" s="278"/>
      <c r="AC45" s="278"/>
      <c r="AD45" s="278"/>
      <c r="AE45" s="278"/>
      <c r="AF45" s="278"/>
      <c r="AG45" s="15">
        <f t="shared" si="2"/>
        <v>0</v>
      </c>
    </row>
    <row r="46" spans="1:33" ht="15.75" customHeight="1" x14ac:dyDescent="0.25">
      <c r="A46" s="280" t="s">
        <v>32</v>
      </c>
      <c r="B46" s="278"/>
      <c r="C46" s="278"/>
      <c r="D46" s="278"/>
      <c r="E46" s="278"/>
      <c r="F46" s="278"/>
      <c r="G46" s="278"/>
      <c r="H46" s="278"/>
      <c r="I46" s="278"/>
      <c r="J46" s="278"/>
      <c r="K46" s="278"/>
      <c r="L46" s="278"/>
      <c r="M46" s="278"/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  <c r="AA46" s="278"/>
      <c r="AB46" s="278"/>
      <c r="AC46" s="278"/>
      <c r="AD46" s="278"/>
      <c r="AE46" s="278"/>
      <c r="AF46" s="278"/>
      <c r="AG46" s="15">
        <f t="shared" si="2"/>
        <v>0</v>
      </c>
    </row>
    <row r="47" spans="1:33" ht="15.75" customHeight="1" x14ac:dyDescent="0.25">
      <c r="A47" s="280" t="s">
        <v>33</v>
      </c>
      <c r="B47" s="278"/>
      <c r="C47" s="278"/>
      <c r="D47" s="278"/>
      <c r="E47" s="278"/>
      <c r="F47" s="278"/>
      <c r="G47" s="278"/>
      <c r="H47" s="278"/>
      <c r="I47" s="278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  <c r="AB47" s="278"/>
      <c r="AC47" s="278"/>
      <c r="AD47" s="278"/>
      <c r="AE47" s="278"/>
      <c r="AF47" s="278"/>
      <c r="AG47" s="15">
        <f t="shared" si="2"/>
        <v>0</v>
      </c>
    </row>
    <row r="48" spans="1:33" ht="15.75" customHeight="1" x14ac:dyDescent="0.25">
      <c r="A48" s="280" t="s">
        <v>34</v>
      </c>
      <c r="B48" s="278"/>
      <c r="C48" s="278"/>
      <c r="D48" s="278"/>
      <c r="E48" s="278"/>
      <c r="F48" s="278"/>
      <c r="G48" s="278"/>
      <c r="H48" s="278"/>
      <c r="I48" s="278"/>
      <c r="J48" s="278"/>
      <c r="K48" s="278"/>
      <c r="L48" s="278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78"/>
      <c r="AB48" s="278"/>
      <c r="AC48" s="278"/>
      <c r="AD48" s="278"/>
      <c r="AE48" s="278"/>
      <c r="AF48" s="278"/>
      <c r="AG48" s="15">
        <f t="shared" si="2"/>
        <v>0</v>
      </c>
    </row>
    <row r="49" spans="1:33" ht="15.75" customHeight="1" x14ac:dyDescent="0.25">
      <c r="A49" s="280" t="s">
        <v>35</v>
      </c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278"/>
      <c r="M49" s="278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278"/>
      <c r="AB49" s="278"/>
      <c r="AC49" s="278"/>
      <c r="AD49" s="278"/>
      <c r="AE49" s="278"/>
      <c r="AF49" s="278"/>
      <c r="AG49" s="15">
        <f t="shared" si="2"/>
        <v>0</v>
      </c>
    </row>
    <row r="50" spans="1:33" ht="15.75" customHeight="1" x14ac:dyDescent="0.25">
      <c r="A50" s="280" t="s">
        <v>36</v>
      </c>
      <c r="B50" s="278"/>
      <c r="C50" s="278"/>
      <c r="D50" s="278"/>
      <c r="E50" s="278"/>
      <c r="F50" s="278"/>
      <c r="G50" s="278"/>
      <c r="H50" s="278"/>
      <c r="I50" s="278"/>
      <c r="J50" s="278"/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  <c r="AB50" s="278"/>
      <c r="AC50" s="278"/>
      <c r="AD50" s="278"/>
      <c r="AE50" s="278"/>
      <c r="AF50" s="278"/>
      <c r="AG50" s="15">
        <f t="shared" si="2"/>
        <v>0</v>
      </c>
    </row>
    <row r="51" spans="1:33" ht="15.75" customHeight="1" x14ac:dyDescent="0.25">
      <c r="A51" s="280" t="s">
        <v>37</v>
      </c>
      <c r="B51" s="278"/>
      <c r="C51" s="278"/>
      <c r="D51" s="278"/>
      <c r="E51" s="278"/>
      <c r="F51" s="278"/>
      <c r="G51" s="278"/>
      <c r="H51" s="278"/>
      <c r="I51" s="278"/>
      <c r="J51" s="278"/>
      <c r="K51" s="278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  <c r="AA51" s="278"/>
      <c r="AB51" s="278"/>
      <c r="AC51" s="278"/>
      <c r="AD51" s="278"/>
      <c r="AE51" s="278"/>
      <c r="AF51" s="278"/>
      <c r="AG51" s="15">
        <f t="shared" si="2"/>
        <v>0</v>
      </c>
    </row>
    <row r="52" spans="1:33" ht="15.75" customHeight="1" thickBot="1" x14ac:dyDescent="0.3">
      <c r="A52" s="281" t="s">
        <v>38</v>
      </c>
      <c r="B52" s="282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4"/>
      <c r="AE52" s="284"/>
      <c r="AF52" s="284"/>
      <c r="AG52" s="26">
        <f t="shared" si="2"/>
        <v>0</v>
      </c>
    </row>
    <row r="53" spans="1:33" ht="15.75" customHeight="1" thickBot="1" x14ac:dyDescent="0.3">
      <c r="A53" s="276" t="s">
        <v>40</v>
      </c>
      <c r="B53" s="6">
        <f t="shared" ref="B53:AF53" si="4">SUM(B54:B77)</f>
        <v>0</v>
      </c>
      <c r="C53" s="6">
        <f t="shared" si="4"/>
        <v>0</v>
      </c>
      <c r="D53" s="6">
        <f t="shared" si="4"/>
        <v>0</v>
      </c>
      <c r="E53" s="6">
        <f t="shared" si="4"/>
        <v>0</v>
      </c>
      <c r="F53" s="6">
        <f t="shared" si="4"/>
        <v>0</v>
      </c>
      <c r="G53" s="6">
        <f t="shared" si="4"/>
        <v>0</v>
      </c>
      <c r="H53" s="6">
        <f t="shared" si="4"/>
        <v>0</v>
      </c>
      <c r="I53" s="6">
        <f t="shared" si="4"/>
        <v>0</v>
      </c>
      <c r="J53" s="6">
        <f t="shared" si="4"/>
        <v>0</v>
      </c>
      <c r="K53" s="6">
        <f t="shared" si="4"/>
        <v>0</v>
      </c>
      <c r="L53" s="6">
        <f t="shared" si="4"/>
        <v>0</v>
      </c>
      <c r="M53" s="6">
        <f t="shared" si="4"/>
        <v>0</v>
      </c>
      <c r="N53" s="6">
        <f t="shared" si="4"/>
        <v>0</v>
      </c>
      <c r="O53" s="6">
        <f t="shared" si="4"/>
        <v>0</v>
      </c>
      <c r="P53" s="6">
        <f t="shared" si="4"/>
        <v>0</v>
      </c>
      <c r="Q53" s="6">
        <f t="shared" si="4"/>
        <v>0</v>
      </c>
      <c r="R53" s="6">
        <f t="shared" si="4"/>
        <v>0</v>
      </c>
      <c r="S53" s="6">
        <f t="shared" si="4"/>
        <v>0</v>
      </c>
      <c r="T53" s="6">
        <f t="shared" si="4"/>
        <v>0</v>
      </c>
      <c r="U53" s="6">
        <f t="shared" si="4"/>
        <v>0</v>
      </c>
      <c r="V53" s="6">
        <f t="shared" si="4"/>
        <v>0</v>
      </c>
      <c r="W53" s="6">
        <f t="shared" si="4"/>
        <v>0</v>
      </c>
      <c r="X53" s="6">
        <f t="shared" si="4"/>
        <v>0</v>
      </c>
      <c r="Y53" s="6">
        <f t="shared" si="4"/>
        <v>0</v>
      </c>
      <c r="Z53" s="6">
        <f t="shared" si="4"/>
        <v>0</v>
      </c>
      <c r="AA53" s="6">
        <f t="shared" si="4"/>
        <v>0</v>
      </c>
      <c r="AB53" s="6">
        <f t="shared" si="4"/>
        <v>0</v>
      </c>
      <c r="AC53" s="6">
        <f t="shared" si="4"/>
        <v>0</v>
      </c>
      <c r="AD53" s="6">
        <f t="shared" si="4"/>
        <v>0</v>
      </c>
      <c r="AE53" s="6">
        <f t="shared" si="4"/>
        <v>0</v>
      </c>
      <c r="AF53" s="6">
        <f t="shared" si="4"/>
        <v>0</v>
      </c>
      <c r="AG53" s="27">
        <f t="shared" si="2"/>
        <v>0</v>
      </c>
    </row>
    <row r="54" spans="1:33" ht="15.75" customHeight="1" x14ac:dyDescent="0.25">
      <c r="A54" s="280" t="s">
        <v>15</v>
      </c>
      <c r="B54" s="278"/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279"/>
      <c r="T54" s="279"/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11">
        <f t="shared" si="2"/>
        <v>0</v>
      </c>
    </row>
    <row r="55" spans="1:33" ht="15.75" customHeight="1" x14ac:dyDescent="0.25">
      <c r="A55" s="280" t="s">
        <v>16</v>
      </c>
      <c r="B55" s="278"/>
      <c r="C55" s="278"/>
      <c r="D55" s="278"/>
      <c r="E55" s="278"/>
      <c r="F55" s="278"/>
      <c r="G55" s="278"/>
      <c r="H55" s="278"/>
      <c r="I55" s="278"/>
      <c r="J55" s="278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  <c r="AA55" s="278"/>
      <c r="AB55" s="278"/>
      <c r="AC55" s="278"/>
      <c r="AD55" s="278"/>
      <c r="AE55" s="278"/>
      <c r="AF55" s="278"/>
      <c r="AG55" s="15">
        <f t="shared" si="2"/>
        <v>0</v>
      </c>
    </row>
    <row r="56" spans="1:33" ht="15.75" customHeight="1" x14ac:dyDescent="0.25">
      <c r="A56" s="280" t="s">
        <v>17</v>
      </c>
      <c r="B56" s="278"/>
      <c r="C56" s="278"/>
      <c r="D56" s="278"/>
      <c r="E56" s="278"/>
      <c r="F56" s="278"/>
      <c r="G56" s="278"/>
      <c r="H56" s="278"/>
      <c r="I56" s="278"/>
      <c r="J56" s="278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278"/>
      <c r="AB56" s="278"/>
      <c r="AC56" s="278"/>
      <c r="AD56" s="278"/>
      <c r="AE56" s="278"/>
      <c r="AF56" s="278"/>
      <c r="AG56" s="15">
        <f t="shared" si="2"/>
        <v>0</v>
      </c>
    </row>
    <row r="57" spans="1:33" ht="15.75" customHeight="1" x14ac:dyDescent="0.25">
      <c r="A57" s="280" t="s">
        <v>18</v>
      </c>
      <c r="B57" s="278"/>
      <c r="C57" s="278"/>
      <c r="D57" s="278"/>
      <c r="E57" s="278"/>
      <c r="F57" s="278"/>
      <c r="G57" s="278"/>
      <c r="H57" s="278"/>
      <c r="I57" s="278"/>
      <c r="J57" s="278"/>
      <c r="K57" s="278"/>
      <c r="L57" s="278"/>
      <c r="M57" s="278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  <c r="AA57" s="278"/>
      <c r="AB57" s="278"/>
      <c r="AC57" s="278"/>
      <c r="AD57" s="278"/>
      <c r="AE57" s="278"/>
      <c r="AF57" s="278"/>
      <c r="AG57" s="15">
        <f t="shared" si="2"/>
        <v>0</v>
      </c>
    </row>
    <row r="58" spans="1:33" ht="15.75" customHeight="1" x14ac:dyDescent="0.25">
      <c r="A58" s="280" t="s">
        <v>19</v>
      </c>
      <c r="B58" s="278"/>
      <c r="C58" s="278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  <c r="AA58" s="278"/>
      <c r="AB58" s="278"/>
      <c r="AC58" s="278"/>
      <c r="AD58" s="278"/>
      <c r="AE58" s="278"/>
      <c r="AF58" s="278"/>
      <c r="AG58" s="15">
        <f t="shared" si="2"/>
        <v>0</v>
      </c>
    </row>
    <row r="59" spans="1:33" ht="15.75" customHeight="1" x14ac:dyDescent="0.25">
      <c r="A59" s="280" t="s">
        <v>20</v>
      </c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  <c r="AB59" s="278"/>
      <c r="AC59" s="278"/>
      <c r="AD59" s="278"/>
      <c r="AE59" s="278"/>
      <c r="AF59" s="278"/>
      <c r="AG59" s="15">
        <f t="shared" si="2"/>
        <v>0</v>
      </c>
    </row>
    <row r="60" spans="1:33" ht="15.75" customHeight="1" x14ac:dyDescent="0.25">
      <c r="A60" s="280" t="s">
        <v>21</v>
      </c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  <c r="AA60" s="278"/>
      <c r="AB60" s="278"/>
      <c r="AC60" s="278"/>
      <c r="AD60" s="278"/>
      <c r="AE60" s="278"/>
      <c r="AF60" s="278"/>
      <c r="AG60" s="15">
        <f t="shared" si="2"/>
        <v>0</v>
      </c>
    </row>
    <row r="61" spans="1:33" ht="15.75" customHeight="1" x14ac:dyDescent="0.25">
      <c r="A61" s="280" t="s">
        <v>22</v>
      </c>
      <c r="B61" s="278"/>
      <c r="C61" s="278"/>
      <c r="D61" s="278"/>
      <c r="E61" s="278"/>
      <c r="F61" s="278"/>
      <c r="G61" s="278"/>
      <c r="H61" s="278"/>
      <c r="I61" s="278"/>
      <c r="J61" s="278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78"/>
      <c r="AB61" s="278"/>
      <c r="AC61" s="278"/>
      <c r="AD61" s="278"/>
      <c r="AE61" s="278"/>
      <c r="AF61" s="278"/>
      <c r="AG61" s="15">
        <f t="shared" si="2"/>
        <v>0</v>
      </c>
    </row>
    <row r="62" spans="1:33" ht="15.75" customHeight="1" x14ac:dyDescent="0.25">
      <c r="A62" s="280" t="s">
        <v>23</v>
      </c>
      <c r="B62" s="278"/>
      <c r="C62" s="278"/>
      <c r="D62" s="278"/>
      <c r="E62" s="278"/>
      <c r="F62" s="278"/>
      <c r="G62" s="278"/>
      <c r="H62" s="278"/>
      <c r="I62" s="278"/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278"/>
      <c r="AB62" s="278"/>
      <c r="AC62" s="278"/>
      <c r="AD62" s="278"/>
      <c r="AE62" s="278"/>
      <c r="AF62" s="278"/>
      <c r="AG62" s="15">
        <f t="shared" si="2"/>
        <v>0</v>
      </c>
    </row>
    <row r="63" spans="1:33" ht="15.75" customHeight="1" x14ac:dyDescent="0.25">
      <c r="A63" s="280" t="s">
        <v>24</v>
      </c>
      <c r="B63" s="278"/>
      <c r="C63" s="278"/>
      <c r="D63" s="278"/>
      <c r="E63" s="278"/>
      <c r="F63" s="278"/>
      <c r="G63" s="278"/>
      <c r="H63" s="278"/>
      <c r="I63" s="278"/>
      <c r="J63" s="278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  <c r="AB63" s="278"/>
      <c r="AC63" s="278"/>
      <c r="AD63" s="278"/>
      <c r="AE63" s="278"/>
      <c r="AF63" s="278"/>
      <c r="AG63" s="15">
        <f t="shared" si="2"/>
        <v>0</v>
      </c>
    </row>
    <row r="64" spans="1:33" ht="15.75" customHeight="1" x14ac:dyDescent="0.25">
      <c r="A64" s="280" t="s">
        <v>25</v>
      </c>
      <c r="B64" s="278"/>
      <c r="C64" s="278"/>
      <c r="D64" s="278"/>
      <c r="E64" s="278"/>
      <c r="F64" s="278"/>
      <c r="G64" s="278"/>
      <c r="H64" s="278"/>
      <c r="I64" s="278"/>
      <c r="J64" s="278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  <c r="AB64" s="278"/>
      <c r="AC64" s="278"/>
      <c r="AD64" s="278"/>
      <c r="AE64" s="278"/>
      <c r="AF64" s="278"/>
      <c r="AG64" s="15">
        <f t="shared" si="2"/>
        <v>0</v>
      </c>
    </row>
    <row r="65" spans="1:33" ht="15.75" customHeight="1" x14ac:dyDescent="0.25">
      <c r="A65" s="280" t="s">
        <v>26</v>
      </c>
      <c r="B65" s="278"/>
      <c r="C65" s="278"/>
      <c r="D65" s="278"/>
      <c r="E65" s="278"/>
      <c r="F65" s="278"/>
      <c r="G65" s="278"/>
      <c r="H65" s="278"/>
      <c r="I65" s="278"/>
      <c r="J65" s="278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  <c r="AB65" s="278"/>
      <c r="AC65" s="278"/>
      <c r="AD65" s="278"/>
      <c r="AE65" s="278"/>
      <c r="AF65" s="278"/>
      <c r="AG65" s="15">
        <f t="shared" si="2"/>
        <v>0</v>
      </c>
    </row>
    <row r="66" spans="1:33" ht="15.75" customHeight="1" x14ac:dyDescent="0.25">
      <c r="A66" s="280" t="s">
        <v>27</v>
      </c>
      <c r="B66" s="278"/>
      <c r="C66" s="278"/>
      <c r="D66" s="278"/>
      <c r="E66" s="278"/>
      <c r="F66" s="278"/>
      <c r="G66" s="278"/>
      <c r="H66" s="278"/>
      <c r="I66" s="278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  <c r="AB66" s="278"/>
      <c r="AC66" s="278"/>
      <c r="AD66" s="278"/>
      <c r="AE66" s="278"/>
      <c r="AF66" s="278"/>
      <c r="AG66" s="15">
        <f t="shared" si="2"/>
        <v>0</v>
      </c>
    </row>
    <row r="67" spans="1:33" ht="15.75" customHeight="1" x14ac:dyDescent="0.25">
      <c r="A67" s="280" t="s">
        <v>28</v>
      </c>
      <c r="B67" s="278"/>
      <c r="C67" s="278"/>
      <c r="D67" s="278"/>
      <c r="E67" s="278"/>
      <c r="F67" s="278"/>
      <c r="G67" s="278"/>
      <c r="H67" s="278"/>
      <c r="I67" s="278"/>
      <c r="J67" s="278"/>
      <c r="K67" s="278"/>
      <c r="L67" s="278"/>
      <c r="M67" s="27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278"/>
      <c r="AB67" s="278"/>
      <c r="AC67" s="278"/>
      <c r="AD67" s="278"/>
      <c r="AE67" s="278"/>
      <c r="AF67" s="278"/>
      <c r="AG67" s="15">
        <f t="shared" ref="AG67:AG98" si="5">SUM(B67:AF67)</f>
        <v>0</v>
      </c>
    </row>
    <row r="68" spans="1:33" ht="15.75" customHeight="1" x14ac:dyDescent="0.25">
      <c r="A68" s="280" t="s">
        <v>29</v>
      </c>
      <c r="B68" s="278"/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15">
        <f t="shared" si="5"/>
        <v>0</v>
      </c>
    </row>
    <row r="69" spans="1:33" ht="15.75" customHeight="1" x14ac:dyDescent="0.25">
      <c r="A69" s="280" t="s">
        <v>30</v>
      </c>
      <c r="B69" s="278"/>
      <c r="C69" s="278"/>
      <c r="D69" s="278"/>
      <c r="E69" s="278"/>
      <c r="F69" s="278"/>
      <c r="G69" s="278"/>
      <c r="H69" s="278"/>
      <c r="I69" s="278"/>
      <c r="J69" s="278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278"/>
      <c r="AB69" s="278"/>
      <c r="AC69" s="278"/>
      <c r="AD69" s="278"/>
      <c r="AE69" s="278"/>
      <c r="AF69" s="278"/>
      <c r="AG69" s="15">
        <f t="shared" si="5"/>
        <v>0</v>
      </c>
    </row>
    <row r="70" spans="1:33" ht="15.75" customHeight="1" x14ac:dyDescent="0.25">
      <c r="A70" s="280" t="s">
        <v>31</v>
      </c>
      <c r="B70" s="278"/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  <c r="AC70" s="278"/>
      <c r="AD70" s="279"/>
      <c r="AE70" s="279"/>
      <c r="AF70" s="279"/>
      <c r="AG70" s="15">
        <f t="shared" si="5"/>
        <v>0</v>
      </c>
    </row>
    <row r="71" spans="1:33" ht="15.75" customHeight="1" x14ac:dyDescent="0.25">
      <c r="A71" s="280" t="s">
        <v>32</v>
      </c>
      <c r="B71" s="278"/>
      <c r="C71" s="278"/>
      <c r="D71" s="278"/>
      <c r="E71" s="278"/>
      <c r="F71" s="278"/>
      <c r="G71" s="278"/>
      <c r="H71" s="278"/>
      <c r="I71" s="278"/>
      <c r="J71" s="278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  <c r="AB71" s="278"/>
      <c r="AC71" s="278"/>
      <c r="AD71" s="279"/>
      <c r="AE71" s="279"/>
      <c r="AF71" s="279"/>
      <c r="AG71" s="15">
        <f t="shared" si="5"/>
        <v>0</v>
      </c>
    </row>
    <row r="72" spans="1:33" ht="15.75" customHeight="1" x14ac:dyDescent="0.25">
      <c r="A72" s="280" t="s">
        <v>33</v>
      </c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  <c r="AB72" s="278"/>
      <c r="AC72" s="278"/>
      <c r="AD72" s="279"/>
      <c r="AE72" s="279"/>
      <c r="AF72" s="279"/>
      <c r="AG72" s="15">
        <f t="shared" si="5"/>
        <v>0</v>
      </c>
    </row>
    <row r="73" spans="1:33" ht="15.75" customHeight="1" x14ac:dyDescent="0.25">
      <c r="A73" s="280" t="s">
        <v>34</v>
      </c>
      <c r="B73" s="278"/>
      <c r="C73" s="278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  <c r="AB73" s="278"/>
      <c r="AC73" s="278"/>
      <c r="AD73" s="279"/>
      <c r="AE73" s="279"/>
      <c r="AF73" s="279"/>
      <c r="AG73" s="15">
        <f t="shared" si="5"/>
        <v>0</v>
      </c>
    </row>
    <row r="74" spans="1:33" ht="15.75" customHeight="1" x14ac:dyDescent="0.25">
      <c r="A74" s="280" t="s">
        <v>35</v>
      </c>
      <c r="B74" s="278"/>
      <c r="C74" s="278"/>
      <c r="D74" s="278"/>
      <c r="E74" s="278"/>
      <c r="F74" s="278"/>
      <c r="G74" s="278"/>
      <c r="H74" s="278"/>
      <c r="I74" s="278"/>
      <c r="J74" s="278"/>
      <c r="K74" s="278"/>
      <c r="L74" s="278"/>
      <c r="M74" s="278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  <c r="AA74" s="278"/>
      <c r="AB74" s="278"/>
      <c r="AC74" s="278"/>
      <c r="AD74" s="279"/>
      <c r="AE74" s="279"/>
      <c r="AF74" s="279"/>
      <c r="AG74" s="15">
        <f t="shared" si="5"/>
        <v>0</v>
      </c>
    </row>
    <row r="75" spans="1:33" ht="15.75" customHeight="1" x14ac:dyDescent="0.25">
      <c r="A75" s="280" t="s">
        <v>36</v>
      </c>
      <c r="B75" s="278"/>
      <c r="C75" s="278"/>
      <c r="D75" s="278"/>
      <c r="E75" s="278"/>
      <c r="F75" s="278"/>
      <c r="G75" s="278"/>
      <c r="H75" s="278"/>
      <c r="I75" s="278"/>
      <c r="J75" s="278"/>
      <c r="K75" s="278"/>
      <c r="L75" s="278"/>
      <c r="M75" s="278"/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  <c r="AA75" s="278"/>
      <c r="AB75" s="278"/>
      <c r="AC75" s="278"/>
      <c r="AD75" s="279"/>
      <c r="AE75" s="279"/>
      <c r="AF75" s="279"/>
      <c r="AG75" s="15">
        <f t="shared" si="5"/>
        <v>0</v>
      </c>
    </row>
    <row r="76" spans="1:33" ht="15.75" customHeight="1" x14ac:dyDescent="0.25">
      <c r="A76" s="280" t="s">
        <v>37</v>
      </c>
      <c r="B76" s="278"/>
      <c r="C76" s="278"/>
      <c r="D76" s="278"/>
      <c r="E76" s="278"/>
      <c r="F76" s="278"/>
      <c r="G76" s="278"/>
      <c r="H76" s="278"/>
      <c r="I76" s="278"/>
      <c r="J76" s="278"/>
      <c r="K76" s="278"/>
      <c r="L76" s="278"/>
      <c r="M76" s="278"/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  <c r="AA76" s="278"/>
      <c r="AB76" s="278"/>
      <c r="AC76" s="278"/>
      <c r="AD76" s="279"/>
      <c r="AE76" s="279"/>
      <c r="AF76" s="279"/>
      <c r="AG76" s="15">
        <f t="shared" si="5"/>
        <v>0</v>
      </c>
    </row>
    <row r="77" spans="1:33" ht="15.75" customHeight="1" thickBot="1" x14ac:dyDescent="0.3">
      <c r="A77" s="285" t="s">
        <v>38</v>
      </c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6"/>
      <c r="AE77" s="286"/>
      <c r="AF77" s="286"/>
      <c r="AG77" s="26">
        <f t="shared" si="5"/>
        <v>0</v>
      </c>
    </row>
    <row r="78" spans="1:33" ht="19.5" customHeight="1" thickBot="1" x14ac:dyDescent="0.3">
      <c r="A78" s="287" t="s">
        <v>41</v>
      </c>
      <c r="B78" s="33">
        <f t="shared" ref="B78:AF78" si="6">SUM(B79:B80)</f>
        <v>0</v>
      </c>
      <c r="C78" s="33">
        <f t="shared" si="6"/>
        <v>0</v>
      </c>
      <c r="D78" s="33">
        <f t="shared" si="6"/>
        <v>0</v>
      </c>
      <c r="E78" s="33">
        <f t="shared" si="6"/>
        <v>0</v>
      </c>
      <c r="F78" s="33">
        <f t="shared" si="6"/>
        <v>0</v>
      </c>
      <c r="G78" s="33">
        <f t="shared" si="6"/>
        <v>0</v>
      </c>
      <c r="H78" s="33">
        <f t="shared" si="6"/>
        <v>0</v>
      </c>
      <c r="I78" s="33">
        <f t="shared" si="6"/>
        <v>0</v>
      </c>
      <c r="J78" s="33">
        <f t="shared" si="6"/>
        <v>0</v>
      </c>
      <c r="K78" s="33">
        <f t="shared" si="6"/>
        <v>0</v>
      </c>
      <c r="L78" s="33">
        <f t="shared" si="6"/>
        <v>0</v>
      </c>
      <c r="M78" s="33">
        <f t="shared" si="6"/>
        <v>0</v>
      </c>
      <c r="N78" s="33">
        <f t="shared" si="6"/>
        <v>0</v>
      </c>
      <c r="O78" s="33">
        <f t="shared" si="6"/>
        <v>0</v>
      </c>
      <c r="P78" s="33">
        <f t="shared" si="6"/>
        <v>0</v>
      </c>
      <c r="Q78" s="33">
        <f t="shared" si="6"/>
        <v>0</v>
      </c>
      <c r="R78" s="33">
        <f t="shared" si="6"/>
        <v>0</v>
      </c>
      <c r="S78" s="33">
        <f t="shared" si="6"/>
        <v>0</v>
      </c>
      <c r="T78" s="33">
        <f t="shared" si="6"/>
        <v>0</v>
      </c>
      <c r="U78" s="33">
        <f t="shared" si="6"/>
        <v>0</v>
      </c>
      <c r="V78" s="33">
        <f t="shared" si="6"/>
        <v>0</v>
      </c>
      <c r="W78" s="33">
        <f t="shared" si="6"/>
        <v>0</v>
      </c>
      <c r="X78" s="33">
        <f t="shared" si="6"/>
        <v>0</v>
      </c>
      <c r="Y78" s="33">
        <f t="shared" si="6"/>
        <v>0</v>
      </c>
      <c r="Z78" s="33">
        <f t="shared" si="6"/>
        <v>0</v>
      </c>
      <c r="AA78" s="33">
        <f t="shared" si="6"/>
        <v>0</v>
      </c>
      <c r="AB78" s="33">
        <f t="shared" si="6"/>
        <v>0</v>
      </c>
      <c r="AC78" s="33">
        <f t="shared" si="6"/>
        <v>0</v>
      </c>
      <c r="AD78" s="33">
        <f t="shared" si="6"/>
        <v>0</v>
      </c>
      <c r="AE78" s="33">
        <f t="shared" si="6"/>
        <v>0</v>
      </c>
      <c r="AF78" s="33">
        <f t="shared" si="6"/>
        <v>0</v>
      </c>
      <c r="AG78" s="27">
        <f t="shared" si="5"/>
        <v>0</v>
      </c>
    </row>
    <row r="79" spans="1:33" ht="19.5" customHeight="1" x14ac:dyDescent="0.25">
      <c r="A79" s="288" t="s">
        <v>42</v>
      </c>
      <c r="B79" s="10">
        <f t="shared" ref="B79" si="7">SUM(B4:B27)-B80</f>
        <v>0</v>
      </c>
      <c r="C79" s="10">
        <f t="shared" ref="C79" si="8">SUM(C4:C27)-C80</f>
        <v>0</v>
      </c>
      <c r="D79" s="10">
        <f t="shared" ref="D79:AF79" si="9">SUM(D4:D27)-D80</f>
        <v>0</v>
      </c>
      <c r="E79" s="10">
        <f t="shared" si="9"/>
        <v>0</v>
      </c>
      <c r="F79" s="10">
        <f t="shared" si="9"/>
        <v>0</v>
      </c>
      <c r="G79" s="10">
        <f t="shared" si="9"/>
        <v>0</v>
      </c>
      <c r="H79" s="10">
        <f t="shared" si="9"/>
        <v>0</v>
      </c>
      <c r="I79" s="10">
        <f t="shared" si="9"/>
        <v>0</v>
      </c>
      <c r="J79" s="10">
        <f t="shared" si="9"/>
        <v>0</v>
      </c>
      <c r="K79" s="10">
        <f t="shared" si="9"/>
        <v>0</v>
      </c>
      <c r="L79" s="10">
        <f t="shared" si="9"/>
        <v>0</v>
      </c>
      <c r="M79" s="10">
        <f t="shared" si="9"/>
        <v>0</v>
      </c>
      <c r="N79" s="10">
        <f t="shared" si="9"/>
        <v>0</v>
      </c>
      <c r="O79" s="10">
        <f t="shared" si="9"/>
        <v>0</v>
      </c>
      <c r="P79" s="10">
        <f t="shared" si="9"/>
        <v>0</v>
      </c>
      <c r="Q79" s="10">
        <f t="shared" si="9"/>
        <v>0</v>
      </c>
      <c r="R79" s="10">
        <f t="shared" si="9"/>
        <v>0</v>
      </c>
      <c r="S79" s="10">
        <f t="shared" si="9"/>
        <v>0</v>
      </c>
      <c r="T79" s="10">
        <f t="shared" si="9"/>
        <v>0</v>
      </c>
      <c r="U79" s="10">
        <f t="shared" si="9"/>
        <v>0</v>
      </c>
      <c r="V79" s="10">
        <f t="shared" si="9"/>
        <v>0</v>
      </c>
      <c r="W79" s="10">
        <f t="shared" si="9"/>
        <v>0</v>
      </c>
      <c r="X79" s="10">
        <f t="shared" si="9"/>
        <v>0</v>
      </c>
      <c r="Y79" s="10">
        <f t="shared" si="9"/>
        <v>0</v>
      </c>
      <c r="Z79" s="10">
        <f t="shared" si="9"/>
        <v>0</v>
      </c>
      <c r="AA79" s="10">
        <f t="shared" si="9"/>
        <v>0</v>
      </c>
      <c r="AB79" s="10">
        <f t="shared" si="9"/>
        <v>0</v>
      </c>
      <c r="AC79" s="10">
        <f t="shared" si="9"/>
        <v>0</v>
      </c>
      <c r="AD79" s="10">
        <f t="shared" si="9"/>
        <v>0</v>
      </c>
      <c r="AE79" s="10">
        <f t="shared" si="9"/>
        <v>0</v>
      </c>
      <c r="AF79" s="10">
        <f t="shared" si="9"/>
        <v>0</v>
      </c>
      <c r="AG79" s="11">
        <f t="shared" si="5"/>
        <v>0</v>
      </c>
    </row>
    <row r="80" spans="1:33" ht="19.5" customHeight="1" thickBot="1" x14ac:dyDescent="0.3">
      <c r="A80" s="289" t="s">
        <v>43</v>
      </c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290"/>
      <c r="S80" s="290"/>
      <c r="T80" s="290"/>
      <c r="U80" s="290"/>
      <c r="V80" s="290"/>
      <c r="W80" s="290"/>
      <c r="X80" s="290"/>
      <c r="Y80" s="290"/>
      <c r="Z80" s="290"/>
      <c r="AA80" s="290"/>
      <c r="AB80" s="290"/>
      <c r="AC80" s="290"/>
      <c r="AD80" s="290"/>
      <c r="AE80" s="290"/>
      <c r="AF80" s="290"/>
      <c r="AG80" s="26">
        <f t="shared" si="5"/>
        <v>0</v>
      </c>
    </row>
    <row r="81" spans="1:34" ht="15.75" customHeight="1" thickBot="1" x14ac:dyDescent="0.3">
      <c r="A81" s="287" t="s">
        <v>44</v>
      </c>
      <c r="B81" s="34">
        <f t="shared" ref="B81:AF81" si="10">SUM(B82:B83)</f>
        <v>0</v>
      </c>
      <c r="C81" s="34">
        <f t="shared" si="10"/>
        <v>0</v>
      </c>
      <c r="D81" s="34">
        <f t="shared" si="10"/>
        <v>0</v>
      </c>
      <c r="E81" s="34">
        <f t="shared" si="10"/>
        <v>0</v>
      </c>
      <c r="F81" s="34">
        <f t="shared" si="10"/>
        <v>0</v>
      </c>
      <c r="G81" s="34">
        <f t="shared" si="10"/>
        <v>0</v>
      </c>
      <c r="H81" s="34">
        <f t="shared" si="10"/>
        <v>0</v>
      </c>
      <c r="I81" s="34">
        <f t="shared" si="10"/>
        <v>0</v>
      </c>
      <c r="J81" s="34">
        <f t="shared" si="10"/>
        <v>0</v>
      </c>
      <c r="K81" s="34">
        <f t="shared" si="10"/>
        <v>0</v>
      </c>
      <c r="L81" s="34">
        <f t="shared" si="10"/>
        <v>0</v>
      </c>
      <c r="M81" s="34">
        <f t="shared" si="10"/>
        <v>0</v>
      </c>
      <c r="N81" s="34">
        <f t="shared" si="10"/>
        <v>0</v>
      </c>
      <c r="O81" s="34">
        <f t="shared" si="10"/>
        <v>0</v>
      </c>
      <c r="P81" s="34">
        <f t="shared" si="10"/>
        <v>0</v>
      </c>
      <c r="Q81" s="34">
        <f t="shared" si="10"/>
        <v>0</v>
      </c>
      <c r="R81" s="34">
        <f t="shared" si="10"/>
        <v>0</v>
      </c>
      <c r="S81" s="34">
        <f t="shared" si="10"/>
        <v>0</v>
      </c>
      <c r="T81" s="34">
        <f t="shared" si="10"/>
        <v>0</v>
      </c>
      <c r="U81" s="34">
        <f t="shared" si="10"/>
        <v>0</v>
      </c>
      <c r="V81" s="34">
        <f t="shared" si="10"/>
        <v>0</v>
      </c>
      <c r="W81" s="34">
        <f t="shared" si="10"/>
        <v>0</v>
      </c>
      <c r="X81" s="34">
        <f t="shared" si="10"/>
        <v>0</v>
      </c>
      <c r="Y81" s="34">
        <f t="shared" si="10"/>
        <v>0</v>
      </c>
      <c r="Z81" s="34">
        <f t="shared" si="10"/>
        <v>0</v>
      </c>
      <c r="AA81" s="34">
        <f t="shared" si="10"/>
        <v>0</v>
      </c>
      <c r="AB81" s="34">
        <f t="shared" si="10"/>
        <v>0</v>
      </c>
      <c r="AC81" s="34">
        <f t="shared" si="10"/>
        <v>0</v>
      </c>
      <c r="AD81" s="34">
        <f t="shared" si="10"/>
        <v>0</v>
      </c>
      <c r="AE81" s="34">
        <f t="shared" si="10"/>
        <v>0</v>
      </c>
      <c r="AF81" s="34">
        <f t="shared" si="10"/>
        <v>0</v>
      </c>
      <c r="AG81" s="27">
        <f t="shared" si="5"/>
        <v>0</v>
      </c>
      <c r="AH81" s="271" t="str">
        <f>IF(AG81&lt;&gt;AG53,"*","")</f>
        <v/>
      </c>
    </row>
    <row r="82" spans="1:34" ht="15.75" customHeight="1" x14ac:dyDescent="0.25">
      <c r="A82" s="288" t="s">
        <v>43</v>
      </c>
      <c r="B82" s="10">
        <f t="shared" ref="B82:AF82" si="11">SUM(B54:B62)</f>
        <v>0</v>
      </c>
      <c r="C82" s="10">
        <f t="shared" si="11"/>
        <v>0</v>
      </c>
      <c r="D82" s="10">
        <f t="shared" si="11"/>
        <v>0</v>
      </c>
      <c r="E82" s="10">
        <f t="shared" si="11"/>
        <v>0</v>
      </c>
      <c r="F82" s="10">
        <f t="shared" si="11"/>
        <v>0</v>
      </c>
      <c r="G82" s="10">
        <f t="shared" si="11"/>
        <v>0</v>
      </c>
      <c r="H82" s="10">
        <f t="shared" si="11"/>
        <v>0</v>
      </c>
      <c r="I82" s="10">
        <f t="shared" si="11"/>
        <v>0</v>
      </c>
      <c r="J82" s="10">
        <f t="shared" si="11"/>
        <v>0</v>
      </c>
      <c r="K82" s="10">
        <f t="shared" si="11"/>
        <v>0</v>
      </c>
      <c r="L82" s="10">
        <f t="shared" si="11"/>
        <v>0</v>
      </c>
      <c r="M82" s="10">
        <f t="shared" si="11"/>
        <v>0</v>
      </c>
      <c r="N82" s="10">
        <f t="shared" si="11"/>
        <v>0</v>
      </c>
      <c r="O82" s="10">
        <f t="shared" si="11"/>
        <v>0</v>
      </c>
      <c r="P82" s="10">
        <f t="shared" si="11"/>
        <v>0</v>
      </c>
      <c r="Q82" s="10">
        <f t="shared" si="11"/>
        <v>0</v>
      </c>
      <c r="R82" s="10">
        <f t="shared" si="11"/>
        <v>0</v>
      </c>
      <c r="S82" s="10">
        <f t="shared" si="11"/>
        <v>0</v>
      </c>
      <c r="T82" s="10">
        <f t="shared" si="11"/>
        <v>0</v>
      </c>
      <c r="U82" s="10">
        <f t="shared" si="11"/>
        <v>0</v>
      </c>
      <c r="V82" s="10">
        <f t="shared" si="11"/>
        <v>0</v>
      </c>
      <c r="W82" s="10">
        <f t="shared" si="11"/>
        <v>0</v>
      </c>
      <c r="X82" s="10">
        <f t="shared" si="11"/>
        <v>0</v>
      </c>
      <c r="Y82" s="10">
        <f t="shared" si="11"/>
        <v>0</v>
      </c>
      <c r="Z82" s="10">
        <f t="shared" si="11"/>
        <v>0</v>
      </c>
      <c r="AA82" s="10">
        <f t="shared" si="11"/>
        <v>0</v>
      </c>
      <c r="AB82" s="10">
        <f t="shared" si="11"/>
        <v>0</v>
      </c>
      <c r="AC82" s="10">
        <f t="shared" si="11"/>
        <v>0</v>
      </c>
      <c r="AD82" s="10">
        <f t="shared" si="11"/>
        <v>0</v>
      </c>
      <c r="AE82" s="10">
        <f t="shared" si="11"/>
        <v>0</v>
      </c>
      <c r="AF82" s="10">
        <f t="shared" si="11"/>
        <v>0</v>
      </c>
      <c r="AG82" s="11">
        <f t="shared" si="5"/>
        <v>0</v>
      </c>
    </row>
    <row r="83" spans="1:34" ht="15.75" customHeight="1" thickBot="1" x14ac:dyDescent="0.3">
      <c r="A83" s="289" t="s">
        <v>42</v>
      </c>
      <c r="B83" s="25">
        <f t="shared" ref="B83:AF83" si="12">SUM(B54:B77)-B82</f>
        <v>0</v>
      </c>
      <c r="C83" s="25">
        <f t="shared" si="12"/>
        <v>0</v>
      </c>
      <c r="D83" s="25">
        <f t="shared" si="12"/>
        <v>0</v>
      </c>
      <c r="E83" s="25">
        <f t="shared" si="12"/>
        <v>0</v>
      </c>
      <c r="F83" s="25">
        <f t="shared" si="12"/>
        <v>0</v>
      </c>
      <c r="G83" s="25">
        <f t="shared" si="12"/>
        <v>0</v>
      </c>
      <c r="H83" s="25">
        <f t="shared" si="12"/>
        <v>0</v>
      </c>
      <c r="I83" s="25">
        <f t="shared" si="12"/>
        <v>0</v>
      </c>
      <c r="J83" s="25">
        <f t="shared" si="12"/>
        <v>0</v>
      </c>
      <c r="K83" s="25">
        <f t="shared" si="12"/>
        <v>0</v>
      </c>
      <c r="L83" s="25">
        <f t="shared" si="12"/>
        <v>0</v>
      </c>
      <c r="M83" s="25">
        <f t="shared" si="12"/>
        <v>0</v>
      </c>
      <c r="N83" s="25">
        <f t="shared" si="12"/>
        <v>0</v>
      </c>
      <c r="O83" s="25">
        <f t="shared" si="12"/>
        <v>0</v>
      </c>
      <c r="P83" s="25">
        <f t="shared" si="12"/>
        <v>0</v>
      </c>
      <c r="Q83" s="25">
        <f t="shared" si="12"/>
        <v>0</v>
      </c>
      <c r="R83" s="25">
        <f t="shared" si="12"/>
        <v>0</v>
      </c>
      <c r="S83" s="25">
        <f t="shared" si="12"/>
        <v>0</v>
      </c>
      <c r="T83" s="25">
        <f t="shared" si="12"/>
        <v>0</v>
      </c>
      <c r="U83" s="25">
        <f t="shared" si="12"/>
        <v>0</v>
      </c>
      <c r="V83" s="25">
        <f t="shared" si="12"/>
        <v>0</v>
      </c>
      <c r="W83" s="25">
        <f t="shared" si="12"/>
        <v>0</v>
      </c>
      <c r="X83" s="25">
        <f t="shared" si="12"/>
        <v>0</v>
      </c>
      <c r="Y83" s="25">
        <f t="shared" si="12"/>
        <v>0</v>
      </c>
      <c r="Z83" s="25">
        <f t="shared" si="12"/>
        <v>0</v>
      </c>
      <c r="AA83" s="25">
        <f t="shared" si="12"/>
        <v>0</v>
      </c>
      <c r="AB83" s="25">
        <f t="shared" si="12"/>
        <v>0</v>
      </c>
      <c r="AC83" s="25">
        <f t="shared" si="12"/>
        <v>0</v>
      </c>
      <c r="AD83" s="25">
        <f t="shared" si="12"/>
        <v>0</v>
      </c>
      <c r="AE83" s="25">
        <f t="shared" si="12"/>
        <v>0</v>
      </c>
      <c r="AF83" s="25">
        <f t="shared" si="12"/>
        <v>0</v>
      </c>
      <c r="AG83" s="15">
        <f t="shared" si="5"/>
        <v>0</v>
      </c>
    </row>
    <row r="84" spans="1:34" ht="15.75" customHeight="1" thickBot="1" x14ac:dyDescent="0.3">
      <c r="A84" s="291" t="s">
        <v>45</v>
      </c>
      <c r="B84" s="43">
        <f t="shared" ref="B84:AF84" si="13">SUM(B85:B86)</f>
        <v>0</v>
      </c>
      <c r="C84" s="43">
        <f t="shared" si="13"/>
        <v>0</v>
      </c>
      <c r="D84" s="43">
        <f t="shared" si="13"/>
        <v>0</v>
      </c>
      <c r="E84" s="43">
        <f t="shared" si="13"/>
        <v>0</v>
      </c>
      <c r="F84" s="43">
        <f t="shared" si="13"/>
        <v>0</v>
      </c>
      <c r="G84" s="43">
        <f t="shared" si="13"/>
        <v>0</v>
      </c>
      <c r="H84" s="43">
        <f t="shared" si="13"/>
        <v>0</v>
      </c>
      <c r="I84" s="43">
        <f t="shared" si="13"/>
        <v>0</v>
      </c>
      <c r="J84" s="43">
        <f t="shared" si="13"/>
        <v>0</v>
      </c>
      <c r="K84" s="43">
        <f t="shared" si="13"/>
        <v>0</v>
      </c>
      <c r="L84" s="43">
        <f t="shared" si="13"/>
        <v>0</v>
      </c>
      <c r="M84" s="43">
        <f t="shared" si="13"/>
        <v>0</v>
      </c>
      <c r="N84" s="43">
        <f t="shared" si="13"/>
        <v>0</v>
      </c>
      <c r="O84" s="43">
        <f t="shared" si="13"/>
        <v>0</v>
      </c>
      <c r="P84" s="43">
        <f t="shared" si="13"/>
        <v>0</v>
      </c>
      <c r="Q84" s="43">
        <f t="shared" si="13"/>
        <v>0</v>
      </c>
      <c r="R84" s="43">
        <f t="shared" si="13"/>
        <v>0</v>
      </c>
      <c r="S84" s="43">
        <f t="shared" si="13"/>
        <v>0</v>
      </c>
      <c r="T84" s="43">
        <f t="shared" si="13"/>
        <v>0</v>
      </c>
      <c r="U84" s="43">
        <f t="shared" si="13"/>
        <v>0</v>
      </c>
      <c r="V84" s="43">
        <f t="shared" si="13"/>
        <v>0</v>
      </c>
      <c r="W84" s="43">
        <f t="shared" si="13"/>
        <v>0</v>
      </c>
      <c r="X84" s="43">
        <f t="shared" si="13"/>
        <v>0</v>
      </c>
      <c r="Y84" s="43">
        <f t="shared" si="13"/>
        <v>0</v>
      </c>
      <c r="Z84" s="43">
        <f t="shared" si="13"/>
        <v>0</v>
      </c>
      <c r="AA84" s="43">
        <f t="shared" si="13"/>
        <v>0</v>
      </c>
      <c r="AB84" s="43">
        <f t="shared" si="13"/>
        <v>0</v>
      </c>
      <c r="AC84" s="43">
        <f t="shared" si="13"/>
        <v>0</v>
      </c>
      <c r="AD84" s="43">
        <f t="shared" si="13"/>
        <v>0</v>
      </c>
      <c r="AE84" s="43">
        <f t="shared" si="13"/>
        <v>0</v>
      </c>
      <c r="AF84" s="43">
        <f t="shared" si="13"/>
        <v>0</v>
      </c>
      <c r="AG84" s="44">
        <f t="shared" si="5"/>
        <v>0</v>
      </c>
      <c r="AH84" s="271" t="str">
        <f>IF(AG84&lt;&gt;AG82+AG83,"*","")</f>
        <v/>
      </c>
    </row>
    <row r="85" spans="1:34" ht="15.75" customHeight="1" x14ac:dyDescent="0.25">
      <c r="A85" s="292" t="s">
        <v>47</v>
      </c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  <c r="AA85" s="293"/>
      <c r="AB85" s="293"/>
      <c r="AC85" s="293"/>
      <c r="AD85" s="293"/>
      <c r="AE85" s="293"/>
      <c r="AF85" s="293"/>
      <c r="AG85" s="48">
        <f t="shared" si="5"/>
        <v>0</v>
      </c>
    </row>
    <row r="86" spans="1:34" ht="15.75" customHeight="1" thickBot="1" x14ac:dyDescent="0.3">
      <c r="A86" s="294" t="s">
        <v>48</v>
      </c>
      <c r="B86" s="295"/>
      <c r="C86" s="295"/>
      <c r="D86" s="295"/>
      <c r="E86" s="295"/>
      <c r="F86" s="295"/>
      <c r="G86" s="295"/>
      <c r="H86" s="295"/>
      <c r="I86" s="295"/>
      <c r="J86" s="295"/>
      <c r="K86" s="295"/>
      <c r="L86" s="295"/>
      <c r="M86" s="295"/>
      <c r="N86" s="295"/>
      <c r="O86" s="295"/>
      <c r="P86" s="295"/>
      <c r="Q86" s="295"/>
      <c r="R86" s="295"/>
      <c r="S86" s="295"/>
      <c r="T86" s="295"/>
      <c r="U86" s="295"/>
      <c r="V86" s="295"/>
      <c r="W86" s="295"/>
      <c r="X86" s="295"/>
      <c r="Y86" s="295"/>
      <c r="Z86" s="295"/>
      <c r="AA86" s="295"/>
      <c r="AB86" s="295"/>
      <c r="AC86" s="295"/>
      <c r="AD86" s="295"/>
      <c r="AE86" s="295"/>
      <c r="AF86" s="295"/>
      <c r="AG86" s="52">
        <f t="shared" si="5"/>
        <v>0</v>
      </c>
    </row>
    <row r="87" spans="1:34" ht="15.75" customHeight="1" thickBot="1" x14ac:dyDescent="0.3">
      <c r="A87" s="296" t="s">
        <v>49</v>
      </c>
      <c r="B87" s="55">
        <f t="shared" ref="B87:AF87" si="14">SUM(B88:B92)</f>
        <v>0</v>
      </c>
      <c r="C87" s="55">
        <f t="shared" si="14"/>
        <v>0</v>
      </c>
      <c r="D87" s="55">
        <f t="shared" si="14"/>
        <v>0</v>
      </c>
      <c r="E87" s="55">
        <f t="shared" si="14"/>
        <v>0</v>
      </c>
      <c r="F87" s="55">
        <f t="shared" si="14"/>
        <v>0</v>
      </c>
      <c r="G87" s="55">
        <f t="shared" si="14"/>
        <v>0</v>
      </c>
      <c r="H87" s="55">
        <f t="shared" si="14"/>
        <v>0</v>
      </c>
      <c r="I87" s="55">
        <f t="shared" si="14"/>
        <v>0</v>
      </c>
      <c r="J87" s="55">
        <f t="shared" si="14"/>
        <v>0</v>
      </c>
      <c r="K87" s="55">
        <f t="shared" si="14"/>
        <v>0</v>
      </c>
      <c r="L87" s="55">
        <f t="shared" si="14"/>
        <v>0</v>
      </c>
      <c r="M87" s="55">
        <f t="shared" si="14"/>
        <v>0</v>
      </c>
      <c r="N87" s="55">
        <f t="shared" si="14"/>
        <v>0</v>
      </c>
      <c r="O87" s="55">
        <f t="shared" si="14"/>
        <v>0</v>
      </c>
      <c r="P87" s="55">
        <f t="shared" si="14"/>
        <v>0</v>
      </c>
      <c r="Q87" s="55">
        <f t="shared" si="14"/>
        <v>0</v>
      </c>
      <c r="R87" s="55">
        <f t="shared" si="14"/>
        <v>0</v>
      </c>
      <c r="S87" s="55">
        <f t="shared" si="14"/>
        <v>0</v>
      </c>
      <c r="T87" s="55">
        <f t="shared" si="14"/>
        <v>0</v>
      </c>
      <c r="U87" s="55">
        <f t="shared" si="14"/>
        <v>0</v>
      </c>
      <c r="V87" s="55">
        <f t="shared" si="14"/>
        <v>0</v>
      </c>
      <c r="W87" s="55">
        <f t="shared" si="14"/>
        <v>0</v>
      </c>
      <c r="X87" s="55">
        <f t="shared" si="14"/>
        <v>0</v>
      </c>
      <c r="Y87" s="55">
        <f t="shared" si="14"/>
        <v>0</v>
      </c>
      <c r="Z87" s="55">
        <f t="shared" si="14"/>
        <v>0</v>
      </c>
      <c r="AA87" s="55">
        <f t="shared" si="14"/>
        <v>0</v>
      </c>
      <c r="AB87" s="55">
        <f t="shared" si="14"/>
        <v>0</v>
      </c>
      <c r="AC87" s="55">
        <f t="shared" si="14"/>
        <v>0</v>
      </c>
      <c r="AD87" s="55">
        <f t="shared" si="14"/>
        <v>0</v>
      </c>
      <c r="AE87" s="55">
        <f t="shared" si="14"/>
        <v>0</v>
      </c>
      <c r="AF87" s="55">
        <f t="shared" si="14"/>
        <v>0</v>
      </c>
      <c r="AG87" s="56">
        <f t="shared" si="5"/>
        <v>0</v>
      </c>
      <c r="AH87" s="271" t="str">
        <f>IF(AG87&lt;&gt;AG84,"*","")</f>
        <v/>
      </c>
    </row>
    <row r="88" spans="1:34" ht="15.75" customHeight="1" x14ac:dyDescent="0.25">
      <c r="A88" s="297" t="s">
        <v>50</v>
      </c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  <c r="AA88" s="284"/>
      <c r="AB88" s="284"/>
      <c r="AC88" s="284"/>
      <c r="AD88" s="284"/>
      <c r="AE88" s="284"/>
      <c r="AF88" s="284"/>
      <c r="AG88" s="11">
        <f t="shared" si="5"/>
        <v>0</v>
      </c>
    </row>
    <row r="89" spans="1:34" ht="15.75" customHeight="1" x14ac:dyDescent="0.25">
      <c r="A89" s="298" t="s">
        <v>51</v>
      </c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84"/>
      <c r="AB89" s="284"/>
      <c r="AC89" s="284"/>
      <c r="AD89" s="284"/>
      <c r="AE89" s="284"/>
      <c r="AF89" s="284"/>
      <c r="AG89" s="15">
        <f t="shared" si="5"/>
        <v>0</v>
      </c>
    </row>
    <row r="90" spans="1:34" ht="15.75" customHeight="1" x14ac:dyDescent="0.25">
      <c r="A90" s="298" t="s">
        <v>52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84"/>
      <c r="AB90" s="284"/>
      <c r="AC90" s="284"/>
      <c r="AD90" s="284"/>
      <c r="AE90" s="284"/>
      <c r="AF90" s="284"/>
      <c r="AG90" s="15">
        <f t="shared" si="5"/>
        <v>0</v>
      </c>
    </row>
    <row r="91" spans="1:34" ht="15.75" customHeight="1" x14ac:dyDescent="0.25">
      <c r="A91" s="298" t="s">
        <v>53</v>
      </c>
      <c r="B91" s="284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  <c r="AA91" s="284"/>
      <c r="AB91" s="284"/>
      <c r="AC91" s="284"/>
      <c r="AD91" s="284"/>
      <c r="AE91" s="284"/>
      <c r="AF91" s="284"/>
      <c r="AG91" s="15">
        <f t="shared" si="5"/>
        <v>0</v>
      </c>
    </row>
    <row r="92" spans="1:34" ht="15.75" customHeight="1" thickBot="1" x14ac:dyDescent="0.3">
      <c r="A92" s="298" t="s">
        <v>54</v>
      </c>
      <c r="B92" s="284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  <c r="AA92" s="284"/>
      <c r="AB92" s="284"/>
      <c r="AC92" s="284"/>
      <c r="AD92" s="284"/>
      <c r="AE92" s="284"/>
      <c r="AF92" s="284"/>
      <c r="AG92" s="15">
        <f t="shared" si="5"/>
        <v>0</v>
      </c>
    </row>
    <row r="93" spans="1:34" ht="15.75" customHeight="1" x14ac:dyDescent="0.25">
      <c r="A93" s="299" t="s">
        <v>55</v>
      </c>
      <c r="B93" s="62">
        <f t="shared" ref="B93:AF93" si="15">+B94+B100</f>
        <v>0</v>
      </c>
      <c r="C93" s="62">
        <f t="shared" si="15"/>
        <v>0</v>
      </c>
      <c r="D93" s="62">
        <f t="shared" si="15"/>
        <v>0</v>
      </c>
      <c r="E93" s="62">
        <f t="shared" si="15"/>
        <v>0</v>
      </c>
      <c r="F93" s="62">
        <f t="shared" si="15"/>
        <v>0</v>
      </c>
      <c r="G93" s="62">
        <f t="shared" si="15"/>
        <v>0</v>
      </c>
      <c r="H93" s="62">
        <f t="shared" si="15"/>
        <v>0</v>
      </c>
      <c r="I93" s="62">
        <f t="shared" si="15"/>
        <v>0</v>
      </c>
      <c r="J93" s="62">
        <f t="shared" si="15"/>
        <v>0</v>
      </c>
      <c r="K93" s="62">
        <f t="shared" si="15"/>
        <v>0</v>
      </c>
      <c r="L93" s="62">
        <f t="shared" si="15"/>
        <v>0</v>
      </c>
      <c r="M93" s="62">
        <f t="shared" si="15"/>
        <v>0</v>
      </c>
      <c r="N93" s="62">
        <f t="shared" si="15"/>
        <v>0</v>
      </c>
      <c r="O93" s="62">
        <f t="shared" si="15"/>
        <v>0</v>
      </c>
      <c r="P93" s="62">
        <f t="shared" si="15"/>
        <v>0</v>
      </c>
      <c r="Q93" s="62">
        <f t="shared" si="15"/>
        <v>0</v>
      </c>
      <c r="R93" s="62">
        <f t="shared" si="15"/>
        <v>0</v>
      </c>
      <c r="S93" s="62">
        <f t="shared" si="15"/>
        <v>0</v>
      </c>
      <c r="T93" s="62">
        <f t="shared" si="15"/>
        <v>0</v>
      </c>
      <c r="U93" s="62">
        <f t="shared" si="15"/>
        <v>0</v>
      </c>
      <c r="V93" s="62">
        <f t="shared" si="15"/>
        <v>0</v>
      </c>
      <c r="W93" s="62">
        <f t="shared" si="15"/>
        <v>0</v>
      </c>
      <c r="X93" s="62">
        <f t="shared" si="15"/>
        <v>0</v>
      </c>
      <c r="Y93" s="62">
        <f t="shared" si="15"/>
        <v>0</v>
      </c>
      <c r="Z93" s="62">
        <f t="shared" si="15"/>
        <v>0</v>
      </c>
      <c r="AA93" s="62">
        <f t="shared" si="15"/>
        <v>0</v>
      </c>
      <c r="AB93" s="62">
        <f t="shared" si="15"/>
        <v>0</v>
      </c>
      <c r="AC93" s="62">
        <f t="shared" si="15"/>
        <v>0</v>
      </c>
      <c r="AD93" s="62">
        <f t="shared" si="15"/>
        <v>0</v>
      </c>
      <c r="AE93" s="62">
        <f t="shared" si="15"/>
        <v>0</v>
      </c>
      <c r="AF93" s="62">
        <f t="shared" si="15"/>
        <v>0</v>
      </c>
      <c r="AG93" s="15">
        <f t="shared" si="5"/>
        <v>0</v>
      </c>
      <c r="AH93" s="271" t="str">
        <f>IF(AG93&lt;&gt;AG28,"*","")</f>
        <v/>
      </c>
    </row>
    <row r="94" spans="1:34" ht="15.75" customHeight="1" x14ac:dyDescent="0.25">
      <c r="A94" s="300" t="s">
        <v>56</v>
      </c>
      <c r="B94" s="66">
        <f t="shared" ref="B94:AF94" si="16">SUM(B95:B99)</f>
        <v>0</v>
      </c>
      <c r="C94" s="66">
        <f t="shared" si="16"/>
        <v>0</v>
      </c>
      <c r="D94" s="66">
        <f t="shared" si="16"/>
        <v>0</v>
      </c>
      <c r="E94" s="66">
        <f t="shared" si="16"/>
        <v>0</v>
      </c>
      <c r="F94" s="66">
        <f t="shared" si="16"/>
        <v>0</v>
      </c>
      <c r="G94" s="66">
        <f t="shared" si="16"/>
        <v>0</v>
      </c>
      <c r="H94" s="66">
        <f t="shared" si="16"/>
        <v>0</v>
      </c>
      <c r="I94" s="66">
        <f t="shared" si="16"/>
        <v>0</v>
      </c>
      <c r="J94" s="66">
        <f t="shared" si="16"/>
        <v>0</v>
      </c>
      <c r="K94" s="66">
        <f t="shared" si="16"/>
        <v>0</v>
      </c>
      <c r="L94" s="66">
        <f t="shared" si="16"/>
        <v>0</v>
      </c>
      <c r="M94" s="66">
        <f t="shared" si="16"/>
        <v>0</v>
      </c>
      <c r="N94" s="66">
        <f t="shared" si="16"/>
        <v>0</v>
      </c>
      <c r="O94" s="66">
        <f t="shared" si="16"/>
        <v>0</v>
      </c>
      <c r="P94" s="66">
        <f t="shared" si="16"/>
        <v>0</v>
      </c>
      <c r="Q94" s="66">
        <f t="shared" si="16"/>
        <v>0</v>
      </c>
      <c r="R94" s="66">
        <f t="shared" si="16"/>
        <v>0</v>
      </c>
      <c r="S94" s="66">
        <f t="shared" si="16"/>
        <v>0</v>
      </c>
      <c r="T94" s="66">
        <f t="shared" si="16"/>
        <v>0</v>
      </c>
      <c r="U94" s="66">
        <f t="shared" si="16"/>
        <v>0</v>
      </c>
      <c r="V94" s="66">
        <f t="shared" si="16"/>
        <v>0</v>
      </c>
      <c r="W94" s="66">
        <f t="shared" si="16"/>
        <v>0</v>
      </c>
      <c r="X94" s="66">
        <f t="shared" si="16"/>
        <v>0</v>
      </c>
      <c r="Y94" s="66">
        <f t="shared" si="16"/>
        <v>0</v>
      </c>
      <c r="Z94" s="66">
        <f t="shared" si="16"/>
        <v>0</v>
      </c>
      <c r="AA94" s="66">
        <f t="shared" si="16"/>
        <v>0</v>
      </c>
      <c r="AB94" s="66">
        <f t="shared" si="16"/>
        <v>0</v>
      </c>
      <c r="AC94" s="66">
        <f t="shared" si="16"/>
        <v>0</v>
      </c>
      <c r="AD94" s="66">
        <f t="shared" si="16"/>
        <v>0</v>
      </c>
      <c r="AE94" s="66">
        <f t="shared" si="16"/>
        <v>0</v>
      </c>
      <c r="AF94" s="66">
        <f t="shared" si="16"/>
        <v>0</v>
      </c>
      <c r="AG94" s="15">
        <f t="shared" si="5"/>
        <v>0</v>
      </c>
    </row>
    <row r="95" spans="1:34" ht="15.75" customHeight="1" x14ac:dyDescent="0.25">
      <c r="A95" s="302" t="s">
        <v>57</v>
      </c>
      <c r="B95" s="278"/>
      <c r="C95" s="278"/>
      <c r="D95" s="278"/>
      <c r="E95" s="278"/>
      <c r="F95" s="278"/>
      <c r="G95" s="278"/>
      <c r="H95" s="278"/>
      <c r="I95" s="278"/>
      <c r="J95" s="278"/>
      <c r="K95" s="278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  <c r="AC95" s="278"/>
      <c r="AD95" s="278"/>
      <c r="AE95" s="278"/>
      <c r="AF95" s="278"/>
      <c r="AG95" s="15">
        <f t="shared" si="5"/>
        <v>0</v>
      </c>
    </row>
    <row r="96" spans="1:34" ht="15.75" customHeight="1" x14ac:dyDescent="0.25">
      <c r="A96" s="303" t="s">
        <v>58</v>
      </c>
      <c r="B96" s="278"/>
      <c r="C96" s="278"/>
      <c r="D96" s="278"/>
      <c r="E96" s="278"/>
      <c r="F96" s="278"/>
      <c r="G96" s="278"/>
      <c r="H96" s="278"/>
      <c r="I96" s="278"/>
      <c r="J96" s="278"/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  <c r="AB96" s="278"/>
      <c r="AC96" s="278"/>
      <c r="AD96" s="278"/>
      <c r="AE96" s="278"/>
      <c r="AF96" s="278"/>
      <c r="AG96" s="15">
        <f t="shared" si="5"/>
        <v>0</v>
      </c>
    </row>
    <row r="97" spans="1:33" ht="15.75" customHeight="1" x14ac:dyDescent="0.25">
      <c r="A97" s="304" t="s">
        <v>59</v>
      </c>
      <c r="B97" s="278"/>
      <c r="C97" s="278"/>
      <c r="D97" s="278"/>
      <c r="E97" s="278"/>
      <c r="F97" s="278"/>
      <c r="G97" s="278"/>
      <c r="H97" s="278"/>
      <c r="I97" s="278"/>
      <c r="J97" s="278"/>
      <c r="K97" s="278"/>
      <c r="L97" s="278"/>
      <c r="M97" s="278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  <c r="AA97" s="278"/>
      <c r="AB97" s="278"/>
      <c r="AC97" s="278"/>
      <c r="AD97" s="278"/>
      <c r="AE97" s="278"/>
      <c r="AF97" s="278"/>
      <c r="AG97" s="15">
        <f t="shared" si="5"/>
        <v>0</v>
      </c>
    </row>
    <row r="98" spans="1:33" ht="15.75" customHeight="1" x14ac:dyDescent="0.25">
      <c r="A98" s="305" t="s">
        <v>60</v>
      </c>
      <c r="B98" s="278"/>
      <c r="C98" s="278"/>
      <c r="D98" s="278"/>
      <c r="E98" s="278"/>
      <c r="F98" s="278"/>
      <c r="G98" s="278"/>
      <c r="H98" s="278"/>
      <c r="I98" s="278"/>
      <c r="J98" s="278"/>
      <c r="K98" s="278"/>
      <c r="L98" s="278"/>
      <c r="M98" s="278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  <c r="AA98" s="278"/>
      <c r="AB98" s="278"/>
      <c r="AC98" s="278"/>
      <c r="AD98" s="278"/>
      <c r="AE98" s="278"/>
      <c r="AF98" s="278"/>
      <c r="AG98" s="15">
        <f t="shared" si="5"/>
        <v>0</v>
      </c>
    </row>
    <row r="99" spans="1:33" ht="15.75" customHeight="1" x14ac:dyDescent="0.25">
      <c r="A99" s="306" t="s">
        <v>61</v>
      </c>
      <c r="B99" s="278"/>
      <c r="C99" s="278"/>
      <c r="D99" s="278"/>
      <c r="E99" s="278"/>
      <c r="F99" s="278"/>
      <c r="G99" s="278"/>
      <c r="H99" s="278"/>
      <c r="I99" s="278"/>
      <c r="J99" s="278"/>
      <c r="K99" s="278"/>
      <c r="L99" s="278"/>
      <c r="M99" s="27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278"/>
      <c r="AB99" s="278"/>
      <c r="AC99" s="278"/>
      <c r="AD99" s="278"/>
      <c r="AE99" s="278"/>
      <c r="AF99" s="278"/>
      <c r="AG99" s="15">
        <f t="shared" ref="AG99:AG162" si="17">SUM(B99:AF99)</f>
        <v>0</v>
      </c>
    </row>
    <row r="100" spans="1:33" ht="15.75" customHeight="1" x14ac:dyDescent="0.25">
      <c r="A100" s="300" t="s">
        <v>62</v>
      </c>
      <c r="B100" s="66">
        <f t="shared" ref="B100:AF100" si="18">SUM(B101:B115)</f>
        <v>0</v>
      </c>
      <c r="C100" s="66">
        <f t="shared" si="18"/>
        <v>0</v>
      </c>
      <c r="D100" s="66">
        <f t="shared" si="18"/>
        <v>0</v>
      </c>
      <c r="E100" s="66">
        <f t="shared" si="18"/>
        <v>0</v>
      </c>
      <c r="F100" s="66">
        <f t="shared" si="18"/>
        <v>0</v>
      </c>
      <c r="G100" s="66">
        <f t="shared" si="18"/>
        <v>0</v>
      </c>
      <c r="H100" s="66">
        <f t="shared" si="18"/>
        <v>0</v>
      </c>
      <c r="I100" s="66">
        <f t="shared" si="18"/>
        <v>0</v>
      </c>
      <c r="J100" s="66">
        <f t="shared" si="18"/>
        <v>0</v>
      </c>
      <c r="K100" s="66">
        <f t="shared" si="18"/>
        <v>0</v>
      </c>
      <c r="L100" s="66">
        <f t="shared" si="18"/>
        <v>0</v>
      </c>
      <c r="M100" s="66">
        <f t="shared" si="18"/>
        <v>0</v>
      </c>
      <c r="N100" s="66">
        <f t="shared" si="18"/>
        <v>0</v>
      </c>
      <c r="O100" s="66">
        <f t="shared" si="18"/>
        <v>0</v>
      </c>
      <c r="P100" s="66">
        <f t="shared" si="18"/>
        <v>0</v>
      </c>
      <c r="Q100" s="66">
        <f t="shared" si="18"/>
        <v>0</v>
      </c>
      <c r="R100" s="66">
        <f t="shared" si="18"/>
        <v>0</v>
      </c>
      <c r="S100" s="66">
        <f t="shared" si="18"/>
        <v>0</v>
      </c>
      <c r="T100" s="66">
        <f t="shared" si="18"/>
        <v>0</v>
      </c>
      <c r="U100" s="66">
        <f t="shared" si="18"/>
        <v>0</v>
      </c>
      <c r="V100" s="66">
        <f t="shared" si="18"/>
        <v>0</v>
      </c>
      <c r="W100" s="66">
        <f t="shared" si="18"/>
        <v>0</v>
      </c>
      <c r="X100" s="66">
        <f t="shared" si="18"/>
        <v>0</v>
      </c>
      <c r="Y100" s="66">
        <f t="shared" si="18"/>
        <v>0</v>
      </c>
      <c r="Z100" s="66">
        <f t="shared" si="18"/>
        <v>0</v>
      </c>
      <c r="AA100" s="66">
        <f t="shared" si="18"/>
        <v>0</v>
      </c>
      <c r="AB100" s="66">
        <f t="shared" si="18"/>
        <v>0</v>
      </c>
      <c r="AC100" s="66">
        <f t="shared" si="18"/>
        <v>0</v>
      </c>
      <c r="AD100" s="66">
        <f t="shared" si="18"/>
        <v>0</v>
      </c>
      <c r="AE100" s="66">
        <f t="shared" si="18"/>
        <v>0</v>
      </c>
      <c r="AF100" s="66">
        <f t="shared" si="18"/>
        <v>0</v>
      </c>
      <c r="AG100" s="15">
        <f t="shared" si="17"/>
        <v>0</v>
      </c>
    </row>
    <row r="101" spans="1:33" ht="15.75" customHeight="1" x14ac:dyDescent="0.25">
      <c r="A101" s="306" t="s">
        <v>63</v>
      </c>
      <c r="B101" s="278"/>
      <c r="C101" s="278"/>
      <c r="D101" s="278"/>
      <c r="E101" s="278"/>
      <c r="F101" s="278"/>
      <c r="G101" s="278"/>
      <c r="H101" s="278"/>
      <c r="I101" s="278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  <c r="AB101" s="278"/>
      <c r="AC101" s="278"/>
      <c r="AD101" s="278"/>
      <c r="AE101" s="278"/>
      <c r="AF101" s="278"/>
      <c r="AG101" s="15">
        <f t="shared" si="17"/>
        <v>0</v>
      </c>
    </row>
    <row r="102" spans="1:33" ht="15.75" customHeight="1" x14ac:dyDescent="0.25">
      <c r="A102" s="306" t="s">
        <v>64</v>
      </c>
      <c r="B102" s="278"/>
      <c r="C102" s="278"/>
      <c r="D102" s="278"/>
      <c r="E102" s="278"/>
      <c r="F102" s="278"/>
      <c r="G102" s="278"/>
      <c r="H102" s="278"/>
      <c r="I102" s="278"/>
      <c r="J102" s="278"/>
      <c r="K102" s="278"/>
      <c r="L102" s="278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  <c r="AB102" s="278"/>
      <c r="AC102" s="278"/>
      <c r="AD102" s="278"/>
      <c r="AE102" s="278"/>
      <c r="AF102" s="278"/>
      <c r="AG102" s="15">
        <f t="shared" si="17"/>
        <v>0</v>
      </c>
    </row>
    <row r="103" spans="1:33" ht="15.75" customHeight="1" x14ac:dyDescent="0.25">
      <c r="A103" s="302" t="s">
        <v>65</v>
      </c>
      <c r="B103" s="278"/>
      <c r="C103" s="278"/>
      <c r="D103" s="278"/>
      <c r="E103" s="278"/>
      <c r="F103" s="278"/>
      <c r="G103" s="278"/>
      <c r="H103" s="278"/>
      <c r="I103" s="278"/>
      <c r="J103" s="278"/>
      <c r="K103" s="278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  <c r="AB103" s="278"/>
      <c r="AC103" s="278"/>
      <c r="AD103" s="278"/>
      <c r="AE103" s="278"/>
      <c r="AF103" s="278"/>
      <c r="AG103" s="15">
        <f t="shared" si="17"/>
        <v>0</v>
      </c>
    </row>
    <row r="104" spans="1:33" ht="15.75" customHeight="1" x14ac:dyDescent="0.25">
      <c r="A104" s="302" t="s">
        <v>66</v>
      </c>
      <c r="B104" s="278"/>
      <c r="C104" s="278"/>
      <c r="D104" s="278"/>
      <c r="E104" s="278"/>
      <c r="F104" s="278"/>
      <c r="G104" s="278"/>
      <c r="H104" s="278"/>
      <c r="I104" s="278"/>
      <c r="J104" s="278"/>
      <c r="K104" s="278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  <c r="AB104" s="278"/>
      <c r="AC104" s="278"/>
      <c r="AD104" s="278"/>
      <c r="AE104" s="278"/>
      <c r="AF104" s="278"/>
      <c r="AG104" s="15">
        <f t="shared" si="17"/>
        <v>0</v>
      </c>
    </row>
    <row r="105" spans="1:33" ht="15.75" customHeight="1" x14ac:dyDescent="0.25">
      <c r="A105" s="302" t="s">
        <v>67</v>
      </c>
      <c r="B105" s="278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8"/>
      <c r="AG105" s="15">
        <f t="shared" si="17"/>
        <v>0</v>
      </c>
    </row>
    <row r="106" spans="1:33" ht="15.75" customHeight="1" x14ac:dyDescent="0.25">
      <c r="A106" s="302" t="s">
        <v>68</v>
      </c>
      <c r="B106" s="278"/>
      <c r="C106" s="278"/>
      <c r="D106" s="278"/>
      <c r="E106" s="278"/>
      <c r="F106" s="278"/>
      <c r="G106" s="278"/>
      <c r="H106" s="278"/>
      <c r="I106" s="278"/>
      <c r="J106" s="278"/>
      <c r="K106" s="278"/>
      <c r="L106" s="278"/>
      <c r="M106" s="278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  <c r="AB106" s="278"/>
      <c r="AC106" s="278"/>
      <c r="AD106" s="278"/>
      <c r="AE106" s="278"/>
      <c r="AF106" s="278"/>
      <c r="AG106" s="15">
        <f t="shared" si="17"/>
        <v>0</v>
      </c>
    </row>
    <row r="107" spans="1:33" ht="15.75" customHeight="1" x14ac:dyDescent="0.25">
      <c r="A107" s="302" t="s">
        <v>69</v>
      </c>
      <c r="B107" s="278"/>
      <c r="C107" s="278"/>
      <c r="D107" s="278"/>
      <c r="E107" s="278"/>
      <c r="F107" s="278"/>
      <c r="G107" s="278"/>
      <c r="H107" s="278"/>
      <c r="I107" s="278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  <c r="AC107" s="278"/>
      <c r="AD107" s="278"/>
      <c r="AE107" s="278"/>
      <c r="AF107" s="278"/>
      <c r="AG107" s="15">
        <f t="shared" si="17"/>
        <v>0</v>
      </c>
    </row>
    <row r="108" spans="1:33" ht="15.75" customHeight="1" x14ac:dyDescent="0.25">
      <c r="A108" s="302" t="s">
        <v>70</v>
      </c>
      <c r="B108" s="278"/>
      <c r="C108" s="278"/>
      <c r="D108" s="278"/>
      <c r="E108" s="278"/>
      <c r="F108" s="278"/>
      <c r="G108" s="278"/>
      <c r="H108" s="278"/>
      <c r="I108" s="278"/>
      <c r="J108" s="278"/>
      <c r="K108" s="278"/>
      <c r="L108" s="278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  <c r="AC108" s="278"/>
      <c r="AD108" s="278"/>
      <c r="AE108" s="278"/>
      <c r="AF108" s="278"/>
      <c r="AG108" s="15">
        <f t="shared" si="17"/>
        <v>0</v>
      </c>
    </row>
    <row r="109" spans="1:33" ht="15.75" customHeight="1" x14ac:dyDescent="0.25">
      <c r="A109" s="302" t="s">
        <v>71</v>
      </c>
      <c r="B109" s="278"/>
      <c r="C109" s="278"/>
      <c r="D109" s="278"/>
      <c r="E109" s="278"/>
      <c r="F109" s="278"/>
      <c r="G109" s="278"/>
      <c r="H109" s="278"/>
      <c r="I109" s="278"/>
      <c r="J109" s="278"/>
      <c r="K109" s="278"/>
      <c r="L109" s="278"/>
      <c r="M109" s="278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  <c r="AB109" s="278"/>
      <c r="AC109" s="278"/>
      <c r="AD109" s="278"/>
      <c r="AE109" s="278"/>
      <c r="AF109" s="278"/>
      <c r="AG109" s="15">
        <f t="shared" si="17"/>
        <v>0</v>
      </c>
    </row>
    <row r="110" spans="1:33" ht="15.75" customHeight="1" x14ac:dyDescent="0.25">
      <c r="A110" s="302" t="s">
        <v>72</v>
      </c>
      <c r="B110" s="278"/>
      <c r="C110" s="278"/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  <c r="AA110" s="278"/>
      <c r="AB110" s="278"/>
      <c r="AC110" s="278"/>
      <c r="AD110" s="278"/>
      <c r="AE110" s="278"/>
      <c r="AF110" s="278"/>
      <c r="AG110" s="15">
        <f t="shared" si="17"/>
        <v>0</v>
      </c>
    </row>
    <row r="111" spans="1:33" ht="15.75" customHeight="1" x14ac:dyDescent="0.25">
      <c r="A111" s="302" t="s">
        <v>73</v>
      </c>
      <c r="B111" s="278"/>
      <c r="C111" s="278"/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278"/>
      <c r="AB111" s="278"/>
      <c r="AC111" s="278"/>
      <c r="AD111" s="278"/>
      <c r="AE111" s="278"/>
      <c r="AF111" s="278"/>
      <c r="AG111" s="15">
        <f t="shared" si="17"/>
        <v>0</v>
      </c>
    </row>
    <row r="112" spans="1:33" ht="15.75" customHeight="1" x14ac:dyDescent="0.25">
      <c r="A112" s="302" t="s">
        <v>74</v>
      </c>
      <c r="B112" s="278"/>
      <c r="C112" s="278"/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  <c r="AA112" s="278"/>
      <c r="AB112" s="278"/>
      <c r="AC112" s="278"/>
      <c r="AD112" s="278"/>
      <c r="AE112" s="278"/>
      <c r="AF112" s="278"/>
      <c r="AG112" s="15">
        <f t="shared" si="17"/>
        <v>0</v>
      </c>
    </row>
    <row r="113" spans="1:37" ht="15.75" customHeight="1" x14ac:dyDescent="0.25">
      <c r="A113" s="302" t="s">
        <v>75</v>
      </c>
      <c r="B113" s="278"/>
      <c r="C113" s="278"/>
      <c r="D113" s="278"/>
      <c r="E113" s="278"/>
      <c r="F113" s="278"/>
      <c r="G113" s="278"/>
      <c r="H113" s="278"/>
      <c r="I113" s="278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  <c r="AA113" s="278"/>
      <c r="AB113" s="278"/>
      <c r="AC113" s="278"/>
      <c r="AD113" s="278"/>
      <c r="AE113" s="278"/>
      <c r="AF113" s="278"/>
      <c r="AG113" s="15">
        <f t="shared" si="17"/>
        <v>0</v>
      </c>
    </row>
    <row r="114" spans="1:37" ht="15.75" customHeight="1" x14ac:dyDescent="0.25">
      <c r="A114" s="302" t="s">
        <v>76</v>
      </c>
      <c r="B114" s="278"/>
      <c r="C114" s="278"/>
      <c r="D114" s="278"/>
      <c r="E114" s="278"/>
      <c r="F114" s="278"/>
      <c r="G114" s="278"/>
      <c r="H114" s="278"/>
      <c r="I114" s="278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  <c r="AA114" s="278"/>
      <c r="AB114" s="278"/>
      <c r="AC114" s="278"/>
      <c r="AD114" s="278"/>
      <c r="AE114" s="278"/>
      <c r="AF114" s="278"/>
      <c r="AG114" s="15">
        <f t="shared" si="17"/>
        <v>0</v>
      </c>
    </row>
    <row r="115" spans="1:37" ht="15.75" customHeight="1" thickBot="1" x14ac:dyDescent="0.3">
      <c r="A115" s="307"/>
      <c r="B115" s="290"/>
      <c r="C115" s="290"/>
      <c r="D115" s="290"/>
      <c r="E115" s="290"/>
      <c r="F115" s="290"/>
      <c r="G115" s="290"/>
      <c r="H115" s="290"/>
      <c r="I115" s="290"/>
      <c r="J115" s="290"/>
      <c r="K115" s="290"/>
      <c r="L115" s="290"/>
      <c r="M115" s="290"/>
      <c r="N115" s="290"/>
      <c r="O115" s="290"/>
      <c r="P115" s="290"/>
      <c r="Q115" s="290"/>
      <c r="R115" s="290"/>
      <c r="S115" s="290"/>
      <c r="T115" s="290"/>
      <c r="U115" s="290"/>
      <c r="V115" s="290"/>
      <c r="W115" s="290"/>
      <c r="X115" s="290"/>
      <c r="Y115" s="290"/>
      <c r="Z115" s="290"/>
      <c r="AA115" s="290"/>
      <c r="AB115" s="290"/>
      <c r="AC115" s="290"/>
      <c r="AD115" s="290"/>
      <c r="AE115" s="290"/>
      <c r="AF115" s="290"/>
      <c r="AG115" s="15">
        <f t="shared" si="17"/>
        <v>0</v>
      </c>
      <c r="AK115" s="308">
        <v>603</v>
      </c>
    </row>
    <row r="116" spans="1:37" ht="15.75" customHeight="1" x14ac:dyDescent="0.25">
      <c r="A116" s="299" t="s">
        <v>77</v>
      </c>
      <c r="B116" s="62">
        <f t="shared" ref="B116:AF116" si="19">SUM(B117:B118)</f>
        <v>0</v>
      </c>
      <c r="C116" s="62">
        <f t="shared" si="19"/>
        <v>0</v>
      </c>
      <c r="D116" s="62">
        <f t="shared" si="19"/>
        <v>0</v>
      </c>
      <c r="E116" s="62">
        <f t="shared" si="19"/>
        <v>0</v>
      </c>
      <c r="F116" s="62">
        <f t="shared" si="19"/>
        <v>0</v>
      </c>
      <c r="G116" s="62">
        <f t="shared" si="19"/>
        <v>0</v>
      </c>
      <c r="H116" s="62">
        <f t="shared" si="19"/>
        <v>0</v>
      </c>
      <c r="I116" s="62">
        <f t="shared" si="19"/>
        <v>0</v>
      </c>
      <c r="J116" s="62">
        <f t="shared" si="19"/>
        <v>0</v>
      </c>
      <c r="K116" s="62">
        <f t="shared" si="19"/>
        <v>0</v>
      </c>
      <c r="L116" s="62">
        <f t="shared" si="19"/>
        <v>0</v>
      </c>
      <c r="M116" s="62">
        <f t="shared" si="19"/>
        <v>0</v>
      </c>
      <c r="N116" s="62">
        <f t="shared" si="19"/>
        <v>0</v>
      </c>
      <c r="O116" s="62">
        <f t="shared" si="19"/>
        <v>0</v>
      </c>
      <c r="P116" s="62">
        <f t="shared" si="19"/>
        <v>0</v>
      </c>
      <c r="Q116" s="62">
        <f t="shared" si="19"/>
        <v>0</v>
      </c>
      <c r="R116" s="62">
        <f t="shared" si="19"/>
        <v>0</v>
      </c>
      <c r="S116" s="62">
        <f t="shared" si="19"/>
        <v>0</v>
      </c>
      <c r="T116" s="62">
        <f t="shared" si="19"/>
        <v>0</v>
      </c>
      <c r="U116" s="62">
        <f t="shared" si="19"/>
        <v>0</v>
      </c>
      <c r="V116" s="62">
        <f t="shared" si="19"/>
        <v>0</v>
      </c>
      <c r="W116" s="62">
        <f t="shared" si="19"/>
        <v>0</v>
      </c>
      <c r="X116" s="62">
        <f t="shared" si="19"/>
        <v>0</v>
      </c>
      <c r="Y116" s="62">
        <f t="shared" si="19"/>
        <v>0</v>
      </c>
      <c r="Z116" s="62">
        <f t="shared" si="19"/>
        <v>0</v>
      </c>
      <c r="AA116" s="62">
        <f t="shared" si="19"/>
        <v>0</v>
      </c>
      <c r="AB116" s="62">
        <f t="shared" si="19"/>
        <v>0</v>
      </c>
      <c r="AC116" s="62">
        <f t="shared" si="19"/>
        <v>0</v>
      </c>
      <c r="AD116" s="62">
        <f t="shared" si="19"/>
        <v>0</v>
      </c>
      <c r="AE116" s="62">
        <f t="shared" si="19"/>
        <v>0</v>
      </c>
      <c r="AF116" s="62">
        <f t="shared" si="19"/>
        <v>0</v>
      </c>
      <c r="AG116" s="15">
        <f t="shared" si="17"/>
        <v>0</v>
      </c>
      <c r="AK116" s="308">
        <v>612</v>
      </c>
    </row>
    <row r="117" spans="1:37" ht="15.75" customHeight="1" x14ac:dyDescent="0.25">
      <c r="A117" s="309" t="s">
        <v>78</v>
      </c>
      <c r="B117" s="278"/>
      <c r="C117" s="278"/>
      <c r="D117" s="278"/>
      <c r="E117" s="278"/>
      <c r="F117" s="278"/>
      <c r="G117" s="278"/>
      <c r="H117" s="278"/>
      <c r="I117" s="278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  <c r="AA117" s="278"/>
      <c r="AB117" s="278"/>
      <c r="AC117" s="278"/>
      <c r="AD117" s="278"/>
      <c r="AE117" s="278"/>
      <c r="AF117" s="278"/>
      <c r="AG117" s="15">
        <f t="shared" si="17"/>
        <v>0</v>
      </c>
      <c r="AK117" s="308">
        <v>613</v>
      </c>
    </row>
    <row r="118" spans="1:37" ht="15.75" customHeight="1" thickBot="1" x14ac:dyDescent="0.3">
      <c r="A118" s="310" t="s">
        <v>90</v>
      </c>
      <c r="B118" s="311"/>
      <c r="C118" s="311"/>
      <c r="D118" s="311"/>
      <c r="E118" s="311"/>
      <c r="F118" s="311"/>
      <c r="G118" s="311"/>
      <c r="H118" s="311"/>
      <c r="I118" s="311"/>
      <c r="J118" s="311"/>
      <c r="K118" s="311"/>
      <c r="L118" s="311"/>
      <c r="M118" s="311"/>
      <c r="N118" s="311"/>
      <c r="O118" s="311"/>
      <c r="P118" s="311"/>
      <c r="Q118" s="311"/>
      <c r="R118" s="311"/>
      <c r="S118" s="311"/>
      <c r="T118" s="311"/>
      <c r="U118" s="311"/>
      <c r="V118" s="311"/>
      <c r="W118" s="311"/>
      <c r="X118" s="311"/>
      <c r="Y118" s="311"/>
      <c r="Z118" s="311"/>
      <c r="AA118" s="311"/>
      <c r="AB118" s="311"/>
      <c r="AC118" s="311"/>
      <c r="AD118" s="311"/>
      <c r="AE118" s="311"/>
      <c r="AF118" s="311"/>
      <c r="AG118" s="15">
        <f t="shared" si="17"/>
        <v>0</v>
      </c>
      <c r="AK118" s="308" t="s">
        <v>167</v>
      </c>
    </row>
    <row r="119" spans="1:37" ht="15.75" customHeight="1" x14ac:dyDescent="0.25">
      <c r="A119" s="299" t="s">
        <v>91</v>
      </c>
      <c r="B119" s="62">
        <f t="shared" ref="B119:AF119" si="20">SUM(B120:B132)</f>
        <v>0</v>
      </c>
      <c r="C119" s="62">
        <f t="shared" si="20"/>
        <v>0</v>
      </c>
      <c r="D119" s="62">
        <f t="shared" si="20"/>
        <v>0</v>
      </c>
      <c r="E119" s="62">
        <f t="shared" si="20"/>
        <v>0</v>
      </c>
      <c r="F119" s="62">
        <f t="shared" si="20"/>
        <v>0</v>
      </c>
      <c r="G119" s="62">
        <f t="shared" si="20"/>
        <v>0</v>
      </c>
      <c r="H119" s="62">
        <f t="shared" si="20"/>
        <v>0</v>
      </c>
      <c r="I119" s="62">
        <f t="shared" si="20"/>
        <v>0</v>
      </c>
      <c r="J119" s="62">
        <f t="shared" si="20"/>
        <v>0</v>
      </c>
      <c r="K119" s="62">
        <f t="shared" si="20"/>
        <v>0</v>
      </c>
      <c r="L119" s="62">
        <f t="shared" si="20"/>
        <v>0</v>
      </c>
      <c r="M119" s="62">
        <f t="shared" si="20"/>
        <v>0</v>
      </c>
      <c r="N119" s="62">
        <f t="shared" si="20"/>
        <v>0</v>
      </c>
      <c r="O119" s="62">
        <f t="shared" si="20"/>
        <v>0</v>
      </c>
      <c r="P119" s="62">
        <f t="shared" si="20"/>
        <v>0</v>
      </c>
      <c r="Q119" s="62">
        <f t="shared" si="20"/>
        <v>0</v>
      </c>
      <c r="R119" s="62">
        <f t="shared" si="20"/>
        <v>0</v>
      </c>
      <c r="S119" s="62">
        <f t="shared" si="20"/>
        <v>0</v>
      </c>
      <c r="T119" s="62">
        <f t="shared" si="20"/>
        <v>0</v>
      </c>
      <c r="U119" s="62">
        <f t="shared" si="20"/>
        <v>0</v>
      </c>
      <c r="V119" s="62">
        <f t="shared" si="20"/>
        <v>0</v>
      </c>
      <c r="W119" s="62">
        <f t="shared" si="20"/>
        <v>0</v>
      </c>
      <c r="X119" s="62">
        <f t="shared" si="20"/>
        <v>0</v>
      </c>
      <c r="Y119" s="62">
        <f t="shared" si="20"/>
        <v>0</v>
      </c>
      <c r="Z119" s="62">
        <f t="shared" si="20"/>
        <v>0</v>
      </c>
      <c r="AA119" s="62">
        <f t="shared" si="20"/>
        <v>0</v>
      </c>
      <c r="AB119" s="62">
        <f t="shared" si="20"/>
        <v>0</v>
      </c>
      <c r="AC119" s="62">
        <f t="shared" si="20"/>
        <v>0</v>
      </c>
      <c r="AD119" s="62">
        <f t="shared" si="20"/>
        <v>0</v>
      </c>
      <c r="AE119" s="62">
        <f t="shared" si="20"/>
        <v>0</v>
      </c>
      <c r="AF119" s="62">
        <f t="shared" si="20"/>
        <v>0</v>
      </c>
      <c r="AG119" s="22">
        <f t="shared" si="17"/>
        <v>0</v>
      </c>
      <c r="AH119" s="271" t="str">
        <f>IF(AG119&lt;&gt;AG93,"*","")</f>
        <v/>
      </c>
      <c r="AK119" s="308" t="s">
        <v>168</v>
      </c>
    </row>
    <row r="120" spans="1:37" ht="15.75" customHeight="1" x14ac:dyDescent="0.25">
      <c r="A120" s="309" t="s">
        <v>78</v>
      </c>
      <c r="B120" s="278"/>
      <c r="C120" s="278"/>
      <c r="D120" s="278"/>
      <c r="E120" s="278"/>
      <c r="F120" s="278"/>
      <c r="G120" s="278"/>
      <c r="H120" s="278"/>
      <c r="I120" s="278"/>
      <c r="J120" s="278"/>
      <c r="K120" s="278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278"/>
      <c r="AB120" s="278"/>
      <c r="AC120" s="278"/>
      <c r="AD120" s="278"/>
      <c r="AE120" s="278"/>
      <c r="AF120" s="278"/>
      <c r="AG120" s="15">
        <f t="shared" si="17"/>
        <v>0</v>
      </c>
      <c r="AK120" s="312" t="s">
        <v>169</v>
      </c>
    </row>
    <row r="121" spans="1:37" ht="15.75" customHeight="1" x14ac:dyDescent="0.25">
      <c r="A121" s="309" t="s">
        <v>79</v>
      </c>
      <c r="B121" s="278"/>
      <c r="C121" s="278"/>
      <c r="D121" s="278"/>
      <c r="E121" s="278"/>
      <c r="F121" s="278"/>
      <c r="G121" s="278"/>
      <c r="H121" s="278"/>
      <c r="I121" s="278"/>
      <c r="J121" s="278"/>
      <c r="K121" s="278"/>
      <c r="L121" s="278"/>
      <c r="M121" s="278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  <c r="AA121" s="278"/>
      <c r="AB121" s="278"/>
      <c r="AC121" s="278"/>
      <c r="AD121" s="278"/>
      <c r="AE121" s="278"/>
      <c r="AF121" s="278"/>
      <c r="AG121" s="15">
        <f t="shared" si="17"/>
        <v>0</v>
      </c>
      <c r="AK121" s="308" t="s">
        <v>170</v>
      </c>
    </row>
    <row r="122" spans="1:37" ht="15.75" customHeight="1" x14ac:dyDescent="0.25">
      <c r="A122" s="309" t="s">
        <v>80</v>
      </c>
      <c r="B122" s="278"/>
      <c r="C122" s="278"/>
      <c r="D122" s="278"/>
      <c r="E122" s="278"/>
      <c r="F122" s="278"/>
      <c r="G122" s="278"/>
      <c r="H122" s="278"/>
      <c r="I122" s="278"/>
      <c r="J122" s="278"/>
      <c r="K122" s="278"/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  <c r="AA122" s="278"/>
      <c r="AB122" s="278"/>
      <c r="AC122" s="278"/>
      <c r="AD122" s="278"/>
      <c r="AE122" s="278"/>
      <c r="AF122" s="278"/>
      <c r="AG122" s="15">
        <f t="shared" si="17"/>
        <v>0</v>
      </c>
      <c r="AK122" s="312" t="s">
        <v>171</v>
      </c>
    </row>
    <row r="123" spans="1:37" ht="15.75" customHeight="1" x14ac:dyDescent="0.25">
      <c r="A123" s="309" t="s">
        <v>81</v>
      </c>
      <c r="B123" s="278"/>
      <c r="C123" s="278"/>
      <c r="D123" s="278"/>
      <c r="E123" s="278"/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  <c r="AA123" s="278"/>
      <c r="AB123" s="278"/>
      <c r="AC123" s="278"/>
      <c r="AD123" s="278"/>
      <c r="AE123" s="278"/>
      <c r="AF123" s="278"/>
      <c r="AG123" s="15">
        <f t="shared" si="17"/>
        <v>0</v>
      </c>
      <c r="AK123" s="308" t="s">
        <v>172</v>
      </c>
    </row>
    <row r="124" spans="1:37" ht="15.75" customHeight="1" x14ac:dyDescent="0.25">
      <c r="A124" s="309" t="s">
        <v>82</v>
      </c>
      <c r="B124" s="278"/>
      <c r="C124" s="278"/>
      <c r="D124" s="278"/>
      <c r="E124" s="278"/>
      <c r="F124" s="278"/>
      <c r="G124" s="278"/>
      <c r="H124" s="278"/>
      <c r="I124" s="278"/>
      <c r="J124" s="278"/>
      <c r="K124" s="278"/>
      <c r="L124" s="278"/>
      <c r="M124" s="278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  <c r="AA124" s="278"/>
      <c r="AB124" s="278"/>
      <c r="AC124" s="278"/>
      <c r="AD124" s="278"/>
      <c r="AE124" s="278"/>
      <c r="AF124" s="278"/>
      <c r="AG124" s="15">
        <f t="shared" si="17"/>
        <v>0</v>
      </c>
      <c r="AK124" s="312" t="s">
        <v>173</v>
      </c>
    </row>
    <row r="125" spans="1:37" ht="15.75" customHeight="1" x14ac:dyDescent="0.25">
      <c r="A125" s="309" t="s">
        <v>83</v>
      </c>
      <c r="B125" s="278"/>
      <c r="C125" s="278"/>
      <c r="D125" s="278"/>
      <c r="E125" s="278"/>
      <c r="F125" s="278"/>
      <c r="G125" s="278"/>
      <c r="H125" s="278"/>
      <c r="I125" s="278"/>
      <c r="J125" s="278"/>
      <c r="K125" s="278"/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  <c r="AA125" s="278"/>
      <c r="AB125" s="278"/>
      <c r="AC125" s="278"/>
      <c r="AD125" s="278"/>
      <c r="AE125" s="278"/>
      <c r="AF125" s="278"/>
      <c r="AG125" s="15">
        <f t="shared" si="17"/>
        <v>0</v>
      </c>
      <c r="AK125" s="312" t="s">
        <v>174</v>
      </c>
    </row>
    <row r="126" spans="1:37" ht="15.75" customHeight="1" x14ac:dyDescent="0.25">
      <c r="A126" s="309" t="s">
        <v>84</v>
      </c>
      <c r="B126" s="278"/>
      <c r="C126" s="278"/>
      <c r="D126" s="278"/>
      <c r="E126" s="278"/>
      <c r="F126" s="278"/>
      <c r="G126" s="278"/>
      <c r="H126" s="278"/>
      <c r="I126" s="278"/>
      <c r="J126" s="278"/>
      <c r="K126" s="278"/>
      <c r="L126" s="278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278"/>
      <c r="AB126" s="278"/>
      <c r="AC126" s="278"/>
      <c r="AD126" s="278"/>
      <c r="AE126" s="278"/>
      <c r="AF126" s="278"/>
      <c r="AG126" s="15">
        <f t="shared" si="17"/>
        <v>0</v>
      </c>
      <c r="AK126" s="308" t="s">
        <v>175</v>
      </c>
    </row>
    <row r="127" spans="1:37" ht="15.75" customHeight="1" x14ac:dyDescent="0.25">
      <c r="A127" s="309" t="s">
        <v>85</v>
      </c>
      <c r="B127" s="278"/>
      <c r="C127" s="278"/>
      <c r="D127" s="278"/>
      <c r="E127" s="278"/>
      <c r="F127" s="278"/>
      <c r="G127" s="278"/>
      <c r="H127" s="278"/>
      <c r="I127" s="278"/>
      <c r="J127" s="278"/>
      <c r="K127" s="278"/>
      <c r="L127" s="278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  <c r="AA127" s="278"/>
      <c r="AB127" s="278"/>
      <c r="AC127" s="278"/>
      <c r="AD127" s="278"/>
      <c r="AE127" s="278"/>
      <c r="AF127" s="278"/>
      <c r="AG127" s="15">
        <f t="shared" si="17"/>
        <v>0</v>
      </c>
      <c r="AK127" s="312" t="s">
        <v>176</v>
      </c>
    </row>
    <row r="128" spans="1:37" ht="15.75" customHeight="1" x14ac:dyDescent="0.25">
      <c r="A128" s="280" t="s">
        <v>86</v>
      </c>
      <c r="B128" s="278"/>
      <c r="C128" s="278"/>
      <c r="D128" s="278"/>
      <c r="E128" s="278"/>
      <c r="F128" s="278"/>
      <c r="G128" s="278"/>
      <c r="H128" s="278"/>
      <c r="I128" s="278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  <c r="AA128" s="278"/>
      <c r="AB128" s="278"/>
      <c r="AC128" s="278"/>
      <c r="AD128" s="278"/>
      <c r="AE128" s="278"/>
      <c r="AF128" s="278"/>
      <c r="AG128" s="15">
        <f t="shared" si="17"/>
        <v>0</v>
      </c>
      <c r="AK128" s="312" t="s">
        <v>177</v>
      </c>
    </row>
    <row r="129" spans="1:37" ht="15.75" customHeight="1" x14ac:dyDescent="0.25">
      <c r="A129" s="280" t="s">
        <v>87</v>
      </c>
      <c r="B129" s="278"/>
      <c r="C129" s="278"/>
      <c r="D129" s="278"/>
      <c r="E129" s="278"/>
      <c r="F129" s="278"/>
      <c r="G129" s="278"/>
      <c r="H129" s="278"/>
      <c r="I129" s="278"/>
      <c r="J129" s="278"/>
      <c r="K129" s="278"/>
      <c r="L129" s="278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  <c r="AA129" s="278"/>
      <c r="AB129" s="278"/>
      <c r="AC129" s="278"/>
      <c r="AD129" s="278"/>
      <c r="AE129" s="278"/>
      <c r="AF129" s="278"/>
      <c r="AG129" s="15">
        <f t="shared" si="17"/>
        <v>0</v>
      </c>
      <c r="AK129" s="308" t="s">
        <v>178</v>
      </c>
    </row>
    <row r="130" spans="1:37" ht="15.75" customHeight="1" x14ac:dyDescent="0.25">
      <c r="A130" s="280" t="s">
        <v>88</v>
      </c>
      <c r="B130" s="278"/>
      <c r="C130" s="278"/>
      <c r="D130" s="278"/>
      <c r="E130" s="278"/>
      <c r="F130" s="278"/>
      <c r="G130" s="278"/>
      <c r="H130" s="278"/>
      <c r="I130" s="278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  <c r="AA130" s="278"/>
      <c r="AB130" s="278"/>
      <c r="AC130" s="278"/>
      <c r="AD130" s="278"/>
      <c r="AE130" s="278"/>
      <c r="AF130" s="278"/>
      <c r="AG130" s="15">
        <f t="shared" si="17"/>
        <v>0</v>
      </c>
      <c r="AK130" s="308" t="s">
        <v>179</v>
      </c>
    </row>
    <row r="131" spans="1:37" ht="15.75" customHeight="1" x14ac:dyDescent="0.25">
      <c r="A131" s="309" t="s">
        <v>89</v>
      </c>
      <c r="B131" s="278"/>
      <c r="C131" s="278"/>
      <c r="D131" s="278"/>
      <c r="E131" s="278"/>
      <c r="F131" s="278"/>
      <c r="G131" s="278"/>
      <c r="H131" s="278"/>
      <c r="I131" s="278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  <c r="AA131" s="278"/>
      <c r="AB131" s="278"/>
      <c r="AC131" s="278"/>
      <c r="AD131" s="278"/>
      <c r="AE131" s="278"/>
      <c r="AF131" s="278"/>
      <c r="AG131" s="15">
        <f t="shared" si="17"/>
        <v>0</v>
      </c>
      <c r="AK131" s="308" t="s">
        <v>180</v>
      </c>
    </row>
    <row r="132" spans="1:37" ht="15.75" customHeight="1" thickBot="1" x14ac:dyDescent="0.3">
      <c r="A132" s="310" t="s">
        <v>90</v>
      </c>
      <c r="B132" s="311"/>
      <c r="C132" s="311"/>
      <c r="D132" s="311"/>
      <c r="E132" s="311"/>
      <c r="F132" s="311"/>
      <c r="G132" s="311"/>
      <c r="H132" s="311"/>
      <c r="I132" s="311"/>
      <c r="J132" s="311"/>
      <c r="K132" s="311"/>
      <c r="L132" s="311"/>
      <c r="M132" s="311"/>
      <c r="N132" s="311"/>
      <c r="O132" s="311"/>
      <c r="P132" s="311"/>
      <c r="Q132" s="311"/>
      <c r="R132" s="311"/>
      <c r="S132" s="311"/>
      <c r="T132" s="311"/>
      <c r="U132" s="311"/>
      <c r="V132" s="311"/>
      <c r="W132" s="311"/>
      <c r="X132" s="311"/>
      <c r="Y132" s="311"/>
      <c r="Z132" s="311"/>
      <c r="AA132" s="311"/>
      <c r="AB132" s="311"/>
      <c r="AC132" s="311"/>
      <c r="AD132" s="311"/>
      <c r="AE132" s="311"/>
      <c r="AF132" s="311"/>
      <c r="AG132" s="26">
        <f t="shared" si="17"/>
        <v>0</v>
      </c>
      <c r="AK132" s="308" t="s">
        <v>181</v>
      </c>
    </row>
    <row r="133" spans="1:37" ht="15.75" customHeight="1" thickBot="1" x14ac:dyDescent="0.3">
      <c r="A133" s="291" t="s">
        <v>92</v>
      </c>
      <c r="B133" s="43">
        <f t="shared" ref="B133:AF133" si="21">+B28</f>
        <v>0</v>
      </c>
      <c r="C133" s="43">
        <f t="shared" si="21"/>
        <v>0</v>
      </c>
      <c r="D133" s="43">
        <f t="shared" si="21"/>
        <v>0</v>
      </c>
      <c r="E133" s="43">
        <f t="shared" si="21"/>
        <v>0</v>
      </c>
      <c r="F133" s="43">
        <f t="shared" si="21"/>
        <v>0</v>
      </c>
      <c r="G133" s="43">
        <f t="shared" si="21"/>
        <v>0</v>
      </c>
      <c r="H133" s="43">
        <f t="shared" si="21"/>
        <v>0</v>
      </c>
      <c r="I133" s="43">
        <f t="shared" si="21"/>
        <v>0</v>
      </c>
      <c r="J133" s="43">
        <f t="shared" si="21"/>
        <v>0</v>
      </c>
      <c r="K133" s="43">
        <f t="shared" si="21"/>
        <v>0</v>
      </c>
      <c r="L133" s="43">
        <f t="shared" si="21"/>
        <v>0</v>
      </c>
      <c r="M133" s="43">
        <f t="shared" si="21"/>
        <v>0</v>
      </c>
      <c r="N133" s="43">
        <f t="shared" si="21"/>
        <v>0</v>
      </c>
      <c r="O133" s="43">
        <f t="shared" si="21"/>
        <v>0</v>
      </c>
      <c r="P133" s="43">
        <f t="shared" si="21"/>
        <v>0</v>
      </c>
      <c r="Q133" s="43">
        <f t="shared" si="21"/>
        <v>0</v>
      </c>
      <c r="R133" s="43">
        <f t="shared" si="21"/>
        <v>0</v>
      </c>
      <c r="S133" s="43">
        <f t="shared" si="21"/>
        <v>0</v>
      </c>
      <c r="T133" s="43">
        <f t="shared" si="21"/>
        <v>0</v>
      </c>
      <c r="U133" s="43">
        <f t="shared" si="21"/>
        <v>0</v>
      </c>
      <c r="V133" s="43">
        <f t="shared" si="21"/>
        <v>0</v>
      </c>
      <c r="W133" s="43">
        <f t="shared" si="21"/>
        <v>0</v>
      </c>
      <c r="X133" s="43">
        <f t="shared" si="21"/>
        <v>0</v>
      </c>
      <c r="Y133" s="43">
        <f t="shared" si="21"/>
        <v>0</v>
      </c>
      <c r="Z133" s="43">
        <f t="shared" si="21"/>
        <v>0</v>
      </c>
      <c r="AA133" s="43">
        <f t="shared" si="21"/>
        <v>0</v>
      </c>
      <c r="AB133" s="43">
        <f t="shared" si="21"/>
        <v>0</v>
      </c>
      <c r="AC133" s="43">
        <f t="shared" si="21"/>
        <v>0</v>
      </c>
      <c r="AD133" s="43">
        <f t="shared" si="21"/>
        <v>0</v>
      </c>
      <c r="AE133" s="43">
        <f t="shared" si="21"/>
        <v>0</v>
      </c>
      <c r="AF133" s="43">
        <f t="shared" si="21"/>
        <v>0</v>
      </c>
      <c r="AG133" s="27">
        <f t="shared" si="17"/>
        <v>0</v>
      </c>
      <c r="AH133" s="271" t="str">
        <f>IF(AG133&lt;&gt;AG93,"*","")</f>
        <v/>
      </c>
      <c r="AK133" s="308" t="s">
        <v>182</v>
      </c>
    </row>
    <row r="134" spans="1:37" ht="15.75" customHeight="1" thickBot="1" x14ac:dyDescent="0.3">
      <c r="A134" s="313" t="s">
        <v>44</v>
      </c>
      <c r="B134" s="82">
        <f t="shared" ref="B134:AF134" si="22">+B53</f>
        <v>0</v>
      </c>
      <c r="C134" s="82">
        <f t="shared" si="22"/>
        <v>0</v>
      </c>
      <c r="D134" s="82">
        <f t="shared" si="22"/>
        <v>0</v>
      </c>
      <c r="E134" s="82">
        <f t="shared" si="22"/>
        <v>0</v>
      </c>
      <c r="F134" s="82">
        <f t="shared" si="22"/>
        <v>0</v>
      </c>
      <c r="G134" s="82">
        <f t="shared" si="22"/>
        <v>0</v>
      </c>
      <c r="H134" s="82">
        <f t="shared" si="22"/>
        <v>0</v>
      </c>
      <c r="I134" s="82">
        <f t="shared" si="22"/>
        <v>0</v>
      </c>
      <c r="J134" s="82">
        <f t="shared" si="22"/>
        <v>0</v>
      </c>
      <c r="K134" s="82">
        <f t="shared" si="22"/>
        <v>0</v>
      </c>
      <c r="L134" s="82">
        <f t="shared" si="22"/>
        <v>0</v>
      </c>
      <c r="M134" s="82">
        <f t="shared" si="22"/>
        <v>0</v>
      </c>
      <c r="N134" s="82">
        <f t="shared" si="22"/>
        <v>0</v>
      </c>
      <c r="O134" s="82">
        <f t="shared" si="22"/>
        <v>0</v>
      </c>
      <c r="P134" s="82">
        <f t="shared" si="22"/>
        <v>0</v>
      </c>
      <c r="Q134" s="82">
        <f t="shared" si="22"/>
        <v>0</v>
      </c>
      <c r="R134" s="82">
        <f t="shared" si="22"/>
        <v>0</v>
      </c>
      <c r="S134" s="82">
        <f t="shared" si="22"/>
        <v>0</v>
      </c>
      <c r="T134" s="82">
        <f t="shared" si="22"/>
        <v>0</v>
      </c>
      <c r="U134" s="82">
        <f t="shared" si="22"/>
        <v>0</v>
      </c>
      <c r="V134" s="82">
        <f t="shared" si="22"/>
        <v>0</v>
      </c>
      <c r="W134" s="82">
        <f t="shared" si="22"/>
        <v>0</v>
      </c>
      <c r="X134" s="82">
        <f t="shared" si="22"/>
        <v>0</v>
      </c>
      <c r="Y134" s="82">
        <f t="shared" si="22"/>
        <v>0</v>
      </c>
      <c r="Z134" s="82">
        <f t="shared" si="22"/>
        <v>0</v>
      </c>
      <c r="AA134" s="82">
        <f t="shared" si="22"/>
        <v>0</v>
      </c>
      <c r="AB134" s="82">
        <f t="shared" si="22"/>
        <v>0</v>
      </c>
      <c r="AC134" s="82">
        <f t="shared" si="22"/>
        <v>0</v>
      </c>
      <c r="AD134" s="82">
        <f t="shared" si="22"/>
        <v>0</v>
      </c>
      <c r="AE134" s="82">
        <f t="shared" si="22"/>
        <v>0</v>
      </c>
      <c r="AF134" s="82">
        <f t="shared" si="22"/>
        <v>0</v>
      </c>
      <c r="AG134" s="83">
        <f t="shared" si="17"/>
        <v>0</v>
      </c>
      <c r="AK134" s="308" t="s">
        <v>183</v>
      </c>
    </row>
    <row r="135" spans="1:37" ht="15.75" customHeight="1" thickBot="1" x14ac:dyDescent="0.3">
      <c r="A135" s="276" t="s">
        <v>110</v>
      </c>
      <c r="B135" s="6">
        <f t="shared" ref="B135:AF135" si="23">SUM(B136:B138)</f>
        <v>0</v>
      </c>
      <c r="C135" s="6">
        <f t="shared" si="23"/>
        <v>0</v>
      </c>
      <c r="D135" s="6">
        <f t="shared" si="23"/>
        <v>0</v>
      </c>
      <c r="E135" s="6">
        <f t="shared" si="23"/>
        <v>0</v>
      </c>
      <c r="F135" s="6">
        <f t="shared" si="23"/>
        <v>0</v>
      </c>
      <c r="G135" s="6">
        <f t="shared" si="23"/>
        <v>0</v>
      </c>
      <c r="H135" s="6">
        <f t="shared" si="23"/>
        <v>0</v>
      </c>
      <c r="I135" s="6">
        <f t="shared" si="23"/>
        <v>0</v>
      </c>
      <c r="J135" s="6">
        <f t="shared" si="23"/>
        <v>0</v>
      </c>
      <c r="K135" s="6">
        <f t="shared" si="23"/>
        <v>0</v>
      </c>
      <c r="L135" s="6">
        <f t="shared" si="23"/>
        <v>0</v>
      </c>
      <c r="M135" s="6">
        <f t="shared" si="23"/>
        <v>0</v>
      </c>
      <c r="N135" s="6">
        <f t="shared" si="23"/>
        <v>0</v>
      </c>
      <c r="O135" s="6">
        <f t="shared" si="23"/>
        <v>0</v>
      </c>
      <c r="P135" s="6">
        <f t="shared" si="23"/>
        <v>0</v>
      </c>
      <c r="Q135" s="6">
        <f t="shared" si="23"/>
        <v>0</v>
      </c>
      <c r="R135" s="6">
        <f t="shared" si="23"/>
        <v>0</v>
      </c>
      <c r="S135" s="6">
        <f t="shared" si="23"/>
        <v>0</v>
      </c>
      <c r="T135" s="6">
        <f t="shared" si="23"/>
        <v>0</v>
      </c>
      <c r="U135" s="6">
        <f t="shared" si="23"/>
        <v>0</v>
      </c>
      <c r="V135" s="6">
        <f t="shared" si="23"/>
        <v>0</v>
      </c>
      <c r="W135" s="6">
        <f t="shared" si="23"/>
        <v>0</v>
      </c>
      <c r="X135" s="6">
        <f t="shared" si="23"/>
        <v>0</v>
      </c>
      <c r="Y135" s="6">
        <f t="shared" si="23"/>
        <v>0</v>
      </c>
      <c r="Z135" s="6">
        <f t="shared" si="23"/>
        <v>0</v>
      </c>
      <c r="AA135" s="6">
        <f t="shared" si="23"/>
        <v>0</v>
      </c>
      <c r="AB135" s="6">
        <f t="shared" si="23"/>
        <v>0</v>
      </c>
      <c r="AC135" s="6">
        <f t="shared" si="23"/>
        <v>0</v>
      </c>
      <c r="AD135" s="6">
        <f t="shared" si="23"/>
        <v>0</v>
      </c>
      <c r="AE135" s="6">
        <f t="shared" si="23"/>
        <v>0</v>
      </c>
      <c r="AF135" s="6">
        <f t="shared" si="23"/>
        <v>0</v>
      </c>
      <c r="AG135" s="7">
        <f t="shared" si="17"/>
        <v>0</v>
      </c>
      <c r="AH135" s="357" t="s">
        <v>111</v>
      </c>
      <c r="AK135" s="308" t="s">
        <v>184</v>
      </c>
    </row>
    <row r="136" spans="1:37" ht="15.75" customHeight="1" x14ac:dyDescent="0.25">
      <c r="A136" s="314" t="s">
        <v>112</v>
      </c>
      <c r="B136" s="315"/>
      <c r="C136" s="315"/>
      <c r="D136" s="315"/>
      <c r="E136" s="315"/>
      <c r="F136" s="315"/>
      <c r="G136" s="315"/>
      <c r="H136" s="315"/>
      <c r="I136" s="315"/>
      <c r="J136" s="315"/>
      <c r="K136" s="315"/>
      <c r="L136" s="315"/>
      <c r="M136" s="315"/>
      <c r="N136" s="315"/>
      <c r="O136" s="315"/>
      <c r="P136" s="315"/>
      <c r="Q136" s="315"/>
      <c r="R136" s="315"/>
      <c r="S136" s="315"/>
      <c r="T136" s="315"/>
      <c r="U136" s="315"/>
      <c r="V136" s="315"/>
      <c r="W136" s="315"/>
      <c r="X136" s="315"/>
      <c r="Y136" s="315"/>
      <c r="Z136" s="315"/>
      <c r="AA136" s="315"/>
      <c r="AB136" s="315"/>
      <c r="AC136" s="315"/>
      <c r="AD136" s="315"/>
      <c r="AE136" s="315"/>
      <c r="AF136" s="315"/>
      <c r="AG136" s="126">
        <f t="shared" si="17"/>
        <v>0</v>
      </c>
      <c r="AK136" s="308" t="s">
        <v>185</v>
      </c>
    </row>
    <row r="137" spans="1:37" ht="15.75" customHeight="1" x14ac:dyDescent="0.25">
      <c r="A137" s="316" t="s">
        <v>113</v>
      </c>
      <c r="B137" s="317"/>
      <c r="C137" s="317"/>
      <c r="D137" s="317"/>
      <c r="E137" s="317"/>
      <c r="F137" s="317"/>
      <c r="G137" s="317"/>
      <c r="H137" s="317"/>
      <c r="I137" s="317"/>
      <c r="J137" s="317"/>
      <c r="K137" s="317"/>
      <c r="L137" s="317"/>
      <c r="M137" s="317"/>
      <c r="N137" s="317"/>
      <c r="O137" s="317"/>
      <c r="P137" s="317"/>
      <c r="Q137" s="317"/>
      <c r="R137" s="317"/>
      <c r="S137" s="317"/>
      <c r="T137" s="317"/>
      <c r="U137" s="317"/>
      <c r="V137" s="317"/>
      <c r="W137" s="317"/>
      <c r="X137" s="317"/>
      <c r="Y137" s="317"/>
      <c r="Z137" s="317"/>
      <c r="AA137" s="317"/>
      <c r="AB137" s="317"/>
      <c r="AC137" s="317"/>
      <c r="AD137" s="317"/>
      <c r="AE137" s="317"/>
      <c r="AF137" s="317"/>
      <c r="AG137" s="130">
        <f t="shared" si="17"/>
        <v>0</v>
      </c>
      <c r="AK137" s="308" t="s">
        <v>186</v>
      </c>
    </row>
    <row r="138" spans="1:37" ht="15.75" customHeight="1" thickBot="1" x14ac:dyDescent="0.3">
      <c r="A138" s="318" t="s">
        <v>114</v>
      </c>
      <c r="B138" s="319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  <c r="R138" s="319"/>
      <c r="S138" s="319"/>
      <c r="T138" s="319"/>
      <c r="U138" s="319"/>
      <c r="V138" s="319"/>
      <c r="W138" s="319"/>
      <c r="X138" s="319"/>
      <c r="Y138" s="319"/>
      <c r="Z138" s="319"/>
      <c r="AA138" s="319"/>
      <c r="AB138" s="319"/>
      <c r="AC138" s="319"/>
      <c r="AD138" s="319"/>
      <c r="AE138" s="319"/>
      <c r="AF138" s="319"/>
      <c r="AG138" s="134">
        <f t="shared" si="17"/>
        <v>0</v>
      </c>
      <c r="AK138" s="308" t="s">
        <v>187</v>
      </c>
    </row>
    <row r="139" spans="1:37" ht="15.75" customHeight="1" thickBot="1" x14ac:dyDescent="0.3">
      <c r="A139" s="296" t="s">
        <v>115</v>
      </c>
      <c r="B139" s="136">
        <f t="shared" ref="B139:AF139" si="24">SUM(B140:B141)</f>
        <v>0</v>
      </c>
      <c r="C139" s="136">
        <f t="shared" si="24"/>
        <v>0</v>
      </c>
      <c r="D139" s="136">
        <f t="shared" si="24"/>
        <v>0</v>
      </c>
      <c r="E139" s="136">
        <f t="shared" si="24"/>
        <v>0</v>
      </c>
      <c r="F139" s="136">
        <f t="shared" si="24"/>
        <v>0</v>
      </c>
      <c r="G139" s="136">
        <f t="shared" si="24"/>
        <v>0</v>
      </c>
      <c r="H139" s="136">
        <f t="shared" si="24"/>
        <v>0</v>
      </c>
      <c r="I139" s="136">
        <f t="shared" si="24"/>
        <v>0</v>
      </c>
      <c r="J139" s="136">
        <f t="shared" si="24"/>
        <v>0</v>
      </c>
      <c r="K139" s="136">
        <f t="shared" si="24"/>
        <v>0</v>
      </c>
      <c r="L139" s="136">
        <f t="shared" si="24"/>
        <v>0</v>
      </c>
      <c r="M139" s="136">
        <f t="shared" si="24"/>
        <v>0</v>
      </c>
      <c r="N139" s="136">
        <f t="shared" si="24"/>
        <v>0</v>
      </c>
      <c r="O139" s="136">
        <f t="shared" si="24"/>
        <v>0</v>
      </c>
      <c r="P139" s="136">
        <f t="shared" si="24"/>
        <v>0</v>
      </c>
      <c r="Q139" s="136">
        <f t="shared" si="24"/>
        <v>0</v>
      </c>
      <c r="R139" s="136">
        <f t="shared" si="24"/>
        <v>0</v>
      </c>
      <c r="S139" s="136">
        <f t="shared" si="24"/>
        <v>0</v>
      </c>
      <c r="T139" s="136">
        <f t="shared" si="24"/>
        <v>0</v>
      </c>
      <c r="U139" s="136">
        <f t="shared" si="24"/>
        <v>0</v>
      </c>
      <c r="V139" s="136">
        <f t="shared" si="24"/>
        <v>0</v>
      </c>
      <c r="W139" s="136">
        <f t="shared" si="24"/>
        <v>0</v>
      </c>
      <c r="X139" s="136">
        <f t="shared" si="24"/>
        <v>0</v>
      </c>
      <c r="Y139" s="136">
        <f t="shared" si="24"/>
        <v>0</v>
      </c>
      <c r="Z139" s="136">
        <f t="shared" si="24"/>
        <v>0</v>
      </c>
      <c r="AA139" s="136">
        <f t="shared" si="24"/>
        <v>0</v>
      </c>
      <c r="AB139" s="136">
        <f t="shared" si="24"/>
        <v>0</v>
      </c>
      <c r="AC139" s="136">
        <f t="shared" si="24"/>
        <v>0</v>
      </c>
      <c r="AD139" s="136">
        <f t="shared" si="24"/>
        <v>0</v>
      </c>
      <c r="AE139" s="136">
        <f t="shared" si="24"/>
        <v>0</v>
      </c>
      <c r="AF139" s="136">
        <f t="shared" si="24"/>
        <v>0</v>
      </c>
      <c r="AG139" s="137">
        <f t="shared" si="17"/>
        <v>0</v>
      </c>
      <c r="AH139" s="111" t="s">
        <v>116</v>
      </c>
      <c r="AK139" s="308" t="s">
        <v>188</v>
      </c>
    </row>
    <row r="140" spans="1:37" ht="15.75" customHeight="1" x14ac:dyDescent="0.25">
      <c r="A140" s="320" t="s">
        <v>117</v>
      </c>
      <c r="B140" s="321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141">
        <f t="shared" si="17"/>
        <v>0</v>
      </c>
      <c r="AH140" s="111" t="s">
        <v>116</v>
      </c>
      <c r="AK140" s="308" t="s">
        <v>189</v>
      </c>
    </row>
    <row r="141" spans="1:37" ht="15.75" customHeight="1" thickBot="1" x14ac:dyDescent="0.3">
      <c r="A141" s="297" t="s">
        <v>118</v>
      </c>
      <c r="B141" s="322"/>
      <c r="C141" s="322"/>
      <c r="D141" s="322"/>
      <c r="E141" s="322"/>
      <c r="F141" s="322"/>
      <c r="G141" s="322"/>
      <c r="H141" s="322"/>
      <c r="I141" s="322"/>
      <c r="J141" s="322"/>
      <c r="K141" s="322"/>
      <c r="L141" s="322"/>
      <c r="M141" s="322"/>
      <c r="N141" s="322"/>
      <c r="O141" s="322"/>
      <c r="P141" s="322"/>
      <c r="Q141" s="322"/>
      <c r="R141" s="322"/>
      <c r="S141" s="322"/>
      <c r="T141" s="322"/>
      <c r="U141" s="322"/>
      <c r="V141" s="322"/>
      <c r="W141" s="322"/>
      <c r="X141" s="322"/>
      <c r="Y141" s="322"/>
      <c r="Z141" s="322"/>
      <c r="AA141" s="322"/>
      <c r="AB141" s="322"/>
      <c r="AC141" s="322"/>
      <c r="AD141" s="322"/>
      <c r="AE141" s="322"/>
      <c r="AF141" s="322"/>
      <c r="AG141" s="144">
        <f t="shared" si="17"/>
        <v>0</v>
      </c>
      <c r="AH141" s="111" t="s">
        <v>116</v>
      </c>
      <c r="AK141" s="308" t="s">
        <v>190</v>
      </c>
    </row>
    <row r="142" spans="1:37" ht="15.75" customHeight="1" x14ac:dyDescent="0.25">
      <c r="A142" s="323" t="s">
        <v>119</v>
      </c>
      <c r="B142" s="324"/>
      <c r="C142" s="324"/>
      <c r="D142" s="324"/>
      <c r="E142" s="324"/>
      <c r="F142" s="324"/>
      <c r="G142" s="324"/>
      <c r="H142" s="324"/>
      <c r="I142" s="324"/>
      <c r="J142" s="324"/>
      <c r="K142" s="324"/>
      <c r="L142" s="324"/>
      <c r="M142" s="324"/>
      <c r="N142" s="324"/>
      <c r="O142" s="324"/>
      <c r="P142" s="324"/>
      <c r="Q142" s="324"/>
      <c r="R142" s="324"/>
      <c r="S142" s="324"/>
      <c r="T142" s="324"/>
      <c r="U142" s="324"/>
      <c r="V142" s="324"/>
      <c r="W142" s="324"/>
      <c r="X142" s="324"/>
      <c r="Y142" s="324"/>
      <c r="Z142" s="324"/>
      <c r="AA142" s="324"/>
      <c r="AB142" s="324"/>
      <c r="AC142" s="324"/>
      <c r="AD142" s="324">
        <v>0</v>
      </c>
      <c r="AE142" s="324">
        <v>0</v>
      </c>
      <c r="AF142" s="324">
        <v>0</v>
      </c>
      <c r="AG142" s="148">
        <f t="shared" si="17"/>
        <v>0</v>
      </c>
      <c r="AK142" s="308" t="s">
        <v>191</v>
      </c>
    </row>
    <row r="143" spans="1:37" ht="15.75" customHeight="1" thickBot="1" x14ac:dyDescent="0.3">
      <c r="A143" s="325" t="s">
        <v>120</v>
      </c>
      <c r="B143" s="326"/>
      <c r="C143" s="326"/>
      <c r="D143" s="326"/>
      <c r="E143" s="326"/>
      <c r="F143" s="326"/>
      <c r="G143" s="326"/>
      <c r="H143" s="326"/>
      <c r="I143" s="326"/>
      <c r="J143" s="326"/>
      <c r="K143" s="326"/>
      <c r="L143" s="326"/>
      <c r="M143" s="326"/>
      <c r="N143" s="326"/>
      <c r="O143" s="326"/>
      <c r="P143" s="326"/>
      <c r="Q143" s="326"/>
      <c r="R143" s="326"/>
      <c r="S143" s="326"/>
      <c r="T143" s="326"/>
      <c r="U143" s="326"/>
      <c r="V143" s="326"/>
      <c r="W143" s="326"/>
      <c r="X143" s="326"/>
      <c r="Y143" s="326"/>
      <c r="Z143" s="326"/>
      <c r="AA143" s="326"/>
      <c r="AB143" s="326"/>
      <c r="AC143" s="326"/>
      <c r="AD143" s="326">
        <v>0</v>
      </c>
      <c r="AE143" s="326">
        <v>0</v>
      </c>
      <c r="AF143" s="326">
        <v>0</v>
      </c>
      <c r="AG143" s="152">
        <f t="shared" si="17"/>
        <v>0</v>
      </c>
      <c r="AK143" s="308" t="s">
        <v>192</v>
      </c>
    </row>
    <row r="144" spans="1:37" ht="15.75" customHeight="1" thickBot="1" x14ac:dyDescent="0.3">
      <c r="A144" s="327" t="s">
        <v>121</v>
      </c>
      <c r="B144" s="155">
        <f t="shared" ref="B144:AF144" si="25">SUM(B145:B170)</f>
        <v>0</v>
      </c>
      <c r="C144" s="155">
        <f t="shared" si="25"/>
        <v>0</v>
      </c>
      <c r="D144" s="155">
        <f t="shared" si="25"/>
        <v>0</v>
      </c>
      <c r="E144" s="155">
        <f t="shared" si="25"/>
        <v>0</v>
      </c>
      <c r="F144" s="155">
        <f t="shared" si="25"/>
        <v>0</v>
      </c>
      <c r="G144" s="155">
        <f t="shared" si="25"/>
        <v>0</v>
      </c>
      <c r="H144" s="155">
        <f t="shared" si="25"/>
        <v>0</v>
      </c>
      <c r="I144" s="155">
        <f t="shared" si="25"/>
        <v>0</v>
      </c>
      <c r="J144" s="155">
        <f t="shared" si="25"/>
        <v>0</v>
      </c>
      <c r="K144" s="155">
        <f t="shared" si="25"/>
        <v>0</v>
      </c>
      <c r="L144" s="155">
        <f t="shared" si="25"/>
        <v>0</v>
      </c>
      <c r="M144" s="155">
        <f t="shared" si="25"/>
        <v>0</v>
      </c>
      <c r="N144" s="155">
        <f t="shared" si="25"/>
        <v>0</v>
      </c>
      <c r="O144" s="155">
        <f t="shared" si="25"/>
        <v>0</v>
      </c>
      <c r="P144" s="155">
        <f t="shared" si="25"/>
        <v>0</v>
      </c>
      <c r="Q144" s="155">
        <f t="shared" si="25"/>
        <v>0</v>
      </c>
      <c r="R144" s="155">
        <f t="shared" si="25"/>
        <v>0</v>
      </c>
      <c r="S144" s="155">
        <f t="shared" si="25"/>
        <v>0</v>
      </c>
      <c r="T144" s="155">
        <f t="shared" si="25"/>
        <v>0</v>
      </c>
      <c r="U144" s="155">
        <f t="shared" si="25"/>
        <v>0</v>
      </c>
      <c r="V144" s="155">
        <f t="shared" si="25"/>
        <v>0</v>
      </c>
      <c r="W144" s="155">
        <f t="shared" si="25"/>
        <v>0</v>
      </c>
      <c r="X144" s="155">
        <f t="shared" si="25"/>
        <v>0</v>
      </c>
      <c r="Y144" s="155">
        <f t="shared" si="25"/>
        <v>0</v>
      </c>
      <c r="Z144" s="155">
        <f t="shared" si="25"/>
        <v>0</v>
      </c>
      <c r="AA144" s="155">
        <f t="shared" si="25"/>
        <v>0</v>
      </c>
      <c r="AB144" s="155">
        <f t="shared" si="25"/>
        <v>0</v>
      </c>
      <c r="AC144" s="155">
        <f t="shared" si="25"/>
        <v>0</v>
      </c>
      <c r="AD144" s="155">
        <f t="shared" si="25"/>
        <v>0</v>
      </c>
      <c r="AE144" s="155">
        <f t="shared" si="25"/>
        <v>0</v>
      </c>
      <c r="AF144" s="155">
        <f t="shared" si="25"/>
        <v>0</v>
      </c>
      <c r="AG144" s="91">
        <f t="shared" si="17"/>
        <v>0</v>
      </c>
      <c r="AK144" s="308" t="s">
        <v>193</v>
      </c>
    </row>
    <row r="145" spans="1:37" ht="15.75" customHeight="1" x14ac:dyDescent="0.25">
      <c r="A145" s="328" t="s">
        <v>122</v>
      </c>
      <c r="B145" s="329"/>
      <c r="C145" s="329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  <c r="N145" s="329"/>
      <c r="O145" s="329"/>
      <c r="P145" s="329"/>
      <c r="Q145" s="329"/>
      <c r="R145" s="329"/>
      <c r="S145" s="329"/>
      <c r="T145" s="329"/>
      <c r="U145" s="329"/>
      <c r="V145" s="329"/>
      <c r="W145" s="329"/>
      <c r="X145" s="329"/>
      <c r="Y145" s="329"/>
      <c r="Z145" s="329"/>
      <c r="AA145" s="329"/>
      <c r="AB145" s="329"/>
      <c r="AC145" s="329"/>
      <c r="AD145" s="329"/>
      <c r="AE145" s="329"/>
      <c r="AF145" s="329"/>
      <c r="AG145" s="159">
        <f t="shared" si="17"/>
        <v>0</v>
      </c>
      <c r="AK145" s="308" t="s">
        <v>194</v>
      </c>
    </row>
    <row r="146" spans="1:37" ht="15.75" customHeight="1" x14ac:dyDescent="0.25">
      <c r="A146" s="330" t="s">
        <v>123</v>
      </c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  <c r="Y146" s="301"/>
      <c r="Z146" s="301"/>
      <c r="AA146" s="301"/>
      <c r="AB146" s="301"/>
      <c r="AC146" s="301"/>
      <c r="AD146" s="301"/>
      <c r="AE146" s="301"/>
      <c r="AF146" s="301"/>
      <c r="AG146" s="15">
        <f t="shared" si="17"/>
        <v>0</v>
      </c>
      <c r="AK146" s="308" t="s">
        <v>195</v>
      </c>
    </row>
    <row r="147" spans="1:37" ht="15.75" customHeight="1" x14ac:dyDescent="0.25">
      <c r="A147" s="330" t="s">
        <v>124</v>
      </c>
      <c r="B147" s="301"/>
      <c r="C147" s="301"/>
      <c r="D147" s="301"/>
      <c r="E147" s="301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  <c r="Y147" s="301"/>
      <c r="Z147" s="301"/>
      <c r="AA147" s="301"/>
      <c r="AB147" s="301"/>
      <c r="AC147" s="301"/>
      <c r="AD147" s="301"/>
      <c r="AE147" s="301"/>
      <c r="AF147" s="301"/>
      <c r="AG147" s="15">
        <f t="shared" si="17"/>
        <v>0</v>
      </c>
      <c r="AK147" s="308" t="s">
        <v>196</v>
      </c>
    </row>
    <row r="148" spans="1:37" ht="15.75" customHeight="1" x14ac:dyDescent="0.25">
      <c r="A148" s="330" t="s">
        <v>125</v>
      </c>
      <c r="B148" s="301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  <c r="Y148" s="301"/>
      <c r="Z148" s="301"/>
      <c r="AA148" s="301"/>
      <c r="AB148" s="301"/>
      <c r="AC148" s="301"/>
      <c r="AD148" s="301"/>
      <c r="AE148" s="301"/>
      <c r="AF148" s="301"/>
      <c r="AG148" s="15">
        <f t="shared" si="17"/>
        <v>0</v>
      </c>
      <c r="AK148" s="308" t="s">
        <v>197</v>
      </c>
    </row>
    <row r="149" spans="1:37" ht="15.75" customHeight="1" x14ac:dyDescent="0.25">
      <c r="A149" s="331" t="s">
        <v>126</v>
      </c>
      <c r="B149" s="332"/>
      <c r="C149" s="332"/>
      <c r="D149" s="332"/>
      <c r="E149" s="332"/>
      <c r="F149" s="332"/>
      <c r="G149" s="332"/>
      <c r="H149" s="332"/>
      <c r="I149" s="332"/>
      <c r="J149" s="332"/>
      <c r="K149" s="332"/>
      <c r="L149" s="332"/>
      <c r="M149" s="332"/>
      <c r="N149" s="332"/>
      <c r="O149" s="332"/>
      <c r="P149" s="332"/>
      <c r="Q149" s="332"/>
      <c r="R149" s="332"/>
      <c r="S149" s="332"/>
      <c r="T149" s="332"/>
      <c r="U149" s="332"/>
      <c r="V149" s="332"/>
      <c r="W149" s="332"/>
      <c r="X149" s="332"/>
      <c r="Y149" s="332"/>
      <c r="Z149" s="332"/>
      <c r="AA149" s="332"/>
      <c r="AB149" s="332"/>
      <c r="AC149" s="332"/>
      <c r="AD149" s="332"/>
      <c r="AE149" s="332"/>
      <c r="AF149" s="332"/>
      <c r="AG149" s="164">
        <f t="shared" si="17"/>
        <v>0</v>
      </c>
      <c r="AK149" s="312" t="s">
        <v>198</v>
      </c>
    </row>
    <row r="150" spans="1:37" ht="15.75" customHeight="1" x14ac:dyDescent="0.25">
      <c r="A150" s="330" t="s">
        <v>127</v>
      </c>
      <c r="B150" s="30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  <c r="AA150" s="301"/>
      <c r="AB150" s="301"/>
      <c r="AC150" s="301"/>
      <c r="AD150" s="301"/>
      <c r="AE150" s="301"/>
      <c r="AF150" s="301"/>
      <c r="AG150" s="15">
        <f t="shared" si="17"/>
        <v>0</v>
      </c>
      <c r="AK150" s="308" t="s">
        <v>199</v>
      </c>
    </row>
    <row r="151" spans="1:37" ht="15.75" customHeight="1" x14ac:dyDescent="0.25">
      <c r="A151" s="330" t="s">
        <v>128</v>
      </c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  <c r="AA151" s="301"/>
      <c r="AB151" s="301"/>
      <c r="AC151" s="301"/>
      <c r="AD151" s="301"/>
      <c r="AE151" s="301"/>
      <c r="AF151" s="301"/>
      <c r="AG151" s="15">
        <f t="shared" si="17"/>
        <v>0</v>
      </c>
      <c r="AK151" s="308" t="s">
        <v>200</v>
      </c>
    </row>
    <row r="152" spans="1:37" ht="15.75" customHeight="1" x14ac:dyDescent="0.25">
      <c r="A152" s="330" t="s">
        <v>129</v>
      </c>
      <c r="B152" s="301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  <c r="Y152" s="301"/>
      <c r="Z152" s="301"/>
      <c r="AA152" s="301"/>
      <c r="AB152" s="301"/>
      <c r="AC152" s="301"/>
      <c r="AD152" s="301"/>
      <c r="AE152" s="301"/>
      <c r="AF152" s="301"/>
      <c r="AG152" s="15">
        <f t="shared" si="17"/>
        <v>0</v>
      </c>
      <c r="AK152" s="308" t="s">
        <v>201</v>
      </c>
    </row>
    <row r="153" spans="1:37" ht="15.75" customHeight="1" x14ac:dyDescent="0.25">
      <c r="A153" s="330" t="s">
        <v>130</v>
      </c>
      <c r="B153" s="301"/>
      <c r="C153" s="301"/>
      <c r="D153" s="301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1"/>
      <c r="Z153" s="301"/>
      <c r="AA153" s="301"/>
      <c r="AB153" s="301"/>
      <c r="AC153" s="301"/>
      <c r="AD153" s="301"/>
      <c r="AE153" s="301"/>
      <c r="AF153" s="301"/>
      <c r="AG153" s="15">
        <f t="shared" si="17"/>
        <v>0</v>
      </c>
      <c r="AK153" s="333" t="s">
        <v>165</v>
      </c>
    </row>
    <row r="154" spans="1:37" ht="15.75" customHeight="1" x14ac:dyDescent="0.25">
      <c r="A154" s="300" t="s">
        <v>131</v>
      </c>
      <c r="B154" s="301"/>
      <c r="C154" s="301"/>
      <c r="D154" s="301"/>
      <c r="E154" s="301"/>
      <c r="F154" s="301"/>
      <c r="G154" s="301"/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  <c r="Y154" s="301"/>
      <c r="Z154" s="301"/>
      <c r="AA154" s="301"/>
      <c r="AB154" s="301"/>
      <c r="AC154" s="301"/>
      <c r="AD154" s="301"/>
      <c r="AE154" s="301"/>
      <c r="AF154" s="301"/>
      <c r="AG154" s="15">
        <f t="shared" si="17"/>
        <v>0</v>
      </c>
      <c r="AK154" s="333" t="s">
        <v>164</v>
      </c>
    </row>
    <row r="155" spans="1:37" ht="15.75" customHeight="1" x14ac:dyDescent="0.25">
      <c r="A155" s="300" t="s">
        <v>132</v>
      </c>
      <c r="B155" s="301"/>
      <c r="C155" s="301"/>
      <c r="D155" s="301"/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  <c r="Z155" s="301"/>
      <c r="AA155" s="301"/>
      <c r="AB155" s="301"/>
      <c r="AC155" s="301"/>
      <c r="AD155" s="301"/>
      <c r="AE155" s="301"/>
      <c r="AF155" s="301"/>
      <c r="AG155" s="15">
        <f t="shared" si="17"/>
        <v>0</v>
      </c>
      <c r="AK155" s="312" t="s">
        <v>166</v>
      </c>
    </row>
    <row r="156" spans="1:37" ht="15.75" customHeight="1" x14ac:dyDescent="0.25">
      <c r="A156" s="300" t="s">
        <v>133</v>
      </c>
      <c r="B156" s="301"/>
      <c r="C156" s="301"/>
      <c r="D156" s="301"/>
      <c r="E156" s="301"/>
      <c r="F156" s="301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  <c r="Z156" s="301"/>
      <c r="AA156" s="301"/>
      <c r="AB156" s="301"/>
      <c r="AC156" s="301"/>
      <c r="AD156" s="301"/>
      <c r="AE156" s="301"/>
      <c r="AF156" s="301"/>
      <c r="AG156" s="15">
        <f t="shared" si="17"/>
        <v>0</v>
      </c>
      <c r="AK156" s="312" t="s">
        <v>163</v>
      </c>
    </row>
    <row r="157" spans="1:37" ht="15.75" customHeight="1" x14ac:dyDescent="0.25">
      <c r="A157" s="300" t="s">
        <v>134</v>
      </c>
      <c r="B157" s="301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1"/>
      <c r="AG157" s="15">
        <f t="shared" si="17"/>
        <v>0</v>
      </c>
    </row>
    <row r="158" spans="1:37" ht="15.75" customHeight="1" x14ac:dyDescent="0.25">
      <c r="A158" s="334" t="s">
        <v>135</v>
      </c>
      <c r="B158" s="335"/>
      <c r="C158" s="335"/>
      <c r="D158" s="335"/>
      <c r="E158" s="335"/>
      <c r="F158" s="335"/>
      <c r="G158" s="335"/>
      <c r="H158" s="335"/>
      <c r="I158" s="335"/>
      <c r="J158" s="335"/>
      <c r="K158" s="335"/>
      <c r="L158" s="335"/>
      <c r="M158" s="335"/>
      <c r="N158" s="335"/>
      <c r="O158" s="335"/>
      <c r="P158" s="335"/>
      <c r="Q158" s="335"/>
      <c r="R158" s="335"/>
      <c r="S158" s="335"/>
      <c r="T158" s="335"/>
      <c r="U158" s="335"/>
      <c r="V158" s="335"/>
      <c r="W158" s="335"/>
      <c r="X158" s="335"/>
      <c r="Y158" s="335"/>
      <c r="Z158" s="335"/>
      <c r="AA158" s="335"/>
      <c r="AB158" s="335"/>
      <c r="AC158" s="335"/>
      <c r="AD158" s="335"/>
      <c r="AE158" s="335"/>
      <c r="AF158" s="335"/>
      <c r="AG158" s="169">
        <f t="shared" si="17"/>
        <v>0</v>
      </c>
    </row>
    <row r="159" spans="1:37" ht="15.75" customHeight="1" x14ac:dyDescent="0.25">
      <c r="A159" s="336" t="s">
        <v>136</v>
      </c>
      <c r="B159" s="301"/>
      <c r="C159" s="301"/>
      <c r="D159" s="301"/>
      <c r="E159" s="301"/>
      <c r="F159" s="301"/>
      <c r="G159" s="301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  <c r="Z159" s="301"/>
      <c r="AA159" s="301"/>
      <c r="AB159" s="301"/>
      <c r="AC159" s="301"/>
      <c r="AD159" s="301"/>
      <c r="AE159" s="301"/>
      <c r="AF159" s="301"/>
      <c r="AG159" s="15">
        <f t="shared" si="17"/>
        <v>0</v>
      </c>
    </row>
    <row r="160" spans="1:37" ht="15.75" customHeight="1" x14ac:dyDescent="0.25">
      <c r="A160" s="336" t="s">
        <v>137</v>
      </c>
      <c r="B160" s="301"/>
      <c r="C160" s="301"/>
      <c r="D160" s="301"/>
      <c r="E160" s="301"/>
      <c r="F160" s="301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  <c r="Z160" s="301"/>
      <c r="AA160" s="301"/>
      <c r="AB160" s="301"/>
      <c r="AC160" s="301"/>
      <c r="AD160" s="301"/>
      <c r="AE160" s="301"/>
      <c r="AF160" s="301"/>
      <c r="AG160" s="15">
        <f t="shared" si="17"/>
        <v>0</v>
      </c>
    </row>
    <row r="161" spans="1:34" ht="15.75" customHeight="1" x14ac:dyDescent="0.25">
      <c r="A161" s="336" t="s">
        <v>138</v>
      </c>
      <c r="B161" s="301"/>
      <c r="C161" s="301"/>
      <c r="D161" s="301"/>
      <c r="E161" s="301"/>
      <c r="F161" s="301"/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  <c r="AA161" s="301"/>
      <c r="AB161" s="301"/>
      <c r="AC161" s="301"/>
      <c r="AD161" s="301"/>
      <c r="AE161" s="301"/>
      <c r="AF161" s="301"/>
      <c r="AG161" s="15">
        <f t="shared" si="17"/>
        <v>0</v>
      </c>
    </row>
    <row r="162" spans="1:34" ht="15.75" customHeight="1" x14ac:dyDescent="0.25">
      <c r="A162" s="336" t="s">
        <v>139</v>
      </c>
      <c r="B162" s="301"/>
      <c r="C162" s="301"/>
      <c r="D162" s="301"/>
      <c r="E162" s="301"/>
      <c r="F162" s="301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1"/>
      <c r="Z162" s="301"/>
      <c r="AA162" s="301"/>
      <c r="AB162" s="301"/>
      <c r="AC162" s="301"/>
      <c r="AD162" s="301"/>
      <c r="AE162" s="301"/>
      <c r="AF162" s="301"/>
      <c r="AG162" s="15">
        <f t="shared" si="17"/>
        <v>0</v>
      </c>
    </row>
    <row r="163" spans="1:34" ht="15.75" customHeight="1" x14ac:dyDescent="0.25">
      <c r="A163" s="336" t="s">
        <v>140</v>
      </c>
      <c r="B163" s="301"/>
      <c r="C163" s="301"/>
      <c r="D163" s="301"/>
      <c r="E163" s="301"/>
      <c r="F163" s="301"/>
      <c r="G163" s="301"/>
      <c r="H163" s="301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  <c r="Y163" s="301"/>
      <c r="Z163" s="301"/>
      <c r="AA163" s="301"/>
      <c r="AB163" s="301"/>
      <c r="AC163" s="301"/>
      <c r="AD163" s="301"/>
      <c r="AE163" s="301"/>
      <c r="AF163" s="301"/>
      <c r="AG163" s="15">
        <f t="shared" ref="AG163:AG180" si="26">SUM(B163:AF163)</f>
        <v>0</v>
      </c>
    </row>
    <row r="164" spans="1:34" ht="15.75" customHeight="1" x14ac:dyDescent="0.25">
      <c r="A164" s="336" t="s">
        <v>141</v>
      </c>
      <c r="B164" s="301"/>
      <c r="C164" s="301"/>
      <c r="D164" s="301"/>
      <c r="E164" s="301"/>
      <c r="F164" s="301"/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  <c r="AA164" s="301"/>
      <c r="AB164" s="301"/>
      <c r="AC164" s="301"/>
      <c r="AD164" s="301"/>
      <c r="AE164" s="301"/>
      <c r="AF164" s="301"/>
      <c r="AG164" s="15">
        <f t="shared" si="26"/>
        <v>0</v>
      </c>
    </row>
    <row r="165" spans="1:34" ht="15.75" customHeight="1" x14ac:dyDescent="0.25">
      <c r="A165" s="300" t="s">
        <v>142</v>
      </c>
      <c r="B165" s="301"/>
      <c r="C165" s="301"/>
      <c r="D165" s="301"/>
      <c r="E165" s="301"/>
      <c r="F165" s="301"/>
      <c r="G165" s="301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1"/>
      <c r="Z165" s="301"/>
      <c r="AA165" s="301"/>
      <c r="AB165" s="301"/>
      <c r="AC165" s="301"/>
      <c r="AD165" s="301"/>
      <c r="AE165" s="301"/>
      <c r="AF165" s="301"/>
      <c r="AG165" s="15">
        <f t="shared" si="26"/>
        <v>0</v>
      </c>
    </row>
    <row r="166" spans="1:34" ht="15.75" customHeight="1" x14ac:dyDescent="0.25">
      <c r="A166" s="300" t="s">
        <v>143</v>
      </c>
      <c r="B166" s="301"/>
      <c r="C166" s="301"/>
      <c r="D166" s="301"/>
      <c r="E166" s="301"/>
      <c r="F166" s="301"/>
      <c r="G166" s="301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  <c r="AA166" s="301"/>
      <c r="AB166" s="301"/>
      <c r="AC166" s="301"/>
      <c r="AD166" s="301"/>
      <c r="AE166" s="301"/>
      <c r="AF166" s="301"/>
      <c r="AG166" s="15">
        <f t="shared" si="26"/>
        <v>0</v>
      </c>
    </row>
    <row r="167" spans="1:34" ht="15.75" customHeight="1" x14ac:dyDescent="0.25">
      <c r="A167" s="300" t="s">
        <v>144</v>
      </c>
      <c r="B167" s="301"/>
      <c r="C167" s="301"/>
      <c r="D167" s="301"/>
      <c r="E167" s="301"/>
      <c r="F167" s="301"/>
      <c r="G167" s="301"/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  <c r="W167" s="301"/>
      <c r="X167" s="301"/>
      <c r="Y167" s="301"/>
      <c r="Z167" s="301"/>
      <c r="AA167" s="301"/>
      <c r="AB167" s="301"/>
      <c r="AC167" s="301"/>
      <c r="AD167" s="301"/>
      <c r="AE167" s="301"/>
      <c r="AF167" s="301"/>
      <c r="AG167" s="15">
        <f t="shared" si="26"/>
        <v>0</v>
      </c>
    </row>
    <row r="168" spans="1:34" ht="15.75" customHeight="1" x14ac:dyDescent="0.25">
      <c r="A168" s="300" t="s">
        <v>145</v>
      </c>
      <c r="B168" s="337"/>
      <c r="C168" s="337"/>
      <c r="D168" s="337"/>
      <c r="E168" s="337"/>
      <c r="F168" s="337"/>
      <c r="G168" s="337"/>
      <c r="H168" s="337"/>
      <c r="I168" s="337"/>
      <c r="J168" s="337"/>
      <c r="K168" s="337"/>
      <c r="L168" s="337"/>
      <c r="M168" s="337"/>
      <c r="N168" s="337"/>
      <c r="O168" s="337"/>
      <c r="P168" s="337"/>
      <c r="Q168" s="337"/>
      <c r="R168" s="337"/>
      <c r="S168" s="337"/>
      <c r="T168" s="337"/>
      <c r="U168" s="337"/>
      <c r="V168" s="337"/>
      <c r="W168" s="337"/>
      <c r="X168" s="337"/>
      <c r="Y168" s="337"/>
      <c r="Z168" s="337"/>
      <c r="AA168" s="337"/>
      <c r="AB168" s="337"/>
      <c r="AC168" s="337"/>
      <c r="AD168" s="337"/>
      <c r="AE168" s="337"/>
      <c r="AF168" s="337"/>
      <c r="AG168" s="15">
        <f t="shared" si="26"/>
        <v>0</v>
      </c>
    </row>
    <row r="169" spans="1:34" ht="15.75" customHeight="1" x14ac:dyDescent="0.25">
      <c r="A169" s="338" t="s">
        <v>146</v>
      </c>
      <c r="B169" s="337"/>
      <c r="C169" s="337"/>
      <c r="D169" s="337"/>
      <c r="E169" s="337"/>
      <c r="F169" s="337"/>
      <c r="G169" s="337"/>
      <c r="H169" s="337"/>
      <c r="I169" s="337"/>
      <c r="J169" s="337"/>
      <c r="K169" s="337"/>
      <c r="L169" s="337"/>
      <c r="M169" s="337"/>
      <c r="N169" s="337"/>
      <c r="O169" s="337"/>
      <c r="P169" s="337"/>
      <c r="Q169" s="337"/>
      <c r="R169" s="337"/>
      <c r="S169" s="337"/>
      <c r="T169" s="337"/>
      <c r="U169" s="337"/>
      <c r="V169" s="337"/>
      <c r="W169" s="337"/>
      <c r="X169" s="337"/>
      <c r="Y169" s="337"/>
      <c r="Z169" s="337"/>
      <c r="AA169" s="337"/>
      <c r="AB169" s="337"/>
      <c r="AC169" s="337"/>
      <c r="AD169" s="337"/>
      <c r="AE169" s="337"/>
      <c r="AF169" s="337"/>
      <c r="AG169" s="15">
        <f t="shared" si="26"/>
        <v>0</v>
      </c>
    </row>
    <row r="170" spans="1:34" ht="15.75" customHeight="1" thickBot="1" x14ac:dyDescent="0.3">
      <c r="A170" s="339" t="s">
        <v>147</v>
      </c>
      <c r="B170" s="337"/>
      <c r="C170" s="337"/>
      <c r="D170" s="337"/>
      <c r="E170" s="337"/>
      <c r="F170" s="337"/>
      <c r="G170" s="337"/>
      <c r="H170" s="337"/>
      <c r="I170" s="337"/>
      <c r="J170" s="337"/>
      <c r="K170" s="337"/>
      <c r="L170" s="337"/>
      <c r="M170" s="337"/>
      <c r="N170" s="337"/>
      <c r="O170" s="337"/>
      <c r="P170" s="337"/>
      <c r="Q170" s="337"/>
      <c r="R170" s="337"/>
      <c r="S170" s="337"/>
      <c r="T170" s="337"/>
      <c r="U170" s="337"/>
      <c r="V170" s="337"/>
      <c r="W170" s="337"/>
      <c r="X170" s="337"/>
      <c r="Y170" s="337"/>
      <c r="Z170" s="337"/>
      <c r="AA170" s="337"/>
      <c r="AB170" s="337"/>
      <c r="AC170" s="337"/>
      <c r="AD170" s="337"/>
      <c r="AE170" s="337"/>
      <c r="AF170" s="337"/>
      <c r="AG170" s="106">
        <f t="shared" si="26"/>
        <v>0</v>
      </c>
    </row>
    <row r="171" spans="1:34" ht="15.75" customHeight="1" thickBot="1" x14ac:dyDescent="0.3">
      <c r="A171" s="340" t="s">
        <v>148</v>
      </c>
      <c r="B171" s="177">
        <f t="shared" ref="B171:AF171" si="27">SUM(B172:B176)</f>
        <v>0</v>
      </c>
      <c r="C171" s="177">
        <f t="shared" si="27"/>
        <v>0</v>
      </c>
      <c r="D171" s="177">
        <f t="shared" si="27"/>
        <v>0</v>
      </c>
      <c r="E171" s="177">
        <f t="shared" si="27"/>
        <v>0</v>
      </c>
      <c r="F171" s="177">
        <f t="shared" si="27"/>
        <v>0</v>
      </c>
      <c r="G171" s="177">
        <f t="shared" si="27"/>
        <v>0</v>
      </c>
      <c r="H171" s="177">
        <f t="shared" si="27"/>
        <v>0</v>
      </c>
      <c r="I171" s="177">
        <f t="shared" si="27"/>
        <v>0</v>
      </c>
      <c r="J171" s="177">
        <f t="shared" si="27"/>
        <v>0</v>
      </c>
      <c r="K171" s="177">
        <f t="shared" si="27"/>
        <v>0</v>
      </c>
      <c r="L171" s="177">
        <f t="shared" si="27"/>
        <v>0</v>
      </c>
      <c r="M171" s="177">
        <f t="shared" si="27"/>
        <v>0</v>
      </c>
      <c r="N171" s="177">
        <f t="shared" si="27"/>
        <v>0</v>
      </c>
      <c r="O171" s="177">
        <f t="shared" si="27"/>
        <v>0</v>
      </c>
      <c r="P171" s="177">
        <f t="shared" si="27"/>
        <v>0</v>
      </c>
      <c r="Q171" s="177">
        <f t="shared" si="27"/>
        <v>0</v>
      </c>
      <c r="R171" s="177">
        <f t="shared" si="27"/>
        <v>0</v>
      </c>
      <c r="S171" s="177">
        <f t="shared" si="27"/>
        <v>0</v>
      </c>
      <c r="T171" s="177">
        <f t="shared" si="27"/>
        <v>0</v>
      </c>
      <c r="U171" s="177">
        <f t="shared" si="27"/>
        <v>0</v>
      </c>
      <c r="V171" s="177">
        <f t="shared" si="27"/>
        <v>0</v>
      </c>
      <c r="W171" s="177">
        <f t="shared" si="27"/>
        <v>0</v>
      </c>
      <c r="X171" s="177">
        <f t="shared" si="27"/>
        <v>0</v>
      </c>
      <c r="Y171" s="177">
        <f t="shared" si="27"/>
        <v>0</v>
      </c>
      <c r="Z171" s="177">
        <f t="shared" si="27"/>
        <v>0</v>
      </c>
      <c r="AA171" s="177">
        <f t="shared" si="27"/>
        <v>0</v>
      </c>
      <c r="AB171" s="177">
        <f t="shared" si="27"/>
        <v>0</v>
      </c>
      <c r="AC171" s="177">
        <f t="shared" si="27"/>
        <v>0</v>
      </c>
      <c r="AD171" s="177">
        <f t="shared" si="27"/>
        <v>0</v>
      </c>
      <c r="AE171" s="177">
        <f t="shared" si="27"/>
        <v>0</v>
      </c>
      <c r="AF171" s="177">
        <f t="shared" si="27"/>
        <v>0</v>
      </c>
      <c r="AG171" s="178">
        <f t="shared" si="26"/>
        <v>0</v>
      </c>
      <c r="AH171" s="40" t="str">
        <f>IF(AG171&lt;&gt;AG93,"X","")</f>
        <v/>
      </c>
    </row>
    <row r="172" spans="1:34" ht="15.75" customHeight="1" x14ac:dyDescent="0.25">
      <c r="A172" s="341" t="s">
        <v>149</v>
      </c>
      <c r="B172" s="342"/>
      <c r="C172" s="342"/>
      <c r="D172" s="342"/>
      <c r="E172" s="342"/>
      <c r="F172" s="342"/>
      <c r="G172" s="342"/>
      <c r="H172" s="342"/>
      <c r="I172" s="342"/>
      <c r="J172" s="342"/>
      <c r="K172" s="342"/>
      <c r="L172" s="342"/>
      <c r="M172" s="342"/>
      <c r="N172" s="342"/>
      <c r="O172" s="342"/>
      <c r="P172" s="342"/>
      <c r="Q172" s="342"/>
      <c r="R172" s="342"/>
      <c r="S172" s="342"/>
      <c r="T172" s="342"/>
      <c r="U172" s="342"/>
      <c r="V172" s="342"/>
      <c r="W172" s="342"/>
      <c r="X172" s="342"/>
      <c r="Y172" s="342"/>
      <c r="Z172" s="342"/>
      <c r="AA172" s="342"/>
      <c r="AB172" s="342"/>
      <c r="AC172" s="342"/>
      <c r="AD172" s="342"/>
      <c r="AE172" s="342"/>
      <c r="AF172" s="342"/>
      <c r="AG172" s="182">
        <f t="shared" si="26"/>
        <v>0</v>
      </c>
    </row>
    <row r="173" spans="1:34" ht="15.75" customHeight="1" x14ac:dyDescent="0.25">
      <c r="A173" s="343" t="s">
        <v>51</v>
      </c>
      <c r="B173" s="344"/>
      <c r="C173" s="344"/>
      <c r="D173" s="344"/>
      <c r="E173" s="344"/>
      <c r="F173" s="344"/>
      <c r="G173" s="344"/>
      <c r="H173" s="344"/>
      <c r="I173" s="344"/>
      <c r="J173" s="344"/>
      <c r="K173" s="344"/>
      <c r="L173" s="344"/>
      <c r="M173" s="344"/>
      <c r="N173" s="344"/>
      <c r="O173" s="344"/>
      <c r="P173" s="344"/>
      <c r="Q173" s="344"/>
      <c r="R173" s="344"/>
      <c r="S173" s="344"/>
      <c r="T173" s="344"/>
      <c r="U173" s="344"/>
      <c r="V173" s="344"/>
      <c r="W173" s="344"/>
      <c r="X173" s="344"/>
      <c r="Y173" s="344"/>
      <c r="Z173" s="344"/>
      <c r="AA173" s="344"/>
      <c r="AB173" s="344"/>
      <c r="AC173" s="344"/>
      <c r="AD173" s="344"/>
      <c r="AE173" s="344"/>
      <c r="AF173" s="344"/>
      <c r="AG173" s="186">
        <f t="shared" si="26"/>
        <v>0</v>
      </c>
    </row>
    <row r="174" spans="1:34" ht="15.75" customHeight="1" x14ac:dyDescent="0.25">
      <c r="A174" s="343" t="s">
        <v>52</v>
      </c>
      <c r="B174" s="344"/>
      <c r="C174" s="344"/>
      <c r="D174" s="344"/>
      <c r="E174" s="344"/>
      <c r="F174" s="344"/>
      <c r="G174" s="344"/>
      <c r="H174" s="344"/>
      <c r="I174" s="344"/>
      <c r="J174" s="344"/>
      <c r="K174" s="344"/>
      <c r="L174" s="344"/>
      <c r="M174" s="344"/>
      <c r="N174" s="344"/>
      <c r="O174" s="344"/>
      <c r="P174" s="344"/>
      <c r="Q174" s="344"/>
      <c r="R174" s="344"/>
      <c r="S174" s="344"/>
      <c r="T174" s="344"/>
      <c r="U174" s="344"/>
      <c r="V174" s="344"/>
      <c r="W174" s="344"/>
      <c r="X174" s="344"/>
      <c r="Y174" s="344"/>
      <c r="Z174" s="344"/>
      <c r="AA174" s="344"/>
      <c r="AB174" s="344"/>
      <c r="AC174" s="344"/>
      <c r="AD174" s="344"/>
      <c r="AE174" s="344"/>
      <c r="AF174" s="344"/>
      <c r="AG174" s="186">
        <f t="shared" si="26"/>
        <v>0</v>
      </c>
    </row>
    <row r="175" spans="1:34" ht="15.75" customHeight="1" x14ac:dyDescent="0.25">
      <c r="A175" s="343" t="s">
        <v>53</v>
      </c>
      <c r="B175" s="344"/>
      <c r="C175" s="344"/>
      <c r="D175" s="344"/>
      <c r="E175" s="344"/>
      <c r="F175" s="344"/>
      <c r="G175" s="344"/>
      <c r="H175" s="344"/>
      <c r="I175" s="344"/>
      <c r="J175" s="344"/>
      <c r="K175" s="344"/>
      <c r="L175" s="344"/>
      <c r="M175" s="344"/>
      <c r="N175" s="344"/>
      <c r="O175" s="344"/>
      <c r="P175" s="344"/>
      <c r="Q175" s="344"/>
      <c r="R175" s="344"/>
      <c r="S175" s="344"/>
      <c r="T175" s="344"/>
      <c r="U175" s="344"/>
      <c r="V175" s="344"/>
      <c r="W175" s="344"/>
      <c r="X175" s="344"/>
      <c r="Y175" s="344"/>
      <c r="Z175" s="344"/>
      <c r="AA175" s="344"/>
      <c r="AB175" s="344"/>
      <c r="AC175" s="344"/>
      <c r="AD175" s="344"/>
      <c r="AE175" s="344"/>
      <c r="AF175" s="344"/>
      <c r="AG175" s="186">
        <f t="shared" si="26"/>
        <v>0</v>
      </c>
    </row>
    <row r="176" spans="1:34" ht="15.75" customHeight="1" thickBot="1" x14ac:dyDescent="0.3">
      <c r="A176" s="345" t="s">
        <v>54</v>
      </c>
      <c r="B176" s="346"/>
      <c r="C176" s="346"/>
      <c r="D176" s="346"/>
      <c r="E176" s="346"/>
      <c r="F176" s="346"/>
      <c r="G176" s="346"/>
      <c r="H176" s="346"/>
      <c r="I176" s="346"/>
      <c r="J176" s="346"/>
      <c r="K176" s="346"/>
      <c r="L176" s="346"/>
      <c r="M176" s="346"/>
      <c r="N176" s="346"/>
      <c r="O176" s="346"/>
      <c r="P176" s="346"/>
      <c r="Q176" s="346"/>
      <c r="R176" s="346"/>
      <c r="S176" s="346"/>
      <c r="T176" s="346"/>
      <c r="U176" s="346"/>
      <c r="V176" s="346"/>
      <c r="W176" s="346"/>
      <c r="X176" s="346"/>
      <c r="Y176" s="346"/>
      <c r="Z176" s="346"/>
      <c r="AA176" s="346"/>
      <c r="AB176" s="346"/>
      <c r="AC176" s="346"/>
      <c r="AD176" s="346"/>
      <c r="AE176" s="346"/>
      <c r="AF176" s="346"/>
      <c r="AG176" s="190">
        <f t="shared" si="26"/>
        <v>0</v>
      </c>
    </row>
    <row r="177" spans="1:34" ht="15.75" customHeight="1" x14ac:dyDescent="0.25">
      <c r="A177" s="347" t="s">
        <v>158</v>
      </c>
      <c r="B177" s="348"/>
      <c r="C177" s="348"/>
      <c r="D177" s="348"/>
      <c r="E177" s="348"/>
      <c r="F177" s="348"/>
      <c r="G177" s="348"/>
      <c r="H177" s="348"/>
      <c r="I177" s="348"/>
      <c r="J177" s="348"/>
      <c r="K177" s="348"/>
      <c r="L177" s="348"/>
      <c r="M177" s="348"/>
      <c r="N177" s="348"/>
      <c r="O177" s="348"/>
      <c r="P177" s="348"/>
      <c r="Q177" s="348"/>
      <c r="R177" s="348"/>
      <c r="S177" s="348"/>
      <c r="T177" s="348"/>
      <c r="U177" s="348"/>
      <c r="V177" s="348"/>
      <c r="W177" s="348"/>
      <c r="X177" s="348"/>
      <c r="Y177" s="348"/>
      <c r="Z177" s="348"/>
      <c r="AA177" s="348"/>
      <c r="AB177" s="348"/>
      <c r="AC177" s="348"/>
      <c r="AD177" s="348"/>
      <c r="AE177" s="348"/>
      <c r="AF177" s="348"/>
      <c r="AG177" s="110">
        <f t="shared" si="26"/>
        <v>0</v>
      </c>
      <c r="AH177" s="364" t="s">
        <v>159</v>
      </c>
    </row>
    <row r="178" spans="1:34" ht="15.75" customHeight="1" x14ac:dyDescent="0.25">
      <c r="A178" s="349" t="s">
        <v>160</v>
      </c>
      <c r="B178" s="350"/>
      <c r="C178" s="350"/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0"/>
      <c r="Q178" s="350"/>
      <c r="R178" s="350"/>
      <c r="S178" s="350"/>
      <c r="T178" s="350"/>
      <c r="U178" s="350"/>
      <c r="V178" s="350"/>
      <c r="W178" s="350"/>
      <c r="X178" s="350"/>
      <c r="Y178" s="350"/>
      <c r="Z178" s="350"/>
      <c r="AA178" s="350"/>
      <c r="AB178" s="350"/>
      <c r="AC178" s="350"/>
      <c r="AD178" s="350"/>
      <c r="AE178" s="350"/>
      <c r="AF178" s="351"/>
      <c r="AG178" s="207">
        <f t="shared" si="26"/>
        <v>0</v>
      </c>
      <c r="AH178" s="365"/>
    </row>
    <row r="179" spans="1:34" ht="15.75" customHeight="1" x14ac:dyDescent="0.25">
      <c r="A179" s="349" t="s">
        <v>161</v>
      </c>
      <c r="B179" s="350"/>
      <c r="C179" s="350"/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0"/>
      <c r="Q179" s="350"/>
      <c r="R179" s="350"/>
      <c r="S179" s="350"/>
      <c r="T179" s="350"/>
      <c r="U179" s="350"/>
      <c r="V179" s="350"/>
      <c r="W179" s="350"/>
      <c r="X179" s="350"/>
      <c r="Y179" s="350"/>
      <c r="Z179" s="350"/>
      <c r="AA179" s="350"/>
      <c r="AB179" s="350"/>
      <c r="AC179" s="350"/>
      <c r="AD179" s="350"/>
      <c r="AE179" s="350"/>
      <c r="AF179" s="351"/>
      <c r="AG179" s="207">
        <f t="shared" si="26"/>
        <v>0</v>
      </c>
      <c r="AH179" s="365"/>
    </row>
    <row r="180" spans="1:34" ht="15.75" customHeight="1" thickBot="1" x14ac:dyDescent="0.3">
      <c r="A180" s="352" t="s">
        <v>162</v>
      </c>
      <c r="B180" s="353"/>
      <c r="C180" s="354"/>
      <c r="D180" s="354"/>
      <c r="E180" s="354"/>
      <c r="F180" s="354"/>
      <c r="G180" s="354"/>
      <c r="H180" s="354"/>
      <c r="I180" s="354"/>
      <c r="J180" s="354"/>
      <c r="K180" s="354"/>
      <c r="L180" s="354"/>
      <c r="M180" s="354"/>
      <c r="N180" s="354"/>
      <c r="O180" s="354"/>
      <c r="P180" s="354"/>
      <c r="Q180" s="354"/>
      <c r="R180" s="354"/>
      <c r="S180" s="354"/>
      <c r="T180" s="354"/>
      <c r="U180" s="354"/>
      <c r="V180" s="354"/>
      <c r="W180" s="354"/>
      <c r="X180" s="354"/>
      <c r="Y180" s="354"/>
      <c r="Z180" s="354"/>
      <c r="AA180" s="354"/>
      <c r="AB180" s="354"/>
      <c r="AC180" s="354"/>
      <c r="AD180" s="354"/>
      <c r="AE180" s="354"/>
      <c r="AF180" s="355"/>
      <c r="AG180" s="106">
        <f t="shared" si="26"/>
        <v>0</v>
      </c>
      <c r="AH180" s="366"/>
    </row>
    <row r="181" spans="1:34" ht="15.75" customHeight="1" x14ac:dyDescent="0.25"/>
    <row r="182" spans="1:34" ht="15.75" customHeight="1" x14ac:dyDescent="0.25">
      <c r="B182" s="356"/>
      <c r="C182" s="356"/>
      <c r="D182" s="356"/>
      <c r="E182" s="356"/>
      <c r="F182" s="356"/>
      <c r="G182" s="356"/>
      <c r="H182" s="356"/>
      <c r="I182" s="356"/>
      <c r="J182" s="356"/>
      <c r="K182" s="356"/>
      <c r="L182" s="356"/>
      <c r="M182" s="356"/>
      <c r="N182" s="356"/>
      <c r="O182" s="356"/>
      <c r="P182" s="356"/>
      <c r="Q182" s="356"/>
      <c r="R182" s="356"/>
      <c r="S182" s="356"/>
      <c r="T182" s="356"/>
      <c r="U182" s="356"/>
      <c r="V182" s="356"/>
      <c r="W182" s="356"/>
      <c r="X182" s="356"/>
      <c r="Y182" s="356"/>
      <c r="Z182" s="356"/>
      <c r="AA182" s="356"/>
      <c r="AB182" s="356"/>
      <c r="AC182" s="356"/>
      <c r="AD182" s="356"/>
      <c r="AE182" s="356"/>
    </row>
    <row r="183" spans="1:34" ht="15.75" customHeight="1" x14ac:dyDescent="0.25">
      <c r="B183" s="356"/>
      <c r="C183" s="356"/>
      <c r="D183" s="356"/>
      <c r="E183" s="356"/>
      <c r="F183" s="356"/>
      <c r="G183" s="356"/>
      <c r="H183" s="356"/>
      <c r="I183" s="356"/>
      <c r="J183" s="356"/>
      <c r="K183" s="356"/>
      <c r="L183" s="356"/>
      <c r="M183" s="356"/>
      <c r="N183" s="356"/>
      <c r="O183" s="356"/>
      <c r="P183" s="356"/>
      <c r="Q183" s="356"/>
      <c r="R183" s="356"/>
      <c r="S183" s="356"/>
      <c r="T183" s="356"/>
      <c r="U183" s="356"/>
      <c r="V183" s="356"/>
      <c r="W183" s="356"/>
      <c r="X183" s="356"/>
      <c r="Y183" s="356"/>
      <c r="Z183" s="356"/>
      <c r="AA183" s="356"/>
      <c r="AB183" s="356"/>
      <c r="AC183" s="356"/>
      <c r="AD183" s="356"/>
      <c r="AE183" s="356"/>
      <c r="AF183" s="356"/>
    </row>
    <row r="184" spans="1:34" ht="15.75" customHeight="1" x14ac:dyDescent="0.25">
      <c r="B184" s="356"/>
      <c r="C184" s="356"/>
      <c r="D184" s="356"/>
      <c r="E184" s="356"/>
      <c r="F184" s="356"/>
      <c r="G184" s="356"/>
      <c r="H184" s="356"/>
      <c r="I184" s="356"/>
      <c r="J184" s="356"/>
      <c r="K184" s="356"/>
      <c r="L184" s="356"/>
      <c r="M184" s="356"/>
      <c r="N184" s="356"/>
      <c r="O184" s="356"/>
      <c r="P184" s="356"/>
      <c r="Q184" s="356"/>
      <c r="R184" s="356"/>
      <c r="S184" s="356"/>
      <c r="T184" s="356"/>
      <c r="U184" s="356"/>
      <c r="V184" s="356"/>
      <c r="W184" s="356"/>
      <c r="X184" s="356"/>
      <c r="Y184" s="356"/>
      <c r="Z184" s="356"/>
      <c r="AA184" s="356"/>
      <c r="AB184" s="356"/>
      <c r="AC184" s="356"/>
      <c r="AD184" s="356"/>
      <c r="AE184" s="356"/>
      <c r="AF184" s="356"/>
    </row>
    <row r="185" spans="1:34" ht="15.75" customHeight="1" x14ac:dyDescent="0.25"/>
    <row r="186" spans="1:34" ht="15.75" customHeight="1" x14ac:dyDescent="0.25"/>
    <row r="187" spans="1:34" ht="15.75" customHeight="1" x14ac:dyDescent="0.25"/>
    <row r="188" spans="1:34" ht="15.75" customHeight="1" x14ac:dyDescent="0.25"/>
    <row r="189" spans="1:34" ht="15.75" customHeight="1" x14ac:dyDescent="0.25"/>
    <row r="190" spans="1:34" ht="15.75" customHeight="1" x14ac:dyDescent="0.25"/>
    <row r="191" spans="1:34" ht="15.75" customHeight="1" x14ac:dyDescent="0.25"/>
    <row r="192" spans="1:34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8.75" customHeight="1" x14ac:dyDescent="0.25"/>
    <row r="201" ht="18.75" customHeight="1" x14ac:dyDescent="0.25"/>
    <row r="202" ht="18.75" customHeight="1" x14ac:dyDescent="0.25"/>
    <row r="203" ht="18.75" customHeight="1" x14ac:dyDescent="0.25"/>
    <row r="204" ht="18.75" customHeight="1" x14ac:dyDescent="0.25"/>
    <row r="205" ht="18.75" customHeight="1" x14ac:dyDescent="0.25"/>
    <row r="206" ht="18.75" customHeight="1" x14ac:dyDescent="0.25"/>
    <row r="207" ht="18.75" customHeight="1" x14ac:dyDescent="0.25"/>
    <row r="208" ht="18.75" customHeight="1" x14ac:dyDescent="0.25"/>
    <row r="209" ht="18.75" customHeight="1" x14ac:dyDescent="0.25"/>
    <row r="210" ht="18.75" customHeight="1" x14ac:dyDescent="0.25"/>
    <row r="211" ht="19.5" customHeight="1" x14ac:dyDescent="0.25"/>
    <row r="212" ht="15.75" customHeight="1" x14ac:dyDescent="0.25"/>
    <row r="213" ht="18.75" customHeight="1" x14ac:dyDescent="0.25"/>
    <row r="214" ht="15.75" customHeight="1" x14ac:dyDescent="0.25"/>
    <row r="215" ht="15.75" customHeight="1" x14ac:dyDescent="0.25"/>
    <row r="216" ht="18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</sheetData>
  <sheetProtection algorithmName="SHA-512" hashValue="KYdF37E4awa88Pr+OW2FIOW+7DdQ2OVzC4+R/y0HWupuNjEJm4tzw/g6O9gBkMieY6r0RdK0drazN+yR/iI3gA==" saltValue="OF0pUQdEKDz2hlB/cb2Tqw==" spinCount="100000" sheet="1" objects="1" scenarios="1"/>
  <dataConsolidate/>
  <mergeCells count="2">
    <mergeCell ref="A1:AG1"/>
    <mergeCell ref="AH177:AH180"/>
  </mergeCells>
  <conditionalFormatting sqref="AD29:AF52">
    <cfRule type="cellIs" dxfId="109" priority="3" operator="lessThan">
      <formula>0</formula>
    </cfRule>
  </conditionalFormatting>
  <conditionalFormatting sqref="AH1:AH1048576">
    <cfRule type="cellIs" dxfId="108" priority="1" operator="equal">
      <formula>"*"</formula>
    </cfRule>
  </conditionalFormatting>
  <conditionalFormatting sqref="AH171">
    <cfRule type="cellIs" dxfId="107" priority="2" operator="equal">
      <formula>"X"</formula>
    </cfRule>
  </conditionalFormatting>
  <dataValidations disablePrompts="1" count="1">
    <dataValidation type="decimal" allowBlank="1" showInputMessage="1" showErrorMessage="1" prompt="ERROR - Por favor ingrese solo Números" sqref="A101:A115 A98:A99" xr:uid="{00000000-0002-0000-01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Pict="0" macro="[0]!SAR__MENU_PRINCIPAL">
                <anchor>
                  <from>
                    <xdr:col>0</xdr:col>
                    <xdr:colOff>1790700</xdr:colOff>
                    <xdr:row>1</xdr:row>
                    <xdr:rowOff>38100</xdr:rowOff>
                  </from>
                  <to>
                    <xdr:col>0</xdr:col>
                    <xdr:colOff>2219325</xdr:colOff>
                    <xdr:row>1</xdr:row>
                    <xdr:rowOff>295275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I1000"/>
  <sheetViews>
    <sheetView workbookViewId="0">
      <pane ySplit="3" topLeftCell="A142" activePane="bottomLeft" state="frozen"/>
      <selection activeCell="A192" sqref="A192:XFD192"/>
      <selection pane="bottomLeft" activeCell="A192" sqref="A192:XFD192"/>
    </sheetView>
  </sheetViews>
  <sheetFormatPr baseColWidth="10" defaultColWidth="14.42578125" defaultRowHeight="15" customHeight="1" x14ac:dyDescent="0.25"/>
  <cols>
    <col min="1" max="1" width="34.7109375" customWidth="1"/>
    <col min="2" max="13" width="8.28515625" customWidth="1"/>
    <col min="14" max="14" width="8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  <col min="35" max="35" width="10.7109375" customWidth="1"/>
  </cols>
  <sheetData>
    <row r="1" spans="1:33" ht="21" x14ac:dyDescent="0.25">
      <c r="A1" s="358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60"/>
    </row>
    <row r="2" spans="1:33" ht="28.5" x14ac:dyDescent="0.25">
      <c r="A2" s="1" t="s">
        <v>1</v>
      </c>
      <c r="B2" s="2">
        <v>1</v>
      </c>
      <c r="C2" s="212">
        <f t="shared" ref="C2:AA2" si="0">+B2+1</f>
        <v>2</v>
      </c>
      <c r="D2" s="212">
        <f t="shared" si="0"/>
        <v>3</v>
      </c>
      <c r="E2" s="212">
        <f t="shared" si="0"/>
        <v>4</v>
      </c>
      <c r="F2" s="212">
        <f t="shared" si="0"/>
        <v>5</v>
      </c>
      <c r="G2" s="212">
        <f t="shared" si="0"/>
        <v>6</v>
      </c>
      <c r="H2" s="212">
        <f t="shared" si="0"/>
        <v>7</v>
      </c>
      <c r="I2" s="212">
        <f t="shared" si="0"/>
        <v>8</v>
      </c>
      <c r="J2" s="212">
        <f t="shared" si="0"/>
        <v>9</v>
      </c>
      <c r="K2" s="212">
        <f t="shared" si="0"/>
        <v>10</v>
      </c>
      <c r="L2" s="212">
        <f t="shared" si="0"/>
        <v>11</v>
      </c>
      <c r="M2" s="212">
        <f t="shared" si="0"/>
        <v>12</v>
      </c>
      <c r="N2" s="212">
        <f t="shared" si="0"/>
        <v>13</v>
      </c>
      <c r="O2" s="212">
        <f t="shared" si="0"/>
        <v>14</v>
      </c>
      <c r="P2" s="212">
        <f t="shared" si="0"/>
        <v>15</v>
      </c>
      <c r="Q2" s="212">
        <f t="shared" si="0"/>
        <v>16</v>
      </c>
      <c r="R2" s="212">
        <f t="shared" si="0"/>
        <v>17</v>
      </c>
      <c r="S2" s="212">
        <f t="shared" si="0"/>
        <v>18</v>
      </c>
      <c r="T2" s="212">
        <f t="shared" si="0"/>
        <v>19</v>
      </c>
      <c r="U2" s="212">
        <f t="shared" si="0"/>
        <v>20</v>
      </c>
      <c r="V2" s="212">
        <f t="shared" si="0"/>
        <v>21</v>
      </c>
      <c r="W2" s="212">
        <f t="shared" si="0"/>
        <v>22</v>
      </c>
      <c r="X2" s="212">
        <f t="shared" si="0"/>
        <v>23</v>
      </c>
      <c r="Y2" s="212">
        <f t="shared" si="0"/>
        <v>24</v>
      </c>
      <c r="Z2" s="212">
        <f t="shared" si="0"/>
        <v>25</v>
      </c>
      <c r="AA2" s="212">
        <f t="shared" si="0"/>
        <v>26</v>
      </c>
      <c r="AB2" s="212">
        <v>27</v>
      </c>
      <c r="AC2" s="212">
        <f>+AB2+1</f>
        <v>28</v>
      </c>
      <c r="AD2" s="212">
        <v>29</v>
      </c>
      <c r="AE2" s="212">
        <v>30</v>
      </c>
      <c r="AF2" s="212">
        <v>31</v>
      </c>
      <c r="AG2" s="3" t="s">
        <v>13</v>
      </c>
    </row>
    <row r="3" spans="1:33" ht="18.75" x14ac:dyDescent="0.25">
      <c r="A3" s="4" t="s">
        <v>14</v>
      </c>
      <c r="B3" s="5">
        <f t="shared" ref="B3:AF3" si="1">SUM(B4:B27)</f>
        <v>210</v>
      </c>
      <c r="C3" s="6">
        <f t="shared" si="1"/>
        <v>253</v>
      </c>
      <c r="D3" s="6">
        <f t="shared" si="1"/>
        <v>303</v>
      </c>
      <c r="E3" s="6">
        <f t="shared" si="1"/>
        <v>249</v>
      </c>
      <c r="F3" s="6">
        <f t="shared" si="1"/>
        <v>263</v>
      </c>
      <c r="G3" s="6">
        <f t="shared" si="1"/>
        <v>246</v>
      </c>
      <c r="H3" s="6">
        <f t="shared" si="1"/>
        <v>250</v>
      </c>
      <c r="I3" s="6">
        <f t="shared" si="1"/>
        <v>207</v>
      </c>
      <c r="J3" s="6">
        <f t="shared" si="1"/>
        <v>238</v>
      </c>
      <c r="K3" s="6">
        <f t="shared" si="1"/>
        <v>240</v>
      </c>
      <c r="L3" s="6">
        <f t="shared" si="1"/>
        <v>255</v>
      </c>
      <c r="M3" s="6">
        <f t="shared" si="1"/>
        <v>217</v>
      </c>
      <c r="N3" s="6">
        <f t="shared" si="1"/>
        <v>222</v>
      </c>
      <c r="O3" s="6">
        <f t="shared" si="1"/>
        <v>228</v>
      </c>
      <c r="P3" s="6">
        <f t="shared" si="1"/>
        <v>194</v>
      </c>
      <c r="Q3" s="6">
        <f t="shared" si="1"/>
        <v>286</v>
      </c>
      <c r="R3" s="6">
        <f t="shared" si="1"/>
        <v>249</v>
      </c>
      <c r="S3" s="6">
        <f t="shared" si="1"/>
        <v>240</v>
      </c>
      <c r="T3" s="6">
        <f t="shared" si="1"/>
        <v>243</v>
      </c>
      <c r="U3" s="6">
        <f t="shared" si="1"/>
        <v>218</v>
      </c>
      <c r="V3" s="6">
        <f t="shared" si="1"/>
        <v>191</v>
      </c>
      <c r="W3" s="6">
        <f t="shared" si="1"/>
        <v>218</v>
      </c>
      <c r="X3" s="6">
        <f t="shared" si="1"/>
        <v>234</v>
      </c>
      <c r="Y3" s="6">
        <f t="shared" si="1"/>
        <v>220</v>
      </c>
      <c r="Z3" s="6">
        <f t="shared" si="1"/>
        <v>237</v>
      </c>
      <c r="AA3" s="6">
        <f t="shared" si="1"/>
        <v>222</v>
      </c>
      <c r="AB3" s="6">
        <f t="shared" si="1"/>
        <v>198</v>
      </c>
      <c r="AC3" s="6">
        <f t="shared" si="1"/>
        <v>0</v>
      </c>
      <c r="AD3" s="6">
        <f t="shared" si="1"/>
        <v>0</v>
      </c>
      <c r="AE3" s="6">
        <f t="shared" si="1"/>
        <v>236</v>
      </c>
      <c r="AF3" s="6">
        <f t="shared" si="1"/>
        <v>224</v>
      </c>
      <c r="AG3" s="7">
        <f t="shared" ref="AG3:AG145" si="2">SUM(B3:AF3)</f>
        <v>6791</v>
      </c>
    </row>
    <row r="4" spans="1:33" ht="18.75" x14ac:dyDescent="0.25">
      <c r="A4" s="8" t="s">
        <v>15</v>
      </c>
      <c r="B4" s="9">
        <v>5</v>
      </c>
      <c r="C4" s="10">
        <v>13</v>
      </c>
      <c r="D4" s="10">
        <v>9</v>
      </c>
      <c r="E4" s="10">
        <v>12</v>
      </c>
      <c r="F4" s="10">
        <v>14</v>
      </c>
      <c r="G4" s="10">
        <v>6</v>
      </c>
      <c r="H4" s="10">
        <v>11</v>
      </c>
      <c r="I4" s="10">
        <v>4</v>
      </c>
      <c r="J4" s="10">
        <v>11</v>
      </c>
      <c r="K4" s="10">
        <v>11</v>
      </c>
      <c r="L4" s="10">
        <v>15</v>
      </c>
      <c r="M4" s="10">
        <v>12</v>
      </c>
      <c r="N4" s="10">
        <v>5</v>
      </c>
      <c r="O4" s="10">
        <v>13</v>
      </c>
      <c r="P4" s="10">
        <v>6</v>
      </c>
      <c r="Q4" s="10">
        <v>8</v>
      </c>
      <c r="R4" s="10">
        <v>8</v>
      </c>
      <c r="S4" s="10">
        <v>9</v>
      </c>
      <c r="T4" s="10">
        <v>11</v>
      </c>
      <c r="U4" s="10">
        <v>12</v>
      </c>
      <c r="V4" s="10">
        <v>8</v>
      </c>
      <c r="W4" s="10">
        <v>5</v>
      </c>
      <c r="X4" s="10">
        <v>8</v>
      </c>
      <c r="Y4" s="10">
        <v>7</v>
      </c>
      <c r="Z4" s="10">
        <v>11</v>
      </c>
      <c r="AA4" s="10">
        <v>16</v>
      </c>
      <c r="AB4" s="10">
        <v>11</v>
      </c>
      <c r="AC4" s="10"/>
      <c r="AD4" s="10"/>
      <c r="AE4" s="10"/>
      <c r="AF4" s="213">
        <v>11</v>
      </c>
      <c r="AG4" s="11">
        <f t="shared" si="2"/>
        <v>272</v>
      </c>
    </row>
    <row r="5" spans="1:33" ht="18.75" x14ac:dyDescent="0.25">
      <c r="A5" s="12" t="s">
        <v>16</v>
      </c>
      <c r="B5" s="13">
        <v>10</v>
      </c>
      <c r="C5" s="14">
        <v>10</v>
      </c>
      <c r="D5" s="14">
        <v>15</v>
      </c>
      <c r="E5" s="14">
        <v>17</v>
      </c>
      <c r="F5" s="14">
        <v>12</v>
      </c>
      <c r="G5" s="14">
        <v>10</v>
      </c>
      <c r="H5" s="14">
        <v>14</v>
      </c>
      <c r="I5" s="14">
        <v>4</v>
      </c>
      <c r="J5" s="14">
        <v>15</v>
      </c>
      <c r="K5" s="14">
        <v>11</v>
      </c>
      <c r="L5" s="14">
        <v>17</v>
      </c>
      <c r="M5" s="14">
        <v>11</v>
      </c>
      <c r="N5" s="14">
        <v>15</v>
      </c>
      <c r="O5" s="14">
        <v>12</v>
      </c>
      <c r="P5" s="14">
        <v>6</v>
      </c>
      <c r="Q5" s="14">
        <v>22</v>
      </c>
      <c r="R5" s="14">
        <v>13</v>
      </c>
      <c r="S5" s="14">
        <v>18</v>
      </c>
      <c r="T5" s="14">
        <v>18</v>
      </c>
      <c r="U5" s="14">
        <v>8</v>
      </c>
      <c r="V5" s="14">
        <v>15</v>
      </c>
      <c r="W5" s="14">
        <v>8</v>
      </c>
      <c r="X5" s="14">
        <v>14</v>
      </c>
      <c r="Y5" s="14">
        <v>8</v>
      </c>
      <c r="Z5" s="14">
        <v>12</v>
      </c>
      <c r="AA5" s="14">
        <v>8</v>
      </c>
      <c r="AB5" s="14">
        <v>8</v>
      </c>
      <c r="AC5" s="14"/>
      <c r="AD5" s="14"/>
      <c r="AE5" s="14">
        <v>12</v>
      </c>
      <c r="AF5" s="214">
        <v>14</v>
      </c>
      <c r="AG5" s="15">
        <f t="shared" si="2"/>
        <v>357</v>
      </c>
    </row>
    <row r="6" spans="1:33" ht="18.75" x14ac:dyDescent="0.25">
      <c r="A6" s="12" t="s">
        <v>17</v>
      </c>
      <c r="B6" s="13">
        <v>9</v>
      </c>
      <c r="C6" s="14">
        <v>15</v>
      </c>
      <c r="D6" s="14">
        <v>17</v>
      </c>
      <c r="E6" s="14">
        <v>14</v>
      </c>
      <c r="F6" s="14">
        <v>14</v>
      </c>
      <c r="G6" s="14">
        <v>19</v>
      </c>
      <c r="H6" s="14">
        <v>22</v>
      </c>
      <c r="I6" s="14">
        <v>12</v>
      </c>
      <c r="J6" s="14">
        <v>13</v>
      </c>
      <c r="K6" s="14">
        <v>15</v>
      </c>
      <c r="L6" s="14">
        <v>13</v>
      </c>
      <c r="M6" s="14">
        <v>14</v>
      </c>
      <c r="N6" s="14">
        <v>10</v>
      </c>
      <c r="O6" s="14">
        <v>17</v>
      </c>
      <c r="P6" s="14">
        <v>12</v>
      </c>
      <c r="Q6" s="14">
        <v>24</v>
      </c>
      <c r="R6" s="14">
        <v>13</v>
      </c>
      <c r="S6" s="14">
        <v>11</v>
      </c>
      <c r="T6" s="14">
        <v>11</v>
      </c>
      <c r="U6" s="14">
        <v>14</v>
      </c>
      <c r="V6" s="14">
        <v>10</v>
      </c>
      <c r="W6" s="14">
        <v>16</v>
      </c>
      <c r="X6" s="14">
        <v>18</v>
      </c>
      <c r="Y6" s="14">
        <v>7</v>
      </c>
      <c r="Z6" s="14">
        <v>10</v>
      </c>
      <c r="AA6" s="14">
        <v>13</v>
      </c>
      <c r="AB6" s="14">
        <v>13</v>
      </c>
      <c r="AC6" s="14"/>
      <c r="AD6" s="14"/>
      <c r="AE6" s="14">
        <v>16</v>
      </c>
      <c r="AF6" s="214">
        <v>14</v>
      </c>
      <c r="AG6" s="15">
        <f t="shared" si="2"/>
        <v>406</v>
      </c>
    </row>
    <row r="7" spans="1:33" ht="18.75" x14ac:dyDescent="0.25">
      <c r="A7" s="12" t="s">
        <v>18</v>
      </c>
      <c r="B7" s="13">
        <v>18</v>
      </c>
      <c r="C7" s="14">
        <v>19</v>
      </c>
      <c r="D7" s="14">
        <v>16</v>
      </c>
      <c r="E7" s="14">
        <v>19</v>
      </c>
      <c r="F7" s="14">
        <v>14</v>
      </c>
      <c r="G7" s="14">
        <v>21</v>
      </c>
      <c r="H7" s="14">
        <v>23</v>
      </c>
      <c r="I7" s="14">
        <v>16</v>
      </c>
      <c r="J7" s="14">
        <v>18</v>
      </c>
      <c r="K7" s="14">
        <v>16</v>
      </c>
      <c r="L7" s="14">
        <v>12</v>
      </c>
      <c r="M7" s="14">
        <v>10</v>
      </c>
      <c r="N7" s="14">
        <v>14</v>
      </c>
      <c r="O7" s="14">
        <v>14</v>
      </c>
      <c r="P7" s="14">
        <v>9</v>
      </c>
      <c r="Q7" s="14">
        <v>19</v>
      </c>
      <c r="R7" s="14">
        <v>18</v>
      </c>
      <c r="S7" s="14">
        <v>19</v>
      </c>
      <c r="T7" s="14">
        <v>13</v>
      </c>
      <c r="U7" s="14">
        <v>21</v>
      </c>
      <c r="V7" s="14">
        <v>13</v>
      </c>
      <c r="W7" s="14">
        <v>17</v>
      </c>
      <c r="X7" s="14">
        <v>17</v>
      </c>
      <c r="Y7" s="14">
        <v>8</v>
      </c>
      <c r="Z7" s="14">
        <v>15</v>
      </c>
      <c r="AA7" s="14">
        <v>6</v>
      </c>
      <c r="AB7" s="14">
        <v>8</v>
      </c>
      <c r="AC7" s="14"/>
      <c r="AD7" s="14"/>
      <c r="AE7" s="14">
        <v>18</v>
      </c>
      <c r="AF7" s="214">
        <v>17</v>
      </c>
      <c r="AG7" s="15">
        <f t="shared" si="2"/>
        <v>448</v>
      </c>
    </row>
    <row r="8" spans="1:33" ht="18.75" x14ac:dyDescent="0.25">
      <c r="A8" s="12" t="s">
        <v>19</v>
      </c>
      <c r="B8" s="13">
        <v>19</v>
      </c>
      <c r="C8" s="14">
        <v>21</v>
      </c>
      <c r="D8" s="14">
        <v>16</v>
      </c>
      <c r="E8" s="14">
        <v>21</v>
      </c>
      <c r="F8" s="14">
        <v>14</v>
      </c>
      <c r="G8" s="14">
        <v>11</v>
      </c>
      <c r="H8" s="14">
        <v>10</v>
      </c>
      <c r="I8" s="14">
        <v>19</v>
      </c>
      <c r="J8" s="14">
        <v>14</v>
      </c>
      <c r="K8" s="14">
        <v>18</v>
      </c>
      <c r="L8" s="14">
        <v>10</v>
      </c>
      <c r="M8" s="14">
        <v>12</v>
      </c>
      <c r="N8" s="14">
        <v>14</v>
      </c>
      <c r="O8" s="14">
        <v>14</v>
      </c>
      <c r="P8" s="14">
        <v>18</v>
      </c>
      <c r="Q8" s="14">
        <v>18</v>
      </c>
      <c r="R8" s="14">
        <v>23</v>
      </c>
      <c r="S8" s="14">
        <v>15</v>
      </c>
      <c r="T8" s="14">
        <v>10</v>
      </c>
      <c r="U8" s="14">
        <v>9</v>
      </c>
      <c r="V8" s="14">
        <v>13</v>
      </c>
      <c r="W8" s="14">
        <v>16</v>
      </c>
      <c r="X8" s="14">
        <v>12</v>
      </c>
      <c r="Y8" s="14">
        <v>19</v>
      </c>
      <c r="Z8" s="14">
        <v>10</v>
      </c>
      <c r="AA8" s="14">
        <v>17</v>
      </c>
      <c r="AB8" s="14">
        <v>12</v>
      </c>
      <c r="AC8" s="14"/>
      <c r="AD8" s="14"/>
      <c r="AE8" s="14">
        <v>14</v>
      </c>
      <c r="AF8" s="214">
        <v>11</v>
      </c>
      <c r="AG8" s="15">
        <f t="shared" si="2"/>
        <v>430</v>
      </c>
    </row>
    <row r="9" spans="1:33" ht="18.75" x14ac:dyDescent="0.25">
      <c r="A9" s="12" t="s">
        <v>20</v>
      </c>
      <c r="B9" s="13">
        <v>5</v>
      </c>
      <c r="C9" s="14">
        <v>17</v>
      </c>
      <c r="D9" s="14">
        <v>16</v>
      </c>
      <c r="E9" s="14">
        <v>8</v>
      </c>
      <c r="F9" s="14">
        <v>13</v>
      </c>
      <c r="G9" s="14">
        <v>15</v>
      </c>
      <c r="H9" s="14">
        <v>18</v>
      </c>
      <c r="I9" s="14">
        <v>6</v>
      </c>
      <c r="J9" s="14">
        <v>9</v>
      </c>
      <c r="K9" s="14">
        <v>8</v>
      </c>
      <c r="L9" s="14">
        <v>16</v>
      </c>
      <c r="M9" s="14">
        <v>9</v>
      </c>
      <c r="N9" s="14">
        <v>10</v>
      </c>
      <c r="O9" s="14">
        <v>14</v>
      </c>
      <c r="P9" s="14">
        <v>12</v>
      </c>
      <c r="Q9" s="14">
        <v>19</v>
      </c>
      <c r="R9" s="14">
        <v>7</v>
      </c>
      <c r="S9" s="14">
        <v>10</v>
      </c>
      <c r="T9" s="14">
        <v>7</v>
      </c>
      <c r="U9" s="14">
        <v>7</v>
      </c>
      <c r="V9" s="14">
        <v>8</v>
      </c>
      <c r="W9" s="14">
        <v>7</v>
      </c>
      <c r="X9" s="14">
        <v>11</v>
      </c>
      <c r="Y9" s="14">
        <v>11</v>
      </c>
      <c r="Z9" s="14">
        <v>7</v>
      </c>
      <c r="AA9" s="14">
        <v>6</v>
      </c>
      <c r="AB9" s="14">
        <v>12</v>
      </c>
      <c r="AC9" s="14"/>
      <c r="AD9" s="14"/>
      <c r="AE9" s="14">
        <v>7</v>
      </c>
      <c r="AF9" s="214">
        <v>8</v>
      </c>
      <c r="AG9" s="15">
        <f t="shared" si="2"/>
        <v>303</v>
      </c>
    </row>
    <row r="10" spans="1:33" ht="18.75" x14ac:dyDescent="0.25">
      <c r="A10" s="12" t="s">
        <v>21</v>
      </c>
      <c r="B10" s="13">
        <v>10</v>
      </c>
      <c r="C10" s="14">
        <v>19</v>
      </c>
      <c r="D10" s="14">
        <v>14</v>
      </c>
      <c r="E10" s="14">
        <v>8</v>
      </c>
      <c r="F10" s="14">
        <v>14</v>
      </c>
      <c r="G10" s="14">
        <v>15</v>
      </c>
      <c r="H10" s="14">
        <v>17</v>
      </c>
      <c r="I10" s="14">
        <v>11</v>
      </c>
      <c r="J10" s="14">
        <v>11</v>
      </c>
      <c r="K10" s="14">
        <v>12</v>
      </c>
      <c r="L10" s="14">
        <v>13</v>
      </c>
      <c r="M10" s="14">
        <v>5</v>
      </c>
      <c r="N10" s="14">
        <v>10</v>
      </c>
      <c r="O10" s="14">
        <v>13</v>
      </c>
      <c r="P10" s="14">
        <v>6</v>
      </c>
      <c r="Q10" s="14">
        <v>9</v>
      </c>
      <c r="R10" s="14">
        <v>8</v>
      </c>
      <c r="S10" s="14">
        <v>6</v>
      </c>
      <c r="T10" s="14">
        <v>11</v>
      </c>
      <c r="U10" s="14">
        <v>14</v>
      </c>
      <c r="V10" s="14">
        <v>14</v>
      </c>
      <c r="W10" s="14">
        <v>7</v>
      </c>
      <c r="X10" s="14">
        <v>14</v>
      </c>
      <c r="Y10" s="14">
        <v>11</v>
      </c>
      <c r="Z10" s="14">
        <v>12</v>
      </c>
      <c r="AA10" s="14">
        <v>9</v>
      </c>
      <c r="AB10" s="14">
        <v>15</v>
      </c>
      <c r="AC10" s="14"/>
      <c r="AD10" s="14"/>
      <c r="AE10" s="14">
        <v>8</v>
      </c>
      <c r="AF10" s="214">
        <v>6</v>
      </c>
      <c r="AG10" s="15">
        <f t="shared" si="2"/>
        <v>322</v>
      </c>
    </row>
    <row r="11" spans="1:33" ht="18.75" x14ac:dyDescent="0.25">
      <c r="A11" s="12" t="s">
        <v>22</v>
      </c>
      <c r="B11" s="13">
        <v>15</v>
      </c>
      <c r="C11" s="14">
        <v>14</v>
      </c>
      <c r="D11" s="14">
        <v>19</v>
      </c>
      <c r="E11" s="14">
        <v>17</v>
      </c>
      <c r="F11" s="14">
        <v>15</v>
      </c>
      <c r="G11" s="14">
        <v>10</v>
      </c>
      <c r="H11" s="14">
        <v>22</v>
      </c>
      <c r="I11" s="14">
        <v>15</v>
      </c>
      <c r="J11" s="14">
        <v>17</v>
      </c>
      <c r="K11" s="14">
        <v>20</v>
      </c>
      <c r="L11" s="14">
        <v>13</v>
      </c>
      <c r="M11" s="14">
        <v>18</v>
      </c>
      <c r="N11" s="14">
        <v>14</v>
      </c>
      <c r="O11" s="14">
        <v>10</v>
      </c>
      <c r="P11" s="14">
        <v>13</v>
      </c>
      <c r="Q11" s="14">
        <v>19</v>
      </c>
      <c r="R11" s="14">
        <v>9</v>
      </c>
      <c r="S11" s="14">
        <v>13</v>
      </c>
      <c r="T11" s="14">
        <v>7</v>
      </c>
      <c r="U11" s="14">
        <v>18</v>
      </c>
      <c r="V11" s="14">
        <v>13</v>
      </c>
      <c r="W11" s="14">
        <v>16</v>
      </c>
      <c r="X11" s="14">
        <v>11</v>
      </c>
      <c r="Y11" s="14">
        <v>12</v>
      </c>
      <c r="Z11" s="14">
        <v>7</v>
      </c>
      <c r="AA11" s="14">
        <v>12</v>
      </c>
      <c r="AB11" s="14">
        <v>16</v>
      </c>
      <c r="AC11" s="14"/>
      <c r="AD11" s="14"/>
      <c r="AE11" s="14">
        <v>16</v>
      </c>
      <c r="AF11" s="214">
        <v>11</v>
      </c>
      <c r="AG11" s="15">
        <f t="shared" si="2"/>
        <v>412</v>
      </c>
    </row>
    <row r="12" spans="1:33" ht="18.75" x14ac:dyDescent="0.25">
      <c r="A12" s="12" t="s">
        <v>23</v>
      </c>
      <c r="B12" s="13">
        <v>12</v>
      </c>
      <c r="C12" s="14">
        <v>20</v>
      </c>
      <c r="D12" s="14">
        <v>32</v>
      </c>
      <c r="E12" s="14">
        <v>20</v>
      </c>
      <c r="F12" s="14">
        <v>23</v>
      </c>
      <c r="G12" s="14">
        <v>18</v>
      </c>
      <c r="H12" s="14">
        <v>12</v>
      </c>
      <c r="I12" s="14">
        <v>14</v>
      </c>
      <c r="J12" s="14">
        <v>19</v>
      </c>
      <c r="K12" s="14">
        <v>13</v>
      </c>
      <c r="L12" s="14">
        <v>18</v>
      </c>
      <c r="M12" s="14">
        <v>13</v>
      </c>
      <c r="N12" s="14">
        <v>25</v>
      </c>
      <c r="O12" s="14">
        <v>18</v>
      </c>
      <c r="P12" s="14">
        <v>13</v>
      </c>
      <c r="Q12" s="14">
        <v>18</v>
      </c>
      <c r="R12" s="14">
        <v>24</v>
      </c>
      <c r="S12" s="14">
        <v>23</v>
      </c>
      <c r="T12" s="14">
        <v>25</v>
      </c>
      <c r="U12" s="14">
        <v>11</v>
      </c>
      <c r="V12" s="14">
        <v>15</v>
      </c>
      <c r="W12" s="14">
        <v>16</v>
      </c>
      <c r="X12" s="14">
        <v>10</v>
      </c>
      <c r="Y12" s="14">
        <v>18</v>
      </c>
      <c r="Z12" s="14">
        <v>26</v>
      </c>
      <c r="AA12" s="14">
        <v>13</v>
      </c>
      <c r="AB12" s="14">
        <v>9</v>
      </c>
      <c r="AC12" s="14"/>
      <c r="AD12" s="14"/>
      <c r="AE12" s="14">
        <v>26</v>
      </c>
      <c r="AF12" s="214">
        <v>14</v>
      </c>
      <c r="AG12" s="15">
        <f t="shared" si="2"/>
        <v>518</v>
      </c>
    </row>
    <row r="13" spans="1:33" ht="18.75" x14ac:dyDescent="0.25">
      <c r="A13" s="12" t="s">
        <v>24</v>
      </c>
      <c r="B13" s="13">
        <v>6</v>
      </c>
      <c r="C13" s="14">
        <v>8</v>
      </c>
      <c r="D13" s="14">
        <v>27</v>
      </c>
      <c r="E13" s="14">
        <v>24</v>
      </c>
      <c r="F13" s="14">
        <v>17</v>
      </c>
      <c r="G13" s="14">
        <v>23</v>
      </c>
      <c r="H13" s="14">
        <v>21</v>
      </c>
      <c r="I13" s="14">
        <v>6</v>
      </c>
      <c r="J13" s="14">
        <v>28</v>
      </c>
      <c r="K13" s="14">
        <v>17</v>
      </c>
      <c r="L13" s="14">
        <v>18</v>
      </c>
      <c r="M13" s="14">
        <v>20</v>
      </c>
      <c r="N13" s="14">
        <v>21</v>
      </c>
      <c r="O13" s="14">
        <v>12</v>
      </c>
      <c r="P13" s="14">
        <v>11</v>
      </c>
      <c r="Q13" s="14">
        <v>23</v>
      </c>
      <c r="R13" s="14">
        <v>15</v>
      </c>
      <c r="S13" s="14">
        <v>20</v>
      </c>
      <c r="T13" s="14">
        <v>24</v>
      </c>
      <c r="U13" s="14">
        <v>14</v>
      </c>
      <c r="V13" s="14">
        <v>9</v>
      </c>
      <c r="W13" s="14">
        <v>15</v>
      </c>
      <c r="X13" s="14">
        <v>19</v>
      </c>
      <c r="Y13" s="14">
        <v>19</v>
      </c>
      <c r="Z13" s="14">
        <v>28</v>
      </c>
      <c r="AA13" s="14">
        <v>18</v>
      </c>
      <c r="AB13" s="14">
        <v>15</v>
      </c>
      <c r="AC13" s="14"/>
      <c r="AD13" s="14"/>
      <c r="AE13" s="14">
        <v>25</v>
      </c>
      <c r="AF13" s="214">
        <v>20</v>
      </c>
      <c r="AG13" s="15">
        <f t="shared" si="2"/>
        <v>523</v>
      </c>
    </row>
    <row r="14" spans="1:33" ht="18.75" x14ac:dyDescent="0.25">
      <c r="A14" s="12" t="s">
        <v>25</v>
      </c>
      <c r="B14" s="13">
        <v>13</v>
      </c>
      <c r="C14" s="14">
        <v>14</v>
      </c>
      <c r="D14" s="14">
        <v>26</v>
      </c>
      <c r="E14" s="14">
        <v>9</v>
      </c>
      <c r="F14" s="14">
        <v>23</v>
      </c>
      <c r="G14" s="14">
        <v>19</v>
      </c>
      <c r="H14" s="14">
        <v>10</v>
      </c>
      <c r="I14" s="14">
        <v>16</v>
      </c>
      <c r="J14" s="14">
        <v>8</v>
      </c>
      <c r="K14" s="14">
        <v>19</v>
      </c>
      <c r="L14" s="14">
        <v>15</v>
      </c>
      <c r="M14" s="14">
        <v>21</v>
      </c>
      <c r="N14" s="14">
        <v>15</v>
      </c>
      <c r="O14" s="14">
        <v>10</v>
      </c>
      <c r="P14" s="14">
        <v>3</v>
      </c>
      <c r="Q14" s="14">
        <v>17</v>
      </c>
      <c r="R14" s="14">
        <v>9</v>
      </c>
      <c r="S14" s="14">
        <v>12</v>
      </c>
      <c r="T14" s="14">
        <v>16</v>
      </c>
      <c r="U14" s="14">
        <v>15</v>
      </c>
      <c r="V14" s="14">
        <v>8</v>
      </c>
      <c r="W14" s="14">
        <v>12</v>
      </c>
      <c r="X14" s="14">
        <v>8</v>
      </c>
      <c r="Y14" s="14">
        <v>17</v>
      </c>
      <c r="Z14" s="14">
        <v>12</v>
      </c>
      <c r="AA14" s="14">
        <v>12</v>
      </c>
      <c r="AB14" s="14">
        <v>16</v>
      </c>
      <c r="AC14" s="14"/>
      <c r="AD14" s="14"/>
      <c r="AE14" s="14">
        <v>18</v>
      </c>
      <c r="AF14" s="214">
        <v>6</v>
      </c>
      <c r="AG14" s="15">
        <f t="shared" si="2"/>
        <v>399</v>
      </c>
    </row>
    <row r="15" spans="1:33" ht="18.75" x14ac:dyDescent="0.25">
      <c r="A15" s="12" t="s">
        <v>26</v>
      </c>
      <c r="B15" s="13">
        <v>8</v>
      </c>
      <c r="C15" s="14">
        <v>12</v>
      </c>
      <c r="D15" s="14">
        <v>18</v>
      </c>
      <c r="E15" s="14">
        <v>19</v>
      </c>
      <c r="F15" s="14">
        <v>21</v>
      </c>
      <c r="G15" s="14">
        <v>14</v>
      </c>
      <c r="H15" s="14">
        <v>9</v>
      </c>
      <c r="I15" s="14">
        <v>9</v>
      </c>
      <c r="J15" s="14">
        <v>13</v>
      </c>
      <c r="K15" s="14">
        <v>16</v>
      </c>
      <c r="L15" s="14">
        <v>11</v>
      </c>
      <c r="M15" s="14">
        <v>8</v>
      </c>
      <c r="N15" s="14">
        <v>7</v>
      </c>
      <c r="O15" s="14">
        <v>13</v>
      </c>
      <c r="P15" s="14">
        <v>12</v>
      </c>
      <c r="Q15" s="14">
        <v>19</v>
      </c>
      <c r="R15" s="14">
        <v>24</v>
      </c>
      <c r="S15" s="14">
        <v>9</v>
      </c>
      <c r="T15" s="14">
        <v>17</v>
      </c>
      <c r="U15" s="14">
        <v>13</v>
      </c>
      <c r="V15" s="14">
        <v>13</v>
      </c>
      <c r="W15" s="14">
        <v>14</v>
      </c>
      <c r="X15" s="14">
        <v>24</v>
      </c>
      <c r="Y15" s="14">
        <v>12</v>
      </c>
      <c r="Z15" s="14">
        <v>9</v>
      </c>
      <c r="AA15" s="14">
        <v>11</v>
      </c>
      <c r="AB15" s="14">
        <v>10</v>
      </c>
      <c r="AC15" s="14"/>
      <c r="AD15" s="14"/>
      <c r="AE15" s="14">
        <v>8</v>
      </c>
      <c r="AF15" s="214">
        <v>15</v>
      </c>
      <c r="AG15" s="15">
        <f t="shared" si="2"/>
        <v>388</v>
      </c>
    </row>
    <row r="16" spans="1:33" ht="18.75" x14ac:dyDescent="0.25">
      <c r="A16" s="12" t="s">
        <v>27</v>
      </c>
      <c r="B16" s="13">
        <v>18</v>
      </c>
      <c r="C16" s="14">
        <v>14</v>
      </c>
      <c r="D16" s="14">
        <v>18</v>
      </c>
      <c r="E16" s="14">
        <v>19</v>
      </c>
      <c r="F16" s="14">
        <v>9</v>
      </c>
      <c r="G16" s="14">
        <v>20</v>
      </c>
      <c r="H16" s="14">
        <v>10</v>
      </c>
      <c r="I16" s="14">
        <v>11</v>
      </c>
      <c r="J16" s="14">
        <v>15</v>
      </c>
      <c r="K16" s="14">
        <v>15</v>
      </c>
      <c r="L16" s="14">
        <v>17</v>
      </c>
      <c r="M16" s="14">
        <v>16</v>
      </c>
      <c r="N16" s="14">
        <v>9</v>
      </c>
      <c r="O16" s="14">
        <v>15</v>
      </c>
      <c r="P16" s="14">
        <v>13</v>
      </c>
      <c r="Q16" s="14">
        <v>16</v>
      </c>
      <c r="R16" s="14">
        <v>14</v>
      </c>
      <c r="S16" s="14">
        <v>15</v>
      </c>
      <c r="T16" s="14">
        <v>17</v>
      </c>
      <c r="U16" s="14">
        <v>12</v>
      </c>
      <c r="V16" s="14">
        <v>7</v>
      </c>
      <c r="W16" s="14">
        <v>12</v>
      </c>
      <c r="X16" s="14">
        <v>16</v>
      </c>
      <c r="Y16" s="14">
        <v>14</v>
      </c>
      <c r="Z16" s="14">
        <v>15</v>
      </c>
      <c r="AA16" s="14">
        <v>17</v>
      </c>
      <c r="AB16" s="14">
        <v>13</v>
      </c>
      <c r="AC16" s="14"/>
      <c r="AD16" s="14"/>
      <c r="AE16" s="14">
        <v>16</v>
      </c>
      <c r="AF16" s="214">
        <v>14</v>
      </c>
      <c r="AG16" s="15">
        <f t="shared" si="2"/>
        <v>417</v>
      </c>
    </row>
    <row r="17" spans="1:33" ht="18.75" x14ac:dyDescent="0.25">
      <c r="A17" s="12" t="s">
        <v>28</v>
      </c>
      <c r="B17" s="13">
        <v>16</v>
      </c>
      <c r="C17" s="14">
        <v>14</v>
      </c>
      <c r="D17" s="14">
        <v>17</v>
      </c>
      <c r="E17" s="14">
        <v>9</v>
      </c>
      <c r="F17" s="14">
        <v>9</v>
      </c>
      <c r="G17" s="14">
        <v>5</v>
      </c>
      <c r="H17" s="14">
        <v>6</v>
      </c>
      <c r="I17" s="14">
        <v>20</v>
      </c>
      <c r="J17" s="14">
        <v>15</v>
      </c>
      <c r="K17" s="14">
        <v>13</v>
      </c>
      <c r="L17" s="14">
        <v>18</v>
      </c>
      <c r="M17" s="14">
        <v>13</v>
      </c>
      <c r="N17" s="14">
        <v>10</v>
      </c>
      <c r="O17" s="14">
        <v>14</v>
      </c>
      <c r="P17" s="14">
        <v>15</v>
      </c>
      <c r="Q17" s="14">
        <v>17</v>
      </c>
      <c r="R17" s="14">
        <v>12</v>
      </c>
      <c r="S17" s="14">
        <v>10</v>
      </c>
      <c r="T17" s="14">
        <v>14</v>
      </c>
      <c r="U17" s="14">
        <v>14</v>
      </c>
      <c r="V17" s="14">
        <v>15</v>
      </c>
      <c r="W17" s="14">
        <v>15</v>
      </c>
      <c r="X17" s="14">
        <v>17</v>
      </c>
      <c r="Y17" s="14">
        <v>15</v>
      </c>
      <c r="Z17" s="14">
        <v>11</v>
      </c>
      <c r="AA17" s="14">
        <v>18</v>
      </c>
      <c r="AB17" s="14">
        <v>10</v>
      </c>
      <c r="AC17" s="14"/>
      <c r="AD17" s="14"/>
      <c r="AE17" s="14">
        <v>10</v>
      </c>
      <c r="AF17" s="214">
        <v>16</v>
      </c>
      <c r="AG17" s="15">
        <f t="shared" si="2"/>
        <v>388</v>
      </c>
    </row>
    <row r="18" spans="1:33" ht="18.75" x14ac:dyDescent="0.25">
      <c r="A18" s="12" t="s">
        <v>29</v>
      </c>
      <c r="B18" s="13">
        <v>14</v>
      </c>
      <c r="C18" s="14">
        <v>17</v>
      </c>
      <c r="D18" s="14">
        <v>15</v>
      </c>
      <c r="E18" s="14">
        <v>6</v>
      </c>
      <c r="F18" s="14">
        <v>16</v>
      </c>
      <c r="G18" s="14">
        <v>15</v>
      </c>
      <c r="H18" s="14">
        <v>13</v>
      </c>
      <c r="I18" s="14">
        <v>20</v>
      </c>
      <c r="J18" s="14">
        <v>8</v>
      </c>
      <c r="K18" s="14">
        <v>10</v>
      </c>
      <c r="L18" s="14">
        <v>13</v>
      </c>
      <c r="M18" s="14">
        <v>6</v>
      </c>
      <c r="N18" s="14">
        <v>14</v>
      </c>
      <c r="O18" s="14">
        <v>7</v>
      </c>
      <c r="P18" s="14">
        <v>11</v>
      </c>
      <c r="Q18" s="14">
        <v>8</v>
      </c>
      <c r="R18" s="14">
        <v>14</v>
      </c>
      <c r="S18" s="14">
        <v>14</v>
      </c>
      <c r="T18" s="14">
        <v>7</v>
      </c>
      <c r="U18" s="14">
        <v>10</v>
      </c>
      <c r="V18" s="14">
        <v>6</v>
      </c>
      <c r="W18" s="14">
        <v>18</v>
      </c>
      <c r="X18" s="14">
        <v>16</v>
      </c>
      <c r="Y18" s="14">
        <v>8</v>
      </c>
      <c r="Z18" s="14">
        <v>17</v>
      </c>
      <c r="AA18" s="14">
        <v>14</v>
      </c>
      <c r="AB18" s="14">
        <v>12</v>
      </c>
      <c r="AC18" s="14"/>
      <c r="AD18" s="14"/>
      <c r="AE18" s="14">
        <v>15</v>
      </c>
      <c r="AF18" s="214">
        <v>11</v>
      </c>
      <c r="AG18" s="15">
        <f t="shared" si="2"/>
        <v>355</v>
      </c>
    </row>
    <row r="19" spans="1:33" ht="18.75" x14ac:dyDescent="0.25">
      <c r="A19" s="12" t="s">
        <v>30</v>
      </c>
      <c r="B19" s="13">
        <v>3</v>
      </c>
      <c r="C19" s="14">
        <v>7</v>
      </c>
      <c r="D19" s="14">
        <v>9</v>
      </c>
      <c r="E19" s="14">
        <v>16</v>
      </c>
      <c r="F19" s="14">
        <v>6</v>
      </c>
      <c r="G19" s="14">
        <v>6</v>
      </c>
      <c r="H19" s="14">
        <v>8</v>
      </c>
      <c r="I19" s="14">
        <v>3</v>
      </c>
      <c r="J19" s="14">
        <v>12</v>
      </c>
      <c r="K19" s="14">
        <v>7</v>
      </c>
      <c r="L19" s="14">
        <v>7</v>
      </c>
      <c r="M19" s="14">
        <v>8</v>
      </c>
      <c r="N19" s="14">
        <v>6</v>
      </c>
      <c r="O19" s="14">
        <v>11</v>
      </c>
      <c r="P19" s="14">
        <v>5</v>
      </c>
      <c r="Q19" s="14">
        <v>9</v>
      </c>
      <c r="R19" s="14">
        <v>14</v>
      </c>
      <c r="S19" s="14">
        <v>10</v>
      </c>
      <c r="T19" s="14">
        <v>7</v>
      </c>
      <c r="U19" s="14">
        <v>7</v>
      </c>
      <c r="V19" s="14">
        <v>9</v>
      </c>
      <c r="W19" s="14">
        <v>7</v>
      </c>
      <c r="X19" s="14">
        <v>4</v>
      </c>
      <c r="Y19" s="14">
        <v>8</v>
      </c>
      <c r="Z19" s="14">
        <v>9</v>
      </c>
      <c r="AA19" s="14">
        <v>8</v>
      </c>
      <c r="AB19" s="14">
        <v>13</v>
      </c>
      <c r="AC19" s="14"/>
      <c r="AD19" s="14"/>
      <c r="AE19" s="14">
        <v>6</v>
      </c>
      <c r="AF19" s="214">
        <v>10</v>
      </c>
      <c r="AG19" s="15">
        <f t="shared" si="2"/>
        <v>235</v>
      </c>
    </row>
    <row r="20" spans="1:33" ht="18.75" x14ac:dyDescent="0.25">
      <c r="A20" s="12" t="s">
        <v>31</v>
      </c>
      <c r="B20" s="13">
        <v>12</v>
      </c>
      <c r="C20" s="14">
        <v>5</v>
      </c>
      <c r="D20" s="14">
        <v>6</v>
      </c>
      <c r="E20" s="14">
        <v>7</v>
      </c>
      <c r="F20" s="14">
        <v>3</v>
      </c>
      <c r="G20" s="14">
        <v>3</v>
      </c>
      <c r="H20" s="14">
        <v>7</v>
      </c>
      <c r="I20" s="14">
        <v>5</v>
      </c>
      <c r="J20" s="14">
        <v>3</v>
      </c>
      <c r="K20" s="14">
        <v>8</v>
      </c>
      <c r="L20" s="14">
        <v>8</v>
      </c>
      <c r="M20" s="14">
        <v>9</v>
      </c>
      <c r="N20" s="14">
        <v>6</v>
      </c>
      <c r="O20" s="14">
        <v>6</v>
      </c>
      <c r="P20" s="14">
        <v>11</v>
      </c>
      <c r="Q20" s="14">
        <v>5</v>
      </c>
      <c r="R20" s="14">
        <v>5</v>
      </c>
      <c r="S20" s="14">
        <v>5</v>
      </c>
      <c r="T20" s="14">
        <v>8</v>
      </c>
      <c r="U20" s="14">
        <v>10</v>
      </c>
      <c r="V20" s="14">
        <v>6</v>
      </c>
      <c r="W20" s="14">
        <v>9</v>
      </c>
      <c r="X20" s="14">
        <v>6</v>
      </c>
      <c r="Y20" s="14">
        <v>7</v>
      </c>
      <c r="Z20" s="14">
        <v>8</v>
      </c>
      <c r="AA20" s="14">
        <v>6</v>
      </c>
      <c r="AB20" s="14">
        <v>2</v>
      </c>
      <c r="AC20" s="14"/>
      <c r="AD20" s="14"/>
      <c r="AE20" s="14">
        <v>3</v>
      </c>
      <c r="AF20" s="214">
        <v>9</v>
      </c>
      <c r="AG20" s="15">
        <f t="shared" si="2"/>
        <v>188</v>
      </c>
    </row>
    <row r="21" spans="1:33" ht="15.75" customHeight="1" x14ac:dyDescent="0.25">
      <c r="A21" s="12" t="s">
        <v>32</v>
      </c>
      <c r="B21" s="13">
        <v>8</v>
      </c>
      <c r="C21" s="14">
        <v>7</v>
      </c>
      <c r="D21" s="14">
        <v>2</v>
      </c>
      <c r="E21" s="14">
        <v>2</v>
      </c>
      <c r="F21" s="14">
        <v>3</v>
      </c>
      <c r="G21" s="14">
        <v>2</v>
      </c>
      <c r="H21" s="14">
        <v>3</v>
      </c>
      <c r="I21" s="14">
        <v>3</v>
      </c>
      <c r="J21" s="14">
        <v>2</v>
      </c>
      <c r="K21" s="14">
        <v>2</v>
      </c>
      <c r="L21" s="14">
        <v>5</v>
      </c>
      <c r="M21" s="14">
        <v>1</v>
      </c>
      <c r="N21" s="14">
        <v>5</v>
      </c>
      <c r="O21" s="14">
        <v>4</v>
      </c>
      <c r="P21" s="14">
        <v>6</v>
      </c>
      <c r="Q21" s="14">
        <v>3</v>
      </c>
      <c r="R21" s="14">
        <v>7</v>
      </c>
      <c r="S21" s="14">
        <v>5</v>
      </c>
      <c r="T21" s="14">
        <v>5</v>
      </c>
      <c r="U21" s="14">
        <v>2</v>
      </c>
      <c r="V21" s="14">
        <v>3</v>
      </c>
      <c r="W21" s="14">
        <v>1</v>
      </c>
      <c r="X21" s="14">
        <v>1</v>
      </c>
      <c r="Y21" s="14">
        <v>7</v>
      </c>
      <c r="Z21" s="14">
        <v>6</v>
      </c>
      <c r="AA21" s="14">
        <v>4</v>
      </c>
      <c r="AB21" s="14">
        <v>2</v>
      </c>
      <c r="AC21" s="14"/>
      <c r="AD21" s="14"/>
      <c r="AE21" s="14">
        <v>4</v>
      </c>
      <c r="AF21" s="214">
        <v>3</v>
      </c>
      <c r="AG21" s="15">
        <f t="shared" si="2"/>
        <v>108</v>
      </c>
    </row>
    <row r="22" spans="1:33" ht="15.75" customHeight="1" x14ac:dyDescent="0.25">
      <c r="A22" s="12" t="s">
        <v>33</v>
      </c>
      <c r="B22" s="13">
        <v>0</v>
      </c>
      <c r="C22" s="14">
        <v>2</v>
      </c>
      <c r="D22" s="14">
        <v>3</v>
      </c>
      <c r="E22" s="14">
        <v>1</v>
      </c>
      <c r="F22" s="14">
        <v>5</v>
      </c>
      <c r="G22" s="14">
        <v>3</v>
      </c>
      <c r="H22" s="14">
        <v>8</v>
      </c>
      <c r="I22" s="14">
        <v>2</v>
      </c>
      <c r="J22" s="14">
        <v>4</v>
      </c>
      <c r="K22" s="14">
        <v>1</v>
      </c>
      <c r="L22" s="14">
        <v>3</v>
      </c>
      <c r="M22" s="14">
        <v>4</v>
      </c>
      <c r="N22" s="14">
        <v>4</v>
      </c>
      <c r="O22" s="14">
        <v>3</v>
      </c>
      <c r="P22" s="14">
        <v>0</v>
      </c>
      <c r="Q22" s="14">
        <v>4</v>
      </c>
      <c r="R22" s="14">
        <v>1</v>
      </c>
      <c r="S22" s="14">
        <v>3</v>
      </c>
      <c r="T22" s="14">
        <v>4</v>
      </c>
      <c r="U22" s="14">
        <v>1</v>
      </c>
      <c r="V22" s="14">
        <v>3</v>
      </c>
      <c r="W22" s="14">
        <v>3</v>
      </c>
      <c r="X22" s="14">
        <v>1</v>
      </c>
      <c r="Y22" s="14">
        <v>3</v>
      </c>
      <c r="Z22" s="14">
        <v>2</v>
      </c>
      <c r="AA22" s="14">
        <v>4</v>
      </c>
      <c r="AB22" s="14">
        <v>1</v>
      </c>
      <c r="AC22" s="14"/>
      <c r="AD22" s="14"/>
      <c r="AE22" s="14">
        <v>4</v>
      </c>
      <c r="AF22" s="214">
        <v>2</v>
      </c>
      <c r="AG22" s="15">
        <f t="shared" si="2"/>
        <v>79</v>
      </c>
    </row>
    <row r="23" spans="1:33" ht="15.75" customHeight="1" x14ac:dyDescent="0.25">
      <c r="A23" s="12" t="s">
        <v>34</v>
      </c>
      <c r="B23" s="13">
        <v>1</v>
      </c>
      <c r="C23" s="14">
        <v>1</v>
      </c>
      <c r="D23" s="14">
        <v>0</v>
      </c>
      <c r="E23" s="14">
        <v>0</v>
      </c>
      <c r="F23" s="14">
        <v>4</v>
      </c>
      <c r="G23" s="14">
        <v>3</v>
      </c>
      <c r="H23" s="14">
        <v>1</v>
      </c>
      <c r="I23" s="14">
        <v>2</v>
      </c>
      <c r="J23" s="14">
        <v>0</v>
      </c>
      <c r="K23" s="14">
        <v>3</v>
      </c>
      <c r="L23" s="14">
        <v>1</v>
      </c>
      <c r="M23" s="14">
        <v>4</v>
      </c>
      <c r="N23" s="14">
        <v>7</v>
      </c>
      <c r="O23" s="14">
        <v>1</v>
      </c>
      <c r="P23" s="14">
        <v>0</v>
      </c>
      <c r="Q23" s="14">
        <v>3</v>
      </c>
      <c r="R23" s="14">
        <v>1</v>
      </c>
      <c r="S23" s="14">
        <v>4</v>
      </c>
      <c r="T23" s="14">
        <v>2</v>
      </c>
      <c r="U23" s="14"/>
      <c r="V23" s="14"/>
      <c r="W23" s="14"/>
      <c r="X23" s="14">
        <v>1</v>
      </c>
      <c r="Y23" s="14">
        <v>2</v>
      </c>
      <c r="Z23" s="14">
        <v>1</v>
      </c>
      <c r="AA23" s="14">
        <v>1</v>
      </c>
      <c r="AB23" s="14"/>
      <c r="AC23" s="14"/>
      <c r="AD23" s="14"/>
      <c r="AE23" s="14">
        <v>2</v>
      </c>
      <c r="AF23" s="214">
        <v>5</v>
      </c>
      <c r="AG23" s="15">
        <f t="shared" si="2"/>
        <v>50</v>
      </c>
    </row>
    <row r="24" spans="1:33" ht="15.75" customHeight="1" x14ac:dyDescent="0.25">
      <c r="A24" s="12" t="s">
        <v>35</v>
      </c>
      <c r="B24" s="13">
        <v>2</v>
      </c>
      <c r="C24" s="14">
        <v>0</v>
      </c>
      <c r="D24" s="14">
        <v>2</v>
      </c>
      <c r="E24" s="14">
        <v>0</v>
      </c>
      <c r="F24" s="14">
        <v>0</v>
      </c>
      <c r="G24" s="14">
        <v>0</v>
      </c>
      <c r="H24" s="14">
        <v>0</v>
      </c>
      <c r="I24" s="14">
        <v>1</v>
      </c>
      <c r="J24" s="14">
        <v>0</v>
      </c>
      <c r="K24" s="14">
        <v>1</v>
      </c>
      <c r="L24" s="14">
        <v>2</v>
      </c>
      <c r="M24" s="14">
        <v>1</v>
      </c>
      <c r="N24" s="14">
        <v>1</v>
      </c>
      <c r="O24" s="14">
        <v>2</v>
      </c>
      <c r="P24" s="14">
        <v>0</v>
      </c>
      <c r="Q24" s="14">
        <v>0</v>
      </c>
      <c r="R24" s="14">
        <v>0</v>
      </c>
      <c r="S24" s="14">
        <v>0</v>
      </c>
      <c r="T24" s="14">
        <v>1</v>
      </c>
      <c r="U24" s="14"/>
      <c r="V24" s="14">
        <v>2</v>
      </c>
      <c r="W24" s="14"/>
      <c r="X24" s="14"/>
      <c r="Y24" s="14">
        <v>1</v>
      </c>
      <c r="Z24" s="14"/>
      <c r="AA24" s="14">
        <v>1</v>
      </c>
      <c r="AB24" s="14"/>
      <c r="AC24" s="14"/>
      <c r="AD24" s="14"/>
      <c r="AE24" s="14">
        <v>2</v>
      </c>
      <c r="AF24" s="214">
        <v>1</v>
      </c>
      <c r="AG24" s="15">
        <f t="shared" si="2"/>
        <v>20</v>
      </c>
    </row>
    <row r="25" spans="1:33" ht="15.75" customHeight="1" x14ac:dyDescent="0.25">
      <c r="A25" s="12" t="s">
        <v>36</v>
      </c>
      <c r="B25" s="13">
        <v>2</v>
      </c>
      <c r="C25" s="14">
        <v>0</v>
      </c>
      <c r="D25" s="14">
        <v>2</v>
      </c>
      <c r="E25" s="14">
        <v>0</v>
      </c>
      <c r="F25" s="14">
        <v>2</v>
      </c>
      <c r="G25" s="14">
        <v>1</v>
      </c>
      <c r="H25" s="14">
        <v>3</v>
      </c>
      <c r="I25" s="14">
        <v>2</v>
      </c>
      <c r="J25" s="14">
        <v>0</v>
      </c>
      <c r="K25" s="14">
        <v>1</v>
      </c>
      <c r="L25" s="14">
        <v>2</v>
      </c>
      <c r="M25" s="14">
        <v>0</v>
      </c>
      <c r="N25" s="14">
        <v>0</v>
      </c>
      <c r="O25" s="14">
        <v>2</v>
      </c>
      <c r="P25" s="14">
        <v>5</v>
      </c>
      <c r="Q25" s="14">
        <v>0</v>
      </c>
      <c r="R25" s="14">
        <v>0</v>
      </c>
      <c r="S25" s="14">
        <v>0</v>
      </c>
      <c r="T25" s="14">
        <v>2</v>
      </c>
      <c r="U25" s="14">
        <v>1</v>
      </c>
      <c r="V25" s="14">
        <v>1</v>
      </c>
      <c r="W25" s="14">
        <v>1</v>
      </c>
      <c r="X25" s="14"/>
      <c r="Y25" s="14"/>
      <c r="Z25" s="14">
        <v>2</v>
      </c>
      <c r="AA25" s="14"/>
      <c r="AB25" s="14"/>
      <c r="AC25" s="14"/>
      <c r="AD25" s="14"/>
      <c r="AE25" s="14"/>
      <c r="AF25" s="214">
        <v>4</v>
      </c>
      <c r="AG25" s="15">
        <f t="shared" si="2"/>
        <v>33</v>
      </c>
    </row>
    <row r="26" spans="1:33" ht="15.75" customHeight="1" x14ac:dyDescent="0.25">
      <c r="A26" s="12" t="s">
        <v>37</v>
      </c>
      <c r="B26" s="13">
        <v>2</v>
      </c>
      <c r="C26" s="14">
        <v>0</v>
      </c>
      <c r="D26" s="14">
        <v>1</v>
      </c>
      <c r="E26" s="14">
        <v>0</v>
      </c>
      <c r="F26" s="14">
        <v>2</v>
      </c>
      <c r="G26" s="14">
        <v>3</v>
      </c>
      <c r="H26" s="14">
        <v>0</v>
      </c>
      <c r="I26" s="14">
        <v>3</v>
      </c>
      <c r="J26" s="14">
        <v>1</v>
      </c>
      <c r="K26" s="14">
        <v>2</v>
      </c>
      <c r="L26" s="14">
        <v>1</v>
      </c>
      <c r="M26" s="14">
        <v>0</v>
      </c>
      <c r="N26" s="14">
        <v>0</v>
      </c>
      <c r="O26" s="14">
        <v>1</v>
      </c>
      <c r="P26" s="14">
        <v>0</v>
      </c>
      <c r="Q26" s="14">
        <v>1</v>
      </c>
      <c r="R26" s="14">
        <v>1</v>
      </c>
      <c r="S26" s="14">
        <v>4</v>
      </c>
      <c r="T26" s="14">
        <v>0</v>
      </c>
      <c r="U26" s="14">
        <v>3</v>
      </c>
      <c r="V26" s="14"/>
      <c r="W26" s="14">
        <v>3</v>
      </c>
      <c r="X26" s="14">
        <v>2</v>
      </c>
      <c r="Y26" s="14">
        <v>1</v>
      </c>
      <c r="Z26" s="14">
        <v>1</v>
      </c>
      <c r="AA26" s="14"/>
      <c r="AB26" s="14"/>
      <c r="AC26" s="14"/>
      <c r="AD26" s="14"/>
      <c r="AE26" s="14">
        <v>1</v>
      </c>
      <c r="AF26" s="214">
        <v>1</v>
      </c>
      <c r="AG26" s="15">
        <f t="shared" si="2"/>
        <v>34</v>
      </c>
    </row>
    <row r="27" spans="1:33" ht="15.75" customHeight="1" x14ac:dyDescent="0.25">
      <c r="A27" s="16" t="s">
        <v>38</v>
      </c>
      <c r="B27" s="17">
        <v>2</v>
      </c>
      <c r="C27" s="18">
        <v>4</v>
      </c>
      <c r="D27" s="18">
        <v>3</v>
      </c>
      <c r="E27" s="18">
        <v>1</v>
      </c>
      <c r="F27" s="18">
        <v>10</v>
      </c>
      <c r="G27" s="18">
        <v>4</v>
      </c>
      <c r="H27" s="18">
        <v>2</v>
      </c>
      <c r="I27" s="18">
        <v>3</v>
      </c>
      <c r="J27" s="18">
        <v>2</v>
      </c>
      <c r="K27" s="18">
        <v>1</v>
      </c>
      <c r="L27" s="18">
        <v>7</v>
      </c>
      <c r="M27" s="18">
        <v>2</v>
      </c>
      <c r="N27" s="18">
        <v>0</v>
      </c>
      <c r="O27" s="18">
        <v>2</v>
      </c>
      <c r="P27" s="18">
        <v>7</v>
      </c>
      <c r="Q27" s="18">
        <v>5</v>
      </c>
      <c r="R27" s="18">
        <v>9</v>
      </c>
      <c r="S27" s="18">
        <v>5</v>
      </c>
      <c r="T27" s="18">
        <v>6</v>
      </c>
      <c r="U27" s="18">
        <v>2</v>
      </c>
      <c r="V27" s="18"/>
      <c r="W27" s="18"/>
      <c r="X27" s="18">
        <v>4</v>
      </c>
      <c r="Y27" s="18">
        <v>5</v>
      </c>
      <c r="Z27" s="18">
        <v>6</v>
      </c>
      <c r="AA27" s="18">
        <v>8</v>
      </c>
      <c r="AB27" s="18"/>
      <c r="AC27" s="18"/>
      <c r="AD27" s="18"/>
      <c r="AE27" s="18">
        <v>5</v>
      </c>
      <c r="AF27" s="215">
        <v>1</v>
      </c>
      <c r="AG27" s="15">
        <f t="shared" si="2"/>
        <v>106</v>
      </c>
    </row>
    <row r="28" spans="1:33" ht="15.75" customHeight="1" x14ac:dyDescent="0.25">
      <c r="A28" s="19" t="s">
        <v>39</v>
      </c>
      <c r="B28" s="20">
        <f t="shared" ref="B28:AF28" si="3">SUM(B29:B52)</f>
        <v>202</v>
      </c>
      <c r="C28" s="21">
        <f t="shared" si="3"/>
        <v>237</v>
      </c>
      <c r="D28" s="21">
        <f t="shared" si="3"/>
        <v>254</v>
      </c>
      <c r="E28" s="21">
        <f t="shared" si="3"/>
        <v>215</v>
      </c>
      <c r="F28" s="21">
        <f t="shared" si="3"/>
        <v>224</v>
      </c>
      <c r="G28" s="21">
        <f t="shared" si="3"/>
        <v>210</v>
      </c>
      <c r="H28" s="21">
        <f t="shared" si="3"/>
        <v>238</v>
      </c>
      <c r="I28" s="21">
        <f t="shared" si="3"/>
        <v>202</v>
      </c>
      <c r="J28" s="21">
        <f t="shared" si="3"/>
        <v>218</v>
      </c>
      <c r="K28" s="21">
        <f t="shared" si="3"/>
        <v>222</v>
      </c>
      <c r="L28" s="21">
        <f t="shared" si="3"/>
        <v>233</v>
      </c>
      <c r="M28" s="21">
        <f t="shared" si="3"/>
        <v>207</v>
      </c>
      <c r="N28" s="21">
        <f t="shared" si="3"/>
        <v>198</v>
      </c>
      <c r="O28" s="21">
        <f t="shared" si="3"/>
        <v>221</v>
      </c>
      <c r="P28" s="21">
        <f t="shared" si="3"/>
        <v>193</v>
      </c>
      <c r="Q28" s="21">
        <f t="shared" si="3"/>
        <v>251</v>
      </c>
      <c r="R28" s="21">
        <f t="shared" si="3"/>
        <v>234</v>
      </c>
      <c r="S28" s="21">
        <f t="shared" si="3"/>
        <v>221</v>
      </c>
      <c r="T28" s="21">
        <f t="shared" si="3"/>
        <v>212</v>
      </c>
      <c r="U28" s="21">
        <f t="shared" si="3"/>
        <v>197</v>
      </c>
      <c r="V28" s="21">
        <f t="shared" si="3"/>
        <v>189</v>
      </c>
      <c r="W28" s="21">
        <f t="shared" si="3"/>
        <v>206</v>
      </c>
      <c r="X28" s="21">
        <f t="shared" si="3"/>
        <v>217</v>
      </c>
      <c r="Y28" s="21">
        <f t="shared" si="3"/>
        <v>193</v>
      </c>
      <c r="Z28" s="21">
        <f t="shared" si="3"/>
        <v>227</v>
      </c>
      <c r="AA28" s="21">
        <f t="shared" si="3"/>
        <v>210</v>
      </c>
      <c r="AB28" s="21">
        <f t="shared" si="3"/>
        <v>177</v>
      </c>
      <c r="AC28" s="21">
        <f t="shared" si="3"/>
        <v>0</v>
      </c>
      <c r="AD28" s="21">
        <f t="shared" si="3"/>
        <v>0</v>
      </c>
      <c r="AE28" s="21">
        <f t="shared" si="3"/>
        <v>215</v>
      </c>
      <c r="AF28" s="21">
        <f t="shared" si="3"/>
        <v>195</v>
      </c>
      <c r="AG28" s="22">
        <f t="shared" si="2"/>
        <v>6218</v>
      </c>
    </row>
    <row r="29" spans="1:33" ht="15.75" customHeight="1" x14ac:dyDescent="0.25">
      <c r="A29" s="12" t="s">
        <v>15</v>
      </c>
      <c r="B29" s="13">
        <v>2</v>
      </c>
      <c r="C29" s="14">
        <v>8</v>
      </c>
      <c r="D29" s="14">
        <v>7</v>
      </c>
      <c r="E29" s="14">
        <v>5</v>
      </c>
      <c r="F29" s="14">
        <v>8</v>
      </c>
      <c r="G29" s="14">
        <v>3</v>
      </c>
      <c r="H29" s="14">
        <v>3</v>
      </c>
      <c r="I29" s="14">
        <v>5</v>
      </c>
      <c r="J29" s="14">
        <v>4</v>
      </c>
      <c r="K29" s="14">
        <v>4</v>
      </c>
      <c r="L29" s="14">
        <v>12</v>
      </c>
      <c r="M29" s="14">
        <v>6</v>
      </c>
      <c r="N29" s="14">
        <v>3</v>
      </c>
      <c r="O29" s="14">
        <v>12</v>
      </c>
      <c r="P29" s="14">
        <v>3</v>
      </c>
      <c r="Q29" s="14">
        <v>7</v>
      </c>
      <c r="R29" s="14">
        <v>6</v>
      </c>
      <c r="S29" s="14">
        <v>8</v>
      </c>
      <c r="T29" s="14">
        <v>5</v>
      </c>
      <c r="U29" s="14">
        <v>5</v>
      </c>
      <c r="V29" s="14">
        <v>4</v>
      </c>
      <c r="W29" s="14">
        <v>2</v>
      </c>
      <c r="X29" s="14">
        <v>4</v>
      </c>
      <c r="Y29" s="14">
        <v>4</v>
      </c>
      <c r="Z29" s="14">
        <v>5</v>
      </c>
      <c r="AA29" s="14">
        <v>10</v>
      </c>
      <c r="AB29" s="14">
        <v>2</v>
      </c>
      <c r="AC29" s="14"/>
      <c r="AD29" s="14"/>
      <c r="AE29" s="14">
        <v>4</v>
      </c>
      <c r="AF29" s="214">
        <v>4</v>
      </c>
      <c r="AG29" s="15">
        <f t="shared" si="2"/>
        <v>155</v>
      </c>
    </row>
    <row r="30" spans="1:33" ht="15.75" customHeight="1" x14ac:dyDescent="0.25">
      <c r="A30" s="12" t="s">
        <v>16</v>
      </c>
      <c r="B30" s="13">
        <v>6</v>
      </c>
      <c r="C30" s="14">
        <v>10</v>
      </c>
      <c r="D30" s="14">
        <v>8</v>
      </c>
      <c r="E30" s="14">
        <v>8</v>
      </c>
      <c r="F30" s="14">
        <v>12</v>
      </c>
      <c r="G30" s="14">
        <v>7</v>
      </c>
      <c r="H30" s="14">
        <v>14</v>
      </c>
      <c r="I30" s="14">
        <v>3</v>
      </c>
      <c r="J30" s="14">
        <v>10</v>
      </c>
      <c r="K30" s="14">
        <v>5</v>
      </c>
      <c r="L30" s="14">
        <v>13</v>
      </c>
      <c r="M30" s="14">
        <v>13</v>
      </c>
      <c r="N30" s="14">
        <v>6</v>
      </c>
      <c r="O30" s="14">
        <v>5</v>
      </c>
      <c r="P30" s="14">
        <v>10</v>
      </c>
      <c r="Q30" s="14">
        <v>8</v>
      </c>
      <c r="R30" s="14">
        <v>11</v>
      </c>
      <c r="S30" s="14">
        <v>10</v>
      </c>
      <c r="T30" s="14">
        <v>6</v>
      </c>
      <c r="U30" s="14">
        <v>10</v>
      </c>
      <c r="V30" s="14">
        <v>7</v>
      </c>
      <c r="W30" s="14">
        <v>7</v>
      </c>
      <c r="X30" s="14">
        <v>10</v>
      </c>
      <c r="Y30" s="14">
        <v>7</v>
      </c>
      <c r="Z30" s="14">
        <v>9</v>
      </c>
      <c r="AA30" s="14">
        <v>5</v>
      </c>
      <c r="AB30" s="14">
        <v>6</v>
      </c>
      <c r="AC30" s="14"/>
      <c r="AD30" s="14"/>
      <c r="AE30" s="14">
        <v>1</v>
      </c>
      <c r="AF30" s="214">
        <v>10</v>
      </c>
      <c r="AG30" s="15">
        <f t="shared" si="2"/>
        <v>237</v>
      </c>
    </row>
    <row r="31" spans="1:33" ht="15.75" customHeight="1" x14ac:dyDescent="0.25">
      <c r="A31" s="12" t="s">
        <v>17</v>
      </c>
      <c r="B31" s="13">
        <v>10</v>
      </c>
      <c r="C31" s="14">
        <v>11</v>
      </c>
      <c r="D31" s="14">
        <v>15</v>
      </c>
      <c r="E31" s="14">
        <v>10</v>
      </c>
      <c r="F31" s="14">
        <v>8</v>
      </c>
      <c r="G31" s="14">
        <v>10</v>
      </c>
      <c r="H31" s="14">
        <v>14</v>
      </c>
      <c r="I31" s="14">
        <v>7</v>
      </c>
      <c r="J31" s="14">
        <v>11</v>
      </c>
      <c r="K31" s="14">
        <v>11</v>
      </c>
      <c r="L31" s="14">
        <v>9</v>
      </c>
      <c r="M31" s="14">
        <v>13</v>
      </c>
      <c r="N31" s="14">
        <v>11</v>
      </c>
      <c r="O31" s="14">
        <v>12</v>
      </c>
      <c r="P31" s="14">
        <v>10</v>
      </c>
      <c r="Q31" s="14">
        <v>13</v>
      </c>
      <c r="R31" s="14">
        <v>12</v>
      </c>
      <c r="S31" s="14">
        <v>11</v>
      </c>
      <c r="T31" s="14">
        <v>11</v>
      </c>
      <c r="U31" s="14">
        <v>6</v>
      </c>
      <c r="V31" s="14">
        <v>16</v>
      </c>
      <c r="W31" s="14">
        <v>9</v>
      </c>
      <c r="X31" s="14">
        <v>9</v>
      </c>
      <c r="Y31" s="14">
        <v>5</v>
      </c>
      <c r="Z31" s="14">
        <v>11</v>
      </c>
      <c r="AA31" s="14">
        <v>13</v>
      </c>
      <c r="AB31" s="14">
        <v>13</v>
      </c>
      <c r="AC31" s="14"/>
      <c r="AD31" s="14"/>
      <c r="AE31" s="14">
        <v>3</v>
      </c>
      <c r="AF31" s="214">
        <v>10</v>
      </c>
      <c r="AG31" s="15">
        <f t="shared" si="2"/>
        <v>304</v>
      </c>
    </row>
    <row r="32" spans="1:33" ht="15.75" customHeight="1" x14ac:dyDescent="0.25">
      <c r="A32" s="12" t="s">
        <v>18</v>
      </c>
      <c r="B32" s="13">
        <v>9</v>
      </c>
      <c r="C32" s="14">
        <v>15</v>
      </c>
      <c r="D32" s="14">
        <v>13</v>
      </c>
      <c r="E32" s="14">
        <v>12</v>
      </c>
      <c r="F32" s="14">
        <v>10</v>
      </c>
      <c r="G32" s="14">
        <v>14</v>
      </c>
      <c r="H32" s="14">
        <v>18</v>
      </c>
      <c r="I32" s="14">
        <v>16</v>
      </c>
      <c r="J32" s="14">
        <v>10</v>
      </c>
      <c r="K32" s="14">
        <v>6</v>
      </c>
      <c r="L32" s="14">
        <v>9</v>
      </c>
      <c r="M32" s="14">
        <v>9</v>
      </c>
      <c r="N32" s="14">
        <v>16</v>
      </c>
      <c r="O32" s="14">
        <v>11</v>
      </c>
      <c r="P32" s="14">
        <v>10</v>
      </c>
      <c r="Q32" s="14">
        <v>11</v>
      </c>
      <c r="R32" s="14">
        <v>10</v>
      </c>
      <c r="S32" s="14">
        <v>6</v>
      </c>
      <c r="T32" s="14">
        <v>8</v>
      </c>
      <c r="U32" s="14">
        <v>11</v>
      </c>
      <c r="V32" s="14">
        <v>8</v>
      </c>
      <c r="W32" s="14">
        <v>8</v>
      </c>
      <c r="X32" s="14">
        <v>11</v>
      </c>
      <c r="Y32" s="14">
        <v>5</v>
      </c>
      <c r="Z32" s="14">
        <v>6</v>
      </c>
      <c r="AA32" s="14">
        <v>10</v>
      </c>
      <c r="AB32" s="14">
        <v>9</v>
      </c>
      <c r="AC32" s="14"/>
      <c r="AD32" s="14"/>
      <c r="AE32" s="14">
        <v>13</v>
      </c>
      <c r="AF32" s="214">
        <v>8</v>
      </c>
      <c r="AG32" s="15">
        <f t="shared" si="2"/>
        <v>302</v>
      </c>
    </row>
    <row r="33" spans="1:33" ht="15.75" customHeight="1" x14ac:dyDescent="0.25">
      <c r="A33" s="12" t="s">
        <v>19</v>
      </c>
      <c r="B33" s="13">
        <v>14</v>
      </c>
      <c r="C33" s="14">
        <v>12</v>
      </c>
      <c r="D33" s="14">
        <v>15</v>
      </c>
      <c r="E33" s="14">
        <v>10</v>
      </c>
      <c r="F33" s="14">
        <v>10</v>
      </c>
      <c r="G33" s="14">
        <v>11</v>
      </c>
      <c r="H33" s="14">
        <v>14</v>
      </c>
      <c r="I33" s="14">
        <v>15</v>
      </c>
      <c r="J33" s="14">
        <v>12</v>
      </c>
      <c r="K33" s="14">
        <v>9</v>
      </c>
      <c r="L33" s="14">
        <v>13</v>
      </c>
      <c r="M33" s="14">
        <v>8</v>
      </c>
      <c r="N33" s="14">
        <v>1</v>
      </c>
      <c r="O33" s="14">
        <v>14</v>
      </c>
      <c r="P33" s="14">
        <v>11</v>
      </c>
      <c r="Q33" s="14">
        <v>19</v>
      </c>
      <c r="R33" s="14">
        <v>13</v>
      </c>
      <c r="S33" s="14">
        <v>13</v>
      </c>
      <c r="T33" s="14">
        <v>8</v>
      </c>
      <c r="U33" s="14">
        <v>10</v>
      </c>
      <c r="V33" s="14">
        <v>14</v>
      </c>
      <c r="W33" s="14">
        <v>10</v>
      </c>
      <c r="X33" s="14">
        <v>9</v>
      </c>
      <c r="Y33" s="14">
        <v>11</v>
      </c>
      <c r="Z33" s="14">
        <v>8</v>
      </c>
      <c r="AA33" s="14">
        <v>12</v>
      </c>
      <c r="AB33" s="14">
        <v>10</v>
      </c>
      <c r="AC33" s="14"/>
      <c r="AD33" s="14"/>
      <c r="AE33" s="14">
        <v>10</v>
      </c>
      <c r="AF33" s="214">
        <v>13</v>
      </c>
      <c r="AG33" s="15">
        <f t="shared" si="2"/>
        <v>329</v>
      </c>
    </row>
    <row r="34" spans="1:33" ht="15.75" customHeight="1" x14ac:dyDescent="0.25">
      <c r="A34" s="12" t="s">
        <v>20</v>
      </c>
      <c r="B34" s="13">
        <v>12</v>
      </c>
      <c r="C34" s="14">
        <v>17</v>
      </c>
      <c r="D34" s="14">
        <v>5</v>
      </c>
      <c r="E34" s="14">
        <v>14</v>
      </c>
      <c r="F34" s="14">
        <v>7</v>
      </c>
      <c r="G34" s="14">
        <v>9</v>
      </c>
      <c r="H34" s="14">
        <v>15</v>
      </c>
      <c r="I34" s="14">
        <v>10</v>
      </c>
      <c r="J34" s="14">
        <v>6</v>
      </c>
      <c r="K34" s="14">
        <v>12</v>
      </c>
      <c r="L34" s="14">
        <v>7</v>
      </c>
      <c r="M34" s="14">
        <v>7</v>
      </c>
      <c r="N34" s="14">
        <v>6</v>
      </c>
      <c r="O34" s="14">
        <v>13</v>
      </c>
      <c r="P34" s="14">
        <v>13</v>
      </c>
      <c r="Q34" s="14">
        <v>7</v>
      </c>
      <c r="R34" s="14">
        <v>14</v>
      </c>
      <c r="S34" s="14">
        <v>9</v>
      </c>
      <c r="T34" s="14">
        <v>3</v>
      </c>
      <c r="U34" s="14">
        <v>7</v>
      </c>
      <c r="V34" s="14">
        <v>13</v>
      </c>
      <c r="W34" s="14">
        <v>11</v>
      </c>
      <c r="X34" s="14">
        <v>7</v>
      </c>
      <c r="Y34" s="14">
        <v>5</v>
      </c>
      <c r="Z34" s="14">
        <v>9</v>
      </c>
      <c r="AA34" s="14">
        <v>5</v>
      </c>
      <c r="AB34" s="14">
        <v>6</v>
      </c>
      <c r="AC34" s="14"/>
      <c r="AD34" s="14"/>
      <c r="AE34" s="14">
        <v>4</v>
      </c>
      <c r="AF34" s="214">
        <v>7</v>
      </c>
      <c r="AG34" s="15">
        <f t="shared" si="2"/>
        <v>260</v>
      </c>
    </row>
    <row r="35" spans="1:33" ht="15.75" customHeight="1" x14ac:dyDescent="0.25">
      <c r="A35" s="12" t="s">
        <v>21</v>
      </c>
      <c r="B35" s="13">
        <v>7</v>
      </c>
      <c r="C35" s="14">
        <v>8</v>
      </c>
      <c r="D35" s="14">
        <v>14</v>
      </c>
      <c r="E35" s="14">
        <v>12</v>
      </c>
      <c r="F35" s="14">
        <v>11</v>
      </c>
      <c r="G35" s="14">
        <v>6</v>
      </c>
      <c r="H35" s="14">
        <v>11</v>
      </c>
      <c r="I35" s="14">
        <v>6</v>
      </c>
      <c r="J35" s="14">
        <v>12</v>
      </c>
      <c r="K35" s="14">
        <v>12</v>
      </c>
      <c r="L35" s="14">
        <v>4</v>
      </c>
      <c r="M35" s="14">
        <v>7</v>
      </c>
      <c r="N35" s="14">
        <v>8</v>
      </c>
      <c r="O35" s="14">
        <v>13</v>
      </c>
      <c r="P35" s="14">
        <v>9</v>
      </c>
      <c r="Q35" s="14">
        <v>19</v>
      </c>
      <c r="R35" s="14">
        <v>6</v>
      </c>
      <c r="S35" s="14">
        <v>3</v>
      </c>
      <c r="T35" s="14">
        <v>9</v>
      </c>
      <c r="U35" s="14">
        <v>10</v>
      </c>
      <c r="V35" s="14">
        <v>9</v>
      </c>
      <c r="W35" s="14">
        <v>9</v>
      </c>
      <c r="X35" s="14">
        <v>16</v>
      </c>
      <c r="Y35" s="14">
        <v>1</v>
      </c>
      <c r="Z35" s="14">
        <v>6</v>
      </c>
      <c r="AA35" s="14">
        <v>8</v>
      </c>
      <c r="AB35" s="14">
        <v>10</v>
      </c>
      <c r="AC35" s="14"/>
      <c r="AD35" s="14"/>
      <c r="AE35" s="14">
        <v>14</v>
      </c>
      <c r="AF35" s="214">
        <v>7</v>
      </c>
      <c r="AG35" s="15">
        <f t="shared" si="2"/>
        <v>267</v>
      </c>
    </row>
    <row r="36" spans="1:33" ht="15.75" customHeight="1" x14ac:dyDescent="0.25">
      <c r="A36" s="12" t="s">
        <v>22</v>
      </c>
      <c r="B36" s="13">
        <v>11</v>
      </c>
      <c r="C36" s="14">
        <v>12</v>
      </c>
      <c r="D36" s="14">
        <v>17</v>
      </c>
      <c r="E36" s="14">
        <v>12</v>
      </c>
      <c r="F36" s="14">
        <v>11</v>
      </c>
      <c r="G36" s="14">
        <v>14</v>
      </c>
      <c r="H36" s="14">
        <v>16</v>
      </c>
      <c r="I36" s="14">
        <v>12</v>
      </c>
      <c r="J36" s="14">
        <v>13</v>
      </c>
      <c r="K36" s="14">
        <v>10</v>
      </c>
      <c r="L36" s="14">
        <v>9</v>
      </c>
      <c r="M36" s="14">
        <v>12</v>
      </c>
      <c r="N36" s="14">
        <v>11</v>
      </c>
      <c r="O36" s="14">
        <v>10</v>
      </c>
      <c r="P36" s="14">
        <v>8</v>
      </c>
      <c r="Q36" s="14">
        <v>14</v>
      </c>
      <c r="R36" s="14">
        <v>13</v>
      </c>
      <c r="S36" s="14">
        <v>14</v>
      </c>
      <c r="T36" s="14">
        <v>11</v>
      </c>
      <c r="U36" s="14">
        <v>12</v>
      </c>
      <c r="V36" s="14">
        <v>10</v>
      </c>
      <c r="W36" s="14">
        <v>11</v>
      </c>
      <c r="X36" s="14">
        <v>15</v>
      </c>
      <c r="Y36" s="14">
        <v>3</v>
      </c>
      <c r="Z36" s="14">
        <v>17</v>
      </c>
      <c r="AA36" s="14">
        <v>9</v>
      </c>
      <c r="AB36" s="14">
        <v>5</v>
      </c>
      <c r="AC36" s="14"/>
      <c r="AD36" s="14"/>
      <c r="AE36" s="14">
        <v>18</v>
      </c>
      <c r="AF36" s="214">
        <v>7</v>
      </c>
      <c r="AG36" s="15">
        <f t="shared" si="2"/>
        <v>337</v>
      </c>
    </row>
    <row r="37" spans="1:33" ht="15.75" customHeight="1" x14ac:dyDescent="0.25">
      <c r="A37" s="12" t="s">
        <v>23</v>
      </c>
      <c r="B37" s="13">
        <v>7</v>
      </c>
      <c r="C37" s="14">
        <v>17</v>
      </c>
      <c r="D37" s="14">
        <v>15</v>
      </c>
      <c r="E37" s="14">
        <v>13</v>
      </c>
      <c r="F37" s="14">
        <v>6</v>
      </c>
      <c r="G37" s="14">
        <v>11</v>
      </c>
      <c r="H37" s="14">
        <v>16</v>
      </c>
      <c r="I37" s="14">
        <v>14</v>
      </c>
      <c r="J37" s="14">
        <v>12</v>
      </c>
      <c r="K37" s="14">
        <v>17</v>
      </c>
      <c r="L37" s="14">
        <v>7</v>
      </c>
      <c r="M37" s="14">
        <v>12</v>
      </c>
      <c r="N37" s="14">
        <v>10</v>
      </c>
      <c r="O37" s="14">
        <v>11</v>
      </c>
      <c r="P37" s="14">
        <v>10</v>
      </c>
      <c r="Q37" s="14">
        <v>15</v>
      </c>
      <c r="R37" s="14">
        <v>12</v>
      </c>
      <c r="S37" s="14">
        <v>13</v>
      </c>
      <c r="T37" s="14">
        <v>8</v>
      </c>
      <c r="U37" s="14">
        <v>8</v>
      </c>
      <c r="V37" s="14">
        <v>14</v>
      </c>
      <c r="W37" s="14">
        <v>17</v>
      </c>
      <c r="X37" s="14">
        <v>12</v>
      </c>
      <c r="Y37" s="14">
        <v>18</v>
      </c>
      <c r="Z37" s="14">
        <v>15</v>
      </c>
      <c r="AA37" s="14">
        <v>8</v>
      </c>
      <c r="AB37" s="14">
        <v>9</v>
      </c>
      <c r="AC37" s="14"/>
      <c r="AD37" s="14"/>
      <c r="AE37" s="14">
        <v>15</v>
      </c>
      <c r="AF37" s="214">
        <v>8</v>
      </c>
      <c r="AG37" s="15">
        <f t="shared" si="2"/>
        <v>350</v>
      </c>
    </row>
    <row r="38" spans="1:33" ht="15.75" customHeight="1" x14ac:dyDescent="0.25">
      <c r="A38" s="12" t="s">
        <v>24</v>
      </c>
      <c r="B38" s="13">
        <v>16</v>
      </c>
      <c r="C38" s="14">
        <v>14</v>
      </c>
      <c r="D38" s="14">
        <v>7</v>
      </c>
      <c r="E38" s="14">
        <v>10</v>
      </c>
      <c r="F38" s="14">
        <v>13</v>
      </c>
      <c r="G38" s="14">
        <v>5</v>
      </c>
      <c r="H38" s="14">
        <v>15</v>
      </c>
      <c r="I38" s="14">
        <v>12</v>
      </c>
      <c r="J38" s="14">
        <v>5</v>
      </c>
      <c r="K38" s="14">
        <v>15</v>
      </c>
      <c r="L38" s="14">
        <v>14</v>
      </c>
      <c r="M38" s="14">
        <v>5</v>
      </c>
      <c r="N38" s="14">
        <v>10</v>
      </c>
      <c r="O38" s="14">
        <v>21</v>
      </c>
      <c r="P38" s="14">
        <v>11</v>
      </c>
      <c r="Q38" s="14">
        <v>10</v>
      </c>
      <c r="R38" s="14">
        <v>11</v>
      </c>
      <c r="S38" s="14">
        <v>9</v>
      </c>
      <c r="T38" s="14">
        <v>12</v>
      </c>
      <c r="U38" s="14">
        <v>9</v>
      </c>
      <c r="V38" s="14">
        <v>9</v>
      </c>
      <c r="W38" s="14">
        <v>13</v>
      </c>
      <c r="X38" s="14">
        <v>2</v>
      </c>
      <c r="Y38" s="14">
        <v>12</v>
      </c>
      <c r="Z38" s="14">
        <v>7</v>
      </c>
      <c r="AA38" s="14">
        <v>9</v>
      </c>
      <c r="AB38" s="14">
        <v>8</v>
      </c>
      <c r="AC38" s="14"/>
      <c r="AD38" s="14"/>
      <c r="AE38" s="14">
        <v>11</v>
      </c>
      <c r="AF38" s="214">
        <v>5</v>
      </c>
      <c r="AG38" s="15">
        <f t="shared" si="2"/>
        <v>300</v>
      </c>
    </row>
    <row r="39" spans="1:33" ht="15.75" customHeight="1" x14ac:dyDescent="0.25">
      <c r="A39" s="12" t="s">
        <v>25</v>
      </c>
      <c r="B39" s="13">
        <v>10</v>
      </c>
      <c r="C39" s="14">
        <v>13</v>
      </c>
      <c r="D39" s="14">
        <v>10</v>
      </c>
      <c r="E39" s="14">
        <v>12</v>
      </c>
      <c r="F39" s="14">
        <v>20</v>
      </c>
      <c r="G39" s="14">
        <v>13</v>
      </c>
      <c r="H39" s="14">
        <v>16</v>
      </c>
      <c r="I39" s="14">
        <v>13</v>
      </c>
      <c r="J39" s="14">
        <v>14</v>
      </c>
      <c r="K39" s="14">
        <v>15</v>
      </c>
      <c r="L39" s="14">
        <v>15</v>
      </c>
      <c r="M39" s="14">
        <v>22</v>
      </c>
      <c r="N39" s="14">
        <v>10</v>
      </c>
      <c r="O39" s="14">
        <v>15</v>
      </c>
      <c r="P39" s="14">
        <v>14</v>
      </c>
      <c r="Q39" s="14">
        <v>12</v>
      </c>
      <c r="R39" s="14">
        <v>16</v>
      </c>
      <c r="S39" s="14">
        <v>9</v>
      </c>
      <c r="T39" s="14">
        <v>16</v>
      </c>
      <c r="U39" s="14">
        <v>19</v>
      </c>
      <c r="V39" s="14">
        <v>10</v>
      </c>
      <c r="W39" s="14">
        <v>14</v>
      </c>
      <c r="X39" s="14">
        <v>19</v>
      </c>
      <c r="Y39" s="14">
        <v>13</v>
      </c>
      <c r="Z39" s="14">
        <v>14</v>
      </c>
      <c r="AA39" s="14">
        <v>18</v>
      </c>
      <c r="AB39" s="14">
        <v>14</v>
      </c>
      <c r="AC39" s="14"/>
      <c r="AD39" s="14"/>
      <c r="AE39" s="14">
        <v>12</v>
      </c>
      <c r="AF39" s="214">
        <v>7</v>
      </c>
      <c r="AG39" s="15">
        <f t="shared" si="2"/>
        <v>405</v>
      </c>
    </row>
    <row r="40" spans="1:33" ht="15.75" customHeight="1" x14ac:dyDescent="0.25">
      <c r="A40" s="12" t="s">
        <v>26</v>
      </c>
      <c r="B40" s="13">
        <v>9</v>
      </c>
      <c r="C40" s="14">
        <v>18</v>
      </c>
      <c r="D40" s="14">
        <v>28</v>
      </c>
      <c r="E40" s="14">
        <v>13</v>
      </c>
      <c r="F40" s="14">
        <v>17</v>
      </c>
      <c r="G40" s="14">
        <v>19</v>
      </c>
      <c r="H40" s="14">
        <v>12</v>
      </c>
      <c r="I40" s="14">
        <v>11</v>
      </c>
      <c r="J40" s="14">
        <v>20</v>
      </c>
      <c r="K40" s="14">
        <v>16</v>
      </c>
      <c r="L40" s="14">
        <v>22</v>
      </c>
      <c r="M40" s="14">
        <v>20</v>
      </c>
      <c r="N40" s="14">
        <v>16</v>
      </c>
      <c r="O40" s="14">
        <v>12</v>
      </c>
      <c r="P40" s="14">
        <v>9</v>
      </c>
      <c r="Q40" s="14">
        <v>16</v>
      </c>
      <c r="R40" s="14">
        <v>14</v>
      </c>
      <c r="S40" s="14">
        <v>24</v>
      </c>
      <c r="T40" s="14">
        <v>17</v>
      </c>
      <c r="U40" s="14">
        <v>17</v>
      </c>
      <c r="V40" s="14">
        <v>16</v>
      </c>
      <c r="W40" s="14">
        <v>13</v>
      </c>
      <c r="X40" s="14">
        <v>22</v>
      </c>
      <c r="Y40" s="14">
        <v>23</v>
      </c>
      <c r="Z40" s="14">
        <v>26</v>
      </c>
      <c r="AA40" s="14">
        <v>17</v>
      </c>
      <c r="AB40" s="14">
        <v>12</v>
      </c>
      <c r="AC40" s="14"/>
      <c r="AD40" s="14"/>
      <c r="AE40" s="14">
        <v>14</v>
      </c>
      <c r="AF40" s="214">
        <v>11</v>
      </c>
      <c r="AG40" s="15">
        <f t="shared" si="2"/>
        <v>484</v>
      </c>
    </row>
    <row r="41" spans="1:33" ht="15.75" customHeight="1" x14ac:dyDescent="0.25">
      <c r="A41" s="12" t="s">
        <v>27</v>
      </c>
      <c r="B41" s="13">
        <v>15</v>
      </c>
      <c r="C41" s="14">
        <v>10</v>
      </c>
      <c r="D41" s="14">
        <v>16</v>
      </c>
      <c r="E41" s="14">
        <v>18</v>
      </c>
      <c r="F41" s="14">
        <v>17</v>
      </c>
      <c r="G41" s="14">
        <v>13</v>
      </c>
      <c r="H41" s="14">
        <v>8</v>
      </c>
      <c r="I41" s="14">
        <v>10</v>
      </c>
      <c r="J41" s="14">
        <v>17</v>
      </c>
      <c r="K41" s="14">
        <v>15</v>
      </c>
      <c r="L41" s="14">
        <v>15</v>
      </c>
      <c r="M41" s="14">
        <v>15</v>
      </c>
      <c r="N41" s="14">
        <v>18</v>
      </c>
      <c r="O41" s="14">
        <v>9</v>
      </c>
      <c r="P41" s="14">
        <v>12</v>
      </c>
      <c r="Q41" s="14">
        <v>14</v>
      </c>
      <c r="R41" s="14">
        <v>17</v>
      </c>
      <c r="S41" s="14">
        <v>19</v>
      </c>
      <c r="T41" s="14">
        <v>23</v>
      </c>
      <c r="U41" s="14">
        <v>10</v>
      </c>
      <c r="V41" s="14">
        <v>8</v>
      </c>
      <c r="W41" s="14">
        <v>15</v>
      </c>
      <c r="X41" s="14">
        <v>15</v>
      </c>
      <c r="Y41" s="14">
        <v>15</v>
      </c>
      <c r="Z41" s="14">
        <v>20</v>
      </c>
      <c r="AA41" s="14">
        <v>18</v>
      </c>
      <c r="AB41" s="14">
        <v>15</v>
      </c>
      <c r="AC41" s="14"/>
      <c r="AD41" s="14"/>
      <c r="AE41" s="14">
        <v>17</v>
      </c>
      <c r="AF41" s="214">
        <v>13</v>
      </c>
      <c r="AG41" s="15">
        <f t="shared" si="2"/>
        <v>427</v>
      </c>
    </row>
    <row r="42" spans="1:33" ht="15.75" customHeight="1" x14ac:dyDescent="0.25">
      <c r="A42" s="12" t="s">
        <v>28</v>
      </c>
      <c r="B42" s="13">
        <v>16</v>
      </c>
      <c r="C42" s="14">
        <v>11</v>
      </c>
      <c r="D42" s="14">
        <v>17</v>
      </c>
      <c r="E42" s="14">
        <v>13</v>
      </c>
      <c r="F42" s="14">
        <v>15</v>
      </c>
      <c r="G42" s="14">
        <v>20</v>
      </c>
      <c r="H42" s="14">
        <v>15</v>
      </c>
      <c r="I42" s="14">
        <v>14</v>
      </c>
      <c r="J42" s="14">
        <v>16</v>
      </c>
      <c r="K42" s="14">
        <v>16</v>
      </c>
      <c r="L42" s="14">
        <v>19</v>
      </c>
      <c r="M42" s="14">
        <v>21</v>
      </c>
      <c r="N42" s="14">
        <v>13</v>
      </c>
      <c r="O42" s="14">
        <v>12</v>
      </c>
      <c r="P42" s="14">
        <v>18</v>
      </c>
      <c r="Q42" s="14">
        <v>17</v>
      </c>
      <c r="R42" s="14">
        <v>20</v>
      </c>
      <c r="S42" s="14">
        <v>13</v>
      </c>
      <c r="T42" s="14">
        <v>15</v>
      </c>
      <c r="U42" s="14">
        <v>17</v>
      </c>
      <c r="V42" s="14">
        <v>11</v>
      </c>
      <c r="W42" s="14">
        <v>6</v>
      </c>
      <c r="X42" s="14">
        <v>24</v>
      </c>
      <c r="Y42" s="14">
        <v>16</v>
      </c>
      <c r="Z42" s="14">
        <v>12</v>
      </c>
      <c r="AA42" s="14">
        <v>13</v>
      </c>
      <c r="AB42" s="14">
        <v>10</v>
      </c>
      <c r="AC42" s="14"/>
      <c r="AD42" s="14"/>
      <c r="AE42" s="14">
        <v>22</v>
      </c>
      <c r="AF42" s="214">
        <v>17</v>
      </c>
      <c r="AG42" s="15">
        <f t="shared" si="2"/>
        <v>449</v>
      </c>
    </row>
    <row r="43" spans="1:33" ht="15.75" customHeight="1" x14ac:dyDescent="0.25">
      <c r="A43" s="12" t="s">
        <v>29</v>
      </c>
      <c r="B43" s="13">
        <v>7</v>
      </c>
      <c r="C43" s="14">
        <v>16</v>
      </c>
      <c r="D43" s="14">
        <v>16</v>
      </c>
      <c r="E43" s="14">
        <v>19</v>
      </c>
      <c r="F43" s="14">
        <v>18</v>
      </c>
      <c r="G43" s="14">
        <v>17</v>
      </c>
      <c r="H43" s="14">
        <v>10</v>
      </c>
      <c r="I43" s="14">
        <v>8</v>
      </c>
      <c r="J43" s="14">
        <v>18</v>
      </c>
      <c r="K43" s="14">
        <v>17</v>
      </c>
      <c r="L43" s="14">
        <v>19</v>
      </c>
      <c r="M43" s="14">
        <v>7</v>
      </c>
      <c r="N43" s="14">
        <v>15</v>
      </c>
      <c r="O43" s="14">
        <v>13</v>
      </c>
      <c r="P43" s="14">
        <v>7</v>
      </c>
      <c r="Q43" s="14">
        <v>19</v>
      </c>
      <c r="R43" s="14">
        <v>14</v>
      </c>
      <c r="S43" s="14">
        <v>21</v>
      </c>
      <c r="T43" s="14">
        <v>20</v>
      </c>
      <c r="U43" s="14">
        <v>10</v>
      </c>
      <c r="V43" s="14">
        <v>14</v>
      </c>
      <c r="W43" s="14">
        <v>13</v>
      </c>
      <c r="X43" s="14">
        <v>14</v>
      </c>
      <c r="Y43" s="14">
        <v>21</v>
      </c>
      <c r="Z43" s="14">
        <v>18</v>
      </c>
      <c r="AA43" s="14">
        <v>27</v>
      </c>
      <c r="AB43" s="14">
        <v>12</v>
      </c>
      <c r="AC43" s="14"/>
      <c r="AD43" s="14"/>
      <c r="AE43" s="14">
        <v>19</v>
      </c>
      <c r="AF43" s="214">
        <v>15</v>
      </c>
      <c r="AG43" s="15">
        <f t="shared" si="2"/>
        <v>444</v>
      </c>
    </row>
    <row r="44" spans="1:33" ht="15.75" customHeight="1" x14ac:dyDescent="0.25">
      <c r="A44" s="12" t="s">
        <v>30</v>
      </c>
      <c r="B44" s="13">
        <v>16</v>
      </c>
      <c r="C44" s="14">
        <v>23</v>
      </c>
      <c r="D44" s="14">
        <v>15</v>
      </c>
      <c r="E44" s="14">
        <v>14</v>
      </c>
      <c r="F44" s="14">
        <v>5</v>
      </c>
      <c r="G44" s="14">
        <v>6</v>
      </c>
      <c r="H44" s="14">
        <v>16</v>
      </c>
      <c r="I44" s="14">
        <v>20</v>
      </c>
      <c r="J44" s="14">
        <v>16</v>
      </c>
      <c r="K44" s="14">
        <v>13</v>
      </c>
      <c r="L44" s="14">
        <v>8</v>
      </c>
      <c r="M44" s="14">
        <v>9</v>
      </c>
      <c r="N44" s="14">
        <v>14</v>
      </c>
      <c r="O44" s="14">
        <v>6</v>
      </c>
      <c r="P44" s="14">
        <v>10</v>
      </c>
      <c r="Q44" s="14">
        <v>14</v>
      </c>
      <c r="R44" s="14">
        <v>11</v>
      </c>
      <c r="S44" s="14">
        <v>17</v>
      </c>
      <c r="T44" s="14">
        <v>10</v>
      </c>
      <c r="U44" s="14">
        <v>12</v>
      </c>
      <c r="V44" s="14">
        <v>6</v>
      </c>
      <c r="W44" s="14">
        <v>9</v>
      </c>
      <c r="X44" s="14">
        <v>7</v>
      </c>
      <c r="Y44" s="14">
        <v>8</v>
      </c>
      <c r="Z44" s="14">
        <v>9</v>
      </c>
      <c r="AA44" s="14">
        <v>5</v>
      </c>
      <c r="AB44" s="14">
        <v>14</v>
      </c>
      <c r="AC44" s="14"/>
      <c r="AD44" s="14"/>
      <c r="AE44" s="14">
        <v>15</v>
      </c>
      <c r="AF44" s="214">
        <v>25</v>
      </c>
      <c r="AG44" s="15">
        <f t="shared" si="2"/>
        <v>353</v>
      </c>
    </row>
    <row r="45" spans="1:33" ht="15.75" customHeight="1" x14ac:dyDescent="0.25">
      <c r="A45" s="12" t="s">
        <v>31</v>
      </c>
      <c r="B45" s="13">
        <v>13</v>
      </c>
      <c r="C45" s="14">
        <v>11</v>
      </c>
      <c r="D45" s="14">
        <v>11</v>
      </c>
      <c r="E45" s="14">
        <v>9</v>
      </c>
      <c r="F45" s="14">
        <v>19</v>
      </c>
      <c r="G45" s="14">
        <v>15</v>
      </c>
      <c r="H45" s="14">
        <v>6</v>
      </c>
      <c r="I45" s="14">
        <v>9</v>
      </c>
      <c r="J45" s="14">
        <v>14</v>
      </c>
      <c r="K45" s="14">
        <v>6</v>
      </c>
      <c r="L45" s="14">
        <v>12</v>
      </c>
      <c r="M45" s="14">
        <v>7</v>
      </c>
      <c r="N45" s="14">
        <v>8</v>
      </c>
      <c r="O45" s="14">
        <v>11</v>
      </c>
      <c r="P45" s="14">
        <v>9</v>
      </c>
      <c r="Q45" s="14">
        <v>9</v>
      </c>
      <c r="R45" s="14">
        <v>15</v>
      </c>
      <c r="S45" s="14">
        <v>8</v>
      </c>
      <c r="T45" s="14">
        <v>10</v>
      </c>
      <c r="U45" s="14">
        <v>10</v>
      </c>
      <c r="V45" s="14">
        <v>6</v>
      </c>
      <c r="W45" s="14">
        <v>12</v>
      </c>
      <c r="X45" s="14">
        <v>5</v>
      </c>
      <c r="Y45" s="14">
        <v>6</v>
      </c>
      <c r="Z45" s="14">
        <v>14</v>
      </c>
      <c r="AA45" s="14">
        <v>5</v>
      </c>
      <c r="AB45" s="14">
        <v>14</v>
      </c>
      <c r="AC45" s="14"/>
      <c r="AD45" s="14"/>
      <c r="AE45" s="14">
        <v>9</v>
      </c>
      <c r="AF45" s="214">
        <v>6</v>
      </c>
      <c r="AG45" s="15">
        <f t="shared" si="2"/>
        <v>289</v>
      </c>
    </row>
    <row r="46" spans="1:33" ht="15.75" customHeight="1" x14ac:dyDescent="0.25">
      <c r="A46" s="12" t="s">
        <v>32</v>
      </c>
      <c r="B46" s="13">
        <v>10</v>
      </c>
      <c r="C46" s="14">
        <v>10</v>
      </c>
      <c r="D46" s="14">
        <v>7</v>
      </c>
      <c r="E46" s="14">
        <v>10</v>
      </c>
      <c r="F46" s="14">
        <v>5</v>
      </c>
      <c r="G46" s="14">
        <v>2</v>
      </c>
      <c r="H46" s="14">
        <v>7</v>
      </c>
      <c r="I46" s="14">
        <v>6</v>
      </c>
      <c r="J46" s="14">
        <v>3</v>
      </c>
      <c r="K46" s="14">
        <v>13</v>
      </c>
      <c r="L46" s="14">
        <v>13</v>
      </c>
      <c r="M46" s="14">
        <v>6</v>
      </c>
      <c r="N46" s="14">
        <v>10</v>
      </c>
      <c r="O46" s="14">
        <v>12</v>
      </c>
      <c r="P46" s="14">
        <v>9</v>
      </c>
      <c r="Q46" s="14">
        <v>12</v>
      </c>
      <c r="R46" s="14">
        <v>9</v>
      </c>
      <c r="S46" s="14">
        <v>4</v>
      </c>
      <c r="T46" s="14">
        <v>8</v>
      </c>
      <c r="U46" s="14">
        <v>7</v>
      </c>
      <c r="V46" s="14">
        <v>6</v>
      </c>
      <c r="W46" s="14">
        <v>8</v>
      </c>
      <c r="X46" s="14">
        <v>9</v>
      </c>
      <c r="Y46" s="14">
        <v>9</v>
      </c>
      <c r="Z46" s="14">
        <v>9</v>
      </c>
      <c r="AA46" s="14">
        <v>8</v>
      </c>
      <c r="AB46" s="14">
        <v>5</v>
      </c>
      <c r="AC46" s="14"/>
      <c r="AD46" s="14"/>
      <c r="AE46" s="14">
        <v>5</v>
      </c>
      <c r="AF46" s="214">
        <v>7</v>
      </c>
      <c r="AG46" s="15">
        <f t="shared" si="2"/>
        <v>229</v>
      </c>
    </row>
    <row r="47" spans="1:33" ht="15.75" customHeight="1" x14ac:dyDescent="0.25">
      <c r="A47" s="12" t="s">
        <v>33</v>
      </c>
      <c r="B47" s="13">
        <v>3</v>
      </c>
      <c r="C47" s="14">
        <v>0</v>
      </c>
      <c r="D47" s="14">
        <v>10</v>
      </c>
      <c r="E47" s="14">
        <v>1</v>
      </c>
      <c r="F47" s="14">
        <v>2</v>
      </c>
      <c r="G47" s="14">
        <v>3</v>
      </c>
      <c r="H47" s="14">
        <v>6</v>
      </c>
      <c r="I47" s="14">
        <v>2</v>
      </c>
      <c r="J47" s="14">
        <v>2</v>
      </c>
      <c r="K47" s="14">
        <v>5</v>
      </c>
      <c r="L47" s="14">
        <v>5</v>
      </c>
      <c r="M47" s="14">
        <v>3</v>
      </c>
      <c r="N47" s="14">
        <v>4</v>
      </c>
      <c r="O47" s="14">
        <v>1</v>
      </c>
      <c r="P47" s="14">
        <v>3</v>
      </c>
      <c r="Q47" s="14">
        <v>10</v>
      </c>
      <c r="R47" s="14">
        <v>10</v>
      </c>
      <c r="S47" s="14">
        <v>3</v>
      </c>
      <c r="T47" s="14">
        <v>3</v>
      </c>
      <c r="U47" s="14">
        <v>1</v>
      </c>
      <c r="V47" s="14">
        <v>4</v>
      </c>
      <c r="W47" s="14">
        <v>8</v>
      </c>
      <c r="X47" s="14">
        <v>1</v>
      </c>
      <c r="Y47" s="14">
        <v>1</v>
      </c>
      <c r="Z47" s="14">
        <v>7</v>
      </c>
      <c r="AA47" s="14">
        <v>3</v>
      </c>
      <c r="AB47" s="14">
        <v>3</v>
      </c>
      <c r="AC47" s="14"/>
      <c r="AD47" s="14"/>
      <c r="AE47" s="14">
        <v>3</v>
      </c>
      <c r="AF47" s="214">
        <v>4</v>
      </c>
      <c r="AG47" s="15">
        <f t="shared" si="2"/>
        <v>111</v>
      </c>
    </row>
    <row r="48" spans="1:33" ht="15.75" customHeight="1" x14ac:dyDescent="0.25">
      <c r="A48" s="12" t="s">
        <v>34</v>
      </c>
      <c r="B48" s="13">
        <v>1</v>
      </c>
      <c r="C48" s="14">
        <v>1</v>
      </c>
      <c r="D48" s="14">
        <v>1</v>
      </c>
      <c r="E48" s="14">
        <v>0</v>
      </c>
      <c r="F48" s="14">
        <v>4</v>
      </c>
      <c r="G48" s="14">
        <v>6</v>
      </c>
      <c r="H48" s="14">
        <v>2</v>
      </c>
      <c r="I48" s="14">
        <v>1</v>
      </c>
      <c r="J48" s="14">
        <v>2</v>
      </c>
      <c r="K48" s="14">
        <v>0</v>
      </c>
      <c r="L48" s="14">
        <v>2</v>
      </c>
      <c r="M48" s="14">
        <v>4</v>
      </c>
      <c r="N48" s="14">
        <v>7</v>
      </c>
      <c r="O48" s="14">
        <v>2</v>
      </c>
      <c r="P48" s="14">
        <v>0</v>
      </c>
      <c r="Q48" s="14">
        <v>2</v>
      </c>
      <c r="R48" s="14">
        <v>0</v>
      </c>
      <c r="S48" s="14">
        <v>4</v>
      </c>
      <c r="T48" s="14">
        <v>1</v>
      </c>
      <c r="U48" s="14"/>
      <c r="V48" s="14">
        <v>1</v>
      </c>
      <c r="W48" s="14">
        <v>5</v>
      </c>
      <c r="X48" s="14">
        <v>2</v>
      </c>
      <c r="Y48" s="14">
        <v>5</v>
      </c>
      <c r="Z48" s="14">
        <v>1</v>
      </c>
      <c r="AA48" s="14">
        <v>2</v>
      </c>
      <c r="AB48" s="14"/>
      <c r="AC48" s="14"/>
      <c r="AD48" s="14"/>
      <c r="AE48" s="14">
        <v>2</v>
      </c>
      <c r="AF48" s="214">
        <v>11</v>
      </c>
      <c r="AG48" s="15">
        <f t="shared" si="2"/>
        <v>69</v>
      </c>
    </row>
    <row r="49" spans="1:33" ht="15.75" customHeight="1" x14ac:dyDescent="0.25">
      <c r="A49" s="12" t="s">
        <v>35</v>
      </c>
      <c r="B49" s="13">
        <v>2</v>
      </c>
      <c r="C49" s="14">
        <v>0</v>
      </c>
      <c r="D49" s="14">
        <v>0</v>
      </c>
      <c r="E49" s="14">
        <v>0</v>
      </c>
      <c r="F49" s="14">
        <v>2</v>
      </c>
      <c r="G49" s="14">
        <v>0</v>
      </c>
      <c r="H49" s="14">
        <v>1</v>
      </c>
      <c r="I49" s="14">
        <v>2</v>
      </c>
      <c r="J49" s="14">
        <v>0</v>
      </c>
      <c r="K49" s="14">
        <v>0</v>
      </c>
      <c r="L49" s="14">
        <v>2</v>
      </c>
      <c r="M49" s="14">
        <v>1</v>
      </c>
      <c r="N49" s="14">
        <v>1</v>
      </c>
      <c r="O49" s="14">
        <v>3</v>
      </c>
      <c r="P49" s="14">
        <v>0</v>
      </c>
      <c r="Q49" s="14">
        <v>1</v>
      </c>
      <c r="R49" s="14">
        <v>0</v>
      </c>
      <c r="S49" s="14">
        <v>0</v>
      </c>
      <c r="T49" s="14">
        <v>3</v>
      </c>
      <c r="U49" s="14"/>
      <c r="V49" s="14">
        <v>2</v>
      </c>
      <c r="W49" s="14">
        <v>1</v>
      </c>
      <c r="X49" s="14"/>
      <c r="Y49" s="14"/>
      <c r="Z49" s="14"/>
      <c r="AA49" s="14">
        <v>2</v>
      </c>
      <c r="AB49" s="14"/>
      <c r="AC49" s="14"/>
      <c r="AD49" s="14"/>
      <c r="AE49" s="14">
        <v>2</v>
      </c>
      <c r="AF49" s="214"/>
      <c r="AG49" s="15">
        <f t="shared" si="2"/>
        <v>25</v>
      </c>
    </row>
    <row r="50" spans="1:33" ht="15.75" customHeight="1" x14ac:dyDescent="0.25">
      <c r="A50" s="12" t="s">
        <v>36</v>
      </c>
      <c r="B50" s="13">
        <v>1</v>
      </c>
      <c r="C50" s="14">
        <v>0</v>
      </c>
      <c r="D50" s="14">
        <v>2</v>
      </c>
      <c r="E50" s="14">
        <v>0</v>
      </c>
      <c r="F50" s="14">
        <v>4</v>
      </c>
      <c r="G50" s="14">
        <v>0</v>
      </c>
      <c r="H50" s="14">
        <v>1</v>
      </c>
      <c r="I50" s="14">
        <v>2</v>
      </c>
      <c r="J50" s="14">
        <v>0</v>
      </c>
      <c r="K50" s="14">
        <v>2</v>
      </c>
      <c r="L50" s="14">
        <v>2</v>
      </c>
      <c r="M50" s="14">
        <v>0</v>
      </c>
      <c r="N50" s="14">
        <v>0</v>
      </c>
      <c r="O50" s="14">
        <v>0</v>
      </c>
      <c r="P50" s="14">
        <v>3</v>
      </c>
      <c r="Q50" s="14">
        <v>0</v>
      </c>
      <c r="R50" s="14">
        <v>0</v>
      </c>
      <c r="S50" s="14">
        <v>0</v>
      </c>
      <c r="T50" s="14">
        <v>1</v>
      </c>
      <c r="U50" s="14"/>
      <c r="V50" s="14">
        <v>1</v>
      </c>
      <c r="W50" s="14"/>
      <c r="X50" s="14">
        <v>1</v>
      </c>
      <c r="Y50" s="14">
        <v>1</v>
      </c>
      <c r="Z50" s="14">
        <v>1</v>
      </c>
      <c r="AA50" s="14"/>
      <c r="AB50" s="14"/>
      <c r="AC50" s="14"/>
      <c r="AD50" s="14"/>
      <c r="AE50" s="14"/>
      <c r="AF50" s="214"/>
      <c r="AG50" s="15">
        <f t="shared" si="2"/>
        <v>22</v>
      </c>
    </row>
    <row r="51" spans="1:33" ht="15.75" customHeight="1" x14ac:dyDescent="0.25">
      <c r="A51" s="12" t="s">
        <v>37</v>
      </c>
      <c r="B51" s="13">
        <v>1</v>
      </c>
      <c r="C51" s="14">
        <v>0</v>
      </c>
      <c r="D51" s="14">
        <v>3</v>
      </c>
      <c r="E51" s="14">
        <v>0</v>
      </c>
      <c r="F51" s="14">
        <v>0</v>
      </c>
      <c r="G51" s="14">
        <v>0</v>
      </c>
      <c r="H51" s="14">
        <v>2</v>
      </c>
      <c r="I51" s="14">
        <v>1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3</v>
      </c>
      <c r="P51" s="14">
        <v>2</v>
      </c>
      <c r="Q51" s="14">
        <v>1</v>
      </c>
      <c r="R51" s="14">
        <v>0</v>
      </c>
      <c r="S51" s="14">
        <v>0</v>
      </c>
      <c r="T51" s="14">
        <v>1</v>
      </c>
      <c r="U51" s="14">
        <v>3</v>
      </c>
      <c r="V51" s="14"/>
      <c r="W51" s="14">
        <v>3</v>
      </c>
      <c r="X51" s="14"/>
      <c r="Y51" s="14"/>
      <c r="Z51" s="14">
        <v>1</v>
      </c>
      <c r="AA51" s="14"/>
      <c r="AB51" s="14"/>
      <c r="AC51" s="14"/>
      <c r="AD51" s="14"/>
      <c r="AE51" s="14"/>
      <c r="AF51" s="214"/>
      <c r="AG51" s="15">
        <f t="shared" si="2"/>
        <v>21</v>
      </c>
    </row>
    <row r="52" spans="1:33" ht="15.75" customHeight="1" x14ac:dyDescent="0.25">
      <c r="A52" s="23" t="s">
        <v>38</v>
      </c>
      <c r="B52" s="24">
        <v>4</v>
      </c>
      <c r="C52" s="25">
        <v>0</v>
      </c>
      <c r="D52" s="25">
        <v>2</v>
      </c>
      <c r="E52" s="25">
        <v>0</v>
      </c>
      <c r="F52" s="25">
        <v>0</v>
      </c>
      <c r="G52" s="25">
        <v>6</v>
      </c>
      <c r="H52" s="25">
        <v>0</v>
      </c>
      <c r="I52" s="25">
        <v>3</v>
      </c>
      <c r="J52" s="25">
        <v>1</v>
      </c>
      <c r="K52" s="25">
        <v>3</v>
      </c>
      <c r="L52" s="25">
        <v>2</v>
      </c>
      <c r="M52" s="25">
        <v>0</v>
      </c>
      <c r="N52" s="25">
        <v>0</v>
      </c>
      <c r="O52" s="25">
        <v>0</v>
      </c>
      <c r="P52" s="25">
        <v>2</v>
      </c>
      <c r="Q52" s="25">
        <v>1</v>
      </c>
      <c r="R52" s="25">
        <v>0</v>
      </c>
      <c r="S52" s="25">
        <v>3</v>
      </c>
      <c r="T52" s="25">
        <v>3</v>
      </c>
      <c r="U52" s="25">
        <v>3</v>
      </c>
      <c r="V52" s="25"/>
      <c r="W52" s="25">
        <v>2</v>
      </c>
      <c r="X52" s="25">
        <v>3</v>
      </c>
      <c r="Y52" s="25">
        <v>4</v>
      </c>
      <c r="Z52" s="25">
        <v>2</v>
      </c>
      <c r="AA52" s="25">
        <v>3</v>
      </c>
      <c r="AB52" s="25"/>
      <c r="AC52" s="25"/>
      <c r="AD52" s="25"/>
      <c r="AE52" s="25">
        <v>2</v>
      </c>
      <c r="AF52" s="216"/>
      <c r="AG52" s="26">
        <f t="shared" si="2"/>
        <v>49</v>
      </c>
    </row>
    <row r="53" spans="1:33" ht="15.75" customHeight="1" x14ac:dyDescent="0.25">
      <c r="A53" s="4" t="s">
        <v>40</v>
      </c>
      <c r="B53" s="5">
        <f t="shared" ref="B53:AF53" si="4">SUM(B54:B77)</f>
        <v>8</v>
      </c>
      <c r="C53" s="6">
        <f t="shared" si="4"/>
        <v>16</v>
      </c>
      <c r="D53" s="6">
        <f t="shared" si="4"/>
        <v>49</v>
      </c>
      <c r="E53" s="6">
        <f t="shared" si="4"/>
        <v>34</v>
      </c>
      <c r="F53" s="6">
        <f t="shared" si="4"/>
        <v>39</v>
      </c>
      <c r="G53" s="6">
        <f t="shared" si="4"/>
        <v>36</v>
      </c>
      <c r="H53" s="6">
        <f t="shared" si="4"/>
        <v>12</v>
      </c>
      <c r="I53" s="6">
        <f t="shared" si="4"/>
        <v>5</v>
      </c>
      <c r="J53" s="6">
        <f t="shared" si="4"/>
        <v>20</v>
      </c>
      <c r="K53" s="6">
        <f t="shared" si="4"/>
        <v>18</v>
      </c>
      <c r="L53" s="6">
        <f t="shared" si="4"/>
        <v>22</v>
      </c>
      <c r="M53" s="6">
        <f t="shared" si="4"/>
        <v>10</v>
      </c>
      <c r="N53" s="6">
        <f t="shared" si="4"/>
        <v>24</v>
      </c>
      <c r="O53" s="6">
        <f t="shared" si="4"/>
        <v>7</v>
      </c>
      <c r="P53" s="6">
        <f t="shared" si="4"/>
        <v>1</v>
      </c>
      <c r="Q53" s="6">
        <f t="shared" si="4"/>
        <v>35</v>
      </c>
      <c r="R53" s="6">
        <f t="shared" si="4"/>
        <v>15</v>
      </c>
      <c r="S53" s="6">
        <f t="shared" si="4"/>
        <v>19</v>
      </c>
      <c r="T53" s="6">
        <f t="shared" si="4"/>
        <v>31</v>
      </c>
      <c r="U53" s="6">
        <f t="shared" si="4"/>
        <v>21</v>
      </c>
      <c r="V53" s="6">
        <f t="shared" si="4"/>
        <v>2</v>
      </c>
      <c r="W53" s="6">
        <f t="shared" si="4"/>
        <v>15</v>
      </c>
      <c r="X53" s="6">
        <f t="shared" si="4"/>
        <v>17</v>
      </c>
      <c r="Y53" s="6">
        <f t="shared" si="4"/>
        <v>27</v>
      </c>
      <c r="Z53" s="6">
        <f t="shared" si="4"/>
        <v>10</v>
      </c>
      <c r="AA53" s="6">
        <f t="shared" si="4"/>
        <v>12</v>
      </c>
      <c r="AB53" s="6">
        <f t="shared" si="4"/>
        <v>21</v>
      </c>
      <c r="AC53" s="6">
        <f t="shared" si="4"/>
        <v>0</v>
      </c>
      <c r="AD53" s="6">
        <f t="shared" si="4"/>
        <v>0</v>
      </c>
      <c r="AE53" s="6">
        <f t="shared" si="4"/>
        <v>21</v>
      </c>
      <c r="AF53" s="6">
        <f t="shared" si="4"/>
        <v>29</v>
      </c>
      <c r="AG53" s="27">
        <f t="shared" si="2"/>
        <v>576</v>
      </c>
    </row>
    <row r="54" spans="1:33" ht="15.75" customHeight="1" x14ac:dyDescent="0.25">
      <c r="A54" s="8" t="s">
        <v>15</v>
      </c>
      <c r="B54" s="9"/>
      <c r="C54" s="10"/>
      <c r="D54" s="14"/>
      <c r="E54" s="10">
        <v>1</v>
      </c>
      <c r="F54" s="10"/>
      <c r="G54" s="14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>
        <v>1</v>
      </c>
      <c r="Y54" s="10">
        <v>1</v>
      </c>
      <c r="Z54" s="10">
        <v>1</v>
      </c>
      <c r="AA54" s="10">
        <v>1</v>
      </c>
      <c r="AB54" s="10"/>
      <c r="AC54" s="10"/>
      <c r="AD54" s="10"/>
      <c r="AE54" s="10"/>
      <c r="AF54" s="213"/>
      <c r="AG54" s="11">
        <f t="shared" si="2"/>
        <v>5</v>
      </c>
    </row>
    <row r="55" spans="1:33" ht="15.75" customHeight="1" x14ac:dyDescent="0.25">
      <c r="A55" s="12" t="s">
        <v>16</v>
      </c>
      <c r="B55" s="13">
        <v>1</v>
      </c>
      <c r="C55" s="14"/>
      <c r="D55" s="14"/>
      <c r="E55" s="14"/>
      <c r="F55" s="14">
        <v>1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>
        <v>1</v>
      </c>
      <c r="S55" s="14">
        <v>1</v>
      </c>
      <c r="T55" s="14">
        <v>1</v>
      </c>
      <c r="U55" s="14"/>
      <c r="V55" s="14"/>
      <c r="W55" s="14">
        <v>2</v>
      </c>
      <c r="X55" s="14"/>
      <c r="Y55" s="14"/>
      <c r="Z55" s="14"/>
      <c r="AA55" s="14"/>
      <c r="AB55" s="14"/>
      <c r="AC55" s="14"/>
      <c r="AD55" s="14"/>
      <c r="AE55" s="14"/>
      <c r="AF55" s="214"/>
      <c r="AG55" s="15">
        <f t="shared" si="2"/>
        <v>7</v>
      </c>
    </row>
    <row r="56" spans="1:33" ht="15.75" customHeight="1" x14ac:dyDescent="0.25">
      <c r="A56" s="12" t="s">
        <v>17</v>
      </c>
      <c r="B56" s="13"/>
      <c r="C56" s="14"/>
      <c r="D56" s="14"/>
      <c r="E56" s="14">
        <v>1</v>
      </c>
      <c r="F56" s="14">
        <v>1</v>
      </c>
      <c r="G56" s="14"/>
      <c r="H56" s="14"/>
      <c r="I56" s="14"/>
      <c r="J56" s="14"/>
      <c r="K56" s="14"/>
      <c r="L56" s="14"/>
      <c r="M56" s="14">
        <v>1</v>
      </c>
      <c r="N56" s="14"/>
      <c r="O56" s="14"/>
      <c r="P56" s="14"/>
      <c r="Q56" s="14">
        <v>1</v>
      </c>
      <c r="R56" s="14"/>
      <c r="S56" s="14"/>
      <c r="T56" s="14"/>
      <c r="U56" s="14">
        <v>1</v>
      </c>
      <c r="V56" s="14"/>
      <c r="W56" s="14"/>
      <c r="X56" s="14"/>
      <c r="Y56" s="14">
        <v>1</v>
      </c>
      <c r="Z56" s="14"/>
      <c r="AA56" s="14"/>
      <c r="AB56" s="14"/>
      <c r="AC56" s="14"/>
      <c r="AD56" s="14"/>
      <c r="AE56" s="14"/>
      <c r="AF56" s="214"/>
      <c r="AG56" s="15">
        <f t="shared" si="2"/>
        <v>6</v>
      </c>
    </row>
    <row r="57" spans="1:33" ht="15.75" customHeight="1" x14ac:dyDescent="0.25">
      <c r="A57" s="12" t="s">
        <v>18</v>
      </c>
      <c r="B57" s="13"/>
      <c r="C57" s="14">
        <v>1</v>
      </c>
      <c r="D57" s="14">
        <v>2</v>
      </c>
      <c r="E57" s="14"/>
      <c r="F57" s="14">
        <v>2</v>
      </c>
      <c r="G57" s="14">
        <v>1</v>
      </c>
      <c r="H57" s="14"/>
      <c r="I57" s="14"/>
      <c r="J57" s="14">
        <v>3</v>
      </c>
      <c r="K57" s="14"/>
      <c r="L57" s="14"/>
      <c r="M57" s="14"/>
      <c r="N57" s="14"/>
      <c r="O57" s="14"/>
      <c r="P57" s="14"/>
      <c r="Q57" s="14"/>
      <c r="R57" s="14"/>
      <c r="S57" s="14">
        <v>1</v>
      </c>
      <c r="T57" s="14">
        <v>2</v>
      </c>
      <c r="U57" s="14">
        <v>1</v>
      </c>
      <c r="V57" s="14">
        <v>1</v>
      </c>
      <c r="W57" s="14"/>
      <c r="X57" s="14"/>
      <c r="Y57" s="14"/>
      <c r="Z57" s="14"/>
      <c r="AA57" s="14"/>
      <c r="AB57" s="14"/>
      <c r="AC57" s="14"/>
      <c r="AD57" s="14"/>
      <c r="AE57" s="14"/>
      <c r="AF57" s="214">
        <v>1</v>
      </c>
      <c r="AG57" s="15">
        <f t="shared" si="2"/>
        <v>15</v>
      </c>
    </row>
    <row r="58" spans="1:33" ht="15.75" customHeight="1" x14ac:dyDescent="0.25">
      <c r="A58" s="12" t="s">
        <v>19</v>
      </c>
      <c r="B58" s="13">
        <v>1</v>
      </c>
      <c r="C58" s="14"/>
      <c r="D58" s="14"/>
      <c r="E58" s="14">
        <v>1</v>
      </c>
      <c r="F58" s="14">
        <v>1</v>
      </c>
      <c r="G58" s="14">
        <v>2</v>
      </c>
      <c r="H58" s="14">
        <v>1</v>
      </c>
      <c r="I58" s="14">
        <v>1</v>
      </c>
      <c r="J58" s="14">
        <v>1</v>
      </c>
      <c r="K58" s="14"/>
      <c r="L58" s="14"/>
      <c r="M58" s="14">
        <v>2</v>
      </c>
      <c r="N58" s="14"/>
      <c r="O58" s="14"/>
      <c r="P58" s="14"/>
      <c r="Q58" s="14"/>
      <c r="R58" s="14">
        <v>2</v>
      </c>
      <c r="S58" s="14">
        <v>1</v>
      </c>
      <c r="T58" s="14"/>
      <c r="U58" s="14">
        <v>3</v>
      </c>
      <c r="V58" s="14"/>
      <c r="W58" s="14">
        <v>1</v>
      </c>
      <c r="X58" s="14"/>
      <c r="Y58" s="14"/>
      <c r="Z58" s="14">
        <v>1</v>
      </c>
      <c r="AA58" s="14">
        <v>1</v>
      </c>
      <c r="AB58" s="14">
        <v>2</v>
      </c>
      <c r="AC58" s="14"/>
      <c r="AD58" s="14"/>
      <c r="AE58" s="14">
        <v>1</v>
      </c>
      <c r="AF58" s="214">
        <v>2</v>
      </c>
      <c r="AG58" s="15">
        <f t="shared" si="2"/>
        <v>24</v>
      </c>
    </row>
    <row r="59" spans="1:33" ht="15.75" customHeight="1" x14ac:dyDescent="0.25">
      <c r="A59" s="12" t="s">
        <v>20</v>
      </c>
      <c r="B59" s="13">
        <v>1</v>
      </c>
      <c r="C59" s="14">
        <v>1</v>
      </c>
      <c r="D59" s="14"/>
      <c r="E59" s="14">
        <v>1</v>
      </c>
      <c r="F59" s="14">
        <v>3</v>
      </c>
      <c r="G59" s="14"/>
      <c r="H59" s="14"/>
      <c r="I59" s="14"/>
      <c r="J59" s="14"/>
      <c r="K59" s="14">
        <v>3</v>
      </c>
      <c r="L59" s="14">
        <v>3</v>
      </c>
      <c r="M59" s="14"/>
      <c r="N59" s="14">
        <v>1</v>
      </c>
      <c r="O59" s="14"/>
      <c r="P59" s="14"/>
      <c r="Q59" s="14">
        <v>1</v>
      </c>
      <c r="R59" s="14">
        <v>1</v>
      </c>
      <c r="S59" s="14"/>
      <c r="T59" s="14"/>
      <c r="U59" s="14">
        <v>2</v>
      </c>
      <c r="V59" s="14"/>
      <c r="W59" s="14">
        <v>1</v>
      </c>
      <c r="X59" s="14"/>
      <c r="Y59" s="14"/>
      <c r="Z59" s="14"/>
      <c r="AA59" s="14"/>
      <c r="AB59" s="14"/>
      <c r="AC59" s="14"/>
      <c r="AD59" s="14"/>
      <c r="AE59" s="14">
        <v>1</v>
      </c>
      <c r="AF59" s="214">
        <v>2</v>
      </c>
      <c r="AG59" s="15">
        <f t="shared" si="2"/>
        <v>21</v>
      </c>
    </row>
    <row r="60" spans="1:33" ht="15.75" customHeight="1" x14ac:dyDescent="0.25">
      <c r="A60" s="12" t="s">
        <v>21</v>
      </c>
      <c r="B60" s="13">
        <v>2</v>
      </c>
      <c r="C60" s="14">
        <v>1</v>
      </c>
      <c r="D60" s="14">
        <v>2</v>
      </c>
      <c r="E60" s="14">
        <v>4</v>
      </c>
      <c r="F60" s="14">
        <v>2</v>
      </c>
      <c r="G60" s="14"/>
      <c r="H60" s="14"/>
      <c r="I60" s="14">
        <v>1</v>
      </c>
      <c r="J60" s="14">
        <v>1</v>
      </c>
      <c r="K60" s="14">
        <v>2</v>
      </c>
      <c r="L60" s="14"/>
      <c r="M60" s="14">
        <v>1</v>
      </c>
      <c r="N60" s="14">
        <v>1</v>
      </c>
      <c r="O60" s="14">
        <v>1</v>
      </c>
      <c r="P60" s="14"/>
      <c r="Q60" s="14">
        <v>2</v>
      </c>
      <c r="R60" s="14">
        <v>2</v>
      </c>
      <c r="S60" s="14">
        <v>1</v>
      </c>
      <c r="T60" s="14">
        <v>3</v>
      </c>
      <c r="U60" s="14">
        <v>4</v>
      </c>
      <c r="V60" s="14"/>
      <c r="W60" s="14"/>
      <c r="X60" s="14">
        <v>2</v>
      </c>
      <c r="Y60" s="14">
        <v>1</v>
      </c>
      <c r="Z60" s="14"/>
      <c r="AA60" s="14"/>
      <c r="AB60" s="14">
        <v>4</v>
      </c>
      <c r="AC60" s="14"/>
      <c r="AD60" s="14"/>
      <c r="AE60" s="14">
        <v>3</v>
      </c>
      <c r="AF60" s="214">
        <v>1</v>
      </c>
      <c r="AG60" s="15">
        <f t="shared" si="2"/>
        <v>41</v>
      </c>
    </row>
    <row r="61" spans="1:33" ht="15.75" customHeight="1" x14ac:dyDescent="0.25">
      <c r="A61" s="12" t="s">
        <v>22</v>
      </c>
      <c r="B61" s="13"/>
      <c r="C61" s="14">
        <v>1</v>
      </c>
      <c r="D61" s="14">
        <v>4</v>
      </c>
      <c r="E61" s="14">
        <v>2</v>
      </c>
      <c r="F61" s="14">
        <v>4</v>
      </c>
      <c r="G61" s="14">
        <v>1</v>
      </c>
      <c r="H61" s="14">
        <v>2</v>
      </c>
      <c r="I61" s="14"/>
      <c r="J61" s="14">
        <v>4</v>
      </c>
      <c r="K61" s="14">
        <v>2</v>
      </c>
      <c r="L61" s="14"/>
      <c r="M61" s="14"/>
      <c r="N61" s="14">
        <v>2</v>
      </c>
      <c r="O61" s="14">
        <v>1</v>
      </c>
      <c r="P61" s="14"/>
      <c r="Q61" s="14">
        <v>3</v>
      </c>
      <c r="R61" s="14">
        <v>2</v>
      </c>
      <c r="S61" s="14">
        <v>1</v>
      </c>
      <c r="T61" s="14"/>
      <c r="U61" s="14">
        <v>4</v>
      </c>
      <c r="V61" s="14"/>
      <c r="W61" s="14"/>
      <c r="X61" s="14">
        <v>4</v>
      </c>
      <c r="Y61" s="14">
        <v>5</v>
      </c>
      <c r="Z61" s="14"/>
      <c r="AA61" s="14"/>
      <c r="AB61" s="14"/>
      <c r="AC61" s="14"/>
      <c r="AD61" s="14"/>
      <c r="AE61" s="14">
        <v>5</v>
      </c>
      <c r="AF61" s="214">
        <v>2</v>
      </c>
      <c r="AG61" s="15">
        <f t="shared" si="2"/>
        <v>49</v>
      </c>
    </row>
    <row r="62" spans="1:33" ht="15.75" customHeight="1" x14ac:dyDescent="0.25">
      <c r="A62" s="12" t="s">
        <v>23</v>
      </c>
      <c r="B62" s="13">
        <v>1</v>
      </c>
      <c r="C62" s="14"/>
      <c r="D62" s="14">
        <v>2</v>
      </c>
      <c r="E62" s="14">
        <v>2</v>
      </c>
      <c r="F62" s="14">
        <v>0</v>
      </c>
      <c r="G62" s="14">
        <v>2</v>
      </c>
      <c r="H62" s="14"/>
      <c r="I62" s="14"/>
      <c r="J62" s="14"/>
      <c r="K62" s="14"/>
      <c r="L62" s="14"/>
      <c r="M62" s="14"/>
      <c r="N62" s="14">
        <v>3</v>
      </c>
      <c r="O62" s="14">
        <v>2</v>
      </c>
      <c r="P62" s="14">
        <v>1</v>
      </c>
      <c r="Q62" s="14">
        <v>4</v>
      </c>
      <c r="R62" s="14">
        <v>1</v>
      </c>
      <c r="S62" s="14">
        <v>4</v>
      </c>
      <c r="T62" s="14">
        <v>3</v>
      </c>
      <c r="U62" s="14"/>
      <c r="V62" s="14"/>
      <c r="W62" s="14"/>
      <c r="X62" s="14"/>
      <c r="Y62" s="14"/>
      <c r="Z62" s="14">
        <v>1</v>
      </c>
      <c r="AA62" s="14"/>
      <c r="AB62" s="14"/>
      <c r="AC62" s="14"/>
      <c r="AD62" s="14"/>
      <c r="AE62" s="14"/>
      <c r="AF62" s="214">
        <v>2</v>
      </c>
      <c r="AG62" s="15">
        <f t="shared" si="2"/>
        <v>28</v>
      </c>
    </row>
    <row r="63" spans="1:33" ht="15.75" customHeight="1" x14ac:dyDescent="0.25">
      <c r="A63" s="12" t="s">
        <v>24</v>
      </c>
      <c r="B63" s="13"/>
      <c r="C63" s="14"/>
      <c r="D63" s="14"/>
      <c r="E63" s="14">
        <v>2</v>
      </c>
      <c r="F63" s="14">
        <v>3</v>
      </c>
      <c r="G63" s="14">
        <v>2</v>
      </c>
      <c r="H63" s="14"/>
      <c r="I63" s="14"/>
      <c r="J63" s="14">
        <v>4</v>
      </c>
      <c r="K63" s="14">
        <v>2</v>
      </c>
      <c r="L63" s="14">
        <v>6</v>
      </c>
      <c r="M63" s="14"/>
      <c r="N63" s="14">
        <v>1</v>
      </c>
      <c r="O63" s="14">
        <v>2</v>
      </c>
      <c r="P63" s="14"/>
      <c r="Q63" s="14">
        <v>3</v>
      </c>
      <c r="R63" s="14">
        <v>2</v>
      </c>
      <c r="S63" s="14"/>
      <c r="T63" s="14">
        <v>9</v>
      </c>
      <c r="U63" s="14">
        <v>1</v>
      </c>
      <c r="V63" s="14"/>
      <c r="W63" s="14"/>
      <c r="X63" s="14">
        <v>1</v>
      </c>
      <c r="Y63" s="14">
        <v>3</v>
      </c>
      <c r="Z63" s="14"/>
      <c r="AA63" s="14">
        <v>1</v>
      </c>
      <c r="AB63" s="14">
        <v>1</v>
      </c>
      <c r="AC63" s="14"/>
      <c r="AD63" s="14"/>
      <c r="AE63" s="14"/>
      <c r="AF63" s="214">
        <v>1</v>
      </c>
      <c r="AG63" s="15">
        <f t="shared" si="2"/>
        <v>44</v>
      </c>
    </row>
    <row r="64" spans="1:33" ht="15.75" customHeight="1" x14ac:dyDescent="0.25">
      <c r="A64" s="12" t="s">
        <v>25</v>
      </c>
      <c r="B64" s="13">
        <v>1</v>
      </c>
      <c r="C64" s="14">
        <v>2</v>
      </c>
      <c r="D64" s="14"/>
      <c r="E64" s="14"/>
      <c r="F64" s="14">
        <v>3</v>
      </c>
      <c r="G64" s="14">
        <v>1</v>
      </c>
      <c r="H64" s="14"/>
      <c r="I64" s="14">
        <v>1</v>
      </c>
      <c r="J64" s="14">
        <v>1</v>
      </c>
      <c r="K64" s="14"/>
      <c r="L64" s="14">
        <v>4</v>
      </c>
      <c r="M64" s="14">
        <v>2</v>
      </c>
      <c r="N64" s="14">
        <v>6</v>
      </c>
      <c r="O64" s="14"/>
      <c r="P64" s="14"/>
      <c r="Q64" s="14">
        <v>3</v>
      </c>
      <c r="R64" s="14"/>
      <c r="S64" s="14">
        <v>1</v>
      </c>
      <c r="T64" s="14">
        <v>4</v>
      </c>
      <c r="U64" s="14">
        <v>1</v>
      </c>
      <c r="V64" s="14"/>
      <c r="W64" s="14">
        <v>2</v>
      </c>
      <c r="X64" s="14">
        <v>6</v>
      </c>
      <c r="Y64" s="14">
        <v>5</v>
      </c>
      <c r="Z64" s="14">
        <v>2</v>
      </c>
      <c r="AA64" s="14"/>
      <c r="AB64" s="14">
        <v>3</v>
      </c>
      <c r="AC64" s="14"/>
      <c r="AD64" s="14"/>
      <c r="AE64" s="14">
        <v>5</v>
      </c>
      <c r="AF64" s="214">
        <v>1</v>
      </c>
      <c r="AG64" s="15">
        <f t="shared" si="2"/>
        <v>54</v>
      </c>
    </row>
    <row r="65" spans="1:33" ht="15.75" customHeight="1" x14ac:dyDescent="0.25">
      <c r="A65" s="12" t="s">
        <v>26</v>
      </c>
      <c r="B65" s="13"/>
      <c r="C65" s="14"/>
      <c r="D65" s="14">
        <v>5</v>
      </c>
      <c r="E65" s="14">
        <v>1</v>
      </c>
      <c r="F65" s="14">
        <v>4</v>
      </c>
      <c r="G65" s="14">
        <v>3</v>
      </c>
      <c r="H65" s="14"/>
      <c r="I65" s="14"/>
      <c r="J65" s="14">
        <v>3</v>
      </c>
      <c r="K65" s="14">
        <v>1</v>
      </c>
      <c r="L65" s="14">
        <v>1</v>
      </c>
      <c r="M65" s="14">
        <v>3</v>
      </c>
      <c r="N65" s="14">
        <v>1</v>
      </c>
      <c r="O65" s="14">
        <v>1</v>
      </c>
      <c r="P65" s="14"/>
      <c r="Q65" s="14">
        <v>3</v>
      </c>
      <c r="R65" s="14">
        <v>2</v>
      </c>
      <c r="S65" s="14"/>
      <c r="T65" s="14">
        <v>1</v>
      </c>
      <c r="U65" s="14">
        <v>1</v>
      </c>
      <c r="V65" s="14"/>
      <c r="W65" s="14">
        <v>1</v>
      </c>
      <c r="X65" s="14">
        <v>2</v>
      </c>
      <c r="Y65" s="14">
        <v>3</v>
      </c>
      <c r="Z65" s="14"/>
      <c r="AA65" s="14">
        <v>2</v>
      </c>
      <c r="AB65" s="14"/>
      <c r="AC65" s="14"/>
      <c r="AD65" s="14"/>
      <c r="AE65" s="14">
        <v>1</v>
      </c>
      <c r="AF65" s="214">
        <v>4</v>
      </c>
      <c r="AG65" s="15">
        <f t="shared" si="2"/>
        <v>43</v>
      </c>
    </row>
    <row r="66" spans="1:33" ht="15.75" customHeight="1" x14ac:dyDescent="0.25">
      <c r="A66" s="12" t="s">
        <v>27</v>
      </c>
      <c r="B66" s="13"/>
      <c r="C66" s="14">
        <v>5</v>
      </c>
      <c r="D66" s="14">
        <v>8</v>
      </c>
      <c r="E66" s="14">
        <v>4</v>
      </c>
      <c r="F66" s="14">
        <v>2</v>
      </c>
      <c r="G66" s="14">
        <v>4</v>
      </c>
      <c r="H66" s="14">
        <v>2</v>
      </c>
      <c r="I66" s="14"/>
      <c r="J66" s="14">
        <v>1</v>
      </c>
      <c r="K66" s="14"/>
      <c r="L66" s="14">
        <v>1</v>
      </c>
      <c r="M66" s="14">
        <v>1</v>
      </c>
      <c r="N66" s="14">
        <v>4</v>
      </c>
      <c r="O66" s="14"/>
      <c r="P66" s="14"/>
      <c r="Q66" s="14">
        <v>3</v>
      </c>
      <c r="R66" s="14">
        <v>1</v>
      </c>
      <c r="S66" s="14">
        <v>5</v>
      </c>
      <c r="T66" s="14">
        <v>4</v>
      </c>
      <c r="U66" s="14"/>
      <c r="V66" s="14"/>
      <c r="W66" s="14">
        <v>3</v>
      </c>
      <c r="X66" s="14"/>
      <c r="Y66" s="14">
        <v>1</v>
      </c>
      <c r="Z66" s="14">
        <v>2</v>
      </c>
      <c r="AA66" s="14"/>
      <c r="AB66" s="14">
        <v>3</v>
      </c>
      <c r="AC66" s="14"/>
      <c r="AD66" s="14"/>
      <c r="AE66" s="14">
        <v>2</v>
      </c>
      <c r="AF66" s="214">
        <v>2</v>
      </c>
      <c r="AG66" s="15">
        <f t="shared" si="2"/>
        <v>58</v>
      </c>
    </row>
    <row r="67" spans="1:33" ht="15.75" customHeight="1" x14ac:dyDescent="0.25">
      <c r="A67" s="12" t="s">
        <v>28</v>
      </c>
      <c r="B67" s="13">
        <v>1</v>
      </c>
      <c r="C67" s="14">
        <v>1</v>
      </c>
      <c r="D67" s="14">
        <v>3</v>
      </c>
      <c r="E67" s="14">
        <v>1</v>
      </c>
      <c r="F67" s="14">
        <v>4</v>
      </c>
      <c r="G67" s="14">
        <v>10</v>
      </c>
      <c r="H67" s="14">
        <v>4</v>
      </c>
      <c r="I67" s="14"/>
      <c r="J67" s="14"/>
      <c r="K67" s="14"/>
      <c r="L67" s="14">
        <v>5</v>
      </c>
      <c r="M67" s="14"/>
      <c r="N67" s="14"/>
      <c r="O67" s="14"/>
      <c r="P67" s="14"/>
      <c r="Q67" s="14">
        <v>5</v>
      </c>
      <c r="R67" s="14">
        <v>1</v>
      </c>
      <c r="S67" s="14">
        <v>1</v>
      </c>
      <c r="T67" s="14">
        <v>4</v>
      </c>
      <c r="U67" s="14">
        <v>1</v>
      </c>
      <c r="V67" s="14"/>
      <c r="W67" s="14"/>
      <c r="X67" s="14">
        <v>1</v>
      </c>
      <c r="Y67" s="14">
        <v>1</v>
      </c>
      <c r="Z67" s="14">
        <v>1</v>
      </c>
      <c r="AA67" s="14">
        <v>2</v>
      </c>
      <c r="AB67" s="14">
        <v>2</v>
      </c>
      <c r="AC67" s="14"/>
      <c r="AD67" s="14"/>
      <c r="AE67" s="14"/>
      <c r="AF67" s="214">
        <v>3</v>
      </c>
      <c r="AG67" s="15">
        <f t="shared" si="2"/>
        <v>51</v>
      </c>
    </row>
    <row r="68" spans="1:33" ht="15.75" customHeight="1" x14ac:dyDescent="0.25">
      <c r="A68" s="12" t="s">
        <v>29</v>
      </c>
      <c r="B68" s="13"/>
      <c r="C68" s="14"/>
      <c r="D68" s="14">
        <v>11</v>
      </c>
      <c r="E68" s="14">
        <v>3</v>
      </c>
      <c r="F68" s="14">
        <v>4</v>
      </c>
      <c r="G68" s="14">
        <v>1</v>
      </c>
      <c r="H68" s="14">
        <v>1</v>
      </c>
      <c r="I68" s="14"/>
      <c r="J68" s="14"/>
      <c r="K68" s="14">
        <v>5</v>
      </c>
      <c r="L68" s="14">
        <v>2</v>
      </c>
      <c r="M68" s="14"/>
      <c r="N68" s="14">
        <v>2</v>
      </c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>
        <v>4</v>
      </c>
      <c r="Z68" s="14">
        <v>2</v>
      </c>
      <c r="AA68" s="14">
        <v>1</v>
      </c>
      <c r="AB68" s="14">
        <v>4</v>
      </c>
      <c r="AC68" s="14"/>
      <c r="AD68" s="14"/>
      <c r="AE68" s="14">
        <v>2</v>
      </c>
      <c r="AF68" s="214">
        <v>1</v>
      </c>
      <c r="AG68" s="15">
        <f t="shared" si="2"/>
        <v>43</v>
      </c>
    </row>
    <row r="69" spans="1:33" ht="15.75" customHeight="1" x14ac:dyDescent="0.25">
      <c r="A69" s="12" t="s">
        <v>30</v>
      </c>
      <c r="B69" s="13"/>
      <c r="C69" s="14">
        <v>2</v>
      </c>
      <c r="D69" s="14">
        <v>5</v>
      </c>
      <c r="E69" s="14">
        <v>6</v>
      </c>
      <c r="F69" s="14"/>
      <c r="G69" s="14">
        <v>1</v>
      </c>
      <c r="H69" s="14">
        <v>1</v>
      </c>
      <c r="I69" s="14"/>
      <c r="J69" s="14">
        <v>2</v>
      </c>
      <c r="K69" s="14">
        <v>2</v>
      </c>
      <c r="L69" s="14"/>
      <c r="M69" s="14"/>
      <c r="N69" s="14">
        <v>1</v>
      </c>
      <c r="O69" s="14"/>
      <c r="P69" s="14"/>
      <c r="Q69" s="14">
        <v>4</v>
      </c>
      <c r="R69" s="14"/>
      <c r="S69" s="14">
        <v>1</v>
      </c>
      <c r="T69" s="14"/>
      <c r="U69" s="14">
        <v>1</v>
      </c>
      <c r="V69" s="14">
        <v>1</v>
      </c>
      <c r="W69" s="14"/>
      <c r="X69" s="14"/>
      <c r="Y69" s="14"/>
      <c r="Z69" s="14"/>
      <c r="AA69" s="14"/>
      <c r="AB69" s="14">
        <v>2</v>
      </c>
      <c r="AC69" s="14"/>
      <c r="AD69" s="14"/>
      <c r="AE69" s="14"/>
      <c r="AF69" s="214">
        <v>1</v>
      </c>
      <c r="AG69" s="15">
        <f t="shared" si="2"/>
        <v>30</v>
      </c>
    </row>
    <row r="70" spans="1:33" ht="15.75" customHeight="1" x14ac:dyDescent="0.25">
      <c r="A70" s="12" t="s">
        <v>31</v>
      </c>
      <c r="B70" s="9"/>
      <c r="C70" s="10">
        <v>2</v>
      </c>
      <c r="D70" s="14">
        <v>3</v>
      </c>
      <c r="E70" s="10">
        <v>2</v>
      </c>
      <c r="F70" s="10">
        <v>2</v>
      </c>
      <c r="G70" s="14">
        <v>4</v>
      </c>
      <c r="H70" s="10">
        <v>1</v>
      </c>
      <c r="I70" s="14">
        <v>1</v>
      </c>
      <c r="J70" s="10"/>
      <c r="K70" s="10"/>
      <c r="L70" s="10"/>
      <c r="M70" s="10"/>
      <c r="N70" s="10"/>
      <c r="O70" s="10"/>
      <c r="P70" s="10"/>
      <c r="Q70" s="10">
        <v>2</v>
      </c>
      <c r="R70" s="10"/>
      <c r="S70" s="10"/>
      <c r="T70" s="10"/>
      <c r="U70" s="10">
        <v>1</v>
      </c>
      <c r="V70" s="10"/>
      <c r="W70" s="10">
        <v>2</v>
      </c>
      <c r="X70" s="10"/>
      <c r="Y70" s="10"/>
      <c r="Z70" s="10"/>
      <c r="AA70" s="10">
        <v>1</v>
      </c>
      <c r="AB70" s="10"/>
      <c r="AC70" s="10"/>
      <c r="AD70" s="10"/>
      <c r="AE70" s="10"/>
      <c r="AF70" s="213">
        <v>4</v>
      </c>
      <c r="AG70" s="15">
        <f t="shared" si="2"/>
        <v>25</v>
      </c>
    </row>
    <row r="71" spans="1:33" ht="15.75" customHeight="1" x14ac:dyDescent="0.25">
      <c r="A71" s="12" t="s">
        <v>32</v>
      </c>
      <c r="B71" s="9"/>
      <c r="C71" s="10"/>
      <c r="D71" s="14">
        <v>4</v>
      </c>
      <c r="E71" s="10">
        <v>3</v>
      </c>
      <c r="F71" s="10"/>
      <c r="G71" s="14">
        <v>4</v>
      </c>
      <c r="H71" s="10"/>
      <c r="I71" s="14">
        <v>1</v>
      </c>
      <c r="J71" s="10"/>
      <c r="K71" s="10">
        <v>1</v>
      </c>
      <c r="L71" s="10"/>
      <c r="M71" s="10"/>
      <c r="N71" s="10">
        <v>1</v>
      </c>
      <c r="O71" s="10"/>
      <c r="P71" s="10"/>
      <c r="Q71" s="10">
        <v>1</v>
      </c>
      <c r="R71" s="10"/>
      <c r="S71" s="10">
        <v>1</v>
      </c>
      <c r="T71" s="10"/>
      <c r="U71" s="10"/>
      <c r="V71" s="10"/>
      <c r="W71" s="10">
        <v>1</v>
      </c>
      <c r="X71" s="10"/>
      <c r="Y71" s="10"/>
      <c r="Z71" s="10"/>
      <c r="AA71" s="10">
        <v>3</v>
      </c>
      <c r="AB71" s="10"/>
      <c r="AC71" s="10"/>
      <c r="AD71" s="10"/>
      <c r="AE71" s="10"/>
      <c r="AF71" s="213">
        <v>1</v>
      </c>
      <c r="AG71" s="15">
        <f t="shared" si="2"/>
        <v>21</v>
      </c>
    </row>
    <row r="72" spans="1:33" ht="15.75" customHeight="1" x14ac:dyDescent="0.25">
      <c r="A72" s="12" t="s">
        <v>33</v>
      </c>
      <c r="B72" s="9"/>
      <c r="C72" s="10"/>
      <c r="D72" s="14"/>
      <c r="E72" s="10"/>
      <c r="F72" s="10"/>
      <c r="G72" s="14"/>
      <c r="H72" s="10"/>
      <c r="I72" s="14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>
        <v>2</v>
      </c>
      <c r="X72" s="10"/>
      <c r="Y72" s="10">
        <v>2</v>
      </c>
      <c r="Z72" s="10"/>
      <c r="AA72" s="10"/>
      <c r="AB72" s="10"/>
      <c r="AC72" s="10"/>
      <c r="AD72" s="10"/>
      <c r="AE72" s="10">
        <v>1</v>
      </c>
      <c r="AF72" s="213"/>
      <c r="AG72" s="15">
        <f t="shared" si="2"/>
        <v>5</v>
      </c>
    </row>
    <row r="73" spans="1:33" ht="15.75" customHeight="1" x14ac:dyDescent="0.25">
      <c r="A73" s="12" t="s">
        <v>34</v>
      </c>
      <c r="B73" s="9"/>
      <c r="C73" s="10"/>
      <c r="D73" s="14"/>
      <c r="E73" s="10"/>
      <c r="F73" s="10">
        <v>1</v>
      </c>
      <c r="G73" s="14"/>
      <c r="H73" s="10"/>
      <c r="I73" s="14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213">
        <v>1</v>
      </c>
      <c r="AG73" s="15">
        <f t="shared" si="2"/>
        <v>2</v>
      </c>
    </row>
    <row r="74" spans="1:33" ht="15.75" customHeight="1" x14ac:dyDescent="0.25">
      <c r="A74" s="12" t="s">
        <v>35</v>
      </c>
      <c r="B74" s="9"/>
      <c r="C74" s="10"/>
      <c r="D74" s="14"/>
      <c r="E74" s="10"/>
      <c r="F74" s="10"/>
      <c r="G74" s="14"/>
      <c r="H74" s="10"/>
      <c r="I74" s="14"/>
      <c r="J74" s="10"/>
      <c r="K74" s="10"/>
      <c r="L74" s="10"/>
      <c r="M74" s="10"/>
      <c r="N74" s="10">
        <v>1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213"/>
      <c r="AG74" s="15">
        <f t="shared" si="2"/>
        <v>1</v>
      </c>
    </row>
    <row r="75" spans="1:33" ht="15.75" customHeight="1" x14ac:dyDescent="0.25">
      <c r="A75" s="12" t="s">
        <v>36</v>
      </c>
      <c r="B75" s="9"/>
      <c r="C75" s="10"/>
      <c r="D75" s="14"/>
      <c r="E75" s="10"/>
      <c r="F75" s="10"/>
      <c r="G75" s="14"/>
      <c r="H75" s="10"/>
      <c r="I75" s="14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213"/>
      <c r="AG75" s="15">
        <f t="shared" si="2"/>
        <v>0</v>
      </c>
    </row>
    <row r="76" spans="1:33" ht="15.75" customHeight="1" x14ac:dyDescent="0.25">
      <c r="A76" s="12" t="s">
        <v>37</v>
      </c>
      <c r="B76" s="9"/>
      <c r="C76" s="10"/>
      <c r="D76" s="14"/>
      <c r="E76" s="10"/>
      <c r="F76" s="10"/>
      <c r="G76" s="14"/>
      <c r="H76" s="10"/>
      <c r="I76" s="14"/>
      <c r="J76" s="10"/>
      <c r="K76" s="10"/>
      <c r="L76" s="10"/>
      <c r="M76" s="10"/>
      <c r="N76" s="10"/>
      <c r="O76" s="10"/>
      <c r="P76" s="10"/>
      <c r="Q76" s="10"/>
      <c r="R76" s="10"/>
      <c r="S76" s="10">
        <v>1</v>
      </c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213"/>
      <c r="AG76" s="15">
        <f t="shared" si="2"/>
        <v>1</v>
      </c>
    </row>
    <row r="77" spans="1:33" ht="15.75" customHeight="1" x14ac:dyDescent="0.25">
      <c r="A77" s="28" t="s">
        <v>38</v>
      </c>
      <c r="B77" s="29"/>
      <c r="C77" s="30"/>
      <c r="D77" s="25"/>
      <c r="E77" s="30"/>
      <c r="F77" s="30">
        <v>2</v>
      </c>
      <c r="G77" s="25"/>
      <c r="H77" s="30"/>
      <c r="I77" s="25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217"/>
      <c r="AG77" s="26">
        <f t="shared" si="2"/>
        <v>2</v>
      </c>
    </row>
    <row r="78" spans="1:33" ht="19.5" customHeight="1" x14ac:dyDescent="0.25">
      <c r="A78" s="31" t="s">
        <v>41</v>
      </c>
      <c r="B78" s="32">
        <f t="shared" ref="B78:U78" si="5">SUM(B79:B80)</f>
        <v>210</v>
      </c>
      <c r="C78" s="33">
        <f t="shared" si="5"/>
        <v>253</v>
      </c>
      <c r="D78" s="33">
        <f t="shared" si="5"/>
        <v>303</v>
      </c>
      <c r="E78" s="34">
        <f t="shared" si="5"/>
        <v>249</v>
      </c>
      <c r="F78" s="34">
        <f t="shared" si="5"/>
        <v>263</v>
      </c>
      <c r="G78" s="34">
        <f t="shared" si="5"/>
        <v>246</v>
      </c>
      <c r="H78" s="34">
        <f t="shared" si="5"/>
        <v>250</v>
      </c>
      <c r="I78" s="34">
        <f t="shared" si="5"/>
        <v>207</v>
      </c>
      <c r="J78" s="34">
        <f t="shared" si="5"/>
        <v>238</v>
      </c>
      <c r="K78" s="34">
        <f t="shared" si="5"/>
        <v>240</v>
      </c>
      <c r="L78" s="34">
        <f t="shared" si="5"/>
        <v>255</v>
      </c>
      <c r="M78" s="34">
        <f t="shared" si="5"/>
        <v>217</v>
      </c>
      <c r="N78" s="34">
        <f t="shared" si="5"/>
        <v>222</v>
      </c>
      <c r="O78" s="34">
        <f t="shared" si="5"/>
        <v>228</v>
      </c>
      <c r="P78" s="34">
        <f t="shared" si="5"/>
        <v>194</v>
      </c>
      <c r="Q78" s="34">
        <f t="shared" si="5"/>
        <v>286</v>
      </c>
      <c r="R78" s="34">
        <f t="shared" si="5"/>
        <v>249</v>
      </c>
      <c r="S78" s="34">
        <f t="shared" si="5"/>
        <v>240</v>
      </c>
      <c r="T78" s="34">
        <f t="shared" si="5"/>
        <v>243</v>
      </c>
      <c r="U78" s="34">
        <f t="shared" si="5"/>
        <v>218</v>
      </c>
      <c r="V78" s="34">
        <v>218</v>
      </c>
      <c r="W78" s="34">
        <v>218</v>
      </c>
      <c r="X78" s="34">
        <f t="shared" ref="X78:AF78" si="6">SUM(X79:X80)</f>
        <v>234</v>
      </c>
      <c r="Y78" s="34">
        <f t="shared" si="6"/>
        <v>220</v>
      </c>
      <c r="Z78" s="34">
        <f t="shared" si="6"/>
        <v>237</v>
      </c>
      <c r="AA78" s="34">
        <f t="shared" si="6"/>
        <v>222</v>
      </c>
      <c r="AB78" s="34">
        <f t="shared" si="6"/>
        <v>198</v>
      </c>
      <c r="AC78" s="34">
        <f t="shared" si="6"/>
        <v>0</v>
      </c>
      <c r="AD78" s="34">
        <f t="shared" si="6"/>
        <v>0</v>
      </c>
      <c r="AE78" s="34">
        <f t="shared" si="6"/>
        <v>236</v>
      </c>
      <c r="AF78" s="218">
        <f t="shared" si="6"/>
        <v>224</v>
      </c>
      <c r="AG78" s="27">
        <f t="shared" si="2"/>
        <v>6818</v>
      </c>
    </row>
    <row r="79" spans="1:33" ht="19.5" customHeight="1" x14ac:dyDescent="0.25">
      <c r="A79" s="35" t="s">
        <v>42</v>
      </c>
      <c r="B79" s="9">
        <f t="shared" ref="B79:U79" si="7">SUM(B4:B27)-B80</f>
        <v>210</v>
      </c>
      <c r="C79" s="10">
        <f t="shared" si="7"/>
        <v>253</v>
      </c>
      <c r="D79" s="10">
        <f t="shared" si="7"/>
        <v>303</v>
      </c>
      <c r="E79" s="10">
        <f t="shared" si="7"/>
        <v>249</v>
      </c>
      <c r="F79" s="10">
        <f t="shared" si="7"/>
        <v>130</v>
      </c>
      <c r="G79" s="10">
        <f t="shared" si="7"/>
        <v>121</v>
      </c>
      <c r="H79" s="10">
        <f t="shared" si="7"/>
        <v>101</v>
      </c>
      <c r="I79" s="10">
        <f t="shared" si="7"/>
        <v>207</v>
      </c>
      <c r="J79" s="10">
        <f t="shared" si="7"/>
        <v>238</v>
      </c>
      <c r="K79" s="10">
        <f t="shared" si="7"/>
        <v>240</v>
      </c>
      <c r="L79" s="10">
        <f t="shared" si="7"/>
        <v>255</v>
      </c>
      <c r="M79" s="10">
        <f t="shared" si="7"/>
        <v>113</v>
      </c>
      <c r="N79" s="10">
        <f t="shared" si="7"/>
        <v>105</v>
      </c>
      <c r="O79" s="10">
        <f t="shared" si="7"/>
        <v>103</v>
      </c>
      <c r="P79" s="10">
        <f t="shared" si="7"/>
        <v>194</v>
      </c>
      <c r="Q79" s="10">
        <f t="shared" si="7"/>
        <v>286</v>
      </c>
      <c r="R79" s="10">
        <f t="shared" si="7"/>
        <v>126</v>
      </c>
      <c r="S79" s="10">
        <f t="shared" si="7"/>
        <v>116</v>
      </c>
      <c r="T79" s="10">
        <f t="shared" si="7"/>
        <v>130</v>
      </c>
      <c r="U79" s="10">
        <f t="shared" si="7"/>
        <v>104</v>
      </c>
      <c r="V79" s="10">
        <v>104</v>
      </c>
      <c r="W79" s="10">
        <v>104</v>
      </c>
      <c r="X79" s="10">
        <f>SUM(X4:X27)-X80</f>
        <v>234</v>
      </c>
      <c r="Y79" s="10">
        <f>SUM(Y4:Y27)-Y80</f>
        <v>119</v>
      </c>
      <c r="Z79" s="10">
        <f>SUM(Z4:Z27)-Z80</f>
        <v>237</v>
      </c>
      <c r="AA79" s="10">
        <f>SUM(AA4:AA27)-AA80</f>
        <v>122</v>
      </c>
      <c r="AB79" s="10">
        <f>SUM(AB4:AB27)-AB80</f>
        <v>94</v>
      </c>
      <c r="AC79" s="10"/>
      <c r="AD79" s="10">
        <f>SUM(AD4:AD27)-AD80</f>
        <v>0</v>
      </c>
      <c r="AE79" s="10">
        <f>SUM(AE4:AE27)-AE80</f>
        <v>236</v>
      </c>
      <c r="AF79" s="10">
        <f>SUM(AF4:AF27)-AF80</f>
        <v>118</v>
      </c>
      <c r="AG79" s="11">
        <f t="shared" si="2"/>
        <v>4952</v>
      </c>
    </row>
    <row r="80" spans="1:33" ht="19.5" customHeight="1" x14ac:dyDescent="0.25">
      <c r="A80" s="36" t="s">
        <v>43</v>
      </c>
      <c r="B80" s="37"/>
      <c r="C80" s="38"/>
      <c r="D80" s="25">
        <v>0</v>
      </c>
      <c r="E80" s="25">
        <v>0</v>
      </c>
      <c r="F80" s="25">
        <f>SUM(F4:F12)</f>
        <v>133</v>
      </c>
      <c r="G80" s="25">
        <f>SUM(G4:G12)</f>
        <v>125</v>
      </c>
      <c r="H80" s="25">
        <f>SUM(H4:H12)</f>
        <v>149</v>
      </c>
      <c r="I80" s="38"/>
      <c r="J80" s="38"/>
      <c r="K80" s="25">
        <v>0</v>
      </c>
      <c r="L80" s="25">
        <v>0</v>
      </c>
      <c r="M80" s="25">
        <f>SUM(M4:M12)</f>
        <v>104</v>
      </c>
      <c r="N80" s="25">
        <f>SUM(N4:N12)</f>
        <v>117</v>
      </c>
      <c r="O80" s="25">
        <f>SUM(O4:O12)</f>
        <v>125</v>
      </c>
      <c r="P80" s="38"/>
      <c r="Q80" s="38"/>
      <c r="R80" s="25">
        <f>SUM(R4:R12)</f>
        <v>123</v>
      </c>
      <c r="S80" s="25">
        <f>SUM(S4:S12)</f>
        <v>124</v>
      </c>
      <c r="T80" s="25">
        <f>SUM(T4:T12)</f>
        <v>113</v>
      </c>
      <c r="U80" s="25">
        <f>SUM(U4:U12)</f>
        <v>114</v>
      </c>
      <c r="V80" s="25">
        <v>114</v>
      </c>
      <c r="W80" s="38">
        <v>114</v>
      </c>
      <c r="X80" s="38"/>
      <c r="Y80" s="25">
        <f>SUM(Y4:Y12)</f>
        <v>101</v>
      </c>
      <c r="Z80" s="38"/>
      <c r="AA80" s="25">
        <f>SUM(AA4:AA12)</f>
        <v>100</v>
      </c>
      <c r="AB80" s="25">
        <f>SUM(AB4:AB12)</f>
        <v>104</v>
      </c>
      <c r="AC80" s="25"/>
      <c r="AD80" s="38"/>
      <c r="AE80" s="38"/>
      <c r="AF80" s="25">
        <f>SUM(AF4:AF12)</f>
        <v>106</v>
      </c>
      <c r="AG80" s="26">
        <f t="shared" si="2"/>
        <v>1866</v>
      </c>
    </row>
    <row r="81" spans="1:35" ht="15.75" customHeight="1" x14ac:dyDescent="0.25">
      <c r="A81" s="31" t="s">
        <v>44</v>
      </c>
      <c r="B81" s="39">
        <f t="shared" ref="B81:U81" si="8">SUM(B82:B83)</f>
        <v>8</v>
      </c>
      <c r="C81" s="34">
        <f t="shared" si="8"/>
        <v>16</v>
      </c>
      <c r="D81" s="34">
        <f t="shared" si="8"/>
        <v>49</v>
      </c>
      <c r="E81" s="34">
        <f t="shared" si="8"/>
        <v>34</v>
      </c>
      <c r="F81" s="34">
        <f t="shared" si="8"/>
        <v>39</v>
      </c>
      <c r="G81" s="34">
        <f t="shared" si="8"/>
        <v>36</v>
      </c>
      <c r="H81" s="34">
        <f t="shared" si="8"/>
        <v>12</v>
      </c>
      <c r="I81" s="34">
        <f t="shared" si="8"/>
        <v>5</v>
      </c>
      <c r="J81" s="34">
        <f t="shared" si="8"/>
        <v>20</v>
      </c>
      <c r="K81" s="34">
        <f t="shared" si="8"/>
        <v>18</v>
      </c>
      <c r="L81" s="34">
        <f t="shared" si="8"/>
        <v>22</v>
      </c>
      <c r="M81" s="34">
        <f t="shared" si="8"/>
        <v>10</v>
      </c>
      <c r="N81" s="34">
        <f t="shared" si="8"/>
        <v>24</v>
      </c>
      <c r="O81" s="34">
        <f t="shared" si="8"/>
        <v>7</v>
      </c>
      <c r="P81" s="34">
        <f t="shared" si="8"/>
        <v>1</v>
      </c>
      <c r="Q81" s="34">
        <f t="shared" si="8"/>
        <v>35</v>
      </c>
      <c r="R81" s="34">
        <f t="shared" si="8"/>
        <v>15</v>
      </c>
      <c r="S81" s="34">
        <f t="shared" si="8"/>
        <v>19</v>
      </c>
      <c r="T81" s="34">
        <f t="shared" si="8"/>
        <v>31</v>
      </c>
      <c r="U81" s="34">
        <f t="shared" si="8"/>
        <v>21</v>
      </c>
      <c r="V81" s="34">
        <v>2</v>
      </c>
      <c r="W81" s="34">
        <f t="shared" ref="W81:AF81" si="9">SUM(W82:W83)</f>
        <v>15</v>
      </c>
      <c r="X81" s="34">
        <f t="shared" si="9"/>
        <v>17</v>
      </c>
      <c r="Y81" s="34">
        <f t="shared" si="9"/>
        <v>27</v>
      </c>
      <c r="Z81" s="34">
        <f t="shared" si="9"/>
        <v>10</v>
      </c>
      <c r="AA81" s="34">
        <f t="shared" si="9"/>
        <v>12</v>
      </c>
      <c r="AB81" s="34">
        <f t="shared" si="9"/>
        <v>21</v>
      </c>
      <c r="AC81" s="34">
        <f t="shared" si="9"/>
        <v>0</v>
      </c>
      <c r="AD81" s="34">
        <f t="shared" si="9"/>
        <v>0</v>
      </c>
      <c r="AE81" s="34">
        <f t="shared" si="9"/>
        <v>21</v>
      </c>
      <c r="AF81" s="34">
        <f t="shared" si="9"/>
        <v>29</v>
      </c>
      <c r="AG81" s="27">
        <f t="shared" si="2"/>
        <v>576</v>
      </c>
      <c r="AH81" s="40" t="str">
        <f>IF(AG81&lt;&gt;AG53,"*","")</f>
        <v/>
      </c>
    </row>
    <row r="82" spans="1:35" ht="15.75" customHeight="1" x14ac:dyDescent="0.25">
      <c r="A82" s="35" t="s">
        <v>43</v>
      </c>
      <c r="B82" s="9">
        <f t="shared" ref="B82:U82" si="10">SUM(B54:B62)</f>
        <v>6</v>
      </c>
      <c r="C82" s="10">
        <f t="shared" si="10"/>
        <v>4</v>
      </c>
      <c r="D82" s="10">
        <f t="shared" si="10"/>
        <v>10</v>
      </c>
      <c r="E82" s="10">
        <f t="shared" si="10"/>
        <v>12</v>
      </c>
      <c r="F82" s="10">
        <f t="shared" si="10"/>
        <v>14</v>
      </c>
      <c r="G82" s="10">
        <f t="shared" si="10"/>
        <v>6</v>
      </c>
      <c r="H82" s="10">
        <f t="shared" si="10"/>
        <v>3</v>
      </c>
      <c r="I82" s="10">
        <f t="shared" si="10"/>
        <v>2</v>
      </c>
      <c r="J82" s="10">
        <f t="shared" si="10"/>
        <v>9</v>
      </c>
      <c r="K82" s="10">
        <f t="shared" si="10"/>
        <v>7</v>
      </c>
      <c r="L82" s="10">
        <f t="shared" si="10"/>
        <v>3</v>
      </c>
      <c r="M82" s="10">
        <f t="shared" si="10"/>
        <v>4</v>
      </c>
      <c r="N82" s="10">
        <f t="shared" si="10"/>
        <v>7</v>
      </c>
      <c r="O82" s="10">
        <f t="shared" si="10"/>
        <v>4</v>
      </c>
      <c r="P82" s="10">
        <f t="shared" si="10"/>
        <v>1</v>
      </c>
      <c r="Q82" s="10">
        <f t="shared" si="10"/>
        <v>11</v>
      </c>
      <c r="R82" s="10">
        <f t="shared" si="10"/>
        <v>9</v>
      </c>
      <c r="S82" s="10">
        <f t="shared" si="10"/>
        <v>9</v>
      </c>
      <c r="T82" s="10">
        <f t="shared" si="10"/>
        <v>9</v>
      </c>
      <c r="U82" s="10">
        <f t="shared" si="10"/>
        <v>15</v>
      </c>
      <c r="V82" s="10">
        <v>1</v>
      </c>
      <c r="W82" s="10">
        <f t="shared" ref="W82:AB82" si="11">SUM(W54:W62)</f>
        <v>4</v>
      </c>
      <c r="X82" s="10">
        <f t="shared" si="11"/>
        <v>7</v>
      </c>
      <c r="Y82" s="10">
        <f t="shared" si="11"/>
        <v>8</v>
      </c>
      <c r="Z82" s="10">
        <f t="shared" si="11"/>
        <v>3</v>
      </c>
      <c r="AA82" s="10">
        <f t="shared" si="11"/>
        <v>2</v>
      </c>
      <c r="AB82" s="10">
        <f t="shared" si="11"/>
        <v>6</v>
      </c>
      <c r="AC82" s="10"/>
      <c r="AD82" s="10">
        <f>SUM(AD54:AD62)</f>
        <v>0</v>
      </c>
      <c r="AE82" s="10">
        <f>SUM(AE54:AE62)</f>
        <v>10</v>
      </c>
      <c r="AF82" s="10">
        <f>SUM(AF54:AF62)</f>
        <v>10</v>
      </c>
      <c r="AG82" s="11">
        <f t="shared" si="2"/>
        <v>196</v>
      </c>
    </row>
    <row r="83" spans="1:35" ht="15.75" customHeight="1" x14ac:dyDescent="0.25">
      <c r="A83" s="36" t="s">
        <v>42</v>
      </c>
      <c r="B83" s="24">
        <f t="shared" ref="B83:U83" si="12">SUM(B54:B77)-B82</f>
        <v>2</v>
      </c>
      <c r="C83" s="25">
        <f t="shared" si="12"/>
        <v>12</v>
      </c>
      <c r="D83" s="25">
        <f t="shared" si="12"/>
        <v>39</v>
      </c>
      <c r="E83" s="25">
        <f t="shared" si="12"/>
        <v>22</v>
      </c>
      <c r="F83" s="25">
        <f t="shared" si="12"/>
        <v>25</v>
      </c>
      <c r="G83" s="25">
        <f t="shared" si="12"/>
        <v>30</v>
      </c>
      <c r="H83" s="25">
        <f t="shared" si="12"/>
        <v>9</v>
      </c>
      <c r="I83" s="25">
        <f t="shared" si="12"/>
        <v>3</v>
      </c>
      <c r="J83" s="25">
        <f t="shared" si="12"/>
        <v>11</v>
      </c>
      <c r="K83" s="25">
        <f t="shared" si="12"/>
        <v>11</v>
      </c>
      <c r="L83" s="25">
        <f t="shared" si="12"/>
        <v>19</v>
      </c>
      <c r="M83" s="25">
        <f t="shared" si="12"/>
        <v>6</v>
      </c>
      <c r="N83" s="25">
        <f t="shared" si="12"/>
        <v>17</v>
      </c>
      <c r="O83" s="25">
        <f t="shared" si="12"/>
        <v>3</v>
      </c>
      <c r="P83" s="25">
        <f t="shared" si="12"/>
        <v>0</v>
      </c>
      <c r="Q83" s="25">
        <f t="shared" si="12"/>
        <v>24</v>
      </c>
      <c r="R83" s="25">
        <f t="shared" si="12"/>
        <v>6</v>
      </c>
      <c r="S83" s="25">
        <f t="shared" si="12"/>
        <v>10</v>
      </c>
      <c r="T83" s="25">
        <f t="shared" si="12"/>
        <v>22</v>
      </c>
      <c r="U83" s="25">
        <f t="shared" si="12"/>
        <v>6</v>
      </c>
      <c r="V83" s="25">
        <v>1</v>
      </c>
      <c r="W83" s="25">
        <f t="shared" ref="W83:AB83" si="13">SUM(W54:W77)-W82</f>
        <v>11</v>
      </c>
      <c r="X83" s="25">
        <f t="shared" si="13"/>
        <v>10</v>
      </c>
      <c r="Y83" s="25">
        <f t="shared" si="13"/>
        <v>19</v>
      </c>
      <c r="Z83" s="25">
        <f t="shared" si="13"/>
        <v>7</v>
      </c>
      <c r="AA83" s="25">
        <f t="shared" si="13"/>
        <v>10</v>
      </c>
      <c r="AB83" s="25">
        <f t="shared" si="13"/>
        <v>15</v>
      </c>
      <c r="AC83" s="25"/>
      <c r="AD83" s="25">
        <f>SUM(AD54:AD77)-AD82</f>
        <v>0</v>
      </c>
      <c r="AE83" s="25">
        <f>SUM(AE54:AE77)-AE82</f>
        <v>11</v>
      </c>
      <c r="AF83" s="25">
        <f>SUM(AF54:AF77)-AF82</f>
        <v>19</v>
      </c>
      <c r="AG83" s="15">
        <f t="shared" si="2"/>
        <v>380</v>
      </c>
    </row>
    <row r="84" spans="1:35" ht="15.75" customHeight="1" x14ac:dyDescent="0.25">
      <c r="A84" s="41" t="s">
        <v>45</v>
      </c>
      <c r="B84" s="42">
        <f t="shared" ref="B84:U84" si="14">SUM(B85:B86)</f>
        <v>8</v>
      </c>
      <c r="C84" s="43">
        <f t="shared" si="14"/>
        <v>16</v>
      </c>
      <c r="D84" s="43">
        <f t="shared" si="14"/>
        <v>49</v>
      </c>
      <c r="E84" s="43">
        <f t="shared" si="14"/>
        <v>34</v>
      </c>
      <c r="F84" s="43">
        <f t="shared" si="14"/>
        <v>39</v>
      </c>
      <c r="G84" s="43">
        <f t="shared" si="14"/>
        <v>36</v>
      </c>
      <c r="H84" s="43">
        <f t="shared" si="14"/>
        <v>12</v>
      </c>
      <c r="I84" s="43">
        <f t="shared" si="14"/>
        <v>5</v>
      </c>
      <c r="J84" s="43">
        <f t="shared" si="14"/>
        <v>20</v>
      </c>
      <c r="K84" s="43">
        <f t="shared" si="14"/>
        <v>18</v>
      </c>
      <c r="L84" s="43">
        <f t="shared" si="14"/>
        <v>22</v>
      </c>
      <c r="M84" s="43">
        <f t="shared" si="14"/>
        <v>10</v>
      </c>
      <c r="N84" s="43">
        <f t="shared" si="14"/>
        <v>24</v>
      </c>
      <c r="O84" s="43">
        <f t="shared" si="14"/>
        <v>7</v>
      </c>
      <c r="P84" s="43">
        <f t="shared" si="14"/>
        <v>1</v>
      </c>
      <c r="Q84" s="43">
        <f t="shared" si="14"/>
        <v>35</v>
      </c>
      <c r="R84" s="43">
        <f t="shared" si="14"/>
        <v>15</v>
      </c>
      <c r="S84" s="43">
        <f t="shared" si="14"/>
        <v>19</v>
      </c>
      <c r="T84" s="43">
        <f t="shared" si="14"/>
        <v>31</v>
      </c>
      <c r="U84" s="43">
        <f t="shared" si="14"/>
        <v>21</v>
      </c>
      <c r="V84" s="43">
        <v>2</v>
      </c>
      <c r="W84" s="43">
        <f t="shared" ref="W84:AF84" si="15">SUM(W85:W86)</f>
        <v>15</v>
      </c>
      <c r="X84" s="43">
        <f t="shared" si="15"/>
        <v>17</v>
      </c>
      <c r="Y84" s="43">
        <f t="shared" si="15"/>
        <v>27</v>
      </c>
      <c r="Z84" s="43">
        <f t="shared" si="15"/>
        <v>10</v>
      </c>
      <c r="AA84" s="43">
        <f t="shared" si="15"/>
        <v>12</v>
      </c>
      <c r="AB84" s="43">
        <f t="shared" si="15"/>
        <v>21</v>
      </c>
      <c r="AC84" s="43">
        <f t="shared" si="15"/>
        <v>0</v>
      </c>
      <c r="AD84" s="43">
        <f t="shared" si="15"/>
        <v>0</v>
      </c>
      <c r="AE84" s="43">
        <f t="shared" si="15"/>
        <v>21</v>
      </c>
      <c r="AF84" s="43">
        <f t="shared" si="15"/>
        <v>29</v>
      </c>
      <c r="AG84" s="44">
        <f t="shared" si="2"/>
        <v>576</v>
      </c>
      <c r="AH84" s="40" t="str">
        <f>IF(AG84&lt;&gt;AG82+AG83,"*","")</f>
        <v/>
      </c>
      <c r="AI84" s="361" t="s">
        <v>46</v>
      </c>
    </row>
    <row r="85" spans="1:35" ht="15.75" customHeight="1" x14ac:dyDescent="0.25">
      <c r="A85" s="45" t="s">
        <v>47</v>
      </c>
      <c r="B85" s="46">
        <v>3</v>
      </c>
      <c r="C85" s="47">
        <v>4</v>
      </c>
      <c r="D85" s="47">
        <v>9</v>
      </c>
      <c r="E85" s="47">
        <v>7</v>
      </c>
      <c r="F85" s="47">
        <v>10</v>
      </c>
      <c r="G85" s="47">
        <v>8</v>
      </c>
      <c r="H85" s="47">
        <v>3</v>
      </c>
      <c r="I85" s="47">
        <v>3</v>
      </c>
      <c r="J85" s="47">
        <v>3</v>
      </c>
      <c r="K85" s="47">
        <v>3</v>
      </c>
      <c r="L85" s="47">
        <v>4</v>
      </c>
      <c r="M85" s="47">
        <v>3</v>
      </c>
      <c r="N85" s="47">
        <v>1</v>
      </c>
      <c r="O85" s="47">
        <v>1</v>
      </c>
      <c r="P85" s="47">
        <v>0</v>
      </c>
      <c r="Q85" s="47">
        <v>7</v>
      </c>
      <c r="R85" s="47">
        <v>4</v>
      </c>
      <c r="S85" s="47">
        <v>0</v>
      </c>
      <c r="T85" s="47">
        <v>7</v>
      </c>
      <c r="U85" s="47">
        <v>3</v>
      </c>
      <c r="V85" s="47">
        <v>0</v>
      </c>
      <c r="W85" s="47">
        <v>4</v>
      </c>
      <c r="X85" s="47">
        <v>2</v>
      </c>
      <c r="Y85" s="47">
        <v>4</v>
      </c>
      <c r="Z85" s="47">
        <v>0</v>
      </c>
      <c r="AA85" s="47">
        <v>2</v>
      </c>
      <c r="AB85" s="47">
        <v>3</v>
      </c>
      <c r="AC85" s="47"/>
      <c r="AD85" s="47"/>
      <c r="AE85" s="47">
        <v>1</v>
      </c>
      <c r="AF85" s="219">
        <v>3</v>
      </c>
      <c r="AG85" s="48">
        <f t="shared" si="2"/>
        <v>102</v>
      </c>
      <c r="AI85" s="362"/>
    </row>
    <row r="86" spans="1:35" ht="15.75" customHeight="1" x14ac:dyDescent="0.25">
      <c r="A86" s="49" t="s">
        <v>48</v>
      </c>
      <c r="B86" s="50">
        <v>5</v>
      </c>
      <c r="C86" s="51">
        <v>12</v>
      </c>
      <c r="D86" s="51">
        <v>40</v>
      </c>
      <c r="E86" s="51">
        <v>27</v>
      </c>
      <c r="F86" s="51">
        <v>29</v>
      </c>
      <c r="G86" s="51">
        <v>28</v>
      </c>
      <c r="H86" s="51">
        <v>9</v>
      </c>
      <c r="I86" s="51">
        <v>2</v>
      </c>
      <c r="J86" s="51">
        <v>17</v>
      </c>
      <c r="K86" s="51">
        <v>15</v>
      </c>
      <c r="L86" s="51">
        <v>18</v>
      </c>
      <c r="M86" s="51">
        <v>7</v>
      </c>
      <c r="N86" s="51">
        <v>23</v>
      </c>
      <c r="O86" s="51">
        <v>6</v>
      </c>
      <c r="P86" s="51">
        <v>1</v>
      </c>
      <c r="Q86" s="51">
        <v>28</v>
      </c>
      <c r="R86" s="51">
        <v>11</v>
      </c>
      <c r="S86" s="51">
        <v>19</v>
      </c>
      <c r="T86" s="51">
        <v>24</v>
      </c>
      <c r="U86" s="51">
        <v>18</v>
      </c>
      <c r="V86" s="51">
        <v>2</v>
      </c>
      <c r="W86" s="51">
        <v>11</v>
      </c>
      <c r="X86" s="51">
        <v>15</v>
      </c>
      <c r="Y86" s="51">
        <v>23</v>
      </c>
      <c r="Z86" s="51">
        <v>10</v>
      </c>
      <c r="AA86" s="51">
        <v>10</v>
      </c>
      <c r="AB86" s="51">
        <v>18</v>
      </c>
      <c r="AC86" s="51"/>
      <c r="AD86" s="51"/>
      <c r="AE86" s="51">
        <v>20</v>
      </c>
      <c r="AF86" s="220">
        <v>26</v>
      </c>
      <c r="AG86" s="52">
        <f t="shared" si="2"/>
        <v>474</v>
      </c>
      <c r="AI86" s="363"/>
    </row>
    <row r="87" spans="1:35" ht="15.75" customHeight="1" x14ac:dyDescent="0.25">
      <c r="A87" s="53" t="s">
        <v>49</v>
      </c>
      <c r="B87" s="54">
        <f t="shared" ref="B87:AF87" si="16">SUM(B88:B92)</f>
        <v>8</v>
      </c>
      <c r="C87" s="55">
        <f t="shared" si="16"/>
        <v>16</v>
      </c>
      <c r="D87" s="55">
        <f t="shared" si="16"/>
        <v>49</v>
      </c>
      <c r="E87" s="55">
        <f t="shared" si="16"/>
        <v>34</v>
      </c>
      <c r="F87" s="55">
        <f t="shared" si="16"/>
        <v>39</v>
      </c>
      <c r="G87" s="55">
        <f t="shared" si="16"/>
        <v>36</v>
      </c>
      <c r="H87" s="55">
        <f t="shared" si="16"/>
        <v>12</v>
      </c>
      <c r="I87" s="55">
        <f t="shared" si="16"/>
        <v>5</v>
      </c>
      <c r="J87" s="55">
        <f t="shared" si="16"/>
        <v>20</v>
      </c>
      <c r="K87" s="55">
        <f t="shared" si="16"/>
        <v>18</v>
      </c>
      <c r="L87" s="55">
        <f t="shared" si="16"/>
        <v>22</v>
      </c>
      <c r="M87" s="55">
        <f t="shared" si="16"/>
        <v>10</v>
      </c>
      <c r="N87" s="55">
        <f t="shared" si="16"/>
        <v>24</v>
      </c>
      <c r="O87" s="55">
        <f t="shared" si="16"/>
        <v>7</v>
      </c>
      <c r="P87" s="55">
        <f t="shared" si="16"/>
        <v>1</v>
      </c>
      <c r="Q87" s="55">
        <f t="shared" si="16"/>
        <v>35</v>
      </c>
      <c r="R87" s="55">
        <f t="shared" si="16"/>
        <v>15</v>
      </c>
      <c r="S87" s="55">
        <f t="shared" si="16"/>
        <v>19</v>
      </c>
      <c r="T87" s="55">
        <f t="shared" si="16"/>
        <v>31</v>
      </c>
      <c r="U87" s="55">
        <f t="shared" si="16"/>
        <v>21</v>
      </c>
      <c r="V87" s="55">
        <f t="shared" si="16"/>
        <v>2</v>
      </c>
      <c r="W87" s="55">
        <f t="shared" si="16"/>
        <v>15</v>
      </c>
      <c r="X87" s="55">
        <f t="shared" si="16"/>
        <v>17</v>
      </c>
      <c r="Y87" s="55">
        <f t="shared" si="16"/>
        <v>27</v>
      </c>
      <c r="Z87" s="55">
        <f t="shared" si="16"/>
        <v>10</v>
      </c>
      <c r="AA87" s="55">
        <f t="shared" si="16"/>
        <v>12</v>
      </c>
      <c r="AB87" s="55">
        <f t="shared" si="16"/>
        <v>21</v>
      </c>
      <c r="AC87" s="55">
        <f t="shared" si="16"/>
        <v>0</v>
      </c>
      <c r="AD87" s="55">
        <f t="shared" si="16"/>
        <v>0</v>
      </c>
      <c r="AE87" s="55">
        <f t="shared" si="16"/>
        <v>21</v>
      </c>
      <c r="AF87" s="55">
        <f t="shared" si="16"/>
        <v>29</v>
      </c>
      <c r="AG87" s="56">
        <f t="shared" si="2"/>
        <v>576</v>
      </c>
      <c r="AH87" s="57" t="str">
        <f>IF(AG87&lt;&gt;AG84,"*","")</f>
        <v/>
      </c>
    </row>
    <row r="88" spans="1:35" ht="15.75" customHeight="1" x14ac:dyDescent="0.25">
      <c r="A88" s="58" t="s">
        <v>50</v>
      </c>
      <c r="B88" s="29">
        <v>4</v>
      </c>
      <c r="C88" s="30">
        <v>9</v>
      </c>
      <c r="D88" s="30">
        <v>7</v>
      </c>
      <c r="E88" s="30">
        <v>5</v>
      </c>
      <c r="F88" s="30">
        <v>14</v>
      </c>
      <c r="G88" s="30">
        <v>5</v>
      </c>
      <c r="H88" s="30">
        <v>2</v>
      </c>
      <c r="I88" s="30">
        <v>2</v>
      </c>
      <c r="J88" s="30">
        <v>12</v>
      </c>
      <c r="K88" s="30">
        <v>5</v>
      </c>
      <c r="L88" s="30">
        <v>4</v>
      </c>
      <c r="M88" s="30">
        <v>1</v>
      </c>
      <c r="N88" s="30">
        <v>10</v>
      </c>
      <c r="O88" s="30">
        <v>4</v>
      </c>
      <c r="P88" s="30"/>
      <c r="Q88" s="30">
        <v>5</v>
      </c>
      <c r="R88" s="30">
        <v>6</v>
      </c>
      <c r="S88" s="30">
        <v>6</v>
      </c>
      <c r="T88" s="30">
        <v>12</v>
      </c>
      <c r="U88" s="30">
        <v>7</v>
      </c>
      <c r="V88" s="30">
        <v>1</v>
      </c>
      <c r="W88" s="30">
        <v>2</v>
      </c>
      <c r="X88" s="30">
        <v>7</v>
      </c>
      <c r="Y88" s="30">
        <v>7</v>
      </c>
      <c r="Z88" s="30">
        <v>2</v>
      </c>
      <c r="AA88" s="30">
        <v>5</v>
      </c>
      <c r="AB88" s="30">
        <v>5</v>
      </c>
      <c r="AC88" s="30"/>
      <c r="AD88" s="30"/>
      <c r="AE88" s="30">
        <v>4</v>
      </c>
      <c r="AF88" s="217">
        <v>11</v>
      </c>
      <c r="AG88" s="11">
        <f t="shared" si="2"/>
        <v>164</v>
      </c>
    </row>
    <row r="89" spans="1:35" ht="15.75" customHeight="1" x14ac:dyDescent="0.25">
      <c r="A89" s="59" t="s">
        <v>51</v>
      </c>
      <c r="B89" s="24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16">
        <v>1</v>
      </c>
      <c r="AG89" s="15">
        <f t="shared" si="2"/>
        <v>1</v>
      </c>
    </row>
    <row r="90" spans="1:35" ht="15.75" customHeight="1" x14ac:dyDescent="0.25">
      <c r="A90" s="59" t="s">
        <v>52</v>
      </c>
      <c r="B90" s="24"/>
      <c r="C90" s="25"/>
      <c r="D90" s="25"/>
      <c r="E90" s="25"/>
      <c r="F90" s="25"/>
      <c r="G90" s="25">
        <v>1</v>
      </c>
      <c r="H90" s="25"/>
      <c r="I90" s="25"/>
      <c r="J90" s="25"/>
      <c r="K90" s="25"/>
      <c r="L90" s="25">
        <v>1</v>
      </c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16">
        <v>3</v>
      </c>
      <c r="AG90" s="15">
        <f t="shared" si="2"/>
        <v>5</v>
      </c>
    </row>
    <row r="91" spans="1:35" ht="15.75" customHeight="1" x14ac:dyDescent="0.25">
      <c r="A91" s="59" t="s">
        <v>53</v>
      </c>
      <c r="B91" s="24"/>
      <c r="C91" s="25">
        <v>4</v>
      </c>
      <c r="D91" s="25">
        <v>25</v>
      </c>
      <c r="E91" s="25">
        <v>14</v>
      </c>
      <c r="F91" s="25">
        <v>12</v>
      </c>
      <c r="G91" s="25">
        <v>16</v>
      </c>
      <c r="H91" s="25">
        <v>2</v>
      </c>
      <c r="I91" s="25">
        <v>1</v>
      </c>
      <c r="J91" s="25">
        <v>4</v>
      </c>
      <c r="K91" s="25">
        <v>7</v>
      </c>
      <c r="L91" s="25">
        <v>8</v>
      </c>
      <c r="M91" s="25">
        <v>1</v>
      </c>
      <c r="N91" s="25">
        <v>9</v>
      </c>
      <c r="O91" s="25"/>
      <c r="P91" s="25">
        <v>1</v>
      </c>
      <c r="Q91" s="25">
        <v>17</v>
      </c>
      <c r="R91" s="25">
        <v>7</v>
      </c>
      <c r="S91" s="25">
        <v>6</v>
      </c>
      <c r="T91" s="25">
        <v>13</v>
      </c>
      <c r="U91" s="25">
        <v>4</v>
      </c>
      <c r="V91" s="25"/>
      <c r="W91" s="25">
        <v>11</v>
      </c>
      <c r="X91" s="25">
        <v>6</v>
      </c>
      <c r="Y91" s="25">
        <v>8</v>
      </c>
      <c r="Z91" s="25">
        <v>3</v>
      </c>
      <c r="AA91" s="25">
        <v>4</v>
      </c>
      <c r="AB91" s="25">
        <v>8</v>
      </c>
      <c r="AC91" s="25"/>
      <c r="AD91" s="25"/>
      <c r="AE91" s="25">
        <v>7</v>
      </c>
      <c r="AF91" s="216">
        <v>4</v>
      </c>
      <c r="AG91" s="15">
        <f t="shared" si="2"/>
        <v>202</v>
      </c>
    </row>
    <row r="92" spans="1:35" ht="15.75" customHeight="1" x14ac:dyDescent="0.25">
      <c r="A92" s="59" t="s">
        <v>54</v>
      </c>
      <c r="B92" s="24">
        <v>4</v>
      </c>
      <c r="C92" s="25">
        <v>3</v>
      </c>
      <c r="D92" s="25">
        <v>17</v>
      </c>
      <c r="E92" s="25">
        <v>15</v>
      </c>
      <c r="F92" s="25">
        <v>13</v>
      </c>
      <c r="G92" s="25">
        <v>14</v>
      </c>
      <c r="H92" s="25">
        <v>8</v>
      </c>
      <c r="I92" s="25">
        <v>2</v>
      </c>
      <c r="J92" s="25">
        <v>4</v>
      </c>
      <c r="K92" s="25">
        <v>6</v>
      </c>
      <c r="L92" s="25">
        <v>9</v>
      </c>
      <c r="M92" s="25">
        <v>8</v>
      </c>
      <c r="N92" s="25">
        <v>5</v>
      </c>
      <c r="O92" s="25">
        <v>3</v>
      </c>
      <c r="P92" s="25"/>
      <c r="Q92" s="25">
        <v>13</v>
      </c>
      <c r="R92" s="25">
        <v>2</v>
      </c>
      <c r="S92" s="25">
        <v>7</v>
      </c>
      <c r="T92" s="25">
        <v>6</v>
      </c>
      <c r="U92" s="25">
        <v>10</v>
      </c>
      <c r="V92" s="25">
        <v>1</v>
      </c>
      <c r="W92" s="25">
        <v>2</v>
      </c>
      <c r="X92" s="25">
        <v>4</v>
      </c>
      <c r="Y92" s="25">
        <v>12</v>
      </c>
      <c r="Z92" s="25">
        <v>5</v>
      </c>
      <c r="AA92" s="25">
        <v>3</v>
      </c>
      <c r="AB92" s="25">
        <v>8</v>
      </c>
      <c r="AC92" s="25"/>
      <c r="AD92" s="25"/>
      <c r="AE92" s="25">
        <v>10</v>
      </c>
      <c r="AF92" s="216">
        <v>10</v>
      </c>
      <c r="AG92" s="15">
        <f t="shared" si="2"/>
        <v>204</v>
      </c>
    </row>
    <row r="93" spans="1:35" ht="15.75" customHeight="1" x14ac:dyDescent="0.25">
      <c r="A93" s="60" t="s">
        <v>55</v>
      </c>
      <c r="B93" s="61">
        <f t="shared" ref="B93:U93" si="17">+B94+B100</f>
        <v>202</v>
      </c>
      <c r="C93" s="62">
        <f t="shared" si="17"/>
        <v>237</v>
      </c>
      <c r="D93" s="62">
        <f t="shared" si="17"/>
        <v>254</v>
      </c>
      <c r="E93" s="62">
        <f t="shared" si="17"/>
        <v>215</v>
      </c>
      <c r="F93" s="62">
        <f t="shared" si="17"/>
        <v>224</v>
      </c>
      <c r="G93" s="62">
        <f t="shared" si="17"/>
        <v>210</v>
      </c>
      <c r="H93" s="62">
        <f t="shared" si="17"/>
        <v>238</v>
      </c>
      <c r="I93" s="62">
        <f t="shared" si="17"/>
        <v>202</v>
      </c>
      <c r="J93" s="62">
        <f t="shared" si="17"/>
        <v>218</v>
      </c>
      <c r="K93" s="62">
        <f t="shared" si="17"/>
        <v>222</v>
      </c>
      <c r="L93" s="62">
        <f t="shared" si="17"/>
        <v>233</v>
      </c>
      <c r="M93" s="62">
        <f t="shared" si="17"/>
        <v>207</v>
      </c>
      <c r="N93" s="62">
        <f t="shared" si="17"/>
        <v>198</v>
      </c>
      <c r="O93" s="62">
        <f t="shared" si="17"/>
        <v>221</v>
      </c>
      <c r="P93" s="62">
        <f t="shared" si="17"/>
        <v>193</v>
      </c>
      <c r="Q93" s="62">
        <f t="shared" si="17"/>
        <v>251</v>
      </c>
      <c r="R93" s="62">
        <f t="shared" si="17"/>
        <v>234</v>
      </c>
      <c r="S93" s="62">
        <f t="shared" si="17"/>
        <v>221</v>
      </c>
      <c r="T93" s="62">
        <f t="shared" si="17"/>
        <v>212</v>
      </c>
      <c r="U93" s="62">
        <f t="shared" si="17"/>
        <v>197</v>
      </c>
      <c r="V93" s="62">
        <v>189</v>
      </c>
      <c r="W93" s="62">
        <f t="shared" ref="W93:AF93" si="18">+W94+W100</f>
        <v>206</v>
      </c>
      <c r="X93" s="62">
        <f t="shared" si="18"/>
        <v>217</v>
      </c>
      <c r="Y93" s="62">
        <f t="shared" si="18"/>
        <v>193</v>
      </c>
      <c r="Z93" s="62">
        <f t="shared" si="18"/>
        <v>227</v>
      </c>
      <c r="AA93" s="62">
        <f t="shared" si="18"/>
        <v>210</v>
      </c>
      <c r="AB93" s="62">
        <f t="shared" si="18"/>
        <v>177</v>
      </c>
      <c r="AC93" s="62">
        <f t="shared" si="18"/>
        <v>112</v>
      </c>
      <c r="AD93" s="62">
        <f t="shared" si="18"/>
        <v>181</v>
      </c>
      <c r="AE93" s="62">
        <f t="shared" si="18"/>
        <v>215</v>
      </c>
      <c r="AF93" s="221">
        <f t="shared" si="18"/>
        <v>195</v>
      </c>
      <c r="AG93" s="22">
        <f t="shared" si="2"/>
        <v>6511</v>
      </c>
      <c r="AH93" s="63" t="str">
        <f>IF(AG93&lt;&gt;AG28,"*","")</f>
        <v>*</v>
      </c>
    </row>
    <row r="94" spans="1:35" ht="15.75" customHeight="1" x14ac:dyDescent="0.25">
      <c r="A94" s="64" t="s">
        <v>56</v>
      </c>
      <c r="B94" s="65">
        <f t="shared" ref="B94:U94" si="19">SUM(B95:B99)</f>
        <v>29</v>
      </c>
      <c r="C94" s="66">
        <f t="shared" si="19"/>
        <v>29</v>
      </c>
      <c r="D94" s="66">
        <f t="shared" si="19"/>
        <v>32</v>
      </c>
      <c r="E94" s="66">
        <f t="shared" si="19"/>
        <v>35</v>
      </c>
      <c r="F94" s="66">
        <f t="shared" si="19"/>
        <v>33</v>
      </c>
      <c r="G94" s="66">
        <f t="shared" si="19"/>
        <v>32</v>
      </c>
      <c r="H94" s="66">
        <f t="shared" si="19"/>
        <v>30</v>
      </c>
      <c r="I94" s="66">
        <f t="shared" si="19"/>
        <v>45</v>
      </c>
      <c r="J94" s="66">
        <f t="shared" si="19"/>
        <v>17</v>
      </c>
      <c r="K94" s="66">
        <f t="shared" si="19"/>
        <v>35</v>
      </c>
      <c r="L94" s="66">
        <f t="shared" si="19"/>
        <v>22</v>
      </c>
      <c r="M94" s="66">
        <f t="shared" si="19"/>
        <v>27</v>
      </c>
      <c r="N94" s="66">
        <f t="shared" si="19"/>
        <v>22</v>
      </c>
      <c r="O94" s="66">
        <f t="shared" si="19"/>
        <v>41</v>
      </c>
      <c r="P94" s="66">
        <f t="shared" si="19"/>
        <v>31</v>
      </c>
      <c r="Q94" s="66">
        <f t="shared" si="19"/>
        <v>32</v>
      </c>
      <c r="R94" s="66">
        <f t="shared" si="19"/>
        <v>24</v>
      </c>
      <c r="S94" s="66">
        <f t="shared" si="19"/>
        <v>30</v>
      </c>
      <c r="T94" s="66">
        <f t="shared" si="19"/>
        <v>22</v>
      </c>
      <c r="U94" s="66">
        <f t="shared" si="19"/>
        <v>33</v>
      </c>
      <c r="V94" s="66">
        <v>22</v>
      </c>
      <c r="W94" s="66">
        <f t="shared" ref="W94:AF94" si="20">SUM(W95:W99)</f>
        <v>27</v>
      </c>
      <c r="X94" s="66">
        <f t="shared" si="20"/>
        <v>24</v>
      </c>
      <c r="Y94" s="66">
        <f t="shared" si="20"/>
        <v>19</v>
      </c>
      <c r="Z94" s="66">
        <f t="shared" si="20"/>
        <v>26</v>
      </c>
      <c r="AA94" s="66">
        <f t="shared" si="20"/>
        <v>26</v>
      </c>
      <c r="AB94" s="66">
        <f t="shared" si="20"/>
        <v>25</v>
      </c>
      <c r="AC94" s="66">
        <f t="shared" si="20"/>
        <v>16</v>
      </c>
      <c r="AD94" s="66">
        <f t="shared" si="20"/>
        <v>25</v>
      </c>
      <c r="AE94" s="66">
        <f t="shared" si="20"/>
        <v>30</v>
      </c>
      <c r="AF94" s="222">
        <f t="shared" si="20"/>
        <v>26</v>
      </c>
      <c r="AG94" s="15">
        <f t="shared" si="2"/>
        <v>867</v>
      </c>
    </row>
    <row r="95" spans="1:35" ht="15.75" customHeight="1" x14ac:dyDescent="0.25">
      <c r="A95" s="67" t="s">
        <v>57</v>
      </c>
      <c r="B95" s="13">
        <v>1</v>
      </c>
      <c r="C95" s="14"/>
      <c r="D95" s="14">
        <v>3</v>
      </c>
      <c r="E95" s="14">
        <v>3</v>
      </c>
      <c r="F95" s="14">
        <v>2</v>
      </c>
      <c r="G95" s="14">
        <v>2</v>
      </c>
      <c r="H95" s="14">
        <v>1</v>
      </c>
      <c r="I95" s="14">
        <v>1</v>
      </c>
      <c r="J95" s="14">
        <v>1</v>
      </c>
      <c r="K95" s="14">
        <v>2</v>
      </c>
      <c r="L95" s="14">
        <v>2</v>
      </c>
      <c r="M95" s="14">
        <v>2</v>
      </c>
      <c r="N95" s="14">
        <v>2</v>
      </c>
      <c r="O95" s="14">
        <v>3</v>
      </c>
      <c r="P95" s="14">
        <v>1</v>
      </c>
      <c r="Q95" s="14">
        <v>1</v>
      </c>
      <c r="R95" s="14"/>
      <c r="S95" s="14">
        <v>0</v>
      </c>
      <c r="T95" s="14">
        <v>2</v>
      </c>
      <c r="U95" s="14"/>
      <c r="V95" s="14">
        <v>1</v>
      </c>
      <c r="W95" s="14"/>
      <c r="X95" s="14">
        <v>1</v>
      </c>
      <c r="Y95" s="14"/>
      <c r="Z95" s="14"/>
      <c r="AA95" s="14"/>
      <c r="AB95" s="14">
        <v>1</v>
      </c>
      <c r="AC95" s="14"/>
      <c r="AD95" s="14">
        <v>5</v>
      </c>
      <c r="AE95" s="14">
        <v>1</v>
      </c>
      <c r="AF95" s="214"/>
      <c r="AG95" s="15">
        <f t="shared" si="2"/>
        <v>38</v>
      </c>
    </row>
    <row r="96" spans="1:35" ht="15.75" customHeight="1" x14ac:dyDescent="0.25">
      <c r="A96" s="68" t="s">
        <v>58</v>
      </c>
      <c r="B96" s="13"/>
      <c r="C96" s="14">
        <v>2</v>
      </c>
      <c r="D96" s="14">
        <v>2</v>
      </c>
      <c r="E96" s="14">
        <v>3</v>
      </c>
      <c r="F96" s="14">
        <v>3</v>
      </c>
      <c r="G96" s="14">
        <v>5</v>
      </c>
      <c r="H96" s="14">
        <v>2</v>
      </c>
      <c r="I96" s="14"/>
      <c r="J96" s="14"/>
      <c r="K96" s="14">
        <v>4</v>
      </c>
      <c r="L96" s="14"/>
      <c r="M96" s="14">
        <v>3</v>
      </c>
      <c r="N96" s="14">
        <v>2</v>
      </c>
      <c r="O96" s="14">
        <v>3</v>
      </c>
      <c r="P96" s="14">
        <v>1</v>
      </c>
      <c r="Q96" s="14">
        <v>3</v>
      </c>
      <c r="R96" s="14">
        <v>4</v>
      </c>
      <c r="S96" s="223">
        <v>2</v>
      </c>
      <c r="T96" s="14">
        <v>2</v>
      </c>
      <c r="U96" s="14">
        <v>2</v>
      </c>
      <c r="V96" s="14">
        <v>1</v>
      </c>
      <c r="W96" s="14">
        <v>2</v>
      </c>
      <c r="X96" s="14">
        <v>2</v>
      </c>
      <c r="Y96" s="14"/>
      <c r="Z96" s="14">
        <v>4</v>
      </c>
      <c r="AA96" s="14"/>
      <c r="AB96" s="14">
        <v>3</v>
      </c>
      <c r="AC96" s="14">
        <v>1</v>
      </c>
      <c r="AD96" s="14">
        <v>1</v>
      </c>
      <c r="AE96" s="14">
        <v>2</v>
      </c>
      <c r="AF96" s="214"/>
      <c r="AG96" s="15">
        <f t="shared" si="2"/>
        <v>59</v>
      </c>
    </row>
    <row r="97" spans="1:33" ht="15.75" customHeight="1" x14ac:dyDescent="0.25">
      <c r="A97" s="69" t="s">
        <v>59</v>
      </c>
      <c r="B97" s="13">
        <v>8</v>
      </c>
      <c r="C97" s="14">
        <v>9</v>
      </c>
      <c r="D97" s="14">
        <v>7</v>
      </c>
      <c r="E97" s="14">
        <v>10</v>
      </c>
      <c r="F97" s="14">
        <v>8</v>
      </c>
      <c r="G97" s="14">
        <v>4</v>
      </c>
      <c r="H97" s="14">
        <v>8</v>
      </c>
      <c r="I97" s="14">
        <v>11</v>
      </c>
      <c r="J97" s="14">
        <v>3</v>
      </c>
      <c r="K97" s="14">
        <v>7</v>
      </c>
      <c r="L97" s="14">
        <v>5</v>
      </c>
      <c r="M97" s="14">
        <v>6</v>
      </c>
      <c r="N97" s="14">
        <v>6</v>
      </c>
      <c r="O97" s="14">
        <v>11</v>
      </c>
      <c r="P97" s="14">
        <v>11</v>
      </c>
      <c r="Q97" s="14">
        <v>9</v>
      </c>
      <c r="R97" s="14">
        <v>7</v>
      </c>
      <c r="S97" s="14">
        <v>7</v>
      </c>
      <c r="T97" s="14">
        <v>6</v>
      </c>
      <c r="U97" s="14">
        <v>11</v>
      </c>
      <c r="V97" s="14">
        <v>5</v>
      </c>
      <c r="W97" s="14">
        <v>10</v>
      </c>
      <c r="X97" s="14">
        <v>8</v>
      </c>
      <c r="Y97" s="14">
        <v>5</v>
      </c>
      <c r="Z97" s="14">
        <v>5</v>
      </c>
      <c r="AA97" s="14">
        <v>11</v>
      </c>
      <c r="AB97" s="14">
        <v>13</v>
      </c>
      <c r="AC97" s="14">
        <v>5</v>
      </c>
      <c r="AD97" s="14">
        <v>2</v>
      </c>
      <c r="AE97" s="14">
        <v>8</v>
      </c>
      <c r="AF97" s="214">
        <v>7</v>
      </c>
      <c r="AG97" s="15">
        <f t="shared" si="2"/>
        <v>233</v>
      </c>
    </row>
    <row r="98" spans="1:33" ht="15.75" customHeight="1" x14ac:dyDescent="0.25">
      <c r="A98" s="70" t="s">
        <v>60</v>
      </c>
      <c r="B98" s="13">
        <v>11</v>
      </c>
      <c r="C98" s="14">
        <v>12</v>
      </c>
      <c r="D98" s="14">
        <v>10</v>
      </c>
      <c r="E98" s="14">
        <v>14</v>
      </c>
      <c r="F98" s="14">
        <v>12</v>
      </c>
      <c r="G98" s="14">
        <v>13</v>
      </c>
      <c r="H98" s="14">
        <v>12</v>
      </c>
      <c r="I98" s="14">
        <v>18</v>
      </c>
      <c r="J98" s="14">
        <v>7</v>
      </c>
      <c r="K98" s="14">
        <v>17</v>
      </c>
      <c r="L98" s="14">
        <v>8</v>
      </c>
      <c r="M98" s="14">
        <v>11</v>
      </c>
      <c r="N98" s="14">
        <v>4</v>
      </c>
      <c r="O98" s="14">
        <v>15</v>
      </c>
      <c r="P98" s="14">
        <v>8</v>
      </c>
      <c r="Q98" s="14">
        <v>14</v>
      </c>
      <c r="R98" s="14">
        <v>8</v>
      </c>
      <c r="S98" s="14">
        <v>12</v>
      </c>
      <c r="T98" s="14">
        <v>7</v>
      </c>
      <c r="U98" s="14">
        <v>10</v>
      </c>
      <c r="V98" s="14">
        <v>9</v>
      </c>
      <c r="W98" s="14">
        <v>5</v>
      </c>
      <c r="X98" s="14">
        <v>7</v>
      </c>
      <c r="Y98" s="14">
        <v>6</v>
      </c>
      <c r="Z98" s="14">
        <v>8</v>
      </c>
      <c r="AA98" s="14">
        <v>10</v>
      </c>
      <c r="AB98" s="14">
        <v>7</v>
      </c>
      <c r="AC98" s="14">
        <v>7</v>
      </c>
      <c r="AD98" s="14">
        <v>9</v>
      </c>
      <c r="AE98" s="14">
        <v>12</v>
      </c>
      <c r="AF98" s="214">
        <v>10</v>
      </c>
      <c r="AG98" s="15">
        <f t="shared" si="2"/>
        <v>313</v>
      </c>
    </row>
    <row r="99" spans="1:33" ht="15.75" customHeight="1" x14ac:dyDescent="0.25">
      <c r="A99" s="71" t="s">
        <v>61</v>
      </c>
      <c r="B99" s="13">
        <v>9</v>
      </c>
      <c r="C99" s="14">
        <v>6</v>
      </c>
      <c r="D99" s="14">
        <v>10</v>
      </c>
      <c r="E99" s="14">
        <v>5</v>
      </c>
      <c r="F99" s="14">
        <v>8</v>
      </c>
      <c r="G99" s="14">
        <v>8</v>
      </c>
      <c r="H99" s="14">
        <v>7</v>
      </c>
      <c r="I99" s="14">
        <v>15</v>
      </c>
      <c r="J99" s="14">
        <v>6</v>
      </c>
      <c r="K99" s="14">
        <v>5</v>
      </c>
      <c r="L99" s="14">
        <v>7</v>
      </c>
      <c r="M99" s="14">
        <v>5</v>
      </c>
      <c r="N99" s="14">
        <v>8</v>
      </c>
      <c r="O99" s="14">
        <v>9</v>
      </c>
      <c r="P99" s="14">
        <v>10</v>
      </c>
      <c r="Q99" s="14">
        <v>5</v>
      </c>
      <c r="R99" s="14">
        <v>5</v>
      </c>
      <c r="S99" s="14">
        <v>9</v>
      </c>
      <c r="T99" s="14">
        <v>5</v>
      </c>
      <c r="U99" s="14">
        <v>10</v>
      </c>
      <c r="V99" s="14">
        <v>6</v>
      </c>
      <c r="W99" s="14">
        <v>10</v>
      </c>
      <c r="X99" s="14">
        <v>6</v>
      </c>
      <c r="Y99" s="14">
        <v>8</v>
      </c>
      <c r="Z99" s="14">
        <v>9</v>
      </c>
      <c r="AA99" s="14">
        <v>5</v>
      </c>
      <c r="AB99" s="14">
        <v>1</v>
      </c>
      <c r="AC99" s="14">
        <v>3</v>
      </c>
      <c r="AD99" s="14">
        <v>8</v>
      </c>
      <c r="AE99" s="14">
        <v>7</v>
      </c>
      <c r="AF99" s="214">
        <v>9</v>
      </c>
      <c r="AG99" s="15">
        <f t="shared" si="2"/>
        <v>224</v>
      </c>
    </row>
    <row r="100" spans="1:33" ht="15.75" customHeight="1" x14ac:dyDescent="0.25">
      <c r="A100" s="64" t="s">
        <v>62</v>
      </c>
      <c r="B100" s="65">
        <f t="shared" ref="B100:U100" si="21">SUM(B101:B115)</f>
        <v>173</v>
      </c>
      <c r="C100" s="66">
        <f t="shared" si="21"/>
        <v>208</v>
      </c>
      <c r="D100" s="66">
        <f t="shared" si="21"/>
        <v>222</v>
      </c>
      <c r="E100" s="66">
        <f t="shared" si="21"/>
        <v>180</v>
      </c>
      <c r="F100" s="66">
        <f t="shared" si="21"/>
        <v>191</v>
      </c>
      <c r="G100" s="66">
        <f t="shared" si="21"/>
        <v>178</v>
      </c>
      <c r="H100" s="66">
        <f t="shared" si="21"/>
        <v>208</v>
      </c>
      <c r="I100" s="66">
        <f t="shared" si="21"/>
        <v>157</v>
      </c>
      <c r="J100" s="66">
        <f t="shared" si="21"/>
        <v>201</v>
      </c>
      <c r="K100" s="66">
        <f t="shared" si="21"/>
        <v>187</v>
      </c>
      <c r="L100" s="66">
        <f t="shared" si="21"/>
        <v>211</v>
      </c>
      <c r="M100" s="66">
        <f t="shared" si="21"/>
        <v>180</v>
      </c>
      <c r="N100" s="66">
        <f t="shared" si="21"/>
        <v>176</v>
      </c>
      <c r="O100" s="66">
        <f t="shared" si="21"/>
        <v>180</v>
      </c>
      <c r="P100" s="66">
        <f t="shared" si="21"/>
        <v>162</v>
      </c>
      <c r="Q100" s="66">
        <f t="shared" si="21"/>
        <v>219</v>
      </c>
      <c r="R100" s="66">
        <f t="shared" si="21"/>
        <v>210</v>
      </c>
      <c r="S100" s="66">
        <f t="shared" si="21"/>
        <v>191</v>
      </c>
      <c r="T100" s="66">
        <f t="shared" si="21"/>
        <v>190</v>
      </c>
      <c r="U100" s="66">
        <f t="shared" si="21"/>
        <v>164</v>
      </c>
      <c r="V100" s="66">
        <v>167</v>
      </c>
      <c r="W100" s="66">
        <f t="shared" ref="W100:AF100" si="22">SUM(W101:W115)</f>
        <v>179</v>
      </c>
      <c r="X100" s="66">
        <f t="shared" si="22"/>
        <v>193</v>
      </c>
      <c r="Y100" s="66">
        <f t="shared" si="22"/>
        <v>174</v>
      </c>
      <c r="Z100" s="66">
        <f t="shared" si="22"/>
        <v>201</v>
      </c>
      <c r="AA100" s="66">
        <f t="shared" si="22"/>
        <v>184</v>
      </c>
      <c r="AB100" s="66">
        <f t="shared" si="22"/>
        <v>152</v>
      </c>
      <c r="AC100" s="66">
        <f t="shared" si="22"/>
        <v>96</v>
      </c>
      <c r="AD100" s="66">
        <f t="shared" si="22"/>
        <v>156</v>
      </c>
      <c r="AE100" s="66">
        <f t="shared" si="22"/>
        <v>185</v>
      </c>
      <c r="AF100" s="222">
        <f t="shared" si="22"/>
        <v>169</v>
      </c>
      <c r="AG100" s="15">
        <f t="shared" si="2"/>
        <v>5644</v>
      </c>
    </row>
    <row r="101" spans="1:33" ht="15.75" customHeight="1" x14ac:dyDescent="0.25">
      <c r="A101" s="71" t="s">
        <v>63</v>
      </c>
      <c r="B101" s="13">
        <v>4</v>
      </c>
      <c r="C101" s="14">
        <v>9</v>
      </c>
      <c r="D101" s="14">
        <v>13</v>
      </c>
      <c r="E101" s="14">
        <v>12</v>
      </c>
      <c r="F101" s="14">
        <v>14</v>
      </c>
      <c r="G101" s="14">
        <v>8</v>
      </c>
      <c r="H101" s="14">
        <v>6</v>
      </c>
      <c r="I101" s="14">
        <v>18</v>
      </c>
      <c r="J101" s="14">
        <v>11</v>
      </c>
      <c r="K101" s="14">
        <v>11</v>
      </c>
      <c r="L101" s="14">
        <v>12</v>
      </c>
      <c r="M101" s="14">
        <v>19</v>
      </c>
      <c r="N101" s="14">
        <v>8</v>
      </c>
      <c r="O101" s="14">
        <v>16</v>
      </c>
      <c r="P101" s="14">
        <v>15</v>
      </c>
      <c r="Q101" s="14">
        <v>15</v>
      </c>
      <c r="R101" s="14">
        <v>13</v>
      </c>
      <c r="S101" s="14">
        <v>11</v>
      </c>
      <c r="T101" s="14">
        <v>12</v>
      </c>
      <c r="U101" s="14">
        <v>14</v>
      </c>
      <c r="V101" s="14">
        <v>5</v>
      </c>
      <c r="W101" s="14">
        <v>13</v>
      </c>
      <c r="X101" s="14">
        <v>20</v>
      </c>
      <c r="Y101" s="14">
        <v>16</v>
      </c>
      <c r="Z101" s="14">
        <v>16</v>
      </c>
      <c r="AA101" s="14">
        <v>11</v>
      </c>
      <c r="AB101" s="14">
        <v>10</v>
      </c>
      <c r="AC101" s="14">
        <v>4</v>
      </c>
      <c r="AD101" s="14">
        <v>7</v>
      </c>
      <c r="AE101" s="14">
        <v>12</v>
      </c>
      <c r="AF101" s="214">
        <v>9</v>
      </c>
      <c r="AG101" s="15">
        <f t="shared" si="2"/>
        <v>364</v>
      </c>
    </row>
    <row r="102" spans="1:33" ht="15.75" customHeight="1" x14ac:dyDescent="0.25">
      <c r="A102" s="71" t="s">
        <v>64</v>
      </c>
      <c r="B102" s="13">
        <v>19</v>
      </c>
      <c r="C102" s="14">
        <v>15</v>
      </c>
      <c r="D102" s="14">
        <v>20</v>
      </c>
      <c r="E102" s="14">
        <v>17</v>
      </c>
      <c r="F102" s="14">
        <v>15</v>
      </c>
      <c r="G102" s="14">
        <v>19</v>
      </c>
      <c r="H102" s="14">
        <v>19</v>
      </c>
      <c r="I102" s="14">
        <v>4</v>
      </c>
      <c r="J102" s="14">
        <v>33</v>
      </c>
      <c r="K102" s="14">
        <v>17</v>
      </c>
      <c r="L102" s="14">
        <v>17</v>
      </c>
      <c r="M102" s="14">
        <v>12</v>
      </c>
      <c r="N102" s="14">
        <v>17</v>
      </c>
      <c r="O102" s="14">
        <v>17</v>
      </c>
      <c r="P102" s="14">
        <v>17</v>
      </c>
      <c r="Q102" s="14">
        <v>16</v>
      </c>
      <c r="R102" s="14">
        <v>25</v>
      </c>
      <c r="S102" s="14">
        <v>15</v>
      </c>
      <c r="T102" s="14">
        <v>16</v>
      </c>
      <c r="U102" s="14">
        <v>19</v>
      </c>
      <c r="V102" s="14">
        <v>12</v>
      </c>
      <c r="W102" s="14">
        <v>10</v>
      </c>
      <c r="X102" s="14">
        <v>14</v>
      </c>
      <c r="Y102" s="14">
        <v>21</v>
      </c>
      <c r="Z102" s="14">
        <v>8</v>
      </c>
      <c r="AA102" s="14">
        <v>22</v>
      </c>
      <c r="AB102" s="14">
        <v>10</v>
      </c>
      <c r="AC102" s="14">
        <v>9</v>
      </c>
      <c r="AD102" s="14">
        <v>18</v>
      </c>
      <c r="AE102" s="14">
        <v>15</v>
      </c>
      <c r="AF102" s="214">
        <v>18</v>
      </c>
      <c r="AG102" s="15">
        <f t="shared" si="2"/>
        <v>506</v>
      </c>
    </row>
    <row r="103" spans="1:33" ht="15.75" customHeight="1" x14ac:dyDescent="0.25">
      <c r="A103" s="67" t="s">
        <v>65</v>
      </c>
      <c r="B103" s="13">
        <v>21</v>
      </c>
      <c r="C103" s="14">
        <v>18</v>
      </c>
      <c r="D103" s="14">
        <v>17</v>
      </c>
      <c r="E103" s="14">
        <v>21</v>
      </c>
      <c r="F103" s="14">
        <v>14</v>
      </c>
      <c r="G103" s="14">
        <v>15</v>
      </c>
      <c r="H103" s="14">
        <v>18</v>
      </c>
      <c r="I103" s="14">
        <v>15</v>
      </c>
      <c r="J103" s="14">
        <v>17</v>
      </c>
      <c r="K103" s="14">
        <v>25</v>
      </c>
      <c r="L103" s="14">
        <v>16</v>
      </c>
      <c r="M103" s="14">
        <v>16</v>
      </c>
      <c r="N103" s="14">
        <v>15</v>
      </c>
      <c r="O103" s="14">
        <v>11</v>
      </c>
      <c r="P103" s="14">
        <v>13</v>
      </c>
      <c r="Q103" s="14">
        <v>22</v>
      </c>
      <c r="R103" s="14">
        <v>24</v>
      </c>
      <c r="S103" s="14">
        <v>17</v>
      </c>
      <c r="T103" s="14">
        <v>18</v>
      </c>
      <c r="U103" s="14">
        <v>11</v>
      </c>
      <c r="V103" s="14">
        <v>17</v>
      </c>
      <c r="W103" s="14">
        <v>19</v>
      </c>
      <c r="X103" s="14">
        <v>18</v>
      </c>
      <c r="Y103" s="14">
        <v>18</v>
      </c>
      <c r="Z103" s="14">
        <v>21</v>
      </c>
      <c r="AA103" s="14">
        <v>16</v>
      </c>
      <c r="AB103" s="14">
        <v>12</v>
      </c>
      <c r="AC103" s="14">
        <v>8</v>
      </c>
      <c r="AD103" s="14">
        <v>19</v>
      </c>
      <c r="AE103" s="14">
        <v>18</v>
      </c>
      <c r="AF103" s="214">
        <v>17</v>
      </c>
      <c r="AG103" s="15">
        <f t="shared" si="2"/>
        <v>527</v>
      </c>
    </row>
    <row r="104" spans="1:33" ht="15.75" customHeight="1" x14ac:dyDescent="0.25">
      <c r="A104" s="67" t="s">
        <v>66</v>
      </c>
      <c r="B104" s="13">
        <v>13</v>
      </c>
      <c r="C104" s="14">
        <v>22</v>
      </c>
      <c r="D104" s="14">
        <v>20</v>
      </c>
      <c r="E104" s="14">
        <v>16</v>
      </c>
      <c r="F104" s="14">
        <v>17</v>
      </c>
      <c r="G104" s="14">
        <v>11</v>
      </c>
      <c r="H104" s="14">
        <v>15</v>
      </c>
      <c r="I104" s="14">
        <v>20</v>
      </c>
      <c r="J104" s="14">
        <v>19</v>
      </c>
      <c r="K104" s="14">
        <v>13</v>
      </c>
      <c r="L104" s="14">
        <v>26</v>
      </c>
      <c r="M104" s="14">
        <v>15</v>
      </c>
      <c r="N104" s="14">
        <v>13</v>
      </c>
      <c r="O104" s="14">
        <v>11</v>
      </c>
      <c r="P104" s="14">
        <v>15</v>
      </c>
      <c r="Q104" s="14">
        <v>18</v>
      </c>
      <c r="R104" s="14">
        <v>14</v>
      </c>
      <c r="S104" s="14">
        <v>19</v>
      </c>
      <c r="T104" s="14">
        <v>21</v>
      </c>
      <c r="U104" s="14">
        <v>23</v>
      </c>
      <c r="V104" s="14">
        <v>17</v>
      </c>
      <c r="W104" s="14">
        <v>12</v>
      </c>
      <c r="X104" s="14">
        <v>18</v>
      </c>
      <c r="Y104" s="14">
        <v>14</v>
      </c>
      <c r="Z104" s="14">
        <v>20</v>
      </c>
      <c r="AA104" s="14">
        <v>11</v>
      </c>
      <c r="AB104" s="14">
        <v>8</v>
      </c>
      <c r="AC104" s="14">
        <v>11</v>
      </c>
      <c r="AD104" s="14">
        <v>12</v>
      </c>
      <c r="AE104" s="14">
        <v>17</v>
      </c>
      <c r="AF104" s="214">
        <v>19</v>
      </c>
      <c r="AG104" s="15">
        <f t="shared" si="2"/>
        <v>500</v>
      </c>
    </row>
    <row r="105" spans="1:33" ht="15.75" customHeight="1" x14ac:dyDescent="0.25">
      <c r="A105" s="67" t="s">
        <v>67</v>
      </c>
      <c r="B105" s="13">
        <v>11</v>
      </c>
      <c r="C105" s="14">
        <v>14</v>
      </c>
      <c r="D105" s="14">
        <v>16</v>
      </c>
      <c r="E105" s="14">
        <v>8</v>
      </c>
      <c r="F105" s="14">
        <v>14</v>
      </c>
      <c r="G105" s="14">
        <v>14</v>
      </c>
      <c r="H105" s="14">
        <v>7</v>
      </c>
      <c r="I105" s="14">
        <v>10</v>
      </c>
      <c r="J105" s="14">
        <v>13</v>
      </c>
      <c r="K105" s="14">
        <v>9</v>
      </c>
      <c r="L105" s="14">
        <v>18</v>
      </c>
      <c r="M105" s="14">
        <v>13</v>
      </c>
      <c r="N105" s="14">
        <v>6</v>
      </c>
      <c r="O105" s="14">
        <v>8</v>
      </c>
      <c r="P105" s="14">
        <v>14</v>
      </c>
      <c r="Q105" s="14">
        <v>11</v>
      </c>
      <c r="R105" s="14">
        <v>16</v>
      </c>
      <c r="S105" s="14">
        <v>17</v>
      </c>
      <c r="T105" s="14">
        <v>13</v>
      </c>
      <c r="U105" s="14">
        <v>12</v>
      </c>
      <c r="V105" s="14">
        <v>14</v>
      </c>
      <c r="W105" s="14">
        <v>16</v>
      </c>
      <c r="X105" s="14">
        <v>15</v>
      </c>
      <c r="Y105" s="14">
        <v>8</v>
      </c>
      <c r="Z105" s="14">
        <v>15</v>
      </c>
      <c r="AA105" s="14">
        <v>8</v>
      </c>
      <c r="AB105" s="14">
        <v>12</v>
      </c>
      <c r="AC105" s="14">
        <v>6</v>
      </c>
      <c r="AD105" s="14">
        <v>11</v>
      </c>
      <c r="AE105" s="14">
        <v>17</v>
      </c>
      <c r="AF105" s="214">
        <v>8</v>
      </c>
      <c r="AG105" s="15">
        <f t="shared" si="2"/>
        <v>374</v>
      </c>
    </row>
    <row r="106" spans="1:33" ht="15.75" customHeight="1" x14ac:dyDescent="0.25">
      <c r="A106" s="67" t="s">
        <v>68</v>
      </c>
      <c r="B106" s="13">
        <v>10</v>
      </c>
      <c r="C106" s="14">
        <v>16</v>
      </c>
      <c r="D106" s="14">
        <v>18</v>
      </c>
      <c r="E106" s="14">
        <v>8</v>
      </c>
      <c r="F106" s="14">
        <v>15</v>
      </c>
      <c r="G106" s="14">
        <v>6</v>
      </c>
      <c r="H106" s="14">
        <v>26</v>
      </c>
      <c r="I106" s="14">
        <v>18</v>
      </c>
      <c r="J106" s="14">
        <v>19</v>
      </c>
      <c r="K106" s="14">
        <v>3</v>
      </c>
      <c r="L106" s="14">
        <v>22</v>
      </c>
      <c r="M106" s="14">
        <v>17</v>
      </c>
      <c r="N106" s="14">
        <v>17</v>
      </c>
      <c r="O106" s="14">
        <v>20</v>
      </c>
      <c r="P106" s="14">
        <v>10</v>
      </c>
      <c r="Q106" s="14">
        <v>15</v>
      </c>
      <c r="R106" s="14">
        <v>10</v>
      </c>
      <c r="S106" s="14">
        <v>13</v>
      </c>
      <c r="T106" s="14">
        <v>9</v>
      </c>
      <c r="U106" s="14">
        <v>6</v>
      </c>
      <c r="V106" s="14">
        <v>11</v>
      </c>
      <c r="W106" s="14">
        <v>17</v>
      </c>
      <c r="X106" s="14">
        <v>10</v>
      </c>
      <c r="Y106" s="14">
        <v>14</v>
      </c>
      <c r="Z106" s="14">
        <v>21</v>
      </c>
      <c r="AA106" s="14">
        <v>10</v>
      </c>
      <c r="AB106" s="14">
        <v>11</v>
      </c>
      <c r="AC106" s="14">
        <v>8</v>
      </c>
      <c r="AD106" s="14">
        <v>7</v>
      </c>
      <c r="AE106" s="14">
        <v>8</v>
      </c>
      <c r="AF106" s="214">
        <v>18</v>
      </c>
      <c r="AG106" s="15">
        <f t="shared" si="2"/>
        <v>413</v>
      </c>
    </row>
    <row r="107" spans="1:33" ht="15.75" customHeight="1" x14ac:dyDescent="0.25">
      <c r="A107" s="67" t="s">
        <v>69</v>
      </c>
      <c r="B107" s="13">
        <v>20</v>
      </c>
      <c r="C107" s="14">
        <v>12</v>
      </c>
      <c r="D107" s="14">
        <v>15</v>
      </c>
      <c r="E107" s="14">
        <v>10</v>
      </c>
      <c r="F107" s="14">
        <v>13</v>
      </c>
      <c r="G107" s="14">
        <v>15</v>
      </c>
      <c r="H107" s="14">
        <v>13</v>
      </c>
      <c r="I107" s="14">
        <v>13</v>
      </c>
      <c r="J107" s="14">
        <v>10</v>
      </c>
      <c r="K107" s="14">
        <v>20</v>
      </c>
      <c r="L107" s="14">
        <v>12</v>
      </c>
      <c r="M107" s="14">
        <v>18</v>
      </c>
      <c r="N107" s="14">
        <v>12</v>
      </c>
      <c r="O107" s="14">
        <v>16</v>
      </c>
      <c r="P107" s="14">
        <v>15</v>
      </c>
      <c r="Q107" s="14">
        <v>12</v>
      </c>
      <c r="R107" s="14">
        <v>10</v>
      </c>
      <c r="S107" s="14">
        <v>8</v>
      </c>
      <c r="T107" s="14">
        <v>16</v>
      </c>
      <c r="U107" s="14">
        <v>12</v>
      </c>
      <c r="V107" s="14">
        <v>9</v>
      </c>
      <c r="W107" s="14">
        <v>9</v>
      </c>
      <c r="X107" s="14">
        <v>11</v>
      </c>
      <c r="Y107" s="14">
        <v>13</v>
      </c>
      <c r="Z107" s="14">
        <v>9</v>
      </c>
      <c r="AA107" s="14">
        <v>13</v>
      </c>
      <c r="AB107" s="14">
        <v>9</v>
      </c>
      <c r="AC107" s="14">
        <v>5</v>
      </c>
      <c r="AD107" s="14">
        <v>11</v>
      </c>
      <c r="AE107" s="14">
        <v>8</v>
      </c>
      <c r="AF107" s="214">
        <v>11</v>
      </c>
      <c r="AG107" s="15">
        <f t="shared" si="2"/>
        <v>380</v>
      </c>
    </row>
    <row r="108" spans="1:33" ht="15.75" customHeight="1" x14ac:dyDescent="0.25">
      <c r="A108" s="67" t="s">
        <v>70</v>
      </c>
      <c r="B108" s="13">
        <v>18</v>
      </c>
      <c r="C108" s="14">
        <v>11</v>
      </c>
      <c r="D108" s="14">
        <v>12</v>
      </c>
      <c r="E108" s="14">
        <v>18</v>
      </c>
      <c r="F108" s="14">
        <v>17</v>
      </c>
      <c r="G108" s="14">
        <v>12</v>
      </c>
      <c r="H108" s="14">
        <v>22</v>
      </c>
      <c r="I108" s="14">
        <v>11</v>
      </c>
      <c r="J108" s="14">
        <v>11</v>
      </c>
      <c r="K108" s="14">
        <v>11</v>
      </c>
      <c r="L108" s="14">
        <v>17</v>
      </c>
      <c r="M108" s="14">
        <v>13</v>
      </c>
      <c r="N108" s="14">
        <v>11</v>
      </c>
      <c r="O108" s="14">
        <v>18</v>
      </c>
      <c r="P108" s="14">
        <v>15</v>
      </c>
      <c r="Q108" s="14">
        <v>29</v>
      </c>
      <c r="R108" s="14">
        <v>18</v>
      </c>
      <c r="S108" s="14">
        <v>19</v>
      </c>
      <c r="T108" s="14">
        <v>15</v>
      </c>
      <c r="U108" s="14">
        <v>12</v>
      </c>
      <c r="V108" s="14">
        <v>17</v>
      </c>
      <c r="W108" s="14">
        <v>13</v>
      </c>
      <c r="X108" s="14">
        <v>13</v>
      </c>
      <c r="Y108" s="14">
        <v>15</v>
      </c>
      <c r="Z108" s="14">
        <v>16</v>
      </c>
      <c r="AA108" s="14">
        <v>21</v>
      </c>
      <c r="AB108" s="14">
        <v>24</v>
      </c>
      <c r="AC108" s="14">
        <v>11</v>
      </c>
      <c r="AD108" s="14">
        <v>17</v>
      </c>
      <c r="AE108" s="14">
        <v>17</v>
      </c>
      <c r="AF108" s="214">
        <v>7</v>
      </c>
      <c r="AG108" s="15">
        <f t="shared" si="2"/>
        <v>481</v>
      </c>
    </row>
    <row r="109" spans="1:33" ht="15.75" customHeight="1" x14ac:dyDescent="0.25">
      <c r="A109" s="67" t="s">
        <v>71</v>
      </c>
      <c r="B109" s="13">
        <v>18</v>
      </c>
      <c r="C109" s="14">
        <v>21</v>
      </c>
      <c r="D109" s="14">
        <v>28</v>
      </c>
      <c r="E109" s="14">
        <v>21</v>
      </c>
      <c r="F109" s="14">
        <v>26</v>
      </c>
      <c r="G109" s="14">
        <v>20</v>
      </c>
      <c r="H109" s="14">
        <v>18</v>
      </c>
      <c r="I109" s="14">
        <v>13</v>
      </c>
      <c r="J109" s="14">
        <v>16</v>
      </c>
      <c r="K109" s="14">
        <v>20</v>
      </c>
      <c r="L109" s="14">
        <v>17</v>
      </c>
      <c r="M109" s="14">
        <v>15</v>
      </c>
      <c r="N109" s="14">
        <v>22</v>
      </c>
      <c r="O109" s="14">
        <v>15</v>
      </c>
      <c r="P109" s="14">
        <v>11</v>
      </c>
      <c r="Q109" s="14">
        <v>20</v>
      </c>
      <c r="R109" s="14">
        <v>21</v>
      </c>
      <c r="S109" s="14">
        <v>19</v>
      </c>
      <c r="T109" s="14">
        <v>21</v>
      </c>
      <c r="U109" s="14">
        <v>9</v>
      </c>
      <c r="V109" s="14">
        <v>12</v>
      </c>
      <c r="W109" s="14">
        <v>13</v>
      </c>
      <c r="X109" s="14">
        <v>22</v>
      </c>
      <c r="Y109" s="14">
        <v>9</v>
      </c>
      <c r="Z109" s="14">
        <v>13</v>
      </c>
      <c r="AA109" s="14">
        <v>12</v>
      </c>
      <c r="AB109" s="14">
        <v>15</v>
      </c>
      <c r="AC109" s="14">
        <v>7</v>
      </c>
      <c r="AD109" s="14">
        <v>10</v>
      </c>
      <c r="AE109" s="14">
        <v>15</v>
      </c>
      <c r="AF109" s="214">
        <v>16</v>
      </c>
      <c r="AG109" s="15">
        <f t="shared" si="2"/>
        <v>515</v>
      </c>
    </row>
    <row r="110" spans="1:33" ht="15.75" customHeight="1" x14ac:dyDescent="0.25">
      <c r="A110" s="67" t="s">
        <v>72</v>
      </c>
      <c r="B110" s="13">
        <v>8</v>
      </c>
      <c r="C110" s="14">
        <v>22</v>
      </c>
      <c r="D110" s="14">
        <v>10</v>
      </c>
      <c r="E110" s="14">
        <v>8</v>
      </c>
      <c r="F110" s="14">
        <v>14</v>
      </c>
      <c r="G110" s="14">
        <v>13</v>
      </c>
      <c r="H110" s="14">
        <v>9</v>
      </c>
      <c r="I110" s="14">
        <v>9</v>
      </c>
      <c r="J110" s="14">
        <v>9</v>
      </c>
      <c r="K110" s="14">
        <v>20</v>
      </c>
      <c r="L110" s="14">
        <v>22</v>
      </c>
      <c r="M110" s="14">
        <v>15</v>
      </c>
      <c r="N110" s="14">
        <v>14</v>
      </c>
      <c r="O110" s="14">
        <v>12</v>
      </c>
      <c r="P110" s="14">
        <v>5</v>
      </c>
      <c r="Q110" s="14">
        <v>15</v>
      </c>
      <c r="R110" s="14">
        <v>15</v>
      </c>
      <c r="S110" s="14">
        <v>7</v>
      </c>
      <c r="T110" s="14">
        <v>11</v>
      </c>
      <c r="U110" s="14">
        <v>13</v>
      </c>
      <c r="V110" s="14">
        <v>15</v>
      </c>
      <c r="W110" s="14">
        <v>14</v>
      </c>
      <c r="X110" s="14">
        <v>17</v>
      </c>
      <c r="Y110" s="14">
        <v>8</v>
      </c>
      <c r="Z110" s="14">
        <v>18</v>
      </c>
      <c r="AA110" s="14">
        <v>18</v>
      </c>
      <c r="AB110" s="14">
        <v>7</v>
      </c>
      <c r="AC110" s="14">
        <v>6</v>
      </c>
      <c r="AD110" s="14">
        <v>19</v>
      </c>
      <c r="AE110" s="14">
        <v>11</v>
      </c>
      <c r="AF110" s="214">
        <v>13</v>
      </c>
      <c r="AG110" s="15">
        <f t="shared" si="2"/>
        <v>397</v>
      </c>
    </row>
    <row r="111" spans="1:33" ht="15.75" customHeight="1" x14ac:dyDescent="0.25">
      <c r="A111" s="67" t="s">
        <v>73</v>
      </c>
      <c r="B111" s="13">
        <v>6</v>
      </c>
      <c r="C111" s="14">
        <v>15</v>
      </c>
      <c r="D111" s="14">
        <v>15</v>
      </c>
      <c r="E111" s="14">
        <v>3</v>
      </c>
      <c r="F111" s="14">
        <v>10</v>
      </c>
      <c r="G111" s="14">
        <v>8</v>
      </c>
      <c r="H111" s="14">
        <v>9</v>
      </c>
      <c r="I111" s="14">
        <v>11</v>
      </c>
      <c r="J111" s="14">
        <v>14</v>
      </c>
      <c r="K111" s="14">
        <v>16</v>
      </c>
      <c r="L111" s="14">
        <v>8</v>
      </c>
      <c r="M111" s="14">
        <v>4</v>
      </c>
      <c r="N111" s="14">
        <v>10</v>
      </c>
      <c r="O111" s="14">
        <v>13</v>
      </c>
      <c r="P111" s="14">
        <v>6</v>
      </c>
      <c r="Q111" s="14">
        <v>15</v>
      </c>
      <c r="R111" s="14">
        <v>11</v>
      </c>
      <c r="S111" s="14">
        <v>8</v>
      </c>
      <c r="T111" s="14">
        <v>7</v>
      </c>
      <c r="U111" s="14">
        <v>7</v>
      </c>
      <c r="V111" s="14">
        <v>16</v>
      </c>
      <c r="W111" s="14">
        <v>11</v>
      </c>
      <c r="X111" s="14">
        <v>14</v>
      </c>
      <c r="Y111" s="14">
        <v>10</v>
      </c>
      <c r="Z111" s="14">
        <v>8</v>
      </c>
      <c r="AA111" s="14">
        <v>13</v>
      </c>
      <c r="AB111" s="14">
        <v>9</v>
      </c>
      <c r="AC111" s="14">
        <v>5</v>
      </c>
      <c r="AD111" s="14">
        <v>4</v>
      </c>
      <c r="AE111" s="14">
        <v>12</v>
      </c>
      <c r="AF111" s="214">
        <v>19</v>
      </c>
      <c r="AG111" s="15">
        <f t="shared" si="2"/>
        <v>317</v>
      </c>
    </row>
    <row r="112" spans="1:33" ht="15.75" customHeight="1" x14ac:dyDescent="0.25">
      <c r="A112" s="67" t="s">
        <v>74</v>
      </c>
      <c r="B112" s="13">
        <v>10</v>
      </c>
      <c r="C112" s="14">
        <v>6</v>
      </c>
      <c r="D112" s="14">
        <v>16</v>
      </c>
      <c r="E112" s="14">
        <v>11</v>
      </c>
      <c r="F112" s="14">
        <v>8</v>
      </c>
      <c r="G112" s="14">
        <v>11</v>
      </c>
      <c r="H112" s="14">
        <v>14</v>
      </c>
      <c r="I112" s="14">
        <v>2</v>
      </c>
      <c r="J112" s="14">
        <v>7</v>
      </c>
      <c r="K112" s="14">
        <v>8</v>
      </c>
      <c r="L112" s="14">
        <v>10</v>
      </c>
      <c r="M112" s="14">
        <v>7</v>
      </c>
      <c r="N112" s="14">
        <v>12</v>
      </c>
      <c r="O112" s="14">
        <v>6</v>
      </c>
      <c r="P112" s="14">
        <v>10</v>
      </c>
      <c r="Q112" s="14">
        <v>6</v>
      </c>
      <c r="R112" s="14">
        <v>16</v>
      </c>
      <c r="S112" s="14">
        <v>12</v>
      </c>
      <c r="T112" s="14">
        <v>14</v>
      </c>
      <c r="U112" s="14">
        <v>6</v>
      </c>
      <c r="V112" s="14">
        <v>8</v>
      </c>
      <c r="W112" s="14">
        <v>9</v>
      </c>
      <c r="X112" s="14">
        <v>5</v>
      </c>
      <c r="Y112" s="14">
        <v>9</v>
      </c>
      <c r="Z112" s="14">
        <v>13</v>
      </c>
      <c r="AA112" s="14">
        <v>11</v>
      </c>
      <c r="AB112" s="14">
        <v>12</v>
      </c>
      <c r="AC112" s="14">
        <v>3</v>
      </c>
      <c r="AD112" s="14">
        <v>8</v>
      </c>
      <c r="AE112" s="14">
        <v>12</v>
      </c>
      <c r="AF112" s="214">
        <v>5</v>
      </c>
      <c r="AG112" s="15">
        <f t="shared" si="2"/>
        <v>287</v>
      </c>
    </row>
    <row r="113" spans="1:33" ht="15.75" customHeight="1" x14ac:dyDescent="0.25">
      <c r="A113" s="67" t="s">
        <v>75</v>
      </c>
      <c r="B113" s="13">
        <v>8</v>
      </c>
      <c r="C113" s="14">
        <v>15</v>
      </c>
      <c r="D113" s="14">
        <v>13</v>
      </c>
      <c r="E113" s="14">
        <v>15</v>
      </c>
      <c r="F113" s="14">
        <v>6</v>
      </c>
      <c r="G113" s="14">
        <v>12</v>
      </c>
      <c r="H113" s="14">
        <v>17</v>
      </c>
      <c r="I113" s="14">
        <v>7</v>
      </c>
      <c r="J113" s="14">
        <v>8</v>
      </c>
      <c r="K113" s="14">
        <v>9</v>
      </c>
      <c r="L113" s="14">
        <v>8</v>
      </c>
      <c r="M113" s="14">
        <v>9</v>
      </c>
      <c r="N113" s="14">
        <v>5</v>
      </c>
      <c r="O113" s="14">
        <v>7</v>
      </c>
      <c r="P113" s="14">
        <v>8</v>
      </c>
      <c r="Q113" s="14">
        <v>17</v>
      </c>
      <c r="R113" s="14">
        <v>7</v>
      </c>
      <c r="S113" s="14">
        <v>10</v>
      </c>
      <c r="T113" s="14">
        <v>6</v>
      </c>
      <c r="U113" s="14">
        <v>10</v>
      </c>
      <c r="V113" s="14">
        <v>5</v>
      </c>
      <c r="W113" s="14">
        <v>10</v>
      </c>
      <c r="X113" s="14">
        <v>7</v>
      </c>
      <c r="Y113" s="14">
        <v>8</v>
      </c>
      <c r="Z113" s="14">
        <v>13</v>
      </c>
      <c r="AA113" s="14">
        <v>11</v>
      </c>
      <c r="AB113" s="14">
        <v>7</v>
      </c>
      <c r="AC113" s="14">
        <v>8</v>
      </c>
      <c r="AD113" s="14">
        <v>5</v>
      </c>
      <c r="AE113" s="14">
        <v>10</v>
      </c>
      <c r="AF113" s="214">
        <v>6</v>
      </c>
      <c r="AG113" s="15">
        <f t="shared" si="2"/>
        <v>287</v>
      </c>
    </row>
    <row r="114" spans="1:33" ht="15.75" customHeight="1" x14ac:dyDescent="0.25">
      <c r="A114" s="67" t="s">
        <v>76</v>
      </c>
      <c r="B114" s="13">
        <v>7</v>
      </c>
      <c r="C114" s="14">
        <v>12</v>
      </c>
      <c r="D114" s="14">
        <v>9</v>
      </c>
      <c r="E114" s="14">
        <v>12</v>
      </c>
      <c r="F114" s="14">
        <v>8</v>
      </c>
      <c r="G114" s="14">
        <v>14</v>
      </c>
      <c r="H114" s="14">
        <v>15</v>
      </c>
      <c r="I114" s="14">
        <v>6</v>
      </c>
      <c r="J114" s="14">
        <v>14</v>
      </c>
      <c r="K114" s="14">
        <v>5</v>
      </c>
      <c r="L114" s="14">
        <v>6</v>
      </c>
      <c r="M114" s="14">
        <v>7</v>
      </c>
      <c r="N114" s="14">
        <v>14</v>
      </c>
      <c r="O114" s="14">
        <v>10</v>
      </c>
      <c r="P114" s="14">
        <v>8</v>
      </c>
      <c r="Q114" s="14">
        <v>8</v>
      </c>
      <c r="R114" s="14">
        <v>10</v>
      </c>
      <c r="S114" s="14">
        <v>16</v>
      </c>
      <c r="T114" s="14">
        <v>11</v>
      </c>
      <c r="U114" s="14">
        <v>10</v>
      </c>
      <c r="V114" s="14">
        <v>9</v>
      </c>
      <c r="W114" s="14">
        <v>13</v>
      </c>
      <c r="X114" s="14">
        <v>9</v>
      </c>
      <c r="Y114" s="14">
        <v>11</v>
      </c>
      <c r="Z114" s="14">
        <v>10</v>
      </c>
      <c r="AA114" s="14">
        <v>7</v>
      </c>
      <c r="AB114" s="14">
        <v>6</v>
      </c>
      <c r="AC114" s="14">
        <v>5</v>
      </c>
      <c r="AD114" s="14">
        <v>8</v>
      </c>
      <c r="AE114" s="14">
        <v>13</v>
      </c>
      <c r="AF114" s="214">
        <v>3</v>
      </c>
      <c r="AG114" s="15">
        <f t="shared" si="2"/>
        <v>296</v>
      </c>
    </row>
    <row r="115" spans="1:33" ht="15.75" customHeight="1" x14ac:dyDescent="0.25">
      <c r="A115" s="72"/>
      <c r="B115" s="37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224"/>
      <c r="AG115" s="15">
        <f t="shared" si="2"/>
        <v>0</v>
      </c>
    </row>
    <row r="116" spans="1:33" ht="15.75" customHeight="1" x14ac:dyDescent="0.25">
      <c r="A116" s="60" t="s">
        <v>77</v>
      </c>
      <c r="B116" s="61">
        <f t="shared" ref="B116:AF116" si="23">SUM(B117:B129)</f>
        <v>48</v>
      </c>
      <c r="C116" s="62">
        <f t="shared" si="23"/>
        <v>72</v>
      </c>
      <c r="D116" s="62">
        <f t="shared" si="23"/>
        <v>69</v>
      </c>
      <c r="E116" s="62">
        <f t="shared" si="23"/>
        <v>55</v>
      </c>
      <c r="F116" s="62">
        <f t="shared" si="23"/>
        <v>69</v>
      </c>
      <c r="G116" s="62">
        <f t="shared" si="23"/>
        <v>68</v>
      </c>
      <c r="H116" s="62">
        <f t="shared" si="23"/>
        <v>89</v>
      </c>
      <c r="I116" s="62">
        <f t="shared" si="23"/>
        <v>41</v>
      </c>
      <c r="J116" s="62">
        <f t="shared" si="23"/>
        <v>58</v>
      </c>
      <c r="K116" s="62">
        <f t="shared" si="23"/>
        <v>68</v>
      </c>
      <c r="L116" s="62">
        <f t="shared" si="23"/>
        <v>63</v>
      </c>
      <c r="M116" s="62">
        <f t="shared" si="23"/>
        <v>74</v>
      </c>
      <c r="N116" s="62">
        <f t="shared" si="23"/>
        <v>48</v>
      </c>
      <c r="O116" s="62">
        <f t="shared" si="23"/>
        <v>59</v>
      </c>
      <c r="P116" s="62">
        <f t="shared" si="23"/>
        <v>51</v>
      </c>
      <c r="Q116" s="62">
        <f t="shared" si="23"/>
        <v>58</v>
      </c>
      <c r="R116" s="62">
        <f t="shared" si="23"/>
        <v>56</v>
      </c>
      <c r="S116" s="62">
        <f t="shared" si="23"/>
        <v>83</v>
      </c>
      <c r="T116" s="62">
        <f t="shared" si="23"/>
        <v>63</v>
      </c>
      <c r="U116" s="62">
        <f t="shared" si="23"/>
        <v>34</v>
      </c>
      <c r="V116" s="62">
        <f t="shared" si="23"/>
        <v>40</v>
      </c>
      <c r="W116" s="62">
        <f t="shared" si="23"/>
        <v>51</v>
      </c>
      <c r="X116" s="62">
        <f t="shared" si="23"/>
        <v>45</v>
      </c>
      <c r="Y116" s="62">
        <f t="shared" si="23"/>
        <v>32</v>
      </c>
      <c r="Z116" s="62">
        <f t="shared" si="23"/>
        <v>42</v>
      </c>
      <c r="AA116" s="62">
        <f t="shared" si="23"/>
        <v>0</v>
      </c>
      <c r="AB116" s="62">
        <f t="shared" si="23"/>
        <v>0</v>
      </c>
      <c r="AC116" s="62">
        <f t="shared" si="23"/>
        <v>0</v>
      </c>
      <c r="AD116" s="62">
        <f t="shared" si="23"/>
        <v>0</v>
      </c>
      <c r="AE116" s="62">
        <f t="shared" si="23"/>
        <v>48</v>
      </c>
      <c r="AF116" s="221">
        <f t="shared" si="23"/>
        <v>30</v>
      </c>
      <c r="AG116" s="15">
        <f t="shared" si="2"/>
        <v>1514</v>
      </c>
    </row>
    <row r="117" spans="1:33" ht="15.75" customHeight="1" x14ac:dyDescent="0.25">
      <c r="A117" s="73" t="s">
        <v>78</v>
      </c>
      <c r="B117" s="13">
        <v>30</v>
      </c>
      <c r="C117" s="14">
        <v>57</v>
      </c>
      <c r="D117" s="14">
        <v>54</v>
      </c>
      <c r="E117" s="14">
        <v>38</v>
      </c>
      <c r="F117" s="14">
        <v>51</v>
      </c>
      <c r="G117" s="14">
        <v>48</v>
      </c>
      <c r="H117" s="14">
        <v>70</v>
      </c>
      <c r="I117" s="14">
        <v>33</v>
      </c>
      <c r="J117" s="14">
        <v>45</v>
      </c>
      <c r="K117" s="14">
        <v>48</v>
      </c>
      <c r="L117" s="14">
        <v>45</v>
      </c>
      <c r="M117" s="14">
        <v>50</v>
      </c>
      <c r="N117" s="14">
        <v>36</v>
      </c>
      <c r="O117" s="14">
        <v>44</v>
      </c>
      <c r="P117" s="14">
        <v>32</v>
      </c>
      <c r="Q117" s="14">
        <v>39</v>
      </c>
      <c r="R117" s="14">
        <v>35</v>
      </c>
      <c r="S117" s="14">
        <v>61</v>
      </c>
      <c r="T117" s="14">
        <v>41</v>
      </c>
      <c r="U117" s="14">
        <v>34</v>
      </c>
      <c r="V117" s="14">
        <v>40</v>
      </c>
      <c r="W117" s="14">
        <v>51</v>
      </c>
      <c r="X117" s="14">
        <v>45</v>
      </c>
      <c r="Y117" s="14">
        <v>32</v>
      </c>
      <c r="Z117" s="14">
        <v>42</v>
      </c>
      <c r="AA117" s="14"/>
      <c r="AB117" s="14"/>
      <c r="AC117" s="14"/>
      <c r="AD117" s="14"/>
      <c r="AE117" s="14">
        <v>48</v>
      </c>
      <c r="AF117" s="214">
        <v>30</v>
      </c>
      <c r="AG117" s="15">
        <f t="shared" si="2"/>
        <v>1179</v>
      </c>
    </row>
    <row r="118" spans="1:33" ht="19.5" hidden="1" customHeight="1" x14ac:dyDescent="0.25">
      <c r="A118" s="73" t="s">
        <v>79</v>
      </c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214"/>
      <c r="AG118" s="15">
        <f t="shared" si="2"/>
        <v>0</v>
      </c>
    </row>
    <row r="119" spans="1:33" ht="19.5" hidden="1" customHeight="1" x14ac:dyDescent="0.25">
      <c r="A119" s="73" t="s">
        <v>80</v>
      </c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214"/>
      <c r="AG119" s="15">
        <f t="shared" si="2"/>
        <v>0</v>
      </c>
    </row>
    <row r="120" spans="1:33" ht="19.5" hidden="1" customHeight="1" x14ac:dyDescent="0.25">
      <c r="A120" s="73" t="s">
        <v>81</v>
      </c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214"/>
      <c r="AG120" s="15">
        <f t="shared" si="2"/>
        <v>0</v>
      </c>
    </row>
    <row r="121" spans="1:33" ht="19.5" hidden="1" customHeight="1" x14ac:dyDescent="0.25">
      <c r="A121" s="73" t="s">
        <v>82</v>
      </c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214"/>
      <c r="AG121" s="15">
        <f t="shared" si="2"/>
        <v>0</v>
      </c>
    </row>
    <row r="122" spans="1:33" ht="19.5" hidden="1" customHeight="1" x14ac:dyDescent="0.25">
      <c r="A122" s="73" t="s">
        <v>83</v>
      </c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214"/>
      <c r="AG122" s="15">
        <f t="shared" si="2"/>
        <v>0</v>
      </c>
    </row>
    <row r="123" spans="1:33" ht="19.5" hidden="1" customHeight="1" x14ac:dyDescent="0.25">
      <c r="A123" s="73" t="s">
        <v>84</v>
      </c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214"/>
      <c r="AG123" s="15">
        <f t="shared" si="2"/>
        <v>0</v>
      </c>
    </row>
    <row r="124" spans="1:33" ht="19.5" hidden="1" customHeight="1" x14ac:dyDescent="0.25">
      <c r="A124" s="73" t="s">
        <v>85</v>
      </c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214"/>
      <c r="AG124" s="15">
        <f t="shared" si="2"/>
        <v>0</v>
      </c>
    </row>
    <row r="125" spans="1:33" ht="19.5" hidden="1" customHeight="1" x14ac:dyDescent="0.25">
      <c r="A125" s="12" t="s">
        <v>86</v>
      </c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214"/>
      <c r="AG125" s="15">
        <f t="shared" si="2"/>
        <v>0</v>
      </c>
    </row>
    <row r="126" spans="1:33" ht="19.5" hidden="1" customHeight="1" x14ac:dyDescent="0.25">
      <c r="A126" s="12" t="s">
        <v>87</v>
      </c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214"/>
      <c r="AG126" s="15">
        <f t="shared" si="2"/>
        <v>0</v>
      </c>
    </row>
    <row r="127" spans="1:33" ht="19.5" hidden="1" customHeight="1" x14ac:dyDescent="0.25">
      <c r="A127" s="12" t="s">
        <v>88</v>
      </c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214"/>
      <c r="AG127" s="15">
        <f t="shared" si="2"/>
        <v>0</v>
      </c>
    </row>
    <row r="128" spans="1:33" ht="19.5" hidden="1" customHeight="1" x14ac:dyDescent="0.25">
      <c r="A128" s="73" t="s">
        <v>89</v>
      </c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214"/>
      <c r="AG128" s="15">
        <f t="shared" si="2"/>
        <v>0</v>
      </c>
    </row>
    <row r="129" spans="1:35" ht="15.75" customHeight="1" x14ac:dyDescent="0.25">
      <c r="A129" s="74" t="s">
        <v>90</v>
      </c>
      <c r="B129" s="75">
        <v>18</v>
      </c>
      <c r="C129" s="76">
        <v>15</v>
      </c>
      <c r="D129" s="76">
        <v>15</v>
      </c>
      <c r="E129" s="76">
        <v>17</v>
      </c>
      <c r="F129" s="76">
        <v>18</v>
      </c>
      <c r="G129" s="76">
        <v>20</v>
      </c>
      <c r="H129" s="76">
        <v>19</v>
      </c>
      <c r="I129" s="76">
        <v>8</v>
      </c>
      <c r="J129" s="76">
        <v>13</v>
      </c>
      <c r="K129" s="76">
        <f>19+1</f>
        <v>20</v>
      </c>
      <c r="L129" s="76">
        <v>18</v>
      </c>
      <c r="M129" s="76">
        <v>24</v>
      </c>
      <c r="N129" s="76">
        <v>12</v>
      </c>
      <c r="O129" s="76">
        <v>15</v>
      </c>
      <c r="P129" s="76">
        <v>19</v>
      </c>
      <c r="Q129" s="76">
        <v>19</v>
      </c>
      <c r="R129" s="76">
        <v>21</v>
      </c>
      <c r="S129" s="76">
        <f>19+3</f>
        <v>22</v>
      </c>
      <c r="T129" s="76">
        <v>22</v>
      </c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225"/>
      <c r="AG129" s="15">
        <f t="shared" si="2"/>
        <v>335</v>
      </c>
    </row>
    <row r="130" spans="1:35" ht="15.75" customHeight="1" x14ac:dyDescent="0.25">
      <c r="A130" s="60" t="s">
        <v>91</v>
      </c>
      <c r="B130" s="61">
        <f t="shared" ref="B130:AF130" si="24">SUM(B131:B143)</f>
        <v>202</v>
      </c>
      <c r="C130" s="62">
        <f t="shared" si="24"/>
        <v>237</v>
      </c>
      <c r="D130" s="62">
        <f t="shared" si="24"/>
        <v>254</v>
      </c>
      <c r="E130" s="62">
        <f t="shared" si="24"/>
        <v>215</v>
      </c>
      <c r="F130" s="62">
        <f t="shared" si="24"/>
        <v>224</v>
      </c>
      <c r="G130" s="62">
        <f t="shared" si="24"/>
        <v>210</v>
      </c>
      <c r="H130" s="62">
        <f t="shared" si="24"/>
        <v>238</v>
      </c>
      <c r="I130" s="62">
        <f t="shared" si="24"/>
        <v>202</v>
      </c>
      <c r="J130" s="62">
        <f t="shared" si="24"/>
        <v>218</v>
      </c>
      <c r="K130" s="62">
        <f t="shared" si="24"/>
        <v>222</v>
      </c>
      <c r="L130" s="62">
        <f t="shared" si="24"/>
        <v>233</v>
      </c>
      <c r="M130" s="62">
        <f t="shared" si="24"/>
        <v>207</v>
      </c>
      <c r="N130" s="62">
        <f t="shared" si="24"/>
        <v>198</v>
      </c>
      <c r="O130" s="62">
        <f t="shared" si="24"/>
        <v>221</v>
      </c>
      <c r="P130" s="62">
        <f t="shared" si="24"/>
        <v>193</v>
      </c>
      <c r="Q130" s="62">
        <f t="shared" si="24"/>
        <v>251</v>
      </c>
      <c r="R130" s="62">
        <f t="shared" si="24"/>
        <v>234</v>
      </c>
      <c r="S130" s="62">
        <f t="shared" si="24"/>
        <v>221</v>
      </c>
      <c r="T130" s="62">
        <f t="shared" si="24"/>
        <v>212</v>
      </c>
      <c r="U130" s="62">
        <f t="shared" si="24"/>
        <v>197</v>
      </c>
      <c r="V130" s="62">
        <f t="shared" si="24"/>
        <v>189</v>
      </c>
      <c r="W130" s="62">
        <f t="shared" si="24"/>
        <v>206</v>
      </c>
      <c r="X130" s="62">
        <f t="shared" si="24"/>
        <v>217</v>
      </c>
      <c r="Y130" s="62">
        <f t="shared" si="24"/>
        <v>193</v>
      </c>
      <c r="Z130" s="62">
        <f t="shared" si="24"/>
        <v>227</v>
      </c>
      <c r="AA130" s="62">
        <f t="shared" si="24"/>
        <v>210</v>
      </c>
      <c r="AB130" s="62">
        <f t="shared" si="24"/>
        <v>177</v>
      </c>
      <c r="AC130" s="62">
        <f t="shared" si="24"/>
        <v>0</v>
      </c>
      <c r="AD130" s="62">
        <f t="shared" si="24"/>
        <v>0</v>
      </c>
      <c r="AE130" s="62">
        <f t="shared" si="24"/>
        <v>215</v>
      </c>
      <c r="AF130" s="221">
        <f t="shared" si="24"/>
        <v>195</v>
      </c>
      <c r="AG130" s="22">
        <f t="shared" si="2"/>
        <v>6218</v>
      </c>
      <c r="AH130" s="77" t="str">
        <f>IF(AG130&lt;&gt;AG93,"*","")</f>
        <v>*</v>
      </c>
    </row>
    <row r="131" spans="1:35" ht="15.75" customHeight="1" x14ac:dyDescent="0.25">
      <c r="A131" s="73" t="s">
        <v>78</v>
      </c>
      <c r="B131" s="13">
        <v>28</v>
      </c>
      <c r="C131" s="14">
        <v>55</v>
      </c>
      <c r="D131" s="14">
        <v>45</v>
      </c>
      <c r="E131" s="14">
        <v>27</v>
      </c>
      <c r="F131" s="14">
        <v>45</v>
      </c>
      <c r="G131" s="14">
        <v>40</v>
      </c>
      <c r="H131" s="14">
        <v>67</v>
      </c>
      <c r="I131" s="14">
        <v>31</v>
      </c>
      <c r="J131" s="14">
        <v>42</v>
      </c>
      <c r="K131" s="14">
        <v>48</v>
      </c>
      <c r="L131" s="14">
        <v>42</v>
      </c>
      <c r="M131" s="14">
        <v>49</v>
      </c>
      <c r="N131" s="14">
        <v>29</v>
      </c>
      <c r="O131" s="14">
        <v>40</v>
      </c>
      <c r="P131" s="14">
        <v>32</v>
      </c>
      <c r="Q131" s="14">
        <v>32</v>
      </c>
      <c r="R131" s="14">
        <v>35</v>
      </c>
      <c r="S131" s="14">
        <v>56</v>
      </c>
      <c r="T131" s="14">
        <v>36</v>
      </c>
      <c r="U131" s="14">
        <v>32</v>
      </c>
      <c r="V131" s="14">
        <v>40</v>
      </c>
      <c r="W131" s="14">
        <v>49</v>
      </c>
      <c r="X131" s="14">
        <v>40</v>
      </c>
      <c r="Y131" s="14">
        <v>27</v>
      </c>
      <c r="Z131" s="14">
        <v>42</v>
      </c>
      <c r="AA131" s="14">
        <v>31</v>
      </c>
      <c r="AB131" s="14">
        <v>30</v>
      </c>
      <c r="AC131" s="14"/>
      <c r="AD131" s="14"/>
      <c r="AE131" s="14">
        <v>47</v>
      </c>
      <c r="AF131" s="214">
        <v>24</v>
      </c>
      <c r="AG131" s="15">
        <f t="shared" si="2"/>
        <v>1141</v>
      </c>
    </row>
    <row r="132" spans="1:35" ht="15.75" customHeight="1" x14ac:dyDescent="0.25">
      <c r="A132" s="73" t="s">
        <v>79</v>
      </c>
      <c r="B132" s="13">
        <v>8</v>
      </c>
      <c r="C132" s="14">
        <v>8</v>
      </c>
      <c r="D132" s="14">
        <v>11</v>
      </c>
      <c r="E132" s="14">
        <v>6</v>
      </c>
      <c r="F132" s="14">
        <v>11</v>
      </c>
      <c r="G132" s="14">
        <v>9</v>
      </c>
      <c r="H132" s="14">
        <v>10</v>
      </c>
      <c r="I132" s="14">
        <v>8</v>
      </c>
      <c r="J132" s="14">
        <v>18</v>
      </c>
      <c r="K132" s="14">
        <v>8</v>
      </c>
      <c r="L132" s="14">
        <v>6</v>
      </c>
      <c r="M132" s="14">
        <v>2</v>
      </c>
      <c r="N132" s="14">
        <v>3</v>
      </c>
      <c r="O132" s="14">
        <v>7</v>
      </c>
      <c r="P132" s="14">
        <v>11</v>
      </c>
      <c r="Q132" s="14">
        <v>2</v>
      </c>
      <c r="R132" s="14">
        <v>11</v>
      </c>
      <c r="S132" s="14">
        <v>9</v>
      </c>
      <c r="T132" s="14">
        <v>7</v>
      </c>
      <c r="U132" s="14">
        <v>4</v>
      </c>
      <c r="V132" s="14">
        <v>3</v>
      </c>
      <c r="W132" s="14">
        <v>10</v>
      </c>
      <c r="X132" s="14">
        <v>6</v>
      </c>
      <c r="Y132" s="14">
        <v>7</v>
      </c>
      <c r="Z132" s="14">
        <v>12</v>
      </c>
      <c r="AA132" s="14">
        <v>5</v>
      </c>
      <c r="AB132" s="14">
        <v>4</v>
      </c>
      <c r="AC132" s="14"/>
      <c r="AD132" s="14"/>
      <c r="AE132" s="14">
        <v>7</v>
      </c>
      <c r="AF132" s="214">
        <v>8</v>
      </c>
      <c r="AG132" s="15">
        <f t="shared" si="2"/>
        <v>221</v>
      </c>
    </row>
    <row r="133" spans="1:35" ht="15.75" customHeight="1" x14ac:dyDescent="0.25">
      <c r="A133" s="73" t="s">
        <v>80</v>
      </c>
      <c r="B133" s="13">
        <v>1</v>
      </c>
      <c r="C133" s="14">
        <v>9</v>
      </c>
      <c r="D133" s="14">
        <v>6</v>
      </c>
      <c r="E133" s="14">
        <v>14</v>
      </c>
      <c r="F133" s="14">
        <v>6</v>
      </c>
      <c r="G133" s="14">
        <v>13</v>
      </c>
      <c r="H133" s="14">
        <v>14</v>
      </c>
      <c r="I133" s="14">
        <v>8</v>
      </c>
      <c r="J133" s="14">
        <v>7</v>
      </c>
      <c r="K133" s="14">
        <v>8</v>
      </c>
      <c r="L133" s="14">
        <v>8</v>
      </c>
      <c r="M133" s="14">
        <v>8</v>
      </c>
      <c r="N133" s="14">
        <v>10</v>
      </c>
      <c r="O133" s="14">
        <v>9</v>
      </c>
      <c r="P133" s="14">
        <v>18</v>
      </c>
      <c r="Q133" s="14">
        <v>8</v>
      </c>
      <c r="R133" s="14">
        <v>8</v>
      </c>
      <c r="S133" s="14">
        <v>18</v>
      </c>
      <c r="T133" s="14">
        <v>8</v>
      </c>
      <c r="U133" s="14">
        <v>8</v>
      </c>
      <c r="V133" s="14">
        <v>9</v>
      </c>
      <c r="W133" s="14">
        <v>21</v>
      </c>
      <c r="X133" s="14">
        <v>5</v>
      </c>
      <c r="Y133" s="14">
        <v>5</v>
      </c>
      <c r="Z133" s="14">
        <v>5</v>
      </c>
      <c r="AA133" s="14">
        <v>6</v>
      </c>
      <c r="AB133" s="14">
        <v>11</v>
      </c>
      <c r="AC133" s="14"/>
      <c r="AD133" s="14"/>
      <c r="AE133" s="14">
        <v>8</v>
      </c>
      <c r="AF133" s="214">
        <v>13</v>
      </c>
      <c r="AG133" s="15">
        <f t="shared" si="2"/>
        <v>272</v>
      </c>
    </row>
    <row r="134" spans="1:35" ht="15.75" customHeight="1" x14ac:dyDescent="0.25">
      <c r="A134" s="73" t="s">
        <v>81</v>
      </c>
      <c r="B134" s="13">
        <v>15</v>
      </c>
      <c r="C134" s="14">
        <v>5</v>
      </c>
      <c r="D134" s="14">
        <f>13+7</f>
        <v>20</v>
      </c>
      <c r="E134" s="14">
        <v>14</v>
      </c>
      <c r="F134" s="14">
        <f>9+6</f>
        <v>15</v>
      </c>
      <c r="G134" s="14">
        <v>7</v>
      </c>
      <c r="H134" s="14">
        <v>9</v>
      </c>
      <c r="I134" s="14">
        <f>6+4</f>
        <v>10</v>
      </c>
      <c r="J134" s="14">
        <v>10</v>
      </c>
      <c r="K134" s="14">
        <v>11</v>
      </c>
      <c r="L134" s="14">
        <v>17</v>
      </c>
      <c r="M134" s="14">
        <v>13</v>
      </c>
      <c r="N134" s="14">
        <v>8</v>
      </c>
      <c r="O134" s="14">
        <v>11</v>
      </c>
      <c r="P134" s="14">
        <v>18</v>
      </c>
      <c r="Q134" s="14">
        <v>4</v>
      </c>
      <c r="R134" s="14">
        <v>7</v>
      </c>
      <c r="S134" s="14">
        <v>15</v>
      </c>
      <c r="T134" s="14">
        <f>9+3</f>
        <v>12</v>
      </c>
      <c r="U134" s="14">
        <f>4+6</f>
        <v>10</v>
      </c>
      <c r="V134" s="14">
        <v>10</v>
      </c>
      <c r="W134" s="14">
        <v>8</v>
      </c>
      <c r="X134" s="14">
        <f>6+1</f>
        <v>7</v>
      </c>
      <c r="Y134" s="14">
        <f>7+2</f>
        <v>9</v>
      </c>
      <c r="Z134" s="14">
        <f>6+7</f>
        <v>13</v>
      </c>
      <c r="AA134" s="14">
        <f>11+4</f>
        <v>15</v>
      </c>
      <c r="AB134" s="14">
        <f>5+2</f>
        <v>7</v>
      </c>
      <c r="AC134" s="14"/>
      <c r="AD134" s="14"/>
      <c r="AE134" s="14">
        <f>14+3</f>
        <v>17</v>
      </c>
      <c r="AF134" s="214">
        <f>8+2</f>
        <v>10</v>
      </c>
      <c r="AG134" s="15">
        <f t="shared" si="2"/>
        <v>327</v>
      </c>
    </row>
    <row r="135" spans="1:35" ht="15.75" customHeight="1" x14ac:dyDescent="0.25">
      <c r="A135" s="73" t="s">
        <v>82</v>
      </c>
      <c r="B135" s="13">
        <v>15</v>
      </c>
      <c r="C135" s="14">
        <v>13</v>
      </c>
      <c r="D135" s="14">
        <v>9</v>
      </c>
      <c r="E135" s="14">
        <v>9</v>
      </c>
      <c r="F135" s="14">
        <v>9</v>
      </c>
      <c r="G135" s="14">
        <v>8</v>
      </c>
      <c r="H135" s="14">
        <v>11</v>
      </c>
      <c r="I135" s="14">
        <v>11</v>
      </c>
      <c r="J135" s="14">
        <v>7</v>
      </c>
      <c r="K135" s="14">
        <v>9</v>
      </c>
      <c r="L135" s="14">
        <v>16</v>
      </c>
      <c r="M135" s="14">
        <v>8</v>
      </c>
      <c r="N135" s="14">
        <v>7</v>
      </c>
      <c r="O135" s="14">
        <v>15</v>
      </c>
      <c r="P135" s="14">
        <v>14</v>
      </c>
      <c r="Q135" s="14">
        <v>13</v>
      </c>
      <c r="R135" s="14">
        <v>10</v>
      </c>
      <c r="S135" s="14">
        <v>12</v>
      </c>
      <c r="T135" s="14">
        <v>5</v>
      </c>
      <c r="U135" s="14">
        <v>8</v>
      </c>
      <c r="V135" s="14">
        <v>6</v>
      </c>
      <c r="W135" s="14">
        <v>5</v>
      </c>
      <c r="X135" s="14">
        <v>6</v>
      </c>
      <c r="Y135" s="14">
        <v>10</v>
      </c>
      <c r="Z135" s="14">
        <v>9</v>
      </c>
      <c r="AA135" s="14">
        <v>10</v>
      </c>
      <c r="AB135" s="14">
        <v>10</v>
      </c>
      <c r="AC135" s="14"/>
      <c r="AD135" s="14"/>
      <c r="AE135" s="14">
        <v>22</v>
      </c>
      <c r="AF135" s="214">
        <v>9</v>
      </c>
      <c r="AG135" s="15">
        <f t="shared" si="2"/>
        <v>296</v>
      </c>
    </row>
    <row r="136" spans="1:35" ht="15.75" customHeight="1" x14ac:dyDescent="0.25">
      <c r="A136" s="73" t="s">
        <v>83</v>
      </c>
      <c r="B136" s="13">
        <v>94</v>
      </c>
      <c r="C136" s="14">
        <v>118</v>
      </c>
      <c r="D136" s="14">
        <v>130</v>
      </c>
      <c r="E136" s="14">
        <v>115</v>
      </c>
      <c r="F136" s="14">
        <v>110</v>
      </c>
      <c r="G136" s="14">
        <v>96</v>
      </c>
      <c r="H136" s="14">
        <v>90</v>
      </c>
      <c r="I136" s="14">
        <v>116</v>
      </c>
      <c r="J136" s="14">
        <v>107</v>
      </c>
      <c r="K136" s="14">
        <v>104</v>
      </c>
      <c r="L136" s="14">
        <v>104</v>
      </c>
      <c r="M136" s="14">
        <v>92</v>
      </c>
      <c r="N136" s="14">
        <v>117</v>
      </c>
      <c r="O136" s="14">
        <v>104</v>
      </c>
      <c r="P136" s="14">
        <v>62</v>
      </c>
      <c r="Q136" s="14">
        <v>159</v>
      </c>
      <c r="R136" s="14">
        <v>114</v>
      </c>
      <c r="S136" s="14">
        <v>71</v>
      </c>
      <c r="T136" s="14">
        <v>113</v>
      </c>
      <c r="U136" s="14">
        <v>101</v>
      </c>
      <c r="V136" s="14">
        <v>88</v>
      </c>
      <c r="W136" s="14">
        <v>71</v>
      </c>
      <c r="X136" s="14">
        <v>140</v>
      </c>
      <c r="Y136" s="14">
        <v>104</v>
      </c>
      <c r="Z136" s="14">
        <v>117</v>
      </c>
      <c r="AA136" s="14">
        <v>114</v>
      </c>
      <c r="AB136" s="14">
        <v>85</v>
      </c>
      <c r="AC136" s="14"/>
      <c r="AD136" s="14"/>
      <c r="AE136" s="14">
        <v>86</v>
      </c>
      <c r="AF136" s="214">
        <v>101</v>
      </c>
      <c r="AG136" s="15">
        <f t="shared" si="2"/>
        <v>3023</v>
      </c>
    </row>
    <row r="137" spans="1:35" ht="15.75" customHeight="1" x14ac:dyDescent="0.25">
      <c r="A137" s="73" t="s">
        <v>84</v>
      </c>
      <c r="B137" s="13">
        <v>5</v>
      </c>
      <c r="C137" s="14">
        <v>3</v>
      </c>
      <c r="D137" s="14">
        <v>6</v>
      </c>
      <c r="E137" s="14">
        <v>2</v>
      </c>
      <c r="F137" s="14">
        <v>2</v>
      </c>
      <c r="G137" s="14">
        <v>6</v>
      </c>
      <c r="H137" s="14">
        <v>6</v>
      </c>
      <c r="I137" s="14">
        <v>1</v>
      </c>
      <c r="J137" s="14">
        <v>3</v>
      </c>
      <c r="K137" s="14">
        <v>2</v>
      </c>
      <c r="L137" s="14">
        <v>5</v>
      </c>
      <c r="M137" s="14">
        <v>5</v>
      </c>
      <c r="N137" s="14">
        <v>3</v>
      </c>
      <c r="O137" s="14">
        <v>4</v>
      </c>
      <c r="P137" s="14">
        <v>3</v>
      </c>
      <c r="Q137" s="14">
        <v>3</v>
      </c>
      <c r="R137" s="14">
        <v>5</v>
      </c>
      <c r="S137" s="14">
        <v>4</v>
      </c>
      <c r="T137" s="14">
        <v>1</v>
      </c>
      <c r="U137" s="14">
        <v>1</v>
      </c>
      <c r="V137" s="14">
        <v>7</v>
      </c>
      <c r="W137" s="14">
        <f>4+2</f>
        <v>6</v>
      </c>
      <c r="X137" s="14">
        <v>3</v>
      </c>
      <c r="Y137" s="14">
        <f>2+2</f>
        <v>4</v>
      </c>
      <c r="Z137" s="14">
        <v>3</v>
      </c>
      <c r="AA137" s="14">
        <v>2</v>
      </c>
      <c r="AB137" s="14">
        <v>2</v>
      </c>
      <c r="AC137" s="14"/>
      <c r="AD137" s="14"/>
      <c r="AE137" s="14">
        <v>6</v>
      </c>
      <c r="AF137" s="214">
        <v>5</v>
      </c>
      <c r="AG137" s="15">
        <f t="shared" si="2"/>
        <v>108</v>
      </c>
    </row>
    <row r="138" spans="1:35" ht="15.75" customHeight="1" x14ac:dyDescent="0.25">
      <c r="A138" s="73" t="s">
        <v>85</v>
      </c>
      <c r="B138" s="13">
        <v>1</v>
      </c>
      <c r="C138" s="14">
        <v>0</v>
      </c>
      <c r="D138" s="14">
        <v>0</v>
      </c>
      <c r="E138" s="14">
        <v>1</v>
      </c>
      <c r="F138" s="14">
        <v>0</v>
      </c>
      <c r="G138" s="14">
        <v>1</v>
      </c>
      <c r="H138" s="14">
        <v>3</v>
      </c>
      <c r="I138" s="14">
        <v>1</v>
      </c>
      <c r="J138" s="14">
        <v>3</v>
      </c>
      <c r="K138" s="14">
        <v>3</v>
      </c>
      <c r="L138" s="14">
        <v>3</v>
      </c>
      <c r="M138" s="14">
        <v>1</v>
      </c>
      <c r="N138" s="14">
        <v>1</v>
      </c>
      <c r="O138" s="14">
        <v>2</v>
      </c>
      <c r="P138" s="14">
        <v>1</v>
      </c>
      <c r="Q138" s="14">
        <v>2</v>
      </c>
      <c r="R138" s="14">
        <v>2</v>
      </c>
      <c r="S138" s="14">
        <v>3</v>
      </c>
      <c r="T138" s="14">
        <v>1</v>
      </c>
      <c r="U138" s="14">
        <v>2</v>
      </c>
      <c r="V138" s="14"/>
      <c r="W138" s="14">
        <v>1</v>
      </c>
      <c r="X138" s="14"/>
      <c r="Y138" s="14"/>
      <c r="Z138" s="14">
        <v>1</v>
      </c>
      <c r="AA138" s="14"/>
      <c r="AB138" s="14">
        <v>1</v>
      </c>
      <c r="AC138" s="14"/>
      <c r="AD138" s="14"/>
      <c r="AE138" s="14"/>
      <c r="AF138" s="214">
        <v>1</v>
      </c>
      <c r="AG138" s="15">
        <f t="shared" si="2"/>
        <v>35</v>
      </c>
    </row>
    <row r="139" spans="1:35" ht="15.75" customHeight="1" x14ac:dyDescent="0.25">
      <c r="A139" s="12" t="s">
        <v>86</v>
      </c>
      <c r="B139" s="13">
        <v>10</v>
      </c>
      <c r="C139" s="14">
        <v>3</v>
      </c>
      <c r="D139" s="14">
        <v>3</v>
      </c>
      <c r="E139" s="14">
        <v>0</v>
      </c>
      <c r="F139" s="14">
        <v>2</v>
      </c>
      <c r="G139" s="14">
        <v>2</v>
      </c>
      <c r="H139" s="14">
        <v>2</v>
      </c>
      <c r="I139" s="14">
        <v>0</v>
      </c>
      <c r="J139" s="14">
        <v>1</v>
      </c>
      <c r="K139" s="14">
        <v>3</v>
      </c>
      <c r="L139" s="14">
        <v>0</v>
      </c>
      <c r="M139" s="14">
        <v>5</v>
      </c>
      <c r="N139" s="14">
        <v>1</v>
      </c>
      <c r="O139" s="14">
        <v>5</v>
      </c>
      <c r="P139" s="14">
        <v>3</v>
      </c>
      <c r="Q139" s="14">
        <v>4</v>
      </c>
      <c r="R139" s="14">
        <v>5</v>
      </c>
      <c r="S139" s="14">
        <v>2</v>
      </c>
      <c r="T139" s="14">
        <v>2</v>
      </c>
      <c r="U139" s="14">
        <v>4</v>
      </c>
      <c r="V139" s="14">
        <v>1</v>
      </c>
      <c r="W139" s="14">
        <v>2</v>
      </c>
      <c r="X139" s="14"/>
      <c r="Y139" s="14">
        <f>5+1</f>
        <v>6</v>
      </c>
      <c r="Z139" s="14">
        <v>2</v>
      </c>
      <c r="AA139" s="14">
        <v>2</v>
      </c>
      <c r="AB139" s="14"/>
      <c r="AC139" s="14"/>
      <c r="AD139" s="14"/>
      <c r="AE139" s="14">
        <v>2</v>
      </c>
      <c r="AF139" s="214">
        <v>2</v>
      </c>
      <c r="AG139" s="15">
        <f t="shared" si="2"/>
        <v>74</v>
      </c>
    </row>
    <row r="140" spans="1:35" ht="15.75" customHeight="1" x14ac:dyDescent="0.25">
      <c r="A140" s="12" t="s">
        <v>87</v>
      </c>
      <c r="B140" s="13">
        <v>1</v>
      </c>
      <c r="C140" s="14">
        <v>0</v>
      </c>
      <c r="D140" s="14">
        <v>0</v>
      </c>
      <c r="E140" s="14">
        <v>4</v>
      </c>
      <c r="F140" s="14">
        <v>3</v>
      </c>
      <c r="G140" s="14">
        <v>5</v>
      </c>
      <c r="H140" s="14">
        <v>3</v>
      </c>
      <c r="I140" s="14">
        <v>1</v>
      </c>
      <c r="J140" s="14">
        <v>3</v>
      </c>
      <c r="K140" s="14">
        <v>1</v>
      </c>
      <c r="L140" s="14">
        <v>3</v>
      </c>
      <c r="M140" s="14">
        <v>0</v>
      </c>
      <c r="N140" s="14">
        <v>1</v>
      </c>
      <c r="O140" s="14">
        <v>2</v>
      </c>
      <c r="P140" s="14">
        <v>2</v>
      </c>
      <c r="Q140" s="14">
        <v>4</v>
      </c>
      <c r="R140" s="14">
        <v>3</v>
      </c>
      <c r="S140" s="14">
        <v>3</v>
      </c>
      <c r="T140" s="14">
        <v>0</v>
      </c>
      <c r="U140" s="14">
        <v>5</v>
      </c>
      <c r="V140" s="14">
        <v>5</v>
      </c>
      <c r="W140" s="14">
        <v>1</v>
      </c>
      <c r="X140" s="14"/>
      <c r="Y140" s="14"/>
      <c r="Z140" s="14">
        <v>2</v>
      </c>
      <c r="AA140" s="14">
        <v>4</v>
      </c>
      <c r="AB140" s="14"/>
      <c r="AC140" s="14"/>
      <c r="AD140" s="14"/>
      <c r="AE140" s="14"/>
      <c r="AF140" s="214">
        <v>2</v>
      </c>
      <c r="AG140" s="15">
        <f t="shared" si="2"/>
        <v>58</v>
      </c>
    </row>
    <row r="141" spans="1:35" ht="15.75" customHeight="1" x14ac:dyDescent="0.25">
      <c r="A141" s="12" t="s">
        <v>88</v>
      </c>
      <c r="B141" s="13">
        <v>1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1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1</v>
      </c>
      <c r="S141" s="14">
        <v>0</v>
      </c>
      <c r="T141" s="14">
        <v>1</v>
      </c>
      <c r="U141" s="14">
        <v>1</v>
      </c>
      <c r="V141" s="14"/>
      <c r="W141" s="14"/>
      <c r="X141" s="14"/>
      <c r="Y141" s="14">
        <v>2</v>
      </c>
      <c r="Z141" s="14"/>
      <c r="AA141" s="14"/>
      <c r="AB141" s="14"/>
      <c r="AC141" s="14"/>
      <c r="AD141" s="14"/>
      <c r="AE141" s="14"/>
      <c r="AF141" s="214"/>
      <c r="AG141" s="15">
        <f t="shared" si="2"/>
        <v>7</v>
      </c>
    </row>
    <row r="142" spans="1:35" ht="15.75" customHeight="1" x14ac:dyDescent="0.25">
      <c r="A142" s="73" t="s">
        <v>89</v>
      </c>
      <c r="B142" s="13">
        <v>5</v>
      </c>
      <c r="C142" s="14">
        <v>9</v>
      </c>
      <c r="D142" s="14">
        <f>8+3</f>
        <v>11</v>
      </c>
      <c r="E142" s="14">
        <v>9</v>
      </c>
      <c r="F142" s="14">
        <v>5</v>
      </c>
      <c r="G142" s="14">
        <v>5</v>
      </c>
      <c r="H142" s="14">
        <v>5</v>
      </c>
      <c r="I142" s="14">
        <v>7</v>
      </c>
      <c r="J142" s="14">
        <v>6</v>
      </c>
      <c r="K142" s="14">
        <v>9</v>
      </c>
      <c r="L142" s="14">
        <f>8+5</f>
        <v>13</v>
      </c>
      <c r="M142" s="14">
        <v>5</v>
      </c>
      <c r="N142" s="14">
        <v>7</v>
      </c>
      <c r="O142" s="14">
        <v>7</v>
      </c>
      <c r="P142" s="14">
        <v>10</v>
      </c>
      <c r="Q142" s="14">
        <v>4</v>
      </c>
      <c r="R142" s="14">
        <v>13</v>
      </c>
      <c r="S142" s="14">
        <v>3</v>
      </c>
      <c r="T142" s="14">
        <v>8</v>
      </c>
      <c r="U142" s="14">
        <v>5</v>
      </c>
      <c r="V142" s="14">
        <v>4</v>
      </c>
      <c r="W142" s="14">
        <f>1+4+1+1+3</f>
        <v>10</v>
      </c>
      <c r="X142" s="14">
        <f>2+1+2</f>
        <v>5</v>
      </c>
      <c r="Y142" s="14">
        <f>1+7</f>
        <v>8</v>
      </c>
      <c r="Z142" s="14">
        <v>8</v>
      </c>
      <c r="AA142" s="14">
        <v>3</v>
      </c>
      <c r="AB142" s="14">
        <f>3+8</f>
        <v>11</v>
      </c>
      <c r="AC142" s="14"/>
      <c r="AD142" s="14"/>
      <c r="AE142" s="14">
        <f>3+4</f>
        <v>7</v>
      </c>
      <c r="AF142" s="214">
        <f>2+7</f>
        <v>9</v>
      </c>
      <c r="AG142" s="15">
        <f t="shared" si="2"/>
        <v>211</v>
      </c>
    </row>
    <row r="143" spans="1:35" ht="15.75" customHeight="1" x14ac:dyDescent="0.25">
      <c r="A143" s="74" t="s">
        <v>90</v>
      </c>
      <c r="B143" s="75">
        <v>18</v>
      </c>
      <c r="C143" s="76">
        <v>14</v>
      </c>
      <c r="D143" s="76">
        <v>13</v>
      </c>
      <c r="E143" s="76">
        <v>14</v>
      </c>
      <c r="F143" s="76">
        <v>16</v>
      </c>
      <c r="G143" s="76">
        <v>18</v>
      </c>
      <c r="H143" s="76">
        <v>17</v>
      </c>
      <c r="I143" s="76">
        <v>8</v>
      </c>
      <c r="J143" s="76">
        <v>11</v>
      </c>
      <c r="K143" s="76">
        <v>16</v>
      </c>
      <c r="L143" s="76">
        <v>16</v>
      </c>
      <c r="M143" s="76">
        <v>19</v>
      </c>
      <c r="N143" s="76">
        <v>11</v>
      </c>
      <c r="O143" s="76">
        <v>15</v>
      </c>
      <c r="P143" s="76">
        <v>19</v>
      </c>
      <c r="Q143" s="76">
        <v>16</v>
      </c>
      <c r="R143" s="76">
        <v>20</v>
      </c>
      <c r="S143" s="76">
        <v>25</v>
      </c>
      <c r="T143" s="76">
        <v>18</v>
      </c>
      <c r="U143" s="76">
        <f>15+1</f>
        <v>16</v>
      </c>
      <c r="V143" s="76">
        <f>12+1+3</f>
        <v>16</v>
      </c>
      <c r="W143" s="76">
        <f>17+5</f>
        <v>22</v>
      </c>
      <c r="X143" s="76">
        <v>5</v>
      </c>
      <c r="Y143" s="76">
        <f>10+1</f>
        <v>11</v>
      </c>
      <c r="Z143" s="76">
        <v>13</v>
      </c>
      <c r="AA143" s="76">
        <v>18</v>
      </c>
      <c r="AB143" s="76">
        <f>15+1</f>
        <v>16</v>
      </c>
      <c r="AC143" s="76"/>
      <c r="AD143" s="76"/>
      <c r="AE143" s="76">
        <f>11+2</f>
        <v>13</v>
      </c>
      <c r="AF143" s="225">
        <f>10+1</f>
        <v>11</v>
      </c>
      <c r="AG143" s="26">
        <f t="shared" si="2"/>
        <v>445</v>
      </c>
    </row>
    <row r="144" spans="1:35" ht="15.75" customHeight="1" x14ac:dyDescent="0.25">
      <c r="A144" s="41" t="s">
        <v>92</v>
      </c>
      <c r="B144" s="42">
        <f t="shared" ref="B144:AF144" si="25">+B146+B156+B158+B167</f>
        <v>202</v>
      </c>
      <c r="C144" s="43">
        <f t="shared" si="25"/>
        <v>237</v>
      </c>
      <c r="D144" s="43">
        <f t="shared" si="25"/>
        <v>254</v>
      </c>
      <c r="E144" s="43">
        <f t="shared" si="25"/>
        <v>215</v>
      </c>
      <c r="F144" s="43">
        <f t="shared" si="25"/>
        <v>224</v>
      </c>
      <c r="G144" s="43">
        <f t="shared" si="25"/>
        <v>210</v>
      </c>
      <c r="H144" s="43">
        <f t="shared" si="25"/>
        <v>238</v>
      </c>
      <c r="I144" s="43">
        <f t="shared" si="25"/>
        <v>202</v>
      </c>
      <c r="J144" s="43">
        <f t="shared" si="25"/>
        <v>218</v>
      </c>
      <c r="K144" s="43">
        <f t="shared" si="25"/>
        <v>222</v>
      </c>
      <c r="L144" s="43">
        <f t="shared" si="25"/>
        <v>233</v>
      </c>
      <c r="M144" s="43">
        <f t="shared" si="25"/>
        <v>207</v>
      </c>
      <c r="N144" s="43">
        <f t="shared" si="25"/>
        <v>198</v>
      </c>
      <c r="O144" s="43">
        <f t="shared" si="25"/>
        <v>221</v>
      </c>
      <c r="P144" s="43">
        <f t="shared" si="25"/>
        <v>193</v>
      </c>
      <c r="Q144" s="43">
        <f t="shared" si="25"/>
        <v>251</v>
      </c>
      <c r="R144" s="43">
        <f t="shared" si="25"/>
        <v>234</v>
      </c>
      <c r="S144" s="43">
        <f t="shared" si="25"/>
        <v>221</v>
      </c>
      <c r="T144" s="43">
        <f t="shared" si="25"/>
        <v>212</v>
      </c>
      <c r="U144" s="43">
        <f t="shared" si="25"/>
        <v>197</v>
      </c>
      <c r="V144" s="43">
        <f t="shared" si="25"/>
        <v>189</v>
      </c>
      <c r="W144" s="43">
        <f t="shared" si="25"/>
        <v>206</v>
      </c>
      <c r="X144" s="43">
        <f t="shared" si="25"/>
        <v>217</v>
      </c>
      <c r="Y144" s="43">
        <f t="shared" si="25"/>
        <v>193</v>
      </c>
      <c r="Z144" s="43">
        <f t="shared" si="25"/>
        <v>227</v>
      </c>
      <c r="AA144" s="43">
        <f t="shared" si="25"/>
        <v>210</v>
      </c>
      <c r="AB144" s="43">
        <f t="shared" si="25"/>
        <v>177</v>
      </c>
      <c r="AC144" s="43">
        <f t="shared" si="25"/>
        <v>0</v>
      </c>
      <c r="AD144" s="43">
        <f t="shared" si="25"/>
        <v>0</v>
      </c>
      <c r="AE144" s="43">
        <f t="shared" si="25"/>
        <v>215</v>
      </c>
      <c r="AF144" s="43">
        <f t="shared" si="25"/>
        <v>195</v>
      </c>
      <c r="AG144" s="27">
        <f t="shared" si="2"/>
        <v>6218</v>
      </c>
      <c r="AH144" s="78" t="str">
        <f>IF(AG144&lt;&gt;AG93,"*","")</f>
        <v>*</v>
      </c>
      <c r="AI144" s="79" t="s">
        <v>93</v>
      </c>
    </row>
    <row r="145" spans="1:35" ht="15.75" customHeight="1" x14ac:dyDescent="0.25">
      <c r="A145" s="80" t="s">
        <v>44</v>
      </c>
      <c r="B145" s="81">
        <f t="shared" ref="B145:AF145" si="26">+B149+B155+B157+B172</f>
        <v>8</v>
      </c>
      <c r="C145" s="82">
        <f t="shared" si="26"/>
        <v>16</v>
      </c>
      <c r="D145" s="82">
        <f t="shared" si="26"/>
        <v>49</v>
      </c>
      <c r="E145" s="82">
        <f t="shared" si="26"/>
        <v>34</v>
      </c>
      <c r="F145" s="82">
        <f t="shared" si="26"/>
        <v>39</v>
      </c>
      <c r="G145" s="82">
        <f t="shared" si="26"/>
        <v>36</v>
      </c>
      <c r="H145" s="82">
        <f t="shared" si="26"/>
        <v>12</v>
      </c>
      <c r="I145" s="82">
        <f t="shared" si="26"/>
        <v>5</v>
      </c>
      <c r="J145" s="82">
        <f t="shared" si="26"/>
        <v>20</v>
      </c>
      <c r="K145" s="82">
        <f t="shared" si="26"/>
        <v>18</v>
      </c>
      <c r="L145" s="82">
        <f t="shared" si="26"/>
        <v>22</v>
      </c>
      <c r="M145" s="82">
        <f t="shared" si="26"/>
        <v>10</v>
      </c>
      <c r="N145" s="82">
        <f t="shared" si="26"/>
        <v>24</v>
      </c>
      <c r="O145" s="82">
        <f t="shared" si="26"/>
        <v>7</v>
      </c>
      <c r="P145" s="82">
        <f t="shared" si="26"/>
        <v>1</v>
      </c>
      <c r="Q145" s="82">
        <f t="shared" si="26"/>
        <v>35</v>
      </c>
      <c r="R145" s="82">
        <f t="shared" si="26"/>
        <v>15</v>
      </c>
      <c r="S145" s="82">
        <f t="shared" si="26"/>
        <v>19</v>
      </c>
      <c r="T145" s="82">
        <f t="shared" si="26"/>
        <v>31</v>
      </c>
      <c r="U145" s="82">
        <f t="shared" si="26"/>
        <v>21</v>
      </c>
      <c r="V145" s="82">
        <f t="shared" si="26"/>
        <v>2</v>
      </c>
      <c r="W145" s="82">
        <f t="shared" si="26"/>
        <v>15</v>
      </c>
      <c r="X145" s="82">
        <f t="shared" si="26"/>
        <v>17</v>
      </c>
      <c r="Y145" s="82">
        <f t="shared" si="26"/>
        <v>27</v>
      </c>
      <c r="Z145" s="82">
        <f t="shared" si="26"/>
        <v>10</v>
      </c>
      <c r="AA145" s="82">
        <f t="shared" si="26"/>
        <v>12</v>
      </c>
      <c r="AB145" s="82">
        <f t="shared" si="26"/>
        <v>21</v>
      </c>
      <c r="AC145" s="82">
        <f t="shared" si="26"/>
        <v>0</v>
      </c>
      <c r="AD145" s="82">
        <f t="shared" si="26"/>
        <v>0</v>
      </c>
      <c r="AE145" s="82">
        <f t="shared" si="26"/>
        <v>21</v>
      </c>
      <c r="AF145" s="226">
        <f t="shared" si="26"/>
        <v>29</v>
      </c>
      <c r="AG145" s="83">
        <f t="shared" si="2"/>
        <v>576</v>
      </c>
      <c r="AH145" s="77"/>
    </row>
    <row r="146" spans="1:35" ht="15.75" customHeight="1" x14ac:dyDescent="0.25">
      <c r="A146" s="84" t="s">
        <v>94</v>
      </c>
      <c r="B146" s="85">
        <f t="shared" ref="B146:AG146" si="27">+B148+B154</f>
        <v>0</v>
      </c>
      <c r="C146" s="86">
        <f t="shared" si="27"/>
        <v>0</v>
      </c>
      <c r="D146" s="86">
        <f t="shared" si="27"/>
        <v>0</v>
      </c>
      <c r="E146" s="86">
        <f t="shared" si="27"/>
        <v>0</v>
      </c>
      <c r="F146" s="86">
        <f t="shared" si="27"/>
        <v>0</v>
      </c>
      <c r="G146" s="86">
        <f t="shared" si="27"/>
        <v>0</v>
      </c>
      <c r="H146" s="86">
        <f t="shared" si="27"/>
        <v>0</v>
      </c>
      <c r="I146" s="86">
        <f t="shared" si="27"/>
        <v>0</v>
      </c>
      <c r="J146" s="86">
        <f t="shared" si="27"/>
        <v>0</v>
      </c>
      <c r="K146" s="86">
        <f t="shared" si="27"/>
        <v>0</v>
      </c>
      <c r="L146" s="86">
        <f t="shared" si="27"/>
        <v>0</v>
      </c>
      <c r="M146" s="86">
        <f t="shared" si="27"/>
        <v>0</v>
      </c>
      <c r="N146" s="86">
        <f t="shared" si="27"/>
        <v>0</v>
      </c>
      <c r="O146" s="86">
        <f t="shared" si="27"/>
        <v>0</v>
      </c>
      <c r="P146" s="86">
        <f t="shared" si="27"/>
        <v>0</v>
      </c>
      <c r="Q146" s="86">
        <f t="shared" si="27"/>
        <v>0</v>
      </c>
      <c r="R146" s="86">
        <f t="shared" si="27"/>
        <v>0</v>
      </c>
      <c r="S146" s="86">
        <f t="shared" si="27"/>
        <v>0</v>
      </c>
      <c r="T146" s="86">
        <f t="shared" si="27"/>
        <v>0</v>
      </c>
      <c r="U146" s="86">
        <f t="shared" si="27"/>
        <v>0</v>
      </c>
      <c r="V146" s="86">
        <f t="shared" si="27"/>
        <v>0</v>
      </c>
      <c r="W146" s="86">
        <f t="shared" si="27"/>
        <v>0</v>
      </c>
      <c r="X146" s="86">
        <f t="shared" si="27"/>
        <v>0</v>
      </c>
      <c r="Y146" s="86">
        <f t="shared" si="27"/>
        <v>0</v>
      </c>
      <c r="Z146" s="86">
        <f t="shared" si="27"/>
        <v>0</v>
      </c>
      <c r="AA146" s="86">
        <f t="shared" si="27"/>
        <v>0</v>
      </c>
      <c r="AB146" s="86">
        <f t="shared" si="27"/>
        <v>0</v>
      </c>
      <c r="AC146" s="86">
        <f t="shared" si="27"/>
        <v>0</v>
      </c>
      <c r="AD146" s="86">
        <f t="shared" si="27"/>
        <v>0</v>
      </c>
      <c r="AE146" s="86">
        <f t="shared" si="27"/>
        <v>0</v>
      </c>
      <c r="AF146" s="227">
        <f t="shared" si="27"/>
        <v>0</v>
      </c>
      <c r="AG146" s="87">
        <f t="shared" si="27"/>
        <v>0</v>
      </c>
    </row>
    <row r="147" spans="1:35" ht="15.75" customHeight="1" x14ac:dyDescent="0.25">
      <c r="A147" s="88" t="s">
        <v>95</v>
      </c>
      <c r="B147" s="89">
        <f t="shared" ref="B147:AE147" si="28">+B149+B155</f>
        <v>0</v>
      </c>
      <c r="C147" s="90">
        <f t="shared" si="28"/>
        <v>0</v>
      </c>
      <c r="D147" s="90">
        <f t="shared" si="28"/>
        <v>0</v>
      </c>
      <c r="E147" s="90">
        <f t="shared" si="28"/>
        <v>0</v>
      </c>
      <c r="F147" s="90">
        <f t="shared" si="28"/>
        <v>0</v>
      </c>
      <c r="G147" s="90">
        <f t="shared" si="28"/>
        <v>0</v>
      </c>
      <c r="H147" s="90">
        <f t="shared" si="28"/>
        <v>0</v>
      </c>
      <c r="I147" s="90">
        <f t="shared" si="28"/>
        <v>0</v>
      </c>
      <c r="J147" s="90">
        <f t="shared" si="28"/>
        <v>0</v>
      </c>
      <c r="K147" s="90">
        <f t="shared" si="28"/>
        <v>0</v>
      </c>
      <c r="L147" s="90">
        <f t="shared" si="28"/>
        <v>0</v>
      </c>
      <c r="M147" s="90">
        <f t="shared" si="28"/>
        <v>0</v>
      </c>
      <c r="N147" s="90">
        <f t="shared" si="28"/>
        <v>0</v>
      </c>
      <c r="O147" s="90">
        <f t="shared" si="28"/>
        <v>0</v>
      </c>
      <c r="P147" s="90">
        <f t="shared" si="28"/>
        <v>0</v>
      </c>
      <c r="Q147" s="90">
        <f t="shared" si="28"/>
        <v>0</v>
      </c>
      <c r="R147" s="90">
        <f t="shared" si="28"/>
        <v>0</v>
      </c>
      <c r="S147" s="90">
        <f t="shared" si="28"/>
        <v>0</v>
      </c>
      <c r="T147" s="90">
        <f t="shared" si="28"/>
        <v>0</v>
      </c>
      <c r="U147" s="90">
        <f t="shared" si="28"/>
        <v>0</v>
      </c>
      <c r="V147" s="90">
        <f t="shared" si="28"/>
        <v>0</v>
      </c>
      <c r="W147" s="90">
        <f t="shared" si="28"/>
        <v>0</v>
      </c>
      <c r="X147" s="90">
        <f t="shared" si="28"/>
        <v>0</v>
      </c>
      <c r="Y147" s="90">
        <f t="shared" si="28"/>
        <v>0</v>
      </c>
      <c r="Z147" s="90">
        <f t="shared" si="28"/>
        <v>0</v>
      </c>
      <c r="AA147" s="90">
        <f t="shared" si="28"/>
        <v>0</v>
      </c>
      <c r="AB147" s="90">
        <f t="shared" si="28"/>
        <v>0</v>
      </c>
      <c r="AC147" s="90">
        <f t="shared" si="28"/>
        <v>0</v>
      </c>
      <c r="AD147" s="90">
        <f t="shared" si="28"/>
        <v>0</v>
      </c>
      <c r="AE147" s="90">
        <f t="shared" si="28"/>
        <v>0</v>
      </c>
      <c r="AF147" s="228"/>
      <c r="AG147" s="91">
        <f t="shared" ref="AG147:AG226" si="29">SUM(B147:AF147)</f>
        <v>0</v>
      </c>
    </row>
    <row r="148" spans="1:35" ht="15.75" customHeight="1" x14ac:dyDescent="0.25">
      <c r="A148" s="92" t="s">
        <v>96</v>
      </c>
      <c r="B148" s="93">
        <f t="shared" ref="B148:AF148" si="30">SUM(B150:B153)</f>
        <v>0</v>
      </c>
      <c r="C148" s="94">
        <f t="shared" si="30"/>
        <v>0</v>
      </c>
      <c r="D148" s="94">
        <f t="shared" si="30"/>
        <v>0</v>
      </c>
      <c r="E148" s="94">
        <f t="shared" si="30"/>
        <v>0</v>
      </c>
      <c r="F148" s="94">
        <f t="shared" si="30"/>
        <v>0</v>
      </c>
      <c r="G148" s="94">
        <f t="shared" si="30"/>
        <v>0</v>
      </c>
      <c r="H148" s="94">
        <f t="shared" si="30"/>
        <v>0</v>
      </c>
      <c r="I148" s="94">
        <f t="shared" si="30"/>
        <v>0</v>
      </c>
      <c r="J148" s="94">
        <f t="shared" si="30"/>
        <v>0</v>
      </c>
      <c r="K148" s="94">
        <f t="shared" si="30"/>
        <v>0</v>
      </c>
      <c r="L148" s="94">
        <f t="shared" si="30"/>
        <v>0</v>
      </c>
      <c r="M148" s="94">
        <f t="shared" si="30"/>
        <v>0</v>
      </c>
      <c r="N148" s="94">
        <f t="shared" si="30"/>
        <v>0</v>
      </c>
      <c r="O148" s="94">
        <f t="shared" si="30"/>
        <v>0</v>
      </c>
      <c r="P148" s="94">
        <f t="shared" si="30"/>
        <v>0</v>
      </c>
      <c r="Q148" s="94">
        <f t="shared" si="30"/>
        <v>0</v>
      </c>
      <c r="R148" s="94">
        <f t="shared" si="30"/>
        <v>0</v>
      </c>
      <c r="S148" s="94">
        <f t="shared" si="30"/>
        <v>0</v>
      </c>
      <c r="T148" s="94">
        <f t="shared" si="30"/>
        <v>0</v>
      </c>
      <c r="U148" s="94">
        <f t="shared" si="30"/>
        <v>0</v>
      </c>
      <c r="V148" s="94">
        <f t="shared" si="30"/>
        <v>0</v>
      </c>
      <c r="W148" s="94">
        <f t="shared" si="30"/>
        <v>0</v>
      </c>
      <c r="X148" s="94">
        <f t="shared" si="30"/>
        <v>0</v>
      </c>
      <c r="Y148" s="94">
        <f t="shared" si="30"/>
        <v>0</v>
      </c>
      <c r="Z148" s="94">
        <f t="shared" si="30"/>
        <v>0</v>
      </c>
      <c r="AA148" s="94">
        <f t="shared" si="30"/>
        <v>0</v>
      </c>
      <c r="AB148" s="94">
        <f t="shared" si="30"/>
        <v>0</v>
      </c>
      <c r="AC148" s="94">
        <f t="shared" si="30"/>
        <v>0</v>
      </c>
      <c r="AD148" s="94">
        <f t="shared" si="30"/>
        <v>0</v>
      </c>
      <c r="AE148" s="94">
        <f t="shared" si="30"/>
        <v>0</v>
      </c>
      <c r="AF148" s="229">
        <f t="shared" si="30"/>
        <v>0</v>
      </c>
      <c r="AG148" s="95">
        <f t="shared" si="29"/>
        <v>0</v>
      </c>
    </row>
    <row r="149" spans="1:35" ht="15.75" customHeight="1" x14ac:dyDescent="0.25">
      <c r="A149" s="88" t="s">
        <v>97</v>
      </c>
      <c r="B149" s="89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228"/>
      <c r="AG149" s="91">
        <f t="shared" si="29"/>
        <v>0</v>
      </c>
    </row>
    <row r="150" spans="1:35" ht="15.75" customHeight="1" x14ac:dyDescent="0.25">
      <c r="A150" s="96" t="s">
        <v>98</v>
      </c>
      <c r="B150" s="97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230"/>
      <c r="AG150" s="11">
        <f t="shared" si="29"/>
        <v>0</v>
      </c>
      <c r="AI150" s="99"/>
    </row>
    <row r="151" spans="1:35" ht="15.75" customHeight="1" x14ac:dyDescent="0.25">
      <c r="A151" s="100" t="s">
        <v>99</v>
      </c>
      <c r="B151" s="101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231"/>
      <c r="AG151" s="15">
        <f t="shared" si="29"/>
        <v>0</v>
      </c>
      <c r="AI151" s="99"/>
    </row>
    <row r="152" spans="1:35" ht="15.75" customHeight="1" x14ac:dyDescent="0.25">
      <c r="A152" s="100" t="s">
        <v>100</v>
      </c>
      <c r="B152" s="101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231"/>
      <c r="AG152" s="15">
        <f t="shared" si="29"/>
        <v>0</v>
      </c>
    </row>
    <row r="153" spans="1:35" ht="15.75" customHeight="1" x14ac:dyDescent="0.25">
      <c r="A153" s="103" t="s">
        <v>101</v>
      </c>
      <c r="B153" s="104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232"/>
      <c r="AG153" s="106">
        <f t="shared" si="29"/>
        <v>0</v>
      </c>
    </row>
    <row r="154" spans="1:35" ht="15.75" customHeight="1" x14ac:dyDescent="0.25">
      <c r="A154" s="92" t="s">
        <v>102</v>
      </c>
      <c r="B154" s="93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229"/>
      <c r="AG154" s="95">
        <f t="shared" si="29"/>
        <v>0</v>
      </c>
    </row>
    <row r="155" spans="1:35" ht="15.75" customHeight="1" x14ac:dyDescent="0.25">
      <c r="A155" s="88" t="s">
        <v>103</v>
      </c>
      <c r="B155" s="89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228"/>
      <c r="AG155" s="91">
        <f t="shared" si="29"/>
        <v>0</v>
      </c>
    </row>
    <row r="156" spans="1:35" ht="15.75" customHeight="1" x14ac:dyDescent="0.25">
      <c r="A156" s="107" t="s">
        <v>104</v>
      </c>
      <c r="B156" s="108">
        <v>202</v>
      </c>
      <c r="C156" s="109">
        <v>237</v>
      </c>
      <c r="D156" s="109">
        <v>254</v>
      </c>
      <c r="E156" s="109">
        <v>215</v>
      </c>
      <c r="F156" s="109">
        <v>224</v>
      </c>
      <c r="G156" s="109">
        <v>210</v>
      </c>
      <c r="H156" s="109">
        <v>238</v>
      </c>
      <c r="I156" s="109">
        <v>202</v>
      </c>
      <c r="J156" s="109">
        <v>218</v>
      </c>
      <c r="K156" s="109">
        <v>222</v>
      </c>
      <c r="L156" s="109">
        <v>233</v>
      </c>
      <c r="M156" s="109">
        <v>207</v>
      </c>
      <c r="N156" s="109">
        <v>198</v>
      </c>
      <c r="O156" s="109">
        <v>221</v>
      </c>
      <c r="P156" s="109">
        <v>193</v>
      </c>
      <c r="Q156" s="109">
        <v>251</v>
      </c>
      <c r="R156" s="109">
        <v>234</v>
      </c>
      <c r="S156" s="109">
        <v>221</v>
      </c>
      <c r="T156" s="109">
        <v>212</v>
      </c>
      <c r="U156" s="109">
        <v>197</v>
      </c>
      <c r="V156" s="109">
        <v>189</v>
      </c>
      <c r="W156" s="109">
        <v>206</v>
      </c>
      <c r="X156" s="109">
        <v>217</v>
      </c>
      <c r="Y156" s="109">
        <v>193</v>
      </c>
      <c r="Z156" s="109">
        <v>227</v>
      </c>
      <c r="AA156" s="109">
        <v>210</v>
      </c>
      <c r="AB156" s="109">
        <v>177</v>
      </c>
      <c r="AC156" s="109"/>
      <c r="AD156" s="109"/>
      <c r="AE156" s="109">
        <v>215</v>
      </c>
      <c r="AF156" s="233">
        <v>195</v>
      </c>
      <c r="AG156" s="110">
        <f t="shared" si="29"/>
        <v>6218</v>
      </c>
      <c r="AH156" s="111" t="s">
        <v>105</v>
      </c>
    </row>
    <row r="157" spans="1:35" ht="15.75" customHeight="1" x14ac:dyDescent="0.25">
      <c r="A157" s="74" t="s">
        <v>46</v>
      </c>
      <c r="B157" s="75">
        <v>8</v>
      </c>
      <c r="C157" s="76">
        <v>16</v>
      </c>
      <c r="D157" s="76">
        <v>49</v>
      </c>
      <c r="E157" s="76">
        <v>34</v>
      </c>
      <c r="F157" s="76">
        <v>39</v>
      </c>
      <c r="G157" s="76">
        <v>36</v>
      </c>
      <c r="H157" s="76">
        <v>12</v>
      </c>
      <c r="I157" s="76">
        <v>5</v>
      </c>
      <c r="J157" s="76">
        <v>20</v>
      </c>
      <c r="K157" s="76">
        <v>18</v>
      </c>
      <c r="L157" s="76">
        <v>22</v>
      </c>
      <c r="M157" s="76">
        <v>10</v>
      </c>
      <c r="N157" s="76">
        <v>24</v>
      </c>
      <c r="O157" s="76">
        <v>7</v>
      </c>
      <c r="P157" s="76">
        <v>1</v>
      </c>
      <c r="Q157" s="76">
        <v>35</v>
      </c>
      <c r="R157" s="76">
        <v>15</v>
      </c>
      <c r="S157" s="76">
        <v>19</v>
      </c>
      <c r="T157" s="76">
        <v>31</v>
      </c>
      <c r="U157" s="76">
        <v>21</v>
      </c>
      <c r="V157" s="76">
        <v>2</v>
      </c>
      <c r="W157" s="76">
        <v>15</v>
      </c>
      <c r="X157" s="76">
        <v>17</v>
      </c>
      <c r="Y157" s="76">
        <v>27</v>
      </c>
      <c r="Z157" s="76">
        <v>10</v>
      </c>
      <c r="AA157" s="76">
        <v>12</v>
      </c>
      <c r="AB157" s="76">
        <v>21</v>
      </c>
      <c r="AC157" s="76"/>
      <c r="AD157" s="76"/>
      <c r="AE157" s="76">
        <v>21</v>
      </c>
      <c r="AF157" s="225">
        <v>29</v>
      </c>
      <c r="AG157" s="112">
        <f t="shared" si="29"/>
        <v>576</v>
      </c>
      <c r="AH157" s="111"/>
    </row>
    <row r="158" spans="1:35" ht="15.75" customHeight="1" x14ac:dyDescent="0.25">
      <c r="A158" s="113" t="s">
        <v>106</v>
      </c>
      <c r="B158" s="114">
        <f t="shared" ref="B158:AF158" si="31">SUM(B159:B166)</f>
        <v>0</v>
      </c>
      <c r="C158" s="115">
        <f t="shared" si="31"/>
        <v>0</v>
      </c>
      <c r="D158" s="115">
        <f t="shared" si="31"/>
        <v>0</v>
      </c>
      <c r="E158" s="115">
        <f t="shared" si="31"/>
        <v>0</v>
      </c>
      <c r="F158" s="115">
        <f t="shared" si="31"/>
        <v>0</v>
      </c>
      <c r="G158" s="115">
        <f t="shared" si="31"/>
        <v>0</v>
      </c>
      <c r="H158" s="115">
        <f t="shared" si="31"/>
        <v>0</v>
      </c>
      <c r="I158" s="115">
        <f t="shared" si="31"/>
        <v>0</v>
      </c>
      <c r="J158" s="115">
        <f t="shared" si="31"/>
        <v>0</v>
      </c>
      <c r="K158" s="115">
        <f t="shared" si="31"/>
        <v>0</v>
      </c>
      <c r="L158" s="115">
        <f t="shared" si="31"/>
        <v>0</v>
      </c>
      <c r="M158" s="115">
        <f t="shared" si="31"/>
        <v>0</v>
      </c>
      <c r="N158" s="115">
        <f t="shared" si="31"/>
        <v>0</v>
      </c>
      <c r="O158" s="115">
        <f t="shared" si="31"/>
        <v>0</v>
      </c>
      <c r="P158" s="115">
        <f t="shared" si="31"/>
        <v>0</v>
      </c>
      <c r="Q158" s="115">
        <f t="shared" si="31"/>
        <v>0</v>
      </c>
      <c r="R158" s="115">
        <f t="shared" si="31"/>
        <v>0</v>
      </c>
      <c r="S158" s="115">
        <f t="shared" si="31"/>
        <v>0</v>
      </c>
      <c r="T158" s="115">
        <f t="shared" si="31"/>
        <v>0</v>
      </c>
      <c r="U158" s="115">
        <f t="shared" si="31"/>
        <v>0</v>
      </c>
      <c r="V158" s="115">
        <f t="shared" si="31"/>
        <v>0</v>
      </c>
      <c r="W158" s="115">
        <f t="shared" si="31"/>
        <v>0</v>
      </c>
      <c r="X158" s="115">
        <f t="shared" si="31"/>
        <v>0</v>
      </c>
      <c r="Y158" s="115">
        <f t="shared" si="31"/>
        <v>0</v>
      </c>
      <c r="Z158" s="115">
        <f t="shared" si="31"/>
        <v>0</v>
      </c>
      <c r="AA158" s="115">
        <f t="shared" si="31"/>
        <v>0</v>
      </c>
      <c r="AB158" s="115">
        <f t="shared" si="31"/>
        <v>0</v>
      </c>
      <c r="AC158" s="115">
        <f t="shared" si="31"/>
        <v>0</v>
      </c>
      <c r="AD158" s="115">
        <f t="shared" si="31"/>
        <v>0</v>
      </c>
      <c r="AE158" s="115">
        <f t="shared" si="31"/>
        <v>0</v>
      </c>
      <c r="AF158" s="234">
        <f t="shared" si="31"/>
        <v>0</v>
      </c>
      <c r="AG158" s="116">
        <f t="shared" si="29"/>
        <v>0</v>
      </c>
    </row>
    <row r="159" spans="1:35" ht="15.75" customHeight="1" x14ac:dyDescent="0.25">
      <c r="A159" s="96" t="s">
        <v>79</v>
      </c>
      <c r="B159" s="97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230"/>
      <c r="AG159" s="11">
        <f t="shared" si="29"/>
        <v>0</v>
      </c>
    </row>
    <row r="160" spans="1:35" ht="15.75" customHeight="1" x14ac:dyDescent="0.25">
      <c r="A160" s="100" t="s">
        <v>80</v>
      </c>
      <c r="B160" s="101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231"/>
      <c r="AG160" s="15">
        <f t="shared" si="29"/>
        <v>0</v>
      </c>
    </row>
    <row r="161" spans="1:34" ht="15.75" customHeight="1" x14ac:dyDescent="0.25">
      <c r="A161" s="100" t="s">
        <v>78</v>
      </c>
      <c r="B161" s="101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231"/>
      <c r="AG161" s="15">
        <f t="shared" si="29"/>
        <v>0</v>
      </c>
    </row>
    <row r="162" spans="1:34" ht="15.75" customHeight="1" x14ac:dyDescent="0.25">
      <c r="A162" s="100" t="s">
        <v>81</v>
      </c>
      <c r="B162" s="101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231"/>
      <c r="AG162" s="15">
        <f t="shared" si="29"/>
        <v>0</v>
      </c>
    </row>
    <row r="163" spans="1:34" ht="15.75" customHeight="1" x14ac:dyDescent="0.25">
      <c r="A163" s="100" t="s">
        <v>82</v>
      </c>
      <c r="B163" s="101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231"/>
      <c r="AG163" s="15">
        <f t="shared" si="29"/>
        <v>0</v>
      </c>
    </row>
    <row r="164" spans="1:34" ht="15.75" customHeight="1" x14ac:dyDescent="0.25">
      <c r="A164" s="100" t="s">
        <v>83</v>
      </c>
      <c r="B164" s="101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231"/>
      <c r="AG164" s="15">
        <f t="shared" si="29"/>
        <v>0</v>
      </c>
    </row>
    <row r="165" spans="1:34" ht="15.75" customHeight="1" x14ac:dyDescent="0.25">
      <c r="A165" s="100" t="s">
        <v>84</v>
      </c>
      <c r="B165" s="101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231"/>
      <c r="AG165" s="15">
        <f t="shared" si="29"/>
        <v>0</v>
      </c>
    </row>
    <row r="166" spans="1:34" ht="15.75" customHeight="1" x14ac:dyDescent="0.25">
      <c r="A166" s="103" t="s">
        <v>85</v>
      </c>
      <c r="B166" s="104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232"/>
      <c r="AG166" s="106">
        <f t="shared" si="29"/>
        <v>0</v>
      </c>
    </row>
    <row r="167" spans="1:34" ht="15.75" customHeight="1" x14ac:dyDescent="0.25">
      <c r="A167" s="107" t="s">
        <v>107</v>
      </c>
      <c r="B167" s="108">
        <f t="shared" ref="B167:AF167" si="32">SUM(B168:B171)</f>
        <v>0</v>
      </c>
      <c r="C167" s="109">
        <f t="shared" si="32"/>
        <v>0</v>
      </c>
      <c r="D167" s="109">
        <f t="shared" si="32"/>
        <v>0</v>
      </c>
      <c r="E167" s="109">
        <f t="shared" si="32"/>
        <v>0</v>
      </c>
      <c r="F167" s="109">
        <f t="shared" si="32"/>
        <v>0</v>
      </c>
      <c r="G167" s="109">
        <f t="shared" si="32"/>
        <v>0</v>
      </c>
      <c r="H167" s="109">
        <f t="shared" si="32"/>
        <v>0</v>
      </c>
      <c r="I167" s="109">
        <f t="shared" si="32"/>
        <v>0</v>
      </c>
      <c r="J167" s="109">
        <f t="shared" si="32"/>
        <v>0</v>
      </c>
      <c r="K167" s="109">
        <f t="shared" si="32"/>
        <v>0</v>
      </c>
      <c r="L167" s="109">
        <f t="shared" si="32"/>
        <v>0</v>
      </c>
      <c r="M167" s="109">
        <f t="shared" si="32"/>
        <v>0</v>
      </c>
      <c r="N167" s="109">
        <f t="shared" si="32"/>
        <v>0</v>
      </c>
      <c r="O167" s="109">
        <f t="shared" si="32"/>
        <v>0</v>
      </c>
      <c r="P167" s="109">
        <f t="shared" si="32"/>
        <v>0</v>
      </c>
      <c r="Q167" s="109">
        <f t="shared" si="32"/>
        <v>0</v>
      </c>
      <c r="R167" s="109">
        <f t="shared" si="32"/>
        <v>0</v>
      </c>
      <c r="S167" s="109">
        <f t="shared" si="32"/>
        <v>0</v>
      </c>
      <c r="T167" s="109">
        <f t="shared" si="32"/>
        <v>0</v>
      </c>
      <c r="U167" s="109">
        <f t="shared" si="32"/>
        <v>0</v>
      </c>
      <c r="V167" s="109">
        <f t="shared" si="32"/>
        <v>0</v>
      </c>
      <c r="W167" s="109">
        <f t="shared" si="32"/>
        <v>0</v>
      </c>
      <c r="X167" s="109">
        <f t="shared" si="32"/>
        <v>0</v>
      </c>
      <c r="Y167" s="109">
        <f t="shared" si="32"/>
        <v>0</v>
      </c>
      <c r="Z167" s="109">
        <f t="shared" si="32"/>
        <v>0</v>
      </c>
      <c r="AA167" s="109">
        <f t="shared" si="32"/>
        <v>0</v>
      </c>
      <c r="AB167" s="109">
        <f t="shared" si="32"/>
        <v>0</v>
      </c>
      <c r="AC167" s="109">
        <f t="shared" si="32"/>
        <v>0</v>
      </c>
      <c r="AD167" s="109">
        <f t="shared" si="32"/>
        <v>0</v>
      </c>
      <c r="AE167" s="109">
        <f t="shared" si="32"/>
        <v>0</v>
      </c>
      <c r="AF167" s="233">
        <f t="shared" si="32"/>
        <v>0</v>
      </c>
      <c r="AG167" s="110">
        <f t="shared" si="29"/>
        <v>0</v>
      </c>
    </row>
    <row r="168" spans="1:34" ht="15.75" customHeight="1" x14ac:dyDescent="0.25">
      <c r="A168" s="117" t="s">
        <v>86</v>
      </c>
      <c r="B168" s="101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231"/>
      <c r="AG168" s="15">
        <f t="shared" si="29"/>
        <v>0</v>
      </c>
    </row>
    <row r="169" spans="1:34" ht="15.75" customHeight="1" x14ac:dyDescent="0.25">
      <c r="A169" s="117" t="s">
        <v>87</v>
      </c>
      <c r="B169" s="101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231"/>
      <c r="AG169" s="15">
        <f t="shared" si="29"/>
        <v>0</v>
      </c>
    </row>
    <row r="170" spans="1:34" ht="15.75" customHeight="1" x14ac:dyDescent="0.25">
      <c r="A170" s="117" t="s">
        <v>88</v>
      </c>
      <c r="B170" s="101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231"/>
      <c r="AG170" s="15">
        <f t="shared" si="29"/>
        <v>0</v>
      </c>
    </row>
    <row r="171" spans="1:34" ht="15.75" customHeight="1" x14ac:dyDescent="0.25">
      <c r="A171" s="118" t="s">
        <v>108</v>
      </c>
      <c r="B171" s="104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232"/>
      <c r="AG171" s="106">
        <f t="shared" si="29"/>
        <v>0</v>
      </c>
    </row>
    <row r="172" spans="1:34" ht="15.75" customHeight="1" x14ac:dyDescent="0.25">
      <c r="A172" s="119" t="s">
        <v>109</v>
      </c>
      <c r="B172" s="120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235"/>
      <c r="AG172" s="122">
        <f t="shared" si="29"/>
        <v>0</v>
      </c>
    </row>
    <row r="173" spans="1:34" ht="15.75" customHeight="1" x14ac:dyDescent="0.25">
      <c r="A173" s="4" t="s">
        <v>110</v>
      </c>
      <c r="B173" s="5">
        <f t="shared" ref="B173:AF173" si="33">SUM(B174:B176)</f>
        <v>1</v>
      </c>
      <c r="C173" s="6">
        <f t="shared" si="33"/>
        <v>3</v>
      </c>
      <c r="D173" s="6">
        <f t="shared" si="33"/>
        <v>0</v>
      </c>
      <c r="E173" s="6">
        <f t="shared" si="33"/>
        <v>1</v>
      </c>
      <c r="F173" s="6">
        <f t="shared" si="33"/>
        <v>0</v>
      </c>
      <c r="G173" s="6">
        <f t="shared" si="33"/>
        <v>1</v>
      </c>
      <c r="H173" s="6">
        <f t="shared" si="33"/>
        <v>1</v>
      </c>
      <c r="I173" s="6">
        <f t="shared" si="33"/>
        <v>0</v>
      </c>
      <c r="J173" s="6">
        <f t="shared" si="33"/>
        <v>2</v>
      </c>
      <c r="K173" s="6">
        <f t="shared" si="33"/>
        <v>0</v>
      </c>
      <c r="L173" s="6">
        <f t="shared" si="33"/>
        <v>2</v>
      </c>
      <c r="M173" s="6">
        <f t="shared" si="33"/>
        <v>1</v>
      </c>
      <c r="N173" s="6">
        <f t="shared" si="33"/>
        <v>1</v>
      </c>
      <c r="O173" s="6">
        <f t="shared" si="33"/>
        <v>1</v>
      </c>
      <c r="P173" s="6">
        <f t="shared" si="33"/>
        <v>1</v>
      </c>
      <c r="Q173" s="6">
        <f t="shared" si="33"/>
        <v>1</v>
      </c>
      <c r="R173" s="6">
        <f t="shared" si="33"/>
        <v>4</v>
      </c>
      <c r="S173" s="6">
        <f t="shared" si="33"/>
        <v>1</v>
      </c>
      <c r="T173" s="6">
        <f t="shared" si="33"/>
        <v>0</v>
      </c>
      <c r="U173" s="6">
        <f t="shared" si="33"/>
        <v>0</v>
      </c>
      <c r="V173" s="6">
        <f t="shared" si="33"/>
        <v>2</v>
      </c>
      <c r="W173" s="6">
        <f t="shared" si="33"/>
        <v>1</v>
      </c>
      <c r="X173" s="6">
        <f t="shared" si="33"/>
        <v>0</v>
      </c>
      <c r="Y173" s="6">
        <f t="shared" si="33"/>
        <v>0</v>
      </c>
      <c r="Z173" s="6">
        <f t="shared" si="33"/>
        <v>0</v>
      </c>
      <c r="AA173" s="6">
        <f t="shared" si="33"/>
        <v>1</v>
      </c>
      <c r="AB173" s="6">
        <f t="shared" si="33"/>
        <v>0</v>
      </c>
      <c r="AC173" s="6">
        <f t="shared" si="33"/>
        <v>0</v>
      </c>
      <c r="AD173" s="6">
        <f t="shared" si="33"/>
        <v>0</v>
      </c>
      <c r="AE173" s="6">
        <f t="shared" si="33"/>
        <v>1</v>
      </c>
      <c r="AF173" s="236">
        <f t="shared" si="33"/>
        <v>2</v>
      </c>
      <c r="AG173" s="7">
        <f t="shared" si="29"/>
        <v>28</v>
      </c>
      <c r="AH173" s="111" t="s">
        <v>111</v>
      </c>
    </row>
    <row r="174" spans="1:34" ht="15.75" customHeight="1" x14ac:dyDescent="0.25">
      <c r="A174" s="123" t="s">
        <v>112</v>
      </c>
      <c r="B174" s="124">
        <v>1</v>
      </c>
      <c r="C174" s="125">
        <v>3</v>
      </c>
      <c r="D174" s="125">
        <v>0</v>
      </c>
      <c r="E174" s="125">
        <v>1</v>
      </c>
      <c r="F174" s="125">
        <v>0</v>
      </c>
      <c r="G174" s="125">
        <v>1</v>
      </c>
      <c r="H174" s="125">
        <v>1</v>
      </c>
      <c r="I174" s="125">
        <v>0</v>
      </c>
      <c r="J174" s="125">
        <v>1</v>
      </c>
      <c r="K174" s="125">
        <v>0</v>
      </c>
      <c r="L174" s="125">
        <v>2</v>
      </c>
      <c r="M174" s="125">
        <v>1</v>
      </c>
      <c r="N174" s="125">
        <v>0</v>
      </c>
      <c r="O174" s="125">
        <v>1</v>
      </c>
      <c r="P174" s="125">
        <v>0</v>
      </c>
      <c r="Q174" s="125">
        <v>1</v>
      </c>
      <c r="R174" s="125">
        <v>4</v>
      </c>
      <c r="S174" s="125">
        <v>1</v>
      </c>
      <c r="T174" s="125">
        <v>0</v>
      </c>
      <c r="U174" s="125">
        <v>0</v>
      </c>
      <c r="V174" s="125">
        <v>2</v>
      </c>
      <c r="W174" s="125">
        <v>1</v>
      </c>
      <c r="X174" s="125"/>
      <c r="Y174" s="125"/>
      <c r="Z174" s="125"/>
      <c r="AA174" s="125">
        <v>1</v>
      </c>
      <c r="AB174" s="125"/>
      <c r="AC174" s="125"/>
      <c r="AD174" s="125"/>
      <c r="AE174" s="125">
        <v>1</v>
      </c>
      <c r="AF174" s="237">
        <v>2</v>
      </c>
      <c r="AG174" s="126">
        <f t="shared" si="29"/>
        <v>25</v>
      </c>
      <c r="AH174" s="111"/>
    </row>
    <row r="175" spans="1:34" ht="15.75" customHeight="1" x14ac:dyDescent="0.25">
      <c r="A175" s="127" t="s">
        <v>113</v>
      </c>
      <c r="B175" s="128">
        <v>0</v>
      </c>
      <c r="C175" s="129">
        <v>0</v>
      </c>
      <c r="D175" s="129">
        <v>0</v>
      </c>
      <c r="E175" s="129">
        <v>0</v>
      </c>
      <c r="F175" s="129">
        <v>0</v>
      </c>
      <c r="G175" s="129">
        <v>0</v>
      </c>
      <c r="H175" s="129">
        <v>0</v>
      </c>
      <c r="I175" s="129">
        <v>0</v>
      </c>
      <c r="J175" s="129">
        <v>1</v>
      </c>
      <c r="K175" s="129">
        <v>0</v>
      </c>
      <c r="L175" s="129">
        <v>0</v>
      </c>
      <c r="M175" s="129">
        <v>0</v>
      </c>
      <c r="N175" s="129">
        <v>1</v>
      </c>
      <c r="O175" s="129">
        <v>0</v>
      </c>
      <c r="P175" s="129">
        <v>1</v>
      </c>
      <c r="Q175" s="129">
        <v>0</v>
      </c>
      <c r="R175" s="129">
        <v>0</v>
      </c>
      <c r="S175" s="129">
        <v>0</v>
      </c>
      <c r="T175" s="129">
        <v>0</v>
      </c>
      <c r="U175" s="129">
        <v>0</v>
      </c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238"/>
      <c r="AG175" s="130">
        <f t="shared" si="29"/>
        <v>3</v>
      </c>
      <c r="AH175" s="111"/>
    </row>
    <row r="176" spans="1:34" ht="15.75" customHeight="1" x14ac:dyDescent="0.25">
      <c r="A176" s="131" t="s">
        <v>114</v>
      </c>
      <c r="B176" s="132">
        <v>0</v>
      </c>
      <c r="C176" s="133">
        <v>0</v>
      </c>
      <c r="D176" s="133">
        <v>0</v>
      </c>
      <c r="E176" s="133">
        <v>0</v>
      </c>
      <c r="F176" s="133">
        <v>0</v>
      </c>
      <c r="G176" s="133">
        <v>0</v>
      </c>
      <c r="H176" s="133">
        <v>0</v>
      </c>
      <c r="I176" s="133">
        <v>0</v>
      </c>
      <c r="J176" s="133">
        <v>0</v>
      </c>
      <c r="K176" s="133">
        <v>0</v>
      </c>
      <c r="L176" s="133">
        <v>0</v>
      </c>
      <c r="M176" s="133">
        <v>0</v>
      </c>
      <c r="N176" s="133">
        <v>0</v>
      </c>
      <c r="O176" s="133">
        <v>0</v>
      </c>
      <c r="P176" s="133">
        <v>0</v>
      </c>
      <c r="Q176" s="133">
        <v>0</v>
      </c>
      <c r="R176" s="133">
        <v>0</v>
      </c>
      <c r="S176" s="133">
        <v>0</v>
      </c>
      <c r="T176" s="133">
        <v>0</v>
      </c>
      <c r="U176" s="133">
        <v>0</v>
      </c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239"/>
      <c r="AG176" s="134">
        <f t="shared" si="29"/>
        <v>0</v>
      </c>
      <c r="AH176" s="111"/>
    </row>
    <row r="177" spans="1:35" ht="15.75" customHeight="1" x14ac:dyDescent="0.25">
      <c r="A177" s="53" t="s">
        <v>115</v>
      </c>
      <c r="B177" s="135">
        <f t="shared" ref="B177:AF177" si="34">SUM(B178:B179)</f>
        <v>5</v>
      </c>
      <c r="C177" s="136">
        <f t="shared" si="34"/>
        <v>3</v>
      </c>
      <c r="D177" s="136">
        <f t="shared" si="34"/>
        <v>6</v>
      </c>
      <c r="E177" s="136">
        <f t="shared" si="34"/>
        <v>2</v>
      </c>
      <c r="F177" s="136">
        <f t="shared" si="34"/>
        <v>6</v>
      </c>
      <c r="G177" s="136">
        <f t="shared" si="34"/>
        <v>4</v>
      </c>
      <c r="H177" s="136">
        <f t="shared" si="34"/>
        <v>1</v>
      </c>
      <c r="I177" s="136">
        <f t="shared" si="34"/>
        <v>4</v>
      </c>
      <c r="J177" s="136">
        <f t="shared" si="34"/>
        <v>20</v>
      </c>
      <c r="K177" s="136">
        <f t="shared" si="34"/>
        <v>2</v>
      </c>
      <c r="L177" s="136">
        <f t="shared" si="34"/>
        <v>6</v>
      </c>
      <c r="M177" s="136">
        <f t="shared" si="34"/>
        <v>5</v>
      </c>
      <c r="N177" s="136">
        <f t="shared" si="34"/>
        <v>4</v>
      </c>
      <c r="O177" s="136">
        <f t="shared" si="34"/>
        <v>3</v>
      </c>
      <c r="P177" s="136">
        <f t="shared" si="34"/>
        <v>1</v>
      </c>
      <c r="Q177" s="136">
        <f t="shared" si="34"/>
        <v>3</v>
      </c>
      <c r="R177" s="136">
        <f t="shared" si="34"/>
        <v>4</v>
      </c>
      <c r="S177" s="136">
        <f t="shared" si="34"/>
        <v>6</v>
      </c>
      <c r="T177" s="136">
        <f t="shared" si="34"/>
        <v>8</v>
      </c>
      <c r="U177" s="136">
        <f t="shared" si="34"/>
        <v>6</v>
      </c>
      <c r="V177" s="136">
        <f t="shared" si="34"/>
        <v>3</v>
      </c>
      <c r="W177" s="136">
        <f t="shared" si="34"/>
        <v>4</v>
      </c>
      <c r="X177" s="136">
        <f t="shared" si="34"/>
        <v>3</v>
      </c>
      <c r="Y177" s="136">
        <f t="shared" si="34"/>
        <v>2</v>
      </c>
      <c r="Z177" s="136">
        <f t="shared" si="34"/>
        <v>3</v>
      </c>
      <c r="AA177" s="136">
        <f t="shared" si="34"/>
        <v>8</v>
      </c>
      <c r="AB177" s="136">
        <f t="shared" si="34"/>
        <v>1</v>
      </c>
      <c r="AC177" s="136">
        <f t="shared" si="34"/>
        <v>0</v>
      </c>
      <c r="AD177" s="136">
        <f t="shared" si="34"/>
        <v>0</v>
      </c>
      <c r="AE177" s="136">
        <f t="shared" si="34"/>
        <v>1</v>
      </c>
      <c r="AF177" s="240">
        <f t="shared" si="34"/>
        <v>1</v>
      </c>
      <c r="AG177" s="137">
        <f t="shared" si="29"/>
        <v>125</v>
      </c>
      <c r="AH177" s="111" t="s">
        <v>116</v>
      </c>
    </row>
    <row r="178" spans="1:35" ht="15.75" customHeight="1" x14ac:dyDescent="0.25">
      <c r="A178" s="138" t="s">
        <v>117</v>
      </c>
      <c r="B178" s="139">
        <v>3</v>
      </c>
      <c r="C178" s="140">
        <v>0</v>
      </c>
      <c r="D178" s="140">
        <v>1</v>
      </c>
      <c r="E178" s="140">
        <v>0</v>
      </c>
      <c r="F178" s="140">
        <v>0</v>
      </c>
      <c r="G178" s="140">
        <v>0</v>
      </c>
      <c r="H178" s="140">
        <v>0</v>
      </c>
      <c r="I178" s="140">
        <v>0</v>
      </c>
      <c r="J178" s="140">
        <v>3</v>
      </c>
      <c r="K178" s="140">
        <v>1</v>
      </c>
      <c r="L178" s="140">
        <v>2</v>
      </c>
      <c r="M178" s="140">
        <v>0</v>
      </c>
      <c r="N178" s="140">
        <v>0</v>
      </c>
      <c r="O178" s="140">
        <v>1</v>
      </c>
      <c r="P178" s="140">
        <v>0</v>
      </c>
      <c r="Q178" s="140">
        <v>0</v>
      </c>
      <c r="R178" s="140">
        <v>0</v>
      </c>
      <c r="S178" s="140">
        <v>0</v>
      </c>
      <c r="T178" s="140">
        <v>0</v>
      </c>
      <c r="U178" s="140">
        <v>0</v>
      </c>
      <c r="V178" s="140">
        <v>2</v>
      </c>
      <c r="W178" s="140">
        <v>1</v>
      </c>
      <c r="X178" s="140"/>
      <c r="Y178" s="140"/>
      <c r="Z178" s="140"/>
      <c r="AA178" s="140">
        <v>1</v>
      </c>
      <c r="AB178" s="140"/>
      <c r="AC178" s="140"/>
      <c r="AD178" s="140"/>
      <c r="AE178" s="140"/>
      <c r="AF178" s="241">
        <v>0</v>
      </c>
      <c r="AG178" s="141">
        <f t="shared" si="29"/>
        <v>15</v>
      </c>
      <c r="AH178" s="111" t="s">
        <v>116</v>
      </c>
    </row>
    <row r="179" spans="1:35" ht="15.75" customHeight="1" x14ac:dyDescent="0.25">
      <c r="A179" s="58" t="s">
        <v>118</v>
      </c>
      <c r="B179" s="142">
        <v>2</v>
      </c>
      <c r="C179" s="143">
        <v>3</v>
      </c>
      <c r="D179" s="143">
        <v>5</v>
      </c>
      <c r="E179" s="143">
        <v>2</v>
      </c>
      <c r="F179" s="143">
        <v>6</v>
      </c>
      <c r="G179" s="143">
        <v>4</v>
      </c>
      <c r="H179" s="143">
        <v>1</v>
      </c>
      <c r="I179" s="143">
        <v>4</v>
      </c>
      <c r="J179" s="143">
        <v>17</v>
      </c>
      <c r="K179" s="143">
        <v>1</v>
      </c>
      <c r="L179" s="143">
        <v>4</v>
      </c>
      <c r="M179" s="143">
        <v>5</v>
      </c>
      <c r="N179" s="143">
        <v>4</v>
      </c>
      <c r="O179" s="143">
        <v>2</v>
      </c>
      <c r="P179" s="143">
        <v>1</v>
      </c>
      <c r="Q179" s="143">
        <v>3</v>
      </c>
      <c r="R179" s="143">
        <v>4</v>
      </c>
      <c r="S179" s="143">
        <v>6</v>
      </c>
      <c r="T179" s="143">
        <v>8</v>
      </c>
      <c r="U179" s="143">
        <v>6</v>
      </c>
      <c r="V179" s="143">
        <v>1</v>
      </c>
      <c r="W179" s="143">
        <v>3</v>
      </c>
      <c r="X179" s="143">
        <v>3</v>
      </c>
      <c r="Y179" s="143">
        <v>2</v>
      </c>
      <c r="Z179" s="143">
        <v>3</v>
      </c>
      <c r="AA179" s="143">
        <v>7</v>
      </c>
      <c r="AB179" s="143">
        <v>1</v>
      </c>
      <c r="AC179" s="143"/>
      <c r="AD179" s="143"/>
      <c r="AE179" s="143">
        <v>1</v>
      </c>
      <c r="AF179" s="242">
        <v>1</v>
      </c>
      <c r="AG179" s="144">
        <f t="shared" si="29"/>
        <v>110</v>
      </c>
      <c r="AH179" s="111" t="s">
        <v>116</v>
      </c>
    </row>
    <row r="180" spans="1:35" ht="15.75" customHeight="1" x14ac:dyDescent="0.25">
      <c r="A180" s="145" t="s">
        <v>119</v>
      </c>
      <c r="B180" s="146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243"/>
      <c r="AG180" s="148">
        <f t="shared" si="29"/>
        <v>0</v>
      </c>
    </row>
    <row r="181" spans="1:35" ht="15.75" customHeight="1" x14ac:dyDescent="0.25">
      <c r="A181" s="149" t="s">
        <v>120</v>
      </c>
      <c r="B181" s="150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244"/>
      <c r="AG181" s="152">
        <f t="shared" si="29"/>
        <v>0</v>
      </c>
    </row>
    <row r="182" spans="1:35" ht="15.75" customHeight="1" x14ac:dyDescent="0.25">
      <c r="A182" s="153" t="s">
        <v>121</v>
      </c>
      <c r="B182" s="154">
        <f t="shared" ref="B182:AF182" si="35">SUM(B183:B208)</f>
        <v>73</v>
      </c>
      <c r="C182" s="155">
        <f t="shared" si="35"/>
        <v>68</v>
      </c>
      <c r="D182" s="155">
        <f t="shared" si="35"/>
        <v>106</v>
      </c>
      <c r="E182" s="155">
        <f t="shared" si="35"/>
        <v>89</v>
      </c>
      <c r="F182" s="155">
        <f t="shared" si="35"/>
        <v>91</v>
      </c>
      <c r="G182" s="155">
        <f t="shared" si="35"/>
        <v>90</v>
      </c>
      <c r="H182" s="155">
        <f t="shared" si="35"/>
        <v>77</v>
      </c>
      <c r="I182" s="155">
        <f t="shared" si="35"/>
        <v>75</v>
      </c>
      <c r="J182" s="155">
        <f t="shared" si="35"/>
        <v>70</v>
      </c>
      <c r="K182" s="155">
        <f t="shared" si="35"/>
        <v>70</v>
      </c>
      <c r="L182" s="155">
        <f t="shared" si="35"/>
        <v>95</v>
      </c>
      <c r="M182" s="155">
        <f t="shared" si="35"/>
        <v>82</v>
      </c>
      <c r="N182" s="155">
        <f t="shared" si="35"/>
        <v>70</v>
      </c>
      <c r="O182" s="155">
        <f t="shared" si="35"/>
        <v>79</v>
      </c>
      <c r="P182" s="155">
        <f t="shared" si="35"/>
        <v>44</v>
      </c>
      <c r="Q182" s="155">
        <f t="shared" si="35"/>
        <v>92</v>
      </c>
      <c r="R182" s="155">
        <f t="shared" si="35"/>
        <v>88</v>
      </c>
      <c r="S182" s="155">
        <f t="shared" si="35"/>
        <v>70</v>
      </c>
      <c r="T182" s="155">
        <f t="shared" si="35"/>
        <v>57</v>
      </c>
      <c r="U182" s="155">
        <f t="shared" si="35"/>
        <v>62</v>
      </c>
      <c r="V182" s="155">
        <f t="shared" si="35"/>
        <v>70</v>
      </c>
      <c r="W182" s="155">
        <f t="shared" si="35"/>
        <v>66</v>
      </c>
      <c r="X182" s="155">
        <f t="shared" si="35"/>
        <v>74</v>
      </c>
      <c r="Y182" s="155">
        <f t="shared" si="35"/>
        <v>43</v>
      </c>
      <c r="Z182" s="155">
        <f t="shared" si="35"/>
        <v>48</v>
      </c>
      <c r="AA182" s="155">
        <f t="shared" si="35"/>
        <v>40</v>
      </c>
      <c r="AB182" s="155">
        <f t="shared" si="35"/>
        <v>44</v>
      </c>
      <c r="AC182" s="155">
        <f t="shared" si="35"/>
        <v>41</v>
      </c>
      <c r="AD182" s="155">
        <f t="shared" si="35"/>
        <v>41</v>
      </c>
      <c r="AE182" s="155">
        <f t="shared" si="35"/>
        <v>70</v>
      </c>
      <c r="AF182" s="245">
        <f t="shared" si="35"/>
        <v>46</v>
      </c>
      <c r="AG182" s="91">
        <f t="shared" si="29"/>
        <v>2131</v>
      </c>
      <c r="AH182" s="78"/>
    </row>
    <row r="183" spans="1:35" ht="15.75" customHeight="1" x14ac:dyDescent="0.25">
      <c r="A183" s="156" t="s">
        <v>122</v>
      </c>
      <c r="B183" s="157">
        <v>8</v>
      </c>
      <c r="C183" s="158">
        <v>7</v>
      </c>
      <c r="D183" s="158">
        <v>6</v>
      </c>
      <c r="E183" s="158"/>
      <c r="F183" s="158">
        <v>10</v>
      </c>
      <c r="G183" s="158">
        <v>3</v>
      </c>
      <c r="H183" s="158">
        <v>1</v>
      </c>
      <c r="I183" s="158">
        <v>9</v>
      </c>
      <c r="J183" s="158">
        <v>4</v>
      </c>
      <c r="K183" s="158">
        <v>3</v>
      </c>
      <c r="L183" s="158">
        <v>15</v>
      </c>
      <c r="M183" s="158">
        <v>9</v>
      </c>
      <c r="N183" s="158">
        <v>5</v>
      </c>
      <c r="O183" s="158">
        <v>3</v>
      </c>
      <c r="P183" s="158">
        <v>4</v>
      </c>
      <c r="Q183" s="158">
        <v>1</v>
      </c>
      <c r="R183" s="158">
        <v>8</v>
      </c>
      <c r="S183" s="158">
        <v>6</v>
      </c>
      <c r="T183" s="158">
        <v>2</v>
      </c>
      <c r="U183" s="158">
        <v>3</v>
      </c>
      <c r="V183" s="158">
        <v>8</v>
      </c>
      <c r="W183" s="158">
        <v>4</v>
      </c>
      <c r="X183" s="158">
        <v>1</v>
      </c>
      <c r="Y183" s="158">
        <v>5</v>
      </c>
      <c r="Z183" s="158">
        <v>5</v>
      </c>
      <c r="AA183" s="158">
        <v>5</v>
      </c>
      <c r="AB183" s="158">
        <v>8</v>
      </c>
      <c r="AC183" s="158"/>
      <c r="AD183" s="158"/>
      <c r="AE183" s="158">
        <v>10</v>
      </c>
      <c r="AF183" s="246">
        <v>6</v>
      </c>
      <c r="AG183" s="159">
        <f t="shared" si="29"/>
        <v>159</v>
      </c>
    </row>
    <row r="184" spans="1:35" ht="15.75" customHeight="1" x14ac:dyDescent="0.25">
      <c r="A184" s="160" t="s">
        <v>123</v>
      </c>
      <c r="B184" s="65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>
        <v>1</v>
      </c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222"/>
      <c r="AG184" s="15">
        <f t="shared" si="29"/>
        <v>1</v>
      </c>
    </row>
    <row r="185" spans="1:35" ht="15.75" customHeight="1" x14ac:dyDescent="0.25">
      <c r="A185" s="160" t="s">
        <v>124</v>
      </c>
      <c r="B185" s="65"/>
      <c r="C185" s="66">
        <v>2</v>
      </c>
      <c r="D185" s="66"/>
      <c r="E185" s="66"/>
      <c r="F185" s="66"/>
      <c r="G185" s="66"/>
      <c r="H185" s="66"/>
      <c r="I185" s="66">
        <v>1</v>
      </c>
      <c r="J185" s="66">
        <v>5</v>
      </c>
      <c r="K185" s="66">
        <v>5</v>
      </c>
      <c r="L185" s="66">
        <v>7</v>
      </c>
      <c r="M185" s="66">
        <v>3</v>
      </c>
      <c r="N185" s="66"/>
      <c r="O185" s="66"/>
      <c r="P185" s="66"/>
      <c r="Q185" s="66"/>
      <c r="R185" s="66">
        <v>3</v>
      </c>
      <c r="S185" s="66">
        <v>5</v>
      </c>
      <c r="T185" s="66">
        <v>4</v>
      </c>
      <c r="U185" s="66"/>
      <c r="V185" s="66"/>
      <c r="W185" s="66">
        <v>7</v>
      </c>
      <c r="X185" s="66">
        <v>10</v>
      </c>
      <c r="Y185" s="66"/>
      <c r="Z185" s="66"/>
      <c r="AA185" s="66"/>
      <c r="AB185" s="66"/>
      <c r="AC185" s="66"/>
      <c r="AD185" s="66"/>
      <c r="AE185" s="66">
        <v>1</v>
      </c>
      <c r="AF185" s="222"/>
      <c r="AG185" s="15">
        <f t="shared" si="29"/>
        <v>53</v>
      </c>
    </row>
    <row r="186" spans="1:35" ht="15.75" customHeight="1" x14ac:dyDescent="0.25">
      <c r="A186" s="160" t="s">
        <v>125</v>
      </c>
      <c r="B186" s="65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>
        <v>1</v>
      </c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222"/>
      <c r="AG186" s="15">
        <f t="shared" si="29"/>
        <v>1</v>
      </c>
    </row>
    <row r="187" spans="1:35" ht="15.75" customHeight="1" x14ac:dyDescent="0.25">
      <c r="A187" s="161" t="s">
        <v>126</v>
      </c>
      <c r="B187" s="162">
        <v>62</v>
      </c>
      <c r="C187" s="163">
        <v>53</v>
      </c>
      <c r="D187" s="163">
        <v>94</v>
      </c>
      <c r="E187" s="163">
        <v>78</v>
      </c>
      <c r="F187" s="163">
        <v>71</v>
      </c>
      <c r="G187" s="163">
        <v>77</v>
      </c>
      <c r="H187" s="163">
        <v>67</v>
      </c>
      <c r="I187" s="163">
        <v>58</v>
      </c>
      <c r="J187" s="163">
        <v>58</v>
      </c>
      <c r="K187" s="163">
        <v>54</v>
      </c>
      <c r="L187" s="163">
        <v>67</v>
      </c>
      <c r="M187" s="163">
        <v>60</v>
      </c>
      <c r="N187" s="163">
        <v>61</v>
      </c>
      <c r="O187" s="163">
        <v>69</v>
      </c>
      <c r="P187" s="163">
        <v>39</v>
      </c>
      <c r="Q187" s="163">
        <v>80</v>
      </c>
      <c r="R187" s="163">
        <v>69</v>
      </c>
      <c r="S187" s="163">
        <v>48</v>
      </c>
      <c r="T187" s="163">
        <v>43</v>
      </c>
      <c r="U187" s="163">
        <v>55</v>
      </c>
      <c r="V187" s="163">
        <v>57</v>
      </c>
      <c r="W187" s="163">
        <v>48</v>
      </c>
      <c r="X187" s="163">
        <v>60</v>
      </c>
      <c r="Y187" s="163">
        <v>36</v>
      </c>
      <c r="Z187" s="163">
        <v>35</v>
      </c>
      <c r="AA187" s="163">
        <v>35</v>
      </c>
      <c r="AB187" s="163">
        <v>35</v>
      </c>
      <c r="AC187" s="163">
        <v>41</v>
      </c>
      <c r="AD187" s="163">
        <v>41</v>
      </c>
      <c r="AE187" s="163">
        <v>52</v>
      </c>
      <c r="AF187" s="247">
        <v>39</v>
      </c>
      <c r="AG187" s="164">
        <f t="shared" si="29"/>
        <v>1742</v>
      </c>
      <c r="AH187" s="165"/>
      <c r="AI187" s="165"/>
    </row>
    <row r="188" spans="1:35" ht="15.75" customHeight="1" x14ac:dyDescent="0.25">
      <c r="A188" s="160" t="s">
        <v>127</v>
      </c>
      <c r="B188" s="65"/>
      <c r="C188" s="66">
        <v>1</v>
      </c>
      <c r="D188" s="66"/>
      <c r="E188" s="66">
        <v>3</v>
      </c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>
        <v>1</v>
      </c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222"/>
      <c r="AG188" s="15">
        <f t="shared" si="29"/>
        <v>5</v>
      </c>
    </row>
    <row r="189" spans="1:35" ht="15.75" customHeight="1" x14ac:dyDescent="0.25">
      <c r="A189" s="160" t="s">
        <v>128</v>
      </c>
      <c r="B189" s="65"/>
      <c r="C189" s="66"/>
      <c r="D189" s="66"/>
      <c r="E189" s="66"/>
      <c r="F189" s="66">
        <v>1</v>
      </c>
      <c r="G189" s="66"/>
      <c r="H189" s="66"/>
      <c r="I189" s="66"/>
      <c r="J189" s="66"/>
      <c r="K189" s="66">
        <v>1</v>
      </c>
      <c r="L189" s="66"/>
      <c r="M189" s="66">
        <v>1</v>
      </c>
      <c r="N189" s="66"/>
      <c r="O189" s="66"/>
      <c r="P189" s="66"/>
      <c r="Q189" s="66"/>
      <c r="R189" s="66">
        <v>1</v>
      </c>
      <c r="S189" s="66"/>
      <c r="T189" s="66"/>
      <c r="U189" s="66"/>
      <c r="V189" s="66"/>
      <c r="W189" s="66"/>
      <c r="X189" s="66">
        <v>2</v>
      </c>
      <c r="Y189" s="66"/>
      <c r="Z189" s="66"/>
      <c r="AA189" s="66"/>
      <c r="AB189" s="66"/>
      <c r="AC189" s="66"/>
      <c r="AD189" s="66"/>
      <c r="AE189" s="66"/>
      <c r="AF189" s="222"/>
      <c r="AG189" s="15">
        <f t="shared" si="29"/>
        <v>6</v>
      </c>
    </row>
    <row r="190" spans="1:35" ht="15.75" customHeight="1" x14ac:dyDescent="0.25">
      <c r="A190" s="160" t="s">
        <v>129</v>
      </c>
      <c r="B190" s="65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222"/>
      <c r="AG190" s="15">
        <f t="shared" si="29"/>
        <v>0</v>
      </c>
    </row>
    <row r="191" spans="1:35" ht="15.75" customHeight="1" x14ac:dyDescent="0.25">
      <c r="A191" s="160" t="s">
        <v>130</v>
      </c>
      <c r="B191" s="65"/>
      <c r="C191" s="66">
        <v>1</v>
      </c>
      <c r="D191" s="66">
        <v>5</v>
      </c>
      <c r="E191" s="66">
        <v>5</v>
      </c>
      <c r="F191" s="66">
        <v>6</v>
      </c>
      <c r="G191" s="66">
        <v>2</v>
      </c>
      <c r="H191" s="66">
        <v>3</v>
      </c>
      <c r="I191" s="66">
        <v>2</v>
      </c>
      <c r="J191" s="66">
        <v>3</v>
      </c>
      <c r="K191" s="66">
        <v>5</v>
      </c>
      <c r="L191" s="66">
        <v>4</v>
      </c>
      <c r="M191" s="66">
        <v>2</v>
      </c>
      <c r="N191" s="66">
        <v>2</v>
      </c>
      <c r="O191" s="66">
        <v>1</v>
      </c>
      <c r="P191" s="66"/>
      <c r="Q191" s="66">
        <v>6</v>
      </c>
      <c r="R191" s="66">
        <v>3</v>
      </c>
      <c r="S191" s="66">
        <v>8</v>
      </c>
      <c r="T191" s="66">
        <v>6</v>
      </c>
      <c r="U191" s="66">
        <v>1</v>
      </c>
      <c r="V191" s="66">
        <v>1</v>
      </c>
      <c r="W191" s="66">
        <v>3</v>
      </c>
      <c r="X191" s="66"/>
      <c r="Y191" s="66"/>
      <c r="Z191" s="66"/>
      <c r="AA191" s="66"/>
      <c r="AB191" s="66"/>
      <c r="AC191" s="66"/>
      <c r="AD191" s="66"/>
      <c r="AE191" s="66"/>
      <c r="AF191" s="222"/>
      <c r="AG191" s="15">
        <f t="shared" si="29"/>
        <v>69</v>
      </c>
    </row>
    <row r="192" spans="1:35" ht="15.75" customHeight="1" x14ac:dyDescent="0.25">
      <c r="A192" s="64" t="s">
        <v>131</v>
      </c>
      <c r="B192" s="65"/>
      <c r="C192" s="66"/>
      <c r="D192" s="66"/>
      <c r="E192" s="66"/>
      <c r="F192" s="66"/>
      <c r="G192" s="66"/>
      <c r="H192" s="66"/>
      <c r="I192" s="66"/>
      <c r="J192" s="66"/>
      <c r="K192" s="66">
        <v>1</v>
      </c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222"/>
      <c r="AG192" s="15">
        <f t="shared" si="29"/>
        <v>1</v>
      </c>
    </row>
    <row r="193" spans="1:33" ht="15.75" customHeight="1" x14ac:dyDescent="0.25">
      <c r="A193" s="64" t="s">
        <v>132</v>
      </c>
      <c r="B193" s="65"/>
      <c r="C193" s="66"/>
      <c r="D193" s="66"/>
      <c r="E193" s="66">
        <v>1</v>
      </c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222"/>
      <c r="AG193" s="15">
        <f t="shared" si="29"/>
        <v>1</v>
      </c>
    </row>
    <row r="194" spans="1:33" ht="15.75" customHeight="1" x14ac:dyDescent="0.25">
      <c r="A194" s="64" t="s">
        <v>133</v>
      </c>
      <c r="B194" s="65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222"/>
      <c r="AG194" s="15">
        <f t="shared" si="29"/>
        <v>0</v>
      </c>
    </row>
    <row r="195" spans="1:33" ht="15.75" customHeight="1" x14ac:dyDescent="0.25">
      <c r="A195" s="64" t="s">
        <v>134</v>
      </c>
      <c r="B195" s="65"/>
      <c r="C195" s="66"/>
      <c r="D195" s="66">
        <v>1</v>
      </c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>
        <v>1</v>
      </c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222"/>
      <c r="AG195" s="15">
        <f t="shared" si="29"/>
        <v>2</v>
      </c>
    </row>
    <row r="196" spans="1:33" ht="15.75" customHeight="1" x14ac:dyDescent="0.25">
      <c r="A196" s="166" t="s">
        <v>135</v>
      </c>
      <c r="B196" s="167">
        <v>3</v>
      </c>
      <c r="C196" s="168">
        <v>1</v>
      </c>
      <c r="D196" s="168"/>
      <c r="E196" s="168"/>
      <c r="F196" s="168">
        <v>2</v>
      </c>
      <c r="G196" s="168">
        <v>7</v>
      </c>
      <c r="H196" s="168">
        <v>5</v>
      </c>
      <c r="I196" s="168"/>
      <c r="J196" s="168"/>
      <c r="K196" s="168"/>
      <c r="L196" s="168"/>
      <c r="M196" s="168">
        <v>5</v>
      </c>
      <c r="N196" s="168">
        <v>1</v>
      </c>
      <c r="O196" s="168">
        <v>5</v>
      </c>
      <c r="P196" s="168">
        <v>1</v>
      </c>
      <c r="Q196" s="168">
        <v>1</v>
      </c>
      <c r="R196" s="168">
        <v>1</v>
      </c>
      <c r="S196" s="168"/>
      <c r="T196" s="168">
        <v>2</v>
      </c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248"/>
      <c r="AG196" s="169">
        <f t="shared" si="29"/>
        <v>34</v>
      </c>
    </row>
    <row r="197" spans="1:33" ht="15.75" customHeight="1" x14ac:dyDescent="0.25">
      <c r="A197" s="170" t="s">
        <v>136</v>
      </c>
      <c r="B197" s="65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222"/>
      <c r="AG197" s="15">
        <f t="shared" si="29"/>
        <v>0</v>
      </c>
    </row>
    <row r="198" spans="1:33" ht="15.75" customHeight="1" x14ac:dyDescent="0.25">
      <c r="A198" s="170" t="s">
        <v>137</v>
      </c>
      <c r="B198" s="65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222"/>
      <c r="AG198" s="15">
        <f t="shared" si="29"/>
        <v>0</v>
      </c>
    </row>
    <row r="199" spans="1:33" ht="15.75" customHeight="1" x14ac:dyDescent="0.25">
      <c r="A199" s="170" t="s">
        <v>138</v>
      </c>
      <c r="B199" s="65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222"/>
      <c r="AG199" s="15">
        <f t="shared" si="29"/>
        <v>0</v>
      </c>
    </row>
    <row r="200" spans="1:33" ht="15.75" customHeight="1" x14ac:dyDescent="0.25">
      <c r="A200" s="170" t="s">
        <v>139</v>
      </c>
      <c r="B200" s="65"/>
      <c r="C200" s="66"/>
      <c r="D200" s="66"/>
      <c r="E200" s="66"/>
      <c r="F200" s="66"/>
      <c r="G200" s="66"/>
      <c r="H200" s="66"/>
      <c r="I200" s="66">
        <v>2</v>
      </c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222"/>
      <c r="AG200" s="15">
        <f t="shared" si="29"/>
        <v>2</v>
      </c>
    </row>
    <row r="201" spans="1:33" ht="15.75" customHeight="1" x14ac:dyDescent="0.25">
      <c r="A201" s="170" t="s">
        <v>140</v>
      </c>
      <c r="B201" s="65"/>
      <c r="C201" s="66"/>
      <c r="D201" s="66"/>
      <c r="E201" s="66"/>
      <c r="F201" s="66"/>
      <c r="G201" s="66"/>
      <c r="H201" s="66"/>
      <c r="I201" s="66"/>
      <c r="J201" s="66"/>
      <c r="K201" s="66"/>
      <c r="L201" s="66">
        <v>1</v>
      </c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222"/>
      <c r="AG201" s="15">
        <f t="shared" si="29"/>
        <v>1</v>
      </c>
    </row>
    <row r="202" spans="1:33" ht="15.75" customHeight="1" x14ac:dyDescent="0.25">
      <c r="A202" s="170" t="s">
        <v>141</v>
      </c>
      <c r="B202" s="65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>
        <v>1</v>
      </c>
      <c r="S202" s="66"/>
      <c r="T202" s="66"/>
      <c r="U202" s="66"/>
      <c r="V202" s="66"/>
      <c r="W202" s="66">
        <v>1</v>
      </c>
      <c r="X202" s="66"/>
      <c r="Y202" s="66"/>
      <c r="Z202" s="66"/>
      <c r="AA202" s="66"/>
      <c r="AB202" s="66"/>
      <c r="AC202" s="66"/>
      <c r="AD202" s="66"/>
      <c r="AE202" s="66">
        <v>1</v>
      </c>
      <c r="AF202" s="222"/>
      <c r="AG202" s="15">
        <f t="shared" si="29"/>
        <v>3</v>
      </c>
    </row>
    <row r="203" spans="1:33" ht="15.75" customHeight="1" x14ac:dyDescent="0.25">
      <c r="A203" s="64" t="s">
        <v>142</v>
      </c>
      <c r="B203" s="65"/>
      <c r="C203" s="66"/>
      <c r="D203" s="66"/>
      <c r="E203" s="66">
        <v>1</v>
      </c>
      <c r="F203" s="66"/>
      <c r="G203" s="66"/>
      <c r="H203" s="66"/>
      <c r="I203" s="66"/>
      <c r="J203" s="66"/>
      <c r="K203" s="66"/>
      <c r="L203" s="66"/>
      <c r="M203" s="66">
        <v>2</v>
      </c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>
        <v>2</v>
      </c>
      <c r="AF203" s="222"/>
      <c r="AG203" s="15">
        <f t="shared" si="29"/>
        <v>5</v>
      </c>
    </row>
    <row r="204" spans="1:33" ht="15.75" customHeight="1" x14ac:dyDescent="0.25">
      <c r="A204" s="64" t="s">
        <v>143</v>
      </c>
      <c r="B204" s="65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222"/>
      <c r="AG204" s="15">
        <f t="shared" si="29"/>
        <v>0</v>
      </c>
    </row>
    <row r="205" spans="1:33" ht="15.75" customHeight="1" x14ac:dyDescent="0.25">
      <c r="A205" s="64" t="s">
        <v>144</v>
      </c>
      <c r="B205" s="65"/>
      <c r="C205" s="66">
        <v>1</v>
      </c>
      <c r="D205" s="66"/>
      <c r="E205" s="66"/>
      <c r="F205" s="66"/>
      <c r="G205" s="66">
        <v>1</v>
      </c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>
        <v>1</v>
      </c>
      <c r="T205" s="66"/>
      <c r="U205" s="66">
        <v>1</v>
      </c>
      <c r="V205" s="66"/>
      <c r="W205" s="66"/>
      <c r="X205" s="66"/>
      <c r="Y205" s="66">
        <v>1</v>
      </c>
      <c r="Z205" s="66">
        <v>4</v>
      </c>
      <c r="AA205" s="66"/>
      <c r="AB205" s="66"/>
      <c r="AC205" s="66"/>
      <c r="AD205" s="66"/>
      <c r="AE205" s="66">
        <v>1</v>
      </c>
      <c r="AF205" s="222"/>
      <c r="AG205" s="15">
        <f t="shared" si="29"/>
        <v>10</v>
      </c>
    </row>
    <row r="206" spans="1:33" ht="15.75" customHeight="1" x14ac:dyDescent="0.25">
      <c r="A206" s="64" t="s">
        <v>145</v>
      </c>
      <c r="B206" s="171"/>
      <c r="C206" s="172">
        <v>2</v>
      </c>
      <c r="D206" s="172"/>
      <c r="E206" s="172"/>
      <c r="F206" s="172">
        <v>1</v>
      </c>
      <c r="G206" s="172"/>
      <c r="H206" s="172">
        <v>1</v>
      </c>
      <c r="I206" s="172">
        <v>2</v>
      </c>
      <c r="J206" s="172"/>
      <c r="K206" s="172">
        <v>1</v>
      </c>
      <c r="L206" s="172"/>
      <c r="M206" s="172"/>
      <c r="N206" s="172">
        <v>1</v>
      </c>
      <c r="O206" s="172"/>
      <c r="P206" s="172"/>
      <c r="Q206" s="172">
        <v>1</v>
      </c>
      <c r="R206" s="172">
        <v>2</v>
      </c>
      <c r="S206" s="172">
        <v>1</v>
      </c>
      <c r="T206" s="172"/>
      <c r="U206" s="172"/>
      <c r="V206" s="172">
        <v>2</v>
      </c>
      <c r="W206" s="172">
        <v>3</v>
      </c>
      <c r="X206" s="172">
        <v>1</v>
      </c>
      <c r="Y206" s="172">
        <v>1</v>
      </c>
      <c r="Z206" s="172">
        <v>3</v>
      </c>
      <c r="AA206" s="172"/>
      <c r="AB206" s="172"/>
      <c r="AC206" s="172"/>
      <c r="AD206" s="172"/>
      <c r="AE206" s="172">
        <v>1</v>
      </c>
      <c r="AF206" s="249"/>
      <c r="AG206" s="15">
        <f t="shared" si="29"/>
        <v>23</v>
      </c>
    </row>
    <row r="207" spans="1:33" ht="15.75" customHeight="1" x14ac:dyDescent="0.25">
      <c r="A207" s="173" t="s">
        <v>146</v>
      </c>
      <c r="B207" s="171"/>
      <c r="C207" s="172"/>
      <c r="D207" s="172"/>
      <c r="E207" s="172">
        <v>1</v>
      </c>
      <c r="F207" s="172"/>
      <c r="G207" s="172"/>
      <c r="H207" s="172"/>
      <c r="I207" s="172">
        <v>1</v>
      </c>
      <c r="J207" s="172"/>
      <c r="K207" s="172"/>
      <c r="L207" s="172">
        <v>1</v>
      </c>
      <c r="M207" s="172"/>
      <c r="N207" s="172"/>
      <c r="O207" s="172">
        <v>1</v>
      </c>
      <c r="P207" s="172"/>
      <c r="Q207" s="172">
        <v>1</v>
      </c>
      <c r="R207" s="172"/>
      <c r="S207" s="172"/>
      <c r="T207" s="172"/>
      <c r="U207" s="172"/>
      <c r="V207" s="172">
        <v>2</v>
      </c>
      <c r="W207" s="172"/>
      <c r="X207" s="172"/>
      <c r="Y207" s="172"/>
      <c r="Z207" s="172">
        <v>1</v>
      </c>
      <c r="AA207" s="172"/>
      <c r="AB207" s="172">
        <v>1</v>
      </c>
      <c r="AC207" s="172"/>
      <c r="AD207" s="172"/>
      <c r="AE207" s="172">
        <v>2</v>
      </c>
      <c r="AF207" s="249">
        <v>1</v>
      </c>
      <c r="AG207" s="15">
        <f t="shared" si="29"/>
        <v>12</v>
      </c>
    </row>
    <row r="208" spans="1:33" ht="15.75" customHeight="1" x14ac:dyDescent="0.25">
      <c r="A208" s="174" t="s">
        <v>147</v>
      </c>
      <c r="B208" s="171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>
        <v>1</v>
      </c>
      <c r="V208" s="172"/>
      <c r="W208" s="172"/>
      <c r="X208" s="172"/>
      <c r="Y208" s="172"/>
      <c r="Z208" s="172"/>
      <c r="AA208" s="172"/>
      <c r="AB208" s="172"/>
      <c r="AC208" s="172"/>
      <c r="AD208" s="172"/>
      <c r="AE208" s="172"/>
      <c r="AF208" s="249"/>
      <c r="AG208" s="106">
        <f t="shared" si="29"/>
        <v>1</v>
      </c>
    </row>
    <row r="209" spans="1:34" ht="15.75" customHeight="1" x14ac:dyDescent="0.25">
      <c r="A209" s="175" t="s">
        <v>148</v>
      </c>
      <c r="B209" s="176">
        <f t="shared" ref="B209:AF209" si="36">SUM(B210:B214)</f>
        <v>202</v>
      </c>
      <c r="C209" s="177">
        <f t="shared" si="36"/>
        <v>237</v>
      </c>
      <c r="D209" s="177">
        <f t="shared" si="36"/>
        <v>254</v>
      </c>
      <c r="E209" s="177">
        <f t="shared" si="36"/>
        <v>215</v>
      </c>
      <c r="F209" s="177">
        <f t="shared" si="36"/>
        <v>224</v>
      </c>
      <c r="G209" s="177">
        <f t="shared" si="36"/>
        <v>210</v>
      </c>
      <c r="H209" s="177">
        <f t="shared" si="36"/>
        <v>238</v>
      </c>
      <c r="I209" s="177">
        <f t="shared" si="36"/>
        <v>202</v>
      </c>
      <c r="J209" s="177">
        <f t="shared" si="36"/>
        <v>218</v>
      </c>
      <c r="K209" s="177">
        <f t="shared" si="36"/>
        <v>222</v>
      </c>
      <c r="L209" s="177">
        <f t="shared" si="36"/>
        <v>233</v>
      </c>
      <c r="M209" s="177">
        <f t="shared" si="36"/>
        <v>207</v>
      </c>
      <c r="N209" s="177">
        <f t="shared" si="36"/>
        <v>198</v>
      </c>
      <c r="O209" s="177">
        <f t="shared" si="36"/>
        <v>221</v>
      </c>
      <c r="P209" s="177">
        <f t="shared" si="36"/>
        <v>193</v>
      </c>
      <c r="Q209" s="177">
        <f t="shared" si="36"/>
        <v>251</v>
      </c>
      <c r="R209" s="177">
        <f t="shared" si="36"/>
        <v>234</v>
      </c>
      <c r="S209" s="177">
        <f t="shared" si="36"/>
        <v>221</v>
      </c>
      <c r="T209" s="177">
        <f t="shared" si="36"/>
        <v>212</v>
      </c>
      <c r="U209" s="177">
        <f t="shared" si="36"/>
        <v>197</v>
      </c>
      <c r="V209" s="177">
        <f t="shared" si="36"/>
        <v>189</v>
      </c>
      <c r="W209" s="177">
        <f t="shared" si="36"/>
        <v>206</v>
      </c>
      <c r="X209" s="177">
        <f t="shared" si="36"/>
        <v>217</v>
      </c>
      <c r="Y209" s="177">
        <f t="shared" si="36"/>
        <v>193</v>
      </c>
      <c r="Z209" s="177">
        <f t="shared" si="36"/>
        <v>227</v>
      </c>
      <c r="AA209" s="177">
        <f t="shared" si="36"/>
        <v>210</v>
      </c>
      <c r="AB209" s="177">
        <f t="shared" si="36"/>
        <v>177</v>
      </c>
      <c r="AC209" s="177">
        <f t="shared" si="36"/>
        <v>110</v>
      </c>
      <c r="AD209" s="177">
        <f t="shared" si="36"/>
        <v>180</v>
      </c>
      <c r="AE209" s="177">
        <f t="shared" si="36"/>
        <v>215</v>
      </c>
      <c r="AF209" s="250">
        <f t="shared" si="36"/>
        <v>195</v>
      </c>
      <c r="AG209" s="178">
        <f t="shared" si="29"/>
        <v>6508</v>
      </c>
      <c r="AH209" s="40" t="str">
        <f>IF(AG209&lt;&gt;AG93,"X","")</f>
        <v>X</v>
      </c>
    </row>
    <row r="210" spans="1:34" ht="15.75" customHeight="1" x14ac:dyDescent="0.25">
      <c r="A210" s="179" t="s">
        <v>149</v>
      </c>
      <c r="B210" s="180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>
        <v>1</v>
      </c>
      <c r="N210" s="181"/>
      <c r="O210" s="181"/>
      <c r="P210" s="181"/>
      <c r="Q210" s="181"/>
      <c r="R210" s="181"/>
      <c r="S210" s="181"/>
      <c r="T210" s="181"/>
      <c r="U210" s="181">
        <v>0</v>
      </c>
      <c r="V210" s="181">
        <v>1</v>
      </c>
      <c r="W210" s="181"/>
      <c r="X210" s="181">
        <v>1</v>
      </c>
      <c r="Y210" s="181">
        <v>1</v>
      </c>
      <c r="Z210" s="181"/>
      <c r="AA210" s="181">
        <v>0</v>
      </c>
      <c r="AB210" s="181"/>
      <c r="AC210" s="181"/>
      <c r="AD210" s="181"/>
      <c r="AE210" s="181"/>
      <c r="AF210" s="251"/>
      <c r="AG210" s="182">
        <f t="shared" si="29"/>
        <v>4</v>
      </c>
    </row>
    <row r="211" spans="1:34" ht="15.75" customHeight="1" x14ac:dyDescent="0.25">
      <c r="A211" s="183" t="s">
        <v>51</v>
      </c>
      <c r="B211" s="184">
        <v>2</v>
      </c>
      <c r="C211" s="185">
        <v>3</v>
      </c>
      <c r="D211" s="185"/>
      <c r="E211" s="185">
        <v>2</v>
      </c>
      <c r="F211" s="185">
        <v>2</v>
      </c>
      <c r="G211" s="185">
        <v>4</v>
      </c>
      <c r="H211" s="185">
        <v>2</v>
      </c>
      <c r="I211" s="185">
        <v>1</v>
      </c>
      <c r="J211" s="185"/>
      <c r="K211" s="185">
        <v>2</v>
      </c>
      <c r="L211" s="185">
        <v>1</v>
      </c>
      <c r="M211" s="185">
        <v>3</v>
      </c>
      <c r="N211" s="185">
        <v>1</v>
      </c>
      <c r="O211" s="185">
        <v>1</v>
      </c>
      <c r="P211" s="185"/>
      <c r="Q211" s="185">
        <v>4</v>
      </c>
      <c r="R211" s="185"/>
      <c r="S211" s="185">
        <v>1</v>
      </c>
      <c r="T211" s="185">
        <v>5</v>
      </c>
      <c r="U211" s="185">
        <v>2</v>
      </c>
      <c r="V211" s="185">
        <v>1</v>
      </c>
      <c r="W211" s="185">
        <v>2</v>
      </c>
      <c r="X211" s="185">
        <v>6</v>
      </c>
      <c r="Y211" s="185">
        <v>3</v>
      </c>
      <c r="Z211" s="185"/>
      <c r="AA211" s="185">
        <v>3</v>
      </c>
      <c r="AB211" s="185">
        <v>3</v>
      </c>
      <c r="AC211" s="185"/>
      <c r="AD211" s="185">
        <v>2</v>
      </c>
      <c r="AE211" s="185">
        <v>3</v>
      </c>
      <c r="AF211" s="252">
        <v>3</v>
      </c>
      <c r="AG211" s="186">
        <f t="shared" si="29"/>
        <v>62</v>
      </c>
    </row>
    <row r="212" spans="1:34" ht="15.75" customHeight="1" x14ac:dyDescent="0.25">
      <c r="A212" s="183" t="s">
        <v>52</v>
      </c>
      <c r="B212" s="184">
        <v>27</v>
      </c>
      <c r="C212" s="185">
        <v>29</v>
      </c>
      <c r="D212" s="185">
        <v>21</v>
      </c>
      <c r="E212" s="185">
        <v>24</v>
      </c>
      <c r="F212" s="185">
        <v>29</v>
      </c>
      <c r="G212" s="185">
        <v>24</v>
      </c>
      <c r="H212" s="185">
        <v>19</v>
      </c>
      <c r="I212" s="185">
        <v>28</v>
      </c>
      <c r="J212" s="185">
        <v>23</v>
      </c>
      <c r="K212" s="185">
        <v>23</v>
      </c>
      <c r="L212" s="185">
        <v>28</v>
      </c>
      <c r="M212" s="185">
        <v>26</v>
      </c>
      <c r="N212" s="185">
        <v>19</v>
      </c>
      <c r="O212" s="185">
        <v>22</v>
      </c>
      <c r="P212" s="185">
        <v>18</v>
      </c>
      <c r="Q212" s="185">
        <v>34</v>
      </c>
      <c r="R212" s="185">
        <v>30</v>
      </c>
      <c r="S212" s="185">
        <v>31</v>
      </c>
      <c r="T212" s="185">
        <v>25</v>
      </c>
      <c r="U212" s="185">
        <v>17</v>
      </c>
      <c r="V212" s="185">
        <v>15</v>
      </c>
      <c r="W212" s="185">
        <v>19</v>
      </c>
      <c r="X212" s="185">
        <v>25</v>
      </c>
      <c r="Y212" s="185">
        <v>24</v>
      </c>
      <c r="Z212" s="185">
        <v>28</v>
      </c>
      <c r="AA212" s="185">
        <v>21</v>
      </c>
      <c r="AB212" s="185">
        <v>33</v>
      </c>
      <c r="AC212" s="185"/>
      <c r="AD212" s="185">
        <v>25</v>
      </c>
      <c r="AE212" s="185">
        <v>35</v>
      </c>
      <c r="AF212" s="252">
        <v>31</v>
      </c>
      <c r="AG212" s="186">
        <f t="shared" si="29"/>
        <v>753</v>
      </c>
    </row>
    <row r="213" spans="1:34" ht="15.75" customHeight="1" x14ac:dyDescent="0.25">
      <c r="A213" s="183" t="s">
        <v>53</v>
      </c>
      <c r="B213" s="184">
        <v>133</v>
      </c>
      <c r="C213" s="185">
        <v>156</v>
      </c>
      <c r="D213" s="185">
        <v>192</v>
      </c>
      <c r="E213" s="185">
        <v>160</v>
      </c>
      <c r="F213" s="185">
        <v>144</v>
      </c>
      <c r="G213" s="185">
        <v>147</v>
      </c>
      <c r="H213" s="185">
        <v>164</v>
      </c>
      <c r="I213" s="185">
        <v>126</v>
      </c>
      <c r="J213" s="185">
        <v>171</v>
      </c>
      <c r="K213" s="185">
        <v>155</v>
      </c>
      <c r="L213" s="185">
        <v>147</v>
      </c>
      <c r="M213" s="185">
        <v>127</v>
      </c>
      <c r="N213" s="185">
        <v>146</v>
      </c>
      <c r="O213" s="185">
        <v>147</v>
      </c>
      <c r="P213" s="185">
        <v>118</v>
      </c>
      <c r="Q213" s="185">
        <v>172</v>
      </c>
      <c r="R213" s="185">
        <v>177</v>
      </c>
      <c r="S213" s="185">
        <v>154</v>
      </c>
      <c r="T213" s="185">
        <v>149</v>
      </c>
      <c r="U213" s="185">
        <v>134</v>
      </c>
      <c r="V213" s="185">
        <v>129</v>
      </c>
      <c r="W213" s="185">
        <v>144</v>
      </c>
      <c r="X213" s="185">
        <v>153</v>
      </c>
      <c r="Y213" s="185">
        <v>124</v>
      </c>
      <c r="Z213" s="185">
        <v>155</v>
      </c>
      <c r="AA213" s="185">
        <v>137</v>
      </c>
      <c r="AB213" s="185">
        <v>122</v>
      </c>
      <c r="AC213" s="185">
        <v>84</v>
      </c>
      <c r="AD213" s="185">
        <v>115</v>
      </c>
      <c r="AE213" s="185">
        <v>131</v>
      </c>
      <c r="AF213" s="252">
        <v>135</v>
      </c>
      <c r="AG213" s="186">
        <f t="shared" si="29"/>
        <v>4448</v>
      </c>
    </row>
    <row r="214" spans="1:34" ht="15.75" customHeight="1" x14ac:dyDescent="0.25">
      <c r="A214" s="187" t="s">
        <v>54</v>
      </c>
      <c r="B214" s="188">
        <v>40</v>
      </c>
      <c r="C214" s="189">
        <v>49</v>
      </c>
      <c r="D214" s="189">
        <v>41</v>
      </c>
      <c r="E214" s="189">
        <v>29</v>
      </c>
      <c r="F214" s="189">
        <v>49</v>
      </c>
      <c r="G214" s="189">
        <v>35</v>
      </c>
      <c r="H214" s="189">
        <v>53</v>
      </c>
      <c r="I214" s="189">
        <v>47</v>
      </c>
      <c r="J214" s="189">
        <v>24</v>
      </c>
      <c r="K214" s="189">
        <v>42</v>
      </c>
      <c r="L214" s="189">
        <v>57</v>
      </c>
      <c r="M214" s="189">
        <v>50</v>
      </c>
      <c r="N214" s="189">
        <v>32</v>
      </c>
      <c r="O214" s="189">
        <v>51</v>
      </c>
      <c r="P214" s="189">
        <v>57</v>
      </c>
      <c r="Q214" s="189">
        <v>41</v>
      </c>
      <c r="R214" s="189">
        <v>27</v>
      </c>
      <c r="S214" s="189">
        <v>35</v>
      </c>
      <c r="T214" s="189">
        <v>33</v>
      </c>
      <c r="U214" s="189">
        <v>44</v>
      </c>
      <c r="V214" s="189">
        <v>43</v>
      </c>
      <c r="W214" s="189">
        <v>41</v>
      </c>
      <c r="X214" s="189">
        <v>32</v>
      </c>
      <c r="Y214" s="189">
        <v>41</v>
      </c>
      <c r="Z214" s="189">
        <v>44</v>
      </c>
      <c r="AA214" s="189">
        <v>49</v>
      </c>
      <c r="AB214" s="189">
        <v>19</v>
      </c>
      <c r="AC214" s="189">
        <v>26</v>
      </c>
      <c r="AD214" s="189">
        <v>38</v>
      </c>
      <c r="AE214" s="189">
        <v>46</v>
      </c>
      <c r="AF214" s="253">
        <v>26</v>
      </c>
      <c r="AG214" s="190">
        <f t="shared" si="29"/>
        <v>1241</v>
      </c>
    </row>
    <row r="215" spans="1:34" ht="15.75" customHeight="1" x14ac:dyDescent="0.25">
      <c r="A215" s="113" t="s">
        <v>150</v>
      </c>
      <c r="B215" s="114">
        <f t="shared" ref="B215:AF215" si="37">SUM(B216:B218)</f>
        <v>9</v>
      </c>
      <c r="C215" s="115">
        <f t="shared" si="37"/>
        <v>4</v>
      </c>
      <c r="D215" s="115">
        <f t="shared" si="37"/>
        <v>13</v>
      </c>
      <c r="E215" s="115">
        <f t="shared" si="37"/>
        <v>2</v>
      </c>
      <c r="F215" s="115">
        <f t="shared" si="37"/>
        <v>9</v>
      </c>
      <c r="G215" s="115">
        <f t="shared" si="37"/>
        <v>8</v>
      </c>
      <c r="H215" s="115">
        <f t="shared" si="37"/>
        <v>11</v>
      </c>
      <c r="I215" s="115">
        <f t="shared" si="37"/>
        <v>13</v>
      </c>
      <c r="J215" s="115">
        <f t="shared" si="37"/>
        <v>5</v>
      </c>
      <c r="K215" s="115">
        <f t="shared" si="37"/>
        <v>7</v>
      </c>
      <c r="L215" s="115">
        <f t="shared" si="37"/>
        <v>13</v>
      </c>
      <c r="M215" s="115">
        <f t="shared" si="37"/>
        <v>7</v>
      </c>
      <c r="N215" s="115">
        <f t="shared" si="37"/>
        <v>9</v>
      </c>
      <c r="O215" s="115">
        <f t="shared" si="37"/>
        <v>24</v>
      </c>
      <c r="P215" s="115">
        <f t="shared" si="37"/>
        <v>4</v>
      </c>
      <c r="Q215" s="115">
        <f t="shared" si="37"/>
        <v>7</v>
      </c>
      <c r="R215" s="115">
        <f t="shared" si="37"/>
        <v>6</v>
      </c>
      <c r="S215" s="115">
        <f t="shared" si="37"/>
        <v>3</v>
      </c>
      <c r="T215" s="115">
        <f t="shared" si="37"/>
        <v>11</v>
      </c>
      <c r="U215" s="115">
        <f t="shared" si="37"/>
        <v>10</v>
      </c>
      <c r="V215" s="115">
        <f t="shared" si="37"/>
        <v>7</v>
      </c>
      <c r="W215" s="115">
        <f t="shared" si="37"/>
        <v>9</v>
      </c>
      <c r="X215" s="115">
        <f t="shared" si="37"/>
        <v>8</v>
      </c>
      <c r="Y215" s="115">
        <f t="shared" si="37"/>
        <v>5</v>
      </c>
      <c r="Z215" s="115">
        <f t="shared" si="37"/>
        <v>11</v>
      </c>
      <c r="AA215" s="115">
        <f t="shared" si="37"/>
        <v>3</v>
      </c>
      <c r="AB215" s="115">
        <f t="shared" si="37"/>
        <v>10</v>
      </c>
      <c r="AC215" s="115">
        <f t="shared" si="37"/>
        <v>7</v>
      </c>
      <c r="AD215" s="115">
        <f t="shared" si="37"/>
        <v>12</v>
      </c>
      <c r="AE215" s="115">
        <f t="shared" si="37"/>
        <v>9</v>
      </c>
      <c r="AF215" s="234">
        <f t="shared" si="37"/>
        <v>10</v>
      </c>
      <c r="AG215" s="116">
        <f t="shared" si="29"/>
        <v>266</v>
      </c>
    </row>
    <row r="216" spans="1:34" ht="15.75" customHeight="1" x14ac:dyDescent="0.25">
      <c r="A216" s="191" t="s">
        <v>151</v>
      </c>
      <c r="B216" s="196">
        <v>0</v>
      </c>
      <c r="C216" s="197">
        <v>0</v>
      </c>
      <c r="D216" s="197">
        <v>0</v>
      </c>
      <c r="E216" s="197">
        <v>0</v>
      </c>
      <c r="F216" s="197">
        <v>0</v>
      </c>
      <c r="G216" s="197">
        <v>0</v>
      </c>
      <c r="H216" s="197">
        <v>0</v>
      </c>
      <c r="I216" s="197">
        <v>1</v>
      </c>
      <c r="J216" s="197">
        <v>0</v>
      </c>
      <c r="K216" s="197">
        <v>1</v>
      </c>
      <c r="L216" s="197">
        <v>7</v>
      </c>
      <c r="M216" s="197">
        <v>0</v>
      </c>
      <c r="N216" s="197">
        <v>0</v>
      </c>
      <c r="O216" s="197">
        <v>0</v>
      </c>
      <c r="P216" s="197">
        <v>0</v>
      </c>
      <c r="Q216" s="197">
        <v>1</v>
      </c>
      <c r="R216" s="197">
        <v>0</v>
      </c>
      <c r="S216" s="197">
        <v>0</v>
      </c>
      <c r="T216" s="197">
        <v>0</v>
      </c>
      <c r="U216" s="197">
        <v>0</v>
      </c>
      <c r="V216" s="197">
        <v>0</v>
      </c>
      <c r="W216" s="197">
        <v>2</v>
      </c>
      <c r="X216" s="197">
        <v>2</v>
      </c>
      <c r="Y216" s="197">
        <v>2</v>
      </c>
      <c r="Z216" s="197">
        <v>2</v>
      </c>
      <c r="AA216" s="197">
        <v>1</v>
      </c>
      <c r="AB216" s="197">
        <v>0</v>
      </c>
      <c r="AC216" s="197">
        <v>0</v>
      </c>
      <c r="AD216" s="197">
        <v>0</v>
      </c>
      <c r="AE216" s="197">
        <v>4</v>
      </c>
      <c r="AF216" s="255">
        <v>0</v>
      </c>
      <c r="AG216" s="164">
        <f t="shared" si="29"/>
        <v>23</v>
      </c>
    </row>
    <row r="217" spans="1:34" ht="15.75" customHeight="1" x14ac:dyDescent="0.25">
      <c r="A217" s="195" t="s">
        <v>152</v>
      </c>
      <c r="B217" s="196">
        <v>0</v>
      </c>
      <c r="C217" s="197">
        <v>0</v>
      </c>
      <c r="D217" s="197">
        <v>0</v>
      </c>
      <c r="E217" s="197">
        <v>0</v>
      </c>
      <c r="F217" s="197">
        <v>0</v>
      </c>
      <c r="G217" s="197">
        <v>0</v>
      </c>
      <c r="H217" s="197">
        <v>0</v>
      </c>
      <c r="I217" s="197">
        <v>0</v>
      </c>
      <c r="J217" s="197">
        <v>0</v>
      </c>
      <c r="K217" s="197">
        <v>0</v>
      </c>
      <c r="L217" s="197">
        <v>0</v>
      </c>
      <c r="M217" s="197">
        <v>0</v>
      </c>
      <c r="N217" s="197">
        <v>0</v>
      </c>
      <c r="O217" s="197">
        <v>0</v>
      </c>
      <c r="P217" s="197">
        <v>0</v>
      </c>
      <c r="Q217" s="197">
        <v>0</v>
      </c>
      <c r="R217" s="197">
        <v>0</v>
      </c>
      <c r="S217" s="197">
        <v>0</v>
      </c>
      <c r="T217" s="197">
        <v>0</v>
      </c>
      <c r="U217" s="197">
        <v>0</v>
      </c>
      <c r="V217" s="197">
        <v>0</v>
      </c>
      <c r="W217" s="197">
        <v>0</v>
      </c>
      <c r="X217" s="197">
        <v>0</v>
      </c>
      <c r="Y217" s="197">
        <v>0</v>
      </c>
      <c r="Z217" s="197">
        <v>0</v>
      </c>
      <c r="AA217" s="197">
        <v>0</v>
      </c>
      <c r="AB217" s="197">
        <v>0</v>
      </c>
      <c r="AC217" s="197">
        <v>1</v>
      </c>
      <c r="AD217" s="197">
        <v>0</v>
      </c>
      <c r="AE217" s="197">
        <v>0</v>
      </c>
      <c r="AF217" s="255">
        <v>0</v>
      </c>
      <c r="AG217" s="164">
        <f t="shared" si="29"/>
        <v>1</v>
      </c>
    </row>
    <row r="218" spans="1:34" ht="15.75" customHeight="1" x14ac:dyDescent="0.25">
      <c r="A218" s="195" t="s">
        <v>153</v>
      </c>
      <c r="B218" s="196">
        <v>9</v>
      </c>
      <c r="C218" s="197">
        <v>4</v>
      </c>
      <c r="D218" s="197">
        <v>13</v>
      </c>
      <c r="E218" s="197">
        <v>2</v>
      </c>
      <c r="F218" s="197">
        <v>9</v>
      </c>
      <c r="G218" s="197">
        <v>8</v>
      </c>
      <c r="H218" s="197">
        <v>11</v>
      </c>
      <c r="I218" s="197">
        <v>12</v>
      </c>
      <c r="J218" s="197">
        <v>5</v>
      </c>
      <c r="K218" s="197">
        <v>6</v>
      </c>
      <c r="L218" s="197">
        <v>6</v>
      </c>
      <c r="M218" s="197">
        <v>7</v>
      </c>
      <c r="N218" s="197">
        <v>9</v>
      </c>
      <c r="O218" s="197">
        <v>24</v>
      </c>
      <c r="P218" s="197">
        <v>4</v>
      </c>
      <c r="Q218" s="197">
        <v>6</v>
      </c>
      <c r="R218" s="197">
        <v>6</v>
      </c>
      <c r="S218" s="197">
        <v>3</v>
      </c>
      <c r="T218" s="197">
        <v>11</v>
      </c>
      <c r="U218" s="197">
        <v>10</v>
      </c>
      <c r="V218" s="197">
        <v>7</v>
      </c>
      <c r="W218" s="197">
        <v>7</v>
      </c>
      <c r="X218" s="197">
        <v>6</v>
      </c>
      <c r="Y218" s="197">
        <v>3</v>
      </c>
      <c r="Z218" s="197">
        <v>9</v>
      </c>
      <c r="AA218" s="197">
        <v>2</v>
      </c>
      <c r="AB218" s="197">
        <v>10</v>
      </c>
      <c r="AC218" s="197">
        <v>6</v>
      </c>
      <c r="AD218" s="197">
        <v>12</v>
      </c>
      <c r="AE218" s="197">
        <v>5</v>
      </c>
      <c r="AF218" s="255">
        <v>10</v>
      </c>
      <c r="AG218" s="164">
        <f t="shared" si="29"/>
        <v>242</v>
      </c>
    </row>
    <row r="219" spans="1:34" ht="15.75" customHeight="1" x14ac:dyDescent="0.25">
      <c r="A219" s="88" t="s">
        <v>154</v>
      </c>
      <c r="B219" s="89">
        <f t="shared" ref="B219:AF219" si="38">SUM(B220:B222)</f>
        <v>18</v>
      </c>
      <c r="C219" s="90">
        <f t="shared" si="38"/>
        <v>19</v>
      </c>
      <c r="D219" s="90">
        <f t="shared" si="38"/>
        <v>29</v>
      </c>
      <c r="E219" s="90">
        <f t="shared" si="38"/>
        <v>49</v>
      </c>
      <c r="F219" s="90">
        <f t="shared" si="38"/>
        <v>31</v>
      </c>
      <c r="G219" s="90">
        <f t="shared" si="38"/>
        <v>26</v>
      </c>
      <c r="H219" s="90">
        <f t="shared" si="38"/>
        <v>13</v>
      </c>
      <c r="I219" s="90">
        <f t="shared" si="38"/>
        <v>19</v>
      </c>
      <c r="J219" s="90">
        <f t="shared" si="38"/>
        <v>30</v>
      </c>
      <c r="K219" s="90">
        <f t="shared" si="38"/>
        <v>16</v>
      </c>
      <c r="L219" s="90">
        <f t="shared" si="38"/>
        <v>37</v>
      </c>
      <c r="M219" s="90">
        <f t="shared" si="38"/>
        <v>37</v>
      </c>
      <c r="N219" s="90">
        <f t="shared" si="38"/>
        <v>24</v>
      </c>
      <c r="O219" s="90">
        <f t="shared" si="38"/>
        <v>10</v>
      </c>
      <c r="P219" s="90">
        <f t="shared" si="38"/>
        <v>18</v>
      </c>
      <c r="Q219" s="90">
        <f t="shared" si="38"/>
        <v>31</v>
      </c>
      <c r="R219" s="90">
        <f t="shared" si="38"/>
        <v>49</v>
      </c>
      <c r="S219" s="90">
        <f t="shared" si="38"/>
        <v>27</v>
      </c>
      <c r="T219" s="90">
        <f t="shared" si="38"/>
        <v>27</v>
      </c>
      <c r="U219" s="90">
        <f t="shared" si="38"/>
        <v>22</v>
      </c>
      <c r="V219" s="90">
        <f t="shared" si="38"/>
        <v>32</v>
      </c>
      <c r="W219" s="90">
        <f t="shared" si="38"/>
        <v>19</v>
      </c>
      <c r="X219" s="90">
        <f t="shared" si="38"/>
        <v>29</v>
      </c>
      <c r="Y219" s="90">
        <f t="shared" si="38"/>
        <v>21</v>
      </c>
      <c r="Z219" s="90">
        <f t="shared" si="38"/>
        <v>27</v>
      </c>
      <c r="AA219" s="90">
        <f t="shared" si="38"/>
        <v>31</v>
      </c>
      <c r="AB219" s="90">
        <f t="shared" si="38"/>
        <v>16</v>
      </c>
      <c r="AC219" s="90">
        <f t="shared" si="38"/>
        <v>16</v>
      </c>
      <c r="AD219" s="90">
        <f t="shared" si="38"/>
        <v>15</v>
      </c>
      <c r="AE219" s="90">
        <f t="shared" si="38"/>
        <v>23</v>
      </c>
      <c r="AF219" s="90">
        <f t="shared" si="38"/>
        <v>22</v>
      </c>
      <c r="AG219" s="91">
        <f t="shared" si="29"/>
        <v>783</v>
      </c>
    </row>
    <row r="220" spans="1:34" ht="15.75" customHeight="1" x14ac:dyDescent="0.25">
      <c r="A220" s="198" t="s">
        <v>155</v>
      </c>
      <c r="B220" s="199">
        <v>5</v>
      </c>
      <c r="C220" s="200">
        <v>6</v>
      </c>
      <c r="D220" s="200">
        <v>8</v>
      </c>
      <c r="E220" s="200">
        <v>10</v>
      </c>
      <c r="F220" s="200">
        <v>12</v>
      </c>
      <c r="G220" s="200">
        <v>11</v>
      </c>
      <c r="H220" s="200">
        <v>3</v>
      </c>
      <c r="I220" s="200">
        <v>8</v>
      </c>
      <c r="J220" s="200">
        <v>13</v>
      </c>
      <c r="K220" s="200">
        <v>8</v>
      </c>
      <c r="L220" s="200">
        <v>15</v>
      </c>
      <c r="M220" s="200">
        <v>11</v>
      </c>
      <c r="N220" s="200">
        <v>11</v>
      </c>
      <c r="O220" s="200">
        <v>2</v>
      </c>
      <c r="P220" s="200">
        <v>7</v>
      </c>
      <c r="Q220" s="200">
        <v>14</v>
      </c>
      <c r="R220" s="200">
        <v>22</v>
      </c>
      <c r="S220" s="200">
        <v>10</v>
      </c>
      <c r="T220" s="200">
        <v>9</v>
      </c>
      <c r="U220" s="200">
        <v>7</v>
      </c>
      <c r="V220" s="200">
        <v>12</v>
      </c>
      <c r="W220" s="200">
        <v>8</v>
      </c>
      <c r="X220" s="200">
        <v>16</v>
      </c>
      <c r="Y220" s="200">
        <v>10</v>
      </c>
      <c r="Z220" s="200">
        <v>10</v>
      </c>
      <c r="AA220" s="200">
        <v>11</v>
      </c>
      <c r="AB220" s="200">
        <v>6</v>
      </c>
      <c r="AC220" s="200">
        <v>6</v>
      </c>
      <c r="AD220" s="200">
        <v>6</v>
      </c>
      <c r="AE220" s="200">
        <v>8</v>
      </c>
      <c r="AF220" s="200">
        <v>8</v>
      </c>
      <c r="AG220" s="201">
        <f t="shared" si="29"/>
        <v>293</v>
      </c>
    </row>
    <row r="221" spans="1:34" ht="15.75" customHeight="1" x14ac:dyDescent="0.25">
      <c r="A221" s="202" t="s">
        <v>156</v>
      </c>
      <c r="B221" s="120">
        <v>13</v>
      </c>
      <c r="C221" s="121">
        <v>13</v>
      </c>
      <c r="D221" s="121">
        <v>21</v>
      </c>
      <c r="E221" s="121">
        <v>39</v>
      </c>
      <c r="F221" s="121">
        <v>19</v>
      </c>
      <c r="G221" s="121">
        <v>15</v>
      </c>
      <c r="H221" s="121">
        <v>10</v>
      </c>
      <c r="I221" s="121">
        <v>11</v>
      </c>
      <c r="J221" s="121">
        <v>17</v>
      </c>
      <c r="K221" s="121">
        <v>8</v>
      </c>
      <c r="L221" s="121">
        <v>22</v>
      </c>
      <c r="M221" s="121">
        <v>26</v>
      </c>
      <c r="N221" s="121">
        <v>13</v>
      </c>
      <c r="O221" s="121">
        <v>8</v>
      </c>
      <c r="P221" s="121">
        <v>11</v>
      </c>
      <c r="Q221" s="121">
        <v>17</v>
      </c>
      <c r="R221" s="121">
        <v>27</v>
      </c>
      <c r="S221" s="121">
        <v>17</v>
      </c>
      <c r="T221" s="121">
        <v>18</v>
      </c>
      <c r="U221" s="121">
        <v>15</v>
      </c>
      <c r="V221" s="121">
        <v>20</v>
      </c>
      <c r="W221" s="121">
        <v>11</v>
      </c>
      <c r="X221" s="121">
        <v>13</v>
      </c>
      <c r="Y221" s="121">
        <v>11</v>
      </c>
      <c r="Z221" s="121">
        <v>17</v>
      </c>
      <c r="AA221" s="121">
        <v>20</v>
      </c>
      <c r="AB221" s="121">
        <v>10</v>
      </c>
      <c r="AC221" s="121">
        <v>10</v>
      </c>
      <c r="AD221" s="121">
        <v>9</v>
      </c>
      <c r="AE221" s="121">
        <v>15</v>
      </c>
      <c r="AF221" s="121">
        <v>14</v>
      </c>
      <c r="AG221" s="122">
        <f t="shared" si="29"/>
        <v>490</v>
      </c>
    </row>
    <row r="222" spans="1:34" ht="15.75" customHeight="1" x14ac:dyDescent="0.25">
      <c r="A222" s="74" t="s">
        <v>157</v>
      </c>
      <c r="B222" s="75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112">
        <f t="shared" si="29"/>
        <v>0</v>
      </c>
    </row>
    <row r="223" spans="1:34" ht="15.75" customHeight="1" x14ac:dyDescent="0.25">
      <c r="A223" s="203" t="s">
        <v>158</v>
      </c>
      <c r="B223" s="85">
        <f t="shared" ref="B223:AF223" si="39">SUM(B224:B226)</f>
        <v>2</v>
      </c>
      <c r="C223" s="86">
        <f t="shared" si="39"/>
        <v>2</v>
      </c>
      <c r="D223" s="86">
        <f t="shared" si="39"/>
        <v>3</v>
      </c>
      <c r="E223" s="86">
        <f t="shared" si="39"/>
        <v>1</v>
      </c>
      <c r="F223" s="86">
        <f t="shared" si="39"/>
        <v>4</v>
      </c>
      <c r="G223" s="86">
        <f t="shared" si="39"/>
        <v>3</v>
      </c>
      <c r="H223" s="86">
        <f t="shared" si="39"/>
        <v>2</v>
      </c>
      <c r="I223" s="86">
        <f t="shared" si="39"/>
        <v>1</v>
      </c>
      <c r="J223" s="86">
        <f t="shared" si="39"/>
        <v>3</v>
      </c>
      <c r="K223" s="86">
        <f t="shared" si="39"/>
        <v>2</v>
      </c>
      <c r="L223" s="86">
        <f t="shared" si="39"/>
        <v>5</v>
      </c>
      <c r="M223" s="86">
        <f t="shared" si="39"/>
        <v>1</v>
      </c>
      <c r="N223" s="86">
        <f t="shared" si="39"/>
        <v>2</v>
      </c>
      <c r="O223" s="86">
        <f t="shared" si="39"/>
        <v>1</v>
      </c>
      <c r="P223" s="86">
        <f t="shared" si="39"/>
        <v>4</v>
      </c>
      <c r="Q223" s="86">
        <f t="shared" si="39"/>
        <v>4</v>
      </c>
      <c r="R223" s="86">
        <f t="shared" si="39"/>
        <v>4</v>
      </c>
      <c r="S223" s="86">
        <f t="shared" si="39"/>
        <v>3</v>
      </c>
      <c r="T223" s="86">
        <f t="shared" si="39"/>
        <v>3</v>
      </c>
      <c r="U223" s="86">
        <f t="shared" si="39"/>
        <v>2</v>
      </c>
      <c r="V223" s="86">
        <f t="shared" si="39"/>
        <v>1</v>
      </c>
      <c r="W223" s="86">
        <f t="shared" si="39"/>
        <v>2</v>
      </c>
      <c r="X223" s="86">
        <f t="shared" si="39"/>
        <v>4</v>
      </c>
      <c r="Y223" s="86">
        <f t="shared" si="39"/>
        <v>1</v>
      </c>
      <c r="Z223" s="86">
        <f t="shared" si="39"/>
        <v>2</v>
      </c>
      <c r="AA223" s="86">
        <f t="shared" si="39"/>
        <v>3</v>
      </c>
      <c r="AB223" s="86">
        <f t="shared" si="39"/>
        <v>6</v>
      </c>
      <c r="AC223" s="86">
        <f t="shared" si="39"/>
        <v>2</v>
      </c>
      <c r="AD223" s="86">
        <f t="shared" si="39"/>
        <v>3</v>
      </c>
      <c r="AE223" s="86">
        <f t="shared" si="39"/>
        <v>0</v>
      </c>
      <c r="AF223" s="86">
        <f t="shared" si="39"/>
        <v>0</v>
      </c>
      <c r="AG223" s="110">
        <f t="shared" si="29"/>
        <v>76</v>
      </c>
      <c r="AH223" s="364" t="s">
        <v>159</v>
      </c>
    </row>
    <row r="224" spans="1:34" ht="15.75" customHeight="1" x14ac:dyDescent="0.25">
      <c r="A224" s="204" t="s">
        <v>160</v>
      </c>
      <c r="B224" s="205">
        <v>0</v>
      </c>
      <c r="C224" s="206">
        <v>0</v>
      </c>
      <c r="D224" s="206">
        <v>2</v>
      </c>
      <c r="E224" s="206">
        <v>0</v>
      </c>
      <c r="F224" s="206">
        <v>2</v>
      </c>
      <c r="G224" s="206">
        <v>1</v>
      </c>
      <c r="H224" s="206">
        <v>1</v>
      </c>
      <c r="I224" s="206">
        <v>0</v>
      </c>
      <c r="J224" s="206">
        <v>0</v>
      </c>
      <c r="K224" s="206">
        <v>1</v>
      </c>
      <c r="L224" s="206">
        <v>2</v>
      </c>
      <c r="M224" s="206">
        <v>1</v>
      </c>
      <c r="N224" s="205">
        <v>1</v>
      </c>
      <c r="O224" s="206">
        <v>1</v>
      </c>
      <c r="P224" s="206">
        <v>1</v>
      </c>
      <c r="Q224" s="206">
        <v>2</v>
      </c>
      <c r="R224" s="206">
        <v>1</v>
      </c>
      <c r="S224" s="206">
        <v>1</v>
      </c>
      <c r="T224" s="206">
        <v>1</v>
      </c>
      <c r="U224" s="206">
        <v>1</v>
      </c>
      <c r="V224" s="206">
        <v>0</v>
      </c>
      <c r="W224" s="206">
        <v>0</v>
      </c>
      <c r="X224" s="206">
        <v>2</v>
      </c>
      <c r="Y224" s="206">
        <v>1</v>
      </c>
      <c r="Z224" s="256">
        <v>2</v>
      </c>
      <c r="AA224" s="206">
        <v>0</v>
      </c>
      <c r="AB224" s="206">
        <v>2</v>
      </c>
      <c r="AC224" s="206">
        <v>1</v>
      </c>
      <c r="AD224" s="206">
        <v>1</v>
      </c>
      <c r="AE224" s="206">
        <v>0</v>
      </c>
      <c r="AF224" s="257">
        <v>0</v>
      </c>
      <c r="AG224" s="207">
        <f t="shared" si="29"/>
        <v>28</v>
      </c>
      <c r="AH224" s="365"/>
    </row>
    <row r="225" spans="1:34" ht="15.75" customHeight="1" x14ac:dyDescent="0.25">
      <c r="A225" s="204" t="s">
        <v>161</v>
      </c>
      <c r="B225" s="205">
        <v>2</v>
      </c>
      <c r="C225" s="206">
        <v>2</v>
      </c>
      <c r="D225" s="206">
        <v>1</v>
      </c>
      <c r="E225" s="206">
        <v>1</v>
      </c>
      <c r="F225" s="206">
        <v>2</v>
      </c>
      <c r="G225" s="206">
        <v>2</v>
      </c>
      <c r="H225" s="206">
        <v>1</v>
      </c>
      <c r="I225" s="206">
        <v>1</v>
      </c>
      <c r="J225" s="206">
        <v>3</v>
      </c>
      <c r="K225" s="206">
        <v>1</v>
      </c>
      <c r="L225" s="206">
        <v>3</v>
      </c>
      <c r="M225" s="206">
        <v>0</v>
      </c>
      <c r="N225" s="205">
        <v>1</v>
      </c>
      <c r="O225" s="206">
        <v>0</v>
      </c>
      <c r="P225" s="206">
        <v>3</v>
      </c>
      <c r="Q225" s="206">
        <v>2</v>
      </c>
      <c r="R225" s="206">
        <v>3</v>
      </c>
      <c r="S225" s="206">
        <v>2</v>
      </c>
      <c r="T225" s="206">
        <v>2</v>
      </c>
      <c r="U225" s="206">
        <v>1</v>
      </c>
      <c r="V225" s="206">
        <v>1</v>
      </c>
      <c r="W225" s="206">
        <v>2</v>
      </c>
      <c r="X225" s="206">
        <v>2</v>
      </c>
      <c r="Y225" s="206">
        <v>0</v>
      </c>
      <c r="Z225" s="256">
        <v>0</v>
      </c>
      <c r="AA225" s="206">
        <v>3</v>
      </c>
      <c r="AB225" s="206">
        <v>4</v>
      </c>
      <c r="AC225" s="206">
        <v>1</v>
      </c>
      <c r="AD225" s="206">
        <v>2</v>
      </c>
      <c r="AE225" s="206">
        <v>0</v>
      </c>
      <c r="AF225" s="257">
        <v>0</v>
      </c>
      <c r="AG225" s="207">
        <f t="shared" si="29"/>
        <v>48</v>
      </c>
      <c r="AH225" s="365"/>
    </row>
    <row r="226" spans="1:34" ht="15.75" customHeight="1" x14ac:dyDescent="0.25">
      <c r="A226" s="208" t="s">
        <v>162</v>
      </c>
      <c r="B226" s="209"/>
      <c r="C226" s="210"/>
      <c r="D226" s="210"/>
      <c r="E226" s="210"/>
      <c r="F226" s="210"/>
      <c r="G226" s="210"/>
      <c r="H226" s="210"/>
      <c r="I226" s="210"/>
      <c r="J226" s="210"/>
      <c r="K226" s="211"/>
      <c r="L226" s="211"/>
      <c r="M226" s="211"/>
      <c r="N226" s="258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60"/>
      <c r="AG226" s="106">
        <f t="shared" si="29"/>
        <v>0</v>
      </c>
      <c r="AH226" s="366"/>
    </row>
    <row r="227" spans="1:34" ht="15.75" customHeight="1" x14ac:dyDescent="0.25"/>
    <row r="228" spans="1:34" ht="15.75" customHeight="1" x14ac:dyDescent="0.25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</row>
    <row r="229" spans="1:34" ht="15.75" customHeight="1" x14ac:dyDescent="0.25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</row>
    <row r="230" spans="1:34" ht="15.75" customHeight="1" x14ac:dyDescent="0.25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</row>
    <row r="231" spans="1:34" ht="15.75" customHeight="1" x14ac:dyDescent="0.25"/>
    <row r="232" spans="1:34" ht="15.75" customHeight="1" x14ac:dyDescent="0.25"/>
    <row r="233" spans="1:34" ht="15.75" customHeight="1" x14ac:dyDescent="0.25"/>
    <row r="234" spans="1:34" ht="15.75" customHeight="1" x14ac:dyDescent="0.25"/>
    <row r="235" spans="1:34" ht="15.75" customHeight="1" x14ac:dyDescent="0.25"/>
    <row r="236" spans="1:34" ht="15.75" customHeight="1" x14ac:dyDescent="0.25"/>
    <row r="237" spans="1:34" ht="15.75" customHeight="1" x14ac:dyDescent="0.25"/>
    <row r="238" spans="1:34" ht="15.75" customHeight="1" x14ac:dyDescent="0.25"/>
    <row r="239" spans="1:34" ht="15.75" customHeight="1" x14ac:dyDescent="0.25"/>
    <row r="240" spans="1:3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9.5" customHeight="1" x14ac:dyDescent="0.25"/>
    <row r="258" ht="15.75" customHeight="1" x14ac:dyDescent="0.25"/>
    <row r="259" ht="18.75" customHeight="1" x14ac:dyDescent="0.25"/>
    <row r="260" ht="15.75" customHeight="1" x14ac:dyDescent="0.25"/>
    <row r="261" ht="15.75" customHeight="1" x14ac:dyDescent="0.25"/>
    <row r="262" ht="18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G1"/>
    <mergeCell ref="AI84:AI86"/>
    <mergeCell ref="AH223:AH226"/>
  </mergeCells>
  <conditionalFormatting sqref="B29:AF52">
    <cfRule type="cellIs" dxfId="106" priority="5" operator="lessThan">
      <formula>0</formula>
    </cfRule>
  </conditionalFormatting>
  <conditionalFormatting sqref="D54:D77">
    <cfRule type="cellIs" dxfId="105" priority="9" operator="lessThan">
      <formula>0</formula>
    </cfRule>
  </conditionalFormatting>
  <conditionalFormatting sqref="G54:G77">
    <cfRule type="cellIs" dxfId="104" priority="10" operator="lessThan">
      <formula>0</formula>
    </cfRule>
  </conditionalFormatting>
  <conditionalFormatting sqref="AH81">
    <cfRule type="cellIs" dxfId="103" priority="7" operator="equal">
      <formula>"*"</formula>
    </cfRule>
  </conditionalFormatting>
  <conditionalFormatting sqref="AH84 AH87">
    <cfRule type="cellIs" dxfId="102" priority="6" operator="equal">
      <formula>"*"</formula>
    </cfRule>
  </conditionalFormatting>
  <conditionalFormatting sqref="AH93">
    <cfRule type="cellIs" dxfId="101" priority="1" operator="equal">
      <formula>"*"</formula>
    </cfRule>
  </conditionalFormatting>
  <conditionalFormatting sqref="AH130">
    <cfRule type="cellIs" dxfId="100" priority="3" operator="equal">
      <formula>"*"</formula>
    </cfRule>
  </conditionalFormatting>
  <conditionalFormatting sqref="AH144:AH145">
    <cfRule type="cellIs" dxfId="99" priority="2" operator="equal">
      <formula>"*"</formula>
    </cfRule>
  </conditionalFormatting>
  <conditionalFormatting sqref="AH182">
    <cfRule type="cellIs" dxfId="98" priority="4" operator="equal">
      <formula>"*"</formula>
    </cfRule>
  </conditionalFormatting>
  <conditionalFormatting sqref="AH209">
    <cfRule type="cellIs" dxfId="97" priority="8" operator="equal">
      <formula>"X"</formula>
    </cfRule>
  </conditionalFormatting>
  <dataValidations count="1">
    <dataValidation type="decimal" allowBlank="1" showInputMessage="1" showErrorMessage="1" prompt="ERROR - Por favor ingrese solo Números" sqref="A98:A99 A101:A115" xr:uid="{00000000-0002-0000-0200-000000000000}">
      <formula1>0</formula1>
      <formula2>1000000000</formula2>
    </dataValidation>
  </dataValidations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AI1000"/>
  <sheetViews>
    <sheetView workbookViewId="0">
      <pane ySplit="3" topLeftCell="A135" activePane="bottomLeft" state="frozen"/>
      <selection activeCell="A192" sqref="A192:XFD192"/>
      <selection pane="bottomLeft" activeCell="A192" sqref="A192:XFD192"/>
    </sheetView>
  </sheetViews>
  <sheetFormatPr baseColWidth="10" defaultColWidth="14.42578125" defaultRowHeight="15" customHeight="1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  <col min="35" max="35" width="10.7109375" customWidth="1"/>
  </cols>
  <sheetData>
    <row r="1" spans="1:34" ht="21" x14ac:dyDescent="0.25">
      <c r="A1" s="358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60"/>
    </row>
    <row r="2" spans="1:34" ht="28.5" x14ac:dyDescent="0.25">
      <c r="A2" s="1" t="s">
        <v>2</v>
      </c>
      <c r="B2" s="261">
        <v>1</v>
      </c>
      <c r="C2" s="262">
        <f t="shared" ref="C2:AA2" si="0">+B2+1</f>
        <v>2</v>
      </c>
      <c r="D2" s="262">
        <f t="shared" si="0"/>
        <v>3</v>
      </c>
      <c r="E2" s="262">
        <f t="shared" si="0"/>
        <v>4</v>
      </c>
      <c r="F2" s="262">
        <f t="shared" si="0"/>
        <v>5</v>
      </c>
      <c r="G2" s="262">
        <f t="shared" si="0"/>
        <v>6</v>
      </c>
      <c r="H2" s="262">
        <f t="shared" si="0"/>
        <v>7</v>
      </c>
      <c r="I2" s="262">
        <f t="shared" si="0"/>
        <v>8</v>
      </c>
      <c r="J2" s="262">
        <f t="shared" si="0"/>
        <v>9</v>
      </c>
      <c r="K2" s="262">
        <f t="shared" si="0"/>
        <v>10</v>
      </c>
      <c r="L2" s="262">
        <f t="shared" si="0"/>
        <v>11</v>
      </c>
      <c r="M2" s="262">
        <f t="shared" si="0"/>
        <v>12</v>
      </c>
      <c r="N2" s="262">
        <f t="shared" si="0"/>
        <v>13</v>
      </c>
      <c r="O2" s="263">
        <f t="shared" si="0"/>
        <v>14</v>
      </c>
      <c r="P2" s="262">
        <f t="shared" si="0"/>
        <v>15</v>
      </c>
      <c r="Q2" s="262">
        <f t="shared" si="0"/>
        <v>16</v>
      </c>
      <c r="R2" s="262">
        <f t="shared" si="0"/>
        <v>17</v>
      </c>
      <c r="S2" s="262">
        <f t="shared" si="0"/>
        <v>18</v>
      </c>
      <c r="T2" s="262">
        <f t="shared" si="0"/>
        <v>19</v>
      </c>
      <c r="U2" s="263">
        <f t="shared" si="0"/>
        <v>20</v>
      </c>
      <c r="V2" s="263">
        <f t="shared" si="0"/>
        <v>21</v>
      </c>
      <c r="W2" s="262">
        <f t="shared" si="0"/>
        <v>22</v>
      </c>
      <c r="X2" s="262">
        <f t="shared" si="0"/>
        <v>23</v>
      </c>
      <c r="Y2" s="262">
        <f t="shared" si="0"/>
        <v>24</v>
      </c>
      <c r="Z2" s="262">
        <f t="shared" si="0"/>
        <v>25</v>
      </c>
      <c r="AA2" s="262">
        <f t="shared" si="0"/>
        <v>26</v>
      </c>
      <c r="AB2" s="262">
        <v>27</v>
      </c>
      <c r="AC2" s="263">
        <f>+AB2+1</f>
        <v>28</v>
      </c>
      <c r="AD2" s="212">
        <v>29</v>
      </c>
      <c r="AE2" s="212">
        <v>30</v>
      </c>
      <c r="AF2" s="212">
        <v>31</v>
      </c>
      <c r="AG2" s="3" t="s">
        <v>13</v>
      </c>
    </row>
    <row r="3" spans="1:34" ht="18.75" x14ac:dyDescent="0.25">
      <c r="A3" s="4" t="s">
        <v>14</v>
      </c>
      <c r="B3" s="5">
        <f t="shared" ref="B3:AF3" si="1">SUM(B4:B27)</f>
        <v>228</v>
      </c>
      <c r="C3" s="6">
        <f t="shared" si="1"/>
        <v>181</v>
      </c>
      <c r="D3" s="6">
        <f t="shared" si="1"/>
        <v>174</v>
      </c>
      <c r="E3" s="6">
        <f t="shared" si="1"/>
        <v>166</v>
      </c>
      <c r="F3" s="6">
        <f t="shared" si="1"/>
        <v>194</v>
      </c>
      <c r="G3" s="6">
        <f t="shared" si="1"/>
        <v>243</v>
      </c>
      <c r="H3" s="6">
        <f t="shared" si="1"/>
        <v>82</v>
      </c>
      <c r="I3" s="6">
        <f t="shared" si="1"/>
        <v>227</v>
      </c>
      <c r="J3" s="6">
        <f t="shared" si="1"/>
        <v>204</v>
      </c>
      <c r="K3" s="6">
        <f t="shared" si="1"/>
        <v>201</v>
      </c>
      <c r="L3" s="6">
        <f t="shared" si="1"/>
        <v>186</v>
      </c>
      <c r="M3" s="6">
        <f t="shared" si="1"/>
        <v>212</v>
      </c>
      <c r="N3" s="6">
        <f t="shared" si="1"/>
        <v>238</v>
      </c>
      <c r="O3" s="6">
        <f t="shared" si="1"/>
        <v>174</v>
      </c>
      <c r="P3" s="6">
        <f t="shared" si="1"/>
        <v>218</v>
      </c>
      <c r="Q3" s="6">
        <f t="shared" si="1"/>
        <v>196</v>
      </c>
      <c r="R3" s="6">
        <f t="shared" si="1"/>
        <v>167</v>
      </c>
      <c r="S3" s="6">
        <f t="shared" si="1"/>
        <v>172</v>
      </c>
      <c r="T3" s="6">
        <f t="shared" si="1"/>
        <v>193</v>
      </c>
      <c r="U3" s="6">
        <f t="shared" si="1"/>
        <v>266</v>
      </c>
      <c r="V3" s="6">
        <f t="shared" si="1"/>
        <v>224</v>
      </c>
      <c r="W3" s="6">
        <f t="shared" si="1"/>
        <v>214</v>
      </c>
      <c r="X3" s="6">
        <f t="shared" si="1"/>
        <v>195</v>
      </c>
      <c r="Y3" s="6">
        <f t="shared" si="1"/>
        <v>197</v>
      </c>
      <c r="Z3" s="6">
        <f t="shared" si="1"/>
        <v>197</v>
      </c>
      <c r="AA3" s="6">
        <f t="shared" si="1"/>
        <v>195</v>
      </c>
      <c r="AB3" s="6">
        <f t="shared" si="1"/>
        <v>239</v>
      </c>
      <c r="AC3" s="6">
        <f t="shared" si="1"/>
        <v>260</v>
      </c>
      <c r="AD3" s="6">
        <f t="shared" si="1"/>
        <v>0</v>
      </c>
      <c r="AE3" s="6">
        <f t="shared" si="1"/>
        <v>0</v>
      </c>
      <c r="AF3" s="6">
        <f t="shared" si="1"/>
        <v>0</v>
      </c>
      <c r="AG3" s="7">
        <f t="shared" ref="AG3:AG145" si="2">SUM(B3:AF3)</f>
        <v>5643</v>
      </c>
      <c r="AH3" s="264">
        <f>135+AG3</f>
        <v>5778</v>
      </c>
    </row>
    <row r="4" spans="1:34" ht="18.75" x14ac:dyDescent="0.25">
      <c r="A4" s="8" t="s">
        <v>15</v>
      </c>
      <c r="B4" s="9">
        <v>14</v>
      </c>
      <c r="C4" s="10">
        <v>3</v>
      </c>
      <c r="D4" s="10">
        <v>9</v>
      </c>
      <c r="E4" s="10">
        <v>8</v>
      </c>
      <c r="F4" s="10">
        <v>6</v>
      </c>
      <c r="G4" s="10">
        <v>13</v>
      </c>
      <c r="H4" s="10"/>
      <c r="I4" s="10">
        <v>10</v>
      </c>
      <c r="J4" s="10">
        <v>5</v>
      </c>
      <c r="K4" s="10">
        <v>13</v>
      </c>
      <c r="L4" s="10">
        <v>6</v>
      </c>
      <c r="M4" s="10">
        <v>5</v>
      </c>
      <c r="N4" s="10">
        <v>11</v>
      </c>
      <c r="O4" s="10">
        <v>13</v>
      </c>
      <c r="P4" s="10">
        <v>13</v>
      </c>
      <c r="Q4" s="10">
        <v>1</v>
      </c>
      <c r="R4" s="10">
        <v>5</v>
      </c>
      <c r="S4" s="10">
        <v>7</v>
      </c>
      <c r="T4" s="10">
        <v>2</v>
      </c>
      <c r="U4" s="10">
        <v>14</v>
      </c>
      <c r="V4" s="10">
        <v>7</v>
      </c>
      <c r="W4" s="10">
        <v>11</v>
      </c>
      <c r="X4" s="10">
        <v>9</v>
      </c>
      <c r="Y4" s="10">
        <v>5</v>
      </c>
      <c r="Z4" s="10">
        <v>10</v>
      </c>
      <c r="AA4" s="10">
        <v>2</v>
      </c>
      <c r="AB4" s="10">
        <v>15</v>
      </c>
      <c r="AC4" s="10">
        <v>17</v>
      </c>
      <c r="AD4" s="10"/>
      <c r="AE4" s="10"/>
      <c r="AF4" s="213"/>
      <c r="AG4" s="11">
        <f t="shared" si="2"/>
        <v>234</v>
      </c>
    </row>
    <row r="5" spans="1:34" ht="18.75" x14ac:dyDescent="0.25">
      <c r="A5" s="12" t="s">
        <v>16</v>
      </c>
      <c r="B5" s="13">
        <v>15</v>
      </c>
      <c r="C5" s="14">
        <v>13</v>
      </c>
      <c r="D5" s="14">
        <v>13</v>
      </c>
      <c r="E5" s="14">
        <v>17</v>
      </c>
      <c r="F5" s="14">
        <v>6</v>
      </c>
      <c r="G5" s="14">
        <v>15</v>
      </c>
      <c r="H5" s="14"/>
      <c r="I5" s="14">
        <v>12</v>
      </c>
      <c r="J5" s="14">
        <v>6</v>
      </c>
      <c r="K5" s="14">
        <v>10</v>
      </c>
      <c r="L5" s="14">
        <v>13</v>
      </c>
      <c r="M5" s="14">
        <v>12</v>
      </c>
      <c r="N5" s="14">
        <v>11</v>
      </c>
      <c r="O5" s="14">
        <v>13</v>
      </c>
      <c r="P5" s="14">
        <v>16</v>
      </c>
      <c r="Q5" s="14">
        <v>11</v>
      </c>
      <c r="R5" s="14">
        <v>8</v>
      </c>
      <c r="S5" s="14">
        <v>10</v>
      </c>
      <c r="T5" s="14">
        <v>6</v>
      </c>
      <c r="U5" s="14">
        <v>11</v>
      </c>
      <c r="V5" s="14">
        <v>11</v>
      </c>
      <c r="W5" s="14">
        <v>12</v>
      </c>
      <c r="X5" s="14">
        <v>13</v>
      </c>
      <c r="Y5" s="14">
        <v>11</v>
      </c>
      <c r="Z5" s="14">
        <v>13</v>
      </c>
      <c r="AA5" s="14">
        <v>9</v>
      </c>
      <c r="AB5" s="14">
        <v>13</v>
      </c>
      <c r="AC5" s="14">
        <v>10</v>
      </c>
      <c r="AD5" s="14"/>
      <c r="AE5" s="14"/>
      <c r="AF5" s="214"/>
      <c r="AG5" s="15">
        <f t="shared" si="2"/>
        <v>310</v>
      </c>
    </row>
    <row r="6" spans="1:34" ht="18.75" x14ac:dyDescent="0.25">
      <c r="A6" s="12" t="s">
        <v>17</v>
      </c>
      <c r="B6" s="13">
        <v>12</v>
      </c>
      <c r="C6" s="14">
        <v>12</v>
      </c>
      <c r="D6" s="14">
        <v>12</v>
      </c>
      <c r="E6" s="14">
        <v>9</v>
      </c>
      <c r="F6" s="14">
        <v>16</v>
      </c>
      <c r="G6" s="14">
        <v>13</v>
      </c>
      <c r="H6" s="14"/>
      <c r="I6" s="14">
        <v>12</v>
      </c>
      <c r="J6" s="14">
        <v>12</v>
      </c>
      <c r="K6" s="14">
        <v>11</v>
      </c>
      <c r="L6" s="14">
        <v>7</v>
      </c>
      <c r="M6" s="14">
        <v>10</v>
      </c>
      <c r="N6" s="14">
        <v>16</v>
      </c>
      <c r="O6" s="14">
        <v>15</v>
      </c>
      <c r="P6" s="14">
        <v>7</v>
      </c>
      <c r="Q6" s="14">
        <v>8</v>
      </c>
      <c r="R6" s="14">
        <v>11</v>
      </c>
      <c r="S6" s="14">
        <v>14</v>
      </c>
      <c r="T6" s="14">
        <v>12</v>
      </c>
      <c r="U6" s="14">
        <v>17</v>
      </c>
      <c r="V6" s="14">
        <v>12</v>
      </c>
      <c r="W6" s="14">
        <v>12</v>
      </c>
      <c r="X6" s="14">
        <v>13</v>
      </c>
      <c r="Y6" s="14">
        <v>11</v>
      </c>
      <c r="Z6" s="14">
        <v>15</v>
      </c>
      <c r="AA6" s="14">
        <v>9</v>
      </c>
      <c r="AB6" s="14">
        <v>15</v>
      </c>
      <c r="AC6" s="14">
        <v>22</v>
      </c>
      <c r="AD6" s="14"/>
      <c r="AE6" s="14"/>
      <c r="AF6" s="214"/>
      <c r="AG6" s="15">
        <f t="shared" si="2"/>
        <v>335</v>
      </c>
    </row>
    <row r="7" spans="1:34" ht="18.75" x14ac:dyDescent="0.25">
      <c r="A7" s="12" t="s">
        <v>18</v>
      </c>
      <c r="B7" s="13">
        <v>12</v>
      </c>
      <c r="C7" s="14">
        <v>9</v>
      </c>
      <c r="D7" s="14">
        <v>13</v>
      </c>
      <c r="E7" s="14">
        <v>10</v>
      </c>
      <c r="F7" s="14">
        <v>12</v>
      </c>
      <c r="G7" s="14">
        <v>14</v>
      </c>
      <c r="H7" s="14"/>
      <c r="I7" s="14">
        <v>17</v>
      </c>
      <c r="J7" s="14">
        <v>10</v>
      </c>
      <c r="K7" s="14">
        <v>9</v>
      </c>
      <c r="L7" s="14">
        <v>12</v>
      </c>
      <c r="M7" s="14">
        <v>11</v>
      </c>
      <c r="N7" s="14">
        <v>19</v>
      </c>
      <c r="O7" s="14">
        <v>8</v>
      </c>
      <c r="P7" s="14">
        <v>10</v>
      </c>
      <c r="Q7" s="14">
        <v>11</v>
      </c>
      <c r="R7" s="14">
        <v>10</v>
      </c>
      <c r="S7" s="14">
        <v>8</v>
      </c>
      <c r="T7" s="14">
        <v>13</v>
      </c>
      <c r="U7" s="14">
        <v>15</v>
      </c>
      <c r="V7" s="14">
        <v>14</v>
      </c>
      <c r="W7" s="14">
        <v>15</v>
      </c>
      <c r="X7" s="14">
        <v>11</v>
      </c>
      <c r="Y7" s="14">
        <v>12</v>
      </c>
      <c r="Z7" s="14">
        <v>11</v>
      </c>
      <c r="AA7" s="14">
        <v>7</v>
      </c>
      <c r="AB7" s="14">
        <v>7</v>
      </c>
      <c r="AC7" s="14">
        <v>11</v>
      </c>
      <c r="AD7" s="14"/>
      <c r="AE7" s="14"/>
      <c r="AF7" s="214"/>
      <c r="AG7" s="15">
        <f t="shared" si="2"/>
        <v>311</v>
      </c>
    </row>
    <row r="8" spans="1:34" ht="18.75" x14ac:dyDescent="0.25">
      <c r="A8" s="12" t="s">
        <v>19</v>
      </c>
      <c r="B8" s="13">
        <v>16</v>
      </c>
      <c r="C8" s="14">
        <v>9</v>
      </c>
      <c r="D8" s="14">
        <v>19</v>
      </c>
      <c r="E8" s="14">
        <v>13</v>
      </c>
      <c r="F8" s="14">
        <v>19</v>
      </c>
      <c r="G8" s="14">
        <v>13</v>
      </c>
      <c r="H8" s="14"/>
      <c r="I8" s="14">
        <v>15</v>
      </c>
      <c r="J8" s="14">
        <v>14</v>
      </c>
      <c r="K8" s="14">
        <v>15</v>
      </c>
      <c r="L8" s="14">
        <v>11</v>
      </c>
      <c r="M8" s="14">
        <v>15</v>
      </c>
      <c r="N8" s="14">
        <v>13</v>
      </c>
      <c r="O8" s="14">
        <v>12</v>
      </c>
      <c r="P8" s="14">
        <v>10</v>
      </c>
      <c r="Q8" s="14">
        <v>12</v>
      </c>
      <c r="R8" s="14">
        <v>9</v>
      </c>
      <c r="S8" s="14">
        <v>15</v>
      </c>
      <c r="T8" s="14">
        <v>9</v>
      </c>
      <c r="U8" s="14">
        <v>10</v>
      </c>
      <c r="V8" s="14">
        <v>9</v>
      </c>
      <c r="W8" s="14">
        <v>11</v>
      </c>
      <c r="X8" s="14">
        <v>9</v>
      </c>
      <c r="Y8" s="14">
        <v>10</v>
      </c>
      <c r="Z8" s="14">
        <v>13</v>
      </c>
      <c r="AA8" s="14">
        <v>18</v>
      </c>
      <c r="AB8" s="14">
        <v>12</v>
      </c>
      <c r="AC8" s="14">
        <v>16</v>
      </c>
      <c r="AD8" s="14"/>
      <c r="AE8" s="14"/>
      <c r="AF8" s="214"/>
      <c r="AG8" s="15">
        <f t="shared" si="2"/>
        <v>347</v>
      </c>
    </row>
    <row r="9" spans="1:34" ht="18.75" x14ac:dyDescent="0.25">
      <c r="A9" s="12" t="s">
        <v>20</v>
      </c>
      <c r="B9" s="13">
        <v>10</v>
      </c>
      <c r="C9" s="14">
        <v>16</v>
      </c>
      <c r="D9" s="14">
        <v>5</v>
      </c>
      <c r="E9" s="14">
        <v>5</v>
      </c>
      <c r="F9" s="14">
        <v>13</v>
      </c>
      <c r="G9" s="14">
        <v>7</v>
      </c>
      <c r="H9" s="14"/>
      <c r="I9" s="14">
        <v>12</v>
      </c>
      <c r="J9" s="14">
        <v>13</v>
      </c>
      <c r="K9" s="14">
        <v>12</v>
      </c>
      <c r="L9" s="14">
        <v>16</v>
      </c>
      <c r="M9" s="14">
        <v>16</v>
      </c>
      <c r="N9" s="14">
        <v>7</v>
      </c>
      <c r="O9" s="14">
        <v>3</v>
      </c>
      <c r="P9" s="14">
        <v>6</v>
      </c>
      <c r="Q9" s="14">
        <v>13</v>
      </c>
      <c r="R9" s="14">
        <v>7</v>
      </c>
      <c r="S9" s="14">
        <v>13</v>
      </c>
      <c r="T9" s="14">
        <v>9</v>
      </c>
      <c r="U9" s="14">
        <v>14</v>
      </c>
      <c r="V9" s="14">
        <v>8</v>
      </c>
      <c r="W9" s="14">
        <v>9</v>
      </c>
      <c r="X9" s="14">
        <v>6</v>
      </c>
      <c r="Y9" s="14">
        <v>15</v>
      </c>
      <c r="Z9" s="14">
        <v>9</v>
      </c>
      <c r="AA9" s="14">
        <v>15</v>
      </c>
      <c r="AB9" s="14">
        <v>12</v>
      </c>
      <c r="AC9" s="14">
        <v>12</v>
      </c>
      <c r="AD9" s="14"/>
      <c r="AE9" s="14"/>
      <c r="AF9" s="214"/>
      <c r="AG9" s="15">
        <f t="shared" si="2"/>
        <v>283</v>
      </c>
    </row>
    <row r="10" spans="1:34" ht="18.75" x14ac:dyDescent="0.25">
      <c r="A10" s="12" t="s">
        <v>21</v>
      </c>
      <c r="B10" s="13">
        <v>9</v>
      </c>
      <c r="C10" s="14">
        <v>6</v>
      </c>
      <c r="D10" s="14">
        <v>13</v>
      </c>
      <c r="E10" s="14">
        <v>5</v>
      </c>
      <c r="F10" s="14">
        <v>19</v>
      </c>
      <c r="G10" s="14">
        <v>8</v>
      </c>
      <c r="H10" s="14"/>
      <c r="I10" s="14">
        <v>11</v>
      </c>
      <c r="J10" s="14">
        <v>5</v>
      </c>
      <c r="K10" s="14">
        <v>13</v>
      </c>
      <c r="L10" s="14">
        <v>10</v>
      </c>
      <c r="M10" s="14">
        <v>11</v>
      </c>
      <c r="N10" s="14">
        <v>11</v>
      </c>
      <c r="O10" s="14">
        <v>7</v>
      </c>
      <c r="P10" s="14">
        <v>9</v>
      </c>
      <c r="Q10" s="14">
        <v>11</v>
      </c>
      <c r="R10" s="14">
        <v>7</v>
      </c>
      <c r="S10" s="14">
        <v>14</v>
      </c>
      <c r="T10" s="14">
        <v>9</v>
      </c>
      <c r="U10" s="14">
        <v>15</v>
      </c>
      <c r="V10" s="14">
        <v>15</v>
      </c>
      <c r="W10" s="14">
        <v>14</v>
      </c>
      <c r="X10" s="14">
        <v>14</v>
      </c>
      <c r="Y10" s="14">
        <v>11</v>
      </c>
      <c r="Z10" s="14">
        <v>9</v>
      </c>
      <c r="AA10" s="14">
        <v>8</v>
      </c>
      <c r="AB10" s="14">
        <v>16</v>
      </c>
      <c r="AC10" s="14">
        <v>13</v>
      </c>
      <c r="AD10" s="14"/>
      <c r="AE10" s="14"/>
      <c r="AF10" s="214"/>
      <c r="AG10" s="15">
        <f t="shared" si="2"/>
        <v>293</v>
      </c>
    </row>
    <row r="11" spans="1:34" ht="18.75" x14ac:dyDescent="0.25">
      <c r="A11" s="12" t="s">
        <v>22</v>
      </c>
      <c r="B11" s="13">
        <v>6</v>
      </c>
      <c r="C11" s="14">
        <v>12</v>
      </c>
      <c r="D11" s="14">
        <v>1</v>
      </c>
      <c r="E11" s="14">
        <v>16</v>
      </c>
      <c r="F11" s="14">
        <v>7</v>
      </c>
      <c r="G11" s="14">
        <v>11</v>
      </c>
      <c r="H11" s="14"/>
      <c r="I11" s="14">
        <v>11</v>
      </c>
      <c r="J11" s="14">
        <v>15</v>
      </c>
      <c r="K11" s="14">
        <v>17</v>
      </c>
      <c r="L11" s="14">
        <v>11</v>
      </c>
      <c r="M11" s="14">
        <v>19</v>
      </c>
      <c r="N11" s="14">
        <v>12</v>
      </c>
      <c r="O11" s="14">
        <v>6</v>
      </c>
      <c r="P11" s="14">
        <v>16</v>
      </c>
      <c r="Q11" s="14">
        <v>9</v>
      </c>
      <c r="R11" s="14">
        <v>13</v>
      </c>
      <c r="S11" s="14">
        <v>9</v>
      </c>
      <c r="T11" s="14">
        <v>17</v>
      </c>
      <c r="U11" s="14">
        <v>15</v>
      </c>
      <c r="V11" s="14">
        <v>19</v>
      </c>
      <c r="W11" s="14">
        <v>8</v>
      </c>
      <c r="X11" s="14">
        <v>13</v>
      </c>
      <c r="Y11" s="14">
        <v>13</v>
      </c>
      <c r="Z11" s="14">
        <v>13</v>
      </c>
      <c r="AA11" s="14">
        <v>12</v>
      </c>
      <c r="AB11" s="14">
        <v>12</v>
      </c>
      <c r="AC11" s="14">
        <v>16</v>
      </c>
      <c r="AD11" s="14"/>
      <c r="AE11" s="14"/>
      <c r="AF11" s="214"/>
      <c r="AG11" s="15">
        <f t="shared" si="2"/>
        <v>329</v>
      </c>
    </row>
    <row r="12" spans="1:34" ht="18.75" x14ac:dyDescent="0.25">
      <c r="A12" s="12" t="s">
        <v>23</v>
      </c>
      <c r="B12" s="13">
        <v>14</v>
      </c>
      <c r="C12" s="14">
        <v>14</v>
      </c>
      <c r="D12" s="14">
        <v>14</v>
      </c>
      <c r="E12" s="14">
        <v>14</v>
      </c>
      <c r="F12" s="14">
        <v>10</v>
      </c>
      <c r="G12" s="14">
        <v>31</v>
      </c>
      <c r="H12" s="14"/>
      <c r="I12" s="14">
        <v>17</v>
      </c>
      <c r="J12" s="14">
        <v>17</v>
      </c>
      <c r="K12" s="14">
        <v>17</v>
      </c>
      <c r="L12" s="14">
        <v>14</v>
      </c>
      <c r="M12" s="14">
        <v>17</v>
      </c>
      <c r="N12" s="14">
        <v>23</v>
      </c>
      <c r="O12" s="14">
        <v>9</v>
      </c>
      <c r="P12" s="14">
        <v>19</v>
      </c>
      <c r="Q12" s="14">
        <v>15</v>
      </c>
      <c r="R12" s="14">
        <v>10</v>
      </c>
      <c r="S12" s="14">
        <v>6</v>
      </c>
      <c r="T12" s="14">
        <v>14</v>
      </c>
      <c r="U12" s="14">
        <v>20</v>
      </c>
      <c r="V12" s="14">
        <v>20</v>
      </c>
      <c r="W12" s="14">
        <v>11</v>
      </c>
      <c r="X12" s="14">
        <v>20</v>
      </c>
      <c r="Y12" s="14">
        <v>15</v>
      </c>
      <c r="Z12" s="14">
        <v>8</v>
      </c>
      <c r="AA12" s="14">
        <v>12</v>
      </c>
      <c r="AB12" s="14">
        <v>17</v>
      </c>
      <c r="AC12" s="14">
        <v>24</v>
      </c>
      <c r="AD12" s="14"/>
      <c r="AE12" s="14"/>
      <c r="AF12" s="214"/>
      <c r="AG12" s="15">
        <f t="shared" si="2"/>
        <v>422</v>
      </c>
    </row>
    <row r="13" spans="1:34" ht="18.75" x14ac:dyDescent="0.25">
      <c r="A13" s="12" t="s">
        <v>24</v>
      </c>
      <c r="B13" s="13">
        <v>15</v>
      </c>
      <c r="C13" s="14">
        <v>20</v>
      </c>
      <c r="D13" s="14">
        <v>10</v>
      </c>
      <c r="E13" s="14">
        <v>11</v>
      </c>
      <c r="F13" s="14">
        <v>12</v>
      </c>
      <c r="G13" s="14">
        <v>21</v>
      </c>
      <c r="H13" s="14"/>
      <c r="I13" s="14">
        <v>22</v>
      </c>
      <c r="J13" s="14">
        <v>23</v>
      </c>
      <c r="K13" s="14">
        <v>13</v>
      </c>
      <c r="L13" s="14">
        <v>14</v>
      </c>
      <c r="M13" s="14">
        <v>6</v>
      </c>
      <c r="N13" s="14">
        <v>15</v>
      </c>
      <c r="O13" s="14">
        <v>15</v>
      </c>
      <c r="P13" s="14">
        <v>23</v>
      </c>
      <c r="Q13" s="14">
        <v>12</v>
      </c>
      <c r="R13" s="14">
        <v>15</v>
      </c>
      <c r="S13" s="14">
        <v>12</v>
      </c>
      <c r="T13" s="14">
        <v>15</v>
      </c>
      <c r="U13" s="14">
        <v>27</v>
      </c>
      <c r="V13" s="14">
        <v>16</v>
      </c>
      <c r="W13" s="14">
        <v>16</v>
      </c>
      <c r="X13" s="14">
        <v>12</v>
      </c>
      <c r="Y13" s="14">
        <v>18</v>
      </c>
      <c r="Z13" s="14">
        <v>19</v>
      </c>
      <c r="AA13" s="14">
        <v>13</v>
      </c>
      <c r="AB13" s="14">
        <v>22</v>
      </c>
      <c r="AC13" s="14">
        <v>17</v>
      </c>
      <c r="AD13" s="14"/>
      <c r="AE13" s="14"/>
      <c r="AF13" s="214"/>
      <c r="AG13" s="15">
        <f t="shared" si="2"/>
        <v>434</v>
      </c>
    </row>
    <row r="14" spans="1:34" ht="18.75" x14ac:dyDescent="0.25">
      <c r="A14" s="12" t="s">
        <v>25</v>
      </c>
      <c r="B14" s="13">
        <v>20</v>
      </c>
      <c r="C14" s="14">
        <v>9</v>
      </c>
      <c r="D14" s="14">
        <v>10</v>
      </c>
      <c r="E14" s="14">
        <v>9</v>
      </c>
      <c r="F14" s="14">
        <v>10</v>
      </c>
      <c r="G14" s="14">
        <v>22</v>
      </c>
      <c r="H14" s="14"/>
      <c r="I14" s="14">
        <v>16</v>
      </c>
      <c r="J14" s="14">
        <v>11</v>
      </c>
      <c r="K14" s="14">
        <v>7</v>
      </c>
      <c r="L14" s="14">
        <v>11</v>
      </c>
      <c r="M14" s="14">
        <v>8</v>
      </c>
      <c r="N14" s="14">
        <v>16</v>
      </c>
      <c r="O14" s="14">
        <v>10</v>
      </c>
      <c r="P14" s="14">
        <v>24</v>
      </c>
      <c r="Q14" s="14">
        <v>13</v>
      </c>
      <c r="R14" s="14">
        <v>8</v>
      </c>
      <c r="S14" s="14">
        <v>9</v>
      </c>
      <c r="T14" s="14">
        <v>16</v>
      </c>
      <c r="U14" s="14">
        <v>23</v>
      </c>
      <c r="V14" s="14">
        <v>22</v>
      </c>
      <c r="W14" s="14">
        <v>2</v>
      </c>
      <c r="X14" s="14">
        <v>10</v>
      </c>
      <c r="Y14" s="14">
        <v>13</v>
      </c>
      <c r="Z14" s="14">
        <v>18</v>
      </c>
      <c r="AA14" s="14">
        <v>16</v>
      </c>
      <c r="AB14" s="14">
        <v>13</v>
      </c>
      <c r="AC14" s="14">
        <v>20</v>
      </c>
      <c r="AD14" s="14"/>
      <c r="AE14" s="14"/>
      <c r="AF14" s="214"/>
      <c r="AG14" s="15">
        <f t="shared" si="2"/>
        <v>366</v>
      </c>
    </row>
    <row r="15" spans="1:34" ht="18.75" x14ac:dyDescent="0.25">
      <c r="A15" s="12" t="s">
        <v>26</v>
      </c>
      <c r="B15" s="13">
        <v>15</v>
      </c>
      <c r="C15" s="14">
        <v>9</v>
      </c>
      <c r="D15" s="14">
        <v>11</v>
      </c>
      <c r="E15" s="14">
        <v>11</v>
      </c>
      <c r="F15" s="14">
        <v>9</v>
      </c>
      <c r="G15" s="14">
        <v>18</v>
      </c>
      <c r="H15" s="14">
        <v>8</v>
      </c>
      <c r="I15" s="14">
        <v>9</v>
      </c>
      <c r="J15" s="14">
        <v>10</v>
      </c>
      <c r="K15" s="14">
        <v>7</v>
      </c>
      <c r="L15" s="14">
        <v>10</v>
      </c>
      <c r="M15" s="14">
        <v>10</v>
      </c>
      <c r="N15" s="14">
        <v>17</v>
      </c>
      <c r="O15" s="14">
        <v>9</v>
      </c>
      <c r="P15" s="14">
        <v>15</v>
      </c>
      <c r="Q15" s="14">
        <v>14</v>
      </c>
      <c r="R15" s="14">
        <v>12</v>
      </c>
      <c r="S15" s="14">
        <v>8</v>
      </c>
      <c r="T15" s="14">
        <v>12</v>
      </c>
      <c r="U15" s="14">
        <v>16</v>
      </c>
      <c r="V15" s="14">
        <v>12</v>
      </c>
      <c r="W15" s="14">
        <v>21</v>
      </c>
      <c r="X15" s="14">
        <v>18</v>
      </c>
      <c r="Y15" s="14">
        <v>10</v>
      </c>
      <c r="Z15" s="14">
        <v>8</v>
      </c>
      <c r="AA15" s="14">
        <v>13</v>
      </c>
      <c r="AB15" s="14">
        <v>18</v>
      </c>
      <c r="AC15" s="14">
        <v>16</v>
      </c>
      <c r="AD15" s="14"/>
      <c r="AE15" s="14"/>
      <c r="AF15" s="214"/>
      <c r="AG15" s="15">
        <f t="shared" si="2"/>
        <v>346</v>
      </c>
    </row>
    <row r="16" spans="1:34" ht="18.75" x14ac:dyDescent="0.25">
      <c r="A16" s="12" t="s">
        <v>27</v>
      </c>
      <c r="B16" s="13">
        <v>19</v>
      </c>
      <c r="C16" s="14">
        <v>8</v>
      </c>
      <c r="D16" s="14">
        <v>3</v>
      </c>
      <c r="E16" s="14">
        <v>6</v>
      </c>
      <c r="F16" s="14">
        <v>8</v>
      </c>
      <c r="G16" s="14">
        <v>12</v>
      </c>
      <c r="H16" s="14">
        <v>12</v>
      </c>
      <c r="I16" s="14">
        <v>10</v>
      </c>
      <c r="J16" s="14">
        <v>12</v>
      </c>
      <c r="K16" s="14">
        <v>8</v>
      </c>
      <c r="L16" s="14">
        <v>12</v>
      </c>
      <c r="M16" s="14">
        <v>20</v>
      </c>
      <c r="N16" s="14">
        <v>15</v>
      </c>
      <c r="O16" s="14">
        <v>11</v>
      </c>
      <c r="P16" s="14">
        <v>12</v>
      </c>
      <c r="Q16" s="14">
        <v>11</v>
      </c>
      <c r="R16" s="14">
        <v>16</v>
      </c>
      <c r="S16" s="14">
        <v>7</v>
      </c>
      <c r="T16" s="14">
        <v>6</v>
      </c>
      <c r="U16" s="14">
        <v>12</v>
      </c>
      <c r="V16" s="14">
        <v>12</v>
      </c>
      <c r="W16" s="14">
        <v>14</v>
      </c>
      <c r="X16" s="14">
        <v>6</v>
      </c>
      <c r="Y16" s="14">
        <v>14</v>
      </c>
      <c r="Z16" s="14">
        <v>8</v>
      </c>
      <c r="AA16" s="14">
        <v>7</v>
      </c>
      <c r="AB16" s="14">
        <v>17</v>
      </c>
      <c r="AC16" s="14">
        <v>10</v>
      </c>
      <c r="AD16" s="14"/>
      <c r="AE16" s="14"/>
      <c r="AF16" s="214"/>
      <c r="AG16" s="15">
        <f t="shared" si="2"/>
        <v>308</v>
      </c>
    </row>
    <row r="17" spans="1:34" ht="18.75" x14ac:dyDescent="0.25">
      <c r="A17" s="12" t="s">
        <v>28</v>
      </c>
      <c r="B17" s="13">
        <v>13</v>
      </c>
      <c r="C17" s="14">
        <v>11</v>
      </c>
      <c r="D17" s="14">
        <v>11</v>
      </c>
      <c r="E17" s="14">
        <v>7</v>
      </c>
      <c r="F17" s="14">
        <v>11</v>
      </c>
      <c r="G17" s="14">
        <v>11</v>
      </c>
      <c r="H17" s="14">
        <v>19</v>
      </c>
      <c r="I17" s="14">
        <v>16</v>
      </c>
      <c r="J17" s="14">
        <v>16</v>
      </c>
      <c r="K17" s="14">
        <v>14</v>
      </c>
      <c r="L17" s="14">
        <v>12</v>
      </c>
      <c r="M17" s="14">
        <v>9</v>
      </c>
      <c r="N17" s="14">
        <v>12</v>
      </c>
      <c r="O17" s="14">
        <v>14</v>
      </c>
      <c r="P17" s="14">
        <v>10</v>
      </c>
      <c r="Q17" s="14">
        <v>15</v>
      </c>
      <c r="R17" s="14">
        <v>9</v>
      </c>
      <c r="S17" s="14">
        <v>8</v>
      </c>
      <c r="T17" s="14">
        <v>14</v>
      </c>
      <c r="U17" s="14">
        <v>17</v>
      </c>
      <c r="V17" s="14">
        <v>11</v>
      </c>
      <c r="W17" s="14">
        <v>10</v>
      </c>
      <c r="X17" s="14">
        <v>7</v>
      </c>
      <c r="Y17" s="14">
        <v>8</v>
      </c>
      <c r="Z17" s="14">
        <v>14</v>
      </c>
      <c r="AA17" s="14">
        <v>9</v>
      </c>
      <c r="AB17" s="14">
        <v>6</v>
      </c>
      <c r="AC17" s="14">
        <v>13</v>
      </c>
      <c r="AD17" s="14"/>
      <c r="AE17" s="14"/>
      <c r="AF17" s="214"/>
      <c r="AG17" s="15">
        <f t="shared" si="2"/>
        <v>327</v>
      </c>
    </row>
    <row r="18" spans="1:34" ht="18.75" x14ac:dyDescent="0.25">
      <c r="A18" s="12" t="s">
        <v>29</v>
      </c>
      <c r="B18" s="13">
        <v>11</v>
      </c>
      <c r="C18" s="14">
        <v>4</v>
      </c>
      <c r="D18" s="14">
        <v>6</v>
      </c>
      <c r="E18" s="14">
        <v>8</v>
      </c>
      <c r="F18" s="14">
        <v>13</v>
      </c>
      <c r="G18" s="14">
        <v>10</v>
      </c>
      <c r="H18" s="14">
        <v>14</v>
      </c>
      <c r="I18" s="14">
        <v>10</v>
      </c>
      <c r="J18" s="14">
        <v>10</v>
      </c>
      <c r="K18" s="14">
        <v>13</v>
      </c>
      <c r="L18" s="14">
        <v>5</v>
      </c>
      <c r="M18" s="14">
        <v>9</v>
      </c>
      <c r="N18" s="14">
        <v>9</v>
      </c>
      <c r="O18" s="14">
        <v>6</v>
      </c>
      <c r="P18" s="14">
        <v>9</v>
      </c>
      <c r="Q18" s="14">
        <v>12</v>
      </c>
      <c r="R18" s="14">
        <v>5</v>
      </c>
      <c r="S18" s="14">
        <v>7</v>
      </c>
      <c r="T18" s="14">
        <v>11</v>
      </c>
      <c r="U18" s="14">
        <v>12</v>
      </c>
      <c r="V18" s="14">
        <v>8</v>
      </c>
      <c r="W18" s="14">
        <v>12</v>
      </c>
      <c r="X18" s="14">
        <v>5</v>
      </c>
      <c r="Y18" s="14">
        <v>9</v>
      </c>
      <c r="Z18" s="14">
        <v>6</v>
      </c>
      <c r="AA18" s="14">
        <v>5</v>
      </c>
      <c r="AB18" s="14">
        <v>16</v>
      </c>
      <c r="AC18" s="14">
        <v>16</v>
      </c>
      <c r="AD18" s="14"/>
      <c r="AE18" s="14"/>
      <c r="AF18" s="214"/>
      <c r="AG18" s="15">
        <f t="shared" si="2"/>
        <v>261</v>
      </c>
    </row>
    <row r="19" spans="1:34" ht="18.75" x14ac:dyDescent="0.25">
      <c r="A19" s="12" t="s">
        <v>30</v>
      </c>
      <c r="B19" s="13">
        <v>3</v>
      </c>
      <c r="C19" s="14">
        <v>7</v>
      </c>
      <c r="D19" s="14">
        <v>7</v>
      </c>
      <c r="E19" s="14">
        <v>3</v>
      </c>
      <c r="F19" s="14">
        <v>12</v>
      </c>
      <c r="G19" s="14">
        <v>10</v>
      </c>
      <c r="H19" s="14">
        <v>5</v>
      </c>
      <c r="I19" s="14">
        <v>7</v>
      </c>
      <c r="J19" s="14">
        <v>3</v>
      </c>
      <c r="K19" s="14">
        <v>4</v>
      </c>
      <c r="L19" s="14">
        <v>1</v>
      </c>
      <c r="M19" s="14">
        <v>6</v>
      </c>
      <c r="N19" s="14">
        <v>6</v>
      </c>
      <c r="O19" s="14">
        <v>8</v>
      </c>
      <c r="P19" s="14">
        <v>3</v>
      </c>
      <c r="Q19" s="14">
        <v>5</v>
      </c>
      <c r="R19" s="14">
        <v>4</v>
      </c>
      <c r="S19" s="14">
        <v>7</v>
      </c>
      <c r="T19" s="14">
        <v>9</v>
      </c>
      <c r="U19" s="14">
        <v>5</v>
      </c>
      <c r="V19" s="14">
        <v>11</v>
      </c>
      <c r="W19" s="14">
        <v>16</v>
      </c>
      <c r="X19" s="14">
        <v>7</v>
      </c>
      <c r="Y19" s="14">
        <v>6</v>
      </c>
      <c r="Z19" s="14">
        <v>10</v>
      </c>
      <c r="AA19" s="14">
        <v>4</v>
      </c>
      <c r="AB19" s="14">
        <v>4</v>
      </c>
      <c r="AC19" s="14">
        <v>7</v>
      </c>
      <c r="AD19" s="14"/>
      <c r="AE19" s="14"/>
      <c r="AF19" s="214"/>
      <c r="AG19" s="15">
        <f t="shared" si="2"/>
        <v>180</v>
      </c>
    </row>
    <row r="20" spans="1:34" ht="18.75" x14ac:dyDescent="0.25">
      <c r="A20" s="12" t="s">
        <v>31</v>
      </c>
      <c r="B20" s="13">
        <v>7</v>
      </c>
      <c r="C20" s="14">
        <v>6</v>
      </c>
      <c r="D20" s="14">
        <v>4</v>
      </c>
      <c r="E20" s="14">
        <v>6</v>
      </c>
      <c r="F20" s="14">
        <v>4</v>
      </c>
      <c r="G20" s="14">
        <v>6</v>
      </c>
      <c r="H20" s="14">
        <v>5</v>
      </c>
      <c r="I20" s="14">
        <v>5</v>
      </c>
      <c r="J20" s="14">
        <v>5</v>
      </c>
      <c r="K20" s="14">
        <v>9</v>
      </c>
      <c r="L20" s="14">
        <v>6</v>
      </c>
      <c r="M20" s="14">
        <v>7</v>
      </c>
      <c r="N20" s="14">
        <v>2</v>
      </c>
      <c r="O20" s="14">
        <v>1</v>
      </c>
      <c r="P20" s="14">
        <v>2</v>
      </c>
      <c r="Q20" s="14">
        <v>9</v>
      </c>
      <c r="R20" s="14">
        <v>6</v>
      </c>
      <c r="S20" s="14">
        <v>6</v>
      </c>
      <c r="T20" s="14">
        <v>4</v>
      </c>
      <c r="U20" s="14">
        <v>3</v>
      </c>
      <c r="V20" s="14">
        <v>7</v>
      </c>
      <c r="W20" s="14">
        <v>7</v>
      </c>
      <c r="X20" s="14">
        <v>2</v>
      </c>
      <c r="Y20" s="14">
        <v>4</v>
      </c>
      <c r="Z20" s="14">
        <v>5</v>
      </c>
      <c r="AA20" s="14">
        <v>8</v>
      </c>
      <c r="AB20" s="14">
        <v>7</v>
      </c>
      <c r="AC20" s="14">
        <v>3</v>
      </c>
      <c r="AD20" s="14"/>
      <c r="AE20" s="14"/>
      <c r="AF20" s="214"/>
      <c r="AG20" s="15">
        <f t="shared" si="2"/>
        <v>146</v>
      </c>
    </row>
    <row r="21" spans="1:34" ht="15.75" customHeight="1" x14ac:dyDescent="0.25">
      <c r="A21" s="12" t="s">
        <v>32</v>
      </c>
      <c r="B21" s="13">
        <v>5</v>
      </c>
      <c r="C21" s="14">
        <v>3</v>
      </c>
      <c r="D21" s="14">
        <v>7</v>
      </c>
      <c r="E21" s="14">
        <v>2</v>
      </c>
      <c r="F21" s="14">
        <v>1</v>
      </c>
      <c r="G21" s="14">
        <v>5</v>
      </c>
      <c r="H21" s="14">
        <v>3</v>
      </c>
      <c r="I21" s="14">
        <v>3</v>
      </c>
      <c r="J21" s="14">
        <v>6</v>
      </c>
      <c r="K21" s="14">
        <v>0</v>
      </c>
      <c r="L21" s="14">
        <v>5</v>
      </c>
      <c r="M21" s="14">
        <v>4</v>
      </c>
      <c r="N21" s="14">
        <v>6</v>
      </c>
      <c r="O21" s="14">
        <v>4</v>
      </c>
      <c r="P21" s="14">
        <v>3</v>
      </c>
      <c r="Q21" s="14">
        <v>2</v>
      </c>
      <c r="R21" s="14">
        <v>3</v>
      </c>
      <c r="S21" s="14">
        <v>3</v>
      </c>
      <c r="T21" s="14">
        <v>6</v>
      </c>
      <c r="U21" s="14">
        <v>5</v>
      </c>
      <c r="V21" s="14">
        <v>0</v>
      </c>
      <c r="W21" s="14">
        <v>2</v>
      </c>
      <c r="X21" s="14">
        <v>1</v>
      </c>
      <c r="Y21" s="14">
        <v>1</v>
      </c>
      <c r="Z21" s="14">
        <v>1</v>
      </c>
      <c r="AA21" s="14">
        <v>8</v>
      </c>
      <c r="AB21" s="14">
        <v>3</v>
      </c>
      <c r="AC21" s="14">
        <v>1</v>
      </c>
      <c r="AD21" s="14"/>
      <c r="AE21" s="14"/>
      <c r="AF21" s="214"/>
      <c r="AG21" s="15">
        <f t="shared" si="2"/>
        <v>93</v>
      </c>
    </row>
    <row r="22" spans="1:34" ht="15.75" customHeight="1" x14ac:dyDescent="0.25">
      <c r="A22" s="12" t="s">
        <v>33</v>
      </c>
      <c r="B22" s="13">
        <v>3</v>
      </c>
      <c r="C22" s="14">
        <v>5</v>
      </c>
      <c r="D22" s="14">
        <v>3</v>
      </c>
      <c r="E22" s="14">
        <v>3</v>
      </c>
      <c r="F22" s="14">
        <v>1</v>
      </c>
      <c r="G22" s="14">
        <v>3</v>
      </c>
      <c r="H22" s="14">
        <v>1</v>
      </c>
      <c r="I22" s="14">
        <v>1</v>
      </c>
      <c r="J22" s="14">
        <v>1</v>
      </c>
      <c r="K22" s="14">
        <v>1</v>
      </c>
      <c r="L22" s="14">
        <v>1</v>
      </c>
      <c r="M22" s="14">
        <v>1</v>
      </c>
      <c r="N22" s="14">
        <v>0</v>
      </c>
      <c r="O22" s="14">
        <v>2</v>
      </c>
      <c r="P22" s="14">
        <v>0</v>
      </c>
      <c r="Q22" s="14">
        <v>1</v>
      </c>
      <c r="R22" s="14">
        <v>1</v>
      </c>
      <c r="S22" s="14">
        <v>3</v>
      </c>
      <c r="T22" s="14">
        <v>1</v>
      </c>
      <c r="U22" s="14">
        <v>4</v>
      </c>
      <c r="V22" s="14">
        <v>1</v>
      </c>
      <c r="W22" s="14">
        <v>6</v>
      </c>
      <c r="X22" s="14">
        <v>4</v>
      </c>
      <c r="Y22" s="14">
        <v>2</v>
      </c>
      <c r="Z22" s="14"/>
      <c r="AA22" s="14">
        <v>5</v>
      </c>
      <c r="AB22" s="14">
        <v>3</v>
      </c>
      <c r="AC22" s="14">
        <v>1</v>
      </c>
      <c r="AD22" s="14"/>
      <c r="AE22" s="14"/>
      <c r="AF22" s="214"/>
      <c r="AG22" s="15">
        <f t="shared" si="2"/>
        <v>58</v>
      </c>
    </row>
    <row r="23" spans="1:34" ht="15.75" customHeight="1" x14ac:dyDescent="0.25">
      <c r="A23" s="12" t="s">
        <v>34</v>
      </c>
      <c r="B23" s="13">
        <v>2</v>
      </c>
      <c r="C23" s="14">
        <v>0</v>
      </c>
      <c r="D23" s="14">
        <v>1</v>
      </c>
      <c r="E23" s="14">
        <v>0</v>
      </c>
      <c r="F23" s="14">
        <v>0</v>
      </c>
      <c r="G23" s="14">
        <v>0</v>
      </c>
      <c r="H23" s="14">
        <v>5</v>
      </c>
      <c r="I23" s="14">
        <v>1</v>
      </c>
      <c r="J23" s="14">
        <v>1</v>
      </c>
      <c r="K23" s="14">
        <v>2</v>
      </c>
      <c r="L23" s="14">
        <v>2</v>
      </c>
      <c r="M23" s="14">
        <v>2</v>
      </c>
      <c r="N23" s="14">
        <v>1</v>
      </c>
      <c r="O23" s="14">
        <v>2</v>
      </c>
      <c r="P23" s="14">
        <v>3</v>
      </c>
      <c r="Q23" s="14">
        <v>1</v>
      </c>
      <c r="R23" s="14">
        <v>3</v>
      </c>
      <c r="S23" s="14">
        <v>0</v>
      </c>
      <c r="T23" s="14">
        <v>1</v>
      </c>
      <c r="U23" s="14">
        <v>0</v>
      </c>
      <c r="V23" s="14">
        <v>1</v>
      </c>
      <c r="W23" s="14"/>
      <c r="X23" s="14"/>
      <c r="Y23" s="14">
        <v>0</v>
      </c>
      <c r="Z23" s="14">
        <v>1</v>
      </c>
      <c r="AA23" s="14">
        <v>2</v>
      </c>
      <c r="AB23" s="14">
        <v>1</v>
      </c>
      <c r="AC23" s="14">
        <v>1</v>
      </c>
      <c r="AD23" s="14"/>
      <c r="AE23" s="14"/>
      <c r="AF23" s="214"/>
      <c r="AG23" s="15">
        <f t="shared" si="2"/>
        <v>33</v>
      </c>
    </row>
    <row r="24" spans="1:34" ht="15.75" customHeight="1" x14ac:dyDescent="0.25">
      <c r="A24" s="12" t="s">
        <v>35</v>
      </c>
      <c r="B24" s="13">
        <v>0</v>
      </c>
      <c r="C24" s="14">
        <v>1</v>
      </c>
      <c r="D24" s="14">
        <v>0</v>
      </c>
      <c r="E24" s="14">
        <v>1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>
        <v>0</v>
      </c>
      <c r="L24" s="14">
        <v>0</v>
      </c>
      <c r="M24" s="14">
        <v>1</v>
      </c>
      <c r="N24" s="14">
        <v>1</v>
      </c>
      <c r="O24" s="14">
        <v>3</v>
      </c>
      <c r="P24" s="14">
        <v>1</v>
      </c>
      <c r="Q24" s="14">
        <v>2</v>
      </c>
      <c r="R24" s="14">
        <v>1</v>
      </c>
      <c r="S24" s="14">
        <v>5</v>
      </c>
      <c r="T24" s="14">
        <v>1</v>
      </c>
      <c r="U24" s="14">
        <v>1</v>
      </c>
      <c r="V24" s="14">
        <v>4</v>
      </c>
      <c r="W24" s="14">
        <v>1</v>
      </c>
      <c r="X24" s="14">
        <v>6</v>
      </c>
      <c r="Y24" s="14">
        <v>1</v>
      </c>
      <c r="Z24" s="14">
        <v>2</v>
      </c>
      <c r="AA24" s="14">
        <v>4</v>
      </c>
      <c r="AB24" s="14">
        <v>2</v>
      </c>
      <c r="AC24" s="14">
        <v>5</v>
      </c>
      <c r="AD24" s="14"/>
      <c r="AE24" s="14"/>
      <c r="AF24" s="214"/>
      <c r="AG24" s="15">
        <f t="shared" si="2"/>
        <v>46</v>
      </c>
    </row>
    <row r="25" spans="1:34" ht="15.75" customHeight="1" x14ac:dyDescent="0.25">
      <c r="A25" s="12" t="s">
        <v>36</v>
      </c>
      <c r="B25" s="13">
        <v>4</v>
      </c>
      <c r="C25" s="14">
        <v>0</v>
      </c>
      <c r="D25" s="14">
        <v>0</v>
      </c>
      <c r="E25" s="14">
        <v>1</v>
      </c>
      <c r="F25" s="14">
        <v>0</v>
      </c>
      <c r="G25" s="14">
        <v>0</v>
      </c>
      <c r="H25" s="14">
        <v>1</v>
      </c>
      <c r="I25" s="14">
        <v>1</v>
      </c>
      <c r="J25" s="14">
        <v>1</v>
      </c>
      <c r="K25" s="14">
        <v>2</v>
      </c>
      <c r="L25" s="14">
        <v>1</v>
      </c>
      <c r="M25" s="14">
        <v>0</v>
      </c>
      <c r="N25" s="14">
        <v>5</v>
      </c>
      <c r="O25" s="14">
        <v>1</v>
      </c>
      <c r="P25" s="14">
        <v>1</v>
      </c>
      <c r="Q25" s="14">
        <v>1</v>
      </c>
      <c r="R25" s="14">
        <v>1</v>
      </c>
      <c r="S25" s="14">
        <v>0</v>
      </c>
      <c r="T25" s="14">
        <v>0</v>
      </c>
      <c r="U25" s="14">
        <v>2</v>
      </c>
      <c r="V25" s="14">
        <v>0</v>
      </c>
      <c r="W25" s="14"/>
      <c r="X25" s="14"/>
      <c r="Y25" s="14">
        <v>0</v>
      </c>
      <c r="Z25" s="14"/>
      <c r="AA25" s="14">
        <v>1</v>
      </c>
      <c r="AB25" s="14">
        <v>4</v>
      </c>
      <c r="AC25" s="14">
        <v>3</v>
      </c>
      <c r="AD25" s="14"/>
      <c r="AE25" s="14"/>
      <c r="AF25" s="214"/>
      <c r="AG25" s="15">
        <f t="shared" si="2"/>
        <v>30</v>
      </c>
    </row>
    <row r="26" spans="1:34" ht="15.75" customHeight="1" x14ac:dyDescent="0.25">
      <c r="A26" s="12" t="s">
        <v>37</v>
      </c>
      <c r="B26" s="13">
        <v>0</v>
      </c>
      <c r="C26" s="14">
        <v>1</v>
      </c>
      <c r="D26" s="14">
        <v>1</v>
      </c>
      <c r="E26" s="14">
        <v>0</v>
      </c>
      <c r="F26" s="14">
        <v>2</v>
      </c>
      <c r="G26" s="14">
        <v>0</v>
      </c>
      <c r="H26" s="14">
        <v>2</v>
      </c>
      <c r="I26" s="14">
        <v>0</v>
      </c>
      <c r="J26" s="14">
        <v>2</v>
      </c>
      <c r="K26" s="14">
        <v>0</v>
      </c>
      <c r="L26" s="14">
        <v>3</v>
      </c>
      <c r="M26" s="14">
        <v>0</v>
      </c>
      <c r="N26" s="14">
        <v>2</v>
      </c>
      <c r="O26" s="14">
        <v>0</v>
      </c>
      <c r="P26" s="14">
        <v>2</v>
      </c>
      <c r="Q26" s="14">
        <v>0</v>
      </c>
      <c r="R26" s="14">
        <v>1</v>
      </c>
      <c r="S26" s="14">
        <v>0</v>
      </c>
      <c r="T26" s="14">
        <v>1</v>
      </c>
      <c r="U26" s="14">
        <v>1</v>
      </c>
      <c r="V26" s="14">
        <v>2</v>
      </c>
      <c r="W26" s="14">
        <v>1</v>
      </c>
      <c r="X26" s="14">
        <v>3</v>
      </c>
      <c r="Y26" s="14">
        <v>4</v>
      </c>
      <c r="Z26" s="14">
        <v>2</v>
      </c>
      <c r="AA26" s="14">
        <v>3</v>
      </c>
      <c r="AB26" s="14">
        <v>1</v>
      </c>
      <c r="AC26" s="14">
        <v>1</v>
      </c>
      <c r="AD26" s="14"/>
      <c r="AE26" s="14"/>
      <c r="AF26" s="214"/>
      <c r="AG26" s="15">
        <f t="shared" si="2"/>
        <v>35</v>
      </c>
    </row>
    <row r="27" spans="1:34" ht="15.75" customHeight="1" x14ac:dyDescent="0.25">
      <c r="A27" s="16" t="s">
        <v>38</v>
      </c>
      <c r="B27" s="17">
        <v>3</v>
      </c>
      <c r="C27" s="18">
        <v>3</v>
      </c>
      <c r="D27" s="18">
        <v>1</v>
      </c>
      <c r="E27" s="18">
        <v>1</v>
      </c>
      <c r="F27" s="18">
        <v>3</v>
      </c>
      <c r="G27" s="18">
        <v>0</v>
      </c>
      <c r="H27" s="18">
        <v>6</v>
      </c>
      <c r="I27" s="18">
        <v>8</v>
      </c>
      <c r="J27" s="18">
        <v>5</v>
      </c>
      <c r="K27" s="18">
        <v>4</v>
      </c>
      <c r="L27" s="18">
        <v>3</v>
      </c>
      <c r="M27" s="18">
        <v>13</v>
      </c>
      <c r="N27" s="18">
        <v>8</v>
      </c>
      <c r="O27" s="18">
        <v>2</v>
      </c>
      <c r="P27" s="18">
        <v>4</v>
      </c>
      <c r="Q27" s="18">
        <v>7</v>
      </c>
      <c r="R27" s="18">
        <v>2</v>
      </c>
      <c r="S27" s="18">
        <v>1</v>
      </c>
      <c r="T27" s="18">
        <v>5</v>
      </c>
      <c r="U27" s="18">
        <v>7</v>
      </c>
      <c r="V27" s="18">
        <v>2</v>
      </c>
      <c r="W27" s="18">
        <v>3</v>
      </c>
      <c r="X27" s="18">
        <v>6</v>
      </c>
      <c r="Y27" s="18">
        <v>4</v>
      </c>
      <c r="Z27" s="18">
        <v>2</v>
      </c>
      <c r="AA27" s="18">
        <v>5</v>
      </c>
      <c r="AB27" s="18">
        <v>3</v>
      </c>
      <c r="AC27" s="18">
        <v>5</v>
      </c>
      <c r="AD27" s="18"/>
      <c r="AE27" s="18"/>
      <c r="AF27" s="215"/>
      <c r="AG27" s="15">
        <f t="shared" si="2"/>
        <v>116</v>
      </c>
    </row>
    <row r="28" spans="1:34" ht="15.75" customHeight="1" x14ac:dyDescent="0.25">
      <c r="A28" s="19" t="s">
        <v>39</v>
      </c>
      <c r="B28" s="20">
        <f t="shared" ref="B28:AF28" si="3">SUM(B29:B52)</f>
        <v>190</v>
      </c>
      <c r="C28" s="21">
        <f t="shared" si="3"/>
        <v>162</v>
      </c>
      <c r="D28" s="21">
        <f t="shared" si="3"/>
        <v>159</v>
      </c>
      <c r="E28" s="21">
        <f t="shared" si="3"/>
        <v>164</v>
      </c>
      <c r="F28" s="21">
        <f t="shared" si="3"/>
        <v>193</v>
      </c>
      <c r="G28" s="21">
        <f t="shared" si="3"/>
        <v>208</v>
      </c>
      <c r="H28" s="21">
        <f t="shared" si="3"/>
        <v>78</v>
      </c>
      <c r="I28" s="21">
        <f t="shared" si="3"/>
        <v>197</v>
      </c>
      <c r="J28" s="21">
        <f t="shared" si="3"/>
        <v>195</v>
      </c>
      <c r="K28" s="21">
        <f t="shared" si="3"/>
        <v>186</v>
      </c>
      <c r="L28" s="21">
        <f t="shared" si="3"/>
        <v>181</v>
      </c>
      <c r="M28" s="21">
        <f t="shared" si="3"/>
        <v>209</v>
      </c>
      <c r="N28" s="21">
        <f t="shared" si="3"/>
        <v>225</v>
      </c>
      <c r="O28" s="21">
        <f t="shared" si="3"/>
        <v>171</v>
      </c>
      <c r="P28" s="21">
        <f t="shared" si="3"/>
        <v>203</v>
      </c>
      <c r="Q28" s="21">
        <f t="shared" si="3"/>
        <v>190</v>
      </c>
      <c r="R28" s="21">
        <f t="shared" si="3"/>
        <v>163</v>
      </c>
      <c r="S28" s="21">
        <f t="shared" si="3"/>
        <v>171</v>
      </c>
      <c r="T28" s="21">
        <f t="shared" si="3"/>
        <v>190</v>
      </c>
      <c r="U28" s="21">
        <f t="shared" si="3"/>
        <v>223</v>
      </c>
      <c r="V28" s="21">
        <f t="shared" si="3"/>
        <v>196</v>
      </c>
      <c r="W28" s="21">
        <f t="shared" si="3"/>
        <v>177</v>
      </c>
      <c r="X28" s="21">
        <f t="shared" si="3"/>
        <v>187</v>
      </c>
      <c r="Y28" s="21">
        <f t="shared" si="3"/>
        <v>183</v>
      </c>
      <c r="Z28" s="21">
        <f t="shared" si="3"/>
        <v>189</v>
      </c>
      <c r="AA28" s="21">
        <f t="shared" si="3"/>
        <v>193</v>
      </c>
      <c r="AB28" s="21">
        <f t="shared" si="3"/>
        <v>230</v>
      </c>
      <c r="AC28" s="21">
        <f t="shared" si="3"/>
        <v>234</v>
      </c>
      <c r="AD28" s="21">
        <f t="shared" si="3"/>
        <v>0</v>
      </c>
      <c r="AE28" s="21">
        <f t="shared" si="3"/>
        <v>0</v>
      </c>
      <c r="AF28" s="21">
        <f t="shared" si="3"/>
        <v>0</v>
      </c>
      <c r="AG28" s="22">
        <f t="shared" si="2"/>
        <v>5247</v>
      </c>
      <c r="AH28" s="264">
        <f>135+AG28</f>
        <v>5382</v>
      </c>
    </row>
    <row r="29" spans="1:34" ht="15.75" customHeight="1" x14ac:dyDescent="0.25">
      <c r="A29" s="12" t="s">
        <v>15</v>
      </c>
      <c r="B29" s="13">
        <v>5</v>
      </c>
      <c r="C29" s="14">
        <v>3</v>
      </c>
      <c r="D29" s="14">
        <v>4</v>
      </c>
      <c r="E29" s="14">
        <v>4</v>
      </c>
      <c r="F29" s="14">
        <v>5</v>
      </c>
      <c r="G29" s="14">
        <v>3</v>
      </c>
      <c r="H29" s="14">
        <v>3</v>
      </c>
      <c r="I29" s="14">
        <v>11</v>
      </c>
      <c r="J29" s="14">
        <v>5</v>
      </c>
      <c r="K29" s="14">
        <v>8</v>
      </c>
      <c r="L29" s="14">
        <v>1</v>
      </c>
      <c r="M29" s="14">
        <v>8</v>
      </c>
      <c r="N29" s="14">
        <v>1</v>
      </c>
      <c r="O29" s="14">
        <v>4</v>
      </c>
      <c r="P29" s="14">
        <v>4</v>
      </c>
      <c r="Q29" s="14">
        <v>6</v>
      </c>
      <c r="R29" s="14">
        <v>3</v>
      </c>
      <c r="S29" s="14">
        <v>6</v>
      </c>
      <c r="T29" s="14">
        <v>5</v>
      </c>
      <c r="U29" s="14">
        <v>7</v>
      </c>
      <c r="V29" s="14">
        <v>3</v>
      </c>
      <c r="W29" s="14">
        <v>3</v>
      </c>
      <c r="X29" s="14">
        <v>8</v>
      </c>
      <c r="Y29" s="14">
        <v>4</v>
      </c>
      <c r="Z29" s="14">
        <v>3</v>
      </c>
      <c r="AA29" s="14">
        <v>6</v>
      </c>
      <c r="AB29" s="14">
        <v>6</v>
      </c>
      <c r="AC29" s="14">
        <v>5</v>
      </c>
      <c r="AD29" s="14"/>
      <c r="AE29" s="14"/>
      <c r="AF29" s="214"/>
      <c r="AG29" s="15">
        <f t="shared" si="2"/>
        <v>134</v>
      </c>
    </row>
    <row r="30" spans="1:34" ht="15.75" customHeight="1" x14ac:dyDescent="0.25">
      <c r="A30" s="12" t="s">
        <v>16</v>
      </c>
      <c r="B30" s="13">
        <v>12</v>
      </c>
      <c r="C30" s="14">
        <v>7</v>
      </c>
      <c r="D30" s="14">
        <v>10</v>
      </c>
      <c r="E30" s="14">
        <v>13</v>
      </c>
      <c r="F30" s="14">
        <v>7</v>
      </c>
      <c r="G30" s="14">
        <v>9</v>
      </c>
      <c r="H30" s="14">
        <v>1</v>
      </c>
      <c r="I30" s="14">
        <v>6</v>
      </c>
      <c r="J30" s="14">
        <v>6</v>
      </c>
      <c r="K30" s="14">
        <v>11</v>
      </c>
      <c r="L30" s="14">
        <v>10</v>
      </c>
      <c r="M30" s="14">
        <v>12</v>
      </c>
      <c r="N30" s="14">
        <v>9</v>
      </c>
      <c r="O30" s="14">
        <v>17</v>
      </c>
      <c r="P30" s="14">
        <v>17</v>
      </c>
      <c r="Q30" s="14">
        <v>10</v>
      </c>
      <c r="R30" s="14">
        <v>8</v>
      </c>
      <c r="S30" s="14">
        <v>4</v>
      </c>
      <c r="T30" s="14">
        <v>4</v>
      </c>
      <c r="U30" s="14">
        <v>12</v>
      </c>
      <c r="V30" s="14">
        <v>9</v>
      </c>
      <c r="W30" s="14">
        <v>11</v>
      </c>
      <c r="X30" s="14">
        <v>14</v>
      </c>
      <c r="Y30" s="14">
        <v>8</v>
      </c>
      <c r="Z30" s="14">
        <v>5</v>
      </c>
      <c r="AA30" s="14">
        <v>5</v>
      </c>
      <c r="AB30" s="14">
        <v>13</v>
      </c>
      <c r="AC30" s="14">
        <v>11</v>
      </c>
      <c r="AD30" s="14"/>
      <c r="AE30" s="14"/>
      <c r="AF30" s="214"/>
      <c r="AG30" s="15">
        <f t="shared" si="2"/>
        <v>261</v>
      </c>
    </row>
    <row r="31" spans="1:34" ht="15.75" customHeight="1" x14ac:dyDescent="0.25">
      <c r="A31" s="12" t="s">
        <v>17</v>
      </c>
      <c r="B31" s="13">
        <v>10</v>
      </c>
      <c r="C31" s="14">
        <v>5</v>
      </c>
      <c r="D31" s="14">
        <v>9</v>
      </c>
      <c r="E31" s="14">
        <v>10</v>
      </c>
      <c r="F31" s="14">
        <v>7</v>
      </c>
      <c r="G31" s="14">
        <v>10</v>
      </c>
      <c r="H31" s="14"/>
      <c r="I31" s="14">
        <v>8</v>
      </c>
      <c r="J31" s="14">
        <v>8</v>
      </c>
      <c r="K31" s="14">
        <v>9</v>
      </c>
      <c r="L31" s="14">
        <v>10</v>
      </c>
      <c r="M31" s="14">
        <v>11</v>
      </c>
      <c r="N31" s="14">
        <v>15</v>
      </c>
      <c r="O31" s="14">
        <v>12</v>
      </c>
      <c r="P31" s="14">
        <v>11</v>
      </c>
      <c r="Q31" s="14">
        <v>5</v>
      </c>
      <c r="R31" s="14">
        <v>11</v>
      </c>
      <c r="S31" s="14">
        <v>16</v>
      </c>
      <c r="T31" s="14">
        <v>6</v>
      </c>
      <c r="U31" s="14">
        <v>14</v>
      </c>
      <c r="V31" s="14">
        <v>7</v>
      </c>
      <c r="W31" s="14">
        <v>9</v>
      </c>
      <c r="X31" s="14">
        <v>9</v>
      </c>
      <c r="Y31" s="14">
        <v>9</v>
      </c>
      <c r="Z31" s="14">
        <v>14</v>
      </c>
      <c r="AA31" s="14">
        <v>7</v>
      </c>
      <c r="AB31" s="14">
        <v>12</v>
      </c>
      <c r="AC31" s="14">
        <v>10</v>
      </c>
      <c r="AD31" s="14"/>
      <c r="AE31" s="14"/>
      <c r="AF31" s="214"/>
      <c r="AG31" s="15">
        <f t="shared" si="2"/>
        <v>264</v>
      </c>
    </row>
    <row r="32" spans="1:34" ht="15.75" customHeight="1" x14ac:dyDescent="0.25">
      <c r="A32" s="12" t="s">
        <v>18</v>
      </c>
      <c r="B32" s="13">
        <v>6</v>
      </c>
      <c r="C32" s="14">
        <v>9</v>
      </c>
      <c r="D32" s="14">
        <v>1</v>
      </c>
      <c r="E32" s="14">
        <v>8</v>
      </c>
      <c r="F32" s="14">
        <v>12</v>
      </c>
      <c r="G32" s="14">
        <v>13</v>
      </c>
      <c r="H32" s="14"/>
      <c r="I32" s="14">
        <v>8</v>
      </c>
      <c r="J32" s="14">
        <v>10</v>
      </c>
      <c r="K32" s="14">
        <v>11</v>
      </c>
      <c r="L32" s="14">
        <v>12</v>
      </c>
      <c r="M32" s="14">
        <v>10</v>
      </c>
      <c r="N32" s="14">
        <v>10</v>
      </c>
      <c r="O32" s="14">
        <v>11</v>
      </c>
      <c r="P32" s="14">
        <v>6</v>
      </c>
      <c r="Q32" s="14">
        <v>9</v>
      </c>
      <c r="R32" s="14">
        <v>9</v>
      </c>
      <c r="S32" s="14">
        <v>10</v>
      </c>
      <c r="T32" s="14">
        <v>17</v>
      </c>
      <c r="U32" s="14">
        <v>9</v>
      </c>
      <c r="V32" s="14">
        <v>7</v>
      </c>
      <c r="W32" s="14">
        <v>7</v>
      </c>
      <c r="X32" s="14">
        <v>12</v>
      </c>
      <c r="Y32" s="14">
        <v>10</v>
      </c>
      <c r="Z32" s="14">
        <v>16</v>
      </c>
      <c r="AA32" s="14">
        <v>11</v>
      </c>
      <c r="AB32" s="14">
        <v>13</v>
      </c>
      <c r="AC32" s="14">
        <v>11</v>
      </c>
      <c r="AD32" s="14"/>
      <c r="AE32" s="14"/>
      <c r="AF32" s="214"/>
      <c r="AG32" s="15">
        <f t="shared" si="2"/>
        <v>268</v>
      </c>
    </row>
    <row r="33" spans="1:33" ht="15.75" customHeight="1" x14ac:dyDescent="0.25">
      <c r="A33" s="12" t="s">
        <v>19</v>
      </c>
      <c r="B33" s="13">
        <v>5</v>
      </c>
      <c r="C33" s="14">
        <v>10</v>
      </c>
      <c r="D33" s="14">
        <v>11</v>
      </c>
      <c r="E33" s="14">
        <v>7</v>
      </c>
      <c r="F33" s="14">
        <v>8</v>
      </c>
      <c r="G33" s="14">
        <v>9</v>
      </c>
      <c r="H33" s="14"/>
      <c r="I33" s="14">
        <v>9</v>
      </c>
      <c r="J33" s="14">
        <v>6</v>
      </c>
      <c r="K33" s="14">
        <v>8</v>
      </c>
      <c r="L33" s="14">
        <v>11</v>
      </c>
      <c r="M33" s="14">
        <v>14</v>
      </c>
      <c r="N33" s="14">
        <v>11</v>
      </c>
      <c r="O33" s="14">
        <v>10</v>
      </c>
      <c r="P33" s="14">
        <v>8</v>
      </c>
      <c r="Q33" s="14">
        <v>10</v>
      </c>
      <c r="R33" s="14">
        <v>7</v>
      </c>
      <c r="S33" s="14">
        <v>17</v>
      </c>
      <c r="T33" s="14">
        <v>9</v>
      </c>
      <c r="U33" s="14">
        <v>5</v>
      </c>
      <c r="V33" s="14">
        <v>8</v>
      </c>
      <c r="W33" s="14">
        <v>14</v>
      </c>
      <c r="X33" s="14">
        <v>8</v>
      </c>
      <c r="Y33" s="14">
        <v>11</v>
      </c>
      <c r="Z33" s="14">
        <v>9</v>
      </c>
      <c r="AA33" s="14">
        <v>14</v>
      </c>
      <c r="AB33" s="14">
        <v>7</v>
      </c>
      <c r="AC33" s="14">
        <v>7</v>
      </c>
      <c r="AD33" s="14"/>
      <c r="AE33" s="14"/>
      <c r="AF33" s="214"/>
      <c r="AG33" s="15">
        <f t="shared" si="2"/>
        <v>253</v>
      </c>
    </row>
    <row r="34" spans="1:33" ht="15.75" customHeight="1" x14ac:dyDescent="0.25">
      <c r="A34" s="12" t="s">
        <v>20</v>
      </c>
      <c r="B34" s="13">
        <v>7</v>
      </c>
      <c r="C34" s="14">
        <v>5</v>
      </c>
      <c r="D34" s="14">
        <v>5</v>
      </c>
      <c r="E34" s="14">
        <v>10</v>
      </c>
      <c r="F34" s="14">
        <v>9</v>
      </c>
      <c r="G34" s="14">
        <v>3</v>
      </c>
      <c r="H34" s="14"/>
      <c r="I34" s="14">
        <v>4</v>
      </c>
      <c r="J34" s="14">
        <v>5</v>
      </c>
      <c r="K34" s="14">
        <v>9</v>
      </c>
      <c r="L34" s="14">
        <v>7</v>
      </c>
      <c r="M34" s="14">
        <v>15</v>
      </c>
      <c r="N34" s="14">
        <v>7</v>
      </c>
      <c r="O34" s="14">
        <v>7</v>
      </c>
      <c r="P34" s="14">
        <v>5</v>
      </c>
      <c r="Q34" s="14">
        <v>8</v>
      </c>
      <c r="R34" s="14">
        <v>6</v>
      </c>
      <c r="S34" s="14">
        <v>10</v>
      </c>
      <c r="T34" s="14">
        <v>10</v>
      </c>
      <c r="U34" s="14">
        <v>12</v>
      </c>
      <c r="V34" s="14">
        <v>7</v>
      </c>
      <c r="W34" s="14">
        <v>5</v>
      </c>
      <c r="X34" s="14">
        <v>4</v>
      </c>
      <c r="Y34" s="14">
        <v>4</v>
      </c>
      <c r="Z34" s="14">
        <v>9</v>
      </c>
      <c r="AA34" s="14">
        <v>12</v>
      </c>
      <c r="AB34" s="14">
        <v>4</v>
      </c>
      <c r="AC34" s="14">
        <v>5</v>
      </c>
      <c r="AD34" s="14"/>
      <c r="AE34" s="14"/>
      <c r="AF34" s="214"/>
      <c r="AG34" s="15">
        <f t="shared" si="2"/>
        <v>194</v>
      </c>
    </row>
    <row r="35" spans="1:33" ht="15.75" customHeight="1" x14ac:dyDescent="0.25">
      <c r="A35" s="12" t="s">
        <v>21</v>
      </c>
      <c r="B35" s="13">
        <v>11</v>
      </c>
      <c r="C35" s="14">
        <v>10</v>
      </c>
      <c r="D35" s="14">
        <v>12</v>
      </c>
      <c r="E35" s="14">
        <v>7</v>
      </c>
      <c r="F35" s="14">
        <v>15</v>
      </c>
      <c r="G35" s="14">
        <v>10</v>
      </c>
      <c r="H35" s="14"/>
      <c r="I35" s="14">
        <v>10</v>
      </c>
      <c r="J35" s="14">
        <v>9</v>
      </c>
      <c r="K35" s="14">
        <v>4</v>
      </c>
      <c r="L35" s="14">
        <v>7</v>
      </c>
      <c r="M35" s="14">
        <v>9</v>
      </c>
      <c r="N35" s="14">
        <v>12</v>
      </c>
      <c r="O35" s="14">
        <v>5</v>
      </c>
      <c r="P35" s="14">
        <v>9</v>
      </c>
      <c r="Q35" s="14">
        <v>6</v>
      </c>
      <c r="R35" s="14">
        <v>8</v>
      </c>
      <c r="S35" s="14">
        <v>9</v>
      </c>
      <c r="T35" s="14">
        <v>3</v>
      </c>
      <c r="U35" s="14">
        <v>4</v>
      </c>
      <c r="V35" s="14">
        <v>3</v>
      </c>
      <c r="W35" s="14">
        <v>6</v>
      </c>
      <c r="X35" s="14">
        <v>7</v>
      </c>
      <c r="Y35" s="14">
        <v>7</v>
      </c>
      <c r="Z35" s="14">
        <v>9</v>
      </c>
      <c r="AA35" s="14">
        <v>10</v>
      </c>
      <c r="AB35" s="14">
        <v>9</v>
      </c>
      <c r="AC35" s="14">
        <v>7</v>
      </c>
      <c r="AD35" s="14"/>
      <c r="AE35" s="14"/>
      <c r="AF35" s="214"/>
      <c r="AG35" s="15">
        <f t="shared" si="2"/>
        <v>218</v>
      </c>
    </row>
    <row r="36" spans="1:33" ht="15.75" customHeight="1" x14ac:dyDescent="0.25">
      <c r="A36" s="12" t="s">
        <v>22</v>
      </c>
      <c r="B36" s="13">
        <v>9</v>
      </c>
      <c r="C36" s="14">
        <v>11</v>
      </c>
      <c r="D36" s="14">
        <v>13</v>
      </c>
      <c r="E36" s="14">
        <v>14</v>
      </c>
      <c r="F36" s="14">
        <v>18</v>
      </c>
      <c r="G36" s="14">
        <v>16</v>
      </c>
      <c r="H36" s="14"/>
      <c r="I36" s="14">
        <v>14</v>
      </c>
      <c r="J36" s="14">
        <v>8</v>
      </c>
      <c r="K36" s="14">
        <v>11</v>
      </c>
      <c r="L36" s="14">
        <v>12</v>
      </c>
      <c r="M36" s="14">
        <v>10</v>
      </c>
      <c r="N36" s="14">
        <v>10</v>
      </c>
      <c r="O36" s="14">
        <v>8</v>
      </c>
      <c r="P36" s="14">
        <v>12</v>
      </c>
      <c r="Q36" s="14">
        <v>12</v>
      </c>
      <c r="R36" s="14">
        <v>8</v>
      </c>
      <c r="S36" s="14">
        <v>13</v>
      </c>
      <c r="T36" s="14">
        <v>14</v>
      </c>
      <c r="U36" s="14">
        <v>3</v>
      </c>
      <c r="V36" s="14"/>
      <c r="W36" s="14">
        <v>7</v>
      </c>
      <c r="X36" s="14">
        <v>9</v>
      </c>
      <c r="Y36" s="14">
        <v>8</v>
      </c>
      <c r="Z36" s="14">
        <v>11</v>
      </c>
      <c r="AA36" s="14">
        <v>12</v>
      </c>
      <c r="AB36" s="14">
        <v>13</v>
      </c>
      <c r="AC36" s="14">
        <v>13</v>
      </c>
      <c r="AD36" s="14"/>
      <c r="AE36" s="14"/>
      <c r="AF36" s="214"/>
      <c r="AG36" s="15">
        <f t="shared" si="2"/>
        <v>289</v>
      </c>
    </row>
    <row r="37" spans="1:33" ht="15.75" customHeight="1" x14ac:dyDescent="0.25">
      <c r="A37" s="12" t="s">
        <v>23</v>
      </c>
      <c r="B37" s="13">
        <v>10</v>
      </c>
      <c r="C37" s="14">
        <v>13</v>
      </c>
      <c r="D37" s="14">
        <v>9</v>
      </c>
      <c r="E37" s="14">
        <v>13</v>
      </c>
      <c r="F37" s="14">
        <v>10</v>
      </c>
      <c r="G37" s="14">
        <v>12</v>
      </c>
      <c r="H37" s="14"/>
      <c r="I37" s="14">
        <v>9</v>
      </c>
      <c r="J37" s="14">
        <v>12</v>
      </c>
      <c r="K37" s="14">
        <v>11</v>
      </c>
      <c r="L37" s="14">
        <v>13</v>
      </c>
      <c r="M37" s="14">
        <v>11</v>
      </c>
      <c r="N37" s="14">
        <v>17</v>
      </c>
      <c r="O37" s="14">
        <v>5</v>
      </c>
      <c r="P37" s="14">
        <v>12</v>
      </c>
      <c r="Q37" s="14">
        <v>10</v>
      </c>
      <c r="R37" s="14">
        <v>9</v>
      </c>
      <c r="S37" s="14">
        <v>9</v>
      </c>
      <c r="T37" s="14">
        <v>18</v>
      </c>
      <c r="U37" s="14">
        <v>10</v>
      </c>
      <c r="V37" s="14">
        <v>8</v>
      </c>
      <c r="W37" s="14">
        <v>5</v>
      </c>
      <c r="X37" s="14">
        <v>10</v>
      </c>
      <c r="Y37" s="14">
        <v>6</v>
      </c>
      <c r="Z37" s="14">
        <v>6</v>
      </c>
      <c r="AA37" s="14">
        <v>10</v>
      </c>
      <c r="AB37" s="14">
        <v>12</v>
      </c>
      <c r="AC37" s="14">
        <v>14</v>
      </c>
      <c r="AD37" s="14"/>
      <c r="AE37" s="14"/>
      <c r="AF37" s="214"/>
      <c r="AG37" s="15">
        <f t="shared" si="2"/>
        <v>284</v>
      </c>
    </row>
    <row r="38" spans="1:33" ht="15.75" customHeight="1" x14ac:dyDescent="0.25">
      <c r="A38" s="12" t="s">
        <v>24</v>
      </c>
      <c r="B38" s="13">
        <v>14</v>
      </c>
      <c r="C38" s="14">
        <v>8</v>
      </c>
      <c r="D38" s="14">
        <v>9</v>
      </c>
      <c r="E38" s="14">
        <v>7</v>
      </c>
      <c r="F38" s="14">
        <v>8</v>
      </c>
      <c r="G38" s="14">
        <v>6</v>
      </c>
      <c r="H38" s="14"/>
      <c r="I38" s="14">
        <v>5</v>
      </c>
      <c r="J38" s="14">
        <v>9</v>
      </c>
      <c r="K38" s="14">
        <v>6</v>
      </c>
      <c r="L38" s="14">
        <v>17</v>
      </c>
      <c r="M38" s="14">
        <v>15</v>
      </c>
      <c r="N38" s="14">
        <v>8</v>
      </c>
      <c r="O38" s="14">
        <v>7</v>
      </c>
      <c r="P38" s="14">
        <v>13</v>
      </c>
      <c r="Q38" s="14">
        <v>10</v>
      </c>
      <c r="R38" s="14">
        <v>6</v>
      </c>
      <c r="S38" s="14">
        <v>8</v>
      </c>
      <c r="T38" s="14">
        <v>10</v>
      </c>
      <c r="U38" s="14">
        <v>14</v>
      </c>
      <c r="V38" s="14">
        <v>22</v>
      </c>
      <c r="W38" s="14">
        <v>9</v>
      </c>
      <c r="X38" s="14">
        <v>9</v>
      </c>
      <c r="Y38" s="14">
        <v>9</v>
      </c>
      <c r="Z38" s="14">
        <v>9</v>
      </c>
      <c r="AA38" s="14">
        <v>17</v>
      </c>
      <c r="AB38" s="14">
        <v>12</v>
      </c>
      <c r="AC38" s="14">
        <v>14</v>
      </c>
      <c r="AD38" s="14"/>
      <c r="AE38" s="14"/>
      <c r="AF38" s="214"/>
      <c r="AG38" s="15">
        <f t="shared" si="2"/>
        <v>281</v>
      </c>
    </row>
    <row r="39" spans="1:33" ht="15.75" customHeight="1" x14ac:dyDescent="0.25">
      <c r="A39" s="12" t="s">
        <v>25</v>
      </c>
      <c r="B39" s="13">
        <v>11</v>
      </c>
      <c r="C39" s="14">
        <v>15</v>
      </c>
      <c r="D39" s="14">
        <v>6</v>
      </c>
      <c r="E39" s="14">
        <v>14</v>
      </c>
      <c r="F39" s="14">
        <v>22</v>
      </c>
      <c r="G39" s="14">
        <v>13</v>
      </c>
      <c r="H39" s="14"/>
      <c r="I39" s="14">
        <v>14</v>
      </c>
      <c r="J39" s="14">
        <v>18</v>
      </c>
      <c r="K39" s="14">
        <v>14</v>
      </c>
      <c r="L39" s="14">
        <v>10</v>
      </c>
      <c r="M39" s="14">
        <v>12</v>
      </c>
      <c r="N39" s="14">
        <v>18</v>
      </c>
      <c r="O39" s="14">
        <v>18</v>
      </c>
      <c r="P39" s="14">
        <v>16</v>
      </c>
      <c r="Q39" s="14">
        <v>16</v>
      </c>
      <c r="R39" s="14">
        <v>12</v>
      </c>
      <c r="S39" s="14">
        <v>9</v>
      </c>
      <c r="T39" s="14">
        <v>15</v>
      </c>
      <c r="U39" s="14">
        <v>16</v>
      </c>
      <c r="V39" s="14">
        <v>20</v>
      </c>
      <c r="W39" s="14">
        <v>1</v>
      </c>
      <c r="X39" s="14">
        <v>21</v>
      </c>
      <c r="Y39" s="14">
        <v>15</v>
      </c>
      <c r="Z39" s="14">
        <v>19</v>
      </c>
      <c r="AA39" s="14">
        <v>12</v>
      </c>
      <c r="AB39" s="14">
        <v>16</v>
      </c>
      <c r="AC39" s="14">
        <v>17</v>
      </c>
      <c r="AD39" s="14"/>
      <c r="AE39" s="14"/>
      <c r="AF39" s="214"/>
      <c r="AG39" s="15">
        <f t="shared" si="2"/>
        <v>390</v>
      </c>
    </row>
    <row r="40" spans="1:33" ht="15.75" customHeight="1" x14ac:dyDescent="0.25">
      <c r="A40" s="12" t="s">
        <v>26</v>
      </c>
      <c r="B40" s="13">
        <v>22</v>
      </c>
      <c r="C40" s="14">
        <v>16</v>
      </c>
      <c r="D40" s="14">
        <v>14</v>
      </c>
      <c r="E40" s="14">
        <v>14</v>
      </c>
      <c r="F40" s="14">
        <v>12</v>
      </c>
      <c r="G40" s="14">
        <v>15</v>
      </c>
      <c r="H40" s="14"/>
      <c r="I40" s="14">
        <v>18</v>
      </c>
      <c r="J40" s="14">
        <v>19</v>
      </c>
      <c r="K40" s="14">
        <v>18</v>
      </c>
      <c r="L40" s="14">
        <v>13</v>
      </c>
      <c r="M40" s="14">
        <v>13</v>
      </c>
      <c r="N40" s="14">
        <v>18</v>
      </c>
      <c r="O40" s="14">
        <v>10</v>
      </c>
      <c r="P40" s="14">
        <v>19</v>
      </c>
      <c r="Q40" s="14">
        <v>20</v>
      </c>
      <c r="R40" s="14">
        <v>8</v>
      </c>
      <c r="S40" s="14">
        <v>11</v>
      </c>
      <c r="T40" s="14">
        <v>17</v>
      </c>
      <c r="U40" s="14">
        <v>20</v>
      </c>
      <c r="V40" s="14">
        <v>17</v>
      </c>
      <c r="W40" s="14">
        <v>15</v>
      </c>
      <c r="X40" s="14">
        <v>17</v>
      </c>
      <c r="Y40" s="14">
        <v>18</v>
      </c>
      <c r="Z40" s="14">
        <v>17</v>
      </c>
      <c r="AA40" s="14">
        <v>17</v>
      </c>
      <c r="AB40" s="14">
        <v>15</v>
      </c>
      <c r="AC40" s="14">
        <v>19</v>
      </c>
      <c r="AD40" s="14"/>
      <c r="AE40" s="14"/>
      <c r="AF40" s="214"/>
      <c r="AG40" s="15">
        <f t="shared" si="2"/>
        <v>432</v>
      </c>
    </row>
    <row r="41" spans="1:33" ht="15.75" customHeight="1" x14ac:dyDescent="0.25">
      <c r="A41" s="12" t="s">
        <v>27</v>
      </c>
      <c r="B41" s="13">
        <v>15</v>
      </c>
      <c r="C41" s="14">
        <v>11</v>
      </c>
      <c r="D41" s="14">
        <v>13</v>
      </c>
      <c r="E41" s="14">
        <v>8</v>
      </c>
      <c r="F41" s="14">
        <v>12</v>
      </c>
      <c r="G41" s="14">
        <v>17</v>
      </c>
      <c r="H41" s="14">
        <v>6</v>
      </c>
      <c r="I41" s="14">
        <v>23</v>
      </c>
      <c r="J41" s="14">
        <v>16</v>
      </c>
      <c r="K41" s="14">
        <v>12</v>
      </c>
      <c r="L41" s="14">
        <v>12</v>
      </c>
      <c r="M41" s="14">
        <v>13</v>
      </c>
      <c r="N41" s="14">
        <v>18</v>
      </c>
      <c r="O41" s="14">
        <v>14</v>
      </c>
      <c r="P41" s="14">
        <v>25</v>
      </c>
      <c r="Q41" s="14">
        <v>16</v>
      </c>
      <c r="R41" s="14">
        <v>17</v>
      </c>
      <c r="S41" s="14">
        <v>11</v>
      </c>
      <c r="T41" s="14">
        <v>12</v>
      </c>
      <c r="U41" s="14">
        <v>18</v>
      </c>
      <c r="V41" s="14">
        <v>17</v>
      </c>
      <c r="W41" s="14">
        <v>14</v>
      </c>
      <c r="X41" s="14">
        <v>17</v>
      </c>
      <c r="Y41" s="14">
        <v>17</v>
      </c>
      <c r="Z41" s="14">
        <v>13</v>
      </c>
      <c r="AA41" s="14">
        <v>9</v>
      </c>
      <c r="AB41" s="14">
        <v>21</v>
      </c>
      <c r="AC41" s="14">
        <v>23</v>
      </c>
      <c r="AD41" s="14"/>
      <c r="AE41" s="14"/>
      <c r="AF41" s="214"/>
      <c r="AG41" s="15">
        <f t="shared" si="2"/>
        <v>420</v>
      </c>
    </row>
    <row r="42" spans="1:33" ht="15.75" customHeight="1" x14ac:dyDescent="0.25">
      <c r="A42" s="12" t="s">
        <v>28</v>
      </c>
      <c r="B42" s="13">
        <v>17</v>
      </c>
      <c r="C42" s="14">
        <v>8</v>
      </c>
      <c r="D42" s="14">
        <v>6</v>
      </c>
      <c r="E42" s="14">
        <v>6</v>
      </c>
      <c r="F42" s="14">
        <v>12</v>
      </c>
      <c r="G42" s="14">
        <v>17</v>
      </c>
      <c r="H42" s="14">
        <v>14</v>
      </c>
      <c r="I42" s="14">
        <v>15</v>
      </c>
      <c r="J42" s="14">
        <v>20</v>
      </c>
      <c r="K42" s="14">
        <v>14</v>
      </c>
      <c r="L42" s="14">
        <v>5</v>
      </c>
      <c r="M42" s="14">
        <v>6</v>
      </c>
      <c r="N42" s="14">
        <v>18</v>
      </c>
      <c r="O42" s="14">
        <v>14</v>
      </c>
      <c r="P42" s="14">
        <v>14</v>
      </c>
      <c r="Q42" s="14">
        <v>14</v>
      </c>
      <c r="R42" s="14">
        <v>11</v>
      </c>
      <c r="S42" s="14">
        <v>4</v>
      </c>
      <c r="T42" s="14">
        <v>8</v>
      </c>
      <c r="U42" s="14">
        <v>17</v>
      </c>
      <c r="V42" s="14">
        <v>14</v>
      </c>
      <c r="W42" s="14">
        <v>15</v>
      </c>
      <c r="X42" s="14">
        <v>9</v>
      </c>
      <c r="Y42" s="14">
        <v>24</v>
      </c>
      <c r="Z42" s="14">
        <v>13</v>
      </c>
      <c r="AA42" s="14">
        <v>4</v>
      </c>
      <c r="AB42" s="14">
        <v>15</v>
      </c>
      <c r="AC42" s="14">
        <v>18</v>
      </c>
      <c r="AD42" s="14"/>
      <c r="AE42" s="14"/>
      <c r="AF42" s="214"/>
      <c r="AG42" s="15">
        <f t="shared" si="2"/>
        <v>352</v>
      </c>
    </row>
    <row r="43" spans="1:33" ht="15.75" customHeight="1" x14ac:dyDescent="0.25">
      <c r="A43" s="12" t="s">
        <v>29</v>
      </c>
      <c r="B43" s="13">
        <v>10</v>
      </c>
      <c r="C43" s="14">
        <v>6</v>
      </c>
      <c r="D43" s="14">
        <v>8</v>
      </c>
      <c r="E43" s="14">
        <v>6</v>
      </c>
      <c r="F43" s="14">
        <v>11</v>
      </c>
      <c r="G43" s="14">
        <v>14</v>
      </c>
      <c r="H43" s="14">
        <v>19</v>
      </c>
      <c r="I43" s="14">
        <v>13</v>
      </c>
      <c r="J43" s="14">
        <v>19</v>
      </c>
      <c r="K43" s="14">
        <v>12</v>
      </c>
      <c r="L43" s="14">
        <v>7</v>
      </c>
      <c r="M43" s="14">
        <v>13</v>
      </c>
      <c r="N43" s="14">
        <v>20</v>
      </c>
      <c r="O43" s="14">
        <v>8</v>
      </c>
      <c r="P43" s="14">
        <v>12</v>
      </c>
      <c r="Q43" s="14">
        <v>9</v>
      </c>
      <c r="R43" s="14">
        <v>10</v>
      </c>
      <c r="S43" s="14">
        <v>6</v>
      </c>
      <c r="T43" s="14">
        <v>9</v>
      </c>
      <c r="U43" s="14">
        <v>24</v>
      </c>
      <c r="V43" s="14">
        <v>20</v>
      </c>
      <c r="W43" s="14">
        <v>16</v>
      </c>
      <c r="X43" s="14">
        <v>9</v>
      </c>
      <c r="Y43" s="14">
        <v>8</v>
      </c>
      <c r="Z43" s="14">
        <v>16</v>
      </c>
      <c r="AA43" s="14">
        <v>9</v>
      </c>
      <c r="AB43" s="14">
        <v>19</v>
      </c>
      <c r="AC43" s="14">
        <v>15</v>
      </c>
      <c r="AD43" s="14"/>
      <c r="AE43" s="14"/>
      <c r="AF43" s="214"/>
      <c r="AG43" s="15">
        <f t="shared" si="2"/>
        <v>348</v>
      </c>
    </row>
    <row r="44" spans="1:33" ht="15.75" customHeight="1" x14ac:dyDescent="0.25">
      <c r="A44" s="12" t="s">
        <v>30</v>
      </c>
      <c r="B44" s="13">
        <v>0</v>
      </c>
      <c r="C44" s="14">
        <v>10</v>
      </c>
      <c r="D44" s="14">
        <v>9</v>
      </c>
      <c r="E44" s="14">
        <v>4</v>
      </c>
      <c r="F44" s="14">
        <v>13</v>
      </c>
      <c r="G44" s="14">
        <v>12</v>
      </c>
      <c r="H44" s="14">
        <v>12</v>
      </c>
      <c r="I44" s="14">
        <v>11</v>
      </c>
      <c r="J44" s="14">
        <v>6</v>
      </c>
      <c r="K44" s="14">
        <v>12</v>
      </c>
      <c r="L44" s="14">
        <v>10</v>
      </c>
      <c r="M44" s="14">
        <v>13</v>
      </c>
      <c r="N44" s="14">
        <v>10</v>
      </c>
      <c r="O44" s="14">
        <v>21</v>
      </c>
      <c r="P44" s="14">
        <v>8</v>
      </c>
      <c r="Q44" s="14">
        <v>11</v>
      </c>
      <c r="R44" s="14">
        <v>14</v>
      </c>
      <c r="S44" s="14">
        <v>10</v>
      </c>
      <c r="T44" s="14">
        <v>14</v>
      </c>
      <c r="U44" s="14">
        <v>10</v>
      </c>
      <c r="V44" s="14">
        <v>12</v>
      </c>
      <c r="W44" s="14">
        <v>11</v>
      </c>
      <c r="X44" s="14">
        <v>6</v>
      </c>
      <c r="Y44" s="14">
        <v>11</v>
      </c>
      <c r="Z44" s="14"/>
      <c r="AA44" s="14">
        <v>5</v>
      </c>
      <c r="AB44" s="14">
        <v>15</v>
      </c>
      <c r="AC44" s="14">
        <v>12</v>
      </c>
      <c r="AD44" s="14"/>
      <c r="AE44" s="14"/>
      <c r="AF44" s="214"/>
      <c r="AG44" s="15">
        <f t="shared" si="2"/>
        <v>282</v>
      </c>
    </row>
    <row r="45" spans="1:33" ht="15.75" customHeight="1" x14ac:dyDescent="0.25">
      <c r="A45" s="12" t="s">
        <v>31</v>
      </c>
      <c r="B45" s="13">
        <v>9</v>
      </c>
      <c r="C45" s="14">
        <v>4</v>
      </c>
      <c r="D45" s="14">
        <v>5</v>
      </c>
      <c r="E45" s="14">
        <v>8</v>
      </c>
      <c r="F45" s="14">
        <v>8</v>
      </c>
      <c r="G45" s="14">
        <v>14</v>
      </c>
      <c r="H45" s="14">
        <v>8</v>
      </c>
      <c r="I45" s="14">
        <v>9</v>
      </c>
      <c r="J45" s="14">
        <v>4</v>
      </c>
      <c r="K45" s="14">
        <v>4</v>
      </c>
      <c r="L45" s="14">
        <v>3</v>
      </c>
      <c r="M45" s="14">
        <v>11</v>
      </c>
      <c r="N45" s="14">
        <v>4</v>
      </c>
      <c r="O45" s="14"/>
      <c r="P45" s="14">
        <v>3</v>
      </c>
      <c r="Q45" s="14">
        <v>7</v>
      </c>
      <c r="R45" s="14">
        <v>5</v>
      </c>
      <c r="S45" s="14">
        <v>6</v>
      </c>
      <c r="T45" s="14">
        <v>4</v>
      </c>
      <c r="U45" s="14">
        <v>12</v>
      </c>
      <c r="V45" s="14">
        <v>9</v>
      </c>
      <c r="W45" s="14">
        <v>8</v>
      </c>
      <c r="X45" s="14">
        <v>3</v>
      </c>
      <c r="Y45" s="14">
        <v>8</v>
      </c>
      <c r="Z45" s="14">
        <v>7</v>
      </c>
      <c r="AA45" s="14">
        <v>6</v>
      </c>
      <c r="AB45" s="14">
        <v>8</v>
      </c>
      <c r="AC45" s="14">
        <v>16</v>
      </c>
      <c r="AD45" s="14"/>
      <c r="AE45" s="14"/>
      <c r="AF45" s="214"/>
      <c r="AG45" s="15">
        <f t="shared" si="2"/>
        <v>193</v>
      </c>
    </row>
    <row r="46" spans="1:33" ht="15.75" customHeight="1" x14ac:dyDescent="0.25">
      <c r="A46" s="12" t="s">
        <v>32</v>
      </c>
      <c r="B46" s="13">
        <v>6</v>
      </c>
      <c r="C46" s="14">
        <v>5</v>
      </c>
      <c r="D46" s="14">
        <v>8</v>
      </c>
      <c r="E46" s="14">
        <v>5</v>
      </c>
      <c r="F46" s="14">
        <v>2</v>
      </c>
      <c r="G46" s="14">
        <v>8</v>
      </c>
      <c r="H46" s="14">
        <v>2</v>
      </c>
      <c r="I46" s="14">
        <v>3</v>
      </c>
      <c r="J46" s="14">
        <v>7</v>
      </c>
      <c r="K46" s="14">
        <v>12</v>
      </c>
      <c r="L46" s="14">
        <v>5</v>
      </c>
      <c r="M46" s="14">
        <v>7</v>
      </c>
      <c r="N46" s="14">
        <v>6</v>
      </c>
      <c r="O46" s="14"/>
      <c r="P46" s="14">
        <v>2</v>
      </c>
      <c r="Q46" s="14">
        <v>6</v>
      </c>
      <c r="R46" s="14">
        <v>9</v>
      </c>
      <c r="S46" s="14">
        <v>5</v>
      </c>
      <c r="T46" s="14">
        <v>6</v>
      </c>
      <c r="U46" s="14">
        <v>6</v>
      </c>
      <c r="V46" s="14">
        <v>5</v>
      </c>
      <c r="W46" s="14">
        <v>10</v>
      </c>
      <c r="X46" s="14">
        <v>3</v>
      </c>
      <c r="Y46" s="14"/>
      <c r="Z46" s="14">
        <v>5</v>
      </c>
      <c r="AA46" s="14">
        <v>9</v>
      </c>
      <c r="AB46" s="14">
        <v>6</v>
      </c>
      <c r="AC46" s="14">
        <v>2</v>
      </c>
      <c r="AD46" s="14"/>
      <c r="AE46" s="14"/>
      <c r="AF46" s="214"/>
      <c r="AG46" s="15">
        <f t="shared" si="2"/>
        <v>150</v>
      </c>
    </row>
    <row r="47" spans="1:33" ht="15.75" customHeight="1" x14ac:dyDescent="0.25">
      <c r="A47" s="12" t="s">
        <v>33</v>
      </c>
      <c r="B47" s="13">
        <v>5</v>
      </c>
      <c r="C47" s="14">
        <v>5</v>
      </c>
      <c r="D47" s="14">
        <v>3</v>
      </c>
      <c r="E47" s="14">
        <v>2</v>
      </c>
      <c r="F47" s="14">
        <v>0</v>
      </c>
      <c r="G47" s="14">
        <v>7</v>
      </c>
      <c r="H47" s="14">
        <v>1</v>
      </c>
      <c r="I47" s="14">
        <v>2</v>
      </c>
      <c r="J47" s="14">
        <v>1</v>
      </c>
      <c r="K47" s="14">
        <v>0</v>
      </c>
      <c r="L47" s="14">
        <v>4</v>
      </c>
      <c r="M47" s="14">
        <v>2</v>
      </c>
      <c r="N47" s="14">
        <v>0</v>
      </c>
      <c r="O47" s="14"/>
      <c r="P47" s="14">
        <v>1</v>
      </c>
      <c r="Q47" s="14">
        <v>1</v>
      </c>
      <c r="R47" s="14">
        <v>1</v>
      </c>
      <c r="S47" s="14">
        <v>3</v>
      </c>
      <c r="T47" s="14">
        <v>4</v>
      </c>
      <c r="U47" s="14">
        <v>4</v>
      </c>
      <c r="V47" s="14">
        <v>1</v>
      </c>
      <c r="W47" s="14">
        <v>4</v>
      </c>
      <c r="X47" s="14">
        <v>2</v>
      </c>
      <c r="Y47" s="14">
        <v>6</v>
      </c>
      <c r="Z47" s="14">
        <v>1</v>
      </c>
      <c r="AA47" s="14">
        <v>7</v>
      </c>
      <c r="AB47" s="14">
        <v>3</v>
      </c>
      <c r="AC47" s="14">
        <v>2</v>
      </c>
      <c r="AD47" s="14"/>
      <c r="AE47" s="14"/>
      <c r="AF47" s="214"/>
      <c r="AG47" s="15">
        <f t="shared" si="2"/>
        <v>72</v>
      </c>
    </row>
    <row r="48" spans="1:33" ht="15.75" customHeight="1" x14ac:dyDescent="0.25">
      <c r="A48" s="12" t="s">
        <v>34</v>
      </c>
      <c r="B48" s="13">
        <v>1</v>
      </c>
      <c r="C48" s="14">
        <v>0</v>
      </c>
      <c r="D48" s="14">
        <v>3</v>
      </c>
      <c r="E48" s="14">
        <v>1</v>
      </c>
      <c r="F48" s="14">
        <v>0</v>
      </c>
      <c r="G48" s="14">
        <v>0</v>
      </c>
      <c r="H48" s="14">
        <v>7</v>
      </c>
      <c r="I48" s="14">
        <v>1</v>
      </c>
      <c r="J48" s="14">
        <v>0</v>
      </c>
      <c r="K48" s="14">
        <v>0</v>
      </c>
      <c r="L48" s="14">
        <v>6</v>
      </c>
      <c r="M48" s="14">
        <v>1</v>
      </c>
      <c r="N48" s="14">
        <v>0</v>
      </c>
      <c r="O48" s="14"/>
      <c r="P48" s="14">
        <v>3</v>
      </c>
      <c r="Q48" s="14">
        <v>1</v>
      </c>
      <c r="R48" s="14">
        <v>0</v>
      </c>
      <c r="S48" s="14">
        <v>0</v>
      </c>
      <c r="T48" s="14">
        <v>0</v>
      </c>
      <c r="U48" s="14">
        <v>0</v>
      </c>
      <c r="V48" s="14">
        <v>1</v>
      </c>
      <c r="W48" s="14">
        <v>2</v>
      </c>
      <c r="X48" s="14"/>
      <c r="Y48" s="14"/>
      <c r="Z48" s="14">
        <v>1</v>
      </c>
      <c r="AA48" s="14">
        <v>2</v>
      </c>
      <c r="AB48" s="14">
        <v>2</v>
      </c>
      <c r="AC48" s="14">
        <v>1</v>
      </c>
      <c r="AD48" s="14"/>
      <c r="AE48" s="14"/>
      <c r="AF48" s="214"/>
      <c r="AG48" s="15">
        <f t="shared" si="2"/>
        <v>33</v>
      </c>
    </row>
    <row r="49" spans="1:33" ht="15.75" customHeight="1" x14ac:dyDescent="0.25">
      <c r="A49" s="12" t="s">
        <v>35</v>
      </c>
      <c r="B49" s="13">
        <v>1</v>
      </c>
      <c r="C49" s="14">
        <v>1</v>
      </c>
      <c r="D49" s="14">
        <v>0</v>
      </c>
      <c r="E49" s="14">
        <v>1</v>
      </c>
      <c r="F49" s="14">
        <v>0</v>
      </c>
      <c r="G49" s="14">
        <v>0</v>
      </c>
      <c r="H49" s="14"/>
      <c r="I49" s="14">
        <v>1</v>
      </c>
      <c r="J49" s="14">
        <v>1</v>
      </c>
      <c r="K49" s="14">
        <v>0</v>
      </c>
      <c r="L49" s="14">
        <v>1</v>
      </c>
      <c r="M49" s="14">
        <v>2</v>
      </c>
      <c r="N49" s="14">
        <v>2</v>
      </c>
      <c r="O49" s="14"/>
      <c r="P49" s="14">
        <v>1</v>
      </c>
      <c r="Q49" s="14">
        <v>1</v>
      </c>
      <c r="R49" s="14">
        <v>0</v>
      </c>
      <c r="S49" s="14">
        <v>4</v>
      </c>
      <c r="T49" s="14">
        <v>1</v>
      </c>
      <c r="U49" s="14">
        <v>1</v>
      </c>
      <c r="V49" s="14">
        <v>2</v>
      </c>
      <c r="W49" s="14">
        <v>2</v>
      </c>
      <c r="X49" s="14">
        <v>5</v>
      </c>
      <c r="Y49" s="14"/>
      <c r="Z49" s="14"/>
      <c r="AA49" s="14">
        <v>3</v>
      </c>
      <c r="AB49" s="14">
        <v>0</v>
      </c>
      <c r="AC49" s="14">
        <v>2</v>
      </c>
      <c r="AD49" s="14"/>
      <c r="AE49" s="14"/>
      <c r="AF49" s="214"/>
      <c r="AG49" s="15">
        <f t="shared" si="2"/>
        <v>32</v>
      </c>
    </row>
    <row r="50" spans="1:33" ht="15.75" customHeight="1" x14ac:dyDescent="0.25">
      <c r="A50" s="12" t="s">
        <v>36</v>
      </c>
      <c r="B50" s="13">
        <v>3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/>
      <c r="I50" s="14">
        <v>1</v>
      </c>
      <c r="J50" s="14">
        <v>0</v>
      </c>
      <c r="K50" s="14">
        <v>0</v>
      </c>
      <c r="L50" s="14">
        <v>1</v>
      </c>
      <c r="M50" s="14">
        <v>0</v>
      </c>
      <c r="N50" s="14">
        <v>4</v>
      </c>
      <c r="O50" s="14"/>
      <c r="P50" s="14">
        <v>1</v>
      </c>
      <c r="Q50" s="14">
        <v>1</v>
      </c>
      <c r="R50" s="14">
        <v>0</v>
      </c>
      <c r="S50" s="14">
        <v>0</v>
      </c>
      <c r="T50" s="14">
        <v>1</v>
      </c>
      <c r="U50" s="14">
        <v>1</v>
      </c>
      <c r="V50" s="14">
        <v>2</v>
      </c>
      <c r="W50" s="14">
        <v>1</v>
      </c>
      <c r="X50" s="14">
        <v>1</v>
      </c>
      <c r="Y50" s="14"/>
      <c r="Z50" s="14">
        <v>2</v>
      </c>
      <c r="AA50" s="14">
        <v>2</v>
      </c>
      <c r="AB50" s="14">
        <v>3</v>
      </c>
      <c r="AC50" s="14">
        <v>5</v>
      </c>
      <c r="AD50" s="14"/>
      <c r="AE50" s="14"/>
      <c r="AF50" s="214"/>
      <c r="AG50" s="15">
        <f t="shared" si="2"/>
        <v>29</v>
      </c>
    </row>
    <row r="51" spans="1:33" ht="15.75" customHeight="1" x14ac:dyDescent="0.25">
      <c r="A51" s="12" t="s">
        <v>37</v>
      </c>
      <c r="B51" s="13">
        <v>1</v>
      </c>
      <c r="C51" s="14">
        <v>0</v>
      </c>
      <c r="D51" s="14">
        <v>0</v>
      </c>
      <c r="E51" s="14">
        <v>0</v>
      </c>
      <c r="F51" s="14">
        <v>2</v>
      </c>
      <c r="G51" s="14">
        <v>0</v>
      </c>
      <c r="H51" s="14">
        <v>1</v>
      </c>
      <c r="I51" s="14">
        <v>0</v>
      </c>
      <c r="J51" s="14">
        <v>4</v>
      </c>
      <c r="K51" s="14">
        <v>0</v>
      </c>
      <c r="L51" s="14">
        <v>1</v>
      </c>
      <c r="M51" s="14">
        <v>0</v>
      </c>
      <c r="N51" s="14">
        <v>3</v>
      </c>
      <c r="O51" s="14"/>
      <c r="P51" s="14">
        <v>0</v>
      </c>
      <c r="Q51" s="14">
        <v>1</v>
      </c>
      <c r="R51" s="14">
        <v>0</v>
      </c>
      <c r="S51" s="14">
        <v>0</v>
      </c>
      <c r="T51" s="14">
        <v>0</v>
      </c>
      <c r="U51" s="14">
        <v>1</v>
      </c>
      <c r="V51" s="14">
        <v>2</v>
      </c>
      <c r="W51" s="14">
        <v>0</v>
      </c>
      <c r="X51" s="14">
        <v>2</v>
      </c>
      <c r="Y51" s="14"/>
      <c r="Z51" s="14"/>
      <c r="AA51" s="14">
        <v>1</v>
      </c>
      <c r="AB51" s="14">
        <v>4</v>
      </c>
      <c r="AC51" s="14">
        <v>1</v>
      </c>
      <c r="AD51" s="14"/>
      <c r="AE51" s="14"/>
      <c r="AF51" s="214"/>
      <c r="AG51" s="15">
        <f t="shared" si="2"/>
        <v>24</v>
      </c>
    </row>
    <row r="52" spans="1:33" ht="15.75" customHeight="1" x14ac:dyDescent="0.25">
      <c r="A52" s="23" t="s">
        <v>38</v>
      </c>
      <c r="B52" s="24">
        <v>0</v>
      </c>
      <c r="C52" s="25">
        <v>0</v>
      </c>
      <c r="D52" s="25">
        <v>1</v>
      </c>
      <c r="E52" s="25">
        <v>2</v>
      </c>
      <c r="F52" s="25">
        <v>0</v>
      </c>
      <c r="G52" s="25">
        <v>0</v>
      </c>
      <c r="H52" s="25">
        <v>4</v>
      </c>
      <c r="I52" s="25">
        <v>2</v>
      </c>
      <c r="J52" s="25">
        <v>2</v>
      </c>
      <c r="K52" s="25">
        <v>0</v>
      </c>
      <c r="L52" s="25">
        <v>3</v>
      </c>
      <c r="M52" s="25">
        <v>1</v>
      </c>
      <c r="N52" s="25">
        <v>4</v>
      </c>
      <c r="O52" s="25"/>
      <c r="P52" s="25">
        <v>1</v>
      </c>
      <c r="Q52" s="25">
        <v>0</v>
      </c>
      <c r="R52" s="25">
        <v>1</v>
      </c>
      <c r="S52" s="25">
        <v>0</v>
      </c>
      <c r="T52" s="25">
        <v>3</v>
      </c>
      <c r="U52" s="25">
        <v>3</v>
      </c>
      <c r="V52" s="25">
        <v>0</v>
      </c>
      <c r="W52" s="25">
        <v>2</v>
      </c>
      <c r="X52" s="25">
        <v>2</v>
      </c>
      <c r="Y52" s="25"/>
      <c r="Z52" s="25">
        <v>4</v>
      </c>
      <c r="AA52" s="25">
        <v>3</v>
      </c>
      <c r="AB52" s="25">
        <v>2</v>
      </c>
      <c r="AC52" s="25">
        <v>4</v>
      </c>
      <c r="AD52" s="25"/>
      <c r="AE52" s="25"/>
      <c r="AF52" s="216"/>
      <c r="AG52" s="26">
        <f t="shared" si="2"/>
        <v>44</v>
      </c>
    </row>
    <row r="53" spans="1:33" ht="15.75" customHeight="1" x14ac:dyDescent="0.25">
      <c r="A53" s="4" t="s">
        <v>40</v>
      </c>
      <c r="B53" s="5">
        <f t="shared" ref="B53:AF53" si="4">SUM(B54:B77)</f>
        <v>38</v>
      </c>
      <c r="C53" s="6">
        <f t="shared" si="4"/>
        <v>19</v>
      </c>
      <c r="D53" s="6">
        <f t="shared" si="4"/>
        <v>15</v>
      </c>
      <c r="E53" s="6">
        <f t="shared" si="4"/>
        <v>2</v>
      </c>
      <c r="F53" s="6">
        <f t="shared" si="4"/>
        <v>1</v>
      </c>
      <c r="G53" s="6">
        <f t="shared" si="4"/>
        <v>35</v>
      </c>
      <c r="H53" s="6">
        <f t="shared" si="4"/>
        <v>4</v>
      </c>
      <c r="I53" s="6">
        <f t="shared" si="4"/>
        <v>30</v>
      </c>
      <c r="J53" s="6">
        <f t="shared" si="4"/>
        <v>9</v>
      </c>
      <c r="K53" s="6">
        <f t="shared" si="4"/>
        <v>15</v>
      </c>
      <c r="L53" s="6">
        <f t="shared" si="4"/>
        <v>5</v>
      </c>
      <c r="M53" s="6">
        <f t="shared" si="4"/>
        <v>3</v>
      </c>
      <c r="N53" s="6">
        <f t="shared" si="4"/>
        <v>13</v>
      </c>
      <c r="O53" s="6">
        <f t="shared" si="4"/>
        <v>3</v>
      </c>
      <c r="P53" s="6">
        <f t="shared" si="4"/>
        <v>15</v>
      </c>
      <c r="Q53" s="6">
        <f t="shared" si="4"/>
        <v>6</v>
      </c>
      <c r="R53" s="6">
        <f t="shared" si="4"/>
        <v>4</v>
      </c>
      <c r="S53" s="6">
        <f t="shared" si="4"/>
        <v>1</v>
      </c>
      <c r="T53" s="6">
        <f t="shared" si="4"/>
        <v>3</v>
      </c>
      <c r="U53" s="6">
        <f t="shared" si="4"/>
        <v>43</v>
      </c>
      <c r="V53" s="6">
        <f t="shared" si="4"/>
        <v>28</v>
      </c>
      <c r="W53" s="6">
        <f t="shared" si="4"/>
        <v>37</v>
      </c>
      <c r="X53" s="6">
        <f t="shared" si="4"/>
        <v>8</v>
      </c>
      <c r="Y53" s="6">
        <f t="shared" si="4"/>
        <v>14</v>
      </c>
      <c r="Z53" s="6">
        <f t="shared" si="4"/>
        <v>8</v>
      </c>
      <c r="AA53" s="6">
        <f t="shared" si="4"/>
        <v>2</v>
      </c>
      <c r="AB53" s="6">
        <f t="shared" si="4"/>
        <v>9</v>
      </c>
      <c r="AC53" s="6">
        <f t="shared" si="4"/>
        <v>26</v>
      </c>
      <c r="AD53" s="6">
        <f t="shared" si="4"/>
        <v>0</v>
      </c>
      <c r="AE53" s="6">
        <f t="shared" si="4"/>
        <v>0</v>
      </c>
      <c r="AF53" s="6">
        <f t="shared" si="4"/>
        <v>0</v>
      </c>
      <c r="AG53" s="27">
        <f t="shared" si="2"/>
        <v>396</v>
      </c>
    </row>
    <row r="54" spans="1:33" ht="15.75" customHeight="1" x14ac:dyDescent="0.25">
      <c r="A54" s="8" t="s">
        <v>15</v>
      </c>
      <c r="B54" s="9"/>
      <c r="C54" s="10"/>
      <c r="D54" s="14"/>
      <c r="E54" s="10"/>
      <c r="F54" s="10"/>
      <c r="G54" s="14"/>
      <c r="H54" s="10"/>
      <c r="I54" s="10"/>
      <c r="J54" s="10"/>
      <c r="K54" s="10"/>
      <c r="L54" s="10"/>
      <c r="M54" s="10"/>
      <c r="N54" s="10">
        <v>1</v>
      </c>
      <c r="O54" s="10"/>
      <c r="P54" s="10">
        <v>1</v>
      </c>
      <c r="Q54" s="10"/>
      <c r="R54" s="10"/>
      <c r="S54" s="10"/>
      <c r="T54" s="10"/>
      <c r="U54" s="10">
        <v>2</v>
      </c>
      <c r="V54" s="10"/>
      <c r="W54" s="10">
        <v>1</v>
      </c>
      <c r="X54" s="10"/>
      <c r="Y54" s="10"/>
      <c r="Z54" s="10"/>
      <c r="AA54" s="10"/>
      <c r="AB54" s="10"/>
      <c r="AC54" s="10">
        <v>1</v>
      </c>
      <c r="AD54" s="10"/>
      <c r="AE54" s="10"/>
      <c r="AF54" s="213"/>
      <c r="AG54" s="11">
        <f t="shared" si="2"/>
        <v>6</v>
      </c>
    </row>
    <row r="55" spans="1:33" ht="15.75" customHeight="1" x14ac:dyDescent="0.25">
      <c r="A55" s="12" t="s">
        <v>16</v>
      </c>
      <c r="B55" s="13"/>
      <c r="C55" s="14">
        <v>1</v>
      </c>
      <c r="D55" s="14"/>
      <c r="E55" s="14"/>
      <c r="F55" s="14"/>
      <c r="G55" s="14"/>
      <c r="H55" s="14"/>
      <c r="I55" s="14">
        <v>1</v>
      </c>
      <c r="J55" s="14"/>
      <c r="K55" s="14"/>
      <c r="L55" s="14"/>
      <c r="M55" s="14">
        <v>1</v>
      </c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>
        <v>2</v>
      </c>
      <c r="Z55" s="14"/>
      <c r="AA55" s="14"/>
      <c r="AB55" s="14"/>
      <c r="AC55" s="14">
        <v>1</v>
      </c>
      <c r="AD55" s="14"/>
      <c r="AE55" s="14"/>
      <c r="AF55" s="214"/>
      <c r="AG55" s="15">
        <f t="shared" si="2"/>
        <v>6</v>
      </c>
    </row>
    <row r="56" spans="1:33" ht="15.75" customHeight="1" x14ac:dyDescent="0.25">
      <c r="A56" s="12" t="s">
        <v>17</v>
      </c>
      <c r="B56" s="13">
        <v>1</v>
      </c>
      <c r="C56" s="14">
        <v>1</v>
      </c>
      <c r="D56" s="14"/>
      <c r="E56" s="14"/>
      <c r="F56" s="14"/>
      <c r="G56" s="14">
        <v>1</v>
      </c>
      <c r="H56" s="14"/>
      <c r="I56" s="14"/>
      <c r="J56" s="14">
        <v>1</v>
      </c>
      <c r="K56" s="14">
        <v>1</v>
      </c>
      <c r="L56" s="14"/>
      <c r="M56" s="14"/>
      <c r="N56" s="14">
        <v>1</v>
      </c>
      <c r="O56" s="14"/>
      <c r="P56" s="14">
        <v>1</v>
      </c>
      <c r="Q56" s="14"/>
      <c r="R56" s="14"/>
      <c r="S56" s="14"/>
      <c r="T56" s="14">
        <v>1</v>
      </c>
      <c r="U56" s="14"/>
      <c r="V56" s="14"/>
      <c r="W56" s="14">
        <v>2</v>
      </c>
      <c r="X56" s="14"/>
      <c r="Y56" s="14">
        <v>1</v>
      </c>
      <c r="Z56" s="14"/>
      <c r="AA56" s="14"/>
      <c r="AB56" s="14"/>
      <c r="AC56" s="14">
        <v>2</v>
      </c>
      <c r="AD56" s="14"/>
      <c r="AE56" s="14"/>
      <c r="AF56" s="214"/>
      <c r="AG56" s="15">
        <f t="shared" si="2"/>
        <v>13</v>
      </c>
    </row>
    <row r="57" spans="1:33" ht="15.75" customHeight="1" x14ac:dyDescent="0.25">
      <c r="A57" s="12" t="s">
        <v>18</v>
      </c>
      <c r="B57" s="13">
        <v>1</v>
      </c>
      <c r="C57" s="14">
        <v>1</v>
      </c>
      <c r="D57" s="14">
        <v>1</v>
      </c>
      <c r="E57" s="14"/>
      <c r="F57" s="14"/>
      <c r="G57" s="14"/>
      <c r="H57" s="14"/>
      <c r="I57" s="14"/>
      <c r="J57" s="14"/>
      <c r="K57" s="14"/>
      <c r="L57" s="14"/>
      <c r="M57" s="14"/>
      <c r="N57" s="14">
        <v>1</v>
      </c>
      <c r="O57" s="14">
        <v>1</v>
      </c>
      <c r="P57" s="14"/>
      <c r="Q57" s="14"/>
      <c r="R57" s="14"/>
      <c r="S57" s="14"/>
      <c r="T57" s="14"/>
      <c r="U57" s="14">
        <v>2</v>
      </c>
      <c r="V57" s="14">
        <v>2</v>
      </c>
      <c r="W57" s="14"/>
      <c r="X57" s="14"/>
      <c r="Y57" s="14"/>
      <c r="Z57" s="14"/>
      <c r="AA57" s="14"/>
      <c r="AB57" s="14">
        <v>1</v>
      </c>
      <c r="AC57" s="14"/>
      <c r="AD57" s="14"/>
      <c r="AE57" s="14"/>
      <c r="AF57" s="214"/>
      <c r="AG57" s="15">
        <f t="shared" si="2"/>
        <v>10</v>
      </c>
    </row>
    <row r="58" spans="1:33" ht="15.75" customHeight="1" x14ac:dyDescent="0.25">
      <c r="A58" s="12" t="s">
        <v>19</v>
      </c>
      <c r="B58" s="13">
        <v>1</v>
      </c>
      <c r="C58" s="14">
        <v>1</v>
      </c>
      <c r="D58" s="14">
        <v>1</v>
      </c>
      <c r="E58" s="14">
        <v>1</v>
      </c>
      <c r="F58" s="14"/>
      <c r="G58" s="14"/>
      <c r="H58" s="14"/>
      <c r="I58" s="14">
        <v>1</v>
      </c>
      <c r="J58" s="14"/>
      <c r="K58" s="14"/>
      <c r="L58" s="14"/>
      <c r="M58" s="14"/>
      <c r="N58" s="14"/>
      <c r="O58" s="14"/>
      <c r="P58" s="14">
        <v>1</v>
      </c>
      <c r="Q58" s="14"/>
      <c r="R58" s="14"/>
      <c r="S58" s="14"/>
      <c r="T58" s="14"/>
      <c r="U58" s="14">
        <v>1</v>
      </c>
      <c r="V58" s="14">
        <v>1</v>
      </c>
      <c r="W58" s="14"/>
      <c r="X58" s="14">
        <v>1</v>
      </c>
      <c r="Y58" s="14"/>
      <c r="Z58" s="14">
        <v>1</v>
      </c>
      <c r="AA58" s="14">
        <v>1</v>
      </c>
      <c r="AB58" s="14"/>
      <c r="AC58" s="14">
        <v>2</v>
      </c>
      <c r="AD58" s="14"/>
      <c r="AE58" s="14"/>
      <c r="AF58" s="214"/>
      <c r="AG58" s="15">
        <f t="shared" si="2"/>
        <v>13</v>
      </c>
    </row>
    <row r="59" spans="1:33" ht="15.75" customHeight="1" x14ac:dyDescent="0.25">
      <c r="A59" s="12" t="s">
        <v>20</v>
      </c>
      <c r="B59" s="13"/>
      <c r="C59" s="14">
        <v>1</v>
      </c>
      <c r="D59" s="14"/>
      <c r="E59" s="14"/>
      <c r="F59" s="14"/>
      <c r="G59" s="14"/>
      <c r="H59" s="14"/>
      <c r="I59" s="14"/>
      <c r="J59" s="14"/>
      <c r="K59" s="14">
        <v>1</v>
      </c>
      <c r="L59" s="14"/>
      <c r="M59" s="14"/>
      <c r="N59" s="14">
        <v>3</v>
      </c>
      <c r="O59" s="14"/>
      <c r="P59" s="14">
        <v>1</v>
      </c>
      <c r="Q59" s="14">
        <v>1</v>
      </c>
      <c r="R59" s="14"/>
      <c r="S59" s="14"/>
      <c r="T59" s="14">
        <v>2</v>
      </c>
      <c r="U59" s="14"/>
      <c r="V59" s="14"/>
      <c r="W59" s="14">
        <v>1</v>
      </c>
      <c r="X59" s="14"/>
      <c r="Y59" s="14"/>
      <c r="Z59" s="14"/>
      <c r="AA59" s="14"/>
      <c r="AB59" s="14">
        <v>1</v>
      </c>
      <c r="AC59" s="14"/>
      <c r="AD59" s="14"/>
      <c r="AE59" s="14"/>
      <c r="AF59" s="214"/>
      <c r="AG59" s="15">
        <f t="shared" si="2"/>
        <v>11</v>
      </c>
    </row>
    <row r="60" spans="1:33" ht="15.75" customHeight="1" x14ac:dyDescent="0.25">
      <c r="A60" s="12" t="s">
        <v>21</v>
      </c>
      <c r="B60" s="13">
        <v>10</v>
      </c>
      <c r="C60" s="14"/>
      <c r="D60" s="14">
        <v>1</v>
      </c>
      <c r="E60" s="14">
        <v>1</v>
      </c>
      <c r="F60" s="14"/>
      <c r="G60" s="14">
        <v>1</v>
      </c>
      <c r="H60" s="14"/>
      <c r="I60" s="14">
        <v>1</v>
      </c>
      <c r="J60" s="14"/>
      <c r="K60" s="14">
        <v>2</v>
      </c>
      <c r="L60" s="14"/>
      <c r="M60" s="14"/>
      <c r="N60" s="14"/>
      <c r="O60" s="14"/>
      <c r="P60" s="14">
        <v>1</v>
      </c>
      <c r="Q60" s="14"/>
      <c r="R60" s="14"/>
      <c r="S60" s="14"/>
      <c r="T60" s="14"/>
      <c r="U60" s="14">
        <v>1</v>
      </c>
      <c r="V60" s="14"/>
      <c r="W60" s="14">
        <v>2</v>
      </c>
      <c r="X60" s="14"/>
      <c r="Y60" s="14"/>
      <c r="Z60" s="14">
        <v>3</v>
      </c>
      <c r="AA60" s="14"/>
      <c r="AB60" s="14"/>
      <c r="AC60" s="14">
        <v>1</v>
      </c>
      <c r="AD60" s="14"/>
      <c r="AE60" s="14"/>
      <c r="AF60" s="214"/>
      <c r="AG60" s="15">
        <f t="shared" si="2"/>
        <v>24</v>
      </c>
    </row>
    <row r="61" spans="1:33" ht="15.75" customHeight="1" x14ac:dyDescent="0.25">
      <c r="A61" s="12" t="s">
        <v>22</v>
      </c>
      <c r="B61" s="13">
        <v>4</v>
      </c>
      <c r="C61" s="14">
        <v>5</v>
      </c>
      <c r="D61" s="14">
        <v>2</v>
      </c>
      <c r="E61" s="14"/>
      <c r="F61" s="14">
        <v>1</v>
      </c>
      <c r="G61" s="14">
        <v>1</v>
      </c>
      <c r="H61" s="14"/>
      <c r="I61" s="14">
        <v>3</v>
      </c>
      <c r="J61" s="14"/>
      <c r="K61" s="14">
        <v>1</v>
      </c>
      <c r="L61" s="14">
        <v>1</v>
      </c>
      <c r="M61" s="14"/>
      <c r="N61" s="14">
        <v>1</v>
      </c>
      <c r="O61" s="14"/>
      <c r="P61" s="14"/>
      <c r="Q61" s="14">
        <v>1</v>
      </c>
      <c r="R61" s="14"/>
      <c r="S61" s="14"/>
      <c r="T61" s="14"/>
      <c r="U61" s="14"/>
      <c r="V61" s="14">
        <v>3</v>
      </c>
      <c r="W61" s="14">
        <v>2</v>
      </c>
      <c r="X61" s="14"/>
      <c r="Y61" s="14"/>
      <c r="Z61" s="14">
        <v>1</v>
      </c>
      <c r="AA61" s="14"/>
      <c r="AB61" s="14">
        <v>1</v>
      </c>
      <c r="AC61" s="14">
        <v>2</v>
      </c>
      <c r="AD61" s="14"/>
      <c r="AE61" s="14"/>
      <c r="AF61" s="214"/>
      <c r="AG61" s="15">
        <f t="shared" si="2"/>
        <v>29</v>
      </c>
    </row>
    <row r="62" spans="1:33" ht="15.75" customHeight="1" x14ac:dyDescent="0.25">
      <c r="A62" s="12" t="s">
        <v>23</v>
      </c>
      <c r="B62" s="13">
        <v>2</v>
      </c>
      <c r="C62" s="14">
        <v>1</v>
      </c>
      <c r="D62" s="14">
        <v>3</v>
      </c>
      <c r="E62" s="14"/>
      <c r="F62" s="14"/>
      <c r="G62" s="14">
        <v>7</v>
      </c>
      <c r="H62" s="14"/>
      <c r="I62" s="14">
        <v>5</v>
      </c>
      <c r="J62" s="14">
        <v>1</v>
      </c>
      <c r="K62" s="14">
        <v>4</v>
      </c>
      <c r="L62" s="14"/>
      <c r="M62" s="14"/>
      <c r="N62" s="14">
        <v>1</v>
      </c>
      <c r="O62" s="14">
        <v>1</v>
      </c>
      <c r="P62" s="14">
        <v>1</v>
      </c>
      <c r="Q62" s="14">
        <v>1</v>
      </c>
      <c r="R62" s="14"/>
      <c r="S62" s="14"/>
      <c r="T62" s="14"/>
      <c r="U62" s="14">
        <v>2</v>
      </c>
      <c r="V62" s="14">
        <v>2</v>
      </c>
      <c r="W62" s="14">
        <v>2</v>
      </c>
      <c r="X62" s="14"/>
      <c r="Y62" s="14">
        <v>1</v>
      </c>
      <c r="Z62" s="14"/>
      <c r="AA62" s="14"/>
      <c r="AB62" s="14">
        <v>1</v>
      </c>
      <c r="AC62" s="14">
        <v>5</v>
      </c>
      <c r="AD62" s="14"/>
      <c r="AE62" s="14"/>
      <c r="AF62" s="214"/>
      <c r="AG62" s="15">
        <f t="shared" si="2"/>
        <v>40</v>
      </c>
    </row>
    <row r="63" spans="1:33" ht="15.75" customHeight="1" x14ac:dyDescent="0.25">
      <c r="A63" s="12" t="s">
        <v>24</v>
      </c>
      <c r="B63" s="13">
        <v>3</v>
      </c>
      <c r="C63" s="14">
        <v>1</v>
      </c>
      <c r="D63" s="14">
        <v>1</v>
      </c>
      <c r="E63" s="14"/>
      <c r="F63" s="14"/>
      <c r="G63" s="14">
        <v>1</v>
      </c>
      <c r="H63" s="14"/>
      <c r="I63" s="14">
        <v>3</v>
      </c>
      <c r="J63" s="14">
        <v>1</v>
      </c>
      <c r="K63" s="14">
        <v>1</v>
      </c>
      <c r="L63" s="14"/>
      <c r="M63" s="14"/>
      <c r="N63" s="14"/>
      <c r="O63" s="14">
        <v>1</v>
      </c>
      <c r="P63" s="14">
        <v>1</v>
      </c>
      <c r="Q63" s="14">
        <v>2</v>
      </c>
      <c r="R63" s="14"/>
      <c r="S63" s="14"/>
      <c r="T63" s="14"/>
      <c r="U63" s="14">
        <v>3</v>
      </c>
      <c r="V63" s="14">
        <v>1</v>
      </c>
      <c r="W63" s="14">
        <v>2</v>
      </c>
      <c r="X63" s="14">
        <v>1</v>
      </c>
      <c r="Y63" s="14">
        <v>1</v>
      </c>
      <c r="Z63" s="14"/>
      <c r="AA63" s="14"/>
      <c r="AB63" s="14"/>
      <c r="AC63" s="14">
        <v>1</v>
      </c>
      <c r="AD63" s="14"/>
      <c r="AE63" s="14"/>
      <c r="AF63" s="214"/>
      <c r="AG63" s="15">
        <f t="shared" si="2"/>
        <v>24</v>
      </c>
    </row>
    <row r="64" spans="1:33" ht="15.75" customHeight="1" x14ac:dyDescent="0.25">
      <c r="A64" s="12" t="s">
        <v>25</v>
      </c>
      <c r="B64" s="13">
        <v>2</v>
      </c>
      <c r="C64" s="14">
        <v>4</v>
      </c>
      <c r="D64" s="14">
        <v>4</v>
      </c>
      <c r="E64" s="14"/>
      <c r="F64" s="14"/>
      <c r="G64" s="14">
        <v>1</v>
      </c>
      <c r="H64" s="14"/>
      <c r="I64" s="14">
        <v>7</v>
      </c>
      <c r="J64" s="14">
        <v>2</v>
      </c>
      <c r="K64" s="14"/>
      <c r="L64" s="14">
        <v>1</v>
      </c>
      <c r="M64" s="14"/>
      <c r="N64" s="14">
        <v>3</v>
      </c>
      <c r="O64" s="14"/>
      <c r="P64" s="14">
        <v>2</v>
      </c>
      <c r="Q64" s="14"/>
      <c r="R64" s="14">
        <v>1</v>
      </c>
      <c r="S64" s="14"/>
      <c r="T64" s="14"/>
      <c r="U64" s="14">
        <v>6</v>
      </c>
      <c r="V64" s="14">
        <v>4</v>
      </c>
      <c r="W64" s="14"/>
      <c r="X64" s="14">
        <v>3</v>
      </c>
      <c r="Y64" s="14">
        <v>1</v>
      </c>
      <c r="Z64" s="14">
        <v>1</v>
      </c>
      <c r="AA64" s="14"/>
      <c r="AB64" s="14"/>
      <c r="AC64" s="14">
        <v>2</v>
      </c>
      <c r="AD64" s="14"/>
      <c r="AE64" s="14"/>
      <c r="AF64" s="214"/>
      <c r="AG64" s="15">
        <f t="shared" si="2"/>
        <v>44</v>
      </c>
    </row>
    <row r="65" spans="1:33" ht="15.75" customHeight="1" x14ac:dyDescent="0.25">
      <c r="A65" s="12" t="s">
        <v>26</v>
      </c>
      <c r="B65" s="13">
        <v>1</v>
      </c>
      <c r="C65" s="14">
        <v>3</v>
      </c>
      <c r="D65" s="14">
        <v>1</v>
      </c>
      <c r="E65" s="14"/>
      <c r="F65" s="14"/>
      <c r="G65" s="14">
        <v>2</v>
      </c>
      <c r="H65" s="14"/>
      <c r="I65" s="14">
        <v>3</v>
      </c>
      <c r="J65" s="14">
        <v>1</v>
      </c>
      <c r="K65" s="14">
        <v>2</v>
      </c>
      <c r="L65" s="14">
        <v>2</v>
      </c>
      <c r="M65" s="14">
        <v>1</v>
      </c>
      <c r="N65" s="14"/>
      <c r="O65" s="14"/>
      <c r="P65" s="14">
        <v>1</v>
      </c>
      <c r="Q65" s="14"/>
      <c r="R65" s="14">
        <v>1</v>
      </c>
      <c r="S65" s="14"/>
      <c r="T65" s="14"/>
      <c r="U65" s="14">
        <v>6</v>
      </c>
      <c r="V65" s="14">
        <v>3</v>
      </c>
      <c r="W65" s="14">
        <v>8</v>
      </c>
      <c r="X65" s="14">
        <v>1</v>
      </c>
      <c r="Y65" s="14">
        <v>3</v>
      </c>
      <c r="Z65" s="14"/>
      <c r="AA65" s="14"/>
      <c r="AB65" s="14">
        <v>1</v>
      </c>
      <c r="AC65" s="14">
        <v>4</v>
      </c>
      <c r="AD65" s="14"/>
      <c r="AE65" s="14"/>
      <c r="AF65" s="214"/>
      <c r="AG65" s="15">
        <f t="shared" si="2"/>
        <v>44</v>
      </c>
    </row>
    <row r="66" spans="1:33" ht="15.75" customHeight="1" x14ac:dyDescent="0.25">
      <c r="A66" s="12" t="s">
        <v>27</v>
      </c>
      <c r="B66" s="13">
        <v>8</v>
      </c>
      <c r="C66" s="14"/>
      <c r="D66" s="14">
        <v>1</v>
      </c>
      <c r="E66" s="14"/>
      <c r="F66" s="14"/>
      <c r="G66" s="14">
        <v>2</v>
      </c>
      <c r="H66" s="14">
        <v>1</v>
      </c>
      <c r="I66" s="14">
        <v>3</v>
      </c>
      <c r="J66" s="14">
        <v>1</v>
      </c>
      <c r="K66" s="14"/>
      <c r="L66" s="14"/>
      <c r="M66" s="14"/>
      <c r="N66" s="14">
        <v>1</v>
      </c>
      <c r="O66" s="14"/>
      <c r="P66" s="14">
        <v>1</v>
      </c>
      <c r="Q66" s="14"/>
      <c r="R66" s="14">
        <v>1</v>
      </c>
      <c r="S66" s="14"/>
      <c r="T66" s="14"/>
      <c r="U66" s="14">
        <v>4</v>
      </c>
      <c r="V66" s="14">
        <v>4</v>
      </c>
      <c r="W66" s="14">
        <v>11</v>
      </c>
      <c r="X66" s="14"/>
      <c r="Y66" s="14">
        <v>1</v>
      </c>
      <c r="Z66" s="14"/>
      <c r="AA66" s="14"/>
      <c r="AB66" s="14"/>
      <c r="AC66" s="14">
        <v>2</v>
      </c>
      <c r="AD66" s="14"/>
      <c r="AE66" s="14"/>
      <c r="AF66" s="214"/>
      <c r="AG66" s="15">
        <f t="shared" si="2"/>
        <v>41</v>
      </c>
    </row>
    <row r="67" spans="1:33" ht="15.75" customHeight="1" x14ac:dyDescent="0.25">
      <c r="A67" s="12" t="s">
        <v>28</v>
      </c>
      <c r="B67" s="13">
        <v>1</v>
      </c>
      <c r="C67" s="14"/>
      <c r="D67" s="14"/>
      <c r="E67" s="14"/>
      <c r="F67" s="14"/>
      <c r="G67" s="14">
        <v>2</v>
      </c>
      <c r="H67" s="14">
        <v>2</v>
      </c>
      <c r="I67" s="14">
        <v>1</v>
      </c>
      <c r="J67" s="14"/>
      <c r="K67" s="14">
        <v>2</v>
      </c>
      <c r="L67" s="14"/>
      <c r="M67" s="14">
        <v>1</v>
      </c>
      <c r="N67" s="14">
        <v>1</v>
      </c>
      <c r="O67" s="14"/>
      <c r="P67" s="14">
        <v>2</v>
      </c>
      <c r="Q67" s="14"/>
      <c r="R67" s="14"/>
      <c r="S67" s="14"/>
      <c r="T67" s="14"/>
      <c r="U67" s="14">
        <v>11</v>
      </c>
      <c r="V67" s="14"/>
      <c r="W67" s="14"/>
      <c r="X67" s="14"/>
      <c r="Y67" s="14">
        <v>2</v>
      </c>
      <c r="Z67" s="14">
        <v>2</v>
      </c>
      <c r="AA67" s="14"/>
      <c r="AB67" s="14">
        <v>3</v>
      </c>
      <c r="AC67" s="14">
        <v>2</v>
      </c>
      <c r="AD67" s="14"/>
      <c r="AE67" s="14"/>
      <c r="AF67" s="214"/>
      <c r="AG67" s="15">
        <f t="shared" si="2"/>
        <v>32</v>
      </c>
    </row>
    <row r="68" spans="1:33" ht="15.75" customHeight="1" x14ac:dyDescent="0.25">
      <c r="A68" s="12" t="s">
        <v>29</v>
      </c>
      <c r="B68" s="13"/>
      <c r="C68" s="14"/>
      <c r="D68" s="14"/>
      <c r="E68" s="14"/>
      <c r="F68" s="14"/>
      <c r="G68" s="14">
        <v>6</v>
      </c>
      <c r="H68" s="14"/>
      <c r="I68" s="14">
        <v>1</v>
      </c>
      <c r="J68" s="14">
        <v>2</v>
      </c>
      <c r="K68" s="14">
        <v>1</v>
      </c>
      <c r="L68" s="14"/>
      <c r="M68" s="14"/>
      <c r="N68" s="14"/>
      <c r="O68" s="14"/>
      <c r="P68" s="14">
        <v>1</v>
      </c>
      <c r="Q68" s="14"/>
      <c r="R68" s="14">
        <v>1</v>
      </c>
      <c r="S68" s="14"/>
      <c r="T68" s="14"/>
      <c r="U68" s="14">
        <v>3</v>
      </c>
      <c r="V68" s="14">
        <v>8</v>
      </c>
      <c r="W68" s="14">
        <v>1</v>
      </c>
      <c r="X68" s="14"/>
      <c r="Y68" s="14"/>
      <c r="Z68" s="14"/>
      <c r="AA68" s="14"/>
      <c r="AB68" s="14">
        <v>1</v>
      </c>
      <c r="AC68" s="14"/>
      <c r="AD68" s="14"/>
      <c r="AE68" s="14"/>
      <c r="AF68" s="214"/>
      <c r="AG68" s="15">
        <f t="shared" si="2"/>
        <v>25</v>
      </c>
    </row>
    <row r="69" spans="1:33" ht="15.75" customHeight="1" x14ac:dyDescent="0.25">
      <c r="A69" s="12" t="s">
        <v>30</v>
      </c>
      <c r="B69" s="13">
        <v>4</v>
      </c>
      <c r="C69" s="14"/>
      <c r="D69" s="14"/>
      <c r="E69" s="14"/>
      <c r="F69" s="14"/>
      <c r="G69" s="14">
        <v>5</v>
      </c>
      <c r="H69" s="14">
        <v>1</v>
      </c>
      <c r="I69" s="14"/>
      <c r="J69" s="14"/>
      <c r="K69" s="14"/>
      <c r="L69" s="14">
        <v>1</v>
      </c>
      <c r="M69" s="14"/>
      <c r="N69" s="14"/>
      <c r="O69" s="14"/>
      <c r="P69" s="14"/>
      <c r="Q69" s="14"/>
      <c r="R69" s="14"/>
      <c r="S69" s="14"/>
      <c r="T69" s="14"/>
      <c r="U69" s="14">
        <v>1</v>
      </c>
      <c r="V69" s="14"/>
      <c r="W69" s="14">
        <v>2</v>
      </c>
      <c r="X69" s="14"/>
      <c r="Y69" s="14"/>
      <c r="Z69" s="14"/>
      <c r="AA69" s="14"/>
      <c r="AB69" s="14"/>
      <c r="AC69" s="14">
        <v>1</v>
      </c>
      <c r="AD69" s="14"/>
      <c r="AE69" s="14"/>
      <c r="AF69" s="214"/>
      <c r="AG69" s="15">
        <f t="shared" si="2"/>
        <v>15</v>
      </c>
    </row>
    <row r="70" spans="1:33" ht="15.75" customHeight="1" x14ac:dyDescent="0.25">
      <c r="A70" s="12" t="s">
        <v>31</v>
      </c>
      <c r="B70" s="9"/>
      <c r="C70" s="10"/>
      <c r="D70" s="14"/>
      <c r="E70" s="10"/>
      <c r="F70" s="10"/>
      <c r="G70" s="14">
        <v>1</v>
      </c>
      <c r="H70" s="10"/>
      <c r="I70" s="14">
        <v>1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>
        <v>1</v>
      </c>
      <c r="V70" s="10"/>
      <c r="W70" s="10">
        <v>1</v>
      </c>
      <c r="X70" s="10">
        <v>1</v>
      </c>
      <c r="Y70" s="10">
        <v>1</v>
      </c>
      <c r="Z70" s="10"/>
      <c r="AA70" s="10"/>
      <c r="AB70" s="10"/>
      <c r="AC70" s="10"/>
      <c r="AD70" s="10"/>
      <c r="AE70" s="10"/>
      <c r="AF70" s="213"/>
      <c r="AG70" s="15">
        <f t="shared" si="2"/>
        <v>6</v>
      </c>
    </row>
    <row r="71" spans="1:33" ht="15.75" customHeight="1" x14ac:dyDescent="0.25">
      <c r="A71" s="12" t="s">
        <v>32</v>
      </c>
      <c r="B71" s="9"/>
      <c r="C71" s="10"/>
      <c r="D71" s="14"/>
      <c r="E71" s="10"/>
      <c r="F71" s="10"/>
      <c r="G71" s="14">
        <v>4</v>
      </c>
      <c r="H71" s="10"/>
      <c r="I71" s="14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213"/>
      <c r="AG71" s="15">
        <f t="shared" si="2"/>
        <v>4</v>
      </c>
    </row>
    <row r="72" spans="1:33" ht="15.75" customHeight="1" x14ac:dyDescent="0.25">
      <c r="A72" s="12" t="s">
        <v>33</v>
      </c>
      <c r="B72" s="9"/>
      <c r="C72" s="10"/>
      <c r="D72" s="14"/>
      <c r="E72" s="10"/>
      <c r="F72" s="10"/>
      <c r="G72" s="14">
        <v>1</v>
      </c>
      <c r="H72" s="10"/>
      <c r="I72" s="14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>
        <v>2</v>
      </c>
      <c r="X72" s="10">
        <v>1</v>
      </c>
      <c r="Y72" s="10"/>
      <c r="Z72" s="10"/>
      <c r="AA72" s="10"/>
      <c r="AB72" s="10"/>
      <c r="AC72" s="10"/>
      <c r="AD72" s="10"/>
      <c r="AE72" s="10"/>
      <c r="AF72" s="213"/>
      <c r="AG72" s="15">
        <f t="shared" si="2"/>
        <v>4</v>
      </c>
    </row>
    <row r="73" spans="1:33" ht="15.75" customHeight="1" x14ac:dyDescent="0.25">
      <c r="A73" s="12" t="s">
        <v>34</v>
      </c>
      <c r="B73" s="9"/>
      <c r="C73" s="10"/>
      <c r="D73" s="14"/>
      <c r="E73" s="10"/>
      <c r="F73" s="10"/>
      <c r="G73" s="14"/>
      <c r="H73" s="10"/>
      <c r="I73" s="14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213"/>
      <c r="AG73" s="15">
        <f t="shared" si="2"/>
        <v>0</v>
      </c>
    </row>
    <row r="74" spans="1:33" ht="15.75" customHeight="1" x14ac:dyDescent="0.25">
      <c r="A74" s="12" t="s">
        <v>35</v>
      </c>
      <c r="B74" s="9"/>
      <c r="C74" s="10"/>
      <c r="D74" s="14"/>
      <c r="E74" s="10"/>
      <c r="F74" s="10"/>
      <c r="G74" s="14"/>
      <c r="H74" s="10"/>
      <c r="I74" s="14"/>
      <c r="J74" s="10"/>
      <c r="K74" s="10"/>
      <c r="L74" s="10"/>
      <c r="M74" s="10"/>
      <c r="N74" s="10"/>
      <c r="O74" s="10"/>
      <c r="P74" s="10"/>
      <c r="Q74" s="10"/>
      <c r="R74" s="10"/>
      <c r="S74" s="10">
        <v>1</v>
      </c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213"/>
      <c r="AG74" s="15">
        <f t="shared" si="2"/>
        <v>1</v>
      </c>
    </row>
    <row r="75" spans="1:33" ht="15.75" customHeight="1" x14ac:dyDescent="0.25">
      <c r="A75" s="12" t="s">
        <v>36</v>
      </c>
      <c r="B75" s="9"/>
      <c r="C75" s="10"/>
      <c r="D75" s="14"/>
      <c r="E75" s="10"/>
      <c r="F75" s="10"/>
      <c r="G75" s="14"/>
      <c r="H75" s="10"/>
      <c r="I75" s="14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213"/>
      <c r="AG75" s="15">
        <f t="shared" si="2"/>
        <v>0</v>
      </c>
    </row>
    <row r="76" spans="1:33" ht="15.75" customHeight="1" x14ac:dyDescent="0.25">
      <c r="A76" s="12" t="s">
        <v>37</v>
      </c>
      <c r="B76" s="9"/>
      <c r="C76" s="10"/>
      <c r="D76" s="14"/>
      <c r="E76" s="10"/>
      <c r="F76" s="10"/>
      <c r="G76" s="14"/>
      <c r="H76" s="10"/>
      <c r="I76" s="14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>
        <v>1</v>
      </c>
      <c r="Z76" s="10"/>
      <c r="AA76" s="10">
        <v>1</v>
      </c>
      <c r="AB76" s="10"/>
      <c r="AC76" s="10"/>
      <c r="AD76" s="10"/>
      <c r="AE76" s="10"/>
      <c r="AF76" s="213"/>
      <c r="AG76" s="15">
        <f t="shared" si="2"/>
        <v>2</v>
      </c>
    </row>
    <row r="77" spans="1:33" ht="15.75" customHeight="1" x14ac:dyDescent="0.25">
      <c r="A77" s="28" t="s">
        <v>38</v>
      </c>
      <c r="B77" s="29"/>
      <c r="C77" s="30"/>
      <c r="D77" s="25"/>
      <c r="E77" s="30"/>
      <c r="F77" s="30"/>
      <c r="G77" s="25"/>
      <c r="H77" s="30"/>
      <c r="I77" s="25"/>
      <c r="J77" s="30"/>
      <c r="K77" s="30"/>
      <c r="L77" s="30"/>
      <c r="M77" s="30"/>
      <c r="N77" s="30"/>
      <c r="O77" s="30"/>
      <c r="P77" s="30">
        <v>1</v>
      </c>
      <c r="Q77" s="30">
        <v>1</v>
      </c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217"/>
      <c r="AG77" s="26">
        <f t="shared" si="2"/>
        <v>2</v>
      </c>
    </row>
    <row r="78" spans="1:33" ht="19.5" customHeight="1" x14ac:dyDescent="0.25">
      <c r="A78" s="31" t="s">
        <v>41</v>
      </c>
      <c r="B78" s="32">
        <f t="shared" ref="B78:AF78" si="5">SUM(B79:B80)</f>
        <v>228</v>
      </c>
      <c r="C78" s="33">
        <f t="shared" si="5"/>
        <v>181</v>
      </c>
      <c r="D78" s="33">
        <f t="shared" si="5"/>
        <v>174</v>
      </c>
      <c r="E78" s="34">
        <f t="shared" si="5"/>
        <v>166</v>
      </c>
      <c r="F78" s="34">
        <f t="shared" si="5"/>
        <v>194</v>
      </c>
      <c r="G78" s="34">
        <f t="shared" si="5"/>
        <v>243</v>
      </c>
      <c r="H78" s="34">
        <f t="shared" si="5"/>
        <v>82</v>
      </c>
      <c r="I78" s="34">
        <f t="shared" si="5"/>
        <v>227</v>
      </c>
      <c r="J78" s="34">
        <f t="shared" si="5"/>
        <v>204</v>
      </c>
      <c r="K78" s="34">
        <f t="shared" si="5"/>
        <v>201</v>
      </c>
      <c r="L78" s="34">
        <f t="shared" si="5"/>
        <v>186</v>
      </c>
      <c r="M78" s="34">
        <f t="shared" si="5"/>
        <v>212</v>
      </c>
      <c r="N78" s="34">
        <f t="shared" si="5"/>
        <v>238</v>
      </c>
      <c r="O78" s="34">
        <f t="shared" si="5"/>
        <v>174</v>
      </c>
      <c r="P78" s="34">
        <f t="shared" si="5"/>
        <v>218</v>
      </c>
      <c r="Q78" s="34">
        <f t="shared" si="5"/>
        <v>196</v>
      </c>
      <c r="R78" s="34">
        <f t="shared" si="5"/>
        <v>167</v>
      </c>
      <c r="S78" s="34">
        <f t="shared" si="5"/>
        <v>172</v>
      </c>
      <c r="T78" s="34">
        <f t="shared" si="5"/>
        <v>193</v>
      </c>
      <c r="U78" s="34">
        <f t="shared" si="5"/>
        <v>266</v>
      </c>
      <c r="V78" s="34">
        <f t="shared" si="5"/>
        <v>224</v>
      </c>
      <c r="W78" s="34">
        <f t="shared" si="5"/>
        <v>214</v>
      </c>
      <c r="X78" s="34">
        <f t="shared" si="5"/>
        <v>195</v>
      </c>
      <c r="Y78" s="34">
        <f t="shared" si="5"/>
        <v>197</v>
      </c>
      <c r="Z78" s="34">
        <f t="shared" si="5"/>
        <v>197</v>
      </c>
      <c r="AA78" s="34">
        <f t="shared" si="5"/>
        <v>195</v>
      </c>
      <c r="AB78" s="34">
        <f t="shared" si="5"/>
        <v>239</v>
      </c>
      <c r="AC78" s="34">
        <f t="shared" si="5"/>
        <v>260</v>
      </c>
      <c r="AD78" s="34">
        <f t="shared" si="5"/>
        <v>0</v>
      </c>
      <c r="AE78" s="34">
        <f t="shared" si="5"/>
        <v>0</v>
      </c>
      <c r="AF78" s="218">
        <f t="shared" si="5"/>
        <v>0</v>
      </c>
      <c r="AG78" s="27">
        <f t="shared" si="2"/>
        <v>5643</v>
      </c>
    </row>
    <row r="79" spans="1:33" ht="19.5" customHeight="1" x14ac:dyDescent="0.25">
      <c r="A79" s="35" t="s">
        <v>42</v>
      </c>
      <c r="B79" s="9">
        <f t="shared" ref="B79:AF79" si="6">SUM(B4:B27)-B80</f>
        <v>228</v>
      </c>
      <c r="C79" s="10">
        <f t="shared" si="6"/>
        <v>181</v>
      </c>
      <c r="D79" s="10">
        <f t="shared" si="6"/>
        <v>174</v>
      </c>
      <c r="E79" s="10">
        <f t="shared" si="6"/>
        <v>166</v>
      </c>
      <c r="F79" s="10">
        <f t="shared" si="6"/>
        <v>86</v>
      </c>
      <c r="G79" s="10">
        <f t="shared" si="6"/>
        <v>118</v>
      </c>
      <c r="H79" s="10">
        <f t="shared" si="6"/>
        <v>82</v>
      </c>
      <c r="I79" s="10">
        <f t="shared" si="6"/>
        <v>227</v>
      </c>
      <c r="J79" s="10">
        <f t="shared" si="6"/>
        <v>204</v>
      </c>
      <c r="K79" s="10">
        <f t="shared" si="6"/>
        <v>201</v>
      </c>
      <c r="L79" s="10">
        <f t="shared" si="6"/>
        <v>186</v>
      </c>
      <c r="M79" s="10">
        <f t="shared" si="6"/>
        <v>96</v>
      </c>
      <c r="N79" s="10">
        <f t="shared" si="6"/>
        <v>115</v>
      </c>
      <c r="O79" s="10">
        <f t="shared" si="6"/>
        <v>88</v>
      </c>
      <c r="P79" s="10">
        <f t="shared" si="6"/>
        <v>218</v>
      </c>
      <c r="Q79" s="10">
        <f t="shared" si="6"/>
        <v>196</v>
      </c>
      <c r="R79" s="10">
        <f t="shared" si="6"/>
        <v>87</v>
      </c>
      <c r="S79" s="10">
        <f t="shared" si="6"/>
        <v>76</v>
      </c>
      <c r="T79" s="10">
        <f t="shared" si="6"/>
        <v>102</v>
      </c>
      <c r="U79" s="10">
        <f t="shared" si="6"/>
        <v>135</v>
      </c>
      <c r="V79" s="10">
        <f t="shared" si="6"/>
        <v>109</v>
      </c>
      <c r="W79" s="10">
        <f t="shared" si="6"/>
        <v>214</v>
      </c>
      <c r="X79" s="10">
        <f t="shared" si="6"/>
        <v>195</v>
      </c>
      <c r="Y79" s="10">
        <f t="shared" si="6"/>
        <v>94</v>
      </c>
      <c r="Z79" s="10">
        <f t="shared" si="6"/>
        <v>197</v>
      </c>
      <c r="AA79" s="10">
        <f t="shared" si="6"/>
        <v>103</v>
      </c>
      <c r="AB79" s="10">
        <f t="shared" si="6"/>
        <v>120</v>
      </c>
      <c r="AC79" s="10">
        <f t="shared" si="6"/>
        <v>119</v>
      </c>
      <c r="AD79" s="10">
        <f t="shared" si="6"/>
        <v>0</v>
      </c>
      <c r="AE79" s="10">
        <f t="shared" si="6"/>
        <v>0</v>
      </c>
      <c r="AF79" s="10">
        <f t="shared" si="6"/>
        <v>0</v>
      </c>
      <c r="AG79" s="11">
        <f t="shared" si="2"/>
        <v>4117</v>
      </c>
    </row>
    <row r="80" spans="1:33" ht="19.5" customHeight="1" x14ac:dyDescent="0.25">
      <c r="A80" s="36" t="s">
        <v>43</v>
      </c>
      <c r="B80" s="37"/>
      <c r="C80" s="38"/>
      <c r="D80" s="25">
        <v>0</v>
      </c>
      <c r="E80" s="25">
        <v>0</v>
      </c>
      <c r="F80" s="25">
        <f>SUM(F4:F12)</f>
        <v>108</v>
      </c>
      <c r="G80" s="25">
        <f>SUM(G4:G12)</f>
        <v>125</v>
      </c>
      <c r="H80" s="25">
        <f>SUM(H4:H12)</f>
        <v>0</v>
      </c>
      <c r="I80" s="38"/>
      <c r="J80" s="38"/>
      <c r="K80" s="25">
        <v>0</v>
      </c>
      <c r="L80" s="25">
        <v>0</v>
      </c>
      <c r="M80" s="25">
        <f>SUM(M4:M12)</f>
        <v>116</v>
      </c>
      <c r="N80" s="25">
        <f>SUM(N4:N12)</f>
        <v>123</v>
      </c>
      <c r="O80" s="25">
        <f>SUM(O4:O12)</f>
        <v>86</v>
      </c>
      <c r="P80" s="38"/>
      <c r="Q80" s="38"/>
      <c r="R80" s="25">
        <f>SUM(R4:R12)</f>
        <v>80</v>
      </c>
      <c r="S80" s="25">
        <f>SUM(S4:S12)</f>
        <v>96</v>
      </c>
      <c r="T80" s="25">
        <f>SUM(T4:T12)</f>
        <v>91</v>
      </c>
      <c r="U80" s="25">
        <f>SUM(U4:U12)</f>
        <v>131</v>
      </c>
      <c r="V80" s="25">
        <f>SUM(V4:V12)</f>
        <v>115</v>
      </c>
      <c r="W80" s="38"/>
      <c r="X80" s="38"/>
      <c r="Y80" s="25">
        <f>SUM(Y4:Y12)</f>
        <v>103</v>
      </c>
      <c r="Z80" s="38"/>
      <c r="AA80" s="25">
        <f>SUM(AA4:AA12)</f>
        <v>92</v>
      </c>
      <c r="AB80" s="25">
        <f>SUM(AB4:AB12)</f>
        <v>119</v>
      </c>
      <c r="AC80" s="25">
        <f>SUM(AC4:AC12)</f>
        <v>141</v>
      </c>
      <c r="AD80" s="38"/>
      <c r="AE80" s="38"/>
      <c r="AF80" s="25">
        <f>SUM(AF4:AF12)</f>
        <v>0</v>
      </c>
      <c r="AG80" s="26">
        <f t="shared" si="2"/>
        <v>1526</v>
      </c>
    </row>
    <row r="81" spans="1:35" ht="15.75" customHeight="1" x14ac:dyDescent="0.25">
      <c r="A81" s="31" t="s">
        <v>44</v>
      </c>
      <c r="B81" s="39">
        <f t="shared" ref="B81:AF81" si="7">SUM(B82:B83)</f>
        <v>38</v>
      </c>
      <c r="C81" s="34">
        <f t="shared" si="7"/>
        <v>19</v>
      </c>
      <c r="D81" s="34">
        <f t="shared" si="7"/>
        <v>15</v>
      </c>
      <c r="E81" s="34">
        <f t="shared" si="7"/>
        <v>2</v>
      </c>
      <c r="F81" s="34">
        <f t="shared" si="7"/>
        <v>1</v>
      </c>
      <c r="G81" s="34">
        <f t="shared" si="7"/>
        <v>35</v>
      </c>
      <c r="H81" s="34">
        <f t="shared" si="7"/>
        <v>4</v>
      </c>
      <c r="I81" s="34">
        <f t="shared" si="7"/>
        <v>30</v>
      </c>
      <c r="J81" s="34">
        <f t="shared" si="7"/>
        <v>9</v>
      </c>
      <c r="K81" s="34">
        <f t="shared" si="7"/>
        <v>15</v>
      </c>
      <c r="L81" s="34">
        <f t="shared" si="7"/>
        <v>5</v>
      </c>
      <c r="M81" s="34">
        <f t="shared" si="7"/>
        <v>3</v>
      </c>
      <c r="N81" s="34">
        <f t="shared" si="7"/>
        <v>13</v>
      </c>
      <c r="O81" s="34">
        <f t="shared" si="7"/>
        <v>3</v>
      </c>
      <c r="P81" s="34">
        <f t="shared" si="7"/>
        <v>15</v>
      </c>
      <c r="Q81" s="34">
        <f t="shared" si="7"/>
        <v>6</v>
      </c>
      <c r="R81" s="34">
        <f t="shared" si="7"/>
        <v>4</v>
      </c>
      <c r="S81" s="34">
        <f t="shared" si="7"/>
        <v>1</v>
      </c>
      <c r="T81" s="34">
        <f t="shared" si="7"/>
        <v>3</v>
      </c>
      <c r="U81" s="34">
        <f t="shared" si="7"/>
        <v>43</v>
      </c>
      <c r="V81" s="34">
        <f t="shared" si="7"/>
        <v>28</v>
      </c>
      <c r="W81" s="34">
        <f t="shared" si="7"/>
        <v>37</v>
      </c>
      <c r="X81" s="34">
        <f t="shared" si="7"/>
        <v>8</v>
      </c>
      <c r="Y81" s="34">
        <f t="shared" si="7"/>
        <v>14</v>
      </c>
      <c r="Z81" s="34">
        <f t="shared" si="7"/>
        <v>8</v>
      </c>
      <c r="AA81" s="34">
        <f t="shared" si="7"/>
        <v>2</v>
      </c>
      <c r="AB81" s="34">
        <f t="shared" si="7"/>
        <v>9</v>
      </c>
      <c r="AC81" s="34">
        <f t="shared" si="7"/>
        <v>26</v>
      </c>
      <c r="AD81" s="34">
        <f t="shared" si="7"/>
        <v>0</v>
      </c>
      <c r="AE81" s="34">
        <f t="shared" si="7"/>
        <v>0</v>
      </c>
      <c r="AF81" s="34">
        <f t="shared" si="7"/>
        <v>0</v>
      </c>
      <c r="AG81" s="27">
        <f t="shared" si="2"/>
        <v>396</v>
      </c>
      <c r="AH81" s="40" t="str">
        <f>IF(AG81&lt;&gt;AG53,"*","")</f>
        <v/>
      </c>
    </row>
    <row r="82" spans="1:35" ht="15.75" customHeight="1" x14ac:dyDescent="0.25">
      <c r="A82" s="35" t="s">
        <v>43</v>
      </c>
      <c r="B82" s="9">
        <f t="shared" ref="B82:AF82" si="8">SUM(B54:B62)</f>
        <v>19</v>
      </c>
      <c r="C82" s="10">
        <f t="shared" si="8"/>
        <v>11</v>
      </c>
      <c r="D82" s="10">
        <f t="shared" si="8"/>
        <v>8</v>
      </c>
      <c r="E82" s="10">
        <f t="shared" si="8"/>
        <v>2</v>
      </c>
      <c r="F82" s="10">
        <f t="shared" si="8"/>
        <v>1</v>
      </c>
      <c r="G82" s="10">
        <f t="shared" si="8"/>
        <v>10</v>
      </c>
      <c r="H82" s="10">
        <f t="shared" si="8"/>
        <v>0</v>
      </c>
      <c r="I82" s="10">
        <f t="shared" si="8"/>
        <v>11</v>
      </c>
      <c r="J82" s="10">
        <f t="shared" si="8"/>
        <v>2</v>
      </c>
      <c r="K82" s="10">
        <f t="shared" si="8"/>
        <v>9</v>
      </c>
      <c r="L82" s="10">
        <f t="shared" si="8"/>
        <v>1</v>
      </c>
      <c r="M82" s="10">
        <f t="shared" si="8"/>
        <v>1</v>
      </c>
      <c r="N82" s="10">
        <f t="shared" si="8"/>
        <v>8</v>
      </c>
      <c r="O82" s="10">
        <f t="shared" si="8"/>
        <v>2</v>
      </c>
      <c r="P82" s="10">
        <f t="shared" si="8"/>
        <v>6</v>
      </c>
      <c r="Q82" s="10">
        <f t="shared" si="8"/>
        <v>3</v>
      </c>
      <c r="R82" s="10">
        <f t="shared" si="8"/>
        <v>0</v>
      </c>
      <c r="S82" s="10">
        <f t="shared" si="8"/>
        <v>0</v>
      </c>
      <c r="T82" s="10">
        <f t="shared" si="8"/>
        <v>3</v>
      </c>
      <c r="U82" s="10">
        <f t="shared" si="8"/>
        <v>8</v>
      </c>
      <c r="V82" s="10">
        <f t="shared" si="8"/>
        <v>8</v>
      </c>
      <c r="W82" s="10">
        <f t="shared" si="8"/>
        <v>10</v>
      </c>
      <c r="X82" s="10">
        <f t="shared" si="8"/>
        <v>1</v>
      </c>
      <c r="Y82" s="10">
        <f t="shared" si="8"/>
        <v>4</v>
      </c>
      <c r="Z82" s="10">
        <f t="shared" si="8"/>
        <v>5</v>
      </c>
      <c r="AA82" s="10">
        <f t="shared" si="8"/>
        <v>1</v>
      </c>
      <c r="AB82" s="10">
        <f t="shared" si="8"/>
        <v>4</v>
      </c>
      <c r="AC82" s="10">
        <f t="shared" si="8"/>
        <v>14</v>
      </c>
      <c r="AD82" s="10">
        <f t="shared" si="8"/>
        <v>0</v>
      </c>
      <c r="AE82" s="10">
        <f t="shared" si="8"/>
        <v>0</v>
      </c>
      <c r="AF82" s="10">
        <f t="shared" si="8"/>
        <v>0</v>
      </c>
      <c r="AG82" s="11">
        <f t="shared" si="2"/>
        <v>152</v>
      </c>
    </row>
    <row r="83" spans="1:35" ht="15.75" customHeight="1" x14ac:dyDescent="0.25">
      <c r="A83" s="36" t="s">
        <v>42</v>
      </c>
      <c r="B83" s="24">
        <f t="shared" ref="B83:AF83" si="9">SUM(B54:B77)-B82</f>
        <v>19</v>
      </c>
      <c r="C83" s="25">
        <f t="shared" si="9"/>
        <v>8</v>
      </c>
      <c r="D83" s="25">
        <f t="shared" si="9"/>
        <v>7</v>
      </c>
      <c r="E83" s="25">
        <f t="shared" si="9"/>
        <v>0</v>
      </c>
      <c r="F83" s="25">
        <f t="shared" si="9"/>
        <v>0</v>
      </c>
      <c r="G83" s="25">
        <f t="shared" si="9"/>
        <v>25</v>
      </c>
      <c r="H83" s="25">
        <f t="shared" si="9"/>
        <v>4</v>
      </c>
      <c r="I83" s="25">
        <f t="shared" si="9"/>
        <v>19</v>
      </c>
      <c r="J83" s="25">
        <f t="shared" si="9"/>
        <v>7</v>
      </c>
      <c r="K83" s="25">
        <f t="shared" si="9"/>
        <v>6</v>
      </c>
      <c r="L83" s="25">
        <f t="shared" si="9"/>
        <v>4</v>
      </c>
      <c r="M83" s="25">
        <f t="shared" si="9"/>
        <v>2</v>
      </c>
      <c r="N83" s="25">
        <f t="shared" si="9"/>
        <v>5</v>
      </c>
      <c r="O83" s="25">
        <f t="shared" si="9"/>
        <v>1</v>
      </c>
      <c r="P83" s="25">
        <f t="shared" si="9"/>
        <v>9</v>
      </c>
      <c r="Q83" s="25">
        <f t="shared" si="9"/>
        <v>3</v>
      </c>
      <c r="R83" s="25">
        <f t="shared" si="9"/>
        <v>4</v>
      </c>
      <c r="S83" s="25">
        <f t="shared" si="9"/>
        <v>1</v>
      </c>
      <c r="T83" s="25">
        <f t="shared" si="9"/>
        <v>0</v>
      </c>
      <c r="U83" s="25">
        <f t="shared" si="9"/>
        <v>35</v>
      </c>
      <c r="V83" s="25">
        <f t="shared" si="9"/>
        <v>20</v>
      </c>
      <c r="W83" s="25">
        <f t="shared" si="9"/>
        <v>27</v>
      </c>
      <c r="X83" s="25">
        <f t="shared" si="9"/>
        <v>7</v>
      </c>
      <c r="Y83" s="25">
        <f t="shared" si="9"/>
        <v>10</v>
      </c>
      <c r="Z83" s="25">
        <f t="shared" si="9"/>
        <v>3</v>
      </c>
      <c r="AA83" s="25">
        <f t="shared" si="9"/>
        <v>1</v>
      </c>
      <c r="AB83" s="25">
        <f t="shared" si="9"/>
        <v>5</v>
      </c>
      <c r="AC83" s="25">
        <f t="shared" si="9"/>
        <v>12</v>
      </c>
      <c r="AD83" s="25">
        <f t="shared" si="9"/>
        <v>0</v>
      </c>
      <c r="AE83" s="25">
        <f t="shared" si="9"/>
        <v>0</v>
      </c>
      <c r="AF83" s="25">
        <f t="shared" si="9"/>
        <v>0</v>
      </c>
      <c r="AG83" s="15">
        <f t="shared" si="2"/>
        <v>244</v>
      </c>
    </row>
    <row r="84" spans="1:35" ht="15.75" customHeight="1" x14ac:dyDescent="0.25">
      <c r="A84" s="41" t="s">
        <v>45</v>
      </c>
      <c r="B84" s="42">
        <f t="shared" ref="B84:AF84" si="10">SUM(B85:B86)</f>
        <v>38</v>
      </c>
      <c r="C84" s="43">
        <f t="shared" si="10"/>
        <v>19</v>
      </c>
      <c r="D84" s="43">
        <f t="shared" si="10"/>
        <v>15</v>
      </c>
      <c r="E84" s="43">
        <f t="shared" si="10"/>
        <v>2</v>
      </c>
      <c r="F84" s="43">
        <f t="shared" si="10"/>
        <v>1</v>
      </c>
      <c r="G84" s="43">
        <f t="shared" si="10"/>
        <v>35</v>
      </c>
      <c r="H84" s="43">
        <f t="shared" si="10"/>
        <v>4</v>
      </c>
      <c r="I84" s="43">
        <f t="shared" si="10"/>
        <v>30</v>
      </c>
      <c r="J84" s="43">
        <f t="shared" si="10"/>
        <v>9</v>
      </c>
      <c r="K84" s="43">
        <f t="shared" si="10"/>
        <v>15</v>
      </c>
      <c r="L84" s="43">
        <f t="shared" si="10"/>
        <v>5</v>
      </c>
      <c r="M84" s="43">
        <f t="shared" si="10"/>
        <v>3</v>
      </c>
      <c r="N84" s="43">
        <f t="shared" si="10"/>
        <v>13</v>
      </c>
      <c r="O84" s="43">
        <f t="shared" si="10"/>
        <v>3</v>
      </c>
      <c r="P84" s="43">
        <f t="shared" si="10"/>
        <v>15</v>
      </c>
      <c r="Q84" s="43">
        <f t="shared" si="10"/>
        <v>6</v>
      </c>
      <c r="R84" s="43">
        <f t="shared" si="10"/>
        <v>4</v>
      </c>
      <c r="S84" s="43">
        <f t="shared" si="10"/>
        <v>1</v>
      </c>
      <c r="T84" s="43">
        <f t="shared" si="10"/>
        <v>3</v>
      </c>
      <c r="U84" s="43">
        <f t="shared" si="10"/>
        <v>43</v>
      </c>
      <c r="V84" s="43">
        <f t="shared" si="10"/>
        <v>28</v>
      </c>
      <c r="W84" s="43">
        <f t="shared" si="10"/>
        <v>37</v>
      </c>
      <c r="X84" s="43">
        <f t="shared" si="10"/>
        <v>8</v>
      </c>
      <c r="Y84" s="43">
        <f t="shared" si="10"/>
        <v>14</v>
      </c>
      <c r="Z84" s="43">
        <f t="shared" si="10"/>
        <v>8</v>
      </c>
      <c r="AA84" s="43">
        <f t="shared" si="10"/>
        <v>2</v>
      </c>
      <c r="AB84" s="43">
        <f t="shared" si="10"/>
        <v>9</v>
      </c>
      <c r="AC84" s="43">
        <f t="shared" si="10"/>
        <v>26</v>
      </c>
      <c r="AD84" s="43">
        <f t="shared" si="10"/>
        <v>0</v>
      </c>
      <c r="AE84" s="43">
        <f t="shared" si="10"/>
        <v>0</v>
      </c>
      <c r="AF84" s="43">
        <f t="shared" si="10"/>
        <v>0</v>
      </c>
      <c r="AG84" s="44">
        <f t="shared" si="2"/>
        <v>396</v>
      </c>
      <c r="AH84" s="40" t="str">
        <f>IF(AG84&lt;&gt;AG82+AG83,"*","")</f>
        <v/>
      </c>
      <c r="AI84" s="361" t="s">
        <v>46</v>
      </c>
    </row>
    <row r="85" spans="1:35" ht="15.75" customHeight="1" x14ac:dyDescent="0.25">
      <c r="A85" s="45" t="s">
        <v>47</v>
      </c>
      <c r="B85" s="46">
        <v>9</v>
      </c>
      <c r="C85" s="47">
        <v>2</v>
      </c>
      <c r="D85" s="47">
        <v>3</v>
      </c>
      <c r="E85" s="47">
        <v>0</v>
      </c>
      <c r="F85" s="47">
        <v>0</v>
      </c>
      <c r="G85" s="47">
        <v>8</v>
      </c>
      <c r="H85" s="47">
        <v>1</v>
      </c>
      <c r="I85" s="47">
        <v>7</v>
      </c>
      <c r="J85" s="47">
        <v>1</v>
      </c>
      <c r="K85" s="47">
        <v>1</v>
      </c>
      <c r="L85" s="47">
        <v>1</v>
      </c>
      <c r="M85" s="47">
        <v>0</v>
      </c>
      <c r="N85" s="47">
        <v>3</v>
      </c>
      <c r="O85" s="47">
        <v>0</v>
      </c>
      <c r="P85" s="47">
        <v>1</v>
      </c>
      <c r="Q85" s="47">
        <v>1</v>
      </c>
      <c r="R85" s="47">
        <v>0</v>
      </c>
      <c r="S85" s="47">
        <v>0</v>
      </c>
      <c r="T85" s="47">
        <v>0</v>
      </c>
      <c r="U85" s="47">
        <v>7</v>
      </c>
      <c r="V85" s="47">
        <v>7</v>
      </c>
      <c r="W85" s="47">
        <v>3</v>
      </c>
      <c r="X85" s="47">
        <v>2</v>
      </c>
      <c r="Y85" s="47">
        <v>2</v>
      </c>
      <c r="Z85" s="47">
        <v>1</v>
      </c>
      <c r="AA85" s="47">
        <v>0</v>
      </c>
      <c r="AB85" s="47">
        <v>2</v>
      </c>
      <c r="AC85" s="47">
        <v>6</v>
      </c>
      <c r="AD85" s="47"/>
      <c r="AE85" s="47"/>
      <c r="AF85" s="219"/>
      <c r="AG85" s="48">
        <f t="shared" si="2"/>
        <v>68</v>
      </c>
      <c r="AI85" s="362"/>
    </row>
    <row r="86" spans="1:35" ht="15.75" customHeight="1" x14ac:dyDescent="0.25">
      <c r="A86" s="49" t="s">
        <v>48</v>
      </c>
      <c r="B86" s="50">
        <v>29</v>
      </c>
      <c r="C86" s="51">
        <v>17</v>
      </c>
      <c r="D86" s="51">
        <v>12</v>
      </c>
      <c r="E86" s="51">
        <v>2</v>
      </c>
      <c r="F86" s="51">
        <v>1</v>
      </c>
      <c r="G86" s="51">
        <v>27</v>
      </c>
      <c r="H86" s="51">
        <v>3</v>
      </c>
      <c r="I86" s="51">
        <v>23</v>
      </c>
      <c r="J86" s="51">
        <v>8</v>
      </c>
      <c r="K86" s="51">
        <v>14</v>
      </c>
      <c r="L86" s="51">
        <v>4</v>
      </c>
      <c r="M86" s="51">
        <v>3</v>
      </c>
      <c r="N86" s="51">
        <v>10</v>
      </c>
      <c r="O86" s="51">
        <v>3</v>
      </c>
      <c r="P86" s="51">
        <v>14</v>
      </c>
      <c r="Q86" s="51">
        <v>5</v>
      </c>
      <c r="R86" s="51">
        <v>4</v>
      </c>
      <c r="S86" s="51">
        <v>1</v>
      </c>
      <c r="T86" s="51">
        <v>3</v>
      </c>
      <c r="U86" s="51">
        <v>36</v>
      </c>
      <c r="V86" s="51">
        <v>21</v>
      </c>
      <c r="W86" s="51">
        <v>34</v>
      </c>
      <c r="X86" s="51">
        <v>6</v>
      </c>
      <c r="Y86" s="51">
        <v>12</v>
      </c>
      <c r="Z86" s="51">
        <v>7</v>
      </c>
      <c r="AA86" s="51">
        <v>2</v>
      </c>
      <c r="AB86" s="51">
        <v>7</v>
      </c>
      <c r="AC86" s="51">
        <v>20</v>
      </c>
      <c r="AD86" s="51"/>
      <c r="AE86" s="51"/>
      <c r="AF86" s="220"/>
      <c r="AG86" s="52">
        <f t="shared" si="2"/>
        <v>328</v>
      </c>
      <c r="AI86" s="363"/>
    </row>
    <row r="87" spans="1:35" ht="15.75" customHeight="1" x14ac:dyDescent="0.25">
      <c r="A87" s="53" t="s">
        <v>49</v>
      </c>
      <c r="B87" s="54">
        <f t="shared" ref="B87:AF87" si="11">SUM(B88:B92)</f>
        <v>38</v>
      </c>
      <c r="C87" s="55">
        <f t="shared" si="11"/>
        <v>19</v>
      </c>
      <c r="D87" s="55">
        <f t="shared" si="11"/>
        <v>15</v>
      </c>
      <c r="E87" s="55">
        <f t="shared" si="11"/>
        <v>2</v>
      </c>
      <c r="F87" s="55">
        <f t="shared" si="11"/>
        <v>1</v>
      </c>
      <c r="G87" s="55">
        <f t="shared" si="11"/>
        <v>35</v>
      </c>
      <c r="H87" s="55">
        <f t="shared" si="11"/>
        <v>4</v>
      </c>
      <c r="I87" s="55">
        <f t="shared" si="11"/>
        <v>30</v>
      </c>
      <c r="J87" s="55">
        <f t="shared" si="11"/>
        <v>9</v>
      </c>
      <c r="K87" s="55">
        <f t="shared" si="11"/>
        <v>15</v>
      </c>
      <c r="L87" s="55">
        <f t="shared" si="11"/>
        <v>5</v>
      </c>
      <c r="M87" s="55">
        <f t="shared" si="11"/>
        <v>3</v>
      </c>
      <c r="N87" s="55">
        <f t="shared" si="11"/>
        <v>13</v>
      </c>
      <c r="O87" s="55">
        <f t="shared" si="11"/>
        <v>3</v>
      </c>
      <c r="P87" s="55">
        <f t="shared" si="11"/>
        <v>15</v>
      </c>
      <c r="Q87" s="55">
        <f t="shared" si="11"/>
        <v>6</v>
      </c>
      <c r="R87" s="55">
        <f t="shared" si="11"/>
        <v>4</v>
      </c>
      <c r="S87" s="55">
        <f t="shared" si="11"/>
        <v>1</v>
      </c>
      <c r="T87" s="55">
        <f t="shared" si="11"/>
        <v>3</v>
      </c>
      <c r="U87" s="55">
        <f t="shared" si="11"/>
        <v>43</v>
      </c>
      <c r="V87" s="55">
        <f t="shared" si="11"/>
        <v>28</v>
      </c>
      <c r="W87" s="55">
        <f t="shared" si="11"/>
        <v>37</v>
      </c>
      <c r="X87" s="55">
        <f t="shared" si="11"/>
        <v>8</v>
      </c>
      <c r="Y87" s="55">
        <f t="shared" si="11"/>
        <v>14</v>
      </c>
      <c r="Z87" s="55">
        <f t="shared" si="11"/>
        <v>8</v>
      </c>
      <c r="AA87" s="55">
        <f t="shared" si="11"/>
        <v>2</v>
      </c>
      <c r="AB87" s="55">
        <f t="shared" si="11"/>
        <v>9</v>
      </c>
      <c r="AC87" s="55">
        <f t="shared" si="11"/>
        <v>26</v>
      </c>
      <c r="AD87" s="55">
        <f t="shared" si="11"/>
        <v>0</v>
      </c>
      <c r="AE87" s="55">
        <f t="shared" si="11"/>
        <v>0</v>
      </c>
      <c r="AF87" s="55">
        <f t="shared" si="11"/>
        <v>0</v>
      </c>
      <c r="AG87" s="56">
        <f t="shared" si="2"/>
        <v>396</v>
      </c>
      <c r="AH87" s="57" t="str">
        <f>IF(AG87&lt;&gt;AG84,"*","")</f>
        <v/>
      </c>
    </row>
    <row r="88" spans="1:35" ht="15.75" customHeight="1" x14ac:dyDescent="0.25">
      <c r="A88" s="58" t="s">
        <v>50</v>
      </c>
      <c r="B88" s="29">
        <v>7</v>
      </c>
      <c r="C88" s="30">
        <v>6</v>
      </c>
      <c r="D88" s="30">
        <v>2</v>
      </c>
      <c r="E88" s="30">
        <v>1</v>
      </c>
      <c r="F88" s="30"/>
      <c r="G88" s="30">
        <v>7</v>
      </c>
      <c r="H88" s="30">
        <v>1</v>
      </c>
      <c r="I88" s="30">
        <v>8</v>
      </c>
      <c r="J88" s="30">
        <v>3</v>
      </c>
      <c r="K88" s="30">
        <v>4</v>
      </c>
      <c r="L88" s="30">
        <v>2</v>
      </c>
      <c r="M88" s="30">
        <v>2</v>
      </c>
      <c r="N88" s="30">
        <v>3</v>
      </c>
      <c r="O88" s="30">
        <v>2</v>
      </c>
      <c r="P88" s="30">
        <v>6</v>
      </c>
      <c r="Q88" s="30">
        <v>3</v>
      </c>
      <c r="R88" s="30"/>
      <c r="S88" s="30">
        <v>1</v>
      </c>
      <c r="T88" s="30">
        <v>3</v>
      </c>
      <c r="U88" s="30">
        <v>10</v>
      </c>
      <c r="V88" s="30">
        <v>6</v>
      </c>
      <c r="W88" s="30">
        <v>14</v>
      </c>
      <c r="X88" s="30">
        <v>2</v>
      </c>
      <c r="Y88" s="30">
        <v>5</v>
      </c>
      <c r="Z88" s="30">
        <v>1</v>
      </c>
      <c r="AA88" s="30">
        <v>1</v>
      </c>
      <c r="AB88" s="30">
        <v>2</v>
      </c>
      <c r="AC88" s="30">
        <v>9</v>
      </c>
      <c r="AD88" s="30"/>
      <c r="AE88" s="30"/>
      <c r="AF88" s="217"/>
      <c r="AG88" s="11">
        <f t="shared" si="2"/>
        <v>111</v>
      </c>
    </row>
    <row r="89" spans="1:35" ht="15.75" customHeight="1" x14ac:dyDescent="0.25">
      <c r="A89" s="59" t="s">
        <v>51</v>
      </c>
      <c r="B89" s="24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16"/>
      <c r="AG89" s="15">
        <f t="shared" si="2"/>
        <v>0</v>
      </c>
    </row>
    <row r="90" spans="1:35" ht="15.75" customHeight="1" x14ac:dyDescent="0.25">
      <c r="A90" s="59" t="s">
        <v>52</v>
      </c>
      <c r="B90" s="24"/>
      <c r="C90" s="25"/>
      <c r="D90" s="25"/>
      <c r="E90" s="25"/>
      <c r="F90" s="25"/>
      <c r="G90" s="25">
        <v>1</v>
      </c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>
        <v>1</v>
      </c>
      <c r="X90" s="25"/>
      <c r="Y90" s="25">
        <v>1</v>
      </c>
      <c r="Z90" s="25"/>
      <c r="AA90" s="25"/>
      <c r="AB90" s="25"/>
      <c r="AC90" s="25"/>
      <c r="AD90" s="25"/>
      <c r="AE90" s="25"/>
      <c r="AF90" s="216"/>
      <c r="AG90" s="15">
        <f t="shared" si="2"/>
        <v>3</v>
      </c>
    </row>
    <row r="91" spans="1:35" ht="15.75" customHeight="1" x14ac:dyDescent="0.25">
      <c r="A91" s="59" t="s">
        <v>53</v>
      </c>
      <c r="B91" s="24">
        <v>13</v>
      </c>
      <c r="C91" s="25">
        <v>11</v>
      </c>
      <c r="D91" s="25">
        <v>3</v>
      </c>
      <c r="E91" s="25"/>
      <c r="F91" s="25"/>
      <c r="G91" s="25">
        <v>18</v>
      </c>
      <c r="H91" s="25">
        <v>1</v>
      </c>
      <c r="I91" s="25">
        <v>3</v>
      </c>
      <c r="J91" s="25"/>
      <c r="K91" s="25">
        <v>7</v>
      </c>
      <c r="L91" s="25">
        <v>1</v>
      </c>
      <c r="M91" s="25">
        <v>1</v>
      </c>
      <c r="N91" s="25">
        <v>2</v>
      </c>
      <c r="O91" s="25">
        <v>1</v>
      </c>
      <c r="P91" s="25">
        <v>5</v>
      </c>
      <c r="Q91" s="25">
        <v>1</v>
      </c>
      <c r="R91" s="25">
        <v>1</v>
      </c>
      <c r="S91" s="25"/>
      <c r="T91" s="25"/>
      <c r="U91" s="25">
        <v>12</v>
      </c>
      <c r="V91" s="25">
        <v>8</v>
      </c>
      <c r="W91" s="25">
        <v>16</v>
      </c>
      <c r="X91" s="25">
        <v>5</v>
      </c>
      <c r="Y91" s="25">
        <v>5</v>
      </c>
      <c r="Z91" s="25">
        <v>3</v>
      </c>
      <c r="AA91" s="25"/>
      <c r="AB91" s="25">
        <v>4</v>
      </c>
      <c r="AC91" s="25">
        <v>8</v>
      </c>
      <c r="AD91" s="25"/>
      <c r="AE91" s="25"/>
      <c r="AF91" s="216"/>
      <c r="AG91" s="15">
        <f t="shared" si="2"/>
        <v>129</v>
      </c>
    </row>
    <row r="92" spans="1:35" ht="15.75" customHeight="1" x14ac:dyDescent="0.25">
      <c r="A92" s="59" t="s">
        <v>54</v>
      </c>
      <c r="B92" s="24">
        <v>18</v>
      </c>
      <c r="C92" s="25">
        <v>2</v>
      </c>
      <c r="D92" s="25">
        <v>10</v>
      </c>
      <c r="E92" s="25">
        <v>1</v>
      </c>
      <c r="F92" s="25">
        <v>1</v>
      </c>
      <c r="G92" s="25">
        <v>9</v>
      </c>
      <c r="H92" s="25">
        <v>2</v>
      </c>
      <c r="I92" s="25">
        <v>19</v>
      </c>
      <c r="J92" s="25">
        <v>6</v>
      </c>
      <c r="K92" s="25">
        <v>4</v>
      </c>
      <c r="L92" s="25">
        <v>2</v>
      </c>
      <c r="M92" s="25"/>
      <c r="N92" s="25">
        <v>8</v>
      </c>
      <c r="O92" s="25"/>
      <c r="P92" s="25">
        <v>4</v>
      </c>
      <c r="Q92" s="25">
        <v>2</v>
      </c>
      <c r="R92" s="25">
        <v>3</v>
      </c>
      <c r="S92" s="25"/>
      <c r="T92" s="25"/>
      <c r="U92" s="25">
        <v>21</v>
      </c>
      <c r="V92" s="25">
        <v>14</v>
      </c>
      <c r="W92" s="25">
        <v>6</v>
      </c>
      <c r="X92" s="25">
        <v>1</v>
      </c>
      <c r="Y92" s="25">
        <v>3</v>
      </c>
      <c r="Z92" s="25">
        <v>4</v>
      </c>
      <c r="AA92" s="25">
        <v>1</v>
      </c>
      <c r="AB92" s="25">
        <v>3</v>
      </c>
      <c r="AC92" s="25">
        <v>9</v>
      </c>
      <c r="AD92" s="25"/>
      <c r="AE92" s="25"/>
      <c r="AF92" s="216"/>
      <c r="AG92" s="15">
        <f t="shared" si="2"/>
        <v>153</v>
      </c>
    </row>
    <row r="93" spans="1:35" ht="15.75" customHeight="1" x14ac:dyDescent="0.25">
      <c r="A93" s="60" t="s">
        <v>55</v>
      </c>
      <c r="B93" s="61">
        <f t="shared" ref="B93:AF93" si="12">+B94+B100</f>
        <v>190</v>
      </c>
      <c r="C93" s="62">
        <f t="shared" si="12"/>
        <v>162</v>
      </c>
      <c r="D93" s="62">
        <f t="shared" si="12"/>
        <v>159</v>
      </c>
      <c r="E93" s="62">
        <f t="shared" si="12"/>
        <v>164</v>
      </c>
      <c r="F93" s="62">
        <f t="shared" si="12"/>
        <v>193</v>
      </c>
      <c r="G93" s="62">
        <f t="shared" si="12"/>
        <v>208</v>
      </c>
      <c r="H93" s="62">
        <f t="shared" si="12"/>
        <v>78</v>
      </c>
      <c r="I93" s="62">
        <f t="shared" si="12"/>
        <v>197</v>
      </c>
      <c r="J93" s="62">
        <f t="shared" si="12"/>
        <v>195</v>
      </c>
      <c r="K93" s="62">
        <f t="shared" si="12"/>
        <v>186</v>
      </c>
      <c r="L93" s="62">
        <f t="shared" si="12"/>
        <v>181</v>
      </c>
      <c r="M93" s="62">
        <f t="shared" si="12"/>
        <v>209</v>
      </c>
      <c r="N93" s="62">
        <f t="shared" si="12"/>
        <v>225</v>
      </c>
      <c r="O93" s="62">
        <f t="shared" si="12"/>
        <v>171</v>
      </c>
      <c r="P93" s="62">
        <f t="shared" si="12"/>
        <v>203</v>
      </c>
      <c r="Q93" s="62">
        <f t="shared" si="12"/>
        <v>190</v>
      </c>
      <c r="R93" s="62">
        <f t="shared" si="12"/>
        <v>163</v>
      </c>
      <c r="S93" s="62">
        <f t="shared" si="12"/>
        <v>171</v>
      </c>
      <c r="T93" s="62">
        <f t="shared" si="12"/>
        <v>190</v>
      </c>
      <c r="U93" s="62">
        <f t="shared" si="12"/>
        <v>223</v>
      </c>
      <c r="V93" s="62">
        <f t="shared" si="12"/>
        <v>196</v>
      </c>
      <c r="W93" s="62">
        <f t="shared" si="12"/>
        <v>177</v>
      </c>
      <c r="X93" s="62">
        <f t="shared" si="12"/>
        <v>187</v>
      </c>
      <c r="Y93" s="62">
        <f t="shared" si="12"/>
        <v>183</v>
      </c>
      <c r="Z93" s="62">
        <f t="shared" si="12"/>
        <v>189</v>
      </c>
      <c r="AA93" s="62">
        <f t="shared" si="12"/>
        <v>193</v>
      </c>
      <c r="AB93" s="62">
        <f t="shared" si="12"/>
        <v>230</v>
      </c>
      <c r="AC93" s="62">
        <f t="shared" si="12"/>
        <v>234</v>
      </c>
      <c r="AD93" s="62">
        <f t="shared" si="12"/>
        <v>0</v>
      </c>
      <c r="AE93" s="62">
        <f t="shared" si="12"/>
        <v>0</v>
      </c>
      <c r="AF93" s="221">
        <f t="shared" si="12"/>
        <v>0</v>
      </c>
      <c r="AG93" s="22">
        <f t="shared" si="2"/>
        <v>5247</v>
      </c>
      <c r="AH93" s="63" t="str">
        <f>IF(AG93&lt;&gt;AG28,"*","")</f>
        <v/>
      </c>
    </row>
    <row r="94" spans="1:35" ht="15.75" customHeight="1" x14ac:dyDescent="0.25">
      <c r="A94" s="64" t="s">
        <v>56</v>
      </c>
      <c r="B94" s="65">
        <f t="shared" ref="B94:AF94" si="13">SUM(B95:B99)</f>
        <v>27</v>
      </c>
      <c r="C94" s="66">
        <f t="shared" si="13"/>
        <v>19</v>
      </c>
      <c r="D94" s="66">
        <f t="shared" si="13"/>
        <v>18</v>
      </c>
      <c r="E94" s="66">
        <f t="shared" si="13"/>
        <v>18</v>
      </c>
      <c r="F94" s="66">
        <f t="shared" si="13"/>
        <v>23</v>
      </c>
      <c r="G94" s="66">
        <f t="shared" si="13"/>
        <v>26</v>
      </c>
      <c r="H94" s="66">
        <f t="shared" si="13"/>
        <v>10</v>
      </c>
      <c r="I94" s="66">
        <f t="shared" si="13"/>
        <v>23</v>
      </c>
      <c r="J94" s="66">
        <f t="shared" si="13"/>
        <v>23</v>
      </c>
      <c r="K94" s="66">
        <f t="shared" si="13"/>
        <v>25</v>
      </c>
      <c r="L94" s="66">
        <f t="shared" si="13"/>
        <v>19</v>
      </c>
      <c r="M94" s="66">
        <f t="shared" si="13"/>
        <v>14</v>
      </c>
      <c r="N94" s="66">
        <f t="shared" si="13"/>
        <v>25</v>
      </c>
      <c r="O94" s="66">
        <f t="shared" si="13"/>
        <v>20</v>
      </c>
      <c r="P94" s="66">
        <f t="shared" si="13"/>
        <v>20</v>
      </c>
      <c r="Q94" s="66">
        <f t="shared" si="13"/>
        <v>25</v>
      </c>
      <c r="R94" s="66">
        <f t="shared" si="13"/>
        <v>24</v>
      </c>
      <c r="S94" s="66">
        <f t="shared" si="13"/>
        <v>27</v>
      </c>
      <c r="T94" s="66">
        <f t="shared" si="13"/>
        <v>23</v>
      </c>
      <c r="U94" s="66">
        <f t="shared" si="13"/>
        <v>17</v>
      </c>
      <c r="V94" s="66">
        <f t="shared" si="13"/>
        <v>16</v>
      </c>
      <c r="W94" s="66">
        <f t="shared" si="13"/>
        <v>13</v>
      </c>
      <c r="X94" s="66">
        <f t="shared" si="13"/>
        <v>20</v>
      </c>
      <c r="Y94" s="66">
        <f t="shared" si="13"/>
        <v>15</v>
      </c>
      <c r="Z94" s="66">
        <f t="shared" si="13"/>
        <v>28</v>
      </c>
      <c r="AA94" s="66">
        <f t="shared" si="13"/>
        <v>29</v>
      </c>
      <c r="AB94" s="66">
        <f t="shared" si="13"/>
        <v>24</v>
      </c>
      <c r="AC94" s="66">
        <f t="shared" si="13"/>
        <v>24</v>
      </c>
      <c r="AD94" s="66">
        <f t="shared" si="13"/>
        <v>0</v>
      </c>
      <c r="AE94" s="66">
        <f t="shared" si="13"/>
        <v>0</v>
      </c>
      <c r="AF94" s="222">
        <f t="shared" si="13"/>
        <v>0</v>
      </c>
      <c r="AG94" s="15">
        <f t="shared" si="2"/>
        <v>595</v>
      </c>
    </row>
    <row r="95" spans="1:35" ht="15.75" customHeight="1" x14ac:dyDescent="0.25">
      <c r="A95" s="67" t="s">
        <v>57</v>
      </c>
      <c r="B95" s="13">
        <v>0</v>
      </c>
      <c r="C95" s="14">
        <v>0</v>
      </c>
      <c r="D95" s="14">
        <v>1</v>
      </c>
      <c r="E95" s="14">
        <v>0</v>
      </c>
      <c r="F95" s="14">
        <v>3</v>
      </c>
      <c r="G95" s="14">
        <v>3</v>
      </c>
      <c r="H95" s="14"/>
      <c r="I95" s="14"/>
      <c r="J95" s="14"/>
      <c r="K95" s="14">
        <v>1</v>
      </c>
      <c r="L95" s="14"/>
      <c r="M95" s="14">
        <v>2</v>
      </c>
      <c r="N95" s="14">
        <v>1</v>
      </c>
      <c r="O95" s="14"/>
      <c r="P95" s="14">
        <v>1</v>
      </c>
      <c r="Q95" s="14"/>
      <c r="R95" s="14">
        <v>2</v>
      </c>
      <c r="S95" s="14"/>
      <c r="T95" s="14">
        <v>2</v>
      </c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214"/>
      <c r="AG95" s="15">
        <f t="shared" si="2"/>
        <v>16</v>
      </c>
    </row>
    <row r="96" spans="1:35" ht="15.75" customHeight="1" x14ac:dyDescent="0.25">
      <c r="A96" s="68" t="s">
        <v>58</v>
      </c>
      <c r="B96" s="13">
        <v>3</v>
      </c>
      <c r="C96" s="14">
        <v>4</v>
      </c>
      <c r="D96" s="14">
        <v>1</v>
      </c>
      <c r="E96" s="14">
        <v>1</v>
      </c>
      <c r="F96" s="14">
        <v>3</v>
      </c>
      <c r="G96" s="14">
        <v>1</v>
      </c>
      <c r="H96" s="14">
        <v>1</v>
      </c>
      <c r="I96" s="14">
        <v>1</v>
      </c>
      <c r="J96" s="14"/>
      <c r="K96" s="14">
        <v>1</v>
      </c>
      <c r="L96" s="14">
        <v>1</v>
      </c>
      <c r="M96" s="14">
        <v>1</v>
      </c>
      <c r="N96" s="14">
        <v>1</v>
      </c>
      <c r="O96" s="14">
        <v>2</v>
      </c>
      <c r="P96" s="14">
        <v>1</v>
      </c>
      <c r="Q96" s="14">
        <v>1</v>
      </c>
      <c r="R96" s="14">
        <v>1</v>
      </c>
      <c r="S96" s="223">
        <v>3</v>
      </c>
      <c r="T96" s="14"/>
      <c r="U96" s="14">
        <v>1</v>
      </c>
      <c r="V96" s="14">
        <v>1</v>
      </c>
      <c r="W96" s="14">
        <v>2</v>
      </c>
      <c r="X96" s="14">
        <v>4</v>
      </c>
      <c r="Y96" s="14"/>
      <c r="Z96" s="14">
        <v>3</v>
      </c>
      <c r="AA96" s="14">
        <v>4</v>
      </c>
      <c r="AB96" s="14">
        <v>2</v>
      </c>
      <c r="AC96" s="14"/>
      <c r="AD96" s="14"/>
      <c r="AE96" s="14"/>
      <c r="AF96" s="214"/>
      <c r="AG96" s="15">
        <f t="shared" si="2"/>
        <v>44</v>
      </c>
    </row>
    <row r="97" spans="1:33" ht="15.75" customHeight="1" x14ac:dyDescent="0.25">
      <c r="A97" s="69" t="s">
        <v>59</v>
      </c>
      <c r="B97" s="13">
        <v>11</v>
      </c>
      <c r="C97" s="14">
        <v>6</v>
      </c>
      <c r="D97" s="14">
        <v>7</v>
      </c>
      <c r="E97" s="14">
        <v>7</v>
      </c>
      <c r="F97" s="14">
        <v>2</v>
      </c>
      <c r="G97" s="14">
        <v>9</v>
      </c>
      <c r="H97" s="14"/>
      <c r="I97" s="14">
        <v>3</v>
      </c>
      <c r="J97" s="14">
        <v>5</v>
      </c>
      <c r="K97" s="14">
        <v>5</v>
      </c>
      <c r="L97" s="14">
        <v>5</v>
      </c>
      <c r="M97" s="14">
        <v>4</v>
      </c>
      <c r="N97" s="14">
        <v>6</v>
      </c>
      <c r="O97" s="14">
        <v>7</v>
      </c>
      <c r="P97" s="14">
        <v>4</v>
      </c>
      <c r="Q97" s="14">
        <v>4</v>
      </c>
      <c r="R97" s="14">
        <v>7</v>
      </c>
      <c r="S97" s="14">
        <v>8</v>
      </c>
      <c r="T97" s="14">
        <v>8</v>
      </c>
      <c r="U97" s="14">
        <v>2</v>
      </c>
      <c r="V97" s="14">
        <v>2</v>
      </c>
      <c r="W97" s="14">
        <v>3</v>
      </c>
      <c r="X97" s="14">
        <v>3</v>
      </c>
      <c r="Y97" s="14">
        <v>4</v>
      </c>
      <c r="Z97" s="14">
        <v>6</v>
      </c>
      <c r="AA97" s="14">
        <v>2</v>
      </c>
      <c r="AB97" s="14">
        <v>5</v>
      </c>
      <c r="AC97" s="14">
        <v>3</v>
      </c>
      <c r="AD97" s="14"/>
      <c r="AE97" s="14"/>
      <c r="AF97" s="214"/>
      <c r="AG97" s="15">
        <f t="shared" si="2"/>
        <v>138</v>
      </c>
    </row>
    <row r="98" spans="1:33" ht="15.75" customHeight="1" x14ac:dyDescent="0.25">
      <c r="A98" s="70" t="s">
        <v>60</v>
      </c>
      <c r="B98" s="13">
        <v>6</v>
      </c>
      <c r="C98" s="14">
        <v>4</v>
      </c>
      <c r="D98" s="14">
        <v>6</v>
      </c>
      <c r="E98" s="14">
        <v>6</v>
      </c>
      <c r="F98" s="14">
        <v>11</v>
      </c>
      <c r="G98" s="14">
        <v>5</v>
      </c>
      <c r="H98" s="14">
        <v>5</v>
      </c>
      <c r="I98" s="14">
        <v>12</v>
      </c>
      <c r="J98" s="14">
        <v>8</v>
      </c>
      <c r="K98" s="14">
        <v>6</v>
      </c>
      <c r="L98" s="14">
        <v>7</v>
      </c>
      <c r="M98" s="14">
        <v>3</v>
      </c>
      <c r="N98" s="14">
        <v>6</v>
      </c>
      <c r="O98" s="14">
        <v>6</v>
      </c>
      <c r="P98" s="14">
        <v>10</v>
      </c>
      <c r="Q98" s="14">
        <v>8</v>
      </c>
      <c r="R98" s="14">
        <v>8</v>
      </c>
      <c r="S98" s="14">
        <v>7</v>
      </c>
      <c r="T98" s="14">
        <v>9</v>
      </c>
      <c r="U98" s="14">
        <v>7</v>
      </c>
      <c r="V98" s="14">
        <v>9</v>
      </c>
      <c r="W98" s="14">
        <v>4</v>
      </c>
      <c r="X98" s="14">
        <v>8</v>
      </c>
      <c r="Y98" s="14">
        <v>5</v>
      </c>
      <c r="Z98" s="14">
        <v>8</v>
      </c>
      <c r="AA98" s="14">
        <v>10</v>
      </c>
      <c r="AB98" s="14">
        <v>9</v>
      </c>
      <c r="AC98" s="14">
        <v>15</v>
      </c>
      <c r="AD98" s="14"/>
      <c r="AE98" s="14"/>
      <c r="AF98" s="214"/>
      <c r="AG98" s="15">
        <f t="shared" si="2"/>
        <v>208</v>
      </c>
    </row>
    <row r="99" spans="1:33" ht="15.75" customHeight="1" x14ac:dyDescent="0.25">
      <c r="A99" s="71" t="s">
        <v>61</v>
      </c>
      <c r="B99" s="13">
        <v>7</v>
      </c>
      <c r="C99" s="14">
        <v>5</v>
      </c>
      <c r="D99" s="14">
        <v>3</v>
      </c>
      <c r="E99" s="14">
        <v>4</v>
      </c>
      <c r="F99" s="14">
        <v>4</v>
      </c>
      <c r="G99" s="14">
        <v>8</v>
      </c>
      <c r="H99" s="14">
        <v>4</v>
      </c>
      <c r="I99" s="14">
        <v>7</v>
      </c>
      <c r="J99" s="14">
        <v>10</v>
      </c>
      <c r="K99" s="14">
        <v>12</v>
      </c>
      <c r="L99" s="14">
        <v>6</v>
      </c>
      <c r="M99" s="14">
        <v>4</v>
      </c>
      <c r="N99" s="14">
        <v>11</v>
      </c>
      <c r="O99" s="14">
        <v>5</v>
      </c>
      <c r="P99" s="14">
        <v>4</v>
      </c>
      <c r="Q99" s="14">
        <v>12</v>
      </c>
      <c r="R99" s="14">
        <v>6</v>
      </c>
      <c r="S99" s="14">
        <v>9</v>
      </c>
      <c r="T99" s="14">
        <v>4</v>
      </c>
      <c r="U99" s="14">
        <v>7</v>
      </c>
      <c r="V99" s="14">
        <v>4</v>
      </c>
      <c r="W99" s="14">
        <v>4</v>
      </c>
      <c r="X99" s="14">
        <v>5</v>
      </c>
      <c r="Y99" s="14">
        <v>6</v>
      </c>
      <c r="Z99" s="14">
        <v>11</v>
      </c>
      <c r="AA99" s="14">
        <v>13</v>
      </c>
      <c r="AB99" s="14">
        <v>8</v>
      </c>
      <c r="AC99" s="14">
        <v>6</v>
      </c>
      <c r="AD99" s="14"/>
      <c r="AE99" s="14"/>
      <c r="AF99" s="214"/>
      <c r="AG99" s="15">
        <f t="shared" si="2"/>
        <v>189</v>
      </c>
    </row>
    <row r="100" spans="1:33" ht="15.75" customHeight="1" x14ac:dyDescent="0.25">
      <c r="A100" s="64" t="s">
        <v>62</v>
      </c>
      <c r="B100" s="65">
        <f t="shared" ref="B100:AF100" si="14">SUM(B101:B115)</f>
        <v>163</v>
      </c>
      <c r="C100" s="66">
        <f t="shared" si="14"/>
        <v>143</v>
      </c>
      <c r="D100" s="66">
        <f t="shared" si="14"/>
        <v>141</v>
      </c>
      <c r="E100" s="66">
        <f t="shared" si="14"/>
        <v>146</v>
      </c>
      <c r="F100" s="66">
        <f t="shared" si="14"/>
        <v>170</v>
      </c>
      <c r="G100" s="66">
        <f t="shared" si="14"/>
        <v>182</v>
      </c>
      <c r="H100" s="66">
        <f t="shared" si="14"/>
        <v>68</v>
      </c>
      <c r="I100" s="66">
        <f t="shared" si="14"/>
        <v>174</v>
      </c>
      <c r="J100" s="66">
        <f t="shared" si="14"/>
        <v>172</v>
      </c>
      <c r="K100" s="66">
        <f t="shared" si="14"/>
        <v>161</v>
      </c>
      <c r="L100" s="66">
        <f t="shared" si="14"/>
        <v>162</v>
      </c>
      <c r="M100" s="66">
        <f t="shared" si="14"/>
        <v>195</v>
      </c>
      <c r="N100" s="66">
        <f t="shared" si="14"/>
        <v>200</v>
      </c>
      <c r="O100" s="66">
        <f t="shared" si="14"/>
        <v>151</v>
      </c>
      <c r="P100" s="66">
        <f t="shared" si="14"/>
        <v>183</v>
      </c>
      <c r="Q100" s="66">
        <f t="shared" si="14"/>
        <v>165</v>
      </c>
      <c r="R100" s="66">
        <f t="shared" si="14"/>
        <v>139</v>
      </c>
      <c r="S100" s="66">
        <f t="shared" si="14"/>
        <v>144</v>
      </c>
      <c r="T100" s="66">
        <f t="shared" si="14"/>
        <v>167</v>
      </c>
      <c r="U100" s="66">
        <f t="shared" si="14"/>
        <v>206</v>
      </c>
      <c r="V100" s="66">
        <f t="shared" si="14"/>
        <v>180</v>
      </c>
      <c r="W100" s="66">
        <f t="shared" si="14"/>
        <v>164</v>
      </c>
      <c r="X100" s="66">
        <f t="shared" si="14"/>
        <v>167</v>
      </c>
      <c r="Y100" s="66">
        <f t="shared" si="14"/>
        <v>168</v>
      </c>
      <c r="Z100" s="66">
        <f t="shared" si="14"/>
        <v>161</v>
      </c>
      <c r="AA100" s="66">
        <f t="shared" si="14"/>
        <v>164</v>
      </c>
      <c r="AB100" s="66">
        <f t="shared" si="14"/>
        <v>206</v>
      </c>
      <c r="AC100" s="66">
        <f t="shared" si="14"/>
        <v>210</v>
      </c>
      <c r="AD100" s="66">
        <f t="shared" si="14"/>
        <v>0</v>
      </c>
      <c r="AE100" s="66">
        <f t="shared" si="14"/>
        <v>0</v>
      </c>
      <c r="AF100" s="222">
        <f t="shared" si="14"/>
        <v>0</v>
      </c>
      <c r="AG100" s="15">
        <f t="shared" si="2"/>
        <v>4652</v>
      </c>
    </row>
    <row r="101" spans="1:33" ht="15.75" customHeight="1" x14ac:dyDescent="0.25">
      <c r="A101" s="71" t="s">
        <v>63</v>
      </c>
      <c r="B101" s="13">
        <v>11</v>
      </c>
      <c r="C101" s="14">
        <v>9</v>
      </c>
      <c r="D101" s="14">
        <v>14</v>
      </c>
      <c r="E101" s="14">
        <v>7</v>
      </c>
      <c r="F101" s="14">
        <v>9</v>
      </c>
      <c r="G101" s="14">
        <v>17</v>
      </c>
      <c r="H101" s="14">
        <v>9</v>
      </c>
      <c r="I101" s="14">
        <v>11</v>
      </c>
      <c r="J101" s="14">
        <v>9</v>
      </c>
      <c r="K101" s="14">
        <v>11</v>
      </c>
      <c r="L101" s="14">
        <v>10</v>
      </c>
      <c r="M101" s="14">
        <v>9</v>
      </c>
      <c r="N101" s="14">
        <v>14</v>
      </c>
      <c r="O101" s="14">
        <v>8</v>
      </c>
      <c r="P101" s="14">
        <v>10</v>
      </c>
      <c r="Q101" s="14">
        <v>11</v>
      </c>
      <c r="R101" s="14">
        <v>13</v>
      </c>
      <c r="S101" s="14">
        <v>14</v>
      </c>
      <c r="T101" s="14">
        <v>11</v>
      </c>
      <c r="U101" s="14">
        <v>9</v>
      </c>
      <c r="V101" s="14">
        <v>7</v>
      </c>
      <c r="W101" s="14">
        <v>7</v>
      </c>
      <c r="X101" s="14">
        <v>12</v>
      </c>
      <c r="Y101" s="14">
        <v>6</v>
      </c>
      <c r="Z101" s="14">
        <v>9</v>
      </c>
      <c r="AA101" s="14">
        <v>12</v>
      </c>
      <c r="AB101" s="14">
        <v>16</v>
      </c>
      <c r="AC101" s="14">
        <v>13</v>
      </c>
      <c r="AD101" s="14"/>
      <c r="AE101" s="14"/>
      <c r="AF101" s="214"/>
      <c r="AG101" s="15">
        <f t="shared" si="2"/>
        <v>298</v>
      </c>
    </row>
    <row r="102" spans="1:33" ht="15.75" customHeight="1" x14ac:dyDescent="0.25">
      <c r="A102" s="71" t="s">
        <v>64</v>
      </c>
      <c r="B102" s="13">
        <v>15</v>
      </c>
      <c r="C102" s="14">
        <v>10</v>
      </c>
      <c r="D102" s="14">
        <v>12</v>
      </c>
      <c r="E102" s="14">
        <v>15</v>
      </c>
      <c r="F102" s="14">
        <v>18</v>
      </c>
      <c r="G102" s="14">
        <v>24</v>
      </c>
      <c r="H102" s="14">
        <v>7</v>
      </c>
      <c r="I102" s="14">
        <v>14</v>
      </c>
      <c r="J102" s="14">
        <v>22</v>
      </c>
      <c r="K102" s="14">
        <v>22</v>
      </c>
      <c r="L102" s="14">
        <v>14</v>
      </c>
      <c r="M102" s="14">
        <v>14</v>
      </c>
      <c r="N102" s="14">
        <v>20</v>
      </c>
      <c r="O102" s="14">
        <v>12</v>
      </c>
      <c r="P102" s="14">
        <v>12</v>
      </c>
      <c r="Q102" s="14">
        <v>13</v>
      </c>
      <c r="R102" s="14">
        <v>9</v>
      </c>
      <c r="S102" s="14">
        <v>18</v>
      </c>
      <c r="T102" s="14">
        <v>19</v>
      </c>
      <c r="U102" s="14">
        <v>22</v>
      </c>
      <c r="V102" s="14">
        <v>15</v>
      </c>
      <c r="W102" s="14">
        <v>11</v>
      </c>
      <c r="X102" s="14">
        <v>17</v>
      </c>
      <c r="Y102" s="14">
        <v>21</v>
      </c>
      <c r="Z102" s="14">
        <v>7</v>
      </c>
      <c r="AA102" s="14">
        <v>22</v>
      </c>
      <c r="AB102" s="14">
        <v>15</v>
      </c>
      <c r="AC102" s="14">
        <v>18</v>
      </c>
      <c r="AD102" s="14"/>
      <c r="AE102" s="14"/>
      <c r="AF102" s="214"/>
      <c r="AG102" s="15">
        <f t="shared" si="2"/>
        <v>438</v>
      </c>
    </row>
    <row r="103" spans="1:33" ht="15.75" customHeight="1" x14ac:dyDescent="0.25">
      <c r="A103" s="67" t="s">
        <v>65</v>
      </c>
      <c r="B103" s="13">
        <v>9</v>
      </c>
      <c r="C103" s="14">
        <v>13</v>
      </c>
      <c r="D103" s="14">
        <v>13</v>
      </c>
      <c r="E103" s="14">
        <v>4</v>
      </c>
      <c r="F103" s="14">
        <v>16</v>
      </c>
      <c r="G103" s="14">
        <v>11</v>
      </c>
      <c r="H103" s="14">
        <v>5</v>
      </c>
      <c r="I103" s="14">
        <v>14</v>
      </c>
      <c r="J103" s="14">
        <v>14</v>
      </c>
      <c r="K103" s="14">
        <v>14</v>
      </c>
      <c r="L103" s="14">
        <v>16</v>
      </c>
      <c r="M103" s="14">
        <v>12</v>
      </c>
      <c r="N103" s="14">
        <v>18</v>
      </c>
      <c r="O103" s="14">
        <v>14</v>
      </c>
      <c r="P103" s="14">
        <v>14</v>
      </c>
      <c r="Q103" s="14">
        <v>14</v>
      </c>
      <c r="R103" s="14">
        <v>11</v>
      </c>
      <c r="S103" s="14">
        <v>7</v>
      </c>
      <c r="T103" s="14">
        <v>20</v>
      </c>
      <c r="U103" s="14">
        <v>24</v>
      </c>
      <c r="V103" s="14">
        <v>11</v>
      </c>
      <c r="W103" s="14">
        <v>12</v>
      </c>
      <c r="X103" s="14">
        <v>13</v>
      </c>
      <c r="Y103" s="14">
        <v>14</v>
      </c>
      <c r="Z103" s="14">
        <v>18</v>
      </c>
      <c r="AA103" s="14">
        <v>16</v>
      </c>
      <c r="AB103" s="14">
        <v>21</v>
      </c>
      <c r="AC103" s="14">
        <v>16</v>
      </c>
      <c r="AD103" s="14"/>
      <c r="AE103" s="14"/>
      <c r="AF103" s="214"/>
      <c r="AG103" s="15">
        <f t="shared" si="2"/>
        <v>384</v>
      </c>
    </row>
    <row r="104" spans="1:33" ht="15.75" customHeight="1" x14ac:dyDescent="0.25">
      <c r="A104" s="67" t="s">
        <v>66</v>
      </c>
      <c r="B104" s="13">
        <v>13</v>
      </c>
      <c r="C104" s="14">
        <v>14</v>
      </c>
      <c r="D104" s="14">
        <v>8</v>
      </c>
      <c r="E104" s="14">
        <v>19</v>
      </c>
      <c r="F104" s="14">
        <v>17</v>
      </c>
      <c r="G104" s="14">
        <v>9</v>
      </c>
      <c r="H104" s="14">
        <v>7</v>
      </c>
      <c r="I104" s="14">
        <v>13</v>
      </c>
      <c r="J104" s="14">
        <v>13</v>
      </c>
      <c r="K104" s="14">
        <v>11</v>
      </c>
      <c r="L104" s="14">
        <v>21</v>
      </c>
      <c r="M104" s="14">
        <v>17</v>
      </c>
      <c r="N104" s="14">
        <v>10</v>
      </c>
      <c r="O104" s="14">
        <v>8</v>
      </c>
      <c r="P104" s="14">
        <v>17</v>
      </c>
      <c r="Q104" s="14">
        <v>15</v>
      </c>
      <c r="R104" s="14">
        <v>19</v>
      </c>
      <c r="S104" s="14">
        <v>14</v>
      </c>
      <c r="T104" s="14">
        <v>14</v>
      </c>
      <c r="U104" s="14">
        <v>22</v>
      </c>
      <c r="V104" s="14">
        <v>14</v>
      </c>
      <c r="W104" s="14">
        <v>16</v>
      </c>
      <c r="X104" s="14">
        <v>12</v>
      </c>
      <c r="Y104" s="14">
        <v>13</v>
      </c>
      <c r="Z104" s="14">
        <v>11</v>
      </c>
      <c r="AA104" s="14">
        <v>15</v>
      </c>
      <c r="AB104" s="14">
        <v>12</v>
      </c>
      <c r="AC104" s="14">
        <v>20</v>
      </c>
      <c r="AD104" s="14"/>
      <c r="AE104" s="14"/>
      <c r="AF104" s="214"/>
      <c r="AG104" s="15">
        <f t="shared" si="2"/>
        <v>394</v>
      </c>
    </row>
    <row r="105" spans="1:33" ht="15.75" customHeight="1" x14ac:dyDescent="0.25">
      <c r="A105" s="67" t="s">
        <v>67</v>
      </c>
      <c r="B105" s="13">
        <v>13</v>
      </c>
      <c r="C105" s="14">
        <v>7</v>
      </c>
      <c r="D105" s="14">
        <v>9</v>
      </c>
      <c r="E105" s="14">
        <v>14</v>
      </c>
      <c r="F105" s="14">
        <v>14</v>
      </c>
      <c r="G105" s="14">
        <v>14</v>
      </c>
      <c r="H105" s="14">
        <v>2</v>
      </c>
      <c r="I105" s="14">
        <v>14</v>
      </c>
      <c r="J105" s="14">
        <v>14</v>
      </c>
      <c r="K105" s="14">
        <v>12</v>
      </c>
      <c r="L105" s="14">
        <v>6</v>
      </c>
      <c r="M105" s="14">
        <v>19</v>
      </c>
      <c r="N105" s="14">
        <v>14</v>
      </c>
      <c r="O105" s="14">
        <v>16</v>
      </c>
      <c r="P105" s="14">
        <v>14</v>
      </c>
      <c r="Q105" s="14">
        <v>13</v>
      </c>
      <c r="R105" s="14">
        <v>9</v>
      </c>
      <c r="S105" s="14">
        <v>11</v>
      </c>
      <c r="T105" s="14">
        <v>8</v>
      </c>
      <c r="U105" s="14">
        <v>13</v>
      </c>
      <c r="V105" s="14">
        <v>17</v>
      </c>
      <c r="W105" s="14">
        <v>12</v>
      </c>
      <c r="X105" s="14">
        <v>14</v>
      </c>
      <c r="Y105" s="14">
        <v>8</v>
      </c>
      <c r="Z105" s="14">
        <v>14</v>
      </c>
      <c r="AA105" s="14">
        <v>10</v>
      </c>
      <c r="AB105" s="14">
        <v>19</v>
      </c>
      <c r="AC105" s="14">
        <v>15</v>
      </c>
      <c r="AD105" s="14"/>
      <c r="AE105" s="14"/>
      <c r="AF105" s="214"/>
      <c r="AG105" s="15">
        <f t="shared" si="2"/>
        <v>345</v>
      </c>
    </row>
    <row r="106" spans="1:33" ht="15.75" customHeight="1" x14ac:dyDescent="0.25">
      <c r="A106" s="67" t="s">
        <v>68</v>
      </c>
      <c r="B106" s="13">
        <v>17</v>
      </c>
      <c r="C106" s="14">
        <v>11</v>
      </c>
      <c r="D106" s="14">
        <v>5</v>
      </c>
      <c r="E106" s="14">
        <v>6</v>
      </c>
      <c r="F106" s="14">
        <v>10</v>
      </c>
      <c r="G106" s="14">
        <v>8</v>
      </c>
      <c r="H106" s="14">
        <v>8</v>
      </c>
      <c r="I106" s="14">
        <v>10</v>
      </c>
      <c r="J106" s="14">
        <v>9</v>
      </c>
      <c r="K106" s="14">
        <v>9</v>
      </c>
      <c r="L106" s="14">
        <v>5</v>
      </c>
      <c r="M106" s="14">
        <v>15</v>
      </c>
      <c r="N106" s="14">
        <v>11</v>
      </c>
      <c r="O106" s="14">
        <v>9</v>
      </c>
      <c r="P106" s="14">
        <v>15</v>
      </c>
      <c r="Q106" s="14">
        <v>13</v>
      </c>
      <c r="R106" s="14">
        <v>6</v>
      </c>
      <c r="S106" s="14">
        <v>8</v>
      </c>
      <c r="T106" s="14">
        <v>9</v>
      </c>
      <c r="U106" s="14">
        <v>21</v>
      </c>
      <c r="V106" s="14">
        <v>16</v>
      </c>
      <c r="W106" s="14">
        <v>16</v>
      </c>
      <c r="X106" s="14">
        <v>13</v>
      </c>
      <c r="Y106" s="14">
        <v>16</v>
      </c>
      <c r="Z106" s="14">
        <v>15</v>
      </c>
      <c r="AA106" s="14">
        <v>7</v>
      </c>
      <c r="AB106" s="14">
        <v>20</v>
      </c>
      <c r="AC106" s="14">
        <v>10</v>
      </c>
      <c r="AD106" s="14"/>
      <c r="AE106" s="14"/>
      <c r="AF106" s="214"/>
      <c r="AG106" s="15">
        <f t="shared" si="2"/>
        <v>318</v>
      </c>
    </row>
    <row r="107" spans="1:33" ht="15.75" customHeight="1" x14ac:dyDescent="0.25">
      <c r="A107" s="67" t="s">
        <v>69</v>
      </c>
      <c r="B107" s="13">
        <v>16</v>
      </c>
      <c r="C107" s="14">
        <v>11</v>
      </c>
      <c r="D107" s="14">
        <v>13</v>
      </c>
      <c r="E107" s="14">
        <v>12</v>
      </c>
      <c r="F107" s="14">
        <v>8</v>
      </c>
      <c r="G107" s="14">
        <v>14</v>
      </c>
      <c r="H107" s="14"/>
      <c r="I107" s="14">
        <v>12</v>
      </c>
      <c r="J107" s="14">
        <v>19</v>
      </c>
      <c r="K107" s="14">
        <v>11</v>
      </c>
      <c r="L107" s="14">
        <v>13</v>
      </c>
      <c r="M107" s="14">
        <v>24</v>
      </c>
      <c r="N107" s="14">
        <v>16</v>
      </c>
      <c r="O107" s="14">
        <v>8</v>
      </c>
      <c r="P107" s="14">
        <v>17</v>
      </c>
      <c r="Q107" s="14">
        <v>9</v>
      </c>
      <c r="R107" s="14">
        <v>9</v>
      </c>
      <c r="S107" s="14">
        <v>10</v>
      </c>
      <c r="T107" s="14">
        <v>13</v>
      </c>
      <c r="U107" s="14">
        <v>14</v>
      </c>
      <c r="V107" s="14">
        <v>24</v>
      </c>
      <c r="W107" s="14">
        <v>13</v>
      </c>
      <c r="X107" s="14">
        <v>13</v>
      </c>
      <c r="Y107" s="14">
        <v>9</v>
      </c>
      <c r="Z107" s="14">
        <v>18</v>
      </c>
      <c r="AA107" s="14">
        <v>6</v>
      </c>
      <c r="AB107" s="14">
        <v>15</v>
      </c>
      <c r="AC107" s="14">
        <v>16</v>
      </c>
      <c r="AD107" s="14"/>
      <c r="AE107" s="14"/>
      <c r="AF107" s="214"/>
      <c r="AG107" s="15">
        <f t="shared" si="2"/>
        <v>363</v>
      </c>
    </row>
    <row r="108" spans="1:33" ht="15.75" customHeight="1" x14ac:dyDescent="0.25">
      <c r="A108" s="67" t="s">
        <v>70</v>
      </c>
      <c r="B108" s="13">
        <v>11</v>
      </c>
      <c r="C108" s="14">
        <v>17</v>
      </c>
      <c r="D108" s="14">
        <v>12</v>
      </c>
      <c r="E108" s="14">
        <v>16</v>
      </c>
      <c r="F108" s="14">
        <v>19</v>
      </c>
      <c r="G108" s="14">
        <v>18</v>
      </c>
      <c r="H108" s="14">
        <v>8</v>
      </c>
      <c r="I108" s="14">
        <v>18</v>
      </c>
      <c r="J108" s="14">
        <v>13</v>
      </c>
      <c r="K108" s="14">
        <v>9</v>
      </c>
      <c r="L108" s="14">
        <v>16</v>
      </c>
      <c r="M108" s="14">
        <v>13</v>
      </c>
      <c r="N108" s="14">
        <v>13</v>
      </c>
      <c r="O108" s="14">
        <v>17</v>
      </c>
      <c r="P108" s="14">
        <v>23</v>
      </c>
      <c r="Q108" s="14">
        <v>16</v>
      </c>
      <c r="R108" s="14">
        <v>15</v>
      </c>
      <c r="S108" s="14">
        <v>14</v>
      </c>
      <c r="T108" s="14">
        <v>16</v>
      </c>
      <c r="U108" s="14">
        <v>12</v>
      </c>
      <c r="V108" s="14">
        <v>16</v>
      </c>
      <c r="W108" s="14">
        <v>12</v>
      </c>
      <c r="X108" s="14">
        <v>16</v>
      </c>
      <c r="Y108" s="14">
        <v>20</v>
      </c>
      <c r="Z108" s="14">
        <v>13</v>
      </c>
      <c r="AA108" s="14">
        <v>22</v>
      </c>
      <c r="AB108" s="14">
        <v>16</v>
      </c>
      <c r="AC108" s="14">
        <v>16</v>
      </c>
      <c r="AD108" s="14"/>
      <c r="AE108" s="14"/>
      <c r="AF108" s="214"/>
      <c r="AG108" s="15">
        <f t="shared" si="2"/>
        <v>427</v>
      </c>
    </row>
    <row r="109" spans="1:33" ht="15.75" customHeight="1" x14ac:dyDescent="0.25">
      <c r="A109" s="67" t="s">
        <v>71</v>
      </c>
      <c r="B109" s="13">
        <v>11</v>
      </c>
      <c r="C109" s="14">
        <v>13</v>
      </c>
      <c r="D109" s="14">
        <v>11</v>
      </c>
      <c r="E109" s="14">
        <v>11</v>
      </c>
      <c r="F109" s="14">
        <v>11</v>
      </c>
      <c r="G109" s="14">
        <v>15</v>
      </c>
      <c r="H109" s="14">
        <v>5</v>
      </c>
      <c r="I109" s="14">
        <v>14</v>
      </c>
      <c r="J109" s="14">
        <v>10</v>
      </c>
      <c r="K109" s="14">
        <v>10</v>
      </c>
      <c r="L109" s="14">
        <v>14</v>
      </c>
      <c r="M109" s="14">
        <v>15</v>
      </c>
      <c r="N109" s="14">
        <v>10</v>
      </c>
      <c r="O109" s="14">
        <v>17</v>
      </c>
      <c r="P109" s="14">
        <v>14</v>
      </c>
      <c r="Q109" s="14">
        <v>13</v>
      </c>
      <c r="R109" s="14">
        <v>16</v>
      </c>
      <c r="S109" s="14">
        <v>6</v>
      </c>
      <c r="T109" s="14">
        <v>8</v>
      </c>
      <c r="U109" s="14">
        <v>18</v>
      </c>
      <c r="V109" s="14">
        <v>11</v>
      </c>
      <c r="W109" s="14">
        <v>11</v>
      </c>
      <c r="X109" s="14">
        <v>8</v>
      </c>
      <c r="Y109" s="14">
        <v>15</v>
      </c>
      <c r="Z109" s="14">
        <v>12</v>
      </c>
      <c r="AA109" s="14">
        <v>10</v>
      </c>
      <c r="AB109" s="14">
        <v>15</v>
      </c>
      <c r="AC109" s="14">
        <v>23</v>
      </c>
      <c r="AD109" s="14"/>
      <c r="AE109" s="14"/>
      <c r="AF109" s="214"/>
      <c r="AG109" s="15">
        <f t="shared" si="2"/>
        <v>347</v>
      </c>
    </row>
    <row r="110" spans="1:33" ht="15.75" customHeight="1" x14ac:dyDescent="0.25">
      <c r="A110" s="67" t="s">
        <v>72</v>
      </c>
      <c r="B110" s="13">
        <v>11</v>
      </c>
      <c r="C110" s="14">
        <v>12</v>
      </c>
      <c r="D110" s="14">
        <v>10</v>
      </c>
      <c r="E110" s="14">
        <v>10</v>
      </c>
      <c r="F110" s="14">
        <v>10</v>
      </c>
      <c r="G110" s="14">
        <v>10</v>
      </c>
      <c r="H110" s="14">
        <v>6</v>
      </c>
      <c r="I110" s="14">
        <v>15</v>
      </c>
      <c r="J110" s="14">
        <v>17</v>
      </c>
      <c r="K110" s="14">
        <v>14</v>
      </c>
      <c r="L110" s="14">
        <v>12</v>
      </c>
      <c r="M110" s="14">
        <v>16</v>
      </c>
      <c r="N110" s="14">
        <v>20</v>
      </c>
      <c r="O110" s="14">
        <v>10</v>
      </c>
      <c r="P110" s="14">
        <v>17</v>
      </c>
      <c r="Q110" s="14">
        <v>14</v>
      </c>
      <c r="R110" s="14">
        <v>10</v>
      </c>
      <c r="S110" s="14">
        <v>14</v>
      </c>
      <c r="T110" s="14">
        <v>12</v>
      </c>
      <c r="U110" s="14">
        <v>14</v>
      </c>
      <c r="V110" s="14">
        <v>13</v>
      </c>
      <c r="W110" s="14">
        <v>11</v>
      </c>
      <c r="X110" s="14">
        <v>10</v>
      </c>
      <c r="Y110" s="14">
        <v>9</v>
      </c>
      <c r="Z110" s="14">
        <v>10</v>
      </c>
      <c r="AA110" s="14">
        <v>15</v>
      </c>
      <c r="AB110" s="14">
        <v>17</v>
      </c>
      <c r="AC110" s="14">
        <v>13</v>
      </c>
      <c r="AD110" s="14"/>
      <c r="AE110" s="14"/>
      <c r="AF110" s="214"/>
      <c r="AG110" s="15">
        <f t="shared" si="2"/>
        <v>352</v>
      </c>
    </row>
    <row r="111" spans="1:33" ht="15.75" customHeight="1" x14ac:dyDescent="0.25">
      <c r="A111" s="67" t="s">
        <v>73</v>
      </c>
      <c r="B111" s="13">
        <v>12</v>
      </c>
      <c r="C111" s="14">
        <v>6</v>
      </c>
      <c r="D111" s="14">
        <v>13</v>
      </c>
      <c r="E111" s="14">
        <v>9</v>
      </c>
      <c r="F111" s="14">
        <v>10</v>
      </c>
      <c r="G111" s="14">
        <v>14</v>
      </c>
      <c r="H111" s="14">
        <v>4</v>
      </c>
      <c r="I111" s="14">
        <v>12</v>
      </c>
      <c r="J111" s="14">
        <v>7</v>
      </c>
      <c r="K111" s="14">
        <v>7</v>
      </c>
      <c r="L111" s="14">
        <v>9</v>
      </c>
      <c r="M111" s="14">
        <v>12</v>
      </c>
      <c r="N111" s="14">
        <v>20</v>
      </c>
      <c r="O111" s="14">
        <v>8</v>
      </c>
      <c r="P111" s="14">
        <v>6</v>
      </c>
      <c r="Q111" s="14">
        <v>10</v>
      </c>
      <c r="R111" s="14">
        <v>5</v>
      </c>
      <c r="S111" s="14">
        <v>8</v>
      </c>
      <c r="T111" s="14">
        <v>13</v>
      </c>
      <c r="U111" s="14">
        <v>11</v>
      </c>
      <c r="V111" s="14">
        <v>11</v>
      </c>
      <c r="W111" s="14">
        <v>14</v>
      </c>
      <c r="X111" s="14">
        <v>10</v>
      </c>
      <c r="Y111" s="14">
        <v>15</v>
      </c>
      <c r="Z111" s="14">
        <v>12</v>
      </c>
      <c r="AA111" s="14">
        <v>10</v>
      </c>
      <c r="AB111" s="14">
        <v>14</v>
      </c>
      <c r="AC111" s="14">
        <v>12</v>
      </c>
      <c r="AD111" s="14"/>
      <c r="AE111" s="14"/>
      <c r="AF111" s="214"/>
      <c r="AG111" s="15">
        <f t="shared" si="2"/>
        <v>294</v>
      </c>
    </row>
    <row r="112" spans="1:33" ht="15.75" customHeight="1" x14ac:dyDescent="0.25">
      <c r="A112" s="67" t="s">
        <v>74</v>
      </c>
      <c r="B112" s="13">
        <v>10</v>
      </c>
      <c r="C112" s="14">
        <v>8</v>
      </c>
      <c r="D112" s="14">
        <v>5</v>
      </c>
      <c r="E112" s="14">
        <v>8</v>
      </c>
      <c r="F112" s="14">
        <v>10</v>
      </c>
      <c r="G112" s="14">
        <v>8</v>
      </c>
      <c r="H112" s="14">
        <v>3</v>
      </c>
      <c r="I112" s="14">
        <v>10</v>
      </c>
      <c r="J112" s="14">
        <v>5</v>
      </c>
      <c r="K112" s="14">
        <v>11</v>
      </c>
      <c r="L112" s="14">
        <v>13</v>
      </c>
      <c r="M112" s="14">
        <v>13</v>
      </c>
      <c r="N112" s="14">
        <v>15</v>
      </c>
      <c r="O112" s="14">
        <v>9</v>
      </c>
      <c r="P112" s="14">
        <v>9</v>
      </c>
      <c r="Q112" s="14">
        <v>6</v>
      </c>
      <c r="R112" s="14">
        <v>2</v>
      </c>
      <c r="S112" s="14">
        <v>9</v>
      </c>
      <c r="T112" s="14">
        <v>10</v>
      </c>
      <c r="U112" s="14">
        <v>13</v>
      </c>
      <c r="V112" s="14">
        <v>9</v>
      </c>
      <c r="W112" s="14">
        <v>7</v>
      </c>
      <c r="X112" s="14">
        <v>10</v>
      </c>
      <c r="Y112" s="14">
        <v>13</v>
      </c>
      <c r="Z112" s="14">
        <v>6</v>
      </c>
      <c r="AA112" s="14">
        <v>5</v>
      </c>
      <c r="AB112" s="14">
        <v>10</v>
      </c>
      <c r="AC112" s="14">
        <v>9</v>
      </c>
      <c r="AD112" s="14"/>
      <c r="AE112" s="14"/>
      <c r="AF112" s="214"/>
      <c r="AG112" s="15">
        <f t="shared" si="2"/>
        <v>246</v>
      </c>
    </row>
    <row r="113" spans="1:33" ht="15.75" customHeight="1" x14ac:dyDescent="0.25">
      <c r="A113" s="67" t="s">
        <v>75</v>
      </c>
      <c r="B113" s="13">
        <v>7</v>
      </c>
      <c r="C113" s="14">
        <v>2</v>
      </c>
      <c r="D113" s="14">
        <v>7</v>
      </c>
      <c r="E113" s="14">
        <v>5</v>
      </c>
      <c r="F113" s="14">
        <v>8</v>
      </c>
      <c r="G113" s="14">
        <v>5</v>
      </c>
      <c r="H113" s="14">
        <v>1</v>
      </c>
      <c r="I113" s="14">
        <v>2</v>
      </c>
      <c r="J113" s="14">
        <v>5</v>
      </c>
      <c r="K113" s="14">
        <v>8</v>
      </c>
      <c r="L113" s="14">
        <v>8</v>
      </c>
      <c r="M113" s="14">
        <v>5</v>
      </c>
      <c r="N113" s="14">
        <v>10</v>
      </c>
      <c r="O113" s="14">
        <v>7</v>
      </c>
      <c r="P113" s="14">
        <v>5</v>
      </c>
      <c r="Q113" s="14">
        <v>10</v>
      </c>
      <c r="R113" s="14">
        <v>6</v>
      </c>
      <c r="S113" s="14">
        <v>2</v>
      </c>
      <c r="T113" s="14">
        <v>5</v>
      </c>
      <c r="U113" s="14">
        <v>4</v>
      </c>
      <c r="V113" s="14">
        <v>7</v>
      </c>
      <c r="W113" s="14">
        <v>9</v>
      </c>
      <c r="X113" s="14">
        <v>5</v>
      </c>
      <c r="Y113" s="14">
        <v>5</v>
      </c>
      <c r="Z113" s="14">
        <v>7</v>
      </c>
      <c r="AA113" s="14">
        <v>6</v>
      </c>
      <c r="AB113" s="14">
        <v>8</v>
      </c>
      <c r="AC113" s="14">
        <v>8</v>
      </c>
      <c r="AD113" s="14"/>
      <c r="AE113" s="14"/>
      <c r="AF113" s="214"/>
      <c r="AG113" s="15">
        <f t="shared" si="2"/>
        <v>167</v>
      </c>
    </row>
    <row r="114" spans="1:33" ht="15.75" customHeight="1" x14ac:dyDescent="0.25">
      <c r="A114" s="67" t="s">
        <v>76</v>
      </c>
      <c r="B114" s="13">
        <v>7</v>
      </c>
      <c r="C114" s="14">
        <v>10</v>
      </c>
      <c r="D114" s="14">
        <v>9</v>
      </c>
      <c r="E114" s="14">
        <v>10</v>
      </c>
      <c r="F114" s="14">
        <v>10</v>
      </c>
      <c r="G114" s="14">
        <v>15</v>
      </c>
      <c r="H114" s="14">
        <v>3</v>
      </c>
      <c r="I114" s="14">
        <v>15</v>
      </c>
      <c r="J114" s="14">
        <v>15</v>
      </c>
      <c r="K114" s="14">
        <v>12</v>
      </c>
      <c r="L114" s="14">
        <v>5</v>
      </c>
      <c r="M114" s="14">
        <v>11</v>
      </c>
      <c r="N114" s="14">
        <v>9</v>
      </c>
      <c r="O114" s="14">
        <v>8</v>
      </c>
      <c r="P114" s="14">
        <v>10</v>
      </c>
      <c r="Q114" s="14">
        <v>8</v>
      </c>
      <c r="R114" s="14">
        <v>9</v>
      </c>
      <c r="S114" s="14">
        <v>9</v>
      </c>
      <c r="T114" s="14">
        <v>9</v>
      </c>
      <c r="U114" s="14">
        <v>9</v>
      </c>
      <c r="V114" s="14">
        <v>9</v>
      </c>
      <c r="W114" s="14">
        <v>13</v>
      </c>
      <c r="X114" s="14">
        <v>14</v>
      </c>
      <c r="Y114" s="14">
        <v>4</v>
      </c>
      <c r="Z114" s="14">
        <v>9</v>
      </c>
      <c r="AA114" s="14">
        <v>8</v>
      </c>
      <c r="AB114" s="14">
        <v>8</v>
      </c>
      <c r="AC114" s="14">
        <v>21</v>
      </c>
      <c r="AD114" s="14"/>
      <c r="AE114" s="14"/>
      <c r="AF114" s="214"/>
      <c r="AG114" s="15">
        <f t="shared" si="2"/>
        <v>279</v>
      </c>
    </row>
    <row r="115" spans="1:33" ht="15.75" customHeight="1" x14ac:dyDescent="0.25">
      <c r="A115" s="72"/>
      <c r="B115" s="37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224"/>
      <c r="AG115" s="15">
        <f t="shared" si="2"/>
        <v>0</v>
      </c>
    </row>
    <row r="116" spans="1:33" ht="15.75" customHeight="1" x14ac:dyDescent="0.25">
      <c r="A116" s="60" t="s">
        <v>77</v>
      </c>
      <c r="B116" s="61">
        <f t="shared" ref="B116:AF116" si="15">SUM(B117:B129)</f>
        <v>49</v>
      </c>
      <c r="C116" s="62">
        <f t="shared" si="15"/>
        <v>52</v>
      </c>
      <c r="D116" s="62">
        <f t="shared" si="15"/>
        <v>43</v>
      </c>
      <c r="E116" s="62">
        <f t="shared" si="15"/>
        <v>40</v>
      </c>
      <c r="F116" s="62">
        <f t="shared" si="15"/>
        <v>32</v>
      </c>
      <c r="G116" s="62">
        <f t="shared" si="15"/>
        <v>37</v>
      </c>
      <c r="H116" s="62">
        <f t="shared" si="15"/>
        <v>25</v>
      </c>
      <c r="I116" s="62">
        <f t="shared" si="15"/>
        <v>54</v>
      </c>
      <c r="J116" s="62">
        <f t="shared" si="15"/>
        <v>47</v>
      </c>
      <c r="K116" s="62">
        <f t="shared" si="15"/>
        <v>65</v>
      </c>
      <c r="L116" s="62">
        <f t="shared" si="15"/>
        <v>46</v>
      </c>
      <c r="M116" s="62">
        <f t="shared" si="15"/>
        <v>71</v>
      </c>
      <c r="N116" s="62">
        <f t="shared" si="15"/>
        <v>55</v>
      </c>
      <c r="O116" s="62">
        <f t="shared" si="15"/>
        <v>39</v>
      </c>
      <c r="P116" s="62">
        <f t="shared" si="15"/>
        <v>42</v>
      </c>
      <c r="Q116" s="62">
        <f t="shared" si="15"/>
        <v>55</v>
      </c>
      <c r="R116" s="62">
        <f t="shared" si="15"/>
        <v>36</v>
      </c>
      <c r="S116" s="62">
        <f t="shared" si="15"/>
        <v>46</v>
      </c>
      <c r="T116" s="62">
        <f t="shared" si="15"/>
        <v>50</v>
      </c>
      <c r="U116" s="62">
        <f t="shared" si="15"/>
        <v>69</v>
      </c>
      <c r="V116" s="62">
        <f t="shared" si="15"/>
        <v>51</v>
      </c>
      <c r="W116" s="62">
        <f t="shared" si="15"/>
        <v>44</v>
      </c>
      <c r="X116" s="62">
        <f t="shared" si="15"/>
        <v>48</v>
      </c>
      <c r="Y116" s="62">
        <f t="shared" si="15"/>
        <v>46</v>
      </c>
      <c r="Z116" s="62">
        <f t="shared" si="15"/>
        <v>58</v>
      </c>
      <c r="AA116" s="62">
        <f t="shared" si="15"/>
        <v>46</v>
      </c>
      <c r="AB116" s="62">
        <f t="shared" si="15"/>
        <v>59</v>
      </c>
      <c r="AC116" s="62">
        <f t="shared" si="15"/>
        <v>74</v>
      </c>
      <c r="AD116" s="62">
        <f t="shared" si="15"/>
        <v>0</v>
      </c>
      <c r="AE116" s="62">
        <f t="shared" si="15"/>
        <v>0</v>
      </c>
      <c r="AF116" s="221">
        <f t="shared" si="15"/>
        <v>0</v>
      </c>
      <c r="AG116" s="15">
        <f t="shared" si="2"/>
        <v>1379</v>
      </c>
    </row>
    <row r="117" spans="1:33" ht="15.75" customHeight="1" x14ac:dyDescent="0.25">
      <c r="A117" s="73" t="s">
        <v>78</v>
      </c>
      <c r="B117" s="13">
        <v>36</v>
      </c>
      <c r="C117" s="14">
        <v>39</v>
      </c>
      <c r="D117" s="14">
        <v>33</v>
      </c>
      <c r="E117" s="14">
        <v>29</v>
      </c>
      <c r="F117" s="14">
        <v>20</v>
      </c>
      <c r="G117" s="14">
        <v>36</v>
      </c>
      <c r="H117" s="14">
        <v>20</v>
      </c>
      <c r="I117" s="14">
        <v>38</v>
      </c>
      <c r="J117" s="14">
        <v>40</v>
      </c>
      <c r="K117" s="14">
        <v>53</v>
      </c>
      <c r="L117" s="14">
        <v>34</v>
      </c>
      <c r="M117" s="14">
        <v>58</v>
      </c>
      <c r="N117" s="14">
        <v>42</v>
      </c>
      <c r="O117" s="14">
        <v>29</v>
      </c>
      <c r="P117" s="14">
        <v>31</v>
      </c>
      <c r="Q117" s="14">
        <v>39</v>
      </c>
      <c r="R117" s="14">
        <v>24</v>
      </c>
      <c r="S117" s="14">
        <v>30</v>
      </c>
      <c r="T117" s="14">
        <v>41</v>
      </c>
      <c r="U117" s="14">
        <v>51</v>
      </c>
      <c r="V117" s="14">
        <v>37</v>
      </c>
      <c r="W117" s="14">
        <v>37</v>
      </c>
      <c r="X117" s="14">
        <v>48</v>
      </c>
      <c r="Y117" s="14">
        <v>35</v>
      </c>
      <c r="Z117" s="14">
        <v>41</v>
      </c>
      <c r="AA117" s="14">
        <v>30</v>
      </c>
      <c r="AB117" s="14">
        <v>46</v>
      </c>
      <c r="AC117" s="14">
        <v>55</v>
      </c>
      <c r="AD117" s="14"/>
      <c r="AE117" s="14"/>
      <c r="AF117" s="214"/>
      <c r="AG117" s="15">
        <f t="shared" si="2"/>
        <v>1052</v>
      </c>
    </row>
    <row r="118" spans="1:33" ht="19.5" hidden="1" customHeight="1" x14ac:dyDescent="0.25">
      <c r="A118" s="73" t="s">
        <v>79</v>
      </c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214"/>
      <c r="AG118" s="15">
        <f t="shared" si="2"/>
        <v>0</v>
      </c>
    </row>
    <row r="119" spans="1:33" ht="19.5" hidden="1" customHeight="1" x14ac:dyDescent="0.25">
      <c r="A119" s="73" t="s">
        <v>80</v>
      </c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214"/>
      <c r="AG119" s="15">
        <f t="shared" si="2"/>
        <v>0</v>
      </c>
    </row>
    <row r="120" spans="1:33" ht="19.5" hidden="1" customHeight="1" x14ac:dyDescent="0.25">
      <c r="A120" s="73" t="s">
        <v>81</v>
      </c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214"/>
      <c r="AG120" s="15">
        <f t="shared" si="2"/>
        <v>0</v>
      </c>
    </row>
    <row r="121" spans="1:33" ht="19.5" hidden="1" customHeight="1" x14ac:dyDescent="0.25">
      <c r="A121" s="73" t="s">
        <v>82</v>
      </c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214"/>
      <c r="AG121" s="15">
        <f t="shared" si="2"/>
        <v>0</v>
      </c>
    </row>
    <row r="122" spans="1:33" ht="19.5" hidden="1" customHeight="1" x14ac:dyDescent="0.25">
      <c r="A122" s="73" t="s">
        <v>83</v>
      </c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214"/>
      <c r="AG122" s="15">
        <f t="shared" si="2"/>
        <v>0</v>
      </c>
    </row>
    <row r="123" spans="1:33" ht="19.5" hidden="1" customHeight="1" x14ac:dyDescent="0.25">
      <c r="A123" s="73" t="s">
        <v>84</v>
      </c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214"/>
      <c r="AG123" s="15">
        <f t="shared" si="2"/>
        <v>0</v>
      </c>
    </row>
    <row r="124" spans="1:33" ht="19.5" hidden="1" customHeight="1" x14ac:dyDescent="0.25">
      <c r="A124" s="73" t="s">
        <v>85</v>
      </c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214"/>
      <c r="AG124" s="15">
        <f t="shared" si="2"/>
        <v>0</v>
      </c>
    </row>
    <row r="125" spans="1:33" ht="19.5" hidden="1" customHeight="1" x14ac:dyDescent="0.25">
      <c r="A125" s="12" t="s">
        <v>86</v>
      </c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214"/>
      <c r="AG125" s="15">
        <f t="shared" si="2"/>
        <v>0</v>
      </c>
    </row>
    <row r="126" spans="1:33" ht="19.5" hidden="1" customHeight="1" x14ac:dyDescent="0.25">
      <c r="A126" s="12" t="s">
        <v>87</v>
      </c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214"/>
      <c r="AG126" s="15">
        <f t="shared" si="2"/>
        <v>0</v>
      </c>
    </row>
    <row r="127" spans="1:33" ht="19.5" hidden="1" customHeight="1" x14ac:dyDescent="0.25">
      <c r="A127" s="12" t="s">
        <v>88</v>
      </c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214"/>
      <c r="AG127" s="15">
        <f t="shared" si="2"/>
        <v>0</v>
      </c>
    </row>
    <row r="128" spans="1:33" ht="19.5" hidden="1" customHeight="1" x14ac:dyDescent="0.25">
      <c r="A128" s="73" t="s">
        <v>89</v>
      </c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214"/>
      <c r="AG128" s="15">
        <f t="shared" si="2"/>
        <v>0</v>
      </c>
    </row>
    <row r="129" spans="1:35" ht="15.75" customHeight="1" x14ac:dyDescent="0.25">
      <c r="A129" s="74" t="s">
        <v>90</v>
      </c>
      <c r="B129" s="75">
        <v>13</v>
      </c>
      <c r="C129" s="76">
        <v>13</v>
      </c>
      <c r="D129" s="76">
        <v>10</v>
      </c>
      <c r="E129" s="76">
        <v>11</v>
      </c>
      <c r="F129" s="76">
        <v>12</v>
      </c>
      <c r="G129" s="76">
        <v>1</v>
      </c>
      <c r="H129" s="76">
        <v>5</v>
      </c>
      <c r="I129" s="76">
        <v>16</v>
      </c>
      <c r="J129" s="76">
        <v>7</v>
      </c>
      <c r="K129" s="76">
        <v>12</v>
      </c>
      <c r="L129" s="76">
        <v>12</v>
      </c>
      <c r="M129" s="76">
        <v>13</v>
      </c>
      <c r="N129" s="76">
        <v>13</v>
      </c>
      <c r="O129" s="76">
        <v>10</v>
      </c>
      <c r="P129" s="76">
        <v>11</v>
      </c>
      <c r="Q129" s="76">
        <v>16</v>
      </c>
      <c r="R129" s="76">
        <v>12</v>
      </c>
      <c r="S129" s="76">
        <v>16</v>
      </c>
      <c r="T129" s="76">
        <v>9</v>
      </c>
      <c r="U129" s="76">
        <v>18</v>
      </c>
      <c r="V129" s="76">
        <v>14</v>
      </c>
      <c r="W129" s="76">
        <v>7</v>
      </c>
      <c r="X129" s="76"/>
      <c r="Y129" s="76">
        <v>11</v>
      </c>
      <c r="Z129" s="76">
        <v>17</v>
      </c>
      <c r="AA129" s="76">
        <v>16</v>
      </c>
      <c r="AB129" s="76">
        <v>13</v>
      </c>
      <c r="AC129" s="76">
        <v>19</v>
      </c>
      <c r="AD129" s="76"/>
      <c r="AE129" s="76"/>
      <c r="AF129" s="225"/>
      <c r="AG129" s="15">
        <f t="shared" si="2"/>
        <v>327</v>
      </c>
    </row>
    <row r="130" spans="1:35" ht="15.75" customHeight="1" x14ac:dyDescent="0.25">
      <c r="A130" s="60" t="s">
        <v>91</v>
      </c>
      <c r="B130" s="61">
        <f t="shared" ref="B130:AF130" si="16">SUM(B131:B143)</f>
        <v>190</v>
      </c>
      <c r="C130" s="62">
        <f t="shared" si="16"/>
        <v>162</v>
      </c>
      <c r="D130" s="62">
        <f t="shared" si="16"/>
        <v>159</v>
      </c>
      <c r="E130" s="62">
        <f t="shared" si="16"/>
        <v>164</v>
      </c>
      <c r="F130" s="62">
        <f t="shared" si="16"/>
        <v>193</v>
      </c>
      <c r="G130" s="62">
        <f t="shared" si="16"/>
        <v>208</v>
      </c>
      <c r="H130" s="62">
        <f t="shared" si="16"/>
        <v>78</v>
      </c>
      <c r="I130" s="62">
        <f t="shared" si="16"/>
        <v>197</v>
      </c>
      <c r="J130" s="62">
        <f t="shared" si="16"/>
        <v>195</v>
      </c>
      <c r="K130" s="62">
        <f t="shared" si="16"/>
        <v>186</v>
      </c>
      <c r="L130" s="62">
        <f t="shared" si="16"/>
        <v>181</v>
      </c>
      <c r="M130" s="62">
        <f t="shared" si="16"/>
        <v>209</v>
      </c>
      <c r="N130" s="62">
        <f t="shared" si="16"/>
        <v>225</v>
      </c>
      <c r="O130" s="62">
        <f t="shared" si="16"/>
        <v>171</v>
      </c>
      <c r="P130" s="62">
        <f t="shared" si="16"/>
        <v>203</v>
      </c>
      <c r="Q130" s="62">
        <f t="shared" si="16"/>
        <v>190</v>
      </c>
      <c r="R130" s="62">
        <f t="shared" si="16"/>
        <v>163</v>
      </c>
      <c r="S130" s="62">
        <f t="shared" si="16"/>
        <v>171</v>
      </c>
      <c r="T130" s="62">
        <f t="shared" si="16"/>
        <v>190</v>
      </c>
      <c r="U130" s="62">
        <f t="shared" si="16"/>
        <v>223</v>
      </c>
      <c r="V130" s="62">
        <f t="shared" si="16"/>
        <v>196</v>
      </c>
      <c r="W130" s="62">
        <f t="shared" si="16"/>
        <v>177</v>
      </c>
      <c r="X130" s="62">
        <f t="shared" si="16"/>
        <v>187</v>
      </c>
      <c r="Y130" s="62">
        <f t="shared" si="16"/>
        <v>183</v>
      </c>
      <c r="Z130" s="62">
        <f t="shared" si="16"/>
        <v>189</v>
      </c>
      <c r="AA130" s="62">
        <f t="shared" si="16"/>
        <v>193</v>
      </c>
      <c r="AB130" s="62">
        <f t="shared" si="16"/>
        <v>230</v>
      </c>
      <c r="AC130" s="62">
        <f t="shared" si="16"/>
        <v>234</v>
      </c>
      <c r="AD130" s="62">
        <f t="shared" si="16"/>
        <v>0</v>
      </c>
      <c r="AE130" s="62">
        <f t="shared" si="16"/>
        <v>0</v>
      </c>
      <c r="AF130" s="221">
        <f t="shared" si="16"/>
        <v>0</v>
      </c>
      <c r="AG130" s="22">
        <f t="shared" si="2"/>
        <v>5247</v>
      </c>
      <c r="AH130" s="77" t="str">
        <f>IF(AG130&lt;&gt;AG93,"*","")</f>
        <v/>
      </c>
    </row>
    <row r="131" spans="1:35" ht="15.75" customHeight="1" x14ac:dyDescent="0.25">
      <c r="A131" s="73" t="s">
        <v>78</v>
      </c>
      <c r="B131" s="13">
        <v>27</v>
      </c>
      <c r="C131" s="14">
        <v>36</v>
      </c>
      <c r="D131" s="14">
        <v>28</v>
      </c>
      <c r="E131" s="14">
        <v>29</v>
      </c>
      <c r="F131" s="14">
        <v>20</v>
      </c>
      <c r="G131" s="14">
        <v>29</v>
      </c>
      <c r="H131" s="14">
        <v>19</v>
      </c>
      <c r="I131" s="14">
        <v>32</v>
      </c>
      <c r="J131" s="14">
        <v>38</v>
      </c>
      <c r="K131" s="14">
        <v>52</v>
      </c>
      <c r="L131" s="14">
        <v>33</v>
      </c>
      <c r="M131" s="14">
        <v>56</v>
      </c>
      <c r="N131" s="14">
        <v>39</v>
      </c>
      <c r="O131" s="14">
        <v>29</v>
      </c>
      <c r="P131" s="14">
        <v>30</v>
      </c>
      <c r="Q131" s="14">
        <v>37</v>
      </c>
      <c r="R131" s="14">
        <v>23</v>
      </c>
      <c r="S131" s="14">
        <v>30</v>
      </c>
      <c r="T131" s="14">
        <v>40</v>
      </c>
      <c r="U131" s="14">
        <v>41</v>
      </c>
      <c r="V131" s="14">
        <v>30</v>
      </c>
      <c r="W131" s="14">
        <v>32</v>
      </c>
      <c r="X131" s="14">
        <v>47</v>
      </c>
      <c r="Y131" s="14">
        <v>32</v>
      </c>
      <c r="Z131" s="14">
        <v>41</v>
      </c>
      <c r="AA131" s="14">
        <v>30</v>
      </c>
      <c r="AB131" s="14">
        <v>44</v>
      </c>
      <c r="AC131" s="14">
        <v>45</v>
      </c>
      <c r="AD131" s="14"/>
      <c r="AE131" s="14"/>
      <c r="AF131" s="214"/>
      <c r="AG131" s="15">
        <f t="shared" si="2"/>
        <v>969</v>
      </c>
    </row>
    <row r="132" spans="1:35" ht="15.75" customHeight="1" x14ac:dyDescent="0.25">
      <c r="A132" s="73" t="s">
        <v>79</v>
      </c>
      <c r="B132" s="13">
        <v>10</v>
      </c>
      <c r="C132" s="14">
        <v>9</v>
      </c>
      <c r="D132" s="14">
        <v>3</v>
      </c>
      <c r="E132" s="14">
        <v>4</v>
      </c>
      <c r="F132" s="14">
        <v>3</v>
      </c>
      <c r="G132" s="14">
        <v>7</v>
      </c>
      <c r="H132" s="14">
        <v>2</v>
      </c>
      <c r="I132" s="14">
        <v>9</v>
      </c>
      <c r="J132" s="14">
        <v>6</v>
      </c>
      <c r="K132" s="14">
        <v>3</v>
      </c>
      <c r="L132" s="14">
        <v>9</v>
      </c>
      <c r="M132" s="14">
        <v>6</v>
      </c>
      <c r="N132" s="14">
        <v>13</v>
      </c>
      <c r="O132" s="14">
        <v>8</v>
      </c>
      <c r="P132" s="14">
        <v>7</v>
      </c>
      <c r="Q132" s="14">
        <v>8</v>
      </c>
      <c r="R132" s="14">
        <v>6</v>
      </c>
      <c r="S132" s="14">
        <v>6</v>
      </c>
      <c r="T132" s="14">
        <v>11</v>
      </c>
      <c r="U132" s="14">
        <v>9</v>
      </c>
      <c r="V132" s="14">
        <v>6</v>
      </c>
      <c r="W132" s="14">
        <v>6</v>
      </c>
      <c r="X132" s="14">
        <v>4</v>
      </c>
      <c r="Y132" s="14">
        <v>10</v>
      </c>
      <c r="Z132" s="14">
        <v>7</v>
      </c>
      <c r="AA132" s="14">
        <v>11</v>
      </c>
      <c r="AB132" s="14">
        <v>10</v>
      </c>
      <c r="AC132" s="14">
        <v>6</v>
      </c>
      <c r="AD132" s="14"/>
      <c r="AE132" s="14"/>
      <c r="AF132" s="214"/>
      <c r="AG132" s="15">
        <f t="shared" si="2"/>
        <v>199</v>
      </c>
    </row>
    <row r="133" spans="1:35" ht="15.75" customHeight="1" x14ac:dyDescent="0.25">
      <c r="A133" s="73" t="s">
        <v>80</v>
      </c>
      <c r="B133" s="13">
        <v>8</v>
      </c>
      <c r="C133" s="14">
        <v>3</v>
      </c>
      <c r="D133" s="14">
        <v>10</v>
      </c>
      <c r="E133" s="14">
        <v>11</v>
      </c>
      <c r="F133" s="14">
        <v>6</v>
      </c>
      <c r="G133" s="14">
        <v>5</v>
      </c>
      <c r="H133" s="14">
        <v>2</v>
      </c>
      <c r="I133" s="14">
        <v>15</v>
      </c>
      <c r="J133" s="14">
        <v>9</v>
      </c>
      <c r="K133" s="14">
        <v>3</v>
      </c>
      <c r="L133" s="14">
        <v>9</v>
      </c>
      <c r="M133" s="14">
        <v>13</v>
      </c>
      <c r="N133" s="14">
        <v>13</v>
      </c>
      <c r="O133" s="14">
        <v>8</v>
      </c>
      <c r="P133" s="14">
        <v>11</v>
      </c>
      <c r="Q133" s="14">
        <v>11</v>
      </c>
      <c r="R133" s="14">
        <v>6</v>
      </c>
      <c r="S133" s="14">
        <v>6</v>
      </c>
      <c r="T133" s="14">
        <v>11</v>
      </c>
      <c r="U133" s="14">
        <v>11</v>
      </c>
      <c r="V133" s="14">
        <v>11</v>
      </c>
      <c r="W133" s="14">
        <v>9</v>
      </c>
      <c r="X133" s="14">
        <v>7</v>
      </c>
      <c r="Y133" s="14">
        <v>9</v>
      </c>
      <c r="Z133" s="14">
        <v>7</v>
      </c>
      <c r="AA133" s="14">
        <v>12</v>
      </c>
      <c r="AB133" s="14">
        <v>11</v>
      </c>
      <c r="AC133" s="14">
        <v>11</v>
      </c>
      <c r="AD133" s="14"/>
      <c r="AE133" s="14"/>
      <c r="AF133" s="214"/>
      <c r="AG133" s="15">
        <f t="shared" si="2"/>
        <v>248</v>
      </c>
    </row>
    <row r="134" spans="1:35" ht="15.75" customHeight="1" x14ac:dyDescent="0.25">
      <c r="A134" s="73" t="s">
        <v>81</v>
      </c>
      <c r="B134" s="13">
        <v>14</v>
      </c>
      <c r="C134" s="14">
        <v>5</v>
      </c>
      <c r="D134" s="14">
        <v>8</v>
      </c>
      <c r="E134" s="14">
        <v>5</v>
      </c>
      <c r="F134" s="14">
        <v>3</v>
      </c>
      <c r="G134" s="14">
        <v>13</v>
      </c>
      <c r="H134" s="14">
        <v>5</v>
      </c>
      <c r="I134" s="14">
        <v>5</v>
      </c>
      <c r="J134" s="14">
        <v>9</v>
      </c>
      <c r="K134" s="14">
        <v>5</v>
      </c>
      <c r="L134" s="14">
        <v>6</v>
      </c>
      <c r="M134" s="14">
        <v>12</v>
      </c>
      <c r="N134" s="14">
        <v>10</v>
      </c>
      <c r="O134" s="14">
        <v>9</v>
      </c>
      <c r="P134" s="14">
        <v>13</v>
      </c>
      <c r="Q134" s="14">
        <v>7</v>
      </c>
      <c r="R134" s="14">
        <v>7</v>
      </c>
      <c r="S134" s="14">
        <v>4</v>
      </c>
      <c r="T134" s="14">
        <v>7</v>
      </c>
      <c r="U134" s="14">
        <v>9</v>
      </c>
      <c r="V134" s="14">
        <v>6</v>
      </c>
      <c r="W134" s="14">
        <v>7</v>
      </c>
      <c r="X134" s="14">
        <v>6</v>
      </c>
      <c r="Y134" s="14">
        <v>6</v>
      </c>
      <c r="Z134" s="14">
        <v>7</v>
      </c>
      <c r="AA134" s="14">
        <v>5</v>
      </c>
      <c r="AB134" s="14">
        <v>13</v>
      </c>
      <c r="AC134" s="14">
        <v>14</v>
      </c>
      <c r="AD134" s="14"/>
      <c r="AE134" s="14"/>
      <c r="AF134" s="214"/>
      <c r="AG134" s="15">
        <f t="shared" si="2"/>
        <v>220</v>
      </c>
    </row>
    <row r="135" spans="1:35" ht="15.75" customHeight="1" x14ac:dyDescent="0.25">
      <c r="A135" s="73" t="s">
        <v>82</v>
      </c>
      <c r="B135" s="13">
        <v>12</v>
      </c>
      <c r="C135" s="14">
        <v>6</v>
      </c>
      <c r="D135" s="14">
        <v>10</v>
      </c>
      <c r="E135" s="14">
        <v>10</v>
      </c>
      <c r="F135" s="14">
        <v>4</v>
      </c>
      <c r="G135" s="14">
        <v>5</v>
      </c>
      <c r="H135" s="14">
        <v>5</v>
      </c>
      <c r="I135" s="14">
        <v>7</v>
      </c>
      <c r="J135" s="14">
        <v>7</v>
      </c>
      <c r="K135" s="14">
        <v>4</v>
      </c>
      <c r="L135" s="14">
        <v>5</v>
      </c>
      <c r="M135" s="14">
        <v>17</v>
      </c>
      <c r="N135" s="14">
        <v>7</v>
      </c>
      <c r="O135" s="14">
        <v>9</v>
      </c>
      <c r="P135" s="14">
        <v>11</v>
      </c>
      <c r="Q135" s="14">
        <v>7</v>
      </c>
      <c r="R135" s="14">
        <v>13</v>
      </c>
      <c r="S135" s="14">
        <v>10</v>
      </c>
      <c r="T135" s="14">
        <v>11</v>
      </c>
      <c r="U135" s="14">
        <v>9</v>
      </c>
      <c r="V135" s="14">
        <v>14</v>
      </c>
      <c r="W135" s="14">
        <v>5</v>
      </c>
      <c r="X135" s="14">
        <v>6</v>
      </c>
      <c r="Y135" s="14">
        <v>10</v>
      </c>
      <c r="Z135" s="14">
        <v>9</v>
      </c>
      <c r="AA135" s="14">
        <v>6</v>
      </c>
      <c r="AB135" s="14">
        <v>14</v>
      </c>
      <c r="AC135" s="14">
        <v>11</v>
      </c>
      <c r="AD135" s="14"/>
      <c r="AE135" s="14"/>
      <c r="AF135" s="214"/>
      <c r="AG135" s="15">
        <f t="shared" si="2"/>
        <v>244</v>
      </c>
    </row>
    <row r="136" spans="1:35" ht="15.75" customHeight="1" x14ac:dyDescent="0.25">
      <c r="A136" s="73" t="s">
        <v>83</v>
      </c>
      <c r="B136" s="13">
        <v>87</v>
      </c>
      <c r="C136" s="14">
        <v>75</v>
      </c>
      <c r="D136" s="14">
        <v>80</v>
      </c>
      <c r="E136" s="14">
        <v>78</v>
      </c>
      <c r="F136" s="14">
        <v>128</v>
      </c>
      <c r="G136" s="14">
        <v>121</v>
      </c>
      <c r="H136" s="14">
        <v>35</v>
      </c>
      <c r="I136" s="14">
        <v>104</v>
      </c>
      <c r="J136" s="14">
        <v>98</v>
      </c>
      <c r="K136" s="14">
        <v>87</v>
      </c>
      <c r="L136" s="14">
        <v>87</v>
      </c>
      <c r="M136" s="14">
        <v>73</v>
      </c>
      <c r="N136" s="14">
        <v>114</v>
      </c>
      <c r="O136" s="14">
        <v>85</v>
      </c>
      <c r="P136" s="14">
        <v>104</v>
      </c>
      <c r="Q136" s="14">
        <v>85</v>
      </c>
      <c r="R136" s="14">
        <v>83</v>
      </c>
      <c r="S136" s="14">
        <v>88</v>
      </c>
      <c r="T136" s="14">
        <v>81</v>
      </c>
      <c r="U136" s="14">
        <v>98</v>
      </c>
      <c r="V136" s="14">
        <v>101</v>
      </c>
      <c r="W136" s="14">
        <v>85</v>
      </c>
      <c r="X136" s="14">
        <v>91</v>
      </c>
      <c r="Y136" s="14">
        <v>88</v>
      </c>
      <c r="Z136" s="14">
        <v>84</v>
      </c>
      <c r="AA136" s="14">
        <v>94</v>
      </c>
      <c r="AB136" s="14">
        <v>103</v>
      </c>
      <c r="AC136" s="14">
        <v>111</v>
      </c>
      <c r="AD136" s="14"/>
      <c r="AE136" s="14"/>
      <c r="AF136" s="214"/>
      <c r="AG136" s="15">
        <f t="shared" si="2"/>
        <v>2548</v>
      </c>
    </row>
    <row r="137" spans="1:35" ht="15.75" customHeight="1" x14ac:dyDescent="0.25">
      <c r="A137" s="73" t="s">
        <v>84</v>
      </c>
      <c r="B137" s="13">
        <v>3</v>
      </c>
      <c r="C137" s="14">
        <v>3</v>
      </c>
      <c r="D137" s="14">
        <v>3</v>
      </c>
      <c r="E137" s="14">
        <v>6</v>
      </c>
      <c r="F137" s="14">
        <v>3</v>
      </c>
      <c r="G137" s="14">
        <v>2</v>
      </c>
      <c r="H137" s="14">
        <v>3</v>
      </c>
      <c r="I137" s="14">
        <v>2</v>
      </c>
      <c r="J137" s="14">
        <v>5</v>
      </c>
      <c r="K137" s="14">
        <v>6</v>
      </c>
      <c r="L137" s="14">
        <v>8</v>
      </c>
      <c r="M137" s="14">
        <v>2</v>
      </c>
      <c r="N137" s="14">
        <v>4</v>
      </c>
      <c r="O137" s="14">
        <v>2</v>
      </c>
      <c r="P137" s="14">
        <v>1</v>
      </c>
      <c r="Q137" s="14">
        <v>5</v>
      </c>
      <c r="R137" s="14">
        <v>4</v>
      </c>
      <c r="S137" s="14">
        <v>4</v>
      </c>
      <c r="T137" s="14">
        <v>5</v>
      </c>
      <c r="U137" s="14">
        <v>4</v>
      </c>
      <c r="V137" s="14">
        <v>6</v>
      </c>
      <c r="W137" s="14">
        <v>6</v>
      </c>
      <c r="X137" s="14">
        <v>6</v>
      </c>
      <c r="Y137" s="14">
        <v>2</v>
      </c>
      <c r="Z137" s="14">
        <v>1</v>
      </c>
      <c r="AA137" s="14">
        <v>3</v>
      </c>
      <c r="AB137" s="14">
        <v>5</v>
      </c>
      <c r="AC137" s="14">
        <v>1</v>
      </c>
      <c r="AD137" s="14"/>
      <c r="AE137" s="14"/>
      <c r="AF137" s="214"/>
      <c r="AG137" s="15">
        <f t="shared" si="2"/>
        <v>105</v>
      </c>
    </row>
    <row r="138" spans="1:35" ht="15.75" customHeight="1" x14ac:dyDescent="0.25">
      <c r="A138" s="73" t="s">
        <v>85</v>
      </c>
      <c r="B138" s="13">
        <v>2</v>
      </c>
      <c r="C138" s="14">
        <v>0</v>
      </c>
      <c r="D138" s="14">
        <v>0</v>
      </c>
      <c r="E138" s="14">
        <v>1</v>
      </c>
      <c r="F138" s="14">
        <v>1</v>
      </c>
      <c r="G138" s="14">
        <v>2</v>
      </c>
      <c r="H138" s="14">
        <v>1</v>
      </c>
      <c r="I138" s="14">
        <v>1</v>
      </c>
      <c r="J138" s="14">
        <v>3</v>
      </c>
      <c r="K138" s="14">
        <v>2</v>
      </c>
      <c r="L138" s="14">
        <v>5</v>
      </c>
      <c r="M138" s="14">
        <v>6</v>
      </c>
      <c r="N138" s="14">
        <v>1</v>
      </c>
      <c r="O138" s="14">
        <v>1</v>
      </c>
      <c r="P138" s="14">
        <v>1</v>
      </c>
      <c r="Q138" s="14">
        <v>2</v>
      </c>
      <c r="R138" s="14">
        <v>0</v>
      </c>
      <c r="S138" s="14">
        <v>2</v>
      </c>
      <c r="T138" s="14">
        <v>2</v>
      </c>
      <c r="U138" s="14">
        <v>3</v>
      </c>
      <c r="V138" s="14">
        <v>0</v>
      </c>
      <c r="W138" s="14">
        <v>3</v>
      </c>
      <c r="X138" s="14">
        <v>2</v>
      </c>
      <c r="Y138" s="14">
        <v>3</v>
      </c>
      <c r="Z138" s="14"/>
      <c r="AA138" s="14">
        <v>4</v>
      </c>
      <c r="AB138" s="14">
        <v>3</v>
      </c>
      <c r="AC138" s="14">
        <v>4</v>
      </c>
      <c r="AD138" s="14"/>
      <c r="AE138" s="14"/>
      <c r="AF138" s="214"/>
      <c r="AG138" s="15">
        <f t="shared" si="2"/>
        <v>55</v>
      </c>
    </row>
    <row r="139" spans="1:35" ht="15.75" customHeight="1" x14ac:dyDescent="0.25">
      <c r="A139" s="12" t="s">
        <v>86</v>
      </c>
      <c r="B139" s="13">
        <v>5</v>
      </c>
      <c r="C139" s="14">
        <v>3</v>
      </c>
      <c r="D139" s="14">
        <v>2</v>
      </c>
      <c r="E139" s="14">
        <v>0</v>
      </c>
      <c r="F139" s="14">
        <v>3</v>
      </c>
      <c r="G139" s="14">
        <v>3</v>
      </c>
      <c r="H139" s="14">
        <v>0</v>
      </c>
      <c r="I139" s="14">
        <v>0</v>
      </c>
      <c r="J139" s="14">
        <v>2</v>
      </c>
      <c r="K139" s="14">
        <v>3</v>
      </c>
      <c r="L139" s="14">
        <v>2</v>
      </c>
      <c r="M139" s="14">
        <v>2</v>
      </c>
      <c r="N139" s="14">
        <v>3</v>
      </c>
      <c r="O139" s="14">
        <v>0</v>
      </c>
      <c r="P139" s="14">
        <v>5</v>
      </c>
      <c r="Q139" s="14">
        <v>3</v>
      </c>
      <c r="R139" s="14">
        <v>3</v>
      </c>
      <c r="S139" s="14">
        <v>1</v>
      </c>
      <c r="T139" s="14">
        <v>4</v>
      </c>
      <c r="U139" s="14">
        <v>9</v>
      </c>
      <c r="V139" s="14">
        <v>3</v>
      </c>
      <c r="W139" s="14">
        <v>1</v>
      </c>
      <c r="X139" s="14">
        <v>2</v>
      </c>
      <c r="Y139" s="14">
        <v>4</v>
      </c>
      <c r="Z139" s="14">
        <v>4</v>
      </c>
      <c r="AA139" s="14">
        <v>3</v>
      </c>
      <c r="AB139" s="14">
        <v>3</v>
      </c>
      <c r="AC139" s="14">
        <v>4</v>
      </c>
      <c r="AD139" s="14"/>
      <c r="AE139" s="14"/>
      <c r="AF139" s="214"/>
      <c r="AG139" s="15">
        <f t="shared" si="2"/>
        <v>77</v>
      </c>
    </row>
    <row r="140" spans="1:35" ht="15.75" customHeight="1" x14ac:dyDescent="0.25">
      <c r="A140" s="12" t="s">
        <v>87</v>
      </c>
      <c r="B140" s="13">
        <v>0</v>
      </c>
      <c r="C140" s="14">
        <v>3</v>
      </c>
      <c r="D140" s="14">
        <v>0</v>
      </c>
      <c r="E140" s="14">
        <v>2</v>
      </c>
      <c r="F140" s="14">
        <v>3</v>
      </c>
      <c r="G140" s="14">
        <v>2</v>
      </c>
      <c r="H140" s="14">
        <v>0</v>
      </c>
      <c r="I140" s="14">
        <v>3</v>
      </c>
      <c r="J140" s="14">
        <v>2</v>
      </c>
      <c r="K140" s="14">
        <v>2</v>
      </c>
      <c r="L140" s="14">
        <v>1</v>
      </c>
      <c r="M140" s="14">
        <v>1</v>
      </c>
      <c r="N140" s="14">
        <v>0</v>
      </c>
      <c r="O140" s="14">
        <v>1</v>
      </c>
      <c r="P140" s="14">
        <v>1</v>
      </c>
      <c r="Q140" s="14">
        <v>2</v>
      </c>
      <c r="R140" s="14">
        <v>0</v>
      </c>
      <c r="S140" s="14">
        <v>0</v>
      </c>
      <c r="T140" s="14">
        <v>1</v>
      </c>
      <c r="U140" s="14">
        <v>1</v>
      </c>
      <c r="V140" s="14">
        <v>1</v>
      </c>
      <c r="W140" s="14">
        <v>3</v>
      </c>
      <c r="X140" s="14">
        <v>2</v>
      </c>
      <c r="Y140" s="14">
        <v>3</v>
      </c>
      <c r="Z140" s="14">
        <v>5</v>
      </c>
      <c r="AA140" s="14">
        <v>2</v>
      </c>
      <c r="AB140" s="14">
        <v>0</v>
      </c>
      <c r="AC140" s="14"/>
      <c r="AD140" s="14"/>
      <c r="AE140" s="14"/>
      <c r="AF140" s="214"/>
      <c r="AG140" s="15">
        <f t="shared" si="2"/>
        <v>41</v>
      </c>
    </row>
    <row r="141" spans="1:35" ht="15.75" customHeight="1" x14ac:dyDescent="0.25">
      <c r="A141" s="12" t="s">
        <v>88</v>
      </c>
      <c r="B141" s="13">
        <v>1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1</v>
      </c>
      <c r="K141" s="14">
        <v>0</v>
      </c>
      <c r="L141" s="14">
        <v>0</v>
      </c>
      <c r="M141" s="14">
        <v>1</v>
      </c>
      <c r="N141" s="14">
        <v>0</v>
      </c>
      <c r="O141" s="14">
        <v>0</v>
      </c>
      <c r="P141" s="14">
        <v>1</v>
      </c>
      <c r="Q141" s="14">
        <v>0</v>
      </c>
      <c r="R141" s="14">
        <v>0</v>
      </c>
      <c r="S141" s="14">
        <v>1</v>
      </c>
      <c r="T141" s="14">
        <v>1</v>
      </c>
      <c r="U141" s="14">
        <v>0</v>
      </c>
      <c r="V141" s="14">
        <v>2</v>
      </c>
      <c r="W141" s="14">
        <v>0</v>
      </c>
      <c r="X141" s="14"/>
      <c r="Y141" s="14">
        <v>0</v>
      </c>
      <c r="Z141" s="14">
        <v>0</v>
      </c>
      <c r="AA141" s="14">
        <v>0</v>
      </c>
      <c r="AB141" s="14">
        <v>3</v>
      </c>
      <c r="AC141" s="14"/>
      <c r="AD141" s="14"/>
      <c r="AE141" s="14"/>
      <c r="AF141" s="214"/>
      <c r="AG141" s="15">
        <f t="shared" si="2"/>
        <v>11</v>
      </c>
    </row>
    <row r="142" spans="1:35" ht="15.75" customHeight="1" x14ac:dyDescent="0.25">
      <c r="A142" s="73" t="s">
        <v>89</v>
      </c>
      <c r="B142" s="13">
        <f>6+3</f>
        <v>9</v>
      </c>
      <c r="C142" s="14">
        <v>8</v>
      </c>
      <c r="D142" s="14">
        <v>6</v>
      </c>
      <c r="E142" s="14">
        <v>4</v>
      </c>
      <c r="F142" s="14">
        <v>5</v>
      </c>
      <c r="G142" s="14">
        <v>3</v>
      </c>
      <c r="H142" s="14">
        <v>1</v>
      </c>
      <c r="I142" s="14">
        <v>5</v>
      </c>
      <c r="J142" s="14">
        <v>8</v>
      </c>
      <c r="K142" s="14">
        <v>8</v>
      </c>
      <c r="L142" s="14">
        <v>4</v>
      </c>
      <c r="M142" s="14">
        <v>7</v>
      </c>
      <c r="N142" s="14">
        <v>9</v>
      </c>
      <c r="O142" s="14">
        <v>9</v>
      </c>
      <c r="P142" s="14">
        <v>9</v>
      </c>
      <c r="Q142" s="14">
        <v>7</v>
      </c>
      <c r="R142" s="14">
        <v>6</v>
      </c>
      <c r="S142" s="14">
        <v>3</v>
      </c>
      <c r="T142" s="14">
        <v>7</v>
      </c>
      <c r="U142" s="14">
        <v>16</v>
      </c>
      <c r="V142" s="14">
        <v>4</v>
      </c>
      <c r="W142" s="14">
        <v>8</v>
      </c>
      <c r="X142" s="14">
        <v>4</v>
      </c>
      <c r="Y142" s="14">
        <v>6</v>
      </c>
      <c r="Z142" s="14">
        <v>8</v>
      </c>
      <c r="AA142" s="14">
        <v>7</v>
      </c>
      <c r="AB142" s="14">
        <v>9</v>
      </c>
      <c r="AC142" s="14">
        <v>11</v>
      </c>
      <c r="AD142" s="14"/>
      <c r="AE142" s="14"/>
      <c r="AF142" s="214"/>
      <c r="AG142" s="15">
        <f t="shared" si="2"/>
        <v>191</v>
      </c>
    </row>
    <row r="143" spans="1:35" ht="15.75" customHeight="1" x14ac:dyDescent="0.25">
      <c r="A143" s="74" t="s">
        <v>90</v>
      </c>
      <c r="B143" s="75">
        <v>12</v>
      </c>
      <c r="C143" s="76">
        <v>11</v>
      </c>
      <c r="D143" s="76">
        <v>9</v>
      </c>
      <c r="E143" s="76">
        <v>14</v>
      </c>
      <c r="F143" s="76">
        <v>14</v>
      </c>
      <c r="G143" s="76">
        <v>16</v>
      </c>
      <c r="H143" s="76">
        <v>5</v>
      </c>
      <c r="I143" s="76">
        <v>14</v>
      </c>
      <c r="J143" s="76">
        <v>7</v>
      </c>
      <c r="K143" s="76">
        <v>11</v>
      </c>
      <c r="L143" s="76">
        <v>12</v>
      </c>
      <c r="M143" s="76">
        <v>13</v>
      </c>
      <c r="N143" s="76">
        <v>12</v>
      </c>
      <c r="O143" s="76">
        <v>10</v>
      </c>
      <c r="P143" s="76">
        <v>9</v>
      </c>
      <c r="Q143" s="76">
        <v>16</v>
      </c>
      <c r="R143" s="76">
        <v>12</v>
      </c>
      <c r="S143" s="76">
        <v>16</v>
      </c>
      <c r="T143" s="76">
        <v>9</v>
      </c>
      <c r="U143" s="76">
        <v>13</v>
      </c>
      <c r="V143" s="76">
        <v>12</v>
      </c>
      <c r="W143" s="76">
        <v>12</v>
      </c>
      <c r="X143" s="76">
        <v>10</v>
      </c>
      <c r="Y143" s="76">
        <v>10</v>
      </c>
      <c r="Z143" s="76">
        <v>16</v>
      </c>
      <c r="AA143" s="76">
        <v>16</v>
      </c>
      <c r="AB143" s="76">
        <v>12</v>
      </c>
      <c r="AC143" s="76">
        <v>16</v>
      </c>
      <c r="AD143" s="76"/>
      <c r="AE143" s="76"/>
      <c r="AF143" s="225"/>
      <c r="AG143" s="26">
        <f t="shared" si="2"/>
        <v>339</v>
      </c>
    </row>
    <row r="144" spans="1:35" ht="15.75" customHeight="1" x14ac:dyDescent="0.25">
      <c r="A144" s="41" t="s">
        <v>92</v>
      </c>
      <c r="B144" s="42">
        <f t="shared" ref="B144:AF144" si="17">+B146+B156+B158+B167</f>
        <v>190</v>
      </c>
      <c r="C144" s="43">
        <f t="shared" si="17"/>
        <v>162</v>
      </c>
      <c r="D144" s="43">
        <f t="shared" si="17"/>
        <v>159</v>
      </c>
      <c r="E144" s="43">
        <f t="shared" si="17"/>
        <v>164</v>
      </c>
      <c r="F144" s="43">
        <f t="shared" si="17"/>
        <v>193</v>
      </c>
      <c r="G144" s="43">
        <f t="shared" si="17"/>
        <v>208</v>
      </c>
      <c r="H144" s="43">
        <f t="shared" si="17"/>
        <v>78</v>
      </c>
      <c r="I144" s="43">
        <f t="shared" si="17"/>
        <v>197</v>
      </c>
      <c r="J144" s="43">
        <f t="shared" si="17"/>
        <v>195</v>
      </c>
      <c r="K144" s="43">
        <f t="shared" si="17"/>
        <v>186</v>
      </c>
      <c r="L144" s="43">
        <f t="shared" si="17"/>
        <v>181</v>
      </c>
      <c r="M144" s="43">
        <f t="shared" si="17"/>
        <v>209</v>
      </c>
      <c r="N144" s="43">
        <f t="shared" si="17"/>
        <v>225</v>
      </c>
      <c r="O144" s="43">
        <f t="shared" si="17"/>
        <v>171</v>
      </c>
      <c r="P144" s="43">
        <f t="shared" si="17"/>
        <v>203</v>
      </c>
      <c r="Q144" s="43">
        <f t="shared" si="17"/>
        <v>190</v>
      </c>
      <c r="R144" s="43">
        <f t="shared" si="17"/>
        <v>163</v>
      </c>
      <c r="S144" s="43">
        <f t="shared" si="17"/>
        <v>171</v>
      </c>
      <c r="T144" s="43">
        <f t="shared" si="17"/>
        <v>190</v>
      </c>
      <c r="U144" s="43">
        <f t="shared" si="17"/>
        <v>223</v>
      </c>
      <c r="V144" s="43">
        <f t="shared" si="17"/>
        <v>196</v>
      </c>
      <c r="W144" s="43">
        <f t="shared" si="17"/>
        <v>177</v>
      </c>
      <c r="X144" s="43">
        <f t="shared" si="17"/>
        <v>187</v>
      </c>
      <c r="Y144" s="43">
        <f t="shared" si="17"/>
        <v>183</v>
      </c>
      <c r="Z144" s="43">
        <f t="shared" si="17"/>
        <v>189</v>
      </c>
      <c r="AA144" s="43">
        <f t="shared" si="17"/>
        <v>193</v>
      </c>
      <c r="AB144" s="43">
        <f t="shared" si="17"/>
        <v>230</v>
      </c>
      <c r="AC144" s="43">
        <f t="shared" si="17"/>
        <v>234</v>
      </c>
      <c r="AD144" s="43">
        <f t="shared" si="17"/>
        <v>0</v>
      </c>
      <c r="AE144" s="43">
        <f t="shared" si="17"/>
        <v>0</v>
      </c>
      <c r="AF144" s="43">
        <f t="shared" si="17"/>
        <v>0</v>
      </c>
      <c r="AG144" s="27">
        <f t="shared" si="2"/>
        <v>5247</v>
      </c>
      <c r="AH144" s="78" t="str">
        <f>IF(AG144&lt;&gt;AG93,"*","")</f>
        <v/>
      </c>
      <c r="AI144" s="79" t="s">
        <v>93</v>
      </c>
    </row>
    <row r="145" spans="1:35" ht="15.75" customHeight="1" x14ac:dyDescent="0.25">
      <c r="A145" s="80" t="s">
        <v>44</v>
      </c>
      <c r="B145" s="81">
        <f t="shared" ref="B145:AF145" si="18">+B149+B155+B157+B172</f>
        <v>38</v>
      </c>
      <c r="C145" s="82">
        <f t="shared" si="18"/>
        <v>19</v>
      </c>
      <c r="D145" s="82">
        <f t="shared" si="18"/>
        <v>15</v>
      </c>
      <c r="E145" s="82">
        <f t="shared" si="18"/>
        <v>2</v>
      </c>
      <c r="F145" s="82">
        <f t="shared" si="18"/>
        <v>1</v>
      </c>
      <c r="G145" s="82">
        <f t="shared" si="18"/>
        <v>35</v>
      </c>
      <c r="H145" s="82">
        <f t="shared" si="18"/>
        <v>4</v>
      </c>
      <c r="I145" s="82">
        <f t="shared" si="18"/>
        <v>30</v>
      </c>
      <c r="J145" s="82">
        <f t="shared" si="18"/>
        <v>9</v>
      </c>
      <c r="K145" s="82">
        <f t="shared" si="18"/>
        <v>15</v>
      </c>
      <c r="L145" s="82">
        <f t="shared" si="18"/>
        <v>5</v>
      </c>
      <c r="M145" s="82">
        <f t="shared" si="18"/>
        <v>3</v>
      </c>
      <c r="N145" s="82">
        <f t="shared" si="18"/>
        <v>13</v>
      </c>
      <c r="O145" s="82">
        <f t="shared" si="18"/>
        <v>3</v>
      </c>
      <c r="P145" s="82">
        <f t="shared" si="18"/>
        <v>15</v>
      </c>
      <c r="Q145" s="82">
        <f t="shared" si="18"/>
        <v>6</v>
      </c>
      <c r="R145" s="82">
        <f t="shared" si="18"/>
        <v>4</v>
      </c>
      <c r="S145" s="82">
        <f t="shared" si="18"/>
        <v>1</v>
      </c>
      <c r="T145" s="82">
        <f t="shared" si="18"/>
        <v>3</v>
      </c>
      <c r="U145" s="82">
        <f t="shared" si="18"/>
        <v>43</v>
      </c>
      <c r="V145" s="82">
        <f t="shared" si="18"/>
        <v>28</v>
      </c>
      <c r="W145" s="82">
        <f t="shared" si="18"/>
        <v>37</v>
      </c>
      <c r="X145" s="82">
        <f t="shared" si="18"/>
        <v>8</v>
      </c>
      <c r="Y145" s="82">
        <f t="shared" si="18"/>
        <v>14</v>
      </c>
      <c r="Z145" s="82">
        <f t="shared" si="18"/>
        <v>8</v>
      </c>
      <c r="AA145" s="82">
        <f t="shared" si="18"/>
        <v>2</v>
      </c>
      <c r="AB145" s="82">
        <f t="shared" si="18"/>
        <v>9</v>
      </c>
      <c r="AC145" s="82">
        <f t="shared" si="18"/>
        <v>26</v>
      </c>
      <c r="AD145" s="82">
        <f t="shared" si="18"/>
        <v>0</v>
      </c>
      <c r="AE145" s="82">
        <f t="shared" si="18"/>
        <v>0</v>
      </c>
      <c r="AF145" s="226">
        <f t="shared" si="18"/>
        <v>0</v>
      </c>
      <c r="AG145" s="83">
        <f t="shared" si="2"/>
        <v>396</v>
      </c>
      <c r="AH145" s="77"/>
    </row>
    <row r="146" spans="1:35" ht="15.75" customHeight="1" x14ac:dyDescent="0.25">
      <c r="A146" s="84" t="s">
        <v>94</v>
      </c>
      <c r="B146" s="85">
        <f t="shared" ref="B146:AG146" si="19">+B148+B154</f>
        <v>0</v>
      </c>
      <c r="C146" s="86">
        <f t="shared" si="19"/>
        <v>0</v>
      </c>
      <c r="D146" s="86">
        <f t="shared" si="19"/>
        <v>0</v>
      </c>
      <c r="E146" s="86">
        <f t="shared" si="19"/>
        <v>0</v>
      </c>
      <c r="F146" s="86">
        <f t="shared" si="19"/>
        <v>0</v>
      </c>
      <c r="G146" s="86">
        <f t="shared" si="19"/>
        <v>0</v>
      </c>
      <c r="H146" s="86">
        <f t="shared" si="19"/>
        <v>0</v>
      </c>
      <c r="I146" s="86">
        <f t="shared" si="19"/>
        <v>0</v>
      </c>
      <c r="J146" s="86">
        <f t="shared" si="19"/>
        <v>0</v>
      </c>
      <c r="K146" s="86">
        <f t="shared" si="19"/>
        <v>0</v>
      </c>
      <c r="L146" s="86">
        <f t="shared" si="19"/>
        <v>0</v>
      </c>
      <c r="M146" s="86">
        <f t="shared" si="19"/>
        <v>0</v>
      </c>
      <c r="N146" s="86">
        <f t="shared" si="19"/>
        <v>0</v>
      </c>
      <c r="O146" s="86">
        <f t="shared" si="19"/>
        <v>0</v>
      </c>
      <c r="P146" s="86">
        <f t="shared" si="19"/>
        <v>0</v>
      </c>
      <c r="Q146" s="86">
        <f t="shared" si="19"/>
        <v>0</v>
      </c>
      <c r="R146" s="86">
        <f t="shared" si="19"/>
        <v>0</v>
      </c>
      <c r="S146" s="86">
        <f t="shared" si="19"/>
        <v>0</v>
      </c>
      <c r="T146" s="86">
        <f t="shared" si="19"/>
        <v>0</v>
      </c>
      <c r="U146" s="86">
        <f t="shared" si="19"/>
        <v>0</v>
      </c>
      <c r="V146" s="86">
        <f t="shared" si="19"/>
        <v>0</v>
      </c>
      <c r="W146" s="86">
        <f t="shared" si="19"/>
        <v>0</v>
      </c>
      <c r="X146" s="86">
        <f t="shared" si="19"/>
        <v>0</v>
      </c>
      <c r="Y146" s="86">
        <f t="shared" si="19"/>
        <v>0</v>
      </c>
      <c r="Z146" s="86">
        <f t="shared" si="19"/>
        <v>0</v>
      </c>
      <c r="AA146" s="86">
        <f t="shared" si="19"/>
        <v>0</v>
      </c>
      <c r="AB146" s="86">
        <f t="shared" si="19"/>
        <v>0</v>
      </c>
      <c r="AC146" s="86">
        <f t="shared" si="19"/>
        <v>0</v>
      </c>
      <c r="AD146" s="86">
        <f t="shared" si="19"/>
        <v>0</v>
      </c>
      <c r="AE146" s="86">
        <f t="shared" si="19"/>
        <v>0</v>
      </c>
      <c r="AF146" s="227">
        <f t="shared" si="19"/>
        <v>0</v>
      </c>
      <c r="AG146" s="87">
        <f t="shared" si="19"/>
        <v>0</v>
      </c>
    </row>
    <row r="147" spans="1:35" ht="15.75" customHeight="1" x14ac:dyDescent="0.25">
      <c r="A147" s="88" t="s">
        <v>95</v>
      </c>
      <c r="B147" s="89">
        <f t="shared" ref="B147:AE147" si="20">+B149+B155</f>
        <v>0</v>
      </c>
      <c r="C147" s="90">
        <f t="shared" si="20"/>
        <v>0</v>
      </c>
      <c r="D147" s="90">
        <f t="shared" si="20"/>
        <v>0</v>
      </c>
      <c r="E147" s="90">
        <f t="shared" si="20"/>
        <v>0</v>
      </c>
      <c r="F147" s="90">
        <f t="shared" si="20"/>
        <v>0</v>
      </c>
      <c r="G147" s="90">
        <f t="shared" si="20"/>
        <v>0</v>
      </c>
      <c r="H147" s="90">
        <f t="shared" si="20"/>
        <v>0</v>
      </c>
      <c r="I147" s="90">
        <f t="shared" si="20"/>
        <v>0</v>
      </c>
      <c r="J147" s="90">
        <f t="shared" si="20"/>
        <v>0</v>
      </c>
      <c r="K147" s="90">
        <f t="shared" si="20"/>
        <v>0</v>
      </c>
      <c r="L147" s="90">
        <f t="shared" si="20"/>
        <v>0</v>
      </c>
      <c r="M147" s="90">
        <f t="shared" si="20"/>
        <v>0</v>
      </c>
      <c r="N147" s="90">
        <f t="shared" si="20"/>
        <v>0</v>
      </c>
      <c r="O147" s="90">
        <f t="shared" si="20"/>
        <v>0</v>
      </c>
      <c r="P147" s="90">
        <f t="shared" si="20"/>
        <v>0</v>
      </c>
      <c r="Q147" s="90">
        <f t="shared" si="20"/>
        <v>0</v>
      </c>
      <c r="R147" s="90">
        <f t="shared" si="20"/>
        <v>0</v>
      </c>
      <c r="S147" s="90">
        <f t="shared" si="20"/>
        <v>0</v>
      </c>
      <c r="T147" s="90">
        <f t="shared" si="20"/>
        <v>0</v>
      </c>
      <c r="U147" s="90">
        <f t="shared" si="20"/>
        <v>0</v>
      </c>
      <c r="V147" s="90">
        <f t="shared" si="20"/>
        <v>0</v>
      </c>
      <c r="W147" s="90">
        <f t="shared" si="20"/>
        <v>0</v>
      </c>
      <c r="X147" s="90">
        <f t="shared" si="20"/>
        <v>0</v>
      </c>
      <c r="Y147" s="90">
        <f t="shared" si="20"/>
        <v>0</v>
      </c>
      <c r="Z147" s="90">
        <f t="shared" si="20"/>
        <v>0</v>
      </c>
      <c r="AA147" s="90">
        <f t="shared" si="20"/>
        <v>0</v>
      </c>
      <c r="AB147" s="90">
        <f t="shared" si="20"/>
        <v>0</v>
      </c>
      <c r="AC147" s="90">
        <f t="shared" si="20"/>
        <v>0</v>
      </c>
      <c r="AD147" s="90">
        <f t="shared" si="20"/>
        <v>0</v>
      </c>
      <c r="AE147" s="90">
        <f t="shared" si="20"/>
        <v>0</v>
      </c>
      <c r="AF147" s="228"/>
      <c r="AG147" s="91">
        <f t="shared" ref="AG147:AG226" si="21">SUM(B147:AF147)</f>
        <v>0</v>
      </c>
    </row>
    <row r="148" spans="1:35" ht="15.75" customHeight="1" x14ac:dyDescent="0.25">
      <c r="A148" s="92" t="s">
        <v>96</v>
      </c>
      <c r="B148" s="93">
        <f t="shared" ref="B148:AF148" si="22">SUM(B150:B153)</f>
        <v>0</v>
      </c>
      <c r="C148" s="94">
        <f t="shared" si="22"/>
        <v>0</v>
      </c>
      <c r="D148" s="94">
        <f t="shared" si="22"/>
        <v>0</v>
      </c>
      <c r="E148" s="94">
        <f t="shared" si="22"/>
        <v>0</v>
      </c>
      <c r="F148" s="94">
        <f t="shared" si="22"/>
        <v>0</v>
      </c>
      <c r="G148" s="94">
        <f t="shared" si="22"/>
        <v>0</v>
      </c>
      <c r="H148" s="94">
        <f t="shared" si="22"/>
        <v>0</v>
      </c>
      <c r="I148" s="94">
        <f t="shared" si="22"/>
        <v>0</v>
      </c>
      <c r="J148" s="94">
        <f t="shared" si="22"/>
        <v>0</v>
      </c>
      <c r="K148" s="94">
        <f t="shared" si="22"/>
        <v>0</v>
      </c>
      <c r="L148" s="94">
        <f t="shared" si="22"/>
        <v>0</v>
      </c>
      <c r="M148" s="94">
        <f t="shared" si="22"/>
        <v>0</v>
      </c>
      <c r="N148" s="94">
        <f t="shared" si="22"/>
        <v>0</v>
      </c>
      <c r="O148" s="94">
        <f t="shared" si="22"/>
        <v>0</v>
      </c>
      <c r="P148" s="94">
        <f t="shared" si="22"/>
        <v>0</v>
      </c>
      <c r="Q148" s="94">
        <f t="shared" si="22"/>
        <v>0</v>
      </c>
      <c r="R148" s="94">
        <f t="shared" si="22"/>
        <v>0</v>
      </c>
      <c r="S148" s="94">
        <f t="shared" si="22"/>
        <v>0</v>
      </c>
      <c r="T148" s="94">
        <f t="shared" si="22"/>
        <v>0</v>
      </c>
      <c r="U148" s="94">
        <f t="shared" si="22"/>
        <v>0</v>
      </c>
      <c r="V148" s="94">
        <f t="shared" si="22"/>
        <v>0</v>
      </c>
      <c r="W148" s="94">
        <f t="shared" si="22"/>
        <v>0</v>
      </c>
      <c r="X148" s="94">
        <f t="shared" si="22"/>
        <v>0</v>
      </c>
      <c r="Y148" s="94">
        <f t="shared" si="22"/>
        <v>0</v>
      </c>
      <c r="Z148" s="94">
        <f t="shared" si="22"/>
        <v>0</v>
      </c>
      <c r="AA148" s="94">
        <f t="shared" si="22"/>
        <v>0</v>
      </c>
      <c r="AB148" s="94">
        <f t="shared" si="22"/>
        <v>0</v>
      </c>
      <c r="AC148" s="94">
        <f t="shared" si="22"/>
        <v>0</v>
      </c>
      <c r="AD148" s="94">
        <f t="shared" si="22"/>
        <v>0</v>
      </c>
      <c r="AE148" s="94">
        <f t="shared" si="22"/>
        <v>0</v>
      </c>
      <c r="AF148" s="229">
        <f t="shared" si="22"/>
        <v>0</v>
      </c>
      <c r="AG148" s="95">
        <f t="shared" si="21"/>
        <v>0</v>
      </c>
    </row>
    <row r="149" spans="1:35" ht="15.75" customHeight="1" x14ac:dyDescent="0.25">
      <c r="A149" s="88" t="s">
        <v>97</v>
      </c>
      <c r="B149" s="89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228"/>
      <c r="AG149" s="91">
        <f t="shared" si="21"/>
        <v>0</v>
      </c>
    </row>
    <row r="150" spans="1:35" ht="15.75" customHeight="1" x14ac:dyDescent="0.25">
      <c r="A150" s="96" t="s">
        <v>98</v>
      </c>
      <c r="B150" s="97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230"/>
      <c r="AG150" s="11">
        <f t="shared" si="21"/>
        <v>0</v>
      </c>
      <c r="AI150" s="99"/>
    </row>
    <row r="151" spans="1:35" ht="15.75" customHeight="1" x14ac:dyDescent="0.25">
      <c r="A151" s="100" t="s">
        <v>99</v>
      </c>
      <c r="B151" s="101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231"/>
      <c r="AG151" s="15">
        <f t="shared" si="21"/>
        <v>0</v>
      </c>
      <c r="AI151" s="99"/>
    </row>
    <row r="152" spans="1:35" ht="15.75" customHeight="1" x14ac:dyDescent="0.25">
      <c r="A152" s="100" t="s">
        <v>100</v>
      </c>
      <c r="B152" s="101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231"/>
      <c r="AG152" s="15">
        <f t="shared" si="21"/>
        <v>0</v>
      </c>
    </row>
    <row r="153" spans="1:35" ht="15.75" customHeight="1" x14ac:dyDescent="0.25">
      <c r="A153" s="103" t="s">
        <v>101</v>
      </c>
      <c r="B153" s="104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232"/>
      <c r="AG153" s="106">
        <f t="shared" si="21"/>
        <v>0</v>
      </c>
    </row>
    <row r="154" spans="1:35" ht="15.75" customHeight="1" x14ac:dyDescent="0.25">
      <c r="A154" s="92" t="s">
        <v>102</v>
      </c>
      <c r="B154" s="93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229"/>
      <c r="AG154" s="95">
        <f t="shared" si="21"/>
        <v>0</v>
      </c>
    </row>
    <row r="155" spans="1:35" ht="15.75" customHeight="1" x14ac:dyDescent="0.25">
      <c r="A155" s="88" t="s">
        <v>103</v>
      </c>
      <c r="B155" s="89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228"/>
      <c r="AG155" s="91">
        <f t="shared" si="21"/>
        <v>0</v>
      </c>
    </row>
    <row r="156" spans="1:35" ht="15.75" customHeight="1" x14ac:dyDescent="0.25">
      <c r="A156" s="107" t="s">
        <v>104</v>
      </c>
      <c r="B156" s="108">
        <v>190</v>
      </c>
      <c r="C156" s="109">
        <v>162</v>
      </c>
      <c r="D156" s="109">
        <v>159</v>
      </c>
      <c r="E156" s="109">
        <v>164</v>
      </c>
      <c r="F156" s="109">
        <v>193</v>
      </c>
      <c r="G156" s="109">
        <v>208</v>
      </c>
      <c r="H156" s="109">
        <v>78</v>
      </c>
      <c r="I156" s="109">
        <v>197</v>
      </c>
      <c r="J156" s="109">
        <v>195</v>
      </c>
      <c r="K156" s="109">
        <v>186</v>
      </c>
      <c r="L156" s="109">
        <v>181</v>
      </c>
      <c r="M156" s="109">
        <v>209</v>
      </c>
      <c r="N156" s="109">
        <v>225</v>
      </c>
      <c r="O156" s="109">
        <v>171</v>
      </c>
      <c r="P156" s="109">
        <v>203</v>
      </c>
      <c r="Q156" s="109">
        <v>190</v>
      </c>
      <c r="R156" s="109">
        <v>163</v>
      </c>
      <c r="S156" s="109">
        <v>171</v>
      </c>
      <c r="T156" s="109">
        <v>190</v>
      </c>
      <c r="U156" s="109">
        <v>223</v>
      </c>
      <c r="V156" s="109">
        <v>196</v>
      </c>
      <c r="W156" s="109">
        <v>177</v>
      </c>
      <c r="X156" s="109">
        <v>187</v>
      </c>
      <c r="Y156" s="109">
        <v>183</v>
      </c>
      <c r="Z156" s="109">
        <v>189</v>
      </c>
      <c r="AA156" s="109">
        <v>193</v>
      </c>
      <c r="AB156" s="109">
        <v>230</v>
      </c>
      <c r="AC156" s="109">
        <v>234</v>
      </c>
      <c r="AD156" s="109"/>
      <c r="AE156" s="109"/>
      <c r="AF156" s="233"/>
      <c r="AG156" s="110">
        <f t="shared" si="21"/>
        <v>5247</v>
      </c>
      <c r="AH156" s="111" t="s">
        <v>105</v>
      </c>
    </row>
    <row r="157" spans="1:35" ht="15.75" customHeight="1" x14ac:dyDescent="0.25">
      <c r="A157" s="74" t="s">
        <v>46</v>
      </c>
      <c r="B157" s="75">
        <v>38</v>
      </c>
      <c r="C157" s="76">
        <v>19</v>
      </c>
      <c r="D157" s="76">
        <v>15</v>
      </c>
      <c r="E157" s="76">
        <v>2</v>
      </c>
      <c r="F157" s="76">
        <v>1</v>
      </c>
      <c r="G157" s="76">
        <v>35</v>
      </c>
      <c r="H157" s="76">
        <v>4</v>
      </c>
      <c r="I157" s="76">
        <v>30</v>
      </c>
      <c r="J157" s="76">
        <v>9</v>
      </c>
      <c r="K157" s="76">
        <v>15</v>
      </c>
      <c r="L157" s="76">
        <v>5</v>
      </c>
      <c r="M157" s="76">
        <v>3</v>
      </c>
      <c r="N157" s="76">
        <v>13</v>
      </c>
      <c r="O157" s="76">
        <v>3</v>
      </c>
      <c r="P157" s="76">
        <v>15</v>
      </c>
      <c r="Q157" s="76">
        <v>6</v>
      </c>
      <c r="R157" s="76">
        <v>4</v>
      </c>
      <c r="S157" s="76">
        <v>1</v>
      </c>
      <c r="T157" s="76">
        <v>3</v>
      </c>
      <c r="U157" s="76">
        <v>43</v>
      </c>
      <c r="V157" s="76">
        <v>28</v>
      </c>
      <c r="W157" s="76">
        <v>37</v>
      </c>
      <c r="X157" s="76">
        <v>8</v>
      </c>
      <c r="Y157" s="76">
        <v>14</v>
      </c>
      <c r="Z157" s="76">
        <v>8</v>
      </c>
      <c r="AA157" s="76">
        <v>2</v>
      </c>
      <c r="AB157" s="76">
        <v>9</v>
      </c>
      <c r="AC157" s="76">
        <v>26</v>
      </c>
      <c r="AD157" s="76"/>
      <c r="AE157" s="76"/>
      <c r="AF157" s="225"/>
      <c r="AG157" s="112">
        <f t="shared" si="21"/>
        <v>396</v>
      </c>
      <c r="AH157" s="111"/>
    </row>
    <row r="158" spans="1:35" ht="15.75" customHeight="1" x14ac:dyDescent="0.25">
      <c r="A158" s="113" t="s">
        <v>106</v>
      </c>
      <c r="B158" s="114">
        <f t="shared" ref="B158:AF158" si="23">SUM(B159:B166)</f>
        <v>0</v>
      </c>
      <c r="C158" s="115">
        <f t="shared" si="23"/>
        <v>0</v>
      </c>
      <c r="D158" s="115">
        <f t="shared" si="23"/>
        <v>0</v>
      </c>
      <c r="E158" s="115">
        <f t="shared" si="23"/>
        <v>0</v>
      </c>
      <c r="F158" s="115">
        <f t="shared" si="23"/>
        <v>0</v>
      </c>
      <c r="G158" s="115">
        <f t="shared" si="23"/>
        <v>0</v>
      </c>
      <c r="H158" s="115">
        <f t="shared" si="23"/>
        <v>0</v>
      </c>
      <c r="I158" s="115">
        <f t="shared" si="23"/>
        <v>0</v>
      </c>
      <c r="J158" s="115">
        <f t="shared" si="23"/>
        <v>0</v>
      </c>
      <c r="K158" s="115">
        <f t="shared" si="23"/>
        <v>0</v>
      </c>
      <c r="L158" s="115">
        <f t="shared" si="23"/>
        <v>0</v>
      </c>
      <c r="M158" s="115">
        <f t="shared" si="23"/>
        <v>0</v>
      </c>
      <c r="N158" s="115">
        <f t="shared" si="23"/>
        <v>0</v>
      </c>
      <c r="O158" s="115">
        <f t="shared" si="23"/>
        <v>0</v>
      </c>
      <c r="P158" s="115">
        <f t="shared" si="23"/>
        <v>0</v>
      </c>
      <c r="Q158" s="115">
        <f t="shared" si="23"/>
        <v>0</v>
      </c>
      <c r="R158" s="115">
        <f t="shared" si="23"/>
        <v>0</v>
      </c>
      <c r="S158" s="115">
        <f t="shared" si="23"/>
        <v>0</v>
      </c>
      <c r="T158" s="115">
        <f t="shared" si="23"/>
        <v>0</v>
      </c>
      <c r="U158" s="115">
        <f t="shared" si="23"/>
        <v>0</v>
      </c>
      <c r="V158" s="115">
        <f t="shared" si="23"/>
        <v>0</v>
      </c>
      <c r="W158" s="115">
        <f t="shared" si="23"/>
        <v>0</v>
      </c>
      <c r="X158" s="115">
        <f t="shared" si="23"/>
        <v>0</v>
      </c>
      <c r="Y158" s="115">
        <f t="shared" si="23"/>
        <v>0</v>
      </c>
      <c r="Z158" s="115">
        <f t="shared" si="23"/>
        <v>0</v>
      </c>
      <c r="AA158" s="115">
        <f t="shared" si="23"/>
        <v>0</v>
      </c>
      <c r="AB158" s="115">
        <f t="shared" si="23"/>
        <v>0</v>
      </c>
      <c r="AC158" s="115">
        <f t="shared" si="23"/>
        <v>0</v>
      </c>
      <c r="AD158" s="115">
        <f t="shared" si="23"/>
        <v>0</v>
      </c>
      <c r="AE158" s="115">
        <f t="shared" si="23"/>
        <v>0</v>
      </c>
      <c r="AF158" s="234">
        <f t="shared" si="23"/>
        <v>0</v>
      </c>
      <c r="AG158" s="116">
        <f t="shared" si="21"/>
        <v>0</v>
      </c>
    </row>
    <row r="159" spans="1:35" ht="15.75" customHeight="1" x14ac:dyDescent="0.25">
      <c r="A159" s="96" t="s">
        <v>79</v>
      </c>
      <c r="B159" s="97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230"/>
      <c r="AG159" s="11">
        <f t="shared" si="21"/>
        <v>0</v>
      </c>
    </row>
    <row r="160" spans="1:35" ht="15.75" customHeight="1" x14ac:dyDescent="0.25">
      <c r="A160" s="100" t="s">
        <v>80</v>
      </c>
      <c r="B160" s="101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231"/>
      <c r="AG160" s="15">
        <f t="shared" si="21"/>
        <v>0</v>
      </c>
    </row>
    <row r="161" spans="1:34" ht="15.75" customHeight="1" x14ac:dyDescent="0.25">
      <c r="A161" s="100" t="s">
        <v>78</v>
      </c>
      <c r="B161" s="101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231"/>
      <c r="AG161" s="15">
        <f t="shared" si="21"/>
        <v>0</v>
      </c>
    </row>
    <row r="162" spans="1:34" ht="15.75" customHeight="1" x14ac:dyDescent="0.25">
      <c r="A162" s="100" t="s">
        <v>81</v>
      </c>
      <c r="B162" s="101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231"/>
      <c r="AG162" s="15">
        <f t="shared" si="21"/>
        <v>0</v>
      </c>
    </row>
    <row r="163" spans="1:34" ht="15.75" customHeight="1" x14ac:dyDescent="0.25">
      <c r="A163" s="100" t="s">
        <v>82</v>
      </c>
      <c r="B163" s="101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231"/>
      <c r="AG163" s="15">
        <f t="shared" si="21"/>
        <v>0</v>
      </c>
    </row>
    <row r="164" spans="1:34" ht="15.75" customHeight="1" x14ac:dyDescent="0.25">
      <c r="A164" s="100" t="s">
        <v>83</v>
      </c>
      <c r="B164" s="101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231"/>
      <c r="AG164" s="15">
        <f t="shared" si="21"/>
        <v>0</v>
      </c>
    </row>
    <row r="165" spans="1:34" ht="15.75" customHeight="1" x14ac:dyDescent="0.25">
      <c r="A165" s="100" t="s">
        <v>84</v>
      </c>
      <c r="B165" s="101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231"/>
      <c r="AG165" s="15">
        <f t="shared" si="21"/>
        <v>0</v>
      </c>
    </row>
    <row r="166" spans="1:34" ht="15.75" customHeight="1" x14ac:dyDescent="0.25">
      <c r="A166" s="103" t="s">
        <v>85</v>
      </c>
      <c r="B166" s="104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232"/>
      <c r="AG166" s="106">
        <f t="shared" si="21"/>
        <v>0</v>
      </c>
    </row>
    <row r="167" spans="1:34" ht="15.75" customHeight="1" x14ac:dyDescent="0.25">
      <c r="A167" s="107" t="s">
        <v>107</v>
      </c>
      <c r="B167" s="108">
        <f t="shared" ref="B167:AF167" si="24">SUM(B168:B171)</f>
        <v>0</v>
      </c>
      <c r="C167" s="109">
        <f t="shared" si="24"/>
        <v>0</v>
      </c>
      <c r="D167" s="109">
        <f t="shared" si="24"/>
        <v>0</v>
      </c>
      <c r="E167" s="109">
        <f t="shared" si="24"/>
        <v>0</v>
      </c>
      <c r="F167" s="109">
        <f t="shared" si="24"/>
        <v>0</v>
      </c>
      <c r="G167" s="109">
        <f t="shared" si="24"/>
        <v>0</v>
      </c>
      <c r="H167" s="109">
        <f t="shared" si="24"/>
        <v>0</v>
      </c>
      <c r="I167" s="109">
        <f t="shared" si="24"/>
        <v>0</v>
      </c>
      <c r="J167" s="109">
        <f t="shared" si="24"/>
        <v>0</v>
      </c>
      <c r="K167" s="109">
        <f t="shared" si="24"/>
        <v>0</v>
      </c>
      <c r="L167" s="109">
        <f t="shared" si="24"/>
        <v>0</v>
      </c>
      <c r="M167" s="109">
        <f t="shared" si="24"/>
        <v>0</v>
      </c>
      <c r="N167" s="109">
        <f t="shared" si="24"/>
        <v>0</v>
      </c>
      <c r="O167" s="109">
        <f t="shared" si="24"/>
        <v>0</v>
      </c>
      <c r="P167" s="109">
        <f t="shared" si="24"/>
        <v>0</v>
      </c>
      <c r="Q167" s="109">
        <f t="shared" si="24"/>
        <v>0</v>
      </c>
      <c r="R167" s="109">
        <f t="shared" si="24"/>
        <v>0</v>
      </c>
      <c r="S167" s="109">
        <f t="shared" si="24"/>
        <v>0</v>
      </c>
      <c r="T167" s="109">
        <f t="shared" si="24"/>
        <v>0</v>
      </c>
      <c r="U167" s="109">
        <f t="shared" si="24"/>
        <v>0</v>
      </c>
      <c r="V167" s="109">
        <f t="shared" si="24"/>
        <v>0</v>
      </c>
      <c r="W167" s="109">
        <f t="shared" si="24"/>
        <v>0</v>
      </c>
      <c r="X167" s="109">
        <f t="shared" si="24"/>
        <v>0</v>
      </c>
      <c r="Y167" s="109">
        <f t="shared" si="24"/>
        <v>0</v>
      </c>
      <c r="Z167" s="109">
        <f t="shared" si="24"/>
        <v>0</v>
      </c>
      <c r="AA167" s="109">
        <f t="shared" si="24"/>
        <v>0</v>
      </c>
      <c r="AB167" s="109">
        <f t="shared" si="24"/>
        <v>0</v>
      </c>
      <c r="AC167" s="109">
        <f t="shared" si="24"/>
        <v>0</v>
      </c>
      <c r="AD167" s="109">
        <f t="shared" si="24"/>
        <v>0</v>
      </c>
      <c r="AE167" s="109">
        <f t="shared" si="24"/>
        <v>0</v>
      </c>
      <c r="AF167" s="233">
        <f t="shared" si="24"/>
        <v>0</v>
      </c>
      <c r="AG167" s="110">
        <f t="shared" si="21"/>
        <v>0</v>
      </c>
    </row>
    <row r="168" spans="1:34" ht="15.75" customHeight="1" x14ac:dyDescent="0.25">
      <c r="A168" s="117" t="s">
        <v>86</v>
      </c>
      <c r="B168" s="101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231"/>
      <c r="AG168" s="15">
        <f t="shared" si="21"/>
        <v>0</v>
      </c>
    </row>
    <row r="169" spans="1:34" ht="15.75" customHeight="1" x14ac:dyDescent="0.25">
      <c r="A169" s="117" t="s">
        <v>87</v>
      </c>
      <c r="B169" s="101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231"/>
      <c r="AG169" s="15">
        <f t="shared" si="21"/>
        <v>0</v>
      </c>
    </row>
    <row r="170" spans="1:34" ht="15.75" customHeight="1" x14ac:dyDescent="0.25">
      <c r="A170" s="117" t="s">
        <v>88</v>
      </c>
      <c r="B170" s="101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231"/>
      <c r="AG170" s="15">
        <f t="shared" si="21"/>
        <v>0</v>
      </c>
    </row>
    <row r="171" spans="1:34" ht="15.75" customHeight="1" x14ac:dyDescent="0.25">
      <c r="A171" s="118" t="s">
        <v>108</v>
      </c>
      <c r="B171" s="104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232"/>
      <c r="AG171" s="106">
        <f t="shared" si="21"/>
        <v>0</v>
      </c>
    </row>
    <row r="172" spans="1:34" ht="15.75" customHeight="1" x14ac:dyDescent="0.25">
      <c r="A172" s="119" t="s">
        <v>109</v>
      </c>
      <c r="B172" s="120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235"/>
      <c r="AG172" s="122">
        <f t="shared" si="21"/>
        <v>0</v>
      </c>
    </row>
    <row r="173" spans="1:34" ht="15.75" customHeight="1" x14ac:dyDescent="0.25">
      <c r="A173" s="4" t="s">
        <v>110</v>
      </c>
      <c r="B173" s="5">
        <f t="shared" ref="B173:AF173" si="25">SUM(B174:B176)</f>
        <v>0</v>
      </c>
      <c r="C173" s="6">
        <f t="shared" si="25"/>
        <v>1</v>
      </c>
      <c r="D173" s="6">
        <f t="shared" si="25"/>
        <v>3</v>
      </c>
      <c r="E173" s="6">
        <f t="shared" si="25"/>
        <v>0</v>
      </c>
      <c r="F173" s="6">
        <f t="shared" si="25"/>
        <v>0</v>
      </c>
      <c r="G173" s="6">
        <f t="shared" si="25"/>
        <v>1</v>
      </c>
      <c r="H173" s="6">
        <f t="shared" si="25"/>
        <v>0</v>
      </c>
      <c r="I173" s="6">
        <f t="shared" si="25"/>
        <v>1</v>
      </c>
      <c r="J173" s="6">
        <f t="shared" si="25"/>
        <v>3</v>
      </c>
      <c r="K173" s="6">
        <f t="shared" si="25"/>
        <v>2</v>
      </c>
      <c r="L173" s="6">
        <f t="shared" si="25"/>
        <v>0</v>
      </c>
      <c r="M173" s="6">
        <f t="shared" si="25"/>
        <v>2</v>
      </c>
      <c r="N173" s="6">
        <f t="shared" si="25"/>
        <v>0</v>
      </c>
      <c r="O173" s="6">
        <f t="shared" si="25"/>
        <v>1</v>
      </c>
      <c r="P173" s="6">
        <f t="shared" si="25"/>
        <v>1</v>
      </c>
      <c r="Q173" s="6">
        <f t="shared" si="25"/>
        <v>1</v>
      </c>
      <c r="R173" s="6">
        <f t="shared" si="25"/>
        <v>0</v>
      </c>
      <c r="S173" s="6">
        <f t="shared" si="25"/>
        <v>0</v>
      </c>
      <c r="T173" s="6">
        <f t="shared" si="25"/>
        <v>2</v>
      </c>
      <c r="U173" s="6">
        <f t="shared" si="25"/>
        <v>2</v>
      </c>
      <c r="V173" s="6">
        <f t="shared" si="25"/>
        <v>2</v>
      </c>
      <c r="W173" s="6">
        <f t="shared" si="25"/>
        <v>1</v>
      </c>
      <c r="X173" s="6">
        <f t="shared" si="25"/>
        <v>1</v>
      </c>
      <c r="Y173" s="6">
        <f t="shared" si="25"/>
        <v>0</v>
      </c>
      <c r="Z173" s="6">
        <f t="shared" si="25"/>
        <v>1</v>
      </c>
      <c r="AA173" s="6">
        <f t="shared" si="25"/>
        <v>0</v>
      </c>
      <c r="AB173" s="6">
        <f t="shared" si="25"/>
        <v>0</v>
      </c>
      <c r="AC173" s="6">
        <f t="shared" si="25"/>
        <v>1</v>
      </c>
      <c r="AD173" s="6">
        <f t="shared" si="25"/>
        <v>0</v>
      </c>
      <c r="AE173" s="6">
        <f t="shared" si="25"/>
        <v>0</v>
      </c>
      <c r="AF173" s="236">
        <f t="shared" si="25"/>
        <v>0</v>
      </c>
      <c r="AG173" s="7">
        <f t="shared" si="21"/>
        <v>26</v>
      </c>
      <c r="AH173" s="111" t="s">
        <v>111</v>
      </c>
    </row>
    <row r="174" spans="1:34" ht="15.75" customHeight="1" x14ac:dyDescent="0.25">
      <c r="A174" s="123" t="s">
        <v>112</v>
      </c>
      <c r="B174" s="124">
        <v>0</v>
      </c>
      <c r="C174" s="125">
        <v>1</v>
      </c>
      <c r="D174" s="125">
        <v>3</v>
      </c>
      <c r="E174" s="125">
        <v>0</v>
      </c>
      <c r="F174" s="125">
        <v>0</v>
      </c>
      <c r="G174" s="125">
        <v>1</v>
      </c>
      <c r="H174" s="125">
        <v>0</v>
      </c>
      <c r="I174" s="125">
        <v>1</v>
      </c>
      <c r="J174" s="125">
        <v>3</v>
      </c>
      <c r="K174" s="125">
        <v>2</v>
      </c>
      <c r="L174" s="125">
        <v>0</v>
      </c>
      <c r="M174" s="125">
        <v>0</v>
      </c>
      <c r="N174" s="125">
        <v>0</v>
      </c>
      <c r="O174" s="125">
        <v>1</v>
      </c>
      <c r="P174" s="125">
        <v>1</v>
      </c>
      <c r="Q174" s="125">
        <v>1</v>
      </c>
      <c r="R174" s="125">
        <v>0</v>
      </c>
      <c r="S174" s="125">
        <v>0</v>
      </c>
      <c r="T174" s="125">
        <v>2</v>
      </c>
      <c r="U174" s="125">
        <v>1</v>
      </c>
      <c r="V174" s="125">
        <v>2</v>
      </c>
      <c r="W174" s="125">
        <v>1</v>
      </c>
      <c r="X174" s="125">
        <v>1</v>
      </c>
      <c r="Y174" s="125">
        <v>0</v>
      </c>
      <c r="Z174" s="125">
        <v>1</v>
      </c>
      <c r="AA174" s="125">
        <v>0</v>
      </c>
      <c r="AB174" s="125">
        <v>0</v>
      </c>
      <c r="AC174" s="125">
        <v>1</v>
      </c>
      <c r="AD174" s="125"/>
      <c r="AE174" s="125"/>
      <c r="AF174" s="237"/>
      <c r="AG174" s="126">
        <f t="shared" si="21"/>
        <v>23</v>
      </c>
      <c r="AH174" s="111"/>
    </row>
    <row r="175" spans="1:34" ht="15.75" customHeight="1" x14ac:dyDescent="0.25">
      <c r="A175" s="127" t="s">
        <v>113</v>
      </c>
      <c r="B175" s="128">
        <v>0</v>
      </c>
      <c r="C175" s="129">
        <v>0</v>
      </c>
      <c r="D175" s="129">
        <v>0</v>
      </c>
      <c r="E175" s="129">
        <v>0</v>
      </c>
      <c r="F175" s="129">
        <v>0</v>
      </c>
      <c r="G175" s="129">
        <v>0</v>
      </c>
      <c r="H175" s="129">
        <v>0</v>
      </c>
      <c r="I175" s="129">
        <v>0</v>
      </c>
      <c r="J175" s="129">
        <v>0</v>
      </c>
      <c r="K175" s="129">
        <v>0</v>
      </c>
      <c r="L175" s="129">
        <v>0</v>
      </c>
      <c r="M175" s="129">
        <v>1</v>
      </c>
      <c r="N175" s="129">
        <v>0</v>
      </c>
      <c r="O175" s="129">
        <v>0</v>
      </c>
      <c r="P175" s="129">
        <v>0</v>
      </c>
      <c r="Q175" s="129">
        <v>0</v>
      </c>
      <c r="R175" s="129">
        <v>0</v>
      </c>
      <c r="S175" s="129">
        <v>0</v>
      </c>
      <c r="T175" s="129">
        <v>0</v>
      </c>
      <c r="U175" s="129">
        <v>1</v>
      </c>
      <c r="V175" s="129">
        <v>0</v>
      </c>
      <c r="W175" s="129">
        <v>0</v>
      </c>
      <c r="X175" s="129"/>
      <c r="Y175" s="129">
        <v>0</v>
      </c>
      <c r="Z175" s="129">
        <v>0</v>
      </c>
      <c r="AA175" s="129">
        <v>0</v>
      </c>
      <c r="AB175" s="129">
        <v>0</v>
      </c>
      <c r="AC175" s="129">
        <v>0</v>
      </c>
      <c r="AD175" s="129"/>
      <c r="AE175" s="129"/>
      <c r="AF175" s="238"/>
      <c r="AG175" s="130">
        <f t="shared" si="21"/>
        <v>2</v>
      </c>
      <c r="AH175" s="111"/>
    </row>
    <row r="176" spans="1:34" ht="15.75" customHeight="1" x14ac:dyDescent="0.25">
      <c r="A176" s="131" t="s">
        <v>114</v>
      </c>
      <c r="B176" s="132">
        <v>0</v>
      </c>
      <c r="C176" s="133">
        <v>0</v>
      </c>
      <c r="D176" s="133">
        <v>0</v>
      </c>
      <c r="E176" s="133">
        <v>0</v>
      </c>
      <c r="F176" s="133">
        <v>0</v>
      </c>
      <c r="G176" s="133">
        <v>0</v>
      </c>
      <c r="H176" s="133">
        <v>0</v>
      </c>
      <c r="I176" s="133">
        <v>0</v>
      </c>
      <c r="J176" s="133">
        <v>0</v>
      </c>
      <c r="K176" s="133">
        <v>0</v>
      </c>
      <c r="L176" s="133">
        <v>0</v>
      </c>
      <c r="M176" s="133">
        <v>1</v>
      </c>
      <c r="N176" s="133">
        <v>0</v>
      </c>
      <c r="O176" s="133">
        <v>0</v>
      </c>
      <c r="P176" s="133">
        <v>0</v>
      </c>
      <c r="Q176" s="133">
        <v>0</v>
      </c>
      <c r="R176" s="133">
        <v>0</v>
      </c>
      <c r="S176" s="133">
        <v>0</v>
      </c>
      <c r="T176" s="133">
        <v>0</v>
      </c>
      <c r="U176" s="133">
        <v>0</v>
      </c>
      <c r="V176" s="133">
        <v>0</v>
      </c>
      <c r="W176" s="133">
        <v>0</v>
      </c>
      <c r="X176" s="133"/>
      <c r="Y176" s="133">
        <v>0</v>
      </c>
      <c r="Z176" s="133">
        <v>0</v>
      </c>
      <c r="AA176" s="133">
        <v>0</v>
      </c>
      <c r="AB176" s="133">
        <v>0</v>
      </c>
      <c r="AC176" s="133">
        <v>0</v>
      </c>
      <c r="AD176" s="133"/>
      <c r="AE176" s="133"/>
      <c r="AF176" s="239"/>
      <c r="AG176" s="134">
        <f t="shared" si="21"/>
        <v>1</v>
      </c>
      <c r="AH176" s="111"/>
    </row>
    <row r="177" spans="1:35" ht="15.75" customHeight="1" x14ac:dyDescent="0.25">
      <c r="A177" s="53" t="s">
        <v>115</v>
      </c>
      <c r="B177" s="135">
        <f t="shared" ref="B177:AF177" si="26">SUM(B178:B179)</f>
        <v>7</v>
      </c>
      <c r="C177" s="136">
        <f t="shared" si="26"/>
        <v>7</v>
      </c>
      <c r="D177" s="136">
        <f t="shared" si="26"/>
        <v>2</v>
      </c>
      <c r="E177" s="136">
        <f t="shared" si="26"/>
        <v>2</v>
      </c>
      <c r="F177" s="136">
        <f t="shared" si="26"/>
        <v>6</v>
      </c>
      <c r="G177" s="136">
        <f t="shared" si="26"/>
        <v>6</v>
      </c>
      <c r="H177" s="136">
        <f t="shared" si="26"/>
        <v>1</v>
      </c>
      <c r="I177" s="136">
        <f t="shared" si="26"/>
        <v>8</v>
      </c>
      <c r="J177" s="136">
        <f t="shared" si="26"/>
        <v>8</v>
      </c>
      <c r="K177" s="136">
        <f t="shared" si="26"/>
        <v>2</v>
      </c>
      <c r="L177" s="136">
        <f t="shared" si="26"/>
        <v>5</v>
      </c>
      <c r="M177" s="136">
        <f t="shared" si="26"/>
        <v>2</v>
      </c>
      <c r="N177" s="136">
        <f t="shared" si="26"/>
        <v>2</v>
      </c>
      <c r="O177" s="136">
        <f t="shared" si="26"/>
        <v>1</v>
      </c>
      <c r="P177" s="136">
        <f t="shared" si="26"/>
        <v>4</v>
      </c>
      <c r="Q177" s="136">
        <f t="shared" si="26"/>
        <v>3</v>
      </c>
      <c r="R177" s="136">
        <f t="shared" si="26"/>
        <v>4</v>
      </c>
      <c r="S177" s="136">
        <f t="shared" si="26"/>
        <v>1</v>
      </c>
      <c r="T177" s="136">
        <f t="shared" si="26"/>
        <v>3</v>
      </c>
      <c r="U177" s="136">
        <f t="shared" si="26"/>
        <v>3</v>
      </c>
      <c r="V177" s="136">
        <f t="shared" si="26"/>
        <v>2</v>
      </c>
      <c r="W177" s="136">
        <f t="shared" si="26"/>
        <v>4</v>
      </c>
      <c r="X177" s="136">
        <f t="shared" si="26"/>
        <v>1</v>
      </c>
      <c r="Y177" s="136">
        <f t="shared" si="26"/>
        <v>2</v>
      </c>
      <c r="Z177" s="136">
        <f t="shared" si="26"/>
        <v>4</v>
      </c>
      <c r="AA177" s="136">
        <f t="shared" si="26"/>
        <v>5</v>
      </c>
      <c r="AB177" s="136">
        <f t="shared" si="26"/>
        <v>3</v>
      </c>
      <c r="AC177" s="136">
        <f t="shared" si="26"/>
        <v>0</v>
      </c>
      <c r="AD177" s="136">
        <f t="shared" si="26"/>
        <v>0</v>
      </c>
      <c r="AE177" s="136">
        <f t="shared" si="26"/>
        <v>0</v>
      </c>
      <c r="AF177" s="240">
        <f t="shared" si="26"/>
        <v>0</v>
      </c>
      <c r="AG177" s="137">
        <f t="shared" si="21"/>
        <v>98</v>
      </c>
      <c r="AH177" s="111" t="s">
        <v>116</v>
      </c>
    </row>
    <row r="178" spans="1:35" ht="15.75" customHeight="1" x14ac:dyDescent="0.25">
      <c r="A178" s="138" t="s">
        <v>117</v>
      </c>
      <c r="B178" s="139">
        <v>1</v>
      </c>
      <c r="C178" s="140">
        <v>1</v>
      </c>
      <c r="D178" s="140">
        <v>0</v>
      </c>
      <c r="E178" s="140">
        <v>0</v>
      </c>
      <c r="F178" s="140">
        <v>2</v>
      </c>
      <c r="G178" s="140">
        <v>0</v>
      </c>
      <c r="H178" s="140">
        <v>0</v>
      </c>
      <c r="I178" s="140">
        <v>0</v>
      </c>
      <c r="J178" s="140">
        <v>2</v>
      </c>
      <c r="K178" s="140">
        <v>1</v>
      </c>
      <c r="L178" s="140">
        <v>0</v>
      </c>
      <c r="M178" s="140">
        <v>0</v>
      </c>
      <c r="N178" s="140">
        <v>0</v>
      </c>
      <c r="O178" s="140">
        <v>0</v>
      </c>
      <c r="P178" s="140">
        <v>0</v>
      </c>
      <c r="Q178" s="140">
        <v>0</v>
      </c>
      <c r="R178" s="140">
        <v>1</v>
      </c>
      <c r="S178" s="140">
        <v>0</v>
      </c>
      <c r="T178" s="140">
        <v>0</v>
      </c>
      <c r="U178" s="140">
        <v>0</v>
      </c>
      <c r="V178" s="140">
        <v>0</v>
      </c>
      <c r="W178" s="140">
        <v>1</v>
      </c>
      <c r="X178" s="140"/>
      <c r="Y178" s="140">
        <v>0</v>
      </c>
      <c r="Z178" s="140">
        <v>0</v>
      </c>
      <c r="AA178" s="140">
        <v>1</v>
      </c>
      <c r="AB178" s="140">
        <v>0</v>
      </c>
      <c r="AC178" s="140">
        <v>0</v>
      </c>
      <c r="AD178" s="140"/>
      <c r="AE178" s="140"/>
      <c r="AF178" s="241"/>
      <c r="AG178" s="141">
        <f t="shared" si="21"/>
        <v>10</v>
      </c>
      <c r="AH178" s="111" t="s">
        <v>116</v>
      </c>
    </row>
    <row r="179" spans="1:35" ht="15.75" customHeight="1" x14ac:dyDescent="0.25">
      <c r="A179" s="58" t="s">
        <v>118</v>
      </c>
      <c r="B179" s="142">
        <v>6</v>
      </c>
      <c r="C179" s="143">
        <v>6</v>
      </c>
      <c r="D179" s="143">
        <v>2</v>
      </c>
      <c r="E179" s="143">
        <v>2</v>
      </c>
      <c r="F179" s="143">
        <v>4</v>
      </c>
      <c r="G179" s="143">
        <v>6</v>
      </c>
      <c r="H179" s="143">
        <v>1</v>
      </c>
      <c r="I179" s="143">
        <v>8</v>
      </c>
      <c r="J179" s="143">
        <v>6</v>
      </c>
      <c r="K179" s="143">
        <v>1</v>
      </c>
      <c r="L179" s="143">
        <v>5</v>
      </c>
      <c r="M179" s="143">
        <v>2</v>
      </c>
      <c r="N179" s="143">
        <v>2</v>
      </c>
      <c r="O179" s="143">
        <v>1</v>
      </c>
      <c r="P179" s="143">
        <v>4</v>
      </c>
      <c r="Q179" s="143">
        <v>3</v>
      </c>
      <c r="R179" s="143">
        <v>3</v>
      </c>
      <c r="S179" s="143">
        <v>1</v>
      </c>
      <c r="T179" s="143">
        <v>3</v>
      </c>
      <c r="U179" s="143">
        <v>3</v>
      </c>
      <c r="V179" s="143">
        <v>2</v>
      </c>
      <c r="W179" s="143">
        <v>3</v>
      </c>
      <c r="X179" s="143">
        <v>1</v>
      </c>
      <c r="Y179" s="143">
        <v>2</v>
      </c>
      <c r="Z179" s="143">
        <v>4</v>
      </c>
      <c r="AA179" s="143">
        <v>4</v>
      </c>
      <c r="AB179" s="143">
        <v>3</v>
      </c>
      <c r="AC179" s="143">
        <v>0</v>
      </c>
      <c r="AD179" s="143"/>
      <c r="AE179" s="143"/>
      <c r="AF179" s="242"/>
      <c r="AG179" s="144">
        <f t="shared" si="21"/>
        <v>88</v>
      </c>
      <c r="AH179" s="111" t="s">
        <v>116</v>
      </c>
    </row>
    <row r="180" spans="1:35" ht="15.75" customHeight="1" x14ac:dyDescent="0.25">
      <c r="A180" s="145" t="s">
        <v>119</v>
      </c>
      <c r="B180" s="146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243"/>
      <c r="AG180" s="148">
        <f t="shared" si="21"/>
        <v>0</v>
      </c>
    </row>
    <row r="181" spans="1:35" ht="15.75" customHeight="1" x14ac:dyDescent="0.25">
      <c r="A181" s="149" t="s">
        <v>120</v>
      </c>
      <c r="B181" s="150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244"/>
      <c r="AG181" s="152">
        <f t="shared" si="21"/>
        <v>0</v>
      </c>
    </row>
    <row r="182" spans="1:35" ht="15.75" customHeight="1" x14ac:dyDescent="0.25">
      <c r="A182" s="153" t="s">
        <v>121</v>
      </c>
      <c r="B182" s="154">
        <f t="shared" ref="B182:AF182" si="27">SUM(B183:B208)</f>
        <v>36</v>
      </c>
      <c r="C182" s="155">
        <f t="shared" si="27"/>
        <v>25</v>
      </c>
      <c r="D182" s="155">
        <f t="shared" si="27"/>
        <v>28</v>
      </c>
      <c r="E182" s="155">
        <f t="shared" si="27"/>
        <v>24</v>
      </c>
      <c r="F182" s="155">
        <f t="shared" si="27"/>
        <v>52</v>
      </c>
      <c r="G182" s="155">
        <f t="shared" si="27"/>
        <v>37</v>
      </c>
      <c r="H182" s="155">
        <f t="shared" si="27"/>
        <v>9</v>
      </c>
      <c r="I182" s="155">
        <f t="shared" si="27"/>
        <v>37</v>
      </c>
      <c r="J182" s="155">
        <f t="shared" si="27"/>
        <v>37</v>
      </c>
      <c r="K182" s="155">
        <f t="shared" si="27"/>
        <v>36</v>
      </c>
      <c r="L182" s="155">
        <f t="shared" si="27"/>
        <v>26</v>
      </c>
      <c r="M182" s="155">
        <f t="shared" si="27"/>
        <v>26</v>
      </c>
      <c r="N182" s="155">
        <f t="shared" si="27"/>
        <v>31</v>
      </c>
      <c r="O182" s="155">
        <f t="shared" si="27"/>
        <v>19</v>
      </c>
      <c r="P182" s="155">
        <f t="shared" si="27"/>
        <v>41</v>
      </c>
      <c r="Q182" s="155">
        <f t="shared" si="27"/>
        <v>44</v>
      </c>
      <c r="R182" s="155">
        <f t="shared" si="27"/>
        <v>21</v>
      </c>
      <c r="S182" s="155">
        <f t="shared" si="27"/>
        <v>39</v>
      </c>
      <c r="T182" s="155">
        <f t="shared" si="27"/>
        <v>30</v>
      </c>
      <c r="U182" s="155">
        <f t="shared" si="27"/>
        <v>41</v>
      </c>
      <c r="V182" s="155">
        <f t="shared" si="27"/>
        <v>32</v>
      </c>
      <c r="W182" s="155">
        <f t="shared" si="27"/>
        <v>31</v>
      </c>
      <c r="X182" s="155">
        <f t="shared" si="27"/>
        <v>36</v>
      </c>
      <c r="Y182" s="155">
        <f t="shared" si="27"/>
        <v>26</v>
      </c>
      <c r="Z182" s="155">
        <f t="shared" si="27"/>
        <v>23</v>
      </c>
      <c r="AA182" s="155">
        <f t="shared" si="27"/>
        <v>54</v>
      </c>
      <c r="AB182" s="155">
        <f t="shared" si="27"/>
        <v>39</v>
      </c>
      <c r="AC182" s="155">
        <f t="shared" si="27"/>
        <v>39</v>
      </c>
      <c r="AD182" s="155">
        <f t="shared" si="27"/>
        <v>0</v>
      </c>
      <c r="AE182" s="155">
        <f t="shared" si="27"/>
        <v>0</v>
      </c>
      <c r="AF182" s="245">
        <f t="shared" si="27"/>
        <v>0</v>
      </c>
      <c r="AG182" s="91">
        <f t="shared" si="21"/>
        <v>919</v>
      </c>
      <c r="AH182" s="78"/>
    </row>
    <row r="183" spans="1:35" ht="15.75" customHeight="1" x14ac:dyDescent="0.25">
      <c r="A183" s="156" t="s">
        <v>122</v>
      </c>
      <c r="B183" s="157">
        <v>3</v>
      </c>
      <c r="C183" s="158">
        <v>1</v>
      </c>
      <c r="D183" s="158">
        <v>4</v>
      </c>
      <c r="E183" s="158">
        <v>4</v>
      </c>
      <c r="F183" s="158">
        <v>2</v>
      </c>
      <c r="G183" s="158"/>
      <c r="H183" s="158">
        <v>2</v>
      </c>
      <c r="I183" s="158">
        <v>5</v>
      </c>
      <c r="J183" s="158">
        <v>5</v>
      </c>
      <c r="K183" s="158">
        <v>6</v>
      </c>
      <c r="L183" s="158">
        <v>9</v>
      </c>
      <c r="M183" s="158">
        <v>5</v>
      </c>
      <c r="N183" s="158">
        <v>3</v>
      </c>
      <c r="O183" s="158">
        <v>4</v>
      </c>
      <c r="P183" s="158">
        <v>2</v>
      </c>
      <c r="Q183" s="158">
        <v>3</v>
      </c>
      <c r="R183" s="158">
        <v>1</v>
      </c>
      <c r="S183" s="158">
        <v>6</v>
      </c>
      <c r="T183" s="158">
        <v>5</v>
      </c>
      <c r="U183" s="158">
        <v>7</v>
      </c>
      <c r="V183" s="158">
        <v>7</v>
      </c>
      <c r="W183" s="158">
        <v>5</v>
      </c>
      <c r="X183" s="158">
        <v>10</v>
      </c>
      <c r="Y183" s="158">
        <v>6</v>
      </c>
      <c r="Z183" s="158">
        <v>2</v>
      </c>
      <c r="AA183" s="158">
        <v>9</v>
      </c>
      <c r="AB183" s="158">
        <v>2</v>
      </c>
      <c r="AC183" s="158">
        <v>4</v>
      </c>
      <c r="AD183" s="158"/>
      <c r="AE183" s="158"/>
      <c r="AF183" s="246"/>
      <c r="AG183" s="159">
        <f t="shared" si="21"/>
        <v>122</v>
      </c>
    </row>
    <row r="184" spans="1:35" ht="15.75" customHeight="1" x14ac:dyDescent="0.25">
      <c r="A184" s="160" t="s">
        <v>123</v>
      </c>
      <c r="B184" s="65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>
        <v>1</v>
      </c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>
        <v>1</v>
      </c>
      <c r="AB184" s="66"/>
      <c r="AC184" s="66"/>
      <c r="AD184" s="66"/>
      <c r="AE184" s="66"/>
      <c r="AF184" s="222"/>
      <c r="AG184" s="15">
        <f t="shared" si="21"/>
        <v>2</v>
      </c>
    </row>
    <row r="185" spans="1:35" ht="15.75" customHeight="1" x14ac:dyDescent="0.25">
      <c r="A185" s="160" t="s">
        <v>124</v>
      </c>
      <c r="B185" s="65"/>
      <c r="C185" s="66"/>
      <c r="D185" s="66">
        <v>1</v>
      </c>
      <c r="E185" s="66"/>
      <c r="F185" s="66">
        <v>3</v>
      </c>
      <c r="G185" s="66"/>
      <c r="H185" s="66"/>
      <c r="I185" s="66"/>
      <c r="J185" s="66"/>
      <c r="K185" s="66"/>
      <c r="L185" s="66"/>
      <c r="M185" s="66">
        <v>1</v>
      </c>
      <c r="N185" s="66"/>
      <c r="O185" s="66"/>
      <c r="P185" s="66"/>
      <c r="Q185" s="66"/>
      <c r="R185" s="66"/>
      <c r="S185" s="66"/>
      <c r="T185" s="66"/>
      <c r="U185" s="66"/>
      <c r="V185" s="66"/>
      <c r="W185" s="66">
        <v>1</v>
      </c>
      <c r="X185" s="66"/>
      <c r="Y185" s="66"/>
      <c r="Z185" s="66"/>
      <c r="AA185" s="66"/>
      <c r="AB185" s="66"/>
      <c r="AC185" s="66"/>
      <c r="AD185" s="66"/>
      <c r="AE185" s="66"/>
      <c r="AF185" s="222"/>
      <c r="AG185" s="15">
        <f t="shared" si="21"/>
        <v>6</v>
      </c>
    </row>
    <row r="186" spans="1:35" ht="15.75" customHeight="1" x14ac:dyDescent="0.25">
      <c r="A186" s="160" t="s">
        <v>125</v>
      </c>
      <c r="B186" s="65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222"/>
      <c r="AG186" s="15">
        <f t="shared" si="21"/>
        <v>0</v>
      </c>
    </row>
    <row r="187" spans="1:35" ht="15.75" customHeight="1" x14ac:dyDescent="0.25">
      <c r="A187" s="161" t="s">
        <v>126</v>
      </c>
      <c r="B187" s="162">
        <v>31</v>
      </c>
      <c r="C187" s="163">
        <v>23</v>
      </c>
      <c r="D187" s="163">
        <v>19</v>
      </c>
      <c r="E187" s="163">
        <v>20</v>
      </c>
      <c r="F187" s="163">
        <v>45</v>
      </c>
      <c r="G187" s="163">
        <v>36</v>
      </c>
      <c r="H187" s="163">
        <v>6</v>
      </c>
      <c r="I187" s="163">
        <v>29</v>
      </c>
      <c r="J187" s="163">
        <v>31</v>
      </c>
      <c r="K187" s="163">
        <v>25</v>
      </c>
      <c r="L187" s="163">
        <v>16</v>
      </c>
      <c r="M187" s="163">
        <v>17</v>
      </c>
      <c r="N187" s="163">
        <v>27</v>
      </c>
      <c r="O187" s="163">
        <v>14</v>
      </c>
      <c r="P187" s="163">
        <v>39</v>
      </c>
      <c r="Q187" s="163">
        <v>36</v>
      </c>
      <c r="R187" s="163">
        <v>19</v>
      </c>
      <c r="S187" s="163">
        <v>31</v>
      </c>
      <c r="T187" s="163">
        <v>23</v>
      </c>
      <c r="U187" s="163">
        <v>32</v>
      </c>
      <c r="V187" s="163">
        <v>25</v>
      </c>
      <c r="W187" s="163">
        <v>24</v>
      </c>
      <c r="X187" s="163">
        <v>24</v>
      </c>
      <c r="Y187" s="163">
        <v>17</v>
      </c>
      <c r="Z187" s="163">
        <v>20</v>
      </c>
      <c r="AA187" s="163">
        <v>37</v>
      </c>
      <c r="AB187" s="163">
        <v>36</v>
      </c>
      <c r="AC187" s="163">
        <v>31</v>
      </c>
      <c r="AD187" s="163"/>
      <c r="AE187" s="163"/>
      <c r="AF187" s="247"/>
      <c r="AG187" s="164">
        <f t="shared" si="21"/>
        <v>733</v>
      </c>
      <c r="AH187" s="165"/>
      <c r="AI187" s="165"/>
    </row>
    <row r="188" spans="1:35" ht="15.75" customHeight="1" x14ac:dyDescent="0.25">
      <c r="A188" s="160" t="s">
        <v>127</v>
      </c>
      <c r="B188" s="65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>
        <v>1</v>
      </c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222"/>
      <c r="AG188" s="15">
        <f t="shared" si="21"/>
        <v>1</v>
      </c>
    </row>
    <row r="189" spans="1:35" ht="15.75" customHeight="1" x14ac:dyDescent="0.25">
      <c r="A189" s="160" t="s">
        <v>128</v>
      </c>
      <c r="B189" s="65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222"/>
      <c r="AG189" s="15">
        <f t="shared" si="21"/>
        <v>0</v>
      </c>
    </row>
    <row r="190" spans="1:35" ht="15.75" customHeight="1" x14ac:dyDescent="0.25">
      <c r="A190" s="160" t="s">
        <v>129</v>
      </c>
      <c r="B190" s="65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222"/>
      <c r="AG190" s="15">
        <f t="shared" si="21"/>
        <v>0</v>
      </c>
    </row>
    <row r="191" spans="1:35" ht="15.75" customHeight="1" x14ac:dyDescent="0.25">
      <c r="A191" s="160" t="s">
        <v>130</v>
      </c>
      <c r="B191" s="65"/>
      <c r="C191" s="66"/>
      <c r="D191" s="66"/>
      <c r="E191" s="66"/>
      <c r="F191" s="66"/>
      <c r="G191" s="66"/>
      <c r="H191" s="66"/>
      <c r="I191" s="66"/>
      <c r="J191" s="66"/>
      <c r="K191" s="66">
        <v>1</v>
      </c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>
        <v>3</v>
      </c>
      <c r="AB191" s="66"/>
      <c r="AC191" s="66"/>
      <c r="AD191" s="66"/>
      <c r="AE191" s="66"/>
      <c r="AF191" s="222"/>
      <c r="AG191" s="15">
        <f t="shared" si="21"/>
        <v>4</v>
      </c>
    </row>
    <row r="192" spans="1:35" ht="15.75" customHeight="1" x14ac:dyDescent="0.25">
      <c r="A192" s="64" t="s">
        <v>131</v>
      </c>
      <c r="B192" s="65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>
        <v>1</v>
      </c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222"/>
      <c r="AG192" s="15">
        <f t="shared" si="21"/>
        <v>1</v>
      </c>
    </row>
    <row r="193" spans="1:33" ht="15.75" customHeight="1" x14ac:dyDescent="0.25">
      <c r="A193" s="64" t="s">
        <v>132</v>
      </c>
      <c r="B193" s="65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222"/>
      <c r="AG193" s="15">
        <f t="shared" si="21"/>
        <v>0</v>
      </c>
    </row>
    <row r="194" spans="1:33" ht="15.75" customHeight="1" x14ac:dyDescent="0.25">
      <c r="A194" s="64" t="s">
        <v>133</v>
      </c>
      <c r="B194" s="65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222"/>
      <c r="AG194" s="15">
        <f t="shared" si="21"/>
        <v>0</v>
      </c>
    </row>
    <row r="195" spans="1:33" ht="15.75" customHeight="1" x14ac:dyDescent="0.25">
      <c r="A195" s="64" t="s">
        <v>134</v>
      </c>
      <c r="B195" s="65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222"/>
      <c r="AG195" s="15">
        <f t="shared" si="21"/>
        <v>0</v>
      </c>
    </row>
    <row r="196" spans="1:33" ht="15.75" customHeight="1" x14ac:dyDescent="0.25">
      <c r="A196" s="166" t="s">
        <v>135</v>
      </c>
      <c r="B196" s="167"/>
      <c r="C196" s="168">
        <v>1</v>
      </c>
      <c r="D196" s="168">
        <v>3</v>
      </c>
      <c r="E196" s="168"/>
      <c r="F196" s="168">
        <v>1</v>
      </c>
      <c r="G196" s="168">
        <v>1</v>
      </c>
      <c r="H196" s="168"/>
      <c r="I196" s="168">
        <v>1</v>
      </c>
      <c r="J196" s="168"/>
      <c r="K196" s="168">
        <v>2</v>
      </c>
      <c r="L196" s="168">
        <v>1</v>
      </c>
      <c r="M196" s="168">
        <v>2</v>
      </c>
      <c r="N196" s="168"/>
      <c r="O196" s="168"/>
      <c r="P196" s="168"/>
      <c r="Q196" s="168">
        <v>3</v>
      </c>
      <c r="R196" s="168">
        <v>1</v>
      </c>
      <c r="S196" s="168"/>
      <c r="T196" s="168">
        <v>2</v>
      </c>
      <c r="U196" s="168"/>
      <c r="V196" s="168"/>
      <c r="W196" s="168">
        <v>1</v>
      </c>
      <c r="X196" s="168">
        <v>2</v>
      </c>
      <c r="Y196" s="168">
        <v>2</v>
      </c>
      <c r="Z196" s="168"/>
      <c r="AA196" s="168">
        <v>1</v>
      </c>
      <c r="AB196" s="168">
        <v>1</v>
      </c>
      <c r="AC196" s="168">
        <v>4</v>
      </c>
      <c r="AD196" s="168"/>
      <c r="AE196" s="168"/>
      <c r="AF196" s="248"/>
      <c r="AG196" s="169">
        <f t="shared" si="21"/>
        <v>29</v>
      </c>
    </row>
    <row r="197" spans="1:33" ht="15.75" customHeight="1" x14ac:dyDescent="0.25">
      <c r="A197" s="170" t="s">
        <v>136</v>
      </c>
      <c r="B197" s="65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222"/>
      <c r="AG197" s="15">
        <f t="shared" si="21"/>
        <v>0</v>
      </c>
    </row>
    <row r="198" spans="1:33" ht="15.75" customHeight="1" x14ac:dyDescent="0.25">
      <c r="A198" s="170" t="s">
        <v>137</v>
      </c>
      <c r="B198" s="65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222"/>
      <c r="AG198" s="15">
        <f t="shared" si="21"/>
        <v>0</v>
      </c>
    </row>
    <row r="199" spans="1:33" ht="15.75" customHeight="1" x14ac:dyDescent="0.25">
      <c r="A199" s="170" t="s">
        <v>138</v>
      </c>
      <c r="B199" s="65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222"/>
      <c r="AG199" s="15">
        <f t="shared" si="21"/>
        <v>0</v>
      </c>
    </row>
    <row r="200" spans="1:33" ht="15.75" customHeight="1" x14ac:dyDescent="0.25">
      <c r="A200" s="170" t="s">
        <v>139</v>
      </c>
      <c r="B200" s="65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222"/>
      <c r="AG200" s="15">
        <f t="shared" si="21"/>
        <v>0</v>
      </c>
    </row>
    <row r="201" spans="1:33" ht="15.75" customHeight="1" x14ac:dyDescent="0.25">
      <c r="A201" s="170" t="s">
        <v>140</v>
      </c>
      <c r="B201" s="65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222"/>
      <c r="AG201" s="15">
        <f t="shared" si="21"/>
        <v>0</v>
      </c>
    </row>
    <row r="202" spans="1:33" ht="15.75" customHeight="1" x14ac:dyDescent="0.25">
      <c r="A202" s="170" t="s">
        <v>141</v>
      </c>
      <c r="B202" s="65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>
        <v>1</v>
      </c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222"/>
      <c r="AG202" s="15">
        <f t="shared" si="21"/>
        <v>1</v>
      </c>
    </row>
    <row r="203" spans="1:33" ht="15.75" customHeight="1" x14ac:dyDescent="0.25">
      <c r="A203" s="64" t="s">
        <v>142</v>
      </c>
      <c r="B203" s="65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222"/>
      <c r="AG203" s="15">
        <f t="shared" si="21"/>
        <v>0</v>
      </c>
    </row>
    <row r="204" spans="1:33" ht="15.75" customHeight="1" x14ac:dyDescent="0.25">
      <c r="A204" s="64" t="s">
        <v>143</v>
      </c>
      <c r="B204" s="65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222"/>
      <c r="AG204" s="15">
        <f t="shared" si="21"/>
        <v>0</v>
      </c>
    </row>
    <row r="205" spans="1:33" ht="15.75" customHeight="1" x14ac:dyDescent="0.25">
      <c r="A205" s="64" t="s">
        <v>144</v>
      </c>
      <c r="B205" s="65"/>
      <c r="C205" s="66"/>
      <c r="D205" s="66"/>
      <c r="E205" s="66"/>
      <c r="F205" s="66"/>
      <c r="G205" s="66"/>
      <c r="H205" s="66"/>
      <c r="I205" s="66"/>
      <c r="J205" s="66"/>
      <c r="K205" s="66">
        <v>2</v>
      </c>
      <c r="L205" s="66"/>
      <c r="M205" s="66">
        <v>1</v>
      </c>
      <c r="N205" s="66"/>
      <c r="O205" s="66"/>
      <c r="P205" s="66"/>
      <c r="Q205" s="66"/>
      <c r="R205" s="66"/>
      <c r="S205" s="66">
        <v>1</v>
      </c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222"/>
      <c r="AG205" s="15">
        <f t="shared" si="21"/>
        <v>4</v>
      </c>
    </row>
    <row r="206" spans="1:33" ht="15.75" customHeight="1" x14ac:dyDescent="0.25">
      <c r="A206" s="64" t="s">
        <v>145</v>
      </c>
      <c r="B206" s="171">
        <v>1</v>
      </c>
      <c r="C206" s="172"/>
      <c r="D206" s="172">
        <v>1</v>
      </c>
      <c r="E206" s="172"/>
      <c r="F206" s="172"/>
      <c r="G206" s="172"/>
      <c r="H206" s="172">
        <v>1</v>
      </c>
      <c r="I206" s="172">
        <v>2</v>
      </c>
      <c r="J206" s="172">
        <v>1</v>
      </c>
      <c r="K206" s="172"/>
      <c r="L206" s="172"/>
      <c r="M206" s="172"/>
      <c r="N206" s="172"/>
      <c r="O206" s="172"/>
      <c r="P206" s="172"/>
      <c r="Q206" s="172">
        <v>1</v>
      </c>
      <c r="R206" s="172"/>
      <c r="S206" s="172">
        <v>1</v>
      </c>
      <c r="T206" s="172"/>
      <c r="U206" s="172"/>
      <c r="V206" s="172"/>
      <c r="W206" s="172"/>
      <c r="X206" s="172"/>
      <c r="Y206" s="172">
        <v>1</v>
      </c>
      <c r="Z206" s="172">
        <v>1</v>
      </c>
      <c r="AA206" s="172">
        <v>3</v>
      </c>
      <c r="AB206" s="172"/>
      <c r="AC206" s="172"/>
      <c r="AD206" s="172"/>
      <c r="AE206" s="172"/>
      <c r="AF206" s="249"/>
      <c r="AG206" s="15">
        <f t="shared" si="21"/>
        <v>13</v>
      </c>
    </row>
    <row r="207" spans="1:33" ht="15.75" customHeight="1" x14ac:dyDescent="0.25">
      <c r="A207" s="173" t="s">
        <v>146</v>
      </c>
      <c r="B207" s="171">
        <v>1</v>
      </c>
      <c r="C207" s="172"/>
      <c r="D207" s="172"/>
      <c r="E207" s="172"/>
      <c r="F207" s="172">
        <v>1</v>
      </c>
      <c r="G207" s="172"/>
      <c r="H207" s="172"/>
      <c r="I207" s="172"/>
      <c r="J207" s="172"/>
      <c r="K207" s="172"/>
      <c r="L207" s="172"/>
      <c r="M207" s="172"/>
      <c r="N207" s="172"/>
      <c r="O207" s="172">
        <v>1</v>
      </c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  <c r="AA207" s="172"/>
      <c r="AB207" s="172"/>
      <c r="AC207" s="172"/>
      <c r="AD207" s="172"/>
      <c r="AE207" s="172"/>
      <c r="AF207" s="249"/>
      <c r="AG207" s="15">
        <f t="shared" si="21"/>
        <v>3</v>
      </c>
    </row>
    <row r="208" spans="1:33" ht="15.75" customHeight="1" x14ac:dyDescent="0.25">
      <c r="A208" s="174" t="s">
        <v>147</v>
      </c>
      <c r="B208" s="171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  <c r="AA208" s="172"/>
      <c r="AB208" s="172"/>
      <c r="AC208" s="172"/>
      <c r="AD208" s="172"/>
      <c r="AE208" s="172"/>
      <c r="AF208" s="249"/>
      <c r="AG208" s="106">
        <f t="shared" si="21"/>
        <v>0</v>
      </c>
    </row>
    <row r="209" spans="1:34" ht="15.75" customHeight="1" x14ac:dyDescent="0.25">
      <c r="A209" s="175" t="s">
        <v>148</v>
      </c>
      <c r="B209" s="176">
        <f t="shared" ref="B209:AF209" si="28">SUM(B210:B214)</f>
        <v>190</v>
      </c>
      <c r="C209" s="177">
        <f t="shared" si="28"/>
        <v>162</v>
      </c>
      <c r="D209" s="177">
        <f t="shared" si="28"/>
        <v>159</v>
      </c>
      <c r="E209" s="177">
        <f t="shared" si="28"/>
        <v>164</v>
      </c>
      <c r="F209" s="177">
        <f t="shared" si="28"/>
        <v>193</v>
      </c>
      <c r="G209" s="177">
        <f t="shared" si="28"/>
        <v>208</v>
      </c>
      <c r="H209" s="177">
        <f t="shared" si="28"/>
        <v>78</v>
      </c>
      <c r="I209" s="177">
        <f t="shared" si="28"/>
        <v>197</v>
      </c>
      <c r="J209" s="177">
        <f t="shared" si="28"/>
        <v>195</v>
      </c>
      <c r="K209" s="177">
        <f t="shared" si="28"/>
        <v>186</v>
      </c>
      <c r="L209" s="177">
        <f t="shared" si="28"/>
        <v>181</v>
      </c>
      <c r="M209" s="177">
        <f t="shared" si="28"/>
        <v>209</v>
      </c>
      <c r="N209" s="177">
        <f t="shared" si="28"/>
        <v>225</v>
      </c>
      <c r="O209" s="177">
        <f t="shared" si="28"/>
        <v>171</v>
      </c>
      <c r="P209" s="177">
        <f t="shared" si="28"/>
        <v>203</v>
      </c>
      <c r="Q209" s="177">
        <f t="shared" si="28"/>
        <v>190</v>
      </c>
      <c r="R209" s="177">
        <f t="shared" si="28"/>
        <v>163</v>
      </c>
      <c r="S209" s="177">
        <f t="shared" si="28"/>
        <v>171</v>
      </c>
      <c r="T209" s="177">
        <f t="shared" si="28"/>
        <v>190</v>
      </c>
      <c r="U209" s="177">
        <f t="shared" si="28"/>
        <v>223</v>
      </c>
      <c r="V209" s="177">
        <f t="shared" si="28"/>
        <v>196</v>
      </c>
      <c r="W209" s="177">
        <f t="shared" si="28"/>
        <v>177</v>
      </c>
      <c r="X209" s="177">
        <f t="shared" si="28"/>
        <v>187</v>
      </c>
      <c r="Y209" s="177">
        <f t="shared" si="28"/>
        <v>183</v>
      </c>
      <c r="Z209" s="177">
        <f t="shared" si="28"/>
        <v>189</v>
      </c>
      <c r="AA209" s="177">
        <f t="shared" si="28"/>
        <v>193</v>
      </c>
      <c r="AB209" s="177">
        <f t="shared" si="28"/>
        <v>230</v>
      </c>
      <c r="AC209" s="177">
        <f t="shared" si="28"/>
        <v>234</v>
      </c>
      <c r="AD209" s="177">
        <f t="shared" si="28"/>
        <v>0</v>
      </c>
      <c r="AE209" s="177">
        <f t="shared" si="28"/>
        <v>0</v>
      </c>
      <c r="AF209" s="250">
        <f t="shared" si="28"/>
        <v>0</v>
      </c>
      <c r="AG209" s="178">
        <f t="shared" si="21"/>
        <v>5247</v>
      </c>
      <c r="AH209" s="40" t="str">
        <f>IF(AG209&lt;&gt;AG93,"X","")</f>
        <v/>
      </c>
    </row>
    <row r="210" spans="1:34" ht="15.75" customHeight="1" x14ac:dyDescent="0.25">
      <c r="A210" s="179" t="s">
        <v>149</v>
      </c>
      <c r="B210" s="180"/>
      <c r="C210" s="181">
        <v>1</v>
      </c>
      <c r="D210" s="181">
        <v>1</v>
      </c>
      <c r="E210" s="181">
        <v>1</v>
      </c>
      <c r="F210" s="181"/>
      <c r="G210" s="181"/>
      <c r="H210" s="181"/>
      <c r="I210" s="181"/>
      <c r="J210" s="181">
        <v>1</v>
      </c>
      <c r="K210" s="181"/>
      <c r="L210" s="181"/>
      <c r="M210" s="181"/>
      <c r="N210" s="181"/>
      <c r="O210" s="181"/>
      <c r="P210" s="181">
        <v>0</v>
      </c>
      <c r="Q210" s="181"/>
      <c r="R210" s="181"/>
      <c r="S210" s="181">
        <v>1</v>
      </c>
      <c r="T210" s="181"/>
      <c r="U210" s="181"/>
      <c r="V210" s="181">
        <v>1</v>
      </c>
      <c r="W210" s="181"/>
      <c r="X210" s="181"/>
      <c r="Y210" s="181"/>
      <c r="Z210" s="181"/>
      <c r="AA210" s="181"/>
      <c r="AB210" s="181"/>
      <c r="AC210" s="181"/>
      <c r="AD210" s="181"/>
      <c r="AE210" s="181"/>
      <c r="AF210" s="251"/>
      <c r="AG210" s="182">
        <f t="shared" si="21"/>
        <v>6</v>
      </c>
    </row>
    <row r="211" spans="1:34" ht="15.75" customHeight="1" x14ac:dyDescent="0.25">
      <c r="A211" s="183" t="s">
        <v>51</v>
      </c>
      <c r="B211" s="184">
        <v>5</v>
      </c>
      <c r="C211" s="185">
        <v>2</v>
      </c>
      <c r="D211" s="185">
        <v>6</v>
      </c>
      <c r="E211" s="185">
        <v>2</v>
      </c>
      <c r="F211" s="185">
        <v>4</v>
      </c>
      <c r="G211" s="185">
        <v>2</v>
      </c>
      <c r="H211" s="185"/>
      <c r="I211" s="185">
        <v>4</v>
      </c>
      <c r="J211" s="185">
        <v>1</v>
      </c>
      <c r="K211" s="185">
        <v>3</v>
      </c>
      <c r="L211" s="185">
        <v>1</v>
      </c>
      <c r="M211" s="185">
        <v>1</v>
      </c>
      <c r="N211" s="185">
        <v>5</v>
      </c>
      <c r="O211" s="185">
        <v>1</v>
      </c>
      <c r="P211" s="185">
        <v>4</v>
      </c>
      <c r="Q211" s="185">
        <v>1</v>
      </c>
      <c r="R211" s="185">
        <v>1</v>
      </c>
      <c r="S211" s="185"/>
      <c r="T211" s="185">
        <v>1</v>
      </c>
      <c r="U211" s="185">
        <v>5</v>
      </c>
      <c r="V211" s="185">
        <v>4</v>
      </c>
      <c r="W211" s="185">
        <v>3</v>
      </c>
      <c r="X211" s="185"/>
      <c r="Y211" s="185">
        <v>1</v>
      </c>
      <c r="Z211" s="185">
        <v>6</v>
      </c>
      <c r="AA211" s="185">
        <v>5</v>
      </c>
      <c r="AB211" s="185">
        <v>1</v>
      </c>
      <c r="AC211" s="185">
        <v>4</v>
      </c>
      <c r="AD211" s="185"/>
      <c r="AE211" s="185"/>
      <c r="AF211" s="252"/>
      <c r="AG211" s="186">
        <f t="shared" si="21"/>
        <v>73</v>
      </c>
    </row>
    <row r="212" spans="1:34" ht="15.75" customHeight="1" x14ac:dyDescent="0.25">
      <c r="A212" s="183" t="s">
        <v>52</v>
      </c>
      <c r="B212" s="184">
        <v>24</v>
      </c>
      <c r="C212" s="185">
        <v>27</v>
      </c>
      <c r="D212" s="185">
        <v>23</v>
      </c>
      <c r="E212" s="185">
        <v>17</v>
      </c>
      <c r="F212" s="185">
        <v>19</v>
      </c>
      <c r="G212" s="185">
        <v>28</v>
      </c>
      <c r="H212" s="185">
        <v>11</v>
      </c>
      <c r="I212" s="185">
        <v>23</v>
      </c>
      <c r="J212" s="185">
        <v>20</v>
      </c>
      <c r="K212" s="185">
        <v>28</v>
      </c>
      <c r="L212" s="185">
        <v>31</v>
      </c>
      <c r="M212" s="185">
        <v>16</v>
      </c>
      <c r="N212" s="185">
        <v>18</v>
      </c>
      <c r="O212" s="185">
        <v>19</v>
      </c>
      <c r="P212" s="185">
        <v>14</v>
      </c>
      <c r="Q212" s="185">
        <v>20</v>
      </c>
      <c r="R212" s="185">
        <v>20</v>
      </c>
      <c r="S212" s="185">
        <v>17</v>
      </c>
      <c r="T212" s="185">
        <v>22</v>
      </c>
      <c r="U212" s="185">
        <v>31</v>
      </c>
      <c r="V212" s="185">
        <v>25</v>
      </c>
      <c r="W212" s="185">
        <v>30</v>
      </c>
      <c r="X212" s="185">
        <v>26</v>
      </c>
      <c r="Y212" s="185">
        <v>15</v>
      </c>
      <c r="Z212" s="185">
        <v>14</v>
      </c>
      <c r="AA212" s="185">
        <v>28</v>
      </c>
      <c r="AB212" s="185">
        <v>27</v>
      </c>
      <c r="AC212" s="185">
        <v>27</v>
      </c>
      <c r="AD212" s="185"/>
      <c r="AE212" s="185"/>
      <c r="AF212" s="252"/>
      <c r="AG212" s="186">
        <f t="shared" si="21"/>
        <v>620</v>
      </c>
    </row>
    <row r="213" spans="1:34" ht="15.75" customHeight="1" x14ac:dyDescent="0.25">
      <c r="A213" s="183" t="s">
        <v>53</v>
      </c>
      <c r="B213" s="184">
        <v>119</v>
      </c>
      <c r="C213" s="185">
        <v>118</v>
      </c>
      <c r="D213" s="185">
        <v>98</v>
      </c>
      <c r="E213" s="185">
        <v>104</v>
      </c>
      <c r="F213" s="185">
        <v>120</v>
      </c>
      <c r="G213" s="185">
        <v>145</v>
      </c>
      <c r="H213" s="185">
        <v>57</v>
      </c>
      <c r="I213" s="185">
        <v>127</v>
      </c>
      <c r="J213" s="185">
        <v>112</v>
      </c>
      <c r="K213" s="185">
        <v>125</v>
      </c>
      <c r="L213" s="185">
        <v>110</v>
      </c>
      <c r="M213" s="185">
        <v>147</v>
      </c>
      <c r="N213" s="185">
        <v>141</v>
      </c>
      <c r="O213" s="185">
        <v>95</v>
      </c>
      <c r="P213" s="185">
        <v>148</v>
      </c>
      <c r="Q213" s="185">
        <v>117</v>
      </c>
      <c r="R213" s="185">
        <v>99</v>
      </c>
      <c r="S213" s="185">
        <v>111</v>
      </c>
      <c r="T213" s="185">
        <v>126</v>
      </c>
      <c r="U213" s="185">
        <v>144</v>
      </c>
      <c r="V213" s="185">
        <v>140</v>
      </c>
      <c r="W213" s="185">
        <v>112</v>
      </c>
      <c r="X213" s="185">
        <v>134</v>
      </c>
      <c r="Y213" s="185">
        <v>130</v>
      </c>
      <c r="Z213" s="185">
        <v>116</v>
      </c>
      <c r="AA213" s="185">
        <v>119</v>
      </c>
      <c r="AB213" s="185">
        <v>154</v>
      </c>
      <c r="AC213" s="185">
        <v>179</v>
      </c>
      <c r="AD213" s="185"/>
      <c r="AE213" s="185"/>
      <c r="AF213" s="252"/>
      <c r="AG213" s="186">
        <f t="shared" si="21"/>
        <v>3447</v>
      </c>
    </row>
    <row r="214" spans="1:34" ht="15.75" customHeight="1" x14ac:dyDescent="0.25">
      <c r="A214" s="187" t="s">
        <v>54</v>
      </c>
      <c r="B214" s="188">
        <v>42</v>
      </c>
      <c r="C214" s="189">
        <v>14</v>
      </c>
      <c r="D214" s="189">
        <v>31</v>
      </c>
      <c r="E214" s="189">
        <v>40</v>
      </c>
      <c r="F214" s="189">
        <v>50</v>
      </c>
      <c r="G214" s="189">
        <v>33</v>
      </c>
      <c r="H214" s="189">
        <v>10</v>
      </c>
      <c r="I214" s="189">
        <v>43</v>
      </c>
      <c r="J214" s="189">
        <v>61</v>
      </c>
      <c r="K214" s="189">
        <v>30</v>
      </c>
      <c r="L214" s="189">
        <v>39</v>
      </c>
      <c r="M214" s="189">
        <v>45</v>
      </c>
      <c r="N214" s="189">
        <v>61</v>
      </c>
      <c r="O214" s="189">
        <v>56</v>
      </c>
      <c r="P214" s="189">
        <v>37</v>
      </c>
      <c r="Q214" s="189">
        <v>52</v>
      </c>
      <c r="R214" s="189">
        <v>43</v>
      </c>
      <c r="S214" s="189">
        <v>42</v>
      </c>
      <c r="T214" s="189">
        <v>41</v>
      </c>
      <c r="U214" s="189">
        <v>43</v>
      </c>
      <c r="V214" s="189">
        <v>26</v>
      </c>
      <c r="W214" s="189">
        <v>32</v>
      </c>
      <c r="X214" s="189">
        <v>27</v>
      </c>
      <c r="Y214" s="189">
        <v>37</v>
      </c>
      <c r="Z214" s="189">
        <v>53</v>
      </c>
      <c r="AA214" s="189">
        <v>41</v>
      </c>
      <c r="AB214" s="189">
        <v>48</v>
      </c>
      <c r="AC214" s="189">
        <v>24</v>
      </c>
      <c r="AD214" s="189"/>
      <c r="AE214" s="189"/>
      <c r="AF214" s="253"/>
      <c r="AG214" s="190">
        <f t="shared" si="21"/>
        <v>1101</v>
      </c>
    </row>
    <row r="215" spans="1:34" ht="15.75" customHeight="1" x14ac:dyDescent="0.25">
      <c r="A215" s="113" t="s">
        <v>150</v>
      </c>
      <c r="B215" s="114">
        <f t="shared" ref="B215:AF215" si="29">SUM(B216:B218)</f>
        <v>1</v>
      </c>
      <c r="C215" s="115">
        <f t="shared" si="29"/>
        <v>5</v>
      </c>
      <c r="D215" s="115">
        <f t="shared" si="29"/>
        <v>2</v>
      </c>
      <c r="E215" s="115">
        <f t="shared" si="29"/>
        <v>1</v>
      </c>
      <c r="F215" s="115">
        <f t="shared" si="29"/>
        <v>4</v>
      </c>
      <c r="G215" s="115">
        <f t="shared" si="29"/>
        <v>4</v>
      </c>
      <c r="H215" s="115">
        <f t="shared" si="29"/>
        <v>2</v>
      </c>
      <c r="I215" s="115">
        <f t="shared" si="29"/>
        <v>4</v>
      </c>
      <c r="J215" s="115">
        <f t="shared" si="29"/>
        <v>3</v>
      </c>
      <c r="K215" s="115">
        <f t="shared" si="29"/>
        <v>2</v>
      </c>
      <c r="L215" s="115">
        <f t="shared" si="29"/>
        <v>0</v>
      </c>
      <c r="M215" s="115">
        <f t="shared" si="29"/>
        <v>2</v>
      </c>
      <c r="N215" s="115">
        <f t="shared" si="29"/>
        <v>0</v>
      </c>
      <c r="O215" s="115">
        <f t="shared" si="29"/>
        <v>1</v>
      </c>
      <c r="P215" s="115">
        <f t="shared" si="29"/>
        <v>1</v>
      </c>
      <c r="Q215" s="115">
        <f t="shared" si="29"/>
        <v>1</v>
      </c>
      <c r="R215" s="115">
        <f t="shared" si="29"/>
        <v>0</v>
      </c>
      <c r="S215" s="115">
        <f t="shared" si="29"/>
        <v>1</v>
      </c>
      <c r="T215" s="115">
        <f t="shared" si="29"/>
        <v>3</v>
      </c>
      <c r="U215" s="115">
        <f t="shared" si="29"/>
        <v>0</v>
      </c>
      <c r="V215" s="115">
        <f t="shared" si="29"/>
        <v>1</v>
      </c>
      <c r="W215" s="115">
        <f t="shared" si="29"/>
        <v>1</v>
      </c>
      <c r="X215" s="115">
        <f t="shared" si="29"/>
        <v>4</v>
      </c>
      <c r="Y215" s="115">
        <f t="shared" si="29"/>
        <v>0</v>
      </c>
      <c r="Z215" s="115">
        <f t="shared" si="29"/>
        <v>0</v>
      </c>
      <c r="AA215" s="115">
        <f t="shared" si="29"/>
        <v>0</v>
      </c>
      <c r="AB215" s="115">
        <f t="shared" si="29"/>
        <v>0</v>
      </c>
      <c r="AC215" s="115">
        <f t="shared" si="29"/>
        <v>0</v>
      </c>
      <c r="AD215" s="115">
        <f t="shared" si="29"/>
        <v>0</v>
      </c>
      <c r="AE215" s="115">
        <f t="shared" si="29"/>
        <v>0</v>
      </c>
      <c r="AF215" s="234">
        <f t="shared" si="29"/>
        <v>0</v>
      </c>
      <c r="AG215" s="116">
        <f t="shared" si="21"/>
        <v>43</v>
      </c>
    </row>
    <row r="216" spans="1:34" ht="15.75" customHeight="1" x14ac:dyDescent="0.25">
      <c r="A216" s="191" t="s">
        <v>151</v>
      </c>
      <c r="B216" s="196">
        <v>0</v>
      </c>
      <c r="C216" s="197">
        <v>0</v>
      </c>
      <c r="D216" s="197">
        <v>0</v>
      </c>
      <c r="E216" s="197">
        <v>0</v>
      </c>
      <c r="F216" s="197">
        <v>1</v>
      </c>
      <c r="G216" s="197">
        <v>1</v>
      </c>
      <c r="H216" s="197">
        <v>0</v>
      </c>
      <c r="I216" s="197">
        <v>3</v>
      </c>
      <c r="J216" s="197">
        <v>1</v>
      </c>
      <c r="K216" s="197">
        <v>0</v>
      </c>
      <c r="L216" s="197">
        <v>0</v>
      </c>
      <c r="M216" s="197">
        <v>0</v>
      </c>
      <c r="N216" s="197">
        <v>0</v>
      </c>
      <c r="O216" s="197">
        <v>0</v>
      </c>
      <c r="P216" s="197">
        <v>1</v>
      </c>
      <c r="Q216" s="197">
        <v>0</v>
      </c>
      <c r="R216" s="197">
        <v>0</v>
      </c>
      <c r="S216" s="197">
        <v>0</v>
      </c>
      <c r="T216" s="197">
        <v>0</v>
      </c>
      <c r="U216" s="197">
        <v>0</v>
      </c>
      <c r="V216" s="197">
        <v>0</v>
      </c>
      <c r="W216" s="197">
        <v>0</v>
      </c>
      <c r="X216" s="197">
        <v>1</v>
      </c>
      <c r="Y216" s="197"/>
      <c r="Z216" s="197"/>
      <c r="AA216" s="197"/>
      <c r="AB216" s="197"/>
      <c r="AC216" s="197"/>
      <c r="AD216" s="197"/>
      <c r="AE216" s="197"/>
      <c r="AF216" s="255"/>
      <c r="AG216" s="164">
        <f t="shared" si="21"/>
        <v>8</v>
      </c>
    </row>
    <row r="217" spans="1:34" ht="15.75" customHeight="1" x14ac:dyDescent="0.25">
      <c r="A217" s="195" t="s">
        <v>152</v>
      </c>
      <c r="B217" s="196">
        <v>0</v>
      </c>
      <c r="C217" s="197">
        <v>0</v>
      </c>
      <c r="D217" s="197">
        <v>0</v>
      </c>
      <c r="E217" s="197">
        <v>0</v>
      </c>
      <c r="F217" s="197">
        <v>0</v>
      </c>
      <c r="G217" s="197">
        <v>0</v>
      </c>
      <c r="H217" s="197">
        <v>0</v>
      </c>
      <c r="I217" s="197">
        <v>0</v>
      </c>
      <c r="J217" s="197">
        <v>0</v>
      </c>
      <c r="K217" s="197">
        <v>0</v>
      </c>
      <c r="L217" s="197">
        <v>0</v>
      </c>
      <c r="M217" s="197">
        <v>0</v>
      </c>
      <c r="N217" s="197">
        <v>0</v>
      </c>
      <c r="O217" s="197">
        <v>0</v>
      </c>
      <c r="P217" s="197">
        <v>0</v>
      </c>
      <c r="Q217" s="197">
        <v>0</v>
      </c>
      <c r="R217" s="197">
        <v>0</v>
      </c>
      <c r="S217" s="197">
        <v>0</v>
      </c>
      <c r="T217" s="197">
        <v>0</v>
      </c>
      <c r="U217" s="197">
        <v>0</v>
      </c>
      <c r="V217" s="197">
        <v>0</v>
      </c>
      <c r="W217" s="197">
        <v>1</v>
      </c>
      <c r="X217" s="197">
        <v>0</v>
      </c>
      <c r="Y217" s="197"/>
      <c r="Z217" s="197"/>
      <c r="AA217" s="197"/>
      <c r="AB217" s="197"/>
      <c r="AC217" s="197"/>
      <c r="AD217" s="197"/>
      <c r="AE217" s="197"/>
      <c r="AF217" s="255"/>
      <c r="AG217" s="164">
        <f t="shared" si="21"/>
        <v>1</v>
      </c>
    </row>
    <row r="218" spans="1:34" ht="15.75" customHeight="1" x14ac:dyDescent="0.25">
      <c r="A218" s="195" t="s">
        <v>153</v>
      </c>
      <c r="B218" s="196">
        <v>1</v>
      </c>
      <c r="C218" s="197">
        <v>5</v>
      </c>
      <c r="D218" s="197">
        <v>2</v>
      </c>
      <c r="E218" s="197">
        <v>1</v>
      </c>
      <c r="F218" s="197">
        <v>3</v>
      </c>
      <c r="G218" s="197">
        <v>3</v>
      </c>
      <c r="H218" s="197">
        <v>2</v>
      </c>
      <c r="I218" s="197">
        <v>1</v>
      </c>
      <c r="J218" s="197">
        <v>2</v>
      </c>
      <c r="K218" s="197">
        <v>2</v>
      </c>
      <c r="L218" s="197">
        <v>0</v>
      </c>
      <c r="M218" s="197">
        <v>2</v>
      </c>
      <c r="N218" s="197">
        <v>0</v>
      </c>
      <c r="O218" s="197">
        <v>1</v>
      </c>
      <c r="P218" s="197">
        <v>0</v>
      </c>
      <c r="Q218" s="197">
        <v>1</v>
      </c>
      <c r="R218" s="197"/>
      <c r="S218" s="197">
        <v>1</v>
      </c>
      <c r="T218" s="197">
        <v>3</v>
      </c>
      <c r="U218" s="197">
        <v>0</v>
      </c>
      <c r="V218" s="197">
        <v>1</v>
      </c>
      <c r="W218" s="197">
        <v>0</v>
      </c>
      <c r="X218" s="197">
        <v>3</v>
      </c>
      <c r="Y218" s="197"/>
      <c r="Z218" s="197"/>
      <c r="AA218" s="197"/>
      <c r="AB218" s="197"/>
      <c r="AC218" s="197"/>
      <c r="AD218" s="197"/>
      <c r="AE218" s="197"/>
      <c r="AF218" s="255"/>
      <c r="AG218" s="164">
        <f t="shared" si="21"/>
        <v>34</v>
      </c>
    </row>
    <row r="219" spans="1:34" ht="15.75" customHeight="1" x14ac:dyDescent="0.25">
      <c r="A219" s="88" t="s">
        <v>154</v>
      </c>
      <c r="B219" s="89">
        <f t="shared" ref="B219:AF219" si="30">SUM(B220:B222)</f>
        <v>33</v>
      </c>
      <c r="C219" s="90">
        <f t="shared" si="30"/>
        <v>22</v>
      </c>
      <c r="D219" s="90">
        <f t="shared" si="30"/>
        <v>12</v>
      </c>
      <c r="E219" s="90">
        <f t="shared" si="30"/>
        <v>8</v>
      </c>
      <c r="F219" s="90">
        <f t="shared" si="30"/>
        <v>35</v>
      </c>
      <c r="G219" s="90">
        <f t="shared" si="30"/>
        <v>7</v>
      </c>
      <c r="H219" s="90">
        <f t="shared" si="30"/>
        <v>16</v>
      </c>
      <c r="I219" s="90">
        <f t="shared" si="30"/>
        <v>24</v>
      </c>
      <c r="J219" s="90">
        <f t="shared" si="30"/>
        <v>19</v>
      </c>
      <c r="K219" s="90">
        <f t="shared" si="30"/>
        <v>14</v>
      </c>
      <c r="L219" s="90">
        <f t="shared" si="30"/>
        <v>15</v>
      </c>
      <c r="M219" s="90">
        <f t="shared" si="30"/>
        <v>10</v>
      </c>
      <c r="N219" s="90">
        <f t="shared" si="30"/>
        <v>22</v>
      </c>
      <c r="O219" s="90">
        <f t="shared" si="30"/>
        <v>14</v>
      </c>
      <c r="P219" s="90">
        <f t="shared" si="30"/>
        <v>29</v>
      </c>
      <c r="Q219" s="90">
        <f t="shared" si="30"/>
        <v>25</v>
      </c>
      <c r="R219" s="90">
        <f t="shared" si="30"/>
        <v>14</v>
      </c>
      <c r="S219" s="90">
        <f t="shared" si="30"/>
        <v>16</v>
      </c>
      <c r="T219" s="90">
        <f t="shared" si="30"/>
        <v>15</v>
      </c>
      <c r="U219" s="90">
        <f t="shared" si="30"/>
        <v>26</v>
      </c>
      <c r="V219" s="90">
        <f t="shared" si="30"/>
        <v>23</v>
      </c>
      <c r="W219" s="90">
        <f t="shared" si="30"/>
        <v>19</v>
      </c>
      <c r="X219" s="90">
        <f t="shared" si="30"/>
        <v>11</v>
      </c>
      <c r="Y219" s="90">
        <f t="shared" si="30"/>
        <v>0</v>
      </c>
      <c r="Z219" s="90">
        <f t="shared" si="30"/>
        <v>0</v>
      </c>
      <c r="AA219" s="90">
        <f t="shared" si="30"/>
        <v>0</v>
      </c>
      <c r="AB219" s="90">
        <f t="shared" si="30"/>
        <v>0</v>
      </c>
      <c r="AC219" s="90">
        <f t="shared" si="30"/>
        <v>0</v>
      </c>
      <c r="AD219" s="90">
        <f t="shared" si="30"/>
        <v>0</v>
      </c>
      <c r="AE219" s="90">
        <f t="shared" si="30"/>
        <v>0</v>
      </c>
      <c r="AF219" s="90">
        <f t="shared" si="30"/>
        <v>0</v>
      </c>
      <c r="AG219" s="91">
        <f t="shared" si="21"/>
        <v>429</v>
      </c>
    </row>
    <row r="220" spans="1:34" ht="15.75" customHeight="1" x14ac:dyDescent="0.25">
      <c r="A220" s="198" t="s">
        <v>155</v>
      </c>
      <c r="B220" s="199">
        <v>9</v>
      </c>
      <c r="C220" s="200">
        <v>3</v>
      </c>
      <c r="D220" s="200">
        <v>1</v>
      </c>
      <c r="E220" s="200">
        <v>3</v>
      </c>
      <c r="F220" s="200">
        <v>14</v>
      </c>
      <c r="G220" s="200">
        <v>4</v>
      </c>
      <c r="H220" s="200">
        <v>7</v>
      </c>
      <c r="I220" s="200">
        <v>3</v>
      </c>
      <c r="J220" s="200">
        <v>6</v>
      </c>
      <c r="K220" s="200">
        <v>5</v>
      </c>
      <c r="L220" s="200">
        <v>3</v>
      </c>
      <c r="M220" s="200">
        <v>5</v>
      </c>
      <c r="N220" s="200">
        <v>3</v>
      </c>
      <c r="O220" s="200">
        <v>2</v>
      </c>
      <c r="P220" s="200">
        <v>13</v>
      </c>
      <c r="Q220" s="200">
        <v>5</v>
      </c>
      <c r="R220" s="200">
        <v>2</v>
      </c>
      <c r="S220" s="200">
        <v>5</v>
      </c>
      <c r="T220" s="200">
        <v>4</v>
      </c>
      <c r="U220" s="200">
        <v>9</v>
      </c>
      <c r="V220" s="200">
        <v>8</v>
      </c>
      <c r="W220" s="200">
        <v>5</v>
      </c>
      <c r="X220" s="200">
        <v>5</v>
      </c>
      <c r="Y220" s="200"/>
      <c r="Z220" s="200"/>
      <c r="AA220" s="200"/>
      <c r="AB220" s="200"/>
      <c r="AC220" s="200"/>
      <c r="AD220" s="200"/>
      <c r="AE220" s="200"/>
      <c r="AF220" s="200"/>
      <c r="AG220" s="201">
        <f t="shared" si="21"/>
        <v>124</v>
      </c>
    </row>
    <row r="221" spans="1:34" ht="15.75" customHeight="1" x14ac:dyDescent="0.25">
      <c r="A221" s="202" t="s">
        <v>156</v>
      </c>
      <c r="B221" s="120">
        <v>24</v>
      </c>
      <c r="C221" s="121">
        <v>19</v>
      </c>
      <c r="D221" s="121">
        <v>11</v>
      </c>
      <c r="E221" s="121">
        <v>5</v>
      </c>
      <c r="F221" s="121">
        <v>21</v>
      </c>
      <c r="G221" s="121">
        <v>3</v>
      </c>
      <c r="H221" s="121">
        <v>9</v>
      </c>
      <c r="I221" s="121">
        <v>21</v>
      </c>
      <c r="J221" s="121">
        <v>13</v>
      </c>
      <c r="K221" s="121">
        <v>9</v>
      </c>
      <c r="L221" s="121">
        <v>12</v>
      </c>
      <c r="M221" s="121">
        <v>5</v>
      </c>
      <c r="N221" s="121">
        <v>19</v>
      </c>
      <c r="O221" s="121">
        <v>12</v>
      </c>
      <c r="P221" s="121">
        <v>16</v>
      </c>
      <c r="Q221" s="121">
        <v>20</v>
      </c>
      <c r="R221" s="121">
        <v>12</v>
      </c>
      <c r="S221" s="121">
        <v>11</v>
      </c>
      <c r="T221" s="121">
        <v>11</v>
      </c>
      <c r="U221" s="121">
        <v>17</v>
      </c>
      <c r="V221" s="121">
        <v>15</v>
      </c>
      <c r="W221" s="121">
        <v>14</v>
      </c>
      <c r="X221" s="121">
        <v>6</v>
      </c>
      <c r="Y221" s="121"/>
      <c r="Z221" s="121"/>
      <c r="AA221" s="121"/>
      <c r="AB221" s="121"/>
      <c r="AC221" s="121"/>
      <c r="AD221" s="121"/>
      <c r="AE221" s="121"/>
      <c r="AF221" s="121"/>
      <c r="AG221" s="122">
        <f t="shared" si="21"/>
        <v>305</v>
      </c>
    </row>
    <row r="222" spans="1:34" ht="15.75" customHeight="1" x14ac:dyDescent="0.25">
      <c r="A222" s="74" t="s">
        <v>157</v>
      </c>
      <c r="B222" s="75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112">
        <f t="shared" si="21"/>
        <v>0</v>
      </c>
    </row>
    <row r="223" spans="1:34" ht="15.75" customHeight="1" x14ac:dyDescent="0.25">
      <c r="A223" s="203" t="s">
        <v>158</v>
      </c>
      <c r="B223" s="85">
        <f t="shared" ref="B223:AF223" si="31">SUM(B224:B226)</f>
        <v>1</v>
      </c>
      <c r="C223" s="86">
        <f t="shared" si="31"/>
        <v>0</v>
      </c>
      <c r="D223" s="86">
        <f t="shared" si="31"/>
        <v>3</v>
      </c>
      <c r="E223" s="86">
        <f t="shared" si="31"/>
        <v>4</v>
      </c>
      <c r="F223" s="86">
        <f t="shared" si="31"/>
        <v>3</v>
      </c>
      <c r="G223" s="86">
        <f t="shared" si="31"/>
        <v>6</v>
      </c>
      <c r="H223" s="86">
        <f t="shared" si="31"/>
        <v>2</v>
      </c>
      <c r="I223" s="86">
        <f t="shared" si="31"/>
        <v>5</v>
      </c>
      <c r="J223" s="86">
        <f t="shared" si="31"/>
        <v>6</v>
      </c>
      <c r="K223" s="86">
        <f t="shared" si="31"/>
        <v>3</v>
      </c>
      <c r="L223" s="86">
        <f t="shared" si="31"/>
        <v>2</v>
      </c>
      <c r="M223" s="86">
        <f t="shared" si="31"/>
        <v>2</v>
      </c>
      <c r="N223" s="86">
        <f t="shared" si="31"/>
        <v>5</v>
      </c>
      <c r="O223" s="86">
        <f t="shared" si="31"/>
        <v>2</v>
      </c>
      <c r="P223" s="86">
        <f t="shared" si="31"/>
        <v>2</v>
      </c>
      <c r="Q223" s="86">
        <f t="shared" si="31"/>
        <v>4</v>
      </c>
      <c r="R223" s="86">
        <f t="shared" si="31"/>
        <v>4</v>
      </c>
      <c r="S223" s="86">
        <f t="shared" si="31"/>
        <v>3</v>
      </c>
      <c r="T223" s="86">
        <f t="shared" si="31"/>
        <v>5</v>
      </c>
      <c r="U223" s="86">
        <f t="shared" si="31"/>
        <v>3</v>
      </c>
      <c r="V223" s="86">
        <f t="shared" si="31"/>
        <v>4</v>
      </c>
      <c r="W223" s="86">
        <f t="shared" si="31"/>
        <v>2</v>
      </c>
      <c r="X223" s="86">
        <f t="shared" si="31"/>
        <v>0</v>
      </c>
      <c r="Y223" s="86">
        <f t="shared" si="31"/>
        <v>0</v>
      </c>
      <c r="Z223" s="86">
        <f t="shared" si="31"/>
        <v>0</v>
      </c>
      <c r="AA223" s="86">
        <f t="shared" si="31"/>
        <v>0</v>
      </c>
      <c r="AB223" s="86">
        <f t="shared" si="31"/>
        <v>0</v>
      </c>
      <c r="AC223" s="86">
        <f t="shared" si="31"/>
        <v>0</v>
      </c>
      <c r="AD223" s="86">
        <f t="shared" si="31"/>
        <v>0</v>
      </c>
      <c r="AE223" s="86">
        <f t="shared" si="31"/>
        <v>0</v>
      </c>
      <c r="AF223" s="86">
        <f t="shared" si="31"/>
        <v>0</v>
      </c>
      <c r="AG223" s="110">
        <f t="shared" si="21"/>
        <v>71</v>
      </c>
      <c r="AH223" s="364" t="s">
        <v>159</v>
      </c>
    </row>
    <row r="224" spans="1:34" ht="15.75" customHeight="1" x14ac:dyDescent="0.25">
      <c r="A224" s="204" t="s">
        <v>160</v>
      </c>
      <c r="B224" s="205">
        <v>1</v>
      </c>
      <c r="C224" s="206">
        <v>0</v>
      </c>
      <c r="D224" s="206">
        <v>2</v>
      </c>
      <c r="E224" s="206">
        <v>1</v>
      </c>
      <c r="F224" s="206">
        <v>2</v>
      </c>
      <c r="G224" s="206">
        <v>2</v>
      </c>
      <c r="H224" s="206">
        <v>0</v>
      </c>
      <c r="I224" s="206">
        <v>2</v>
      </c>
      <c r="J224" s="206">
        <v>2</v>
      </c>
      <c r="K224" s="206">
        <v>1</v>
      </c>
      <c r="L224" s="206">
        <v>0</v>
      </c>
      <c r="M224" s="206">
        <v>1</v>
      </c>
      <c r="N224" s="205">
        <v>3</v>
      </c>
      <c r="O224" s="206">
        <v>2</v>
      </c>
      <c r="P224" s="206">
        <v>1</v>
      </c>
      <c r="Q224" s="206">
        <v>2</v>
      </c>
      <c r="R224" s="206">
        <v>3</v>
      </c>
      <c r="S224" s="206">
        <v>0</v>
      </c>
      <c r="T224" s="206">
        <v>1</v>
      </c>
      <c r="U224" s="206">
        <v>1</v>
      </c>
      <c r="V224" s="206">
        <v>2</v>
      </c>
      <c r="W224" s="206">
        <v>0</v>
      </c>
      <c r="X224" s="206"/>
      <c r="Y224" s="206"/>
      <c r="Z224" s="256"/>
      <c r="AA224" s="206"/>
      <c r="AB224" s="206"/>
      <c r="AC224" s="206"/>
      <c r="AD224" s="206"/>
      <c r="AE224" s="206"/>
      <c r="AF224" s="257"/>
      <c r="AG224" s="207">
        <f t="shared" si="21"/>
        <v>29</v>
      </c>
      <c r="AH224" s="365"/>
    </row>
    <row r="225" spans="1:34" ht="15.75" customHeight="1" x14ac:dyDescent="0.25">
      <c r="A225" s="204" t="s">
        <v>161</v>
      </c>
      <c r="B225" s="205">
        <v>0</v>
      </c>
      <c r="C225" s="206">
        <v>0</v>
      </c>
      <c r="D225" s="206">
        <v>1</v>
      </c>
      <c r="E225" s="206">
        <v>3</v>
      </c>
      <c r="F225" s="206">
        <v>1</v>
      </c>
      <c r="G225" s="206">
        <v>4</v>
      </c>
      <c r="H225" s="206">
        <v>2</v>
      </c>
      <c r="I225" s="206">
        <v>3</v>
      </c>
      <c r="J225" s="206">
        <v>4</v>
      </c>
      <c r="K225" s="206">
        <v>2</v>
      </c>
      <c r="L225" s="206">
        <v>2</v>
      </c>
      <c r="M225" s="206">
        <v>1</v>
      </c>
      <c r="N225" s="205">
        <v>2</v>
      </c>
      <c r="O225" s="206">
        <v>0</v>
      </c>
      <c r="P225" s="206">
        <v>1</v>
      </c>
      <c r="Q225" s="206">
        <v>2</v>
      </c>
      <c r="R225" s="206">
        <v>1</v>
      </c>
      <c r="S225" s="206">
        <v>3</v>
      </c>
      <c r="T225" s="206">
        <v>4</v>
      </c>
      <c r="U225" s="206">
        <v>2</v>
      </c>
      <c r="V225" s="206">
        <v>2</v>
      </c>
      <c r="W225" s="206">
        <v>2</v>
      </c>
      <c r="X225" s="206"/>
      <c r="Y225" s="206"/>
      <c r="Z225" s="256"/>
      <c r="AA225" s="206"/>
      <c r="AB225" s="206"/>
      <c r="AC225" s="206"/>
      <c r="AD225" s="206"/>
      <c r="AE225" s="206"/>
      <c r="AF225" s="257"/>
      <c r="AG225" s="207">
        <f t="shared" si="21"/>
        <v>42</v>
      </c>
      <c r="AH225" s="365"/>
    </row>
    <row r="226" spans="1:34" ht="15.75" customHeight="1" x14ac:dyDescent="0.25">
      <c r="A226" s="208" t="s">
        <v>162</v>
      </c>
      <c r="B226" s="209"/>
      <c r="C226" s="210"/>
      <c r="D226" s="210"/>
      <c r="E226" s="210"/>
      <c r="F226" s="210"/>
      <c r="G226" s="210"/>
      <c r="H226" s="210"/>
      <c r="I226" s="210"/>
      <c r="J226" s="210"/>
      <c r="K226" s="211"/>
      <c r="L226" s="211"/>
      <c r="M226" s="211"/>
      <c r="N226" s="258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60"/>
      <c r="AG226" s="106">
        <f t="shared" si="21"/>
        <v>0</v>
      </c>
      <c r="AH226" s="366"/>
    </row>
    <row r="227" spans="1:34" ht="15.75" customHeight="1" x14ac:dyDescent="0.25"/>
    <row r="228" spans="1:34" ht="15.75" customHeight="1" x14ac:dyDescent="0.25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</row>
    <row r="229" spans="1:34" ht="15.75" customHeight="1" x14ac:dyDescent="0.25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</row>
    <row r="230" spans="1:34" ht="15.75" customHeight="1" x14ac:dyDescent="0.25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</row>
    <row r="231" spans="1:34" ht="15.75" customHeight="1" x14ac:dyDescent="0.25"/>
    <row r="232" spans="1:34" ht="15.75" customHeight="1" x14ac:dyDescent="0.25"/>
    <row r="233" spans="1:34" ht="15.75" customHeight="1" x14ac:dyDescent="0.25"/>
    <row r="234" spans="1:34" ht="15.75" customHeight="1" x14ac:dyDescent="0.25"/>
    <row r="235" spans="1:34" ht="15.75" customHeight="1" x14ac:dyDescent="0.25"/>
    <row r="236" spans="1:34" ht="15.75" customHeight="1" x14ac:dyDescent="0.25"/>
    <row r="237" spans="1:34" ht="15.75" customHeight="1" x14ac:dyDescent="0.25"/>
    <row r="238" spans="1:34" ht="15.75" customHeight="1" x14ac:dyDescent="0.25"/>
    <row r="239" spans="1:34" ht="15.75" customHeight="1" x14ac:dyDescent="0.25"/>
    <row r="240" spans="1:3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9.5" customHeight="1" x14ac:dyDescent="0.25"/>
    <row r="258" ht="15.75" customHeight="1" x14ac:dyDescent="0.25"/>
    <row r="259" ht="18.75" customHeight="1" x14ac:dyDescent="0.25"/>
    <row r="260" ht="15.75" customHeight="1" x14ac:dyDescent="0.25"/>
    <row r="261" ht="15.75" customHeight="1" x14ac:dyDescent="0.25"/>
    <row r="262" ht="18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G1"/>
    <mergeCell ref="AI84:AI86"/>
    <mergeCell ref="AH223:AH226"/>
  </mergeCells>
  <conditionalFormatting sqref="B29:AF52">
    <cfRule type="cellIs" dxfId="96" priority="5" operator="lessThan">
      <formula>0</formula>
    </cfRule>
  </conditionalFormatting>
  <conditionalFormatting sqref="D54:D77">
    <cfRule type="cellIs" dxfId="95" priority="9" operator="lessThan">
      <formula>0</formula>
    </cfRule>
  </conditionalFormatting>
  <conditionalFormatting sqref="G54:G77">
    <cfRule type="cellIs" dxfId="94" priority="10" operator="lessThan">
      <formula>0</formula>
    </cfRule>
  </conditionalFormatting>
  <conditionalFormatting sqref="AH81">
    <cfRule type="cellIs" dxfId="93" priority="7" operator="equal">
      <formula>"*"</formula>
    </cfRule>
  </conditionalFormatting>
  <conditionalFormatting sqref="AH84 AH87">
    <cfRule type="cellIs" dxfId="92" priority="6" operator="equal">
      <formula>"*"</formula>
    </cfRule>
  </conditionalFormatting>
  <conditionalFormatting sqref="AH93">
    <cfRule type="cellIs" dxfId="91" priority="1" operator="equal">
      <formula>"*"</formula>
    </cfRule>
  </conditionalFormatting>
  <conditionalFormatting sqref="AH130">
    <cfRule type="cellIs" dxfId="90" priority="3" operator="equal">
      <formula>"*"</formula>
    </cfRule>
  </conditionalFormatting>
  <conditionalFormatting sqref="AH144:AH145">
    <cfRule type="cellIs" dxfId="89" priority="2" operator="equal">
      <formula>"*"</formula>
    </cfRule>
  </conditionalFormatting>
  <conditionalFormatting sqref="AH182">
    <cfRule type="cellIs" dxfId="88" priority="4" operator="equal">
      <formula>"*"</formula>
    </cfRule>
  </conditionalFormatting>
  <conditionalFormatting sqref="AH209">
    <cfRule type="cellIs" dxfId="87" priority="8" operator="equal">
      <formula>"X"</formula>
    </cfRule>
  </conditionalFormatting>
  <dataValidations count="1">
    <dataValidation type="decimal" allowBlank="1" showInputMessage="1" showErrorMessage="1" prompt="ERROR - Por favor ingrese solo Números" sqref="A98:A99 A101:A115" xr:uid="{00000000-0002-0000-0300-000000000000}">
      <formula1>0</formula1>
      <formula2>1000000000</formula2>
    </dataValidation>
  </dataValidation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AI1000"/>
  <sheetViews>
    <sheetView workbookViewId="0">
      <pane ySplit="3" topLeftCell="A141" activePane="bottomLeft" state="frozen"/>
      <selection activeCell="A192" sqref="A192:XFD192"/>
      <selection pane="bottomLeft" activeCell="A192" sqref="A192:XFD192"/>
    </sheetView>
  </sheetViews>
  <sheetFormatPr baseColWidth="10" defaultColWidth="14.42578125" defaultRowHeight="15" customHeight="1" x14ac:dyDescent="0.25"/>
  <cols>
    <col min="1" max="1" width="34.7109375" customWidth="1"/>
    <col min="2" max="13" width="8.28515625" customWidth="1"/>
    <col min="14" max="14" width="8.140625" customWidth="1"/>
    <col min="15" max="19" width="8.28515625" customWidth="1"/>
    <col min="20" max="27" width="8.28515625" hidden="1" customWidth="1"/>
    <col min="28" max="28" width="9.7109375" hidden="1" customWidth="1"/>
    <col min="29" max="30" width="8.28515625" hidden="1" customWidth="1"/>
    <col min="31" max="32" width="8.28515625" customWidth="1"/>
    <col min="33" max="33" width="11.140625" customWidth="1"/>
    <col min="34" max="34" width="12.42578125" customWidth="1"/>
    <col min="35" max="35" width="10.7109375" customWidth="1"/>
  </cols>
  <sheetData>
    <row r="1" spans="1:33" ht="21" x14ac:dyDescent="0.25">
      <c r="A1" s="358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60"/>
    </row>
    <row r="2" spans="1:33" ht="28.5" x14ac:dyDescent="0.25">
      <c r="A2" s="1" t="s">
        <v>3</v>
      </c>
      <c r="B2" s="261">
        <v>1</v>
      </c>
      <c r="C2" s="262">
        <f t="shared" ref="C2:AA2" si="0">+B2+1</f>
        <v>2</v>
      </c>
      <c r="D2" s="262">
        <f t="shared" si="0"/>
        <v>3</v>
      </c>
      <c r="E2" s="262">
        <f t="shared" si="0"/>
        <v>4</v>
      </c>
      <c r="F2" s="262">
        <f t="shared" si="0"/>
        <v>5</v>
      </c>
      <c r="G2" s="262">
        <f t="shared" si="0"/>
        <v>6</v>
      </c>
      <c r="H2" s="262">
        <f t="shared" si="0"/>
        <v>7</v>
      </c>
      <c r="I2" s="262">
        <f t="shared" si="0"/>
        <v>8</v>
      </c>
      <c r="J2" s="262">
        <f t="shared" si="0"/>
        <v>9</v>
      </c>
      <c r="K2" s="262">
        <f t="shared" si="0"/>
        <v>10</v>
      </c>
      <c r="L2" s="262">
        <f t="shared" si="0"/>
        <v>11</v>
      </c>
      <c r="M2" s="262">
        <f t="shared" si="0"/>
        <v>12</v>
      </c>
      <c r="N2" s="262">
        <f t="shared" si="0"/>
        <v>13</v>
      </c>
      <c r="O2" s="263">
        <f t="shared" si="0"/>
        <v>14</v>
      </c>
      <c r="P2" s="263">
        <f t="shared" si="0"/>
        <v>15</v>
      </c>
      <c r="Q2" s="262">
        <f t="shared" si="0"/>
        <v>16</v>
      </c>
      <c r="R2" s="262">
        <f t="shared" si="0"/>
        <v>17</v>
      </c>
      <c r="S2" s="262">
        <f t="shared" si="0"/>
        <v>18</v>
      </c>
      <c r="T2" s="262">
        <f t="shared" si="0"/>
        <v>19</v>
      </c>
      <c r="U2" s="263">
        <f t="shared" si="0"/>
        <v>20</v>
      </c>
      <c r="V2" s="262">
        <f t="shared" si="0"/>
        <v>21</v>
      </c>
      <c r="W2" s="263">
        <f t="shared" si="0"/>
        <v>22</v>
      </c>
      <c r="X2" s="262">
        <f t="shared" si="0"/>
        <v>23</v>
      </c>
      <c r="Y2" s="262">
        <f t="shared" si="0"/>
        <v>24</v>
      </c>
      <c r="Z2" s="262">
        <f t="shared" si="0"/>
        <v>25</v>
      </c>
      <c r="AA2" s="262">
        <f t="shared" si="0"/>
        <v>26</v>
      </c>
      <c r="AB2" s="262">
        <v>27</v>
      </c>
      <c r="AC2" s="263">
        <f>+AB2+1</f>
        <v>28</v>
      </c>
      <c r="AD2" s="262">
        <v>29</v>
      </c>
      <c r="AE2" s="262">
        <v>30</v>
      </c>
      <c r="AF2" s="262">
        <v>31</v>
      </c>
      <c r="AG2" s="3" t="s">
        <v>13</v>
      </c>
    </row>
    <row r="3" spans="1:33" ht="18.75" x14ac:dyDescent="0.25">
      <c r="A3" s="4" t="s">
        <v>14</v>
      </c>
      <c r="B3" s="5">
        <f t="shared" ref="B3:AF3" si="1">SUM(B4:B27)</f>
        <v>203</v>
      </c>
      <c r="C3" s="6">
        <f t="shared" si="1"/>
        <v>191</v>
      </c>
      <c r="D3" s="6">
        <f t="shared" si="1"/>
        <v>226</v>
      </c>
      <c r="E3" s="6">
        <f t="shared" si="1"/>
        <v>220</v>
      </c>
      <c r="F3" s="6">
        <f t="shared" si="1"/>
        <v>204</v>
      </c>
      <c r="G3" s="6">
        <f t="shared" si="1"/>
        <v>245</v>
      </c>
      <c r="H3" s="6">
        <f t="shared" si="1"/>
        <v>233</v>
      </c>
      <c r="I3" s="6">
        <f t="shared" si="1"/>
        <v>225</v>
      </c>
      <c r="J3" s="6">
        <f t="shared" si="1"/>
        <v>241</v>
      </c>
      <c r="K3" s="6">
        <f t="shared" si="1"/>
        <v>223</v>
      </c>
      <c r="L3" s="6">
        <f t="shared" si="1"/>
        <v>212</v>
      </c>
      <c r="M3" s="6">
        <f t="shared" si="1"/>
        <v>276</v>
      </c>
      <c r="N3" s="6">
        <f t="shared" si="1"/>
        <v>351</v>
      </c>
      <c r="O3" s="6">
        <f t="shared" si="1"/>
        <v>309</v>
      </c>
      <c r="P3" s="6">
        <f t="shared" si="1"/>
        <v>351</v>
      </c>
      <c r="Q3" s="6">
        <f t="shared" si="1"/>
        <v>332</v>
      </c>
      <c r="R3" s="6">
        <f t="shared" si="1"/>
        <v>255</v>
      </c>
      <c r="S3" s="6">
        <f t="shared" si="1"/>
        <v>226</v>
      </c>
      <c r="T3" s="6">
        <f t="shared" si="1"/>
        <v>244</v>
      </c>
      <c r="U3" s="6">
        <f t="shared" si="1"/>
        <v>348</v>
      </c>
      <c r="V3" s="6">
        <f t="shared" si="1"/>
        <v>337</v>
      </c>
      <c r="W3" s="6">
        <f t="shared" si="1"/>
        <v>286</v>
      </c>
      <c r="X3" s="6">
        <f t="shared" si="1"/>
        <v>276</v>
      </c>
      <c r="Y3" s="6">
        <f t="shared" si="1"/>
        <v>238</v>
      </c>
      <c r="Z3" s="6">
        <f t="shared" si="1"/>
        <v>274</v>
      </c>
      <c r="AA3" s="6">
        <f t="shared" si="1"/>
        <v>253</v>
      </c>
      <c r="AB3" s="6">
        <f t="shared" si="1"/>
        <v>294</v>
      </c>
      <c r="AC3" s="6">
        <f t="shared" si="1"/>
        <v>280</v>
      </c>
      <c r="AD3" s="6">
        <f t="shared" si="1"/>
        <v>242</v>
      </c>
      <c r="AE3" s="6">
        <f t="shared" si="1"/>
        <v>246</v>
      </c>
      <c r="AF3" s="6">
        <f t="shared" si="1"/>
        <v>245</v>
      </c>
      <c r="AG3" s="7">
        <f t="shared" ref="AG3:AG145" si="2">SUM(B3:AF3)</f>
        <v>8086</v>
      </c>
    </row>
    <row r="4" spans="1:33" ht="18.75" x14ac:dyDescent="0.25">
      <c r="A4" s="8" t="s">
        <v>15</v>
      </c>
      <c r="B4" s="9">
        <v>10</v>
      </c>
      <c r="C4" s="10">
        <v>11</v>
      </c>
      <c r="D4" s="10">
        <v>6</v>
      </c>
      <c r="E4" s="10">
        <v>10</v>
      </c>
      <c r="F4" s="10">
        <v>1</v>
      </c>
      <c r="G4" s="10">
        <v>18</v>
      </c>
      <c r="H4" s="10">
        <v>13</v>
      </c>
      <c r="I4" s="10">
        <v>16</v>
      </c>
      <c r="J4" s="10">
        <v>19</v>
      </c>
      <c r="K4" s="10">
        <v>11</v>
      </c>
      <c r="L4" s="10">
        <v>5</v>
      </c>
      <c r="M4" s="10">
        <v>4</v>
      </c>
      <c r="N4" s="10">
        <v>20</v>
      </c>
      <c r="O4" s="10">
        <v>19</v>
      </c>
      <c r="P4" s="10">
        <v>25</v>
      </c>
      <c r="Q4" s="10">
        <v>18</v>
      </c>
      <c r="R4" s="10">
        <v>17</v>
      </c>
      <c r="S4" s="10">
        <v>7</v>
      </c>
      <c r="T4" s="10">
        <v>6</v>
      </c>
      <c r="U4" s="10">
        <v>27</v>
      </c>
      <c r="V4" s="10">
        <v>21</v>
      </c>
      <c r="W4" s="10">
        <v>22</v>
      </c>
      <c r="X4" s="10">
        <v>17</v>
      </c>
      <c r="Y4" s="10">
        <v>20</v>
      </c>
      <c r="Z4" s="10">
        <v>9</v>
      </c>
      <c r="AA4" s="10">
        <v>13</v>
      </c>
      <c r="AB4" s="10">
        <v>6</v>
      </c>
      <c r="AC4" s="10">
        <v>16</v>
      </c>
      <c r="AD4" s="10">
        <v>8</v>
      </c>
      <c r="AE4" s="10">
        <v>14</v>
      </c>
      <c r="AF4" s="213">
        <v>11</v>
      </c>
      <c r="AG4" s="11">
        <f t="shared" si="2"/>
        <v>420</v>
      </c>
    </row>
    <row r="5" spans="1:33" ht="18.75" x14ac:dyDescent="0.25">
      <c r="A5" s="12" t="s">
        <v>16</v>
      </c>
      <c r="B5" s="13">
        <v>12</v>
      </c>
      <c r="C5" s="14">
        <v>11</v>
      </c>
      <c r="D5" s="14">
        <v>9</v>
      </c>
      <c r="E5" s="14">
        <v>13</v>
      </c>
      <c r="F5" s="14">
        <v>7</v>
      </c>
      <c r="G5" s="14">
        <v>18</v>
      </c>
      <c r="H5" s="14">
        <v>16</v>
      </c>
      <c r="I5" s="14">
        <v>10</v>
      </c>
      <c r="J5" s="14">
        <v>17</v>
      </c>
      <c r="K5" s="14">
        <v>16</v>
      </c>
      <c r="L5" s="14">
        <v>12</v>
      </c>
      <c r="M5" s="14">
        <v>15</v>
      </c>
      <c r="N5" s="14">
        <v>26</v>
      </c>
      <c r="O5" s="14">
        <v>20</v>
      </c>
      <c r="P5" s="14">
        <v>23</v>
      </c>
      <c r="Q5" s="14">
        <v>18</v>
      </c>
      <c r="R5" s="14">
        <v>22</v>
      </c>
      <c r="S5" s="14">
        <v>11</v>
      </c>
      <c r="T5" s="14">
        <v>13</v>
      </c>
      <c r="U5" s="14">
        <v>28</v>
      </c>
      <c r="V5" s="14">
        <v>29</v>
      </c>
      <c r="W5" s="14">
        <v>20</v>
      </c>
      <c r="X5" s="14">
        <v>17</v>
      </c>
      <c r="Y5" s="14">
        <v>16</v>
      </c>
      <c r="Z5" s="14">
        <v>29</v>
      </c>
      <c r="AA5" s="14">
        <v>9</v>
      </c>
      <c r="AB5" s="14">
        <v>26</v>
      </c>
      <c r="AC5" s="14">
        <v>22</v>
      </c>
      <c r="AD5" s="14">
        <v>12</v>
      </c>
      <c r="AE5" s="14">
        <v>19</v>
      </c>
      <c r="AF5" s="214">
        <v>18</v>
      </c>
      <c r="AG5" s="15">
        <f t="shared" si="2"/>
        <v>534</v>
      </c>
    </row>
    <row r="6" spans="1:33" ht="18.75" x14ac:dyDescent="0.25">
      <c r="A6" s="12" t="s">
        <v>17</v>
      </c>
      <c r="B6" s="13">
        <v>10</v>
      </c>
      <c r="C6" s="14">
        <v>14</v>
      </c>
      <c r="D6" s="14">
        <v>11</v>
      </c>
      <c r="E6" s="14">
        <v>15</v>
      </c>
      <c r="F6" s="14">
        <v>17</v>
      </c>
      <c r="G6" s="14">
        <v>21</v>
      </c>
      <c r="H6" s="14">
        <v>17</v>
      </c>
      <c r="I6" s="14">
        <v>15</v>
      </c>
      <c r="J6" s="14">
        <v>14</v>
      </c>
      <c r="K6" s="14">
        <v>5</v>
      </c>
      <c r="L6" s="14">
        <v>13</v>
      </c>
      <c r="M6" s="14">
        <v>11</v>
      </c>
      <c r="N6" s="14">
        <v>20</v>
      </c>
      <c r="O6" s="14">
        <v>21</v>
      </c>
      <c r="P6" s="14">
        <v>25</v>
      </c>
      <c r="Q6" s="14">
        <v>21</v>
      </c>
      <c r="R6" s="14">
        <v>19</v>
      </c>
      <c r="S6" s="14">
        <v>13</v>
      </c>
      <c r="T6" s="14">
        <v>17</v>
      </c>
      <c r="U6" s="14">
        <v>36</v>
      </c>
      <c r="V6" s="14">
        <v>32</v>
      </c>
      <c r="W6" s="14">
        <v>14</v>
      </c>
      <c r="X6" s="14">
        <v>15</v>
      </c>
      <c r="Y6" s="14">
        <v>21</v>
      </c>
      <c r="Z6" s="14">
        <v>17</v>
      </c>
      <c r="AA6" s="14">
        <v>14</v>
      </c>
      <c r="AB6" s="14">
        <v>20</v>
      </c>
      <c r="AC6" s="14">
        <v>20</v>
      </c>
      <c r="AD6" s="14">
        <v>16</v>
      </c>
      <c r="AE6" s="14">
        <v>17</v>
      </c>
      <c r="AF6" s="214">
        <v>17</v>
      </c>
      <c r="AG6" s="15">
        <f t="shared" si="2"/>
        <v>538</v>
      </c>
    </row>
    <row r="7" spans="1:33" ht="18.75" x14ac:dyDescent="0.25">
      <c r="A7" s="12" t="s">
        <v>18</v>
      </c>
      <c r="B7" s="13">
        <v>6</v>
      </c>
      <c r="C7" s="14">
        <v>10</v>
      </c>
      <c r="D7" s="14">
        <v>10</v>
      </c>
      <c r="E7" s="14">
        <v>22</v>
      </c>
      <c r="F7" s="14">
        <v>18</v>
      </c>
      <c r="G7" s="14">
        <v>10</v>
      </c>
      <c r="H7" s="14">
        <v>22</v>
      </c>
      <c r="I7" s="14">
        <v>9</v>
      </c>
      <c r="J7" s="14">
        <v>12</v>
      </c>
      <c r="K7" s="14">
        <v>12</v>
      </c>
      <c r="L7" s="14">
        <v>12</v>
      </c>
      <c r="M7" s="14">
        <v>16</v>
      </c>
      <c r="N7" s="14">
        <v>21</v>
      </c>
      <c r="O7" s="14">
        <v>14</v>
      </c>
      <c r="P7" s="14">
        <v>21</v>
      </c>
      <c r="Q7" s="14">
        <v>25</v>
      </c>
      <c r="R7" s="14">
        <v>19</v>
      </c>
      <c r="S7" s="14">
        <v>16</v>
      </c>
      <c r="T7" s="14">
        <v>24</v>
      </c>
      <c r="U7" s="14">
        <v>21</v>
      </c>
      <c r="V7" s="14">
        <v>13</v>
      </c>
      <c r="W7" s="14">
        <v>24</v>
      </c>
      <c r="X7" s="14">
        <v>26</v>
      </c>
      <c r="Y7" s="14">
        <v>25</v>
      </c>
      <c r="Z7" s="14">
        <v>16</v>
      </c>
      <c r="AA7" s="14">
        <v>19</v>
      </c>
      <c r="AB7" s="14">
        <v>24</v>
      </c>
      <c r="AC7" s="14">
        <v>18</v>
      </c>
      <c r="AD7" s="14">
        <v>23</v>
      </c>
      <c r="AE7" s="14">
        <v>16</v>
      </c>
      <c r="AF7" s="214">
        <v>11</v>
      </c>
      <c r="AG7" s="15">
        <f t="shared" si="2"/>
        <v>535</v>
      </c>
    </row>
    <row r="8" spans="1:33" ht="18.75" x14ac:dyDescent="0.25">
      <c r="A8" s="12" t="s">
        <v>19</v>
      </c>
      <c r="B8" s="13">
        <v>8</v>
      </c>
      <c r="C8" s="14">
        <v>5</v>
      </c>
      <c r="D8" s="14">
        <v>17</v>
      </c>
      <c r="E8" s="14">
        <v>15</v>
      </c>
      <c r="F8" s="14">
        <v>13</v>
      </c>
      <c r="G8" s="14">
        <v>12</v>
      </c>
      <c r="H8" s="14">
        <v>11</v>
      </c>
      <c r="I8" s="14">
        <v>12</v>
      </c>
      <c r="J8" s="14">
        <v>15</v>
      </c>
      <c r="K8" s="14">
        <v>19</v>
      </c>
      <c r="L8" s="14">
        <v>17</v>
      </c>
      <c r="M8" s="14">
        <v>25</v>
      </c>
      <c r="N8" s="14">
        <v>17</v>
      </c>
      <c r="O8" s="14">
        <v>19</v>
      </c>
      <c r="P8" s="14">
        <v>16</v>
      </c>
      <c r="Q8" s="14">
        <v>23</v>
      </c>
      <c r="R8" s="14">
        <v>16</v>
      </c>
      <c r="S8" s="14">
        <v>12</v>
      </c>
      <c r="T8" s="14">
        <v>19</v>
      </c>
      <c r="U8" s="14">
        <v>17</v>
      </c>
      <c r="V8" s="14">
        <v>15</v>
      </c>
      <c r="W8" s="14">
        <v>15</v>
      </c>
      <c r="X8" s="14">
        <v>19</v>
      </c>
      <c r="Y8" s="14">
        <v>9</v>
      </c>
      <c r="Z8" s="14">
        <v>25</v>
      </c>
      <c r="AA8" s="14">
        <v>27</v>
      </c>
      <c r="AB8" s="14">
        <v>17</v>
      </c>
      <c r="AC8" s="14">
        <v>17</v>
      </c>
      <c r="AD8" s="14">
        <v>16</v>
      </c>
      <c r="AE8" s="14">
        <v>13</v>
      </c>
      <c r="AF8" s="214">
        <v>21</v>
      </c>
      <c r="AG8" s="15">
        <f t="shared" si="2"/>
        <v>502</v>
      </c>
    </row>
    <row r="9" spans="1:33" ht="18.75" x14ac:dyDescent="0.25">
      <c r="A9" s="12" t="s">
        <v>20</v>
      </c>
      <c r="B9" s="13">
        <v>5</v>
      </c>
      <c r="C9" s="14">
        <v>3</v>
      </c>
      <c r="D9" s="14">
        <v>13</v>
      </c>
      <c r="E9" s="14">
        <v>9</v>
      </c>
      <c r="F9" s="14">
        <v>10</v>
      </c>
      <c r="G9" s="14">
        <v>11</v>
      </c>
      <c r="H9" s="14">
        <v>11</v>
      </c>
      <c r="I9" s="14">
        <v>4</v>
      </c>
      <c r="J9" s="14">
        <v>12</v>
      </c>
      <c r="K9" s="14">
        <v>8</v>
      </c>
      <c r="L9" s="14">
        <v>19</v>
      </c>
      <c r="M9" s="14">
        <v>37</v>
      </c>
      <c r="N9" s="14">
        <v>16</v>
      </c>
      <c r="O9" s="14">
        <v>14</v>
      </c>
      <c r="P9" s="14">
        <v>26</v>
      </c>
      <c r="Q9" s="14">
        <v>24</v>
      </c>
      <c r="R9" s="14">
        <v>9</v>
      </c>
      <c r="S9" s="14">
        <v>17</v>
      </c>
      <c r="T9" s="14">
        <v>21</v>
      </c>
      <c r="U9" s="14">
        <v>15</v>
      </c>
      <c r="V9" s="14">
        <v>9</v>
      </c>
      <c r="W9" s="14">
        <v>12</v>
      </c>
      <c r="X9" s="14">
        <v>12</v>
      </c>
      <c r="Y9" s="14">
        <v>6</v>
      </c>
      <c r="Z9" s="14">
        <v>13</v>
      </c>
      <c r="AA9" s="14">
        <v>10</v>
      </c>
      <c r="AB9" s="14">
        <v>17</v>
      </c>
      <c r="AC9" s="14">
        <v>17</v>
      </c>
      <c r="AD9" s="14">
        <v>15</v>
      </c>
      <c r="AE9" s="14">
        <v>12</v>
      </c>
      <c r="AF9" s="214">
        <v>10</v>
      </c>
      <c r="AG9" s="15">
        <f t="shared" si="2"/>
        <v>417</v>
      </c>
    </row>
    <row r="10" spans="1:33" ht="18.75" x14ac:dyDescent="0.25">
      <c r="A10" s="12" t="s">
        <v>21</v>
      </c>
      <c r="B10" s="13">
        <v>15</v>
      </c>
      <c r="C10" s="14">
        <v>18</v>
      </c>
      <c r="D10" s="14">
        <v>12</v>
      </c>
      <c r="E10" s="14">
        <v>9</v>
      </c>
      <c r="F10" s="14">
        <v>11</v>
      </c>
      <c r="G10" s="14">
        <v>12</v>
      </c>
      <c r="H10" s="14">
        <v>5</v>
      </c>
      <c r="I10" s="14">
        <v>9</v>
      </c>
      <c r="J10" s="14">
        <v>10</v>
      </c>
      <c r="K10" s="14">
        <v>13</v>
      </c>
      <c r="L10" s="14">
        <v>12</v>
      </c>
      <c r="M10" s="14">
        <v>16</v>
      </c>
      <c r="N10" s="14">
        <v>23</v>
      </c>
      <c r="O10" s="14">
        <v>18</v>
      </c>
      <c r="P10" s="14">
        <v>20</v>
      </c>
      <c r="Q10" s="14">
        <v>18</v>
      </c>
      <c r="R10" s="14">
        <v>23</v>
      </c>
      <c r="S10" s="14">
        <v>13</v>
      </c>
      <c r="T10" s="14">
        <v>9</v>
      </c>
      <c r="U10" s="14">
        <v>15</v>
      </c>
      <c r="V10" s="14">
        <v>17</v>
      </c>
      <c r="W10" s="14">
        <v>17</v>
      </c>
      <c r="X10" s="14">
        <v>12</v>
      </c>
      <c r="Y10" s="14">
        <v>10</v>
      </c>
      <c r="Z10" s="14">
        <v>13</v>
      </c>
      <c r="AA10" s="14">
        <v>15</v>
      </c>
      <c r="AB10" s="14">
        <v>11</v>
      </c>
      <c r="AC10" s="14">
        <v>20</v>
      </c>
      <c r="AD10" s="14">
        <v>7</v>
      </c>
      <c r="AE10" s="14">
        <v>11</v>
      </c>
      <c r="AF10" s="214">
        <v>15</v>
      </c>
      <c r="AG10" s="15">
        <f t="shared" si="2"/>
        <v>429</v>
      </c>
    </row>
    <row r="11" spans="1:33" ht="18.75" x14ac:dyDescent="0.25">
      <c r="A11" s="12" t="s">
        <v>22</v>
      </c>
      <c r="B11" s="13">
        <v>2</v>
      </c>
      <c r="C11" s="14">
        <v>9</v>
      </c>
      <c r="D11" s="14">
        <v>10</v>
      </c>
      <c r="E11" s="14">
        <v>12</v>
      </c>
      <c r="F11" s="14">
        <v>17</v>
      </c>
      <c r="G11" s="14">
        <v>18</v>
      </c>
      <c r="H11" s="14">
        <v>11</v>
      </c>
      <c r="I11" s="14">
        <v>12</v>
      </c>
      <c r="J11" s="14">
        <v>12</v>
      </c>
      <c r="K11" s="14">
        <v>22</v>
      </c>
      <c r="L11" s="14">
        <v>11</v>
      </c>
      <c r="M11" s="14">
        <v>16</v>
      </c>
      <c r="N11" s="14">
        <v>10</v>
      </c>
      <c r="O11" s="14">
        <v>18</v>
      </c>
      <c r="P11" s="14">
        <v>22</v>
      </c>
      <c r="Q11" s="14">
        <v>13</v>
      </c>
      <c r="R11" s="14">
        <v>12</v>
      </c>
      <c r="S11" s="14">
        <v>23</v>
      </c>
      <c r="T11" s="14">
        <v>15</v>
      </c>
      <c r="U11" s="14">
        <v>19</v>
      </c>
      <c r="V11" s="14">
        <v>16</v>
      </c>
      <c r="W11" s="14">
        <v>21</v>
      </c>
      <c r="X11" s="14">
        <v>12</v>
      </c>
      <c r="Y11" s="14">
        <v>14</v>
      </c>
      <c r="Z11" s="14">
        <v>15</v>
      </c>
      <c r="AA11" s="14">
        <v>18</v>
      </c>
      <c r="AB11" s="14">
        <v>16</v>
      </c>
      <c r="AC11" s="14">
        <v>22</v>
      </c>
      <c r="AD11" s="14">
        <v>14</v>
      </c>
      <c r="AE11" s="14">
        <v>14</v>
      </c>
      <c r="AF11" s="214">
        <v>15</v>
      </c>
      <c r="AG11" s="15">
        <f t="shared" si="2"/>
        <v>461</v>
      </c>
    </row>
    <row r="12" spans="1:33" ht="18.75" x14ac:dyDescent="0.25">
      <c r="A12" s="12" t="s">
        <v>23</v>
      </c>
      <c r="B12" s="13">
        <v>16</v>
      </c>
      <c r="C12" s="14">
        <v>18</v>
      </c>
      <c r="D12" s="14">
        <v>20</v>
      </c>
      <c r="E12" s="14">
        <v>16</v>
      </c>
      <c r="F12" s="14">
        <v>22</v>
      </c>
      <c r="G12" s="14">
        <v>19</v>
      </c>
      <c r="H12" s="14">
        <v>14</v>
      </c>
      <c r="I12" s="14">
        <v>21</v>
      </c>
      <c r="J12" s="14">
        <v>22</v>
      </c>
      <c r="K12" s="14">
        <v>10</v>
      </c>
      <c r="L12" s="14">
        <v>17</v>
      </c>
      <c r="M12" s="14">
        <v>19</v>
      </c>
      <c r="N12" s="14">
        <v>24</v>
      </c>
      <c r="O12" s="14">
        <v>31</v>
      </c>
      <c r="P12" s="14">
        <v>31</v>
      </c>
      <c r="Q12" s="14">
        <v>21</v>
      </c>
      <c r="R12" s="14">
        <v>23</v>
      </c>
      <c r="S12" s="14">
        <v>13</v>
      </c>
      <c r="T12" s="14">
        <v>23</v>
      </c>
      <c r="U12" s="14">
        <v>29</v>
      </c>
      <c r="V12" s="14">
        <v>26</v>
      </c>
      <c r="W12" s="14">
        <v>28</v>
      </c>
      <c r="X12" s="14">
        <v>20</v>
      </c>
      <c r="Y12" s="14">
        <v>14</v>
      </c>
      <c r="Z12" s="14">
        <v>20</v>
      </c>
      <c r="AA12" s="14">
        <v>17</v>
      </c>
      <c r="AB12" s="14">
        <v>25</v>
      </c>
      <c r="AC12" s="14">
        <v>12</v>
      </c>
      <c r="AD12" s="14">
        <v>29</v>
      </c>
      <c r="AE12" s="14">
        <v>17</v>
      </c>
      <c r="AF12" s="214">
        <v>15</v>
      </c>
      <c r="AG12" s="15">
        <f t="shared" si="2"/>
        <v>632</v>
      </c>
    </row>
    <row r="13" spans="1:33" ht="18.75" x14ac:dyDescent="0.25">
      <c r="A13" s="12" t="s">
        <v>24</v>
      </c>
      <c r="B13" s="13">
        <v>15</v>
      </c>
      <c r="C13" s="14">
        <v>13</v>
      </c>
      <c r="D13" s="14">
        <v>14</v>
      </c>
      <c r="E13" s="14">
        <v>18</v>
      </c>
      <c r="F13" s="14">
        <v>10</v>
      </c>
      <c r="G13" s="14">
        <v>14</v>
      </c>
      <c r="H13" s="14">
        <v>21</v>
      </c>
      <c r="I13" s="14">
        <v>25</v>
      </c>
      <c r="J13" s="14">
        <v>16</v>
      </c>
      <c r="K13" s="14">
        <v>17</v>
      </c>
      <c r="L13" s="14">
        <v>17</v>
      </c>
      <c r="M13" s="14">
        <v>20</v>
      </c>
      <c r="N13" s="14">
        <v>29</v>
      </c>
      <c r="O13" s="14">
        <v>17</v>
      </c>
      <c r="P13" s="14">
        <v>18</v>
      </c>
      <c r="Q13" s="14">
        <v>25</v>
      </c>
      <c r="R13" s="14">
        <v>8</v>
      </c>
      <c r="S13" s="14">
        <v>12</v>
      </c>
      <c r="T13" s="14">
        <v>14</v>
      </c>
      <c r="U13" s="14">
        <v>25</v>
      </c>
      <c r="V13" s="14">
        <v>28</v>
      </c>
      <c r="W13" s="14">
        <v>18</v>
      </c>
      <c r="X13" s="14">
        <v>19</v>
      </c>
      <c r="Y13" s="14">
        <v>14</v>
      </c>
      <c r="Z13" s="14">
        <v>13</v>
      </c>
      <c r="AA13" s="14">
        <v>27</v>
      </c>
      <c r="AB13" s="14">
        <v>25</v>
      </c>
      <c r="AC13" s="14">
        <v>21</v>
      </c>
      <c r="AD13" s="14">
        <v>18</v>
      </c>
      <c r="AE13" s="14">
        <v>22</v>
      </c>
      <c r="AF13" s="214">
        <v>14</v>
      </c>
      <c r="AG13" s="15">
        <f t="shared" si="2"/>
        <v>567</v>
      </c>
    </row>
    <row r="14" spans="1:33" ht="18.75" x14ac:dyDescent="0.25">
      <c r="A14" s="12" t="s">
        <v>25</v>
      </c>
      <c r="B14" s="13">
        <v>15</v>
      </c>
      <c r="C14" s="14">
        <v>11</v>
      </c>
      <c r="D14" s="14">
        <v>14</v>
      </c>
      <c r="E14" s="14">
        <v>12</v>
      </c>
      <c r="F14" s="14">
        <v>13</v>
      </c>
      <c r="G14" s="14">
        <v>17</v>
      </c>
      <c r="H14" s="14">
        <v>21</v>
      </c>
      <c r="I14" s="14">
        <v>15</v>
      </c>
      <c r="J14" s="14">
        <v>18</v>
      </c>
      <c r="K14" s="14">
        <v>13</v>
      </c>
      <c r="L14" s="14">
        <v>17</v>
      </c>
      <c r="M14" s="14">
        <v>18</v>
      </c>
      <c r="N14" s="14">
        <v>32</v>
      </c>
      <c r="O14" s="14">
        <v>20</v>
      </c>
      <c r="P14" s="14">
        <v>21</v>
      </c>
      <c r="Q14" s="14">
        <v>23</v>
      </c>
      <c r="R14" s="14">
        <v>8</v>
      </c>
      <c r="S14" s="14">
        <v>18</v>
      </c>
      <c r="T14" s="14">
        <v>9</v>
      </c>
      <c r="U14" s="14">
        <v>26</v>
      </c>
      <c r="V14" s="14">
        <v>33</v>
      </c>
      <c r="W14" s="14">
        <v>9</v>
      </c>
      <c r="X14" s="14">
        <v>16</v>
      </c>
      <c r="Y14" s="14">
        <v>13</v>
      </c>
      <c r="Z14" s="14">
        <v>13</v>
      </c>
      <c r="AA14" s="14">
        <v>9</v>
      </c>
      <c r="AB14" s="14">
        <v>25</v>
      </c>
      <c r="AC14" s="14">
        <v>20</v>
      </c>
      <c r="AD14" s="14">
        <v>19</v>
      </c>
      <c r="AE14" s="14">
        <v>16</v>
      </c>
      <c r="AF14" s="214">
        <v>19</v>
      </c>
      <c r="AG14" s="15">
        <f t="shared" si="2"/>
        <v>533</v>
      </c>
    </row>
    <row r="15" spans="1:33" ht="18.75" x14ac:dyDescent="0.25">
      <c r="A15" s="12" t="s">
        <v>26</v>
      </c>
      <c r="B15" s="13">
        <v>18</v>
      </c>
      <c r="C15" s="14">
        <v>10</v>
      </c>
      <c r="D15" s="14">
        <v>17</v>
      </c>
      <c r="E15" s="14">
        <v>11</v>
      </c>
      <c r="F15" s="14">
        <v>7</v>
      </c>
      <c r="G15" s="14">
        <v>18</v>
      </c>
      <c r="H15" s="14">
        <v>15</v>
      </c>
      <c r="I15" s="14">
        <v>17</v>
      </c>
      <c r="J15" s="14">
        <v>14</v>
      </c>
      <c r="K15" s="14">
        <v>12</v>
      </c>
      <c r="L15" s="14">
        <v>6</v>
      </c>
      <c r="M15" s="14">
        <v>11</v>
      </c>
      <c r="N15" s="14">
        <v>28</v>
      </c>
      <c r="O15" s="14">
        <v>19</v>
      </c>
      <c r="P15" s="14">
        <v>18</v>
      </c>
      <c r="Q15" s="14">
        <v>15</v>
      </c>
      <c r="R15" s="14">
        <v>13</v>
      </c>
      <c r="S15" s="14">
        <v>14</v>
      </c>
      <c r="T15" s="14">
        <v>5</v>
      </c>
      <c r="U15" s="14">
        <v>18</v>
      </c>
      <c r="V15" s="14">
        <v>21</v>
      </c>
      <c r="W15" s="14">
        <v>17</v>
      </c>
      <c r="X15" s="14">
        <v>21</v>
      </c>
      <c r="Y15" s="14">
        <v>21</v>
      </c>
      <c r="Z15" s="14">
        <v>21</v>
      </c>
      <c r="AA15" s="14">
        <v>18</v>
      </c>
      <c r="AB15" s="14">
        <v>20</v>
      </c>
      <c r="AC15" s="14">
        <v>8</v>
      </c>
      <c r="AD15" s="14">
        <v>12</v>
      </c>
      <c r="AE15" s="14">
        <v>18</v>
      </c>
      <c r="AF15" s="214">
        <v>15</v>
      </c>
      <c r="AG15" s="15">
        <f t="shared" si="2"/>
        <v>478</v>
      </c>
    </row>
    <row r="16" spans="1:33" ht="18.75" x14ac:dyDescent="0.25">
      <c r="A16" s="12" t="s">
        <v>27</v>
      </c>
      <c r="B16" s="13">
        <v>16</v>
      </c>
      <c r="C16" s="14">
        <v>8</v>
      </c>
      <c r="D16" s="14">
        <v>15</v>
      </c>
      <c r="E16" s="14">
        <v>10</v>
      </c>
      <c r="F16" s="14">
        <v>18</v>
      </c>
      <c r="G16" s="14">
        <v>18</v>
      </c>
      <c r="H16" s="14">
        <v>11</v>
      </c>
      <c r="I16" s="14">
        <v>6</v>
      </c>
      <c r="J16" s="14">
        <v>11</v>
      </c>
      <c r="K16" s="14">
        <v>13</v>
      </c>
      <c r="L16" s="14">
        <v>17</v>
      </c>
      <c r="M16" s="14">
        <v>7</v>
      </c>
      <c r="N16" s="14">
        <v>28</v>
      </c>
      <c r="O16" s="14">
        <v>21</v>
      </c>
      <c r="P16" s="14">
        <v>26</v>
      </c>
      <c r="Q16" s="14">
        <v>17</v>
      </c>
      <c r="R16" s="14">
        <v>14</v>
      </c>
      <c r="S16" s="14">
        <v>7</v>
      </c>
      <c r="T16" s="14">
        <v>20</v>
      </c>
      <c r="U16" s="14">
        <v>20</v>
      </c>
      <c r="V16" s="14">
        <v>19</v>
      </c>
      <c r="W16" s="14">
        <v>20</v>
      </c>
      <c r="X16" s="14">
        <v>16</v>
      </c>
      <c r="Y16" s="14">
        <v>8</v>
      </c>
      <c r="Z16" s="14">
        <v>14</v>
      </c>
      <c r="AA16" s="14">
        <v>13</v>
      </c>
      <c r="AB16" s="14">
        <v>12</v>
      </c>
      <c r="AC16" s="14">
        <v>14</v>
      </c>
      <c r="AD16" s="14">
        <v>14</v>
      </c>
      <c r="AE16" s="14">
        <v>12</v>
      </c>
      <c r="AF16" s="214">
        <v>17</v>
      </c>
      <c r="AG16" s="15">
        <f t="shared" si="2"/>
        <v>462</v>
      </c>
    </row>
    <row r="17" spans="1:33" ht="18.75" x14ac:dyDescent="0.25">
      <c r="A17" s="12" t="s">
        <v>28</v>
      </c>
      <c r="B17" s="13">
        <v>11</v>
      </c>
      <c r="C17" s="14">
        <v>8</v>
      </c>
      <c r="D17" s="14">
        <v>12</v>
      </c>
      <c r="E17" s="14">
        <v>8</v>
      </c>
      <c r="F17" s="14">
        <v>11</v>
      </c>
      <c r="G17" s="14">
        <v>12</v>
      </c>
      <c r="H17" s="14">
        <v>10</v>
      </c>
      <c r="I17" s="14">
        <v>15</v>
      </c>
      <c r="J17" s="14">
        <v>13</v>
      </c>
      <c r="K17" s="14">
        <v>10</v>
      </c>
      <c r="L17" s="14">
        <v>8</v>
      </c>
      <c r="M17" s="14">
        <v>24</v>
      </c>
      <c r="N17" s="14">
        <v>18</v>
      </c>
      <c r="O17" s="14">
        <v>14</v>
      </c>
      <c r="P17" s="14">
        <v>15</v>
      </c>
      <c r="Q17" s="14">
        <v>18</v>
      </c>
      <c r="R17" s="14">
        <v>12</v>
      </c>
      <c r="S17" s="14">
        <v>11</v>
      </c>
      <c r="T17" s="14">
        <v>11</v>
      </c>
      <c r="U17" s="14">
        <v>14</v>
      </c>
      <c r="V17" s="14">
        <v>20</v>
      </c>
      <c r="W17" s="14">
        <v>10</v>
      </c>
      <c r="X17" s="14">
        <v>9</v>
      </c>
      <c r="Y17" s="14">
        <v>10</v>
      </c>
      <c r="Z17" s="14">
        <v>10</v>
      </c>
      <c r="AA17" s="14">
        <v>10</v>
      </c>
      <c r="AB17" s="14">
        <v>12</v>
      </c>
      <c r="AC17" s="14">
        <v>14</v>
      </c>
      <c r="AD17" s="14">
        <v>12</v>
      </c>
      <c r="AE17" s="14">
        <v>10</v>
      </c>
      <c r="AF17" s="214">
        <v>19</v>
      </c>
      <c r="AG17" s="15">
        <f t="shared" si="2"/>
        <v>391</v>
      </c>
    </row>
    <row r="18" spans="1:33" ht="18.75" x14ac:dyDescent="0.25">
      <c r="A18" s="12" t="s">
        <v>29</v>
      </c>
      <c r="B18" s="13">
        <v>10</v>
      </c>
      <c r="C18" s="14">
        <v>15</v>
      </c>
      <c r="D18" s="14">
        <v>6</v>
      </c>
      <c r="E18" s="14">
        <v>12</v>
      </c>
      <c r="F18" s="14">
        <v>7</v>
      </c>
      <c r="G18" s="14">
        <v>13</v>
      </c>
      <c r="H18" s="14">
        <v>10</v>
      </c>
      <c r="I18" s="14">
        <v>11</v>
      </c>
      <c r="J18" s="14">
        <v>12</v>
      </c>
      <c r="K18" s="14">
        <v>13</v>
      </c>
      <c r="L18" s="14">
        <v>10</v>
      </c>
      <c r="M18" s="14">
        <v>12</v>
      </c>
      <c r="N18" s="14">
        <v>11</v>
      </c>
      <c r="O18" s="14">
        <v>10</v>
      </c>
      <c r="P18" s="14">
        <v>12</v>
      </c>
      <c r="Q18" s="14">
        <v>11</v>
      </c>
      <c r="R18" s="14">
        <v>5</v>
      </c>
      <c r="S18" s="14">
        <v>7</v>
      </c>
      <c r="T18" s="14">
        <v>10</v>
      </c>
      <c r="U18" s="14">
        <v>11</v>
      </c>
      <c r="V18" s="14">
        <v>13</v>
      </c>
      <c r="W18" s="14">
        <v>8</v>
      </c>
      <c r="X18" s="14">
        <v>6</v>
      </c>
      <c r="Y18" s="14">
        <v>6</v>
      </c>
      <c r="Z18" s="14">
        <v>9</v>
      </c>
      <c r="AA18" s="14">
        <v>11</v>
      </c>
      <c r="AB18" s="14">
        <v>14</v>
      </c>
      <c r="AC18" s="14">
        <v>6</v>
      </c>
      <c r="AD18" s="14">
        <v>8</v>
      </c>
      <c r="AE18" s="14">
        <v>10</v>
      </c>
      <c r="AF18" s="214">
        <v>8</v>
      </c>
      <c r="AG18" s="15">
        <f t="shared" si="2"/>
        <v>307</v>
      </c>
    </row>
    <row r="19" spans="1:33" ht="18.75" x14ac:dyDescent="0.25">
      <c r="A19" s="12" t="s">
        <v>30</v>
      </c>
      <c r="B19" s="13">
        <v>8</v>
      </c>
      <c r="C19" s="14">
        <v>9</v>
      </c>
      <c r="D19" s="14">
        <v>9</v>
      </c>
      <c r="E19" s="14">
        <v>9</v>
      </c>
      <c r="F19" s="14">
        <v>6</v>
      </c>
      <c r="G19" s="14">
        <v>4</v>
      </c>
      <c r="H19" s="14">
        <v>9</v>
      </c>
      <c r="I19" s="14">
        <v>12</v>
      </c>
      <c r="J19" s="14">
        <v>6</v>
      </c>
      <c r="K19" s="14">
        <v>5</v>
      </c>
      <c r="L19" s="14">
        <v>6</v>
      </c>
      <c r="M19" s="14">
        <v>7</v>
      </c>
      <c r="N19" s="14">
        <v>5</v>
      </c>
      <c r="O19" s="14">
        <v>7</v>
      </c>
      <c r="P19" s="14">
        <v>11</v>
      </c>
      <c r="Q19" s="14">
        <v>8</v>
      </c>
      <c r="R19" s="14">
        <v>7</v>
      </c>
      <c r="S19" s="14">
        <v>7</v>
      </c>
      <c r="T19" s="14">
        <v>7</v>
      </c>
      <c r="U19" s="14">
        <v>6</v>
      </c>
      <c r="V19" s="14">
        <v>2</v>
      </c>
      <c r="W19" s="14">
        <v>4</v>
      </c>
      <c r="X19" s="14">
        <v>11</v>
      </c>
      <c r="Y19" s="14">
        <v>9</v>
      </c>
      <c r="Z19" s="14">
        <v>10</v>
      </c>
      <c r="AA19" s="14">
        <v>4</v>
      </c>
      <c r="AB19" s="14">
        <v>11</v>
      </c>
      <c r="AC19" s="14">
        <v>9</v>
      </c>
      <c r="AD19" s="14">
        <v>3</v>
      </c>
      <c r="AE19" s="14">
        <v>6</v>
      </c>
      <c r="AF19" s="214">
        <v>4</v>
      </c>
      <c r="AG19" s="15">
        <f t="shared" si="2"/>
        <v>221</v>
      </c>
    </row>
    <row r="20" spans="1:33" ht="18.75" x14ac:dyDescent="0.25">
      <c r="A20" s="12" t="s">
        <v>31</v>
      </c>
      <c r="B20" s="13">
        <v>4</v>
      </c>
      <c r="C20" s="14">
        <v>6</v>
      </c>
      <c r="D20" s="14">
        <v>8</v>
      </c>
      <c r="E20" s="14">
        <v>5</v>
      </c>
      <c r="F20" s="14">
        <v>4</v>
      </c>
      <c r="G20" s="14">
        <v>1</v>
      </c>
      <c r="H20" s="14">
        <v>3</v>
      </c>
      <c r="I20" s="14">
        <v>3</v>
      </c>
      <c r="J20" s="14">
        <v>1</v>
      </c>
      <c r="K20" s="14">
        <v>7</v>
      </c>
      <c r="L20" s="14">
        <v>2</v>
      </c>
      <c r="M20" s="14">
        <v>2</v>
      </c>
      <c r="N20" s="14">
        <v>4</v>
      </c>
      <c r="O20" s="14">
        <v>3</v>
      </c>
      <c r="P20" s="14">
        <v>1</v>
      </c>
      <c r="Q20" s="14">
        <v>4</v>
      </c>
      <c r="R20" s="14">
        <v>7</v>
      </c>
      <c r="S20" s="14">
        <v>7</v>
      </c>
      <c r="T20" s="14">
        <v>5</v>
      </c>
      <c r="U20" s="14">
        <v>2</v>
      </c>
      <c r="V20" s="14">
        <v>5</v>
      </c>
      <c r="W20" s="14">
        <v>3</v>
      </c>
      <c r="X20" s="14">
        <v>9</v>
      </c>
      <c r="Y20" s="14">
        <v>7</v>
      </c>
      <c r="Z20" s="14">
        <v>8</v>
      </c>
      <c r="AA20" s="14">
        <v>3</v>
      </c>
      <c r="AB20" s="14">
        <v>3</v>
      </c>
      <c r="AC20" s="14">
        <v>3</v>
      </c>
      <c r="AD20" s="14">
        <v>3</v>
      </c>
      <c r="AE20" s="14">
        <v>1</v>
      </c>
      <c r="AF20" s="214">
        <v>2</v>
      </c>
      <c r="AG20" s="15">
        <f t="shared" si="2"/>
        <v>126</v>
      </c>
    </row>
    <row r="21" spans="1:33" ht="15.75" customHeight="1" x14ac:dyDescent="0.25">
      <c r="A21" s="12" t="s">
        <v>32</v>
      </c>
      <c r="B21" s="13">
        <v>2</v>
      </c>
      <c r="C21" s="14">
        <v>6</v>
      </c>
      <c r="D21" s="14">
        <v>7</v>
      </c>
      <c r="E21" s="14">
        <v>3</v>
      </c>
      <c r="F21" s="14">
        <v>0</v>
      </c>
      <c r="G21" s="14">
        <v>1</v>
      </c>
      <c r="H21" s="14">
        <v>3</v>
      </c>
      <c r="I21" s="14">
        <v>2</v>
      </c>
      <c r="J21" s="14">
        <v>3</v>
      </c>
      <c r="K21" s="14">
        <v>4</v>
      </c>
      <c r="L21" s="14">
        <v>4</v>
      </c>
      <c r="M21" s="14">
        <v>4</v>
      </c>
      <c r="N21" s="14">
        <v>1</v>
      </c>
      <c r="O21" s="14">
        <v>7</v>
      </c>
      <c r="P21" s="14">
        <v>6</v>
      </c>
      <c r="Q21" s="14">
        <v>3</v>
      </c>
      <c r="R21" s="14">
        <v>6</v>
      </c>
      <c r="S21" s="14">
        <v>3</v>
      </c>
      <c r="T21" s="14">
        <v>1</v>
      </c>
      <c r="U21" s="14">
        <v>5</v>
      </c>
      <c r="V21" s="14">
        <v>5</v>
      </c>
      <c r="W21" s="14">
        <v>5</v>
      </c>
      <c r="X21" s="14">
        <v>1</v>
      </c>
      <c r="Y21" s="14">
        <v>2</v>
      </c>
      <c r="Z21" s="14">
        <v>3</v>
      </c>
      <c r="AA21" s="14">
        <v>1</v>
      </c>
      <c r="AB21" s="14">
        <v>4</v>
      </c>
      <c r="AC21" s="14">
        <v>4</v>
      </c>
      <c r="AD21" s="14">
        <v>4</v>
      </c>
      <c r="AE21" s="14">
        <v>2</v>
      </c>
      <c r="AF21" s="214">
        <v>1</v>
      </c>
      <c r="AG21" s="15">
        <f t="shared" si="2"/>
        <v>103</v>
      </c>
    </row>
    <row r="22" spans="1:33" ht="15.75" customHeight="1" x14ac:dyDescent="0.25">
      <c r="A22" s="12" t="s">
        <v>33</v>
      </c>
      <c r="B22" s="13">
        <v>2</v>
      </c>
      <c r="C22" s="14">
        <v>1</v>
      </c>
      <c r="D22" s="14">
        <v>4</v>
      </c>
      <c r="E22" s="14">
        <v>0</v>
      </c>
      <c r="F22" s="14">
        <v>1</v>
      </c>
      <c r="G22" s="14">
        <v>1</v>
      </c>
      <c r="H22" s="14">
        <v>1</v>
      </c>
      <c r="I22" s="14">
        <v>3</v>
      </c>
      <c r="J22" s="14">
        <v>2</v>
      </c>
      <c r="K22" s="14">
        <v>4</v>
      </c>
      <c r="L22" s="14">
        <v>1</v>
      </c>
      <c r="M22" s="14">
        <v>2</v>
      </c>
      <c r="N22" s="14">
        <v>3</v>
      </c>
      <c r="O22" s="14">
        <v>3</v>
      </c>
      <c r="P22" s="14">
        <v>1</v>
      </c>
      <c r="Q22" s="14">
        <v>3</v>
      </c>
      <c r="R22" s="14">
        <v>6</v>
      </c>
      <c r="S22" s="14">
        <v>2</v>
      </c>
      <c r="T22" s="14">
        <v>1</v>
      </c>
      <c r="U22" s="14">
        <v>3</v>
      </c>
      <c r="V22" s="14">
        <v>0</v>
      </c>
      <c r="W22" s="14">
        <v>2</v>
      </c>
      <c r="X22" s="14">
        <v>3</v>
      </c>
      <c r="Y22" s="14">
        <v>3</v>
      </c>
      <c r="Z22" s="14">
        <v>6</v>
      </c>
      <c r="AA22" s="14">
        <v>3</v>
      </c>
      <c r="AB22" s="14">
        <v>0</v>
      </c>
      <c r="AC22" s="14">
        <v>2</v>
      </c>
      <c r="AD22" s="14">
        <v>2</v>
      </c>
      <c r="AE22" s="14">
        <v>4</v>
      </c>
      <c r="AF22" s="214">
        <v>3</v>
      </c>
      <c r="AG22" s="15">
        <f t="shared" si="2"/>
        <v>72</v>
      </c>
    </row>
    <row r="23" spans="1:33" ht="15.75" customHeight="1" x14ac:dyDescent="0.25">
      <c r="A23" s="12" t="s">
        <v>34</v>
      </c>
      <c r="B23" s="13">
        <v>2</v>
      </c>
      <c r="C23" s="14">
        <v>1</v>
      </c>
      <c r="D23" s="14">
        <v>5</v>
      </c>
      <c r="E23" s="14">
        <v>3</v>
      </c>
      <c r="F23" s="14">
        <v>2</v>
      </c>
      <c r="G23" s="14">
        <v>2</v>
      </c>
      <c r="H23" s="14">
        <v>1</v>
      </c>
      <c r="I23" s="14">
        <v>3</v>
      </c>
      <c r="J23" s="14">
        <v>0</v>
      </c>
      <c r="K23" s="14">
        <v>1</v>
      </c>
      <c r="L23" s="14">
        <v>1</v>
      </c>
      <c r="M23" s="14">
        <v>1</v>
      </c>
      <c r="N23" s="14">
        <v>3</v>
      </c>
      <c r="O23" s="14">
        <v>5</v>
      </c>
      <c r="P23" s="14">
        <v>1</v>
      </c>
      <c r="Q23" s="14">
        <v>1</v>
      </c>
      <c r="R23" s="14">
        <v>2</v>
      </c>
      <c r="S23" s="14">
        <v>3</v>
      </c>
      <c r="T23" s="14">
        <v>2</v>
      </c>
      <c r="U23" s="14">
        <v>3</v>
      </c>
      <c r="V23" s="14">
        <v>1</v>
      </c>
      <c r="W23" s="14">
        <v>4</v>
      </c>
      <c r="X23" s="14">
        <v>2</v>
      </c>
      <c r="Y23" s="14">
        <v>1</v>
      </c>
      <c r="Z23" s="14">
        <v>3</v>
      </c>
      <c r="AA23" s="14">
        <v>3</v>
      </c>
      <c r="AB23" s="14">
        <v>2</v>
      </c>
      <c r="AC23" s="14">
        <v>1</v>
      </c>
      <c r="AD23" s="14">
        <v>1</v>
      </c>
      <c r="AE23" s="14">
        <v>2</v>
      </c>
      <c r="AF23" s="214">
        <v>3</v>
      </c>
      <c r="AG23" s="15">
        <f t="shared" si="2"/>
        <v>65</v>
      </c>
    </row>
    <row r="24" spans="1:33" ht="15.75" customHeight="1" x14ac:dyDescent="0.25">
      <c r="A24" s="12" t="s">
        <v>35</v>
      </c>
      <c r="B24" s="13">
        <v>2</v>
      </c>
      <c r="C24" s="14">
        <v>0</v>
      </c>
      <c r="D24" s="14">
        <v>2</v>
      </c>
      <c r="E24" s="14">
        <v>0</v>
      </c>
      <c r="F24" s="14">
        <v>5</v>
      </c>
      <c r="G24" s="14">
        <v>1</v>
      </c>
      <c r="H24" s="14">
        <v>1</v>
      </c>
      <c r="I24" s="14">
        <v>1</v>
      </c>
      <c r="J24" s="14">
        <v>2</v>
      </c>
      <c r="K24" s="14">
        <v>1</v>
      </c>
      <c r="L24" s="14">
        <v>1</v>
      </c>
      <c r="M24" s="14">
        <v>2</v>
      </c>
      <c r="N24" s="14">
        <v>2</v>
      </c>
      <c r="O24" s="14">
        <v>1</v>
      </c>
      <c r="P24" s="14">
        <v>1</v>
      </c>
      <c r="Q24" s="14">
        <v>4</v>
      </c>
      <c r="R24" s="14">
        <v>3</v>
      </c>
      <c r="S24" s="14">
        <v>4</v>
      </c>
      <c r="T24" s="14">
        <v>1</v>
      </c>
      <c r="U24" s="14">
        <v>1</v>
      </c>
      <c r="V24" s="14">
        <v>0</v>
      </c>
      <c r="W24" s="14">
        <v>1</v>
      </c>
      <c r="X24" s="14">
        <v>1</v>
      </c>
      <c r="Y24" s="14">
        <v>0</v>
      </c>
      <c r="Z24" s="14">
        <v>2</v>
      </c>
      <c r="AA24" s="14">
        <v>1</v>
      </c>
      <c r="AB24" s="14">
        <v>1</v>
      </c>
      <c r="AC24" s="14">
        <v>1</v>
      </c>
      <c r="AD24" s="14">
        <v>0</v>
      </c>
      <c r="AE24" s="14">
        <v>4</v>
      </c>
      <c r="AF24" s="214">
        <v>1</v>
      </c>
      <c r="AG24" s="15">
        <f t="shared" si="2"/>
        <v>47</v>
      </c>
    </row>
    <row r="25" spans="1:33" ht="15.75" customHeight="1" x14ac:dyDescent="0.25">
      <c r="A25" s="12" t="s">
        <v>36</v>
      </c>
      <c r="B25" s="13">
        <v>0</v>
      </c>
      <c r="C25" s="14">
        <v>0</v>
      </c>
      <c r="D25" s="14">
        <v>2</v>
      </c>
      <c r="E25" s="14">
        <v>1</v>
      </c>
      <c r="F25" s="14">
        <v>3</v>
      </c>
      <c r="G25" s="14">
        <v>0</v>
      </c>
      <c r="H25" s="14">
        <v>1</v>
      </c>
      <c r="I25" s="14">
        <v>0</v>
      </c>
      <c r="J25" s="14">
        <v>1</v>
      </c>
      <c r="K25" s="14">
        <v>1</v>
      </c>
      <c r="L25" s="14">
        <v>0</v>
      </c>
      <c r="M25" s="14">
        <v>0</v>
      </c>
      <c r="N25" s="14">
        <v>1</v>
      </c>
      <c r="O25" s="14">
        <v>1</v>
      </c>
      <c r="P25" s="14">
        <v>1</v>
      </c>
      <c r="Q25" s="14">
        <v>2</v>
      </c>
      <c r="R25" s="14">
        <v>1</v>
      </c>
      <c r="S25" s="14">
        <v>0</v>
      </c>
      <c r="T25" s="14">
        <v>1</v>
      </c>
      <c r="U25" s="14">
        <v>0</v>
      </c>
      <c r="V25" s="14">
        <v>1</v>
      </c>
      <c r="W25" s="14">
        <v>2</v>
      </c>
      <c r="X25" s="14">
        <v>4</v>
      </c>
      <c r="Y25" s="14">
        <v>1</v>
      </c>
      <c r="Z25" s="14">
        <v>2</v>
      </c>
      <c r="AA25" s="14">
        <v>2</v>
      </c>
      <c r="AB25" s="14">
        <v>0</v>
      </c>
      <c r="AC25" s="14">
        <v>2</v>
      </c>
      <c r="AD25" s="14">
        <v>2</v>
      </c>
      <c r="AE25" s="14">
        <v>2</v>
      </c>
      <c r="AF25" s="214">
        <v>2</v>
      </c>
      <c r="AG25" s="15">
        <f t="shared" si="2"/>
        <v>36</v>
      </c>
    </row>
    <row r="26" spans="1:33" ht="15.75" customHeight="1" x14ac:dyDescent="0.25">
      <c r="A26" s="12" t="s">
        <v>37</v>
      </c>
      <c r="B26" s="13">
        <v>5</v>
      </c>
      <c r="C26" s="14">
        <v>0</v>
      </c>
      <c r="D26" s="14">
        <v>0</v>
      </c>
      <c r="E26" s="14">
        <v>5</v>
      </c>
      <c r="F26" s="14">
        <v>0</v>
      </c>
      <c r="G26" s="14">
        <v>1</v>
      </c>
      <c r="H26" s="14">
        <v>2</v>
      </c>
      <c r="I26" s="14">
        <v>0</v>
      </c>
      <c r="J26" s="14">
        <v>2</v>
      </c>
      <c r="K26" s="14">
        <v>2</v>
      </c>
      <c r="L26" s="14">
        <v>2</v>
      </c>
      <c r="M26" s="14">
        <v>0</v>
      </c>
      <c r="N26" s="14">
        <v>1</v>
      </c>
      <c r="O26" s="14">
        <v>1</v>
      </c>
      <c r="P26" s="14">
        <v>1</v>
      </c>
      <c r="Q26" s="14">
        <v>6</v>
      </c>
      <c r="R26" s="14">
        <v>1</v>
      </c>
      <c r="S26" s="14">
        <v>2</v>
      </c>
      <c r="T26" s="14">
        <v>4</v>
      </c>
      <c r="U26" s="14">
        <v>2</v>
      </c>
      <c r="V26" s="14">
        <v>4</v>
      </c>
      <c r="W26" s="14">
        <v>3</v>
      </c>
      <c r="X26" s="14">
        <v>4</v>
      </c>
      <c r="Y26" s="14">
        <v>4</v>
      </c>
      <c r="Z26" s="14">
        <v>2</v>
      </c>
      <c r="AA26" s="14">
        <v>4</v>
      </c>
      <c r="AB26" s="14">
        <v>0</v>
      </c>
      <c r="AC26" s="14">
        <v>3</v>
      </c>
      <c r="AD26" s="14">
        <v>1</v>
      </c>
      <c r="AE26" s="14">
        <v>2</v>
      </c>
      <c r="AF26" s="214">
        <v>1</v>
      </c>
      <c r="AG26" s="15">
        <f t="shared" si="2"/>
        <v>65</v>
      </c>
    </row>
    <row r="27" spans="1:33" ht="15.75" customHeight="1" x14ac:dyDescent="0.25">
      <c r="A27" s="16" t="s">
        <v>38</v>
      </c>
      <c r="B27" s="17">
        <v>9</v>
      </c>
      <c r="C27" s="18">
        <v>4</v>
      </c>
      <c r="D27" s="18">
        <v>3</v>
      </c>
      <c r="E27" s="18">
        <v>2</v>
      </c>
      <c r="F27" s="18">
        <v>1</v>
      </c>
      <c r="G27" s="18">
        <v>3</v>
      </c>
      <c r="H27" s="18">
        <v>4</v>
      </c>
      <c r="I27" s="18">
        <v>4</v>
      </c>
      <c r="J27" s="18">
        <v>7</v>
      </c>
      <c r="K27" s="18">
        <v>4</v>
      </c>
      <c r="L27" s="18">
        <v>2</v>
      </c>
      <c r="M27" s="18">
        <v>7</v>
      </c>
      <c r="N27" s="18">
        <v>8</v>
      </c>
      <c r="O27" s="18">
        <v>6</v>
      </c>
      <c r="P27" s="18">
        <v>9</v>
      </c>
      <c r="Q27" s="18">
        <v>11</v>
      </c>
      <c r="R27" s="18">
        <v>2</v>
      </c>
      <c r="S27" s="18">
        <v>4</v>
      </c>
      <c r="T27" s="18">
        <v>6</v>
      </c>
      <c r="U27" s="18">
        <v>5</v>
      </c>
      <c r="V27" s="18">
        <v>7</v>
      </c>
      <c r="W27" s="18">
        <v>7</v>
      </c>
      <c r="X27" s="18">
        <v>4</v>
      </c>
      <c r="Y27" s="18">
        <v>4</v>
      </c>
      <c r="Z27" s="18">
        <v>1</v>
      </c>
      <c r="AA27" s="18">
        <v>2</v>
      </c>
      <c r="AB27" s="18">
        <v>3</v>
      </c>
      <c r="AC27" s="18">
        <v>8</v>
      </c>
      <c r="AD27" s="18">
        <v>3</v>
      </c>
      <c r="AE27" s="18">
        <v>2</v>
      </c>
      <c r="AF27" s="215">
        <v>3</v>
      </c>
      <c r="AG27" s="15">
        <f t="shared" si="2"/>
        <v>145</v>
      </c>
    </row>
    <row r="28" spans="1:33" ht="15.75" customHeight="1" x14ac:dyDescent="0.25">
      <c r="A28" s="19" t="s">
        <v>39</v>
      </c>
      <c r="B28" s="20">
        <f t="shared" ref="B28:AF28" si="3">SUM(B29:B52)</f>
        <v>195</v>
      </c>
      <c r="C28" s="21">
        <f t="shared" si="3"/>
        <v>178</v>
      </c>
      <c r="D28" s="21">
        <f t="shared" si="3"/>
        <v>203</v>
      </c>
      <c r="E28" s="21">
        <f t="shared" si="3"/>
        <v>214</v>
      </c>
      <c r="F28" s="21">
        <f t="shared" si="3"/>
        <v>197</v>
      </c>
      <c r="G28" s="21">
        <f t="shared" si="3"/>
        <v>208</v>
      </c>
      <c r="H28" s="21">
        <f t="shared" si="3"/>
        <v>202</v>
      </c>
      <c r="I28" s="21">
        <f t="shared" si="3"/>
        <v>215</v>
      </c>
      <c r="J28" s="21">
        <f t="shared" si="3"/>
        <v>206</v>
      </c>
      <c r="K28" s="21">
        <f t="shared" si="3"/>
        <v>205</v>
      </c>
      <c r="L28" s="21">
        <f t="shared" si="3"/>
        <v>208</v>
      </c>
      <c r="M28" s="21">
        <f t="shared" si="3"/>
        <v>257</v>
      </c>
      <c r="N28" s="21">
        <f t="shared" si="3"/>
        <v>263</v>
      </c>
      <c r="O28" s="21">
        <f t="shared" si="3"/>
        <v>248</v>
      </c>
      <c r="P28" s="21">
        <f t="shared" si="3"/>
        <v>289</v>
      </c>
      <c r="Q28" s="21">
        <f t="shared" si="3"/>
        <v>274</v>
      </c>
      <c r="R28" s="21">
        <f t="shared" si="3"/>
        <v>220</v>
      </c>
      <c r="S28" s="21">
        <f t="shared" si="3"/>
        <v>222</v>
      </c>
      <c r="T28" s="21">
        <f t="shared" si="3"/>
        <v>236</v>
      </c>
      <c r="U28" s="21">
        <f t="shared" si="3"/>
        <v>270</v>
      </c>
      <c r="V28" s="21">
        <f t="shared" si="3"/>
        <v>266</v>
      </c>
      <c r="W28" s="21">
        <f t="shared" si="3"/>
        <v>238</v>
      </c>
      <c r="X28" s="21">
        <f t="shared" si="3"/>
        <v>242</v>
      </c>
      <c r="Y28" s="21">
        <f t="shared" si="3"/>
        <v>201</v>
      </c>
      <c r="Z28" s="21">
        <f t="shared" si="3"/>
        <v>266</v>
      </c>
      <c r="AA28" s="21">
        <f t="shared" si="3"/>
        <v>253</v>
      </c>
      <c r="AB28" s="21">
        <f t="shared" si="3"/>
        <v>224</v>
      </c>
      <c r="AC28" s="21">
        <f t="shared" si="3"/>
        <v>246</v>
      </c>
      <c r="AD28" s="21">
        <f t="shared" si="3"/>
        <v>210</v>
      </c>
      <c r="AE28" s="21">
        <f t="shared" si="3"/>
        <v>209</v>
      </c>
      <c r="AF28" s="21">
        <f t="shared" si="3"/>
        <v>225</v>
      </c>
      <c r="AG28" s="22">
        <f t="shared" si="2"/>
        <v>7090</v>
      </c>
    </row>
    <row r="29" spans="1:33" ht="15.75" customHeight="1" x14ac:dyDescent="0.25">
      <c r="A29" s="12" t="s">
        <v>15</v>
      </c>
      <c r="B29" s="13">
        <v>7</v>
      </c>
      <c r="C29" s="14">
        <v>3</v>
      </c>
      <c r="D29" s="14">
        <v>5</v>
      </c>
      <c r="E29" s="14">
        <v>7</v>
      </c>
      <c r="F29" s="14"/>
      <c r="G29" s="14">
        <v>7</v>
      </c>
      <c r="H29" s="14">
        <v>9</v>
      </c>
      <c r="I29" s="14">
        <v>9</v>
      </c>
      <c r="J29" s="14">
        <v>8</v>
      </c>
      <c r="K29" s="14">
        <v>2</v>
      </c>
      <c r="L29" s="14">
        <v>3</v>
      </c>
      <c r="M29" s="14">
        <v>6</v>
      </c>
      <c r="N29" s="14">
        <v>7</v>
      </c>
      <c r="O29" s="14">
        <v>5</v>
      </c>
      <c r="P29" s="14">
        <v>17</v>
      </c>
      <c r="Q29" s="14">
        <v>8</v>
      </c>
      <c r="R29" s="14"/>
      <c r="S29" s="14">
        <v>3</v>
      </c>
      <c r="T29" s="14">
        <v>6</v>
      </c>
      <c r="U29" s="14">
        <v>9</v>
      </c>
      <c r="V29" s="14">
        <v>8</v>
      </c>
      <c r="W29" s="14">
        <v>5</v>
      </c>
      <c r="X29" s="14">
        <v>8</v>
      </c>
      <c r="Y29" s="14">
        <v>6</v>
      </c>
      <c r="Z29" s="14">
        <v>5</v>
      </c>
      <c r="AA29" s="14">
        <v>5</v>
      </c>
      <c r="AB29" s="14">
        <v>4</v>
      </c>
      <c r="AC29" s="14">
        <v>15</v>
      </c>
      <c r="AD29" s="14">
        <v>3</v>
      </c>
      <c r="AE29" s="14">
        <v>3</v>
      </c>
      <c r="AF29" s="214">
        <v>5</v>
      </c>
      <c r="AG29" s="15">
        <f t="shared" si="2"/>
        <v>188</v>
      </c>
    </row>
    <row r="30" spans="1:33" ht="15.75" customHeight="1" x14ac:dyDescent="0.25">
      <c r="A30" s="12" t="s">
        <v>16</v>
      </c>
      <c r="B30" s="13">
        <v>13</v>
      </c>
      <c r="C30" s="14">
        <v>5</v>
      </c>
      <c r="D30" s="14">
        <v>6</v>
      </c>
      <c r="E30" s="14">
        <v>10</v>
      </c>
      <c r="F30" s="14">
        <v>4</v>
      </c>
      <c r="G30" s="14">
        <v>12</v>
      </c>
      <c r="H30" s="14">
        <v>6</v>
      </c>
      <c r="I30" s="14">
        <v>11</v>
      </c>
      <c r="J30" s="14">
        <v>10</v>
      </c>
      <c r="K30" s="14">
        <v>13</v>
      </c>
      <c r="L30" s="14">
        <v>8</v>
      </c>
      <c r="M30" s="14">
        <v>9</v>
      </c>
      <c r="N30" s="14">
        <v>14</v>
      </c>
      <c r="O30" s="14">
        <v>13</v>
      </c>
      <c r="P30" s="14">
        <v>19</v>
      </c>
      <c r="Q30" s="14">
        <v>12</v>
      </c>
      <c r="R30" s="14">
        <v>13</v>
      </c>
      <c r="S30" s="14">
        <v>5</v>
      </c>
      <c r="T30" s="14">
        <v>8</v>
      </c>
      <c r="U30" s="14">
        <v>15</v>
      </c>
      <c r="V30" s="14">
        <v>13</v>
      </c>
      <c r="W30" s="14">
        <v>14</v>
      </c>
      <c r="X30" s="14">
        <v>10</v>
      </c>
      <c r="Y30" s="14">
        <v>14</v>
      </c>
      <c r="Z30" s="14">
        <v>12</v>
      </c>
      <c r="AA30" s="14">
        <v>13</v>
      </c>
      <c r="AB30" s="14">
        <v>11</v>
      </c>
      <c r="AC30" s="14">
        <v>14</v>
      </c>
      <c r="AD30" s="14">
        <v>10</v>
      </c>
      <c r="AE30" s="14">
        <v>9</v>
      </c>
      <c r="AF30" s="214">
        <v>13</v>
      </c>
      <c r="AG30" s="15">
        <f t="shared" si="2"/>
        <v>339</v>
      </c>
    </row>
    <row r="31" spans="1:33" ht="15.75" customHeight="1" x14ac:dyDescent="0.25">
      <c r="A31" s="12" t="s">
        <v>17</v>
      </c>
      <c r="B31" s="13">
        <v>6</v>
      </c>
      <c r="C31" s="14">
        <v>12</v>
      </c>
      <c r="D31" s="14">
        <v>7</v>
      </c>
      <c r="E31" s="14">
        <v>14</v>
      </c>
      <c r="F31" s="14">
        <v>12</v>
      </c>
      <c r="G31" s="14">
        <v>11</v>
      </c>
      <c r="H31" s="14">
        <v>8</v>
      </c>
      <c r="I31" s="14">
        <v>11</v>
      </c>
      <c r="J31" s="14">
        <v>5</v>
      </c>
      <c r="K31" s="14">
        <v>10</v>
      </c>
      <c r="L31" s="14">
        <v>12</v>
      </c>
      <c r="M31" s="14">
        <v>16</v>
      </c>
      <c r="N31" s="14">
        <v>15</v>
      </c>
      <c r="O31" s="14">
        <v>8</v>
      </c>
      <c r="P31" s="14">
        <v>9</v>
      </c>
      <c r="Q31" s="14">
        <v>13</v>
      </c>
      <c r="R31" s="14">
        <v>14</v>
      </c>
      <c r="S31" s="14">
        <v>14</v>
      </c>
      <c r="T31" s="14">
        <v>18</v>
      </c>
      <c r="U31" s="14">
        <v>11</v>
      </c>
      <c r="V31" s="14">
        <v>15</v>
      </c>
      <c r="W31" s="14">
        <v>11</v>
      </c>
      <c r="X31" s="14">
        <v>10</v>
      </c>
      <c r="Y31" s="14">
        <v>12</v>
      </c>
      <c r="Z31" s="14">
        <v>18</v>
      </c>
      <c r="AA31" s="14">
        <v>9</v>
      </c>
      <c r="AB31" s="14">
        <v>10</v>
      </c>
      <c r="AC31" s="14">
        <v>3</v>
      </c>
      <c r="AD31" s="14">
        <v>7</v>
      </c>
      <c r="AE31" s="14">
        <v>6</v>
      </c>
      <c r="AF31" s="214">
        <v>13</v>
      </c>
      <c r="AG31" s="15">
        <f t="shared" si="2"/>
        <v>340</v>
      </c>
    </row>
    <row r="32" spans="1:33" ht="15.75" customHeight="1" x14ac:dyDescent="0.25">
      <c r="A32" s="12" t="s">
        <v>18</v>
      </c>
      <c r="B32" s="13">
        <v>9</v>
      </c>
      <c r="C32" s="14">
        <v>15</v>
      </c>
      <c r="D32" s="14">
        <v>11</v>
      </c>
      <c r="E32" s="14">
        <v>12</v>
      </c>
      <c r="F32" s="14">
        <v>15</v>
      </c>
      <c r="G32" s="14">
        <v>9</v>
      </c>
      <c r="H32" s="14">
        <v>12</v>
      </c>
      <c r="I32" s="14">
        <v>11</v>
      </c>
      <c r="J32" s="14">
        <v>13</v>
      </c>
      <c r="K32" s="14">
        <v>13</v>
      </c>
      <c r="L32" s="14">
        <v>18</v>
      </c>
      <c r="M32" s="14">
        <v>11</v>
      </c>
      <c r="N32" s="14">
        <v>13</v>
      </c>
      <c r="O32" s="14">
        <v>10</v>
      </c>
      <c r="P32" s="14">
        <v>13</v>
      </c>
      <c r="Q32" s="14">
        <v>10</v>
      </c>
      <c r="R32" s="14">
        <v>14</v>
      </c>
      <c r="S32" s="14">
        <v>14</v>
      </c>
      <c r="T32" s="14">
        <v>14</v>
      </c>
      <c r="U32" s="14">
        <v>17</v>
      </c>
      <c r="V32" s="14">
        <v>11</v>
      </c>
      <c r="W32" s="14">
        <v>12</v>
      </c>
      <c r="X32" s="14">
        <v>12</v>
      </c>
      <c r="Y32" s="14">
        <v>7</v>
      </c>
      <c r="Z32" s="14">
        <v>17</v>
      </c>
      <c r="AA32" s="14">
        <v>17</v>
      </c>
      <c r="AB32" s="14">
        <v>7</v>
      </c>
      <c r="AC32" s="14">
        <v>13</v>
      </c>
      <c r="AD32" s="14">
        <v>8</v>
      </c>
      <c r="AE32" s="14">
        <v>11</v>
      </c>
      <c r="AF32" s="214">
        <v>12</v>
      </c>
      <c r="AG32" s="15">
        <f t="shared" si="2"/>
        <v>381</v>
      </c>
    </row>
    <row r="33" spans="1:33" ht="15.75" customHeight="1" x14ac:dyDescent="0.25">
      <c r="A33" s="12" t="s">
        <v>19</v>
      </c>
      <c r="B33" s="13">
        <v>9</v>
      </c>
      <c r="C33" s="14">
        <v>9</v>
      </c>
      <c r="D33" s="14">
        <v>9</v>
      </c>
      <c r="E33" s="14">
        <v>9</v>
      </c>
      <c r="F33" s="14">
        <v>19</v>
      </c>
      <c r="G33" s="14">
        <v>12</v>
      </c>
      <c r="H33" s="14">
        <v>5</v>
      </c>
      <c r="I33" s="14">
        <v>12</v>
      </c>
      <c r="J33" s="14">
        <v>14</v>
      </c>
      <c r="K33" s="14">
        <v>6</v>
      </c>
      <c r="L33" s="14">
        <v>14</v>
      </c>
      <c r="M33" s="14">
        <v>14</v>
      </c>
      <c r="N33" s="14">
        <v>3</v>
      </c>
      <c r="O33" s="14">
        <v>10</v>
      </c>
      <c r="P33" s="14">
        <v>14</v>
      </c>
      <c r="Q33" s="14">
        <v>11</v>
      </c>
      <c r="R33" s="14">
        <v>13</v>
      </c>
      <c r="S33" s="14">
        <v>14</v>
      </c>
      <c r="T33" s="14">
        <v>16</v>
      </c>
      <c r="U33" s="14">
        <v>15</v>
      </c>
      <c r="V33" s="14">
        <v>11</v>
      </c>
      <c r="W33" s="14">
        <v>9</v>
      </c>
      <c r="X33" s="14">
        <v>11</v>
      </c>
      <c r="Y33" s="14">
        <v>12</v>
      </c>
      <c r="Z33" s="14">
        <v>23</v>
      </c>
      <c r="AA33" s="14">
        <v>20</v>
      </c>
      <c r="AB33" s="14">
        <v>6</v>
      </c>
      <c r="AC33" s="14">
        <v>12</v>
      </c>
      <c r="AD33" s="14">
        <v>10</v>
      </c>
      <c r="AE33" s="14">
        <v>13</v>
      </c>
      <c r="AF33" s="214">
        <v>15</v>
      </c>
      <c r="AG33" s="15">
        <f t="shared" si="2"/>
        <v>370</v>
      </c>
    </row>
    <row r="34" spans="1:33" ht="15.75" customHeight="1" x14ac:dyDescent="0.25">
      <c r="A34" s="12" t="s">
        <v>20</v>
      </c>
      <c r="B34" s="13">
        <v>6</v>
      </c>
      <c r="C34" s="14">
        <v>2</v>
      </c>
      <c r="D34" s="14">
        <v>6</v>
      </c>
      <c r="E34" s="14">
        <v>16</v>
      </c>
      <c r="F34" s="14">
        <v>8</v>
      </c>
      <c r="G34" s="14">
        <v>4</v>
      </c>
      <c r="H34" s="14">
        <v>8</v>
      </c>
      <c r="I34" s="14">
        <v>6</v>
      </c>
      <c r="J34" s="14">
        <v>5</v>
      </c>
      <c r="K34" s="14">
        <v>10</v>
      </c>
      <c r="L34" s="14">
        <v>9</v>
      </c>
      <c r="M34" s="14">
        <v>21</v>
      </c>
      <c r="N34" s="14">
        <v>4</v>
      </c>
      <c r="O34" s="14">
        <v>8</v>
      </c>
      <c r="P34" s="14">
        <v>8</v>
      </c>
      <c r="Q34" s="14">
        <v>9</v>
      </c>
      <c r="R34" s="14">
        <v>9</v>
      </c>
      <c r="S34" s="14">
        <v>9</v>
      </c>
      <c r="T34" s="14">
        <v>14</v>
      </c>
      <c r="U34" s="14">
        <v>6</v>
      </c>
      <c r="V34" s="14">
        <v>6</v>
      </c>
      <c r="W34" s="14">
        <v>11</v>
      </c>
      <c r="X34" s="14">
        <v>11</v>
      </c>
      <c r="Y34" s="14">
        <v>6</v>
      </c>
      <c r="Z34" s="14">
        <v>16</v>
      </c>
      <c r="AA34" s="14">
        <v>17</v>
      </c>
      <c r="AB34" s="14">
        <v>9</v>
      </c>
      <c r="AC34" s="14">
        <v>11</v>
      </c>
      <c r="AD34" s="14">
        <v>6</v>
      </c>
      <c r="AE34" s="14">
        <v>7</v>
      </c>
      <c r="AF34" s="214">
        <v>7</v>
      </c>
      <c r="AG34" s="15">
        <f t="shared" si="2"/>
        <v>275</v>
      </c>
    </row>
    <row r="35" spans="1:33" ht="15.75" customHeight="1" x14ac:dyDescent="0.25">
      <c r="A35" s="12" t="s">
        <v>21</v>
      </c>
      <c r="B35" s="13">
        <v>5</v>
      </c>
      <c r="C35" s="14">
        <v>9</v>
      </c>
      <c r="D35" s="14">
        <v>4</v>
      </c>
      <c r="E35" s="14">
        <v>5</v>
      </c>
      <c r="F35" s="14">
        <v>4</v>
      </c>
      <c r="G35" s="14">
        <v>10</v>
      </c>
      <c r="H35" s="14">
        <v>10</v>
      </c>
      <c r="I35" s="14">
        <v>6</v>
      </c>
      <c r="J35" s="14">
        <v>8</v>
      </c>
      <c r="K35" s="14">
        <v>6</v>
      </c>
      <c r="L35" s="14">
        <v>18</v>
      </c>
      <c r="M35" s="14">
        <v>19</v>
      </c>
      <c r="N35" s="14">
        <v>12</v>
      </c>
      <c r="O35" s="14">
        <v>12</v>
      </c>
      <c r="P35" s="14">
        <v>10</v>
      </c>
      <c r="Q35" s="14">
        <v>13</v>
      </c>
      <c r="R35" s="14">
        <v>4</v>
      </c>
      <c r="S35" s="14">
        <v>8</v>
      </c>
      <c r="T35" s="14">
        <v>7</v>
      </c>
      <c r="U35" s="14">
        <v>12</v>
      </c>
      <c r="V35" s="14">
        <v>12</v>
      </c>
      <c r="W35" s="14">
        <v>15</v>
      </c>
      <c r="X35" s="14">
        <v>11</v>
      </c>
      <c r="Y35" s="14">
        <v>5</v>
      </c>
      <c r="Z35" s="14">
        <v>11</v>
      </c>
      <c r="AA35" s="14">
        <v>10</v>
      </c>
      <c r="AB35" s="14">
        <v>19</v>
      </c>
      <c r="AC35" s="14">
        <v>13</v>
      </c>
      <c r="AD35" s="14">
        <v>15</v>
      </c>
      <c r="AE35" s="14">
        <v>6</v>
      </c>
      <c r="AF35" s="214">
        <v>12</v>
      </c>
      <c r="AG35" s="15">
        <f t="shared" si="2"/>
        <v>311</v>
      </c>
    </row>
    <row r="36" spans="1:33" ht="15.75" customHeight="1" x14ac:dyDescent="0.25">
      <c r="A36" s="12" t="s">
        <v>22</v>
      </c>
      <c r="B36" s="13">
        <v>6</v>
      </c>
      <c r="C36" s="14">
        <v>11</v>
      </c>
      <c r="D36" s="14">
        <v>7</v>
      </c>
      <c r="E36" s="14">
        <v>14</v>
      </c>
      <c r="F36" s="14">
        <v>16</v>
      </c>
      <c r="G36" s="14">
        <v>5</v>
      </c>
      <c r="H36" s="14">
        <v>11</v>
      </c>
      <c r="I36" s="14">
        <v>12</v>
      </c>
      <c r="J36" s="14">
        <v>9</v>
      </c>
      <c r="K36" s="14">
        <v>10</v>
      </c>
      <c r="L36" s="14">
        <v>13</v>
      </c>
      <c r="M36" s="14">
        <v>13</v>
      </c>
      <c r="N36" s="14">
        <v>8</v>
      </c>
      <c r="O36" s="14">
        <v>12</v>
      </c>
      <c r="P36" s="14">
        <v>19</v>
      </c>
      <c r="Q36" s="14">
        <v>21</v>
      </c>
      <c r="R36" s="14">
        <v>9</v>
      </c>
      <c r="S36" s="14">
        <v>14</v>
      </c>
      <c r="T36" s="14">
        <v>16</v>
      </c>
      <c r="U36" s="14">
        <v>16</v>
      </c>
      <c r="V36" s="14">
        <v>12</v>
      </c>
      <c r="W36" s="14">
        <v>15</v>
      </c>
      <c r="X36" s="14">
        <v>16</v>
      </c>
      <c r="Y36" s="14">
        <v>13</v>
      </c>
      <c r="Z36" s="14">
        <v>17</v>
      </c>
      <c r="AA36" s="14">
        <v>18</v>
      </c>
      <c r="AB36" s="14">
        <v>18</v>
      </c>
      <c r="AC36" s="14">
        <v>13</v>
      </c>
      <c r="AD36" s="14">
        <v>22</v>
      </c>
      <c r="AE36" s="14">
        <v>7</v>
      </c>
      <c r="AF36" s="214">
        <v>13</v>
      </c>
      <c r="AG36" s="15">
        <f t="shared" si="2"/>
        <v>406</v>
      </c>
    </row>
    <row r="37" spans="1:33" ht="15.75" customHeight="1" x14ac:dyDescent="0.25">
      <c r="A37" s="12" t="s">
        <v>23</v>
      </c>
      <c r="B37" s="13">
        <v>8</v>
      </c>
      <c r="C37" s="14">
        <v>10</v>
      </c>
      <c r="D37" s="14">
        <v>21</v>
      </c>
      <c r="E37" s="14">
        <v>14</v>
      </c>
      <c r="F37" s="14">
        <v>12</v>
      </c>
      <c r="G37" s="14">
        <v>12</v>
      </c>
      <c r="H37" s="14">
        <v>9</v>
      </c>
      <c r="I37" s="14">
        <v>11</v>
      </c>
      <c r="J37" s="14">
        <v>12</v>
      </c>
      <c r="K37" s="14">
        <v>12</v>
      </c>
      <c r="L37" s="14">
        <v>11</v>
      </c>
      <c r="M37" s="14">
        <v>12</v>
      </c>
      <c r="N37" s="14">
        <v>13</v>
      </c>
      <c r="O37" s="14">
        <v>12</v>
      </c>
      <c r="P37" s="14">
        <v>17</v>
      </c>
      <c r="Q37" s="14">
        <v>9</v>
      </c>
      <c r="R37" s="14">
        <v>11</v>
      </c>
      <c r="S37" s="14">
        <v>20</v>
      </c>
      <c r="T37" s="14">
        <v>21</v>
      </c>
      <c r="U37" s="14">
        <v>17</v>
      </c>
      <c r="V37" s="14">
        <v>14</v>
      </c>
      <c r="W37" s="14">
        <v>14</v>
      </c>
      <c r="X37" s="14">
        <v>10</v>
      </c>
      <c r="Y37" s="14">
        <v>9</v>
      </c>
      <c r="Z37" s="14">
        <v>18</v>
      </c>
      <c r="AA37" s="14">
        <v>13</v>
      </c>
      <c r="AB37" s="14">
        <v>9</v>
      </c>
      <c r="AC37" s="14">
        <v>17</v>
      </c>
      <c r="AD37" s="14">
        <v>9</v>
      </c>
      <c r="AE37" s="14">
        <v>16</v>
      </c>
      <c r="AF37" s="214">
        <v>12</v>
      </c>
      <c r="AG37" s="15">
        <f t="shared" si="2"/>
        <v>405</v>
      </c>
    </row>
    <row r="38" spans="1:33" ht="15.75" customHeight="1" x14ac:dyDescent="0.25">
      <c r="A38" s="12" t="s">
        <v>24</v>
      </c>
      <c r="B38" s="13">
        <v>8</v>
      </c>
      <c r="C38" s="14">
        <v>6</v>
      </c>
      <c r="D38" s="14">
        <v>4</v>
      </c>
      <c r="E38" s="14">
        <v>12</v>
      </c>
      <c r="F38" s="14">
        <v>17</v>
      </c>
      <c r="G38" s="14">
        <v>7</v>
      </c>
      <c r="H38" s="14">
        <v>8</v>
      </c>
      <c r="I38" s="14">
        <v>14</v>
      </c>
      <c r="J38" s="14">
        <v>4</v>
      </c>
      <c r="K38" s="14">
        <v>14</v>
      </c>
      <c r="L38" s="14">
        <v>18</v>
      </c>
      <c r="M38" s="14">
        <v>14</v>
      </c>
      <c r="N38" s="14">
        <v>15</v>
      </c>
      <c r="O38" s="14">
        <v>9</v>
      </c>
      <c r="P38" s="14">
        <v>18</v>
      </c>
      <c r="Q38" s="14">
        <v>13</v>
      </c>
      <c r="R38" s="14">
        <v>8</v>
      </c>
      <c r="S38" s="14">
        <v>16</v>
      </c>
      <c r="T38" s="14">
        <v>17</v>
      </c>
      <c r="U38" s="14">
        <v>14</v>
      </c>
      <c r="V38" s="14">
        <v>11</v>
      </c>
      <c r="W38" s="14">
        <v>9</v>
      </c>
      <c r="X38" s="14">
        <v>12</v>
      </c>
      <c r="Y38" s="14">
        <v>7</v>
      </c>
      <c r="Z38" s="14">
        <v>16</v>
      </c>
      <c r="AA38" s="14">
        <v>14</v>
      </c>
      <c r="AB38" s="14">
        <v>11</v>
      </c>
      <c r="AC38" s="14">
        <v>17</v>
      </c>
      <c r="AD38" s="14">
        <v>9</v>
      </c>
      <c r="AE38" s="14">
        <v>8</v>
      </c>
      <c r="AF38" s="214">
        <v>10</v>
      </c>
      <c r="AG38" s="15">
        <f t="shared" si="2"/>
        <v>360</v>
      </c>
    </row>
    <row r="39" spans="1:33" ht="15.75" customHeight="1" x14ac:dyDescent="0.25">
      <c r="A39" s="12" t="s">
        <v>25</v>
      </c>
      <c r="B39" s="13">
        <v>17</v>
      </c>
      <c r="C39" s="14">
        <v>17</v>
      </c>
      <c r="D39" s="14">
        <v>15</v>
      </c>
      <c r="E39" s="14">
        <v>12</v>
      </c>
      <c r="F39" s="14">
        <v>14</v>
      </c>
      <c r="G39" s="14">
        <v>17</v>
      </c>
      <c r="H39" s="14">
        <v>17</v>
      </c>
      <c r="I39" s="14">
        <v>15</v>
      </c>
      <c r="J39" s="14">
        <v>13</v>
      </c>
      <c r="K39" s="14">
        <v>11</v>
      </c>
      <c r="L39" s="14">
        <v>19</v>
      </c>
      <c r="M39" s="14">
        <v>15</v>
      </c>
      <c r="N39" s="14">
        <v>20</v>
      </c>
      <c r="O39" s="14">
        <v>14</v>
      </c>
      <c r="P39" s="14">
        <v>18</v>
      </c>
      <c r="Q39" s="14">
        <v>22</v>
      </c>
      <c r="R39" s="14">
        <v>18</v>
      </c>
      <c r="S39" s="14">
        <v>21</v>
      </c>
      <c r="T39" s="14">
        <v>22</v>
      </c>
      <c r="U39" s="14">
        <v>18</v>
      </c>
      <c r="V39" s="14">
        <v>17</v>
      </c>
      <c r="W39" s="14">
        <v>15</v>
      </c>
      <c r="X39" s="14">
        <v>22</v>
      </c>
      <c r="Y39" s="14">
        <v>11</v>
      </c>
      <c r="Z39" s="14">
        <v>21</v>
      </c>
      <c r="AA39" s="14">
        <v>22</v>
      </c>
      <c r="AB39" s="14">
        <v>11</v>
      </c>
      <c r="AC39" s="14">
        <v>9</v>
      </c>
      <c r="AD39" s="14">
        <v>16</v>
      </c>
      <c r="AE39" s="14">
        <v>22</v>
      </c>
      <c r="AF39" s="214">
        <v>16</v>
      </c>
      <c r="AG39" s="15">
        <f t="shared" si="2"/>
        <v>517</v>
      </c>
    </row>
    <row r="40" spans="1:33" ht="15.75" customHeight="1" x14ac:dyDescent="0.25">
      <c r="A40" s="12" t="s">
        <v>26</v>
      </c>
      <c r="B40" s="13">
        <v>16</v>
      </c>
      <c r="C40" s="14">
        <v>18</v>
      </c>
      <c r="D40" s="14">
        <v>12</v>
      </c>
      <c r="E40" s="14">
        <v>12</v>
      </c>
      <c r="F40" s="14">
        <v>8</v>
      </c>
      <c r="G40" s="14">
        <v>16</v>
      </c>
      <c r="H40" s="14">
        <v>21</v>
      </c>
      <c r="I40" s="14">
        <v>20</v>
      </c>
      <c r="J40" s="14">
        <v>21</v>
      </c>
      <c r="K40" s="14">
        <v>13</v>
      </c>
      <c r="L40" s="14">
        <v>14</v>
      </c>
      <c r="M40" s="14">
        <v>14</v>
      </c>
      <c r="N40" s="14">
        <v>22</v>
      </c>
      <c r="O40" s="14">
        <v>20</v>
      </c>
      <c r="P40" s="14">
        <v>22</v>
      </c>
      <c r="Q40" s="14">
        <v>25</v>
      </c>
      <c r="R40" s="14">
        <v>21</v>
      </c>
      <c r="S40" s="14">
        <v>13</v>
      </c>
      <c r="T40" s="14">
        <v>12</v>
      </c>
      <c r="U40" s="14">
        <v>14</v>
      </c>
      <c r="V40" s="14">
        <v>21</v>
      </c>
      <c r="W40" s="14">
        <v>19</v>
      </c>
      <c r="X40" s="14">
        <v>24</v>
      </c>
      <c r="Y40" s="14">
        <v>17</v>
      </c>
      <c r="Z40" s="14">
        <v>16</v>
      </c>
      <c r="AA40" s="14">
        <v>19</v>
      </c>
      <c r="AB40" s="14">
        <v>16</v>
      </c>
      <c r="AC40" s="14">
        <v>17</v>
      </c>
      <c r="AD40" s="14">
        <v>22</v>
      </c>
      <c r="AE40" s="14">
        <v>18</v>
      </c>
      <c r="AF40" s="214">
        <v>15</v>
      </c>
      <c r="AG40" s="15">
        <f t="shared" si="2"/>
        <v>538</v>
      </c>
    </row>
    <row r="41" spans="1:33" ht="15.75" customHeight="1" x14ac:dyDescent="0.25">
      <c r="A41" s="12" t="s">
        <v>27</v>
      </c>
      <c r="B41" s="13">
        <v>18</v>
      </c>
      <c r="C41" s="14">
        <v>10</v>
      </c>
      <c r="D41" s="14">
        <v>15</v>
      </c>
      <c r="E41" s="14">
        <v>10</v>
      </c>
      <c r="F41" s="14">
        <v>21</v>
      </c>
      <c r="G41" s="14">
        <v>20</v>
      </c>
      <c r="H41" s="14">
        <v>19</v>
      </c>
      <c r="I41" s="14">
        <v>20</v>
      </c>
      <c r="J41" s="14">
        <v>21</v>
      </c>
      <c r="K41" s="14">
        <v>16</v>
      </c>
      <c r="L41" s="14">
        <v>7</v>
      </c>
      <c r="M41" s="14">
        <v>23</v>
      </c>
      <c r="N41" s="14">
        <v>17</v>
      </c>
      <c r="O41" s="14">
        <v>23</v>
      </c>
      <c r="P41" s="14">
        <v>20</v>
      </c>
      <c r="Q41" s="14">
        <v>22</v>
      </c>
      <c r="R41" s="14">
        <v>21</v>
      </c>
      <c r="S41" s="14">
        <v>18</v>
      </c>
      <c r="T41" s="14">
        <v>12</v>
      </c>
      <c r="U41" s="14">
        <v>13</v>
      </c>
      <c r="V41" s="14">
        <v>22</v>
      </c>
      <c r="W41" s="14">
        <v>19</v>
      </c>
      <c r="X41" s="14">
        <v>20</v>
      </c>
      <c r="Y41" s="14">
        <v>11</v>
      </c>
      <c r="Z41" s="14">
        <v>15</v>
      </c>
      <c r="AA41" s="14">
        <v>22</v>
      </c>
      <c r="AB41" s="14">
        <v>14</v>
      </c>
      <c r="AC41" s="14">
        <v>20</v>
      </c>
      <c r="AD41" s="14">
        <v>16</v>
      </c>
      <c r="AE41" s="14">
        <v>18</v>
      </c>
      <c r="AF41" s="214">
        <v>18</v>
      </c>
      <c r="AG41" s="15">
        <f t="shared" si="2"/>
        <v>541</v>
      </c>
    </row>
    <row r="42" spans="1:33" ht="15.75" customHeight="1" x14ac:dyDescent="0.25">
      <c r="A42" s="12" t="s">
        <v>28</v>
      </c>
      <c r="B42" s="13">
        <v>14</v>
      </c>
      <c r="C42" s="14">
        <v>8</v>
      </c>
      <c r="D42" s="14">
        <v>13</v>
      </c>
      <c r="E42" s="14">
        <v>17</v>
      </c>
      <c r="F42" s="14">
        <v>13</v>
      </c>
      <c r="G42" s="14">
        <v>20</v>
      </c>
      <c r="H42" s="14">
        <v>15</v>
      </c>
      <c r="I42" s="14">
        <v>13</v>
      </c>
      <c r="J42" s="14">
        <v>19</v>
      </c>
      <c r="K42" s="14">
        <v>23</v>
      </c>
      <c r="L42" s="14">
        <v>15</v>
      </c>
      <c r="M42" s="14">
        <v>15</v>
      </c>
      <c r="N42" s="14">
        <v>23</v>
      </c>
      <c r="O42" s="14">
        <v>17</v>
      </c>
      <c r="P42" s="14">
        <v>21</v>
      </c>
      <c r="Q42" s="14">
        <v>17</v>
      </c>
      <c r="R42" s="14">
        <v>19</v>
      </c>
      <c r="S42" s="14">
        <v>10</v>
      </c>
      <c r="T42" s="14">
        <v>14</v>
      </c>
      <c r="U42" s="14">
        <v>12</v>
      </c>
      <c r="V42" s="14">
        <v>24</v>
      </c>
      <c r="W42" s="14">
        <v>19</v>
      </c>
      <c r="X42" s="14">
        <v>21</v>
      </c>
      <c r="Y42" s="14">
        <v>17</v>
      </c>
      <c r="Z42" s="14">
        <v>11</v>
      </c>
      <c r="AA42" s="14">
        <v>9</v>
      </c>
      <c r="AB42" s="14">
        <v>12</v>
      </c>
      <c r="AC42" s="14">
        <v>14</v>
      </c>
      <c r="AD42" s="14">
        <v>14</v>
      </c>
      <c r="AE42" s="14">
        <v>17</v>
      </c>
      <c r="AF42" s="214">
        <v>14</v>
      </c>
      <c r="AG42" s="15">
        <f t="shared" si="2"/>
        <v>490</v>
      </c>
    </row>
    <row r="43" spans="1:33" ht="15.75" customHeight="1" x14ac:dyDescent="0.25">
      <c r="A43" s="12" t="s">
        <v>29</v>
      </c>
      <c r="B43" s="13">
        <v>15</v>
      </c>
      <c r="C43" s="14">
        <v>11</v>
      </c>
      <c r="D43" s="14">
        <v>11</v>
      </c>
      <c r="E43" s="14">
        <v>7</v>
      </c>
      <c r="F43" s="14">
        <v>10</v>
      </c>
      <c r="G43" s="14">
        <v>14</v>
      </c>
      <c r="H43" s="14">
        <v>16</v>
      </c>
      <c r="I43" s="14">
        <v>15</v>
      </c>
      <c r="J43" s="14">
        <v>13</v>
      </c>
      <c r="K43" s="14">
        <v>9</v>
      </c>
      <c r="L43" s="14">
        <v>7</v>
      </c>
      <c r="M43" s="14">
        <v>13</v>
      </c>
      <c r="N43" s="14">
        <v>24</v>
      </c>
      <c r="O43" s="14">
        <v>24</v>
      </c>
      <c r="P43" s="14">
        <v>20</v>
      </c>
      <c r="Q43" s="14">
        <v>20</v>
      </c>
      <c r="R43" s="14">
        <v>9</v>
      </c>
      <c r="S43" s="14">
        <v>10</v>
      </c>
      <c r="T43" s="14">
        <v>8</v>
      </c>
      <c r="U43" s="14">
        <v>24</v>
      </c>
      <c r="V43" s="14">
        <v>56</v>
      </c>
      <c r="W43" s="14">
        <v>19</v>
      </c>
      <c r="X43" s="14">
        <v>10</v>
      </c>
      <c r="Y43" s="14">
        <v>16</v>
      </c>
      <c r="Z43" s="14">
        <v>6</v>
      </c>
      <c r="AA43" s="14">
        <v>5</v>
      </c>
      <c r="AB43" s="14">
        <v>19</v>
      </c>
      <c r="AC43" s="14">
        <v>14</v>
      </c>
      <c r="AD43" s="14">
        <v>16</v>
      </c>
      <c r="AE43" s="14">
        <v>22</v>
      </c>
      <c r="AF43" s="214">
        <v>13</v>
      </c>
      <c r="AG43" s="15">
        <f t="shared" si="2"/>
        <v>476</v>
      </c>
    </row>
    <row r="44" spans="1:33" ht="15.75" customHeight="1" x14ac:dyDescent="0.25">
      <c r="A44" s="12" t="s">
        <v>30</v>
      </c>
      <c r="B44" s="13">
        <v>8</v>
      </c>
      <c r="C44" s="14">
        <v>5</v>
      </c>
      <c r="D44" s="14">
        <v>16</v>
      </c>
      <c r="E44" s="14">
        <v>11</v>
      </c>
      <c r="F44" s="14">
        <v>5</v>
      </c>
      <c r="G44" s="14">
        <v>15</v>
      </c>
      <c r="H44" s="14">
        <v>10</v>
      </c>
      <c r="I44" s="14">
        <v>16</v>
      </c>
      <c r="J44" s="14">
        <v>15</v>
      </c>
      <c r="K44" s="14">
        <v>14</v>
      </c>
      <c r="L44" s="14">
        <v>11</v>
      </c>
      <c r="M44" s="14">
        <v>19</v>
      </c>
      <c r="N44" s="14">
        <v>18</v>
      </c>
      <c r="O44" s="14">
        <v>16</v>
      </c>
      <c r="P44" s="14">
        <v>14</v>
      </c>
      <c r="Q44" s="14">
        <v>12</v>
      </c>
      <c r="R44" s="14">
        <v>7</v>
      </c>
      <c r="S44" s="14">
        <v>7</v>
      </c>
      <c r="T44" s="14">
        <v>11</v>
      </c>
      <c r="U44" s="14">
        <v>14</v>
      </c>
      <c r="V44" s="14">
        <v>13</v>
      </c>
      <c r="W44" s="14">
        <v>10</v>
      </c>
      <c r="X44" s="14">
        <v>10</v>
      </c>
      <c r="Y44" s="14">
        <v>6</v>
      </c>
      <c r="Z44" s="14">
        <v>12</v>
      </c>
      <c r="AA44" s="14">
        <v>17</v>
      </c>
      <c r="AB44" s="14">
        <v>13</v>
      </c>
      <c r="AC44" s="14">
        <v>11</v>
      </c>
      <c r="AD44" s="14">
        <v>5</v>
      </c>
      <c r="AE44" s="14">
        <v>8</v>
      </c>
      <c r="AF44" s="214">
        <v>13</v>
      </c>
      <c r="AG44" s="15">
        <f t="shared" si="2"/>
        <v>362</v>
      </c>
    </row>
    <row r="45" spans="1:33" ht="15.75" customHeight="1" x14ac:dyDescent="0.25">
      <c r="A45" s="12" t="s">
        <v>31</v>
      </c>
      <c r="B45" s="13">
        <v>7</v>
      </c>
      <c r="C45" s="14">
        <v>11</v>
      </c>
      <c r="D45" s="14">
        <v>7</v>
      </c>
      <c r="E45" s="14">
        <v>7</v>
      </c>
      <c r="F45" s="14">
        <v>7</v>
      </c>
      <c r="G45" s="14">
        <v>17</v>
      </c>
      <c r="H45" s="14">
        <v>7</v>
      </c>
      <c r="I45" s="14">
        <v>5</v>
      </c>
      <c r="J45" s="14">
        <v>6</v>
      </c>
      <c r="K45" s="14">
        <v>4</v>
      </c>
      <c r="L45" s="14"/>
      <c r="M45" s="14">
        <v>10</v>
      </c>
      <c r="N45" s="14">
        <v>4</v>
      </c>
      <c r="O45" s="14">
        <v>9</v>
      </c>
      <c r="P45" s="14">
        <v>8</v>
      </c>
      <c r="Q45" s="14">
        <v>10</v>
      </c>
      <c r="R45" s="14">
        <v>4</v>
      </c>
      <c r="S45" s="14">
        <v>7</v>
      </c>
      <c r="T45" s="14">
        <v>8</v>
      </c>
      <c r="U45" s="14">
        <v>9</v>
      </c>
      <c r="V45" s="14"/>
      <c r="W45" s="14">
        <v>3</v>
      </c>
      <c r="X45" s="14">
        <v>8</v>
      </c>
      <c r="Y45" s="14">
        <v>8</v>
      </c>
      <c r="Z45" s="14">
        <v>8</v>
      </c>
      <c r="AA45" s="14">
        <v>6</v>
      </c>
      <c r="AB45" s="14">
        <v>9</v>
      </c>
      <c r="AC45" s="14">
        <v>15</v>
      </c>
      <c r="AD45" s="14">
        <v>12</v>
      </c>
      <c r="AE45" s="14">
        <v>9</v>
      </c>
      <c r="AF45" s="214">
        <v>7</v>
      </c>
      <c r="AG45" s="15">
        <f t="shared" si="2"/>
        <v>232</v>
      </c>
    </row>
    <row r="46" spans="1:33" ht="15.75" customHeight="1" x14ac:dyDescent="0.25">
      <c r="A46" s="12" t="s">
        <v>32</v>
      </c>
      <c r="B46" s="13">
        <v>7</v>
      </c>
      <c r="C46" s="14">
        <v>12</v>
      </c>
      <c r="D46" s="14">
        <v>8</v>
      </c>
      <c r="E46" s="14">
        <v>13</v>
      </c>
      <c r="F46" s="14">
        <v>0</v>
      </c>
      <c r="G46" s="14"/>
      <c r="H46" s="14">
        <v>4</v>
      </c>
      <c r="I46" s="14">
        <v>3</v>
      </c>
      <c r="J46" s="14">
        <v>1</v>
      </c>
      <c r="K46" s="14">
        <v>2</v>
      </c>
      <c r="L46" s="14">
        <v>2</v>
      </c>
      <c r="M46" s="14">
        <v>5</v>
      </c>
      <c r="N46" s="14">
        <v>10</v>
      </c>
      <c r="O46" s="14">
        <v>10</v>
      </c>
      <c r="P46" s="14">
        <v>14</v>
      </c>
      <c r="Q46" s="14">
        <v>10</v>
      </c>
      <c r="R46" s="14">
        <v>5</v>
      </c>
      <c r="S46" s="14">
        <v>5</v>
      </c>
      <c r="T46" s="14">
        <v>2</v>
      </c>
      <c r="U46" s="14">
        <v>9</v>
      </c>
      <c r="V46" s="14"/>
      <c r="W46" s="14">
        <v>5</v>
      </c>
      <c r="X46" s="14">
        <v>4</v>
      </c>
      <c r="Y46" s="14">
        <v>7</v>
      </c>
      <c r="Z46" s="14">
        <v>7</v>
      </c>
      <c r="AA46" s="14">
        <v>4</v>
      </c>
      <c r="AB46" s="14">
        <v>11</v>
      </c>
      <c r="AC46" s="14">
        <v>4</v>
      </c>
      <c r="AD46" s="14">
        <v>4</v>
      </c>
      <c r="AE46" s="14">
        <v>0</v>
      </c>
      <c r="AF46" s="214">
        <v>7</v>
      </c>
      <c r="AG46" s="15">
        <f t="shared" si="2"/>
        <v>175</v>
      </c>
    </row>
    <row r="47" spans="1:33" ht="15.75" customHeight="1" x14ac:dyDescent="0.25">
      <c r="A47" s="12" t="s">
        <v>33</v>
      </c>
      <c r="B47" s="13">
        <v>5</v>
      </c>
      <c r="C47" s="14">
        <v>2</v>
      </c>
      <c r="D47" s="14">
        <v>11</v>
      </c>
      <c r="E47" s="14">
        <v>1</v>
      </c>
      <c r="F47" s="14">
        <v>1</v>
      </c>
      <c r="G47" s="14"/>
      <c r="H47" s="14"/>
      <c r="I47" s="14">
        <v>0</v>
      </c>
      <c r="J47" s="14">
        <v>4</v>
      </c>
      <c r="K47" s="14">
        <v>17</v>
      </c>
      <c r="L47" s="14">
        <v>9</v>
      </c>
      <c r="M47" s="14">
        <v>3</v>
      </c>
      <c r="N47" s="14">
        <v>12</v>
      </c>
      <c r="O47" s="14">
        <v>3</v>
      </c>
      <c r="P47" s="14">
        <v>4</v>
      </c>
      <c r="Q47" s="14">
        <v>5</v>
      </c>
      <c r="R47" s="14">
        <v>9</v>
      </c>
      <c r="S47" s="14">
        <v>2</v>
      </c>
      <c r="T47" s="14">
        <v>0</v>
      </c>
      <c r="U47" s="14">
        <v>14</v>
      </c>
      <c r="V47" s="14"/>
      <c r="W47" s="14">
        <v>3</v>
      </c>
      <c r="X47" s="14">
        <v>12</v>
      </c>
      <c r="Y47" s="14">
        <v>9</v>
      </c>
      <c r="Z47" s="14">
        <v>4</v>
      </c>
      <c r="AA47" s="14">
        <v>0</v>
      </c>
      <c r="AB47" s="14">
        <v>10</v>
      </c>
      <c r="AC47" s="14">
        <v>5</v>
      </c>
      <c r="AD47" s="14">
        <v>3</v>
      </c>
      <c r="AE47" s="14">
        <v>0</v>
      </c>
      <c r="AF47" s="214">
        <v>1</v>
      </c>
      <c r="AG47" s="15">
        <f t="shared" si="2"/>
        <v>149</v>
      </c>
    </row>
    <row r="48" spans="1:33" ht="15.75" customHeight="1" x14ac:dyDescent="0.25">
      <c r="A48" s="12" t="s">
        <v>34</v>
      </c>
      <c r="B48" s="13">
        <v>2</v>
      </c>
      <c r="C48" s="14">
        <v>1</v>
      </c>
      <c r="D48" s="14">
        <v>10</v>
      </c>
      <c r="E48" s="14">
        <v>1</v>
      </c>
      <c r="F48" s="14">
        <v>0</v>
      </c>
      <c r="G48" s="14"/>
      <c r="H48" s="14">
        <v>3</v>
      </c>
      <c r="I48" s="14">
        <v>5</v>
      </c>
      <c r="J48" s="14">
        <v>0</v>
      </c>
      <c r="K48" s="14">
        <v>0</v>
      </c>
      <c r="L48" s="14"/>
      <c r="M48" s="14">
        <v>0</v>
      </c>
      <c r="N48" s="14">
        <v>0</v>
      </c>
      <c r="O48" s="14">
        <v>11</v>
      </c>
      <c r="P48" s="14">
        <v>1</v>
      </c>
      <c r="Q48" s="14">
        <v>1</v>
      </c>
      <c r="R48" s="14">
        <v>4</v>
      </c>
      <c r="S48" s="14">
        <v>2</v>
      </c>
      <c r="T48" s="14">
        <v>3</v>
      </c>
      <c r="U48" s="14">
        <v>7</v>
      </c>
      <c r="V48" s="14"/>
      <c r="W48" s="14">
        <v>0</v>
      </c>
      <c r="X48" s="14"/>
      <c r="Y48" s="14">
        <v>1</v>
      </c>
      <c r="Z48" s="14">
        <v>5</v>
      </c>
      <c r="AA48" s="14">
        <v>3</v>
      </c>
      <c r="AB48" s="14">
        <v>0</v>
      </c>
      <c r="AC48" s="14">
        <v>1</v>
      </c>
      <c r="AD48" s="14">
        <v>0</v>
      </c>
      <c r="AE48" s="14">
        <v>0</v>
      </c>
      <c r="AF48" s="214">
        <v>2</v>
      </c>
      <c r="AG48" s="15">
        <f t="shared" si="2"/>
        <v>63</v>
      </c>
    </row>
    <row r="49" spans="1:33" ht="15.75" customHeight="1" x14ac:dyDescent="0.25">
      <c r="A49" s="12" t="s">
        <v>35</v>
      </c>
      <c r="B49" s="13">
        <v>3</v>
      </c>
      <c r="C49" s="14">
        <v>0</v>
      </c>
      <c r="D49" s="14">
        <v>2</v>
      </c>
      <c r="E49" s="14">
        <v>2</v>
      </c>
      <c r="F49" s="14">
        <v>6</v>
      </c>
      <c r="G49" s="14"/>
      <c r="H49" s="14">
        <v>1</v>
      </c>
      <c r="I49" s="14">
        <v>0</v>
      </c>
      <c r="J49" s="14">
        <v>3</v>
      </c>
      <c r="K49" s="14">
        <v>0</v>
      </c>
      <c r="L49" s="14"/>
      <c r="M49" s="14">
        <v>3</v>
      </c>
      <c r="N49" s="14">
        <v>3</v>
      </c>
      <c r="O49" s="14">
        <v>0</v>
      </c>
      <c r="P49" s="14">
        <v>1</v>
      </c>
      <c r="Q49" s="14">
        <v>1</v>
      </c>
      <c r="R49" s="14">
        <v>2</v>
      </c>
      <c r="S49" s="14">
        <v>4</v>
      </c>
      <c r="T49" s="14">
        <v>1</v>
      </c>
      <c r="U49" s="14">
        <v>1</v>
      </c>
      <c r="V49" s="14"/>
      <c r="W49" s="14">
        <v>5</v>
      </c>
      <c r="X49" s="14"/>
      <c r="Y49" s="14">
        <v>1</v>
      </c>
      <c r="Z49" s="14">
        <v>5</v>
      </c>
      <c r="AA49" s="14">
        <v>1</v>
      </c>
      <c r="AB49" s="14">
        <v>2</v>
      </c>
      <c r="AC49" s="14">
        <v>1</v>
      </c>
      <c r="AD49" s="14">
        <v>0</v>
      </c>
      <c r="AE49" s="14">
        <v>2</v>
      </c>
      <c r="AF49" s="214">
        <v>4</v>
      </c>
      <c r="AG49" s="15">
        <f t="shared" si="2"/>
        <v>54</v>
      </c>
    </row>
    <row r="50" spans="1:33" ht="15.75" customHeight="1" x14ac:dyDescent="0.25">
      <c r="A50" s="12" t="s">
        <v>36</v>
      </c>
      <c r="B50" s="13">
        <v>0</v>
      </c>
      <c r="C50" s="14">
        <v>0</v>
      </c>
      <c r="D50" s="14">
        <v>3</v>
      </c>
      <c r="E50" s="14">
        <v>1</v>
      </c>
      <c r="F50" s="14">
        <v>4</v>
      </c>
      <c r="G50" s="14"/>
      <c r="H50" s="14">
        <v>1</v>
      </c>
      <c r="I50" s="14">
        <v>0</v>
      </c>
      <c r="J50" s="14">
        <v>0</v>
      </c>
      <c r="K50" s="14">
        <v>0</v>
      </c>
      <c r="L50" s="14"/>
      <c r="M50" s="14">
        <v>0</v>
      </c>
      <c r="N50" s="14">
        <v>3</v>
      </c>
      <c r="O50" s="14">
        <v>0</v>
      </c>
      <c r="P50" s="14">
        <v>0</v>
      </c>
      <c r="Q50" s="14">
        <v>5</v>
      </c>
      <c r="R50" s="14">
        <v>3</v>
      </c>
      <c r="S50" s="14">
        <v>2</v>
      </c>
      <c r="T50" s="14">
        <v>0</v>
      </c>
      <c r="U50" s="14">
        <v>0</v>
      </c>
      <c r="V50" s="14"/>
      <c r="W50" s="14">
        <v>2</v>
      </c>
      <c r="X50" s="14"/>
      <c r="Y50" s="14">
        <v>1</v>
      </c>
      <c r="Z50" s="14">
        <v>2</v>
      </c>
      <c r="AA50" s="14">
        <v>1</v>
      </c>
      <c r="AB50" s="14">
        <v>0</v>
      </c>
      <c r="AC50" s="14">
        <v>0</v>
      </c>
      <c r="AD50" s="14">
        <v>0</v>
      </c>
      <c r="AE50" s="14">
        <v>7</v>
      </c>
      <c r="AF50" s="214">
        <v>1</v>
      </c>
      <c r="AG50" s="15">
        <f t="shared" si="2"/>
        <v>36</v>
      </c>
    </row>
    <row r="51" spans="1:33" ht="15.75" customHeight="1" x14ac:dyDescent="0.25">
      <c r="A51" s="12" t="s">
        <v>37</v>
      </c>
      <c r="B51" s="13">
        <v>3</v>
      </c>
      <c r="C51" s="14">
        <v>0</v>
      </c>
      <c r="D51" s="14">
        <v>0</v>
      </c>
      <c r="E51" s="14">
        <v>1</v>
      </c>
      <c r="F51" s="14">
        <v>0</v>
      </c>
      <c r="G51" s="14"/>
      <c r="H51" s="14">
        <v>1</v>
      </c>
      <c r="I51" s="14">
        <v>0</v>
      </c>
      <c r="J51" s="14">
        <v>0</v>
      </c>
      <c r="K51" s="14">
        <v>0</v>
      </c>
      <c r="L51" s="14"/>
      <c r="M51" s="14">
        <v>0</v>
      </c>
      <c r="N51" s="14">
        <v>0</v>
      </c>
      <c r="O51" s="14">
        <v>0</v>
      </c>
      <c r="P51" s="14">
        <v>1</v>
      </c>
      <c r="Q51" s="14">
        <v>2</v>
      </c>
      <c r="R51" s="14">
        <v>2</v>
      </c>
      <c r="S51" s="14">
        <v>1</v>
      </c>
      <c r="T51" s="14">
        <v>0</v>
      </c>
      <c r="U51" s="14">
        <v>0</v>
      </c>
      <c r="V51" s="14"/>
      <c r="W51" s="14">
        <v>1</v>
      </c>
      <c r="X51" s="14"/>
      <c r="Y51" s="14">
        <v>2</v>
      </c>
      <c r="Z51" s="14">
        <v>1</v>
      </c>
      <c r="AA51" s="14">
        <v>7</v>
      </c>
      <c r="AB51" s="14">
        <v>1</v>
      </c>
      <c r="AC51" s="14">
        <v>3</v>
      </c>
      <c r="AD51" s="14">
        <v>3</v>
      </c>
      <c r="AE51" s="14">
        <v>0</v>
      </c>
      <c r="AF51" s="214">
        <v>2</v>
      </c>
      <c r="AG51" s="15">
        <f t="shared" si="2"/>
        <v>31</v>
      </c>
    </row>
    <row r="52" spans="1:33" ht="15.75" customHeight="1" x14ac:dyDescent="0.25">
      <c r="A52" s="23" t="s">
        <v>38</v>
      </c>
      <c r="B52" s="24">
        <v>3</v>
      </c>
      <c r="C52" s="25">
        <v>1</v>
      </c>
      <c r="D52" s="25">
        <v>0</v>
      </c>
      <c r="E52" s="25">
        <v>6</v>
      </c>
      <c r="F52" s="25">
        <v>1</v>
      </c>
      <c r="G52" s="25"/>
      <c r="H52" s="25">
        <v>1</v>
      </c>
      <c r="I52" s="25">
        <v>0</v>
      </c>
      <c r="J52" s="25">
        <v>2</v>
      </c>
      <c r="K52" s="25">
        <v>0</v>
      </c>
      <c r="L52" s="25"/>
      <c r="M52" s="25">
        <v>2</v>
      </c>
      <c r="N52" s="25">
        <v>3</v>
      </c>
      <c r="O52" s="25">
        <v>2</v>
      </c>
      <c r="P52" s="25">
        <v>1</v>
      </c>
      <c r="Q52" s="25">
        <v>3</v>
      </c>
      <c r="R52" s="25">
        <v>1</v>
      </c>
      <c r="S52" s="25">
        <v>3</v>
      </c>
      <c r="T52" s="25">
        <v>6</v>
      </c>
      <c r="U52" s="25">
        <v>3</v>
      </c>
      <c r="V52" s="25"/>
      <c r="W52" s="25">
        <v>3</v>
      </c>
      <c r="X52" s="25"/>
      <c r="Y52" s="25">
        <v>3</v>
      </c>
      <c r="Z52" s="25">
        <v>0</v>
      </c>
      <c r="AA52" s="25">
        <v>1</v>
      </c>
      <c r="AB52" s="25">
        <v>2</v>
      </c>
      <c r="AC52" s="25">
        <v>4</v>
      </c>
      <c r="AD52" s="25">
        <v>0</v>
      </c>
      <c r="AE52" s="25">
        <v>0</v>
      </c>
      <c r="AF52" s="216">
        <v>0</v>
      </c>
      <c r="AG52" s="26">
        <f t="shared" si="2"/>
        <v>51</v>
      </c>
    </row>
    <row r="53" spans="1:33" ht="15.75" customHeight="1" x14ac:dyDescent="0.25">
      <c r="A53" s="4" t="s">
        <v>40</v>
      </c>
      <c r="B53" s="5">
        <f t="shared" ref="B53:AF53" si="4">SUM(B54:B77)</f>
        <v>8</v>
      </c>
      <c r="C53" s="6">
        <f t="shared" si="4"/>
        <v>13</v>
      </c>
      <c r="D53" s="6">
        <f t="shared" si="4"/>
        <v>23</v>
      </c>
      <c r="E53" s="6">
        <f t="shared" si="4"/>
        <v>6</v>
      </c>
      <c r="F53" s="6">
        <f t="shared" si="4"/>
        <v>7</v>
      </c>
      <c r="G53" s="6">
        <f t="shared" si="4"/>
        <v>37</v>
      </c>
      <c r="H53" s="6">
        <f t="shared" si="4"/>
        <v>31</v>
      </c>
      <c r="I53" s="6">
        <f t="shared" si="4"/>
        <v>10</v>
      </c>
      <c r="J53" s="6">
        <f t="shared" si="4"/>
        <v>35</v>
      </c>
      <c r="K53" s="6">
        <f t="shared" si="4"/>
        <v>18</v>
      </c>
      <c r="L53" s="6">
        <f t="shared" si="4"/>
        <v>4</v>
      </c>
      <c r="M53" s="6">
        <f t="shared" si="4"/>
        <v>19</v>
      </c>
      <c r="N53" s="6">
        <f t="shared" si="4"/>
        <v>88</v>
      </c>
      <c r="O53" s="6">
        <f t="shared" si="4"/>
        <v>61</v>
      </c>
      <c r="P53" s="6">
        <f t="shared" si="4"/>
        <v>62</v>
      </c>
      <c r="Q53" s="6">
        <f t="shared" si="4"/>
        <v>58</v>
      </c>
      <c r="R53" s="6">
        <f t="shared" si="4"/>
        <v>35</v>
      </c>
      <c r="S53" s="6">
        <f t="shared" si="4"/>
        <v>4</v>
      </c>
      <c r="T53" s="6">
        <f t="shared" si="4"/>
        <v>8</v>
      </c>
      <c r="U53" s="6">
        <f t="shared" si="4"/>
        <v>78</v>
      </c>
      <c r="V53" s="6">
        <f t="shared" si="4"/>
        <v>71</v>
      </c>
      <c r="W53" s="6">
        <f t="shared" si="4"/>
        <v>48</v>
      </c>
      <c r="X53" s="6">
        <f t="shared" si="4"/>
        <v>34</v>
      </c>
      <c r="Y53" s="6">
        <f t="shared" si="4"/>
        <v>37</v>
      </c>
      <c r="Z53" s="6">
        <f t="shared" si="4"/>
        <v>8</v>
      </c>
      <c r="AA53" s="6">
        <f t="shared" si="4"/>
        <v>0</v>
      </c>
      <c r="AB53" s="6">
        <f t="shared" si="4"/>
        <v>70</v>
      </c>
      <c r="AC53" s="6">
        <f t="shared" si="4"/>
        <v>34</v>
      </c>
      <c r="AD53" s="6">
        <f t="shared" si="4"/>
        <v>32</v>
      </c>
      <c r="AE53" s="6">
        <f t="shared" si="4"/>
        <v>37</v>
      </c>
      <c r="AF53" s="6">
        <f t="shared" si="4"/>
        <v>20</v>
      </c>
      <c r="AG53" s="27">
        <f t="shared" si="2"/>
        <v>996</v>
      </c>
    </row>
    <row r="54" spans="1:33" ht="15.75" customHeight="1" x14ac:dyDescent="0.25">
      <c r="A54" s="8" t="s">
        <v>15</v>
      </c>
      <c r="B54" s="9"/>
      <c r="C54" s="10"/>
      <c r="D54" s="14"/>
      <c r="E54" s="10"/>
      <c r="F54" s="10"/>
      <c r="G54" s="14"/>
      <c r="H54" s="10"/>
      <c r="I54" s="10"/>
      <c r="J54" s="10">
        <v>1</v>
      </c>
      <c r="K54" s="10"/>
      <c r="L54" s="10"/>
      <c r="M54" s="10"/>
      <c r="N54" s="10"/>
      <c r="O54" s="10"/>
      <c r="P54" s="10">
        <v>2</v>
      </c>
      <c r="Q54" s="10"/>
      <c r="R54" s="10"/>
      <c r="S54" s="10"/>
      <c r="T54" s="10"/>
      <c r="U54" s="10"/>
      <c r="V54" s="10"/>
      <c r="W54" s="10"/>
      <c r="X54" s="10"/>
      <c r="Y54" s="10">
        <v>1</v>
      </c>
      <c r="Z54" s="10"/>
      <c r="AA54" s="10"/>
      <c r="AB54" s="10"/>
      <c r="AC54" s="10">
        <v>1</v>
      </c>
      <c r="AD54" s="10"/>
      <c r="AE54" s="10"/>
      <c r="AF54" s="213"/>
      <c r="AG54" s="11">
        <f t="shared" si="2"/>
        <v>5</v>
      </c>
    </row>
    <row r="55" spans="1:33" ht="15.75" customHeight="1" x14ac:dyDescent="0.25">
      <c r="A55" s="12" t="s">
        <v>16</v>
      </c>
      <c r="B55" s="13"/>
      <c r="C55" s="14"/>
      <c r="D55" s="14"/>
      <c r="E55" s="14">
        <v>1</v>
      </c>
      <c r="F55" s="14"/>
      <c r="G55" s="14"/>
      <c r="H55" s="14">
        <v>1</v>
      </c>
      <c r="I55" s="14"/>
      <c r="J55" s="14"/>
      <c r="K55" s="14"/>
      <c r="L55" s="14"/>
      <c r="M55" s="14"/>
      <c r="N55" s="14"/>
      <c r="O55" s="14"/>
      <c r="P55" s="14"/>
      <c r="Q55" s="14"/>
      <c r="R55" s="14">
        <v>1</v>
      </c>
      <c r="S55" s="14">
        <v>1</v>
      </c>
      <c r="T55" s="14">
        <v>2</v>
      </c>
      <c r="U55" s="14">
        <v>1</v>
      </c>
      <c r="V55" s="14"/>
      <c r="W55" s="14">
        <v>1</v>
      </c>
      <c r="X55" s="14"/>
      <c r="Y55" s="14"/>
      <c r="Z55" s="14"/>
      <c r="AA55" s="14"/>
      <c r="AB55" s="14"/>
      <c r="AC55" s="14">
        <v>3</v>
      </c>
      <c r="AD55" s="14"/>
      <c r="AE55" s="14"/>
      <c r="AF55" s="214">
        <v>3</v>
      </c>
      <c r="AG55" s="15">
        <f t="shared" si="2"/>
        <v>14</v>
      </c>
    </row>
    <row r="56" spans="1:33" ht="15.75" customHeight="1" x14ac:dyDescent="0.25">
      <c r="A56" s="12" t="s">
        <v>17</v>
      </c>
      <c r="B56" s="13"/>
      <c r="C56" s="14">
        <v>1</v>
      </c>
      <c r="D56" s="14">
        <v>2</v>
      </c>
      <c r="E56" s="14"/>
      <c r="F56" s="14"/>
      <c r="G56" s="14">
        <v>1</v>
      </c>
      <c r="H56" s="14"/>
      <c r="I56" s="14"/>
      <c r="J56" s="14">
        <v>5</v>
      </c>
      <c r="K56" s="14"/>
      <c r="L56" s="14"/>
      <c r="M56" s="14"/>
      <c r="N56" s="14"/>
      <c r="O56" s="14">
        <v>1</v>
      </c>
      <c r="P56" s="14"/>
      <c r="Q56" s="14">
        <v>2</v>
      </c>
      <c r="R56" s="14">
        <v>3</v>
      </c>
      <c r="S56" s="14"/>
      <c r="T56" s="14">
        <v>2</v>
      </c>
      <c r="U56" s="14">
        <v>2</v>
      </c>
      <c r="V56" s="14">
        <v>1</v>
      </c>
      <c r="W56" s="14"/>
      <c r="X56" s="14"/>
      <c r="Y56" s="14">
        <v>1</v>
      </c>
      <c r="Z56" s="14"/>
      <c r="AA56" s="14"/>
      <c r="AB56" s="14">
        <v>1</v>
      </c>
      <c r="AC56" s="14"/>
      <c r="AD56" s="14">
        <v>3</v>
      </c>
      <c r="AE56" s="14">
        <v>1</v>
      </c>
      <c r="AF56" s="214">
        <v>1</v>
      </c>
      <c r="AG56" s="15">
        <f t="shared" si="2"/>
        <v>27</v>
      </c>
    </row>
    <row r="57" spans="1:33" ht="15.75" customHeight="1" x14ac:dyDescent="0.25">
      <c r="A57" s="12" t="s">
        <v>18</v>
      </c>
      <c r="B57" s="13"/>
      <c r="C57" s="14">
        <v>1</v>
      </c>
      <c r="D57" s="14"/>
      <c r="E57" s="14"/>
      <c r="F57" s="14"/>
      <c r="G57" s="14"/>
      <c r="H57" s="14">
        <v>4</v>
      </c>
      <c r="I57" s="14">
        <v>1</v>
      </c>
      <c r="J57" s="14">
        <v>2</v>
      </c>
      <c r="K57" s="14">
        <v>3</v>
      </c>
      <c r="L57" s="14"/>
      <c r="M57" s="14">
        <v>1</v>
      </c>
      <c r="N57" s="14">
        <v>2</v>
      </c>
      <c r="O57" s="14">
        <v>1</v>
      </c>
      <c r="P57" s="14">
        <v>9</v>
      </c>
      <c r="Q57" s="14">
        <v>2</v>
      </c>
      <c r="R57" s="14">
        <v>2</v>
      </c>
      <c r="S57" s="14"/>
      <c r="T57" s="14"/>
      <c r="U57" s="14">
        <v>2</v>
      </c>
      <c r="V57" s="14">
        <v>3</v>
      </c>
      <c r="W57" s="14"/>
      <c r="X57" s="14">
        <v>1</v>
      </c>
      <c r="Y57" s="14">
        <v>1</v>
      </c>
      <c r="Z57" s="14">
        <v>4</v>
      </c>
      <c r="AA57" s="14"/>
      <c r="AB57" s="14">
        <v>2</v>
      </c>
      <c r="AC57" s="14">
        <v>2</v>
      </c>
      <c r="AD57" s="14"/>
      <c r="AE57" s="14"/>
      <c r="AF57" s="214">
        <v>2</v>
      </c>
      <c r="AG57" s="15">
        <f t="shared" si="2"/>
        <v>45</v>
      </c>
    </row>
    <row r="58" spans="1:33" ht="15.75" customHeight="1" x14ac:dyDescent="0.25">
      <c r="A58" s="12" t="s">
        <v>19</v>
      </c>
      <c r="B58" s="13">
        <v>1</v>
      </c>
      <c r="C58" s="14">
        <v>2</v>
      </c>
      <c r="D58" s="14">
        <v>1</v>
      </c>
      <c r="E58" s="14"/>
      <c r="F58" s="14">
        <v>1</v>
      </c>
      <c r="G58" s="14">
        <v>2</v>
      </c>
      <c r="H58" s="14">
        <v>2</v>
      </c>
      <c r="I58" s="14">
        <v>1</v>
      </c>
      <c r="J58" s="14"/>
      <c r="K58" s="14">
        <v>1</v>
      </c>
      <c r="L58" s="14"/>
      <c r="M58" s="14"/>
      <c r="N58" s="14">
        <v>1</v>
      </c>
      <c r="O58" s="14">
        <v>1</v>
      </c>
      <c r="P58" s="14">
        <v>3</v>
      </c>
      <c r="Q58" s="14">
        <v>2</v>
      </c>
      <c r="R58" s="14">
        <v>1</v>
      </c>
      <c r="S58" s="14">
        <v>1</v>
      </c>
      <c r="T58" s="14">
        <v>1</v>
      </c>
      <c r="U58" s="14"/>
      <c r="V58" s="14">
        <v>2</v>
      </c>
      <c r="W58" s="14"/>
      <c r="X58" s="14">
        <v>2</v>
      </c>
      <c r="Y58" s="14">
        <v>1</v>
      </c>
      <c r="Z58" s="14">
        <v>1</v>
      </c>
      <c r="AA58" s="14"/>
      <c r="AB58" s="14">
        <v>3</v>
      </c>
      <c r="AC58" s="14">
        <v>1</v>
      </c>
      <c r="AD58" s="14"/>
      <c r="AE58" s="14">
        <v>2</v>
      </c>
      <c r="AF58" s="214"/>
      <c r="AG58" s="15">
        <f t="shared" si="2"/>
        <v>33</v>
      </c>
    </row>
    <row r="59" spans="1:33" ht="15.75" customHeight="1" x14ac:dyDescent="0.25">
      <c r="A59" s="12" t="s">
        <v>20</v>
      </c>
      <c r="B59" s="13"/>
      <c r="C59" s="14"/>
      <c r="D59" s="14"/>
      <c r="E59" s="14"/>
      <c r="F59" s="14">
        <v>1</v>
      </c>
      <c r="G59" s="14">
        <v>2</v>
      </c>
      <c r="H59" s="14">
        <v>2</v>
      </c>
      <c r="I59" s="14"/>
      <c r="J59" s="14"/>
      <c r="K59" s="14"/>
      <c r="L59" s="14"/>
      <c r="M59" s="14"/>
      <c r="N59" s="14">
        <v>1</v>
      </c>
      <c r="O59" s="14"/>
      <c r="P59" s="14">
        <v>1</v>
      </c>
      <c r="Q59" s="14">
        <v>3</v>
      </c>
      <c r="R59" s="14"/>
      <c r="S59" s="14">
        <v>1</v>
      </c>
      <c r="T59" s="14"/>
      <c r="U59" s="14"/>
      <c r="V59" s="14">
        <v>2</v>
      </c>
      <c r="W59" s="14">
        <v>4</v>
      </c>
      <c r="X59" s="14">
        <v>3</v>
      </c>
      <c r="Y59" s="14"/>
      <c r="Z59" s="14"/>
      <c r="AA59" s="14"/>
      <c r="AB59" s="14">
        <v>2</v>
      </c>
      <c r="AC59" s="14">
        <v>3</v>
      </c>
      <c r="AD59" s="14">
        <v>2</v>
      </c>
      <c r="AE59" s="14"/>
      <c r="AF59" s="214"/>
      <c r="AG59" s="15">
        <f t="shared" si="2"/>
        <v>27</v>
      </c>
    </row>
    <row r="60" spans="1:33" ht="15.75" customHeight="1" x14ac:dyDescent="0.25">
      <c r="A60" s="12" t="s">
        <v>21</v>
      </c>
      <c r="B60" s="13">
        <v>1</v>
      </c>
      <c r="C60" s="14">
        <v>2</v>
      </c>
      <c r="D60" s="14"/>
      <c r="E60" s="14"/>
      <c r="F60" s="14"/>
      <c r="G60" s="14">
        <v>4</v>
      </c>
      <c r="H60" s="14">
        <v>2</v>
      </c>
      <c r="I60" s="14"/>
      <c r="J60" s="14">
        <v>2</v>
      </c>
      <c r="K60" s="14">
        <v>1</v>
      </c>
      <c r="L60" s="14"/>
      <c r="M60" s="14">
        <v>4</v>
      </c>
      <c r="N60" s="14">
        <v>6</v>
      </c>
      <c r="O60" s="14">
        <v>6</v>
      </c>
      <c r="P60" s="14">
        <v>4</v>
      </c>
      <c r="Q60" s="14">
        <v>10</v>
      </c>
      <c r="R60" s="14">
        <v>2</v>
      </c>
      <c r="S60" s="14"/>
      <c r="T60" s="14"/>
      <c r="U60" s="14">
        <v>4</v>
      </c>
      <c r="V60" s="14">
        <v>9</v>
      </c>
      <c r="W60" s="14">
        <v>2</v>
      </c>
      <c r="X60" s="14">
        <v>2</v>
      </c>
      <c r="Y60" s="14">
        <v>2</v>
      </c>
      <c r="Z60" s="14">
        <v>1</v>
      </c>
      <c r="AA60" s="14"/>
      <c r="AB60" s="14">
        <v>3</v>
      </c>
      <c r="AC60" s="14">
        <v>1</v>
      </c>
      <c r="AD60" s="14">
        <v>3</v>
      </c>
      <c r="AE60" s="14">
        <v>4</v>
      </c>
      <c r="AF60" s="214">
        <v>3</v>
      </c>
      <c r="AG60" s="15">
        <f t="shared" si="2"/>
        <v>78</v>
      </c>
    </row>
    <row r="61" spans="1:33" ht="15.75" customHeight="1" x14ac:dyDescent="0.25">
      <c r="A61" s="12" t="s">
        <v>22</v>
      </c>
      <c r="B61" s="13"/>
      <c r="C61" s="14">
        <v>1</v>
      </c>
      <c r="D61" s="14"/>
      <c r="E61" s="14">
        <v>1</v>
      </c>
      <c r="F61" s="14"/>
      <c r="G61" s="14">
        <v>2</v>
      </c>
      <c r="H61" s="14">
        <v>5</v>
      </c>
      <c r="I61" s="14"/>
      <c r="J61" s="14">
        <v>6</v>
      </c>
      <c r="K61" s="14">
        <v>4</v>
      </c>
      <c r="L61" s="14">
        <v>1</v>
      </c>
      <c r="M61" s="14">
        <v>1</v>
      </c>
      <c r="N61" s="14">
        <v>8</v>
      </c>
      <c r="O61" s="14">
        <v>2</v>
      </c>
      <c r="P61" s="14">
        <v>2</v>
      </c>
      <c r="Q61" s="14">
        <v>2</v>
      </c>
      <c r="R61" s="14">
        <v>1</v>
      </c>
      <c r="S61" s="14">
        <v>1</v>
      </c>
      <c r="T61" s="14"/>
      <c r="U61" s="14">
        <v>9</v>
      </c>
      <c r="V61" s="14">
        <v>7</v>
      </c>
      <c r="W61" s="14">
        <v>1</v>
      </c>
      <c r="X61" s="14">
        <v>6</v>
      </c>
      <c r="Y61" s="14">
        <v>1</v>
      </c>
      <c r="Z61" s="14"/>
      <c r="AA61" s="14"/>
      <c r="AB61" s="14">
        <v>4</v>
      </c>
      <c r="AC61" s="14">
        <v>5</v>
      </c>
      <c r="AD61" s="14">
        <v>4</v>
      </c>
      <c r="AE61" s="14">
        <v>5</v>
      </c>
      <c r="AF61" s="214">
        <v>1</v>
      </c>
      <c r="AG61" s="15">
        <f t="shared" si="2"/>
        <v>80</v>
      </c>
    </row>
    <row r="62" spans="1:33" ht="15.75" customHeight="1" x14ac:dyDescent="0.25">
      <c r="A62" s="12" t="s">
        <v>23</v>
      </c>
      <c r="B62" s="13"/>
      <c r="C62" s="14"/>
      <c r="D62" s="14">
        <v>6</v>
      </c>
      <c r="E62" s="14"/>
      <c r="F62" s="14"/>
      <c r="G62" s="14">
        <v>4</v>
      </c>
      <c r="H62" s="14">
        <v>8</v>
      </c>
      <c r="I62" s="14"/>
      <c r="J62" s="14">
        <v>2</v>
      </c>
      <c r="K62" s="14"/>
      <c r="L62" s="14"/>
      <c r="M62" s="14"/>
      <c r="N62" s="14">
        <v>7</v>
      </c>
      <c r="O62" s="14">
        <v>6</v>
      </c>
      <c r="P62" s="14">
        <v>5</v>
      </c>
      <c r="Q62" s="14">
        <v>3</v>
      </c>
      <c r="R62" s="14">
        <v>1</v>
      </c>
      <c r="S62" s="14"/>
      <c r="T62" s="14">
        <v>3</v>
      </c>
      <c r="U62" s="14">
        <v>9</v>
      </c>
      <c r="V62" s="14">
        <v>11</v>
      </c>
      <c r="W62" s="14">
        <v>5</v>
      </c>
      <c r="X62" s="14"/>
      <c r="Y62" s="14">
        <v>5</v>
      </c>
      <c r="Z62" s="14"/>
      <c r="AA62" s="14"/>
      <c r="AB62" s="14">
        <v>6</v>
      </c>
      <c r="AC62" s="14">
        <v>3</v>
      </c>
      <c r="AD62" s="14">
        <v>6</v>
      </c>
      <c r="AE62" s="14">
        <v>2</v>
      </c>
      <c r="AF62" s="214">
        <v>1</v>
      </c>
      <c r="AG62" s="15">
        <f t="shared" si="2"/>
        <v>93</v>
      </c>
    </row>
    <row r="63" spans="1:33" ht="15.75" customHeight="1" x14ac:dyDescent="0.25">
      <c r="A63" s="12" t="s">
        <v>24</v>
      </c>
      <c r="B63" s="13"/>
      <c r="C63" s="14">
        <v>3</v>
      </c>
      <c r="D63" s="14">
        <v>2</v>
      </c>
      <c r="E63" s="14"/>
      <c r="F63" s="14">
        <v>1</v>
      </c>
      <c r="G63" s="14">
        <v>1</v>
      </c>
      <c r="H63" s="14"/>
      <c r="I63" s="14">
        <v>1</v>
      </c>
      <c r="J63" s="14">
        <v>2</v>
      </c>
      <c r="K63" s="14">
        <v>2</v>
      </c>
      <c r="L63" s="14"/>
      <c r="M63" s="14">
        <v>1</v>
      </c>
      <c r="N63" s="14">
        <v>1</v>
      </c>
      <c r="O63" s="14">
        <v>3</v>
      </c>
      <c r="P63" s="14">
        <v>5</v>
      </c>
      <c r="Q63" s="14">
        <v>7</v>
      </c>
      <c r="R63" s="14">
        <v>3</v>
      </c>
      <c r="S63" s="14"/>
      <c r="T63" s="14"/>
      <c r="U63" s="14">
        <v>13</v>
      </c>
      <c r="V63" s="14">
        <v>1</v>
      </c>
      <c r="W63" s="14">
        <v>5</v>
      </c>
      <c r="X63" s="14">
        <v>4</v>
      </c>
      <c r="Y63" s="14">
        <v>2</v>
      </c>
      <c r="Z63" s="14"/>
      <c r="AA63" s="14"/>
      <c r="AB63" s="14">
        <v>6</v>
      </c>
      <c r="AC63" s="14">
        <v>4</v>
      </c>
      <c r="AD63" s="14">
        <v>2</v>
      </c>
      <c r="AE63" s="14">
        <v>8</v>
      </c>
      <c r="AF63" s="214">
        <v>1</v>
      </c>
      <c r="AG63" s="15">
        <f t="shared" si="2"/>
        <v>78</v>
      </c>
    </row>
    <row r="64" spans="1:33" ht="15.75" customHeight="1" x14ac:dyDescent="0.25">
      <c r="A64" s="12" t="s">
        <v>25</v>
      </c>
      <c r="B64" s="13">
        <v>1</v>
      </c>
      <c r="C64" s="14">
        <v>2</v>
      </c>
      <c r="D64" s="14">
        <v>1</v>
      </c>
      <c r="E64" s="14">
        <v>2</v>
      </c>
      <c r="F64" s="14">
        <v>1</v>
      </c>
      <c r="G64" s="14">
        <v>5</v>
      </c>
      <c r="H64" s="14">
        <v>1</v>
      </c>
      <c r="I64" s="14">
        <v>1</v>
      </c>
      <c r="J64" s="14">
        <v>2</v>
      </c>
      <c r="K64" s="14">
        <v>1</v>
      </c>
      <c r="L64" s="14"/>
      <c r="M64" s="14">
        <v>1</v>
      </c>
      <c r="N64" s="14">
        <v>18</v>
      </c>
      <c r="O64" s="14">
        <v>6</v>
      </c>
      <c r="P64" s="14">
        <v>9</v>
      </c>
      <c r="Q64" s="14">
        <v>10</v>
      </c>
      <c r="R64" s="14">
        <v>8</v>
      </c>
      <c r="S64" s="14"/>
      <c r="T64" s="14"/>
      <c r="U64" s="14">
        <v>6</v>
      </c>
      <c r="V64" s="14">
        <v>4</v>
      </c>
      <c r="W64" s="14">
        <v>6</v>
      </c>
      <c r="X64" s="14">
        <v>5</v>
      </c>
      <c r="Y64" s="14">
        <v>3</v>
      </c>
      <c r="Z64" s="14"/>
      <c r="AA64" s="14"/>
      <c r="AB64" s="14">
        <v>2</v>
      </c>
      <c r="AC64" s="14">
        <v>1</v>
      </c>
      <c r="AD64" s="14"/>
      <c r="AE64" s="14">
        <v>9</v>
      </c>
      <c r="AF64" s="214"/>
      <c r="AG64" s="15">
        <f t="shared" si="2"/>
        <v>105</v>
      </c>
    </row>
    <row r="65" spans="1:33" ht="15.75" customHeight="1" x14ac:dyDescent="0.25">
      <c r="A65" s="12" t="s">
        <v>26</v>
      </c>
      <c r="B65" s="13">
        <v>1</v>
      </c>
      <c r="C65" s="14">
        <v>1</v>
      </c>
      <c r="D65" s="14">
        <v>1</v>
      </c>
      <c r="E65" s="14"/>
      <c r="F65" s="14"/>
      <c r="G65" s="14">
        <v>4</v>
      </c>
      <c r="H65" s="14">
        <v>3</v>
      </c>
      <c r="I65" s="14">
        <v>1</v>
      </c>
      <c r="J65" s="14">
        <v>6</v>
      </c>
      <c r="K65" s="14">
        <v>4</v>
      </c>
      <c r="L65" s="14"/>
      <c r="M65" s="14">
        <v>7</v>
      </c>
      <c r="N65" s="14">
        <v>3</v>
      </c>
      <c r="O65" s="14">
        <v>4</v>
      </c>
      <c r="P65" s="14">
        <v>2</v>
      </c>
      <c r="Q65" s="14">
        <v>1</v>
      </c>
      <c r="R65" s="14">
        <v>7</v>
      </c>
      <c r="S65" s="14"/>
      <c r="T65" s="14"/>
      <c r="U65" s="14">
        <v>10</v>
      </c>
      <c r="V65" s="14">
        <v>3</v>
      </c>
      <c r="W65" s="14">
        <v>6</v>
      </c>
      <c r="X65" s="14">
        <v>2</v>
      </c>
      <c r="Y65" s="14">
        <v>5</v>
      </c>
      <c r="Z65" s="14">
        <v>1</v>
      </c>
      <c r="AA65" s="14"/>
      <c r="AB65" s="14">
        <v>9</v>
      </c>
      <c r="AC65" s="14">
        <v>7</v>
      </c>
      <c r="AD65" s="14">
        <v>1</v>
      </c>
      <c r="AE65" s="14">
        <v>3</v>
      </c>
      <c r="AF65" s="214">
        <v>1</v>
      </c>
      <c r="AG65" s="15">
        <f t="shared" si="2"/>
        <v>93</v>
      </c>
    </row>
    <row r="66" spans="1:33" ht="15.75" customHeight="1" x14ac:dyDescent="0.25">
      <c r="A66" s="12" t="s">
        <v>27</v>
      </c>
      <c r="B66" s="13">
        <v>1</v>
      </c>
      <c r="C66" s="14"/>
      <c r="D66" s="14"/>
      <c r="E66" s="14">
        <v>1</v>
      </c>
      <c r="F66" s="14"/>
      <c r="G66" s="14">
        <v>4</v>
      </c>
      <c r="H66" s="14">
        <v>2</v>
      </c>
      <c r="I66" s="14">
        <v>3</v>
      </c>
      <c r="J66" s="14">
        <v>2</v>
      </c>
      <c r="K66" s="14">
        <v>1</v>
      </c>
      <c r="L66" s="14">
        <v>1</v>
      </c>
      <c r="M66" s="14">
        <v>2</v>
      </c>
      <c r="N66" s="14">
        <v>5</v>
      </c>
      <c r="O66" s="14">
        <v>10</v>
      </c>
      <c r="P66" s="14">
        <v>6</v>
      </c>
      <c r="Q66" s="14">
        <v>5</v>
      </c>
      <c r="R66" s="14">
        <v>4</v>
      </c>
      <c r="S66" s="14"/>
      <c r="T66" s="14"/>
      <c r="U66" s="14">
        <v>5</v>
      </c>
      <c r="V66" s="14">
        <v>12</v>
      </c>
      <c r="W66" s="14">
        <v>9</v>
      </c>
      <c r="X66" s="14">
        <v>3</v>
      </c>
      <c r="Y66" s="14">
        <v>4</v>
      </c>
      <c r="Z66" s="14">
        <v>1</v>
      </c>
      <c r="AA66" s="14"/>
      <c r="AB66" s="14">
        <v>1</v>
      </c>
      <c r="AC66" s="14">
        <v>1</v>
      </c>
      <c r="AD66" s="14">
        <v>4</v>
      </c>
      <c r="AE66" s="14">
        <v>2</v>
      </c>
      <c r="AF66" s="214"/>
      <c r="AG66" s="15">
        <f t="shared" si="2"/>
        <v>89</v>
      </c>
    </row>
    <row r="67" spans="1:33" ht="15.75" customHeight="1" x14ac:dyDescent="0.25">
      <c r="A67" s="12" t="s">
        <v>28</v>
      </c>
      <c r="B67" s="13"/>
      <c r="C67" s="14"/>
      <c r="D67" s="14">
        <v>6</v>
      </c>
      <c r="E67" s="14"/>
      <c r="F67" s="14">
        <v>1</v>
      </c>
      <c r="G67" s="14">
        <v>2</v>
      </c>
      <c r="H67" s="14">
        <v>1</v>
      </c>
      <c r="I67" s="14"/>
      <c r="J67" s="14">
        <v>3</v>
      </c>
      <c r="K67" s="14"/>
      <c r="L67" s="14">
        <v>1</v>
      </c>
      <c r="M67" s="14"/>
      <c r="N67" s="14">
        <v>8</v>
      </c>
      <c r="O67" s="14">
        <v>8</v>
      </c>
      <c r="P67" s="14">
        <v>3</v>
      </c>
      <c r="Q67" s="14">
        <v>4</v>
      </c>
      <c r="R67" s="14">
        <v>2</v>
      </c>
      <c r="S67" s="14"/>
      <c r="T67" s="14"/>
      <c r="U67" s="14">
        <v>4</v>
      </c>
      <c r="V67" s="14">
        <v>2</v>
      </c>
      <c r="W67" s="14">
        <v>5</v>
      </c>
      <c r="X67" s="14">
        <v>1</v>
      </c>
      <c r="Y67" s="14"/>
      <c r="Z67" s="14"/>
      <c r="AA67" s="14"/>
      <c r="AB67" s="14">
        <v>1</v>
      </c>
      <c r="AC67" s="14">
        <v>1</v>
      </c>
      <c r="AD67" s="14">
        <v>1</v>
      </c>
      <c r="AE67" s="14">
        <v>1</v>
      </c>
      <c r="AF67" s="214">
        <v>1</v>
      </c>
      <c r="AG67" s="15">
        <f t="shared" si="2"/>
        <v>56</v>
      </c>
    </row>
    <row r="68" spans="1:33" ht="15.75" customHeight="1" x14ac:dyDescent="0.25">
      <c r="A68" s="12" t="s">
        <v>29</v>
      </c>
      <c r="B68" s="13">
        <v>1</v>
      </c>
      <c r="C68" s="14"/>
      <c r="D68" s="14"/>
      <c r="E68" s="14"/>
      <c r="F68" s="14">
        <v>1</v>
      </c>
      <c r="G68" s="14">
        <v>5</v>
      </c>
      <c r="H68" s="14"/>
      <c r="I68" s="14">
        <v>1</v>
      </c>
      <c r="J68" s="14">
        <v>1</v>
      </c>
      <c r="K68" s="14"/>
      <c r="L68" s="14"/>
      <c r="M68" s="14"/>
      <c r="N68" s="14">
        <v>9</v>
      </c>
      <c r="O68" s="14">
        <v>3</v>
      </c>
      <c r="P68" s="14">
        <v>2</v>
      </c>
      <c r="Q68" s="14">
        <v>3</v>
      </c>
      <c r="R68" s="14"/>
      <c r="S68" s="14"/>
      <c r="T68" s="14"/>
      <c r="U68" s="14">
        <v>1</v>
      </c>
      <c r="V68" s="14">
        <v>2</v>
      </c>
      <c r="W68" s="14">
        <v>2</v>
      </c>
      <c r="X68" s="14">
        <v>3</v>
      </c>
      <c r="Y68" s="14">
        <v>3</v>
      </c>
      <c r="Z68" s="14"/>
      <c r="AA68" s="14"/>
      <c r="AB68" s="14">
        <v>16</v>
      </c>
      <c r="AC68" s="14"/>
      <c r="AD68" s="14">
        <v>3</v>
      </c>
      <c r="AE68" s="14"/>
      <c r="AF68" s="214">
        <v>2</v>
      </c>
      <c r="AG68" s="15">
        <f t="shared" si="2"/>
        <v>58</v>
      </c>
    </row>
    <row r="69" spans="1:33" ht="15.75" customHeight="1" x14ac:dyDescent="0.25">
      <c r="A69" s="12" t="s">
        <v>30</v>
      </c>
      <c r="B69" s="13"/>
      <c r="C69" s="14"/>
      <c r="D69" s="14">
        <v>2</v>
      </c>
      <c r="E69" s="14"/>
      <c r="F69" s="14"/>
      <c r="G69" s="14"/>
      <c r="H69" s="14"/>
      <c r="I69" s="14"/>
      <c r="J69" s="14">
        <v>1</v>
      </c>
      <c r="K69" s="14"/>
      <c r="L69" s="14">
        <v>1</v>
      </c>
      <c r="M69" s="14">
        <v>2</v>
      </c>
      <c r="N69" s="14">
        <v>3</v>
      </c>
      <c r="O69" s="14">
        <v>6</v>
      </c>
      <c r="P69" s="14">
        <v>2</v>
      </c>
      <c r="Q69" s="14">
        <v>1</v>
      </c>
      <c r="R69" s="14"/>
      <c r="S69" s="14"/>
      <c r="T69" s="14"/>
      <c r="U69" s="14">
        <v>5</v>
      </c>
      <c r="V69" s="14">
        <v>1</v>
      </c>
      <c r="W69" s="14"/>
      <c r="X69" s="14"/>
      <c r="Y69" s="14">
        <v>1</v>
      </c>
      <c r="Z69" s="14"/>
      <c r="AA69" s="14"/>
      <c r="AB69" s="14"/>
      <c r="AC69" s="14"/>
      <c r="AD69" s="14">
        <v>2</v>
      </c>
      <c r="AE69" s="14"/>
      <c r="AF69" s="214"/>
      <c r="AG69" s="15">
        <f t="shared" si="2"/>
        <v>27</v>
      </c>
    </row>
    <row r="70" spans="1:33" ht="15.75" customHeight="1" x14ac:dyDescent="0.25">
      <c r="A70" s="12" t="s">
        <v>31</v>
      </c>
      <c r="B70" s="9">
        <v>1</v>
      </c>
      <c r="C70" s="10"/>
      <c r="D70" s="14">
        <v>1</v>
      </c>
      <c r="E70" s="10">
        <v>1</v>
      </c>
      <c r="F70" s="10">
        <v>1</v>
      </c>
      <c r="G70" s="14">
        <v>1</v>
      </c>
      <c r="H70" s="10"/>
      <c r="I70" s="14"/>
      <c r="J70" s="10"/>
      <c r="K70" s="10"/>
      <c r="L70" s="10"/>
      <c r="M70" s="10"/>
      <c r="N70" s="10">
        <v>4</v>
      </c>
      <c r="O70" s="10">
        <v>4</v>
      </c>
      <c r="P70" s="10"/>
      <c r="Q70" s="10"/>
      <c r="R70" s="10"/>
      <c r="S70" s="10"/>
      <c r="T70" s="10"/>
      <c r="U70" s="10">
        <v>3</v>
      </c>
      <c r="V70" s="10">
        <v>4</v>
      </c>
      <c r="W70" s="10"/>
      <c r="X70" s="10">
        <v>2</v>
      </c>
      <c r="Y70" s="10">
        <v>3</v>
      </c>
      <c r="Z70" s="10"/>
      <c r="AA70" s="10"/>
      <c r="AB70" s="10">
        <v>1</v>
      </c>
      <c r="AC70" s="10">
        <v>1</v>
      </c>
      <c r="AD70" s="10">
        <v>1</v>
      </c>
      <c r="AE70" s="10"/>
      <c r="AF70" s="213">
        <v>2</v>
      </c>
      <c r="AG70" s="15">
        <f t="shared" si="2"/>
        <v>30</v>
      </c>
    </row>
    <row r="71" spans="1:33" ht="15.75" customHeight="1" x14ac:dyDescent="0.25">
      <c r="A71" s="12" t="s">
        <v>32</v>
      </c>
      <c r="B71" s="9"/>
      <c r="C71" s="10"/>
      <c r="D71" s="14"/>
      <c r="E71" s="10"/>
      <c r="F71" s="10"/>
      <c r="G71" s="14"/>
      <c r="H71" s="10"/>
      <c r="I71" s="14"/>
      <c r="J71" s="10"/>
      <c r="K71" s="10">
        <v>1</v>
      </c>
      <c r="L71" s="10"/>
      <c r="M71" s="10"/>
      <c r="N71" s="10">
        <v>6</v>
      </c>
      <c r="O71" s="10"/>
      <c r="P71" s="10">
        <v>7</v>
      </c>
      <c r="Q71" s="10">
        <v>1</v>
      </c>
      <c r="R71" s="10"/>
      <c r="S71" s="10"/>
      <c r="T71" s="10"/>
      <c r="U71" s="10">
        <v>2</v>
      </c>
      <c r="V71" s="10">
        <v>3</v>
      </c>
      <c r="W71" s="10"/>
      <c r="X71" s="10"/>
      <c r="Y71" s="10">
        <v>2</v>
      </c>
      <c r="Z71" s="10"/>
      <c r="AA71" s="10"/>
      <c r="AB71" s="10">
        <v>9</v>
      </c>
      <c r="AC71" s="10"/>
      <c r="AD71" s="10"/>
      <c r="AE71" s="10"/>
      <c r="AF71" s="213">
        <v>2</v>
      </c>
      <c r="AG71" s="15">
        <f t="shared" si="2"/>
        <v>33</v>
      </c>
    </row>
    <row r="72" spans="1:33" ht="15.75" customHeight="1" x14ac:dyDescent="0.25">
      <c r="A72" s="12" t="s">
        <v>33</v>
      </c>
      <c r="B72" s="9"/>
      <c r="C72" s="10"/>
      <c r="D72" s="14">
        <v>1</v>
      </c>
      <c r="E72" s="10"/>
      <c r="F72" s="10"/>
      <c r="G72" s="14"/>
      <c r="H72" s="10"/>
      <c r="I72" s="14"/>
      <c r="J72" s="10"/>
      <c r="K72" s="10"/>
      <c r="L72" s="10"/>
      <c r="M72" s="10"/>
      <c r="N72" s="10">
        <v>6</v>
      </c>
      <c r="O72" s="10"/>
      <c r="P72" s="10"/>
      <c r="Q72" s="10"/>
      <c r="R72" s="10"/>
      <c r="S72" s="10"/>
      <c r="T72" s="10"/>
      <c r="U72" s="10">
        <v>2</v>
      </c>
      <c r="V72" s="10">
        <v>3</v>
      </c>
      <c r="W72" s="10"/>
      <c r="X72" s="10"/>
      <c r="Y72" s="10">
        <v>2</v>
      </c>
      <c r="Z72" s="10"/>
      <c r="AA72" s="10"/>
      <c r="AB72" s="10">
        <v>4</v>
      </c>
      <c r="AC72" s="10"/>
      <c r="AD72" s="10"/>
      <c r="AE72" s="10"/>
      <c r="AF72" s="213"/>
      <c r="AG72" s="15">
        <f t="shared" si="2"/>
        <v>18</v>
      </c>
    </row>
    <row r="73" spans="1:33" ht="15.75" customHeight="1" x14ac:dyDescent="0.25">
      <c r="A73" s="12" t="s">
        <v>34</v>
      </c>
      <c r="B73" s="9"/>
      <c r="C73" s="10"/>
      <c r="D73" s="14"/>
      <c r="E73" s="10"/>
      <c r="F73" s="10"/>
      <c r="G73" s="14"/>
      <c r="H73" s="10"/>
      <c r="I73" s="14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213"/>
      <c r="AG73" s="15">
        <f t="shared" si="2"/>
        <v>0</v>
      </c>
    </row>
    <row r="74" spans="1:33" ht="15.75" customHeight="1" x14ac:dyDescent="0.25">
      <c r="A74" s="12" t="s">
        <v>35</v>
      </c>
      <c r="B74" s="9"/>
      <c r="C74" s="10"/>
      <c r="D74" s="14"/>
      <c r="E74" s="10"/>
      <c r="F74" s="10"/>
      <c r="G74" s="14"/>
      <c r="H74" s="10"/>
      <c r="I74" s="14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213"/>
      <c r="AG74" s="15">
        <f t="shared" si="2"/>
        <v>0</v>
      </c>
    </row>
    <row r="75" spans="1:33" ht="15.75" customHeight="1" x14ac:dyDescent="0.25">
      <c r="A75" s="12" t="s">
        <v>36</v>
      </c>
      <c r="B75" s="9"/>
      <c r="C75" s="10"/>
      <c r="D75" s="14"/>
      <c r="E75" s="10"/>
      <c r="F75" s="10"/>
      <c r="G75" s="14"/>
      <c r="H75" s="10"/>
      <c r="I75" s="14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213"/>
      <c r="AG75" s="15">
        <f t="shared" si="2"/>
        <v>0</v>
      </c>
    </row>
    <row r="76" spans="1:33" ht="15.75" customHeight="1" x14ac:dyDescent="0.25">
      <c r="A76" s="12" t="s">
        <v>37</v>
      </c>
      <c r="B76" s="9">
        <v>1</v>
      </c>
      <c r="C76" s="10"/>
      <c r="D76" s="14"/>
      <c r="E76" s="10"/>
      <c r="F76" s="10"/>
      <c r="G76" s="14"/>
      <c r="H76" s="10"/>
      <c r="I76" s="14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>
        <v>1</v>
      </c>
      <c r="W76" s="10"/>
      <c r="X76" s="10"/>
      <c r="Y76" s="10"/>
      <c r="Z76" s="10"/>
      <c r="AA76" s="10"/>
      <c r="AB76" s="10"/>
      <c r="AC76" s="10"/>
      <c r="AD76" s="10"/>
      <c r="AE76" s="10"/>
      <c r="AF76" s="213"/>
      <c r="AG76" s="15">
        <f t="shared" si="2"/>
        <v>2</v>
      </c>
    </row>
    <row r="77" spans="1:33" ht="15.75" customHeight="1" x14ac:dyDescent="0.25">
      <c r="A77" s="28" t="s">
        <v>38</v>
      </c>
      <c r="B77" s="29"/>
      <c r="C77" s="30"/>
      <c r="D77" s="25"/>
      <c r="E77" s="30"/>
      <c r="F77" s="30"/>
      <c r="G77" s="25"/>
      <c r="H77" s="30"/>
      <c r="I77" s="25">
        <v>1</v>
      </c>
      <c r="J77" s="30"/>
      <c r="K77" s="30"/>
      <c r="L77" s="30"/>
      <c r="M77" s="30"/>
      <c r="N77" s="30"/>
      <c r="O77" s="30"/>
      <c r="P77" s="30"/>
      <c r="Q77" s="30">
        <v>2</v>
      </c>
      <c r="R77" s="30"/>
      <c r="S77" s="30"/>
      <c r="T77" s="30"/>
      <c r="U77" s="30"/>
      <c r="V77" s="30"/>
      <c r="W77" s="30">
        <v>2</v>
      </c>
      <c r="X77" s="30"/>
      <c r="Y77" s="30"/>
      <c r="Z77" s="30"/>
      <c r="AA77" s="30"/>
      <c r="AB77" s="30"/>
      <c r="AC77" s="30"/>
      <c r="AD77" s="30"/>
      <c r="AE77" s="30"/>
      <c r="AF77" s="217"/>
      <c r="AG77" s="26">
        <f t="shared" si="2"/>
        <v>5</v>
      </c>
    </row>
    <row r="78" spans="1:33" ht="19.5" customHeight="1" x14ac:dyDescent="0.25">
      <c r="A78" s="31" t="s">
        <v>41</v>
      </c>
      <c r="B78" s="32">
        <f t="shared" ref="B78:AF78" si="5">SUM(B79:B80)</f>
        <v>203</v>
      </c>
      <c r="C78" s="33">
        <f t="shared" si="5"/>
        <v>191</v>
      </c>
      <c r="D78" s="33">
        <f t="shared" si="5"/>
        <v>226</v>
      </c>
      <c r="E78" s="34">
        <f t="shared" si="5"/>
        <v>220</v>
      </c>
      <c r="F78" s="34">
        <f t="shared" si="5"/>
        <v>204</v>
      </c>
      <c r="G78" s="34">
        <f t="shared" si="5"/>
        <v>245</v>
      </c>
      <c r="H78" s="34">
        <f t="shared" si="5"/>
        <v>233</v>
      </c>
      <c r="I78" s="34">
        <f t="shared" si="5"/>
        <v>225</v>
      </c>
      <c r="J78" s="34">
        <f t="shared" si="5"/>
        <v>241</v>
      </c>
      <c r="K78" s="34">
        <f t="shared" si="5"/>
        <v>223</v>
      </c>
      <c r="L78" s="34">
        <f t="shared" si="5"/>
        <v>212</v>
      </c>
      <c r="M78" s="34">
        <f t="shared" si="5"/>
        <v>276</v>
      </c>
      <c r="N78" s="34">
        <f t="shared" si="5"/>
        <v>351</v>
      </c>
      <c r="O78" s="34">
        <f t="shared" si="5"/>
        <v>309</v>
      </c>
      <c r="P78" s="34">
        <f t="shared" si="5"/>
        <v>351</v>
      </c>
      <c r="Q78" s="34">
        <f t="shared" si="5"/>
        <v>332</v>
      </c>
      <c r="R78" s="34">
        <f t="shared" si="5"/>
        <v>255</v>
      </c>
      <c r="S78" s="34">
        <f t="shared" si="5"/>
        <v>226</v>
      </c>
      <c r="T78" s="34">
        <f t="shared" si="5"/>
        <v>244</v>
      </c>
      <c r="U78" s="34">
        <f t="shared" si="5"/>
        <v>348</v>
      </c>
      <c r="V78" s="34">
        <f t="shared" si="5"/>
        <v>337</v>
      </c>
      <c r="W78" s="34">
        <f t="shared" si="5"/>
        <v>286</v>
      </c>
      <c r="X78" s="34">
        <f t="shared" si="5"/>
        <v>276</v>
      </c>
      <c r="Y78" s="34">
        <f t="shared" si="5"/>
        <v>238</v>
      </c>
      <c r="Z78" s="34">
        <f t="shared" si="5"/>
        <v>274</v>
      </c>
      <c r="AA78" s="34">
        <f t="shared" si="5"/>
        <v>253</v>
      </c>
      <c r="AB78" s="34">
        <f t="shared" si="5"/>
        <v>294</v>
      </c>
      <c r="AC78" s="34">
        <f t="shared" si="5"/>
        <v>280</v>
      </c>
      <c r="AD78" s="34">
        <f t="shared" si="5"/>
        <v>242</v>
      </c>
      <c r="AE78" s="34">
        <f t="shared" si="5"/>
        <v>246</v>
      </c>
      <c r="AF78" s="218">
        <f t="shared" si="5"/>
        <v>245</v>
      </c>
      <c r="AG78" s="27">
        <f t="shared" si="2"/>
        <v>8086</v>
      </c>
    </row>
    <row r="79" spans="1:33" ht="19.5" customHeight="1" x14ac:dyDescent="0.25">
      <c r="A79" s="35" t="s">
        <v>42</v>
      </c>
      <c r="B79" s="9">
        <f t="shared" ref="B79:AF79" si="6">SUM(B4:B27)-B80</f>
        <v>203</v>
      </c>
      <c r="C79" s="10">
        <f t="shared" si="6"/>
        <v>191</v>
      </c>
      <c r="D79" s="10">
        <f t="shared" si="6"/>
        <v>226</v>
      </c>
      <c r="E79" s="10">
        <f t="shared" si="6"/>
        <v>220</v>
      </c>
      <c r="F79" s="10">
        <f t="shared" si="6"/>
        <v>88</v>
      </c>
      <c r="G79" s="10">
        <f t="shared" si="6"/>
        <v>106</v>
      </c>
      <c r="H79" s="10">
        <f t="shared" si="6"/>
        <v>113</v>
      </c>
      <c r="I79" s="10">
        <f t="shared" si="6"/>
        <v>225</v>
      </c>
      <c r="J79" s="10">
        <f t="shared" si="6"/>
        <v>241</v>
      </c>
      <c r="K79" s="10">
        <f t="shared" si="6"/>
        <v>223</v>
      </c>
      <c r="L79" s="10">
        <f t="shared" si="6"/>
        <v>212</v>
      </c>
      <c r="M79" s="10">
        <f t="shared" si="6"/>
        <v>117</v>
      </c>
      <c r="N79" s="10">
        <f t="shared" si="6"/>
        <v>174</v>
      </c>
      <c r="O79" s="10">
        <f t="shared" si="6"/>
        <v>135</v>
      </c>
      <c r="P79" s="10">
        <f t="shared" si="6"/>
        <v>351</v>
      </c>
      <c r="Q79" s="10">
        <f t="shared" si="6"/>
        <v>332</v>
      </c>
      <c r="R79" s="10">
        <f t="shared" si="6"/>
        <v>95</v>
      </c>
      <c r="S79" s="10">
        <f t="shared" si="6"/>
        <v>101</v>
      </c>
      <c r="T79" s="10">
        <f t="shared" si="6"/>
        <v>97</v>
      </c>
      <c r="U79" s="10">
        <f t="shared" si="6"/>
        <v>141</v>
      </c>
      <c r="V79" s="10">
        <f t="shared" si="6"/>
        <v>159</v>
      </c>
      <c r="W79" s="10">
        <f t="shared" si="6"/>
        <v>286</v>
      </c>
      <c r="X79" s="10">
        <f t="shared" si="6"/>
        <v>276</v>
      </c>
      <c r="Y79" s="10">
        <f t="shared" si="6"/>
        <v>103</v>
      </c>
      <c r="Z79" s="10">
        <f t="shared" si="6"/>
        <v>274</v>
      </c>
      <c r="AA79" s="10">
        <f t="shared" si="6"/>
        <v>111</v>
      </c>
      <c r="AB79" s="10">
        <f t="shared" si="6"/>
        <v>132</v>
      </c>
      <c r="AC79" s="10">
        <f t="shared" si="6"/>
        <v>116</v>
      </c>
      <c r="AD79" s="10">
        <f t="shared" si="6"/>
        <v>242</v>
      </c>
      <c r="AE79" s="10">
        <f t="shared" si="6"/>
        <v>246</v>
      </c>
      <c r="AF79" s="10">
        <f t="shared" si="6"/>
        <v>112</v>
      </c>
      <c r="AG79" s="11">
        <f t="shared" si="2"/>
        <v>5648</v>
      </c>
    </row>
    <row r="80" spans="1:33" ht="19.5" customHeight="1" x14ac:dyDescent="0.25">
      <c r="A80" s="36" t="s">
        <v>43</v>
      </c>
      <c r="B80" s="37"/>
      <c r="C80" s="38"/>
      <c r="D80" s="25">
        <v>0</v>
      </c>
      <c r="E80" s="25">
        <v>0</v>
      </c>
      <c r="F80" s="25">
        <f>SUM(F4:F12)</f>
        <v>116</v>
      </c>
      <c r="G80" s="25">
        <f>SUM(G4:G12)</f>
        <v>139</v>
      </c>
      <c r="H80" s="25">
        <f>SUM(H4:H12)</f>
        <v>120</v>
      </c>
      <c r="I80" s="38"/>
      <c r="J80" s="38"/>
      <c r="K80" s="25">
        <v>0</v>
      </c>
      <c r="L80" s="25">
        <v>0</v>
      </c>
      <c r="M80" s="25">
        <f>SUM(M4:M12)</f>
        <v>159</v>
      </c>
      <c r="N80" s="25">
        <f>SUM(N4:N12)</f>
        <v>177</v>
      </c>
      <c r="O80" s="25">
        <f>SUM(O4:O12)</f>
        <v>174</v>
      </c>
      <c r="P80" s="38"/>
      <c r="Q80" s="38"/>
      <c r="R80" s="25">
        <f>SUM(R4:R12)</f>
        <v>160</v>
      </c>
      <c r="S80" s="25">
        <f>SUM(S4:S12)</f>
        <v>125</v>
      </c>
      <c r="T80" s="25">
        <f>SUM(T4:T12)</f>
        <v>147</v>
      </c>
      <c r="U80" s="25">
        <f>SUM(U4:U12)</f>
        <v>207</v>
      </c>
      <c r="V80" s="25">
        <f>SUM(V4:V12)</f>
        <v>178</v>
      </c>
      <c r="W80" s="38"/>
      <c r="X80" s="38"/>
      <c r="Y80" s="25">
        <f>SUM(Y4:Y12)</f>
        <v>135</v>
      </c>
      <c r="Z80" s="38"/>
      <c r="AA80" s="25">
        <f>SUM(AA4:AA12)</f>
        <v>142</v>
      </c>
      <c r="AB80" s="25">
        <f>SUM(AB4:AB12)</f>
        <v>162</v>
      </c>
      <c r="AC80" s="25">
        <f>SUM(AC4:AC12)</f>
        <v>164</v>
      </c>
      <c r="AD80" s="38"/>
      <c r="AE80" s="38"/>
      <c r="AF80" s="25">
        <f>SUM(AF4:AF12)</f>
        <v>133</v>
      </c>
      <c r="AG80" s="26">
        <f t="shared" si="2"/>
        <v>2438</v>
      </c>
    </row>
    <row r="81" spans="1:35" ht="15.75" customHeight="1" x14ac:dyDescent="0.25">
      <c r="A81" s="31" t="s">
        <v>44</v>
      </c>
      <c r="B81" s="39">
        <f t="shared" ref="B81:AF81" si="7">SUM(B82:B83)</f>
        <v>8</v>
      </c>
      <c r="C81" s="34">
        <f t="shared" si="7"/>
        <v>13</v>
      </c>
      <c r="D81" s="34">
        <f t="shared" si="7"/>
        <v>23</v>
      </c>
      <c r="E81" s="34">
        <f t="shared" si="7"/>
        <v>6</v>
      </c>
      <c r="F81" s="34">
        <f t="shared" si="7"/>
        <v>7</v>
      </c>
      <c r="G81" s="34">
        <f t="shared" si="7"/>
        <v>37</v>
      </c>
      <c r="H81" s="34">
        <f t="shared" si="7"/>
        <v>31</v>
      </c>
      <c r="I81" s="34">
        <f t="shared" si="7"/>
        <v>10</v>
      </c>
      <c r="J81" s="34">
        <f t="shared" si="7"/>
        <v>35</v>
      </c>
      <c r="K81" s="34">
        <f t="shared" si="7"/>
        <v>18</v>
      </c>
      <c r="L81" s="34">
        <f t="shared" si="7"/>
        <v>4</v>
      </c>
      <c r="M81" s="34">
        <f t="shared" si="7"/>
        <v>19</v>
      </c>
      <c r="N81" s="34">
        <f t="shared" si="7"/>
        <v>88</v>
      </c>
      <c r="O81" s="34">
        <f t="shared" si="7"/>
        <v>61</v>
      </c>
      <c r="P81" s="34">
        <f t="shared" si="7"/>
        <v>62</v>
      </c>
      <c r="Q81" s="34">
        <f t="shared" si="7"/>
        <v>58</v>
      </c>
      <c r="R81" s="34">
        <f t="shared" si="7"/>
        <v>35</v>
      </c>
      <c r="S81" s="34">
        <f t="shared" si="7"/>
        <v>4</v>
      </c>
      <c r="T81" s="34">
        <f t="shared" si="7"/>
        <v>8</v>
      </c>
      <c r="U81" s="34">
        <f t="shared" si="7"/>
        <v>78</v>
      </c>
      <c r="V81" s="34">
        <f t="shared" si="7"/>
        <v>71</v>
      </c>
      <c r="W81" s="34">
        <f t="shared" si="7"/>
        <v>48</v>
      </c>
      <c r="X81" s="34">
        <f t="shared" si="7"/>
        <v>34</v>
      </c>
      <c r="Y81" s="34">
        <f t="shared" si="7"/>
        <v>37</v>
      </c>
      <c r="Z81" s="34">
        <f t="shared" si="7"/>
        <v>8</v>
      </c>
      <c r="AA81" s="34">
        <f t="shared" si="7"/>
        <v>0</v>
      </c>
      <c r="AB81" s="34">
        <f t="shared" si="7"/>
        <v>70</v>
      </c>
      <c r="AC81" s="34">
        <f t="shared" si="7"/>
        <v>34</v>
      </c>
      <c r="AD81" s="34">
        <f t="shared" si="7"/>
        <v>32</v>
      </c>
      <c r="AE81" s="34">
        <f t="shared" si="7"/>
        <v>37</v>
      </c>
      <c r="AF81" s="34">
        <f t="shared" si="7"/>
        <v>20</v>
      </c>
      <c r="AG81" s="27">
        <f t="shared" si="2"/>
        <v>996</v>
      </c>
      <c r="AH81" s="40" t="str">
        <f>IF(AG81&lt;&gt;AG53,"*","")</f>
        <v/>
      </c>
    </row>
    <row r="82" spans="1:35" ht="15.75" customHeight="1" x14ac:dyDescent="0.25">
      <c r="A82" s="35" t="s">
        <v>43</v>
      </c>
      <c r="B82" s="9">
        <f t="shared" ref="B82:AF82" si="8">SUM(B54:B62)</f>
        <v>2</v>
      </c>
      <c r="C82" s="10">
        <f t="shared" si="8"/>
        <v>7</v>
      </c>
      <c r="D82" s="10">
        <f t="shared" si="8"/>
        <v>9</v>
      </c>
      <c r="E82" s="10">
        <f t="shared" si="8"/>
        <v>2</v>
      </c>
      <c r="F82" s="10">
        <f t="shared" si="8"/>
        <v>2</v>
      </c>
      <c r="G82" s="10">
        <f t="shared" si="8"/>
        <v>15</v>
      </c>
      <c r="H82" s="10">
        <f t="shared" si="8"/>
        <v>24</v>
      </c>
      <c r="I82" s="10">
        <f t="shared" si="8"/>
        <v>2</v>
      </c>
      <c r="J82" s="10">
        <f t="shared" si="8"/>
        <v>18</v>
      </c>
      <c r="K82" s="10">
        <f t="shared" si="8"/>
        <v>9</v>
      </c>
      <c r="L82" s="10">
        <f t="shared" si="8"/>
        <v>1</v>
      </c>
      <c r="M82" s="10">
        <f t="shared" si="8"/>
        <v>6</v>
      </c>
      <c r="N82" s="10">
        <f t="shared" si="8"/>
        <v>25</v>
      </c>
      <c r="O82" s="10">
        <f t="shared" si="8"/>
        <v>17</v>
      </c>
      <c r="P82" s="10">
        <f t="shared" si="8"/>
        <v>26</v>
      </c>
      <c r="Q82" s="10">
        <f t="shared" si="8"/>
        <v>24</v>
      </c>
      <c r="R82" s="10">
        <f t="shared" si="8"/>
        <v>11</v>
      </c>
      <c r="S82" s="10">
        <f t="shared" si="8"/>
        <v>4</v>
      </c>
      <c r="T82" s="10">
        <f t="shared" si="8"/>
        <v>8</v>
      </c>
      <c r="U82" s="10">
        <f t="shared" si="8"/>
        <v>27</v>
      </c>
      <c r="V82" s="10">
        <f t="shared" si="8"/>
        <v>35</v>
      </c>
      <c r="W82" s="10">
        <f t="shared" si="8"/>
        <v>13</v>
      </c>
      <c r="X82" s="10">
        <f t="shared" si="8"/>
        <v>14</v>
      </c>
      <c r="Y82" s="10">
        <f t="shared" si="8"/>
        <v>12</v>
      </c>
      <c r="Z82" s="10">
        <f t="shared" si="8"/>
        <v>6</v>
      </c>
      <c r="AA82" s="10">
        <f t="shared" si="8"/>
        <v>0</v>
      </c>
      <c r="AB82" s="10">
        <f t="shared" si="8"/>
        <v>21</v>
      </c>
      <c r="AC82" s="10">
        <f t="shared" si="8"/>
        <v>19</v>
      </c>
      <c r="AD82" s="10">
        <f t="shared" si="8"/>
        <v>18</v>
      </c>
      <c r="AE82" s="10">
        <f t="shared" si="8"/>
        <v>14</v>
      </c>
      <c r="AF82" s="10">
        <f t="shared" si="8"/>
        <v>11</v>
      </c>
      <c r="AG82" s="11">
        <f t="shared" si="2"/>
        <v>402</v>
      </c>
    </row>
    <row r="83" spans="1:35" ht="15.75" customHeight="1" x14ac:dyDescent="0.25">
      <c r="A83" s="36" t="s">
        <v>42</v>
      </c>
      <c r="B83" s="24">
        <f t="shared" ref="B83:AF83" si="9">SUM(B54:B77)-B82</f>
        <v>6</v>
      </c>
      <c r="C83" s="25">
        <f t="shared" si="9"/>
        <v>6</v>
      </c>
      <c r="D83" s="25">
        <f t="shared" si="9"/>
        <v>14</v>
      </c>
      <c r="E83" s="25">
        <f t="shared" si="9"/>
        <v>4</v>
      </c>
      <c r="F83" s="25">
        <f t="shared" si="9"/>
        <v>5</v>
      </c>
      <c r="G83" s="25">
        <f t="shared" si="9"/>
        <v>22</v>
      </c>
      <c r="H83" s="25">
        <f t="shared" si="9"/>
        <v>7</v>
      </c>
      <c r="I83" s="25">
        <f t="shared" si="9"/>
        <v>8</v>
      </c>
      <c r="J83" s="25">
        <f t="shared" si="9"/>
        <v>17</v>
      </c>
      <c r="K83" s="25">
        <f t="shared" si="9"/>
        <v>9</v>
      </c>
      <c r="L83" s="25">
        <f t="shared" si="9"/>
        <v>3</v>
      </c>
      <c r="M83" s="25">
        <f t="shared" si="9"/>
        <v>13</v>
      </c>
      <c r="N83" s="25">
        <f t="shared" si="9"/>
        <v>63</v>
      </c>
      <c r="O83" s="25">
        <f t="shared" si="9"/>
        <v>44</v>
      </c>
      <c r="P83" s="25">
        <f t="shared" si="9"/>
        <v>36</v>
      </c>
      <c r="Q83" s="25">
        <f t="shared" si="9"/>
        <v>34</v>
      </c>
      <c r="R83" s="25">
        <f t="shared" si="9"/>
        <v>24</v>
      </c>
      <c r="S83" s="25">
        <f t="shared" si="9"/>
        <v>0</v>
      </c>
      <c r="T83" s="25">
        <f t="shared" si="9"/>
        <v>0</v>
      </c>
      <c r="U83" s="25">
        <f t="shared" si="9"/>
        <v>51</v>
      </c>
      <c r="V83" s="25">
        <f t="shared" si="9"/>
        <v>36</v>
      </c>
      <c r="W83" s="25">
        <f t="shared" si="9"/>
        <v>35</v>
      </c>
      <c r="X83" s="25">
        <f t="shared" si="9"/>
        <v>20</v>
      </c>
      <c r="Y83" s="25">
        <f t="shared" si="9"/>
        <v>25</v>
      </c>
      <c r="Z83" s="25">
        <f t="shared" si="9"/>
        <v>2</v>
      </c>
      <c r="AA83" s="25">
        <f t="shared" si="9"/>
        <v>0</v>
      </c>
      <c r="AB83" s="25">
        <f t="shared" si="9"/>
        <v>49</v>
      </c>
      <c r="AC83" s="25">
        <f t="shared" si="9"/>
        <v>15</v>
      </c>
      <c r="AD83" s="25">
        <f t="shared" si="9"/>
        <v>14</v>
      </c>
      <c r="AE83" s="25">
        <f t="shared" si="9"/>
        <v>23</v>
      </c>
      <c r="AF83" s="25">
        <f t="shared" si="9"/>
        <v>9</v>
      </c>
      <c r="AG83" s="15">
        <f t="shared" si="2"/>
        <v>594</v>
      </c>
    </row>
    <row r="84" spans="1:35" ht="15.75" customHeight="1" x14ac:dyDescent="0.25">
      <c r="A84" s="41" t="s">
        <v>45</v>
      </c>
      <c r="B84" s="42">
        <f t="shared" ref="B84:AF84" si="10">SUM(B85:B86)</f>
        <v>8</v>
      </c>
      <c r="C84" s="43">
        <f t="shared" si="10"/>
        <v>13</v>
      </c>
      <c r="D84" s="43">
        <f t="shared" si="10"/>
        <v>23</v>
      </c>
      <c r="E84" s="43">
        <f t="shared" si="10"/>
        <v>6</v>
      </c>
      <c r="F84" s="43">
        <f t="shared" si="10"/>
        <v>7</v>
      </c>
      <c r="G84" s="43">
        <f t="shared" si="10"/>
        <v>37</v>
      </c>
      <c r="H84" s="43">
        <f t="shared" si="10"/>
        <v>31</v>
      </c>
      <c r="I84" s="43">
        <f t="shared" si="10"/>
        <v>10</v>
      </c>
      <c r="J84" s="43">
        <f t="shared" si="10"/>
        <v>35</v>
      </c>
      <c r="K84" s="43">
        <f t="shared" si="10"/>
        <v>18</v>
      </c>
      <c r="L84" s="43">
        <f t="shared" si="10"/>
        <v>4</v>
      </c>
      <c r="M84" s="43">
        <f t="shared" si="10"/>
        <v>19</v>
      </c>
      <c r="N84" s="43">
        <f t="shared" si="10"/>
        <v>88</v>
      </c>
      <c r="O84" s="43">
        <f t="shared" si="10"/>
        <v>61</v>
      </c>
      <c r="P84" s="43">
        <f t="shared" si="10"/>
        <v>62</v>
      </c>
      <c r="Q84" s="43">
        <f t="shared" si="10"/>
        <v>58</v>
      </c>
      <c r="R84" s="43">
        <f t="shared" si="10"/>
        <v>35</v>
      </c>
      <c r="S84" s="43">
        <f t="shared" si="10"/>
        <v>4</v>
      </c>
      <c r="T84" s="43">
        <f t="shared" si="10"/>
        <v>8</v>
      </c>
      <c r="U84" s="43">
        <f t="shared" si="10"/>
        <v>78</v>
      </c>
      <c r="V84" s="43">
        <f t="shared" si="10"/>
        <v>71</v>
      </c>
      <c r="W84" s="43">
        <f t="shared" si="10"/>
        <v>48</v>
      </c>
      <c r="X84" s="43">
        <f t="shared" si="10"/>
        <v>34</v>
      </c>
      <c r="Y84" s="43">
        <f t="shared" si="10"/>
        <v>37</v>
      </c>
      <c r="Z84" s="43">
        <f t="shared" si="10"/>
        <v>8</v>
      </c>
      <c r="AA84" s="43">
        <f t="shared" si="10"/>
        <v>0</v>
      </c>
      <c r="AB84" s="43">
        <f t="shared" si="10"/>
        <v>70</v>
      </c>
      <c r="AC84" s="43">
        <f t="shared" si="10"/>
        <v>34</v>
      </c>
      <c r="AD84" s="43">
        <f t="shared" si="10"/>
        <v>32</v>
      </c>
      <c r="AE84" s="43">
        <f t="shared" si="10"/>
        <v>37</v>
      </c>
      <c r="AF84" s="43">
        <f t="shared" si="10"/>
        <v>20</v>
      </c>
      <c r="AG84" s="44">
        <f t="shared" si="2"/>
        <v>996</v>
      </c>
      <c r="AH84" s="40" t="str">
        <f>IF(AG84&lt;&gt;AG82+AG83,"*","")</f>
        <v/>
      </c>
      <c r="AI84" s="361" t="s">
        <v>46</v>
      </c>
    </row>
    <row r="85" spans="1:35" ht="15.75" customHeight="1" x14ac:dyDescent="0.25">
      <c r="A85" s="45" t="s">
        <v>47</v>
      </c>
      <c r="B85" s="46">
        <v>1</v>
      </c>
      <c r="C85" s="47">
        <v>3</v>
      </c>
      <c r="D85" s="47">
        <v>4</v>
      </c>
      <c r="E85" s="47">
        <v>0</v>
      </c>
      <c r="F85" s="47">
        <v>3</v>
      </c>
      <c r="G85" s="47">
        <v>11</v>
      </c>
      <c r="H85" s="47">
        <v>11</v>
      </c>
      <c r="I85" s="47">
        <v>3</v>
      </c>
      <c r="J85" s="47">
        <v>10</v>
      </c>
      <c r="K85" s="47">
        <v>1</v>
      </c>
      <c r="L85" s="47">
        <v>2</v>
      </c>
      <c r="M85" s="47">
        <v>3</v>
      </c>
      <c r="N85" s="47">
        <v>28</v>
      </c>
      <c r="O85" s="47">
        <v>16</v>
      </c>
      <c r="P85" s="47">
        <v>13</v>
      </c>
      <c r="Q85" s="47">
        <v>11</v>
      </c>
      <c r="R85" s="47">
        <v>10</v>
      </c>
      <c r="S85" s="47">
        <v>1</v>
      </c>
      <c r="T85" s="47">
        <v>1</v>
      </c>
      <c r="U85" s="47">
        <v>15</v>
      </c>
      <c r="V85" s="47">
        <v>16</v>
      </c>
      <c r="W85" s="47">
        <v>8</v>
      </c>
      <c r="X85" s="47">
        <v>11</v>
      </c>
      <c r="Y85" s="47">
        <v>10</v>
      </c>
      <c r="Z85" s="47">
        <v>1</v>
      </c>
      <c r="AA85" s="47"/>
      <c r="AB85" s="47">
        <v>11</v>
      </c>
      <c r="AC85" s="47">
        <v>3</v>
      </c>
      <c r="AD85" s="47">
        <v>10</v>
      </c>
      <c r="AE85" s="47">
        <v>12</v>
      </c>
      <c r="AF85" s="219">
        <v>2</v>
      </c>
      <c r="AG85" s="48">
        <f t="shared" si="2"/>
        <v>231</v>
      </c>
      <c r="AI85" s="362"/>
    </row>
    <row r="86" spans="1:35" ht="15.75" customHeight="1" x14ac:dyDescent="0.25">
      <c r="A86" s="49" t="s">
        <v>48</v>
      </c>
      <c r="B86" s="50">
        <v>7</v>
      </c>
      <c r="C86" s="51">
        <v>10</v>
      </c>
      <c r="D86" s="51">
        <v>19</v>
      </c>
      <c r="E86" s="51">
        <v>6</v>
      </c>
      <c r="F86" s="51">
        <v>4</v>
      </c>
      <c r="G86" s="51">
        <v>26</v>
      </c>
      <c r="H86" s="51">
        <v>20</v>
      </c>
      <c r="I86" s="51">
        <v>7</v>
      </c>
      <c r="J86" s="51">
        <v>25</v>
      </c>
      <c r="K86" s="51">
        <v>17</v>
      </c>
      <c r="L86" s="51">
        <v>2</v>
      </c>
      <c r="M86" s="51">
        <v>16</v>
      </c>
      <c r="N86" s="51">
        <v>60</v>
      </c>
      <c r="O86" s="51">
        <v>45</v>
      </c>
      <c r="P86" s="51">
        <v>49</v>
      </c>
      <c r="Q86" s="51">
        <v>47</v>
      </c>
      <c r="R86" s="51">
        <v>25</v>
      </c>
      <c r="S86" s="51">
        <v>3</v>
      </c>
      <c r="T86" s="51">
        <v>7</v>
      </c>
      <c r="U86" s="51">
        <v>63</v>
      </c>
      <c r="V86" s="51">
        <v>55</v>
      </c>
      <c r="W86" s="51">
        <v>40</v>
      </c>
      <c r="X86" s="51">
        <v>23</v>
      </c>
      <c r="Y86" s="51">
        <v>27</v>
      </c>
      <c r="Z86" s="51">
        <v>7</v>
      </c>
      <c r="AA86" s="51"/>
      <c r="AB86" s="51">
        <v>59</v>
      </c>
      <c r="AC86" s="51">
        <v>31</v>
      </c>
      <c r="AD86" s="51">
        <v>22</v>
      </c>
      <c r="AE86" s="51">
        <v>25</v>
      </c>
      <c r="AF86" s="220">
        <v>18</v>
      </c>
      <c r="AG86" s="52">
        <f t="shared" si="2"/>
        <v>765</v>
      </c>
      <c r="AI86" s="363"/>
    </row>
    <row r="87" spans="1:35" ht="15.75" customHeight="1" x14ac:dyDescent="0.25">
      <c r="A87" s="53" t="s">
        <v>49</v>
      </c>
      <c r="B87" s="54">
        <f t="shared" ref="B87:AF87" si="11">SUM(B88:B92)</f>
        <v>8</v>
      </c>
      <c r="C87" s="55">
        <f t="shared" si="11"/>
        <v>13</v>
      </c>
      <c r="D87" s="55">
        <f t="shared" si="11"/>
        <v>23</v>
      </c>
      <c r="E87" s="55">
        <f t="shared" si="11"/>
        <v>6</v>
      </c>
      <c r="F87" s="55">
        <f t="shared" si="11"/>
        <v>7</v>
      </c>
      <c r="G87" s="55">
        <f t="shared" si="11"/>
        <v>37</v>
      </c>
      <c r="H87" s="55">
        <f t="shared" si="11"/>
        <v>31</v>
      </c>
      <c r="I87" s="55">
        <f t="shared" si="11"/>
        <v>10</v>
      </c>
      <c r="J87" s="55">
        <f t="shared" si="11"/>
        <v>35</v>
      </c>
      <c r="K87" s="55">
        <f t="shared" si="11"/>
        <v>18</v>
      </c>
      <c r="L87" s="55">
        <f t="shared" si="11"/>
        <v>4</v>
      </c>
      <c r="M87" s="55">
        <f t="shared" si="11"/>
        <v>19</v>
      </c>
      <c r="N87" s="55">
        <f t="shared" si="11"/>
        <v>88</v>
      </c>
      <c r="O87" s="55">
        <f t="shared" si="11"/>
        <v>61</v>
      </c>
      <c r="P87" s="55">
        <f t="shared" si="11"/>
        <v>62</v>
      </c>
      <c r="Q87" s="55">
        <f t="shared" si="11"/>
        <v>58</v>
      </c>
      <c r="R87" s="55">
        <f t="shared" si="11"/>
        <v>35</v>
      </c>
      <c r="S87" s="55">
        <f t="shared" si="11"/>
        <v>4</v>
      </c>
      <c r="T87" s="55">
        <f t="shared" si="11"/>
        <v>8</v>
      </c>
      <c r="U87" s="55">
        <f t="shared" si="11"/>
        <v>78</v>
      </c>
      <c r="V87" s="55">
        <f t="shared" si="11"/>
        <v>71</v>
      </c>
      <c r="W87" s="55">
        <f t="shared" si="11"/>
        <v>48</v>
      </c>
      <c r="X87" s="55">
        <f t="shared" si="11"/>
        <v>34</v>
      </c>
      <c r="Y87" s="55">
        <f t="shared" si="11"/>
        <v>37</v>
      </c>
      <c r="Z87" s="55">
        <f t="shared" si="11"/>
        <v>8</v>
      </c>
      <c r="AA87" s="55">
        <f t="shared" si="11"/>
        <v>0</v>
      </c>
      <c r="AB87" s="55">
        <f t="shared" si="11"/>
        <v>70</v>
      </c>
      <c r="AC87" s="55">
        <f t="shared" si="11"/>
        <v>34</v>
      </c>
      <c r="AD87" s="55">
        <f t="shared" si="11"/>
        <v>32</v>
      </c>
      <c r="AE87" s="55">
        <f t="shared" si="11"/>
        <v>37</v>
      </c>
      <c r="AF87" s="55">
        <f t="shared" si="11"/>
        <v>20</v>
      </c>
      <c r="AG87" s="56">
        <f t="shared" si="2"/>
        <v>996</v>
      </c>
      <c r="AH87" s="57" t="str">
        <f>IF(AG87&lt;&gt;AG84,"*","")</f>
        <v/>
      </c>
    </row>
    <row r="88" spans="1:35" ht="15.75" customHeight="1" x14ac:dyDescent="0.25">
      <c r="A88" s="58" t="s">
        <v>50</v>
      </c>
      <c r="B88" s="29">
        <v>2</v>
      </c>
      <c r="C88" s="30">
        <v>4</v>
      </c>
      <c r="D88" s="30">
        <v>5</v>
      </c>
      <c r="E88" s="30">
        <v>3</v>
      </c>
      <c r="F88" s="30">
        <v>2</v>
      </c>
      <c r="G88" s="30">
        <v>14</v>
      </c>
      <c r="H88" s="30">
        <v>9</v>
      </c>
      <c r="I88" s="30">
        <v>5</v>
      </c>
      <c r="J88" s="30">
        <v>6</v>
      </c>
      <c r="K88" s="30">
        <v>4</v>
      </c>
      <c r="L88" s="30">
        <v>3</v>
      </c>
      <c r="M88" s="30">
        <v>3</v>
      </c>
      <c r="N88" s="30">
        <v>11</v>
      </c>
      <c r="O88" s="30">
        <v>10</v>
      </c>
      <c r="P88" s="30">
        <v>21</v>
      </c>
      <c r="Q88" s="30">
        <v>16</v>
      </c>
      <c r="R88" s="30">
        <v>6</v>
      </c>
      <c r="S88" s="30">
        <v>3</v>
      </c>
      <c r="T88" s="30">
        <v>4</v>
      </c>
      <c r="U88" s="30">
        <v>21</v>
      </c>
      <c r="V88" s="30">
        <v>15</v>
      </c>
      <c r="W88" s="30">
        <v>11</v>
      </c>
      <c r="X88" s="30">
        <v>4</v>
      </c>
      <c r="Y88" s="30">
        <v>9</v>
      </c>
      <c r="Z88" s="30">
        <v>4</v>
      </c>
      <c r="AA88" s="30"/>
      <c r="AB88" s="30">
        <v>11</v>
      </c>
      <c r="AC88" s="30">
        <v>10</v>
      </c>
      <c r="AD88" s="30">
        <v>8</v>
      </c>
      <c r="AE88" s="30">
        <v>6</v>
      </c>
      <c r="AF88" s="217">
        <v>9</v>
      </c>
      <c r="AG88" s="11">
        <f t="shared" si="2"/>
        <v>239</v>
      </c>
    </row>
    <row r="89" spans="1:35" ht="15.75" customHeight="1" x14ac:dyDescent="0.25">
      <c r="A89" s="59" t="s">
        <v>51</v>
      </c>
      <c r="B89" s="24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16"/>
      <c r="AG89" s="15">
        <f t="shared" si="2"/>
        <v>0</v>
      </c>
    </row>
    <row r="90" spans="1:35" ht="15.75" customHeight="1" x14ac:dyDescent="0.25">
      <c r="A90" s="59" t="s">
        <v>52</v>
      </c>
      <c r="B90" s="24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>
        <v>1</v>
      </c>
      <c r="O90" s="25">
        <v>1</v>
      </c>
      <c r="P90" s="25">
        <v>1</v>
      </c>
      <c r="Q90" s="25"/>
      <c r="R90" s="25"/>
      <c r="S90" s="25"/>
      <c r="T90" s="25"/>
      <c r="U90" s="25"/>
      <c r="V90" s="25"/>
      <c r="W90" s="25">
        <v>1</v>
      </c>
      <c r="X90" s="25">
        <v>1</v>
      </c>
      <c r="Y90" s="25"/>
      <c r="Z90" s="25"/>
      <c r="AA90" s="25"/>
      <c r="AB90" s="25">
        <v>1</v>
      </c>
      <c r="AC90" s="25"/>
      <c r="AD90" s="25"/>
      <c r="AE90" s="25">
        <v>1</v>
      </c>
      <c r="AF90" s="216"/>
      <c r="AG90" s="15">
        <f t="shared" si="2"/>
        <v>7</v>
      </c>
    </row>
    <row r="91" spans="1:35" ht="15.75" customHeight="1" x14ac:dyDescent="0.25">
      <c r="A91" s="59" t="s">
        <v>53</v>
      </c>
      <c r="B91" s="24">
        <v>5</v>
      </c>
      <c r="C91" s="25">
        <v>5</v>
      </c>
      <c r="D91" s="25">
        <v>8</v>
      </c>
      <c r="E91" s="25"/>
      <c r="F91" s="25">
        <v>3</v>
      </c>
      <c r="G91" s="25">
        <v>12</v>
      </c>
      <c r="H91" s="25">
        <v>15</v>
      </c>
      <c r="I91" s="25">
        <v>2</v>
      </c>
      <c r="J91" s="25">
        <v>13</v>
      </c>
      <c r="K91" s="25">
        <v>9</v>
      </c>
      <c r="L91" s="25">
        <v>1</v>
      </c>
      <c r="M91" s="25">
        <v>7</v>
      </c>
      <c r="N91" s="25">
        <v>62</v>
      </c>
      <c r="O91" s="25">
        <v>29</v>
      </c>
      <c r="P91" s="25">
        <v>25</v>
      </c>
      <c r="Q91" s="25">
        <v>32</v>
      </c>
      <c r="R91" s="25">
        <v>24</v>
      </c>
      <c r="S91" s="25">
        <v>1</v>
      </c>
      <c r="T91" s="25">
        <v>3</v>
      </c>
      <c r="U91" s="25">
        <v>38</v>
      </c>
      <c r="V91" s="25">
        <v>31</v>
      </c>
      <c r="W91" s="25">
        <v>22</v>
      </c>
      <c r="X91" s="25">
        <v>20</v>
      </c>
      <c r="Y91" s="25">
        <v>25</v>
      </c>
      <c r="Z91" s="25">
        <v>2</v>
      </c>
      <c r="AA91" s="25"/>
      <c r="AB91" s="25">
        <v>53</v>
      </c>
      <c r="AC91" s="25">
        <v>15</v>
      </c>
      <c r="AD91" s="25">
        <v>21</v>
      </c>
      <c r="AE91" s="25">
        <v>21</v>
      </c>
      <c r="AF91" s="216">
        <v>3</v>
      </c>
      <c r="AG91" s="15">
        <f t="shared" si="2"/>
        <v>507</v>
      </c>
    </row>
    <row r="92" spans="1:35" ht="15.75" customHeight="1" x14ac:dyDescent="0.25">
      <c r="A92" s="59" t="s">
        <v>54</v>
      </c>
      <c r="B92" s="24">
        <v>1</v>
      </c>
      <c r="C92" s="25">
        <v>4</v>
      </c>
      <c r="D92" s="25">
        <v>10</v>
      </c>
      <c r="E92" s="25">
        <v>3</v>
      </c>
      <c r="F92" s="25">
        <v>2</v>
      </c>
      <c r="G92" s="25">
        <v>11</v>
      </c>
      <c r="H92" s="25">
        <v>7</v>
      </c>
      <c r="I92" s="25">
        <v>3</v>
      </c>
      <c r="J92" s="25">
        <v>16</v>
      </c>
      <c r="K92" s="25">
        <v>5</v>
      </c>
      <c r="L92" s="25"/>
      <c r="M92" s="25">
        <v>9</v>
      </c>
      <c r="N92" s="25">
        <v>14</v>
      </c>
      <c r="O92" s="25">
        <v>21</v>
      </c>
      <c r="P92" s="25">
        <v>15</v>
      </c>
      <c r="Q92" s="25">
        <v>10</v>
      </c>
      <c r="R92" s="25">
        <v>5</v>
      </c>
      <c r="S92" s="25"/>
      <c r="T92" s="25">
        <v>1</v>
      </c>
      <c r="U92" s="25">
        <v>19</v>
      </c>
      <c r="V92" s="25">
        <v>25</v>
      </c>
      <c r="W92" s="25">
        <v>14</v>
      </c>
      <c r="X92" s="25">
        <v>9</v>
      </c>
      <c r="Y92" s="25">
        <v>3</v>
      </c>
      <c r="Z92" s="25">
        <v>2</v>
      </c>
      <c r="AA92" s="25"/>
      <c r="AB92" s="25">
        <v>5</v>
      </c>
      <c r="AC92" s="25">
        <v>9</v>
      </c>
      <c r="AD92" s="25">
        <v>3</v>
      </c>
      <c r="AE92" s="25">
        <v>9</v>
      </c>
      <c r="AF92" s="216">
        <v>8</v>
      </c>
      <c r="AG92" s="15">
        <f t="shared" si="2"/>
        <v>243</v>
      </c>
    </row>
    <row r="93" spans="1:35" ht="15.75" customHeight="1" x14ac:dyDescent="0.25">
      <c r="A93" s="60" t="s">
        <v>55</v>
      </c>
      <c r="B93" s="61">
        <f t="shared" ref="B93:AF93" si="12">+B94+B100</f>
        <v>195</v>
      </c>
      <c r="C93" s="62">
        <f t="shared" si="12"/>
        <v>178</v>
      </c>
      <c r="D93" s="62">
        <f t="shared" si="12"/>
        <v>203</v>
      </c>
      <c r="E93" s="62">
        <f t="shared" si="12"/>
        <v>214</v>
      </c>
      <c r="F93" s="62">
        <f t="shared" si="12"/>
        <v>197</v>
      </c>
      <c r="G93" s="62">
        <f t="shared" si="12"/>
        <v>208</v>
      </c>
      <c r="H93" s="62">
        <f t="shared" si="12"/>
        <v>202</v>
      </c>
      <c r="I93" s="62">
        <f t="shared" si="12"/>
        <v>215</v>
      </c>
      <c r="J93" s="62">
        <f t="shared" si="12"/>
        <v>206</v>
      </c>
      <c r="K93" s="62">
        <f t="shared" si="12"/>
        <v>205</v>
      </c>
      <c r="L93" s="62">
        <f t="shared" si="12"/>
        <v>208</v>
      </c>
      <c r="M93" s="62">
        <f t="shared" si="12"/>
        <v>257</v>
      </c>
      <c r="N93" s="62">
        <f t="shared" si="12"/>
        <v>263</v>
      </c>
      <c r="O93" s="62">
        <f t="shared" si="12"/>
        <v>248</v>
      </c>
      <c r="P93" s="62">
        <f t="shared" si="12"/>
        <v>289</v>
      </c>
      <c r="Q93" s="62">
        <f t="shared" si="12"/>
        <v>274</v>
      </c>
      <c r="R93" s="62">
        <f t="shared" si="12"/>
        <v>220</v>
      </c>
      <c r="S93" s="62">
        <f t="shared" si="12"/>
        <v>222</v>
      </c>
      <c r="T93" s="62">
        <f t="shared" si="12"/>
        <v>236</v>
      </c>
      <c r="U93" s="62">
        <f t="shared" si="12"/>
        <v>270</v>
      </c>
      <c r="V93" s="62">
        <f t="shared" si="12"/>
        <v>266</v>
      </c>
      <c r="W93" s="62">
        <f t="shared" si="12"/>
        <v>238</v>
      </c>
      <c r="X93" s="62">
        <f t="shared" si="12"/>
        <v>242</v>
      </c>
      <c r="Y93" s="62">
        <f t="shared" si="12"/>
        <v>201</v>
      </c>
      <c r="Z93" s="62">
        <f t="shared" si="12"/>
        <v>266</v>
      </c>
      <c r="AA93" s="62">
        <f t="shared" si="12"/>
        <v>253</v>
      </c>
      <c r="AB93" s="62">
        <f t="shared" si="12"/>
        <v>224</v>
      </c>
      <c r="AC93" s="62">
        <f t="shared" si="12"/>
        <v>246</v>
      </c>
      <c r="AD93" s="62">
        <f t="shared" si="12"/>
        <v>210</v>
      </c>
      <c r="AE93" s="62">
        <f t="shared" si="12"/>
        <v>209</v>
      </c>
      <c r="AF93" s="221">
        <f t="shared" si="12"/>
        <v>225</v>
      </c>
      <c r="AG93" s="22">
        <f t="shared" si="2"/>
        <v>7090</v>
      </c>
      <c r="AH93" s="63" t="str">
        <f>IF(AG93&lt;&gt;AG28,"*","")</f>
        <v/>
      </c>
    </row>
    <row r="94" spans="1:35" ht="15.75" customHeight="1" x14ac:dyDescent="0.25">
      <c r="A94" s="64" t="s">
        <v>56</v>
      </c>
      <c r="B94" s="65">
        <f t="shared" ref="B94:AF94" si="13">SUM(B95:B99)</f>
        <v>18</v>
      </c>
      <c r="C94" s="66">
        <f t="shared" si="13"/>
        <v>20</v>
      </c>
      <c r="D94" s="66">
        <f t="shared" si="13"/>
        <v>19</v>
      </c>
      <c r="E94" s="66">
        <f t="shared" si="13"/>
        <v>26</v>
      </c>
      <c r="F94" s="66">
        <f t="shared" si="13"/>
        <v>26</v>
      </c>
      <c r="G94" s="66">
        <f t="shared" si="13"/>
        <v>23</v>
      </c>
      <c r="H94" s="66">
        <f t="shared" si="13"/>
        <v>27</v>
      </c>
      <c r="I94" s="66">
        <f t="shared" si="13"/>
        <v>24</v>
      </c>
      <c r="J94" s="66">
        <f t="shared" si="13"/>
        <v>40</v>
      </c>
      <c r="K94" s="66">
        <f t="shared" si="13"/>
        <v>42</v>
      </c>
      <c r="L94" s="66">
        <f t="shared" si="13"/>
        <v>53</v>
      </c>
      <c r="M94" s="66">
        <f t="shared" si="13"/>
        <v>65</v>
      </c>
      <c r="N94" s="66">
        <f t="shared" si="13"/>
        <v>81</v>
      </c>
      <c r="O94" s="66">
        <f t="shared" si="13"/>
        <v>54</v>
      </c>
      <c r="P94" s="66">
        <f t="shared" si="13"/>
        <v>73</v>
      </c>
      <c r="Q94" s="66">
        <f t="shared" si="13"/>
        <v>74</v>
      </c>
      <c r="R94" s="66">
        <f t="shared" si="13"/>
        <v>43</v>
      </c>
      <c r="S94" s="66">
        <f t="shared" si="13"/>
        <v>48</v>
      </c>
      <c r="T94" s="66">
        <f t="shared" si="13"/>
        <v>55</v>
      </c>
      <c r="U94" s="66">
        <f t="shared" si="13"/>
        <v>48</v>
      </c>
      <c r="V94" s="66">
        <f t="shared" si="13"/>
        <v>58</v>
      </c>
      <c r="W94" s="66">
        <f t="shared" si="13"/>
        <v>40</v>
      </c>
      <c r="X94" s="66">
        <f t="shared" si="13"/>
        <v>44</v>
      </c>
      <c r="Y94" s="66">
        <f t="shared" si="13"/>
        <v>39</v>
      </c>
      <c r="Z94" s="66">
        <f t="shared" si="13"/>
        <v>50</v>
      </c>
      <c r="AA94" s="66">
        <f t="shared" si="13"/>
        <v>55</v>
      </c>
      <c r="AB94" s="66">
        <f t="shared" si="13"/>
        <v>51</v>
      </c>
      <c r="AC94" s="66">
        <f t="shared" si="13"/>
        <v>48</v>
      </c>
      <c r="AD94" s="66">
        <f t="shared" si="13"/>
        <v>49</v>
      </c>
      <c r="AE94" s="66">
        <f t="shared" si="13"/>
        <v>51</v>
      </c>
      <c r="AF94" s="222">
        <f t="shared" si="13"/>
        <v>61</v>
      </c>
      <c r="AG94" s="15">
        <f t="shared" si="2"/>
        <v>1405</v>
      </c>
    </row>
    <row r="95" spans="1:35" ht="15.75" customHeight="1" x14ac:dyDescent="0.25">
      <c r="A95" s="67" t="s">
        <v>57</v>
      </c>
      <c r="B95" s="13">
        <v>1</v>
      </c>
      <c r="C95" s="14"/>
      <c r="D95" s="14"/>
      <c r="E95" s="14"/>
      <c r="F95" s="14">
        <v>1</v>
      </c>
      <c r="G95" s="14"/>
      <c r="H95" s="14">
        <v>1</v>
      </c>
      <c r="I95" s="14">
        <v>0</v>
      </c>
      <c r="J95" s="14"/>
      <c r="K95" s="14"/>
      <c r="L95" s="14">
        <v>1</v>
      </c>
      <c r="M95" s="14">
        <v>2</v>
      </c>
      <c r="N95" s="14">
        <v>1</v>
      </c>
      <c r="O95" s="14">
        <v>0</v>
      </c>
      <c r="P95" s="14">
        <v>1</v>
      </c>
      <c r="Q95" s="14">
        <v>1</v>
      </c>
      <c r="R95" s="14">
        <v>1</v>
      </c>
      <c r="S95" s="14"/>
      <c r="T95" s="14">
        <v>4</v>
      </c>
      <c r="U95" s="14"/>
      <c r="V95" s="14"/>
      <c r="W95" s="14"/>
      <c r="X95" s="14">
        <v>1</v>
      </c>
      <c r="Y95" s="14">
        <v>1</v>
      </c>
      <c r="Z95" s="14"/>
      <c r="AA95" s="14">
        <v>1</v>
      </c>
      <c r="AB95" s="14">
        <v>3</v>
      </c>
      <c r="AC95" s="14">
        <v>1</v>
      </c>
      <c r="AD95" s="14">
        <v>1</v>
      </c>
      <c r="AE95" s="14"/>
      <c r="AF95" s="214">
        <v>1</v>
      </c>
      <c r="AG95" s="15">
        <f t="shared" si="2"/>
        <v>23</v>
      </c>
    </row>
    <row r="96" spans="1:35" ht="15.75" customHeight="1" x14ac:dyDescent="0.25">
      <c r="A96" s="68" t="s">
        <v>58</v>
      </c>
      <c r="B96" s="13"/>
      <c r="C96" s="14">
        <v>2</v>
      </c>
      <c r="D96" s="14"/>
      <c r="E96" s="14">
        <v>2</v>
      </c>
      <c r="F96" s="14"/>
      <c r="G96" s="14">
        <v>1</v>
      </c>
      <c r="H96" s="14"/>
      <c r="I96" s="14">
        <v>1</v>
      </c>
      <c r="J96" s="14"/>
      <c r="K96" s="14">
        <v>3</v>
      </c>
      <c r="L96" s="14">
        <v>4</v>
      </c>
      <c r="M96" s="14">
        <v>5</v>
      </c>
      <c r="N96" s="14">
        <v>2</v>
      </c>
      <c r="O96" s="14">
        <v>1</v>
      </c>
      <c r="P96" s="14">
        <v>2</v>
      </c>
      <c r="Q96" s="14">
        <v>4</v>
      </c>
      <c r="R96" s="14">
        <v>1</v>
      </c>
      <c r="S96" s="223"/>
      <c r="T96" s="14">
        <v>3</v>
      </c>
      <c r="U96" s="14">
        <v>1</v>
      </c>
      <c r="V96" s="14">
        <v>2</v>
      </c>
      <c r="W96" s="14">
        <v>0</v>
      </c>
      <c r="X96" s="14"/>
      <c r="Y96" s="14">
        <v>1</v>
      </c>
      <c r="Z96" s="14">
        <v>3</v>
      </c>
      <c r="AA96" s="14">
        <v>7</v>
      </c>
      <c r="AB96" s="14">
        <v>1</v>
      </c>
      <c r="AC96" s="14">
        <v>4</v>
      </c>
      <c r="AD96" s="14">
        <v>3</v>
      </c>
      <c r="AE96" s="14">
        <v>1</v>
      </c>
      <c r="AF96" s="214">
        <v>6</v>
      </c>
      <c r="AG96" s="15">
        <f t="shared" si="2"/>
        <v>60</v>
      </c>
    </row>
    <row r="97" spans="1:33" ht="15.75" customHeight="1" x14ac:dyDescent="0.25">
      <c r="A97" s="69" t="s">
        <v>59</v>
      </c>
      <c r="B97" s="13">
        <v>2</v>
      </c>
      <c r="C97" s="14">
        <v>6</v>
      </c>
      <c r="D97" s="14">
        <v>4</v>
      </c>
      <c r="E97" s="14">
        <v>4</v>
      </c>
      <c r="F97" s="14">
        <v>4</v>
      </c>
      <c r="G97" s="14">
        <v>3</v>
      </c>
      <c r="H97" s="14">
        <v>2</v>
      </c>
      <c r="I97" s="14">
        <v>4</v>
      </c>
      <c r="J97" s="14">
        <v>10</v>
      </c>
      <c r="K97" s="14">
        <v>11</v>
      </c>
      <c r="L97" s="14">
        <v>13</v>
      </c>
      <c r="M97" s="14">
        <v>11</v>
      </c>
      <c r="N97" s="14">
        <v>10</v>
      </c>
      <c r="O97" s="14">
        <v>7</v>
      </c>
      <c r="P97" s="14">
        <v>13</v>
      </c>
      <c r="Q97" s="14">
        <v>11</v>
      </c>
      <c r="R97" s="14">
        <v>15</v>
      </c>
      <c r="S97" s="14">
        <v>12</v>
      </c>
      <c r="T97" s="14">
        <v>13</v>
      </c>
      <c r="U97" s="14">
        <v>11</v>
      </c>
      <c r="V97" s="14">
        <v>9</v>
      </c>
      <c r="W97" s="14">
        <v>8</v>
      </c>
      <c r="X97" s="14">
        <v>7</v>
      </c>
      <c r="Y97" s="14">
        <v>10</v>
      </c>
      <c r="Z97" s="14">
        <v>14</v>
      </c>
      <c r="AA97" s="14">
        <v>11</v>
      </c>
      <c r="AB97" s="14">
        <v>8</v>
      </c>
      <c r="AC97" s="14">
        <v>6</v>
      </c>
      <c r="AD97" s="14">
        <v>8</v>
      </c>
      <c r="AE97" s="14">
        <v>11</v>
      </c>
      <c r="AF97" s="214">
        <v>17</v>
      </c>
      <c r="AG97" s="15">
        <f t="shared" si="2"/>
        <v>275</v>
      </c>
    </row>
    <row r="98" spans="1:33" ht="15.75" customHeight="1" x14ac:dyDescent="0.25">
      <c r="A98" s="70" t="s">
        <v>60</v>
      </c>
      <c r="B98" s="13">
        <v>8</v>
      </c>
      <c r="C98" s="14">
        <v>6</v>
      </c>
      <c r="D98" s="14">
        <v>8</v>
      </c>
      <c r="E98" s="14">
        <v>10</v>
      </c>
      <c r="F98" s="14">
        <v>13</v>
      </c>
      <c r="G98" s="14">
        <v>7</v>
      </c>
      <c r="H98" s="14">
        <v>9</v>
      </c>
      <c r="I98" s="14">
        <v>8</v>
      </c>
      <c r="J98" s="14">
        <v>18</v>
      </c>
      <c r="K98" s="14">
        <v>16</v>
      </c>
      <c r="L98" s="14">
        <v>16</v>
      </c>
      <c r="M98" s="14">
        <v>28</v>
      </c>
      <c r="N98" s="14">
        <v>33</v>
      </c>
      <c r="O98" s="14">
        <v>15</v>
      </c>
      <c r="P98" s="14">
        <v>30</v>
      </c>
      <c r="Q98" s="14">
        <v>25</v>
      </c>
      <c r="R98" s="14">
        <v>13</v>
      </c>
      <c r="S98" s="14">
        <v>21</v>
      </c>
      <c r="T98" s="14">
        <v>20</v>
      </c>
      <c r="U98" s="14">
        <v>15</v>
      </c>
      <c r="V98" s="14">
        <v>27</v>
      </c>
      <c r="W98" s="14">
        <v>20</v>
      </c>
      <c r="X98" s="14">
        <v>20</v>
      </c>
      <c r="Y98" s="14">
        <v>11</v>
      </c>
      <c r="Z98" s="14">
        <v>19</v>
      </c>
      <c r="AA98" s="14">
        <v>17</v>
      </c>
      <c r="AB98" s="14">
        <v>21</v>
      </c>
      <c r="AC98" s="14">
        <v>15</v>
      </c>
      <c r="AD98" s="14">
        <v>14</v>
      </c>
      <c r="AE98" s="14">
        <v>20</v>
      </c>
      <c r="AF98" s="214">
        <v>24</v>
      </c>
      <c r="AG98" s="15">
        <f t="shared" si="2"/>
        <v>527</v>
      </c>
    </row>
    <row r="99" spans="1:33" ht="15.75" customHeight="1" x14ac:dyDescent="0.25">
      <c r="A99" s="71" t="s">
        <v>61</v>
      </c>
      <c r="B99" s="13">
        <v>7</v>
      </c>
      <c r="C99" s="14">
        <v>6</v>
      </c>
      <c r="D99" s="14">
        <v>7</v>
      </c>
      <c r="E99" s="14">
        <v>10</v>
      </c>
      <c r="F99" s="14">
        <v>8</v>
      </c>
      <c r="G99" s="14">
        <v>12</v>
      </c>
      <c r="H99" s="14">
        <v>15</v>
      </c>
      <c r="I99" s="14">
        <v>11</v>
      </c>
      <c r="J99" s="14">
        <v>12</v>
      </c>
      <c r="K99" s="14">
        <v>12</v>
      </c>
      <c r="L99" s="14">
        <v>19</v>
      </c>
      <c r="M99" s="14">
        <v>19</v>
      </c>
      <c r="N99" s="14">
        <v>35</v>
      </c>
      <c r="O99" s="14">
        <v>31</v>
      </c>
      <c r="P99" s="14">
        <v>27</v>
      </c>
      <c r="Q99" s="14">
        <v>33</v>
      </c>
      <c r="R99" s="14">
        <v>13</v>
      </c>
      <c r="S99" s="14">
        <v>15</v>
      </c>
      <c r="T99" s="14">
        <v>15</v>
      </c>
      <c r="U99" s="14">
        <v>21</v>
      </c>
      <c r="V99" s="14">
        <v>20</v>
      </c>
      <c r="W99" s="14">
        <v>12</v>
      </c>
      <c r="X99" s="14">
        <v>16</v>
      </c>
      <c r="Y99" s="14">
        <v>16</v>
      </c>
      <c r="Z99" s="14">
        <v>14</v>
      </c>
      <c r="AA99" s="14">
        <v>19</v>
      </c>
      <c r="AB99" s="14">
        <v>18</v>
      </c>
      <c r="AC99" s="14">
        <v>22</v>
      </c>
      <c r="AD99" s="14">
        <v>23</v>
      </c>
      <c r="AE99" s="14">
        <v>19</v>
      </c>
      <c r="AF99" s="214">
        <v>13</v>
      </c>
      <c r="AG99" s="15">
        <f t="shared" si="2"/>
        <v>520</v>
      </c>
    </row>
    <row r="100" spans="1:33" ht="15.75" customHeight="1" x14ac:dyDescent="0.25">
      <c r="A100" s="64" t="s">
        <v>62</v>
      </c>
      <c r="B100" s="65">
        <f t="shared" ref="B100:AF100" si="14">SUM(B101:B115)</f>
        <v>177</v>
      </c>
      <c r="C100" s="66">
        <f t="shared" si="14"/>
        <v>158</v>
      </c>
      <c r="D100" s="66">
        <f t="shared" si="14"/>
        <v>184</v>
      </c>
      <c r="E100" s="66">
        <f t="shared" si="14"/>
        <v>188</v>
      </c>
      <c r="F100" s="66">
        <f t="shared" si="14"/>
        <v>171</v>
      </c>
      <c r="G100" s="66">
        <f t="shared" si="14"/>
        <v>185</v>
      </c>
      <c r="H100" s="66">
        <f t="shared" si="14"/>
        <v>175</v>
      </c>
      <c r="I100" s="66">
        <f t="shared" si="14"/>
        <v>191</v>
      </c>
      <c r="J100" s="66">
        <f t="shared" si="14"/>
        <v>166</v>
      </c>
      <c r="K100" s="66">
        <f t="shared" si="14"/>
        <v>163</v>
      </c>
      <c r="L100" s="66">
        <f t="shared" si="14"/>
        <v>155</v>
      </c>
      <c r="M100" s="66">
        <f t="shared" si="14"/>
        <v>192</v>
      </c>
      <c r="N100" s="66">
        <f t="shared" si="14"/>
        <v>182</v>
      </c>
      <c r="O100" s="66">
        <f t="shared" si="14"/>
        <v>194</v>
      </c>
      <c r="P100" s="66">
        <f t="shared" si="14"/>
        <v>216</v>
      </c>
      <c r="Q100" s="66">
        <f t="shared" si="14"/>
        <v>200</v>
      </c>
      <c r="R100" s="66">
        <f t="shared" si="14"/>
        <v>177</v>
      </c>
      <c r="S100" s="66">
        <f t="shared" si="14"/>
        <v>174</v>
      </c>
      <c r="T100" s="66">
        <f t="shared" si="14"/>
        <v>181</v>
      </c>
      <c r="U100" s="66">
        <f t="shared" si="14"/>
        <v>222</v>
      </c>
      <c r="V100" s="66">
        <f t="shared" si="14"/>
        <v>208</v>
      </c>
      <c r="W100" s="66">
        <f t="shared" si="14"/>
        <v>198</v>
      </c>
      <c r="X100" s="66">
        <f t="shared" si="14"/>
        <v>198</v>
      </c>
      <c r="Y100" s="66">
        <f t="shared" si="14"/>
        <v>162</v>
      </c>
      <c r="Z100" s="66">
        <f t="shared" si="14"/>
        <v>216</v>
      </c>
      <c r="AA100" s="66">
        <f t="shared" si="14"/>
        <v>198</v>
      </c>
      <c r="AB100" s="66">
        <f t="shared" si="14"/>
        <v>173</v>
      </c>
      <c r="AC100" s="66">
        <f t="shared" si="14"/>
        <v>198</v>
      </c>
      <c r="AD100" s="66">
        <f t="shared" si="14"/>
        <v>161</v>
      </c>
      <c r="AE100" s="66">
        <f t="shared" si="14"/>
        <v>158</v>
      </c>
      <c r="AF100" s="222">
        <f t="shared" si="14"/>
        <v>164</v>
      </c>
      <c r="AG100" s="15">
        <f t="shared" si="2"/>
        <v>5685</v>
      </c>
    </row>
    <row r="101" spans="1:33" ht="15.75" customHeight="1" x14ac:dyDescent="0.25">
      <c r="A101" s="71" t="s">
        <v>63</v>
      </c>
      <c r="B101" s="13">
        <v>6</v>
      </c>
      <c r="C101" s="14">
        <v>8</v>
      </c>
      <c r="D101" s="14">
        <v>12</v>
      </c>
      <c r="E101" s="14">
        <v>7</v>
      </c>
      <c r="F101" s="14">
        <v>6</v>
      </c>
      <c r="G101" s="14">
        <v>14</v>
      </c>
      <c r="H101" s="14">
        <v>13</v>
      </c>
      <c r="I101" s="14">
        <v>21</v>
      </c>
      <c r="J101" s="14">
        <v>20</v>
      </c>
      <c r="K101" s="14">
        <v>9</v>
      </c>
      <c r="L101" s="14">
        <v>8</v>
      </c>
      <c r="M101" s="14">
        <v>15</v>
      </c>
      <c r="N101" s="14">
        <v>22</v>
      </c>
      <c r="O101" s="14">
        <v>24</v>
      </c>
      <c r="P101" s="14">
        <v>25</v>
      </c>
      <c r="Q101" s="14">
        <v>28</v>
      </c>
      <c r="R101" s="14">
        <v>17</v>
      </c>
      <c r="S101" s="14">
        <v>15</v>
      </c>
      <c r="T101" s="14">
        <v>13</v>
      </c>
      <c r="U101" s="14">
        <v>31</v>
      </c>
      <c r="V101" s="14">
        <v>31</v>
      </c>
      <c r="W101" s="14">
        <v>16</v>
      </c>
      <c r="X101" s="14">
        <v>31</v>
      </c>
      <c r="Y101" s="14">
        <v>12</v>
      </c>
      <c r="Z101" s="14">
        <v>25</v>
      </c>
      <c r="AA101" s="14">
        <v>16</v>
      </c>
      <c r="AB101" s="14">
        <v>13</v>
      </c>
      <c r="AC101" s="14">
        <v>13</v>
      </c>
      <c r="AD101" s="14">
        <v>16</v>
      </c>
      <c r="AE101" s="14">
        <v>12</v>
      </c>
      <c r="AF101" s="214">
        <v>14</v>
      </c>
      <c r="AG101" s="15">
        <f t="shared" si="2"/>
        <v>513</v>
      </c>
    </row>
    <row r="102" spans="1:33" ht="15.75" customHeight="1" x14ac:dyDescent="0.25">
      <c r="A102" s="71" t="s">
        <v>64</v>
      </c>
      <c r="B102" s="13">
        <v>16</v>
      </c>
      <c r="C102" s="14">
        <v>8</v>
      </c>
      <c r="D102" s="14">
        <v>19</v>
      </c>
      <c r="E102" s="14">
        <v>20</v>
      </c>
      <c r="F102" s="14">
        <v>11</v>
      </c>
      <c r="G102" s="14">
        <v>15</v>
      </c>
      <c r="H102" s="14">
        <v>11</v>
      </c>
      <c r="I102" s="14">
        <v>15</v>
      </c>
      <c r="J102" s="14">
        <v>16</v>
      </c>
      <c r="K102" s="14">
        <v>18</v>
      </c>
      <c r="L102" s="14">
        <v>13</v>
      </c>
      <c r="M102" s="14">
        <v>16</v>
      </c>
      <c r="N102" s="14">
        <v>14</v>
      </c>
      <c r="O102" s="14">
        <v>14</v>
      </c>
      <c r="P102" s="14">
        <v>15</v>
      </c>
      <c r="Q102" s="14">
        <v>14</v>
      </c>
      <c r="R102" s="14">
        <v>21</v>
      </c>
      <c r="S102" s="14">
        <v>16</v>
      </c>
      <c r="T102" s="14">
        <v>9</v>
      </c>
      <c r="U102" s="14">
        <v>24</v>
      </c>
      <c r="V102" s="14">
        <v>23</v>
      </c>
      <c r="W102" s="14">
        <v>19</v>
      </c>
      <c r="X102" s="14">
        <v>9</v>
      </c>
      <c r="Y102" s="14">
        <v>12</v>
      </c>
      <c r="Z102" s="14">
        <v>20</v>
      </c>
      <c r="AA102" s="14">
        <v>21</v>
      </c>
      <c r="AB102" s="14">
        <v>17</v>
      </c>
      <c r="AC102" s="14">
        <v>23</v>
      </c>
      <c r="AD102" s="14">
        <v>12</v>
      </c>
      <c r="AE102" s="14">
        <v>15</v>
      </c>
      <c r="AF102" s="214">
        <v>12</v>
      </c>
      <c r="AG102" s="15">
        <f t="shared" si="2"/>
        <v>488</v>
      </c>
    </row>
    <row r="103" spans="1:33" ht="15.75" customHeight="1" x14ac:dyDescent="0.25">
      <c r="A103" s="67" t="s">
        <v>65</v>
      </c>
      <c r="B103" s="13">
        <v>16</v>
      </c>
      <c r="C103" s="14">
        <v>13</v>
      </c>
      <c r="D103" s="14">
        <v>19</v>
      </c>
      <c r="E103" s="14">
        <v>20</v>
      </c>
      <c r="F103" s="14">
        <v>15</v>
      </c>
      <c r="G103" s="14">
        <v>15</v>
      </c>
      <c r="H103" s="14">
        <v>18</v>
      </c>
      <c r="I103" s="14">
        <v>12</v>
      </c>
      <c r="J103" s="14">
        <v>10</v>
      </c>
      <c r="K103" s="14">
        <v>8</v>
      </c>
      <c r="L103" s="14">
        <v>11</v>
      </c>
      <c r="M103" s="14">
        <v>27</v>
      </c>
      <c r="N103" s="14">
        <v>13</v>
      </c>
      <c r="O103" s="14">
        <v>23</v>
      </c>
      <c r="P103" s="14">
        <v>17</v>
      </c>
      <c r="Q103" s="14">
        <v>9</v>
      </c>
      <c r="R103" s="14">
        <v>9</v>
      </c>
      <c r="S103" s="14">
        <v>15</v>
      </c>
      <c r="T103" s="14">
        <v>20</v>
      </c>
      <c r="U103" s="14">
        <v>23</v>
      </c>
      <c r="V103" s="14">
        <v>15</v>
      </c>
      <c r="W103" s="14">
        <v>22</v>
      </c>
      <c r="X103" s="14">
        <v>17</v>
      </c>
      <c r="Y103" s="14">
        <v>15</v>
      </c>
      <c r="Z103" s="14">
        <v>18</v>
      </c>
      <c r="AA103" s="14">
        <v>18</v>
      </c>
      <c r="AB103" s="14">
        <v>15</v>
      </c>
      <c r="AC103" s="14">
        <v>12</v>
      </c>
      <c r="AD103" s="14">
        <v>15</v>
      </c>
      <c r="AE103" s="14">
        <v>11</v>
      </c>
      <c r="AF103" s="214">
        <v>18</v>
      </c>
      <c r="AG103" s="15">
        <f t="shared" si="2"/>
        <v>489</v>
      </c>
    </row>
    <row r="104" spans="1:33" ht="15.75" customHeight="1" x14ac:dyDescent="0.25">
      <c r="A104" s="67" t="s">
        <v>66</v>
      </c>
      <c r="B104" s="13">
        <v>13</v>
      </c>
      <c r="C104" s="14">
        <v>17</v>
      </c>
      <c r="D104" s="14">
        <v>12</v>
      </c>
      <c r="E104" s="14">
        <v>14</v>
      </c>
      <c r="F104" s="14">
        <v>16</v>
      </c>
      <c r="G104" s="14">
        <v>25</v>
      </c>
      <c r="H104" s="14">
        <v>13</v>
      </c>
      <c r="I104" s="14">
        <v>20</v>
      </c>
      <c r="J104" s="14">
        <v>17</v>
      </c>
      <c r="K104" s="14">
        <v>17</v>
      </c>
      <c r="L104" s="14">
        <v>18</v>
      </c>
      <c r="M104" s="14">
        <v>24</v>
      </c>
      <c r="N104" s="14">
        <v>20</v>
      </c>
      <c r="O104" s="14">
        <v>9</v>
      </c>
      <c r="P104" s="14">
        <v>17</v>
      </c>
      <c r="Q104" s="14">
        <v>23</v>
      </c>
      <c r="R104" s="14">
        <v>22</v>
      </c>
      <c r="S104" s="14">
        <v>19</v>
      </c>
      <c r="T104" s="14">
        <v>15</v>
      </c>
      <c r="U104" s="14">
        <v>22</v>
      </c>
      <c r="V104" s="14">
        <v>22</v>
      </c>
      <c r="W104" s="14">
        <v>17</v>
      </c>
      <c r="X104" s="14">
        <v>13</v>
      </c>
      <c r="Y104" s="14">
        <v>11</v>
      </c>
      <c r="Z104" s="14">
        <v>23</v>
      </c>
      <c r="AA104" s="14">
        <v>19</v>
      </c>
      <c r="AB104" s="14">
        <v>14</v>
      </c>
      <c r="AC104" s="14">
        <v>15</v>
      </c>
      <c r="AD104" s="14">
        <v>14</v>
      </c>
      <c r="AE104" s="14">
        <v>19</v>
      </c>
      <c r="AF104" s="214">
        <v>10</v>
      </c>
      <c r="AG104" s="15">
        <f t="shared" si="2"/>
        <v>530</v>
      </c>
    </row>
    <row r="105" spans="1:33" ht="15.75" customHeight="1" x14ac:dyDescent="0.25">
      <c r="A105" s="67" t="s">
        <v>67</v>
      </c>
      <c r="B105" s="13">
        <v>18</v>
      </c>
      <c r="C105" s="14">
        <v>9</v>
      </c>
      <c r="D105" s="14">
        <v>14</v>
      </c>
      <c r="E105" s="14">
        <v>12</v>
      </c>
      <c r="F105" s="14">
        <v>19</v>
      </c>
      <c r="G105" s="14">
        <v>17</v>
      </c>
      <c r="H105" s="14">
        <v>11</v>
      </c>
      <c r="I105" s="14">
        <v>15</v>
      </c>
      <c r="J105" s="14">
        <v>9</v>
      </c>
      <c r="K105" s="14">
        <v>9</v>
      </c>
      <c r="L105" s="14">
        <v>13</v>
      </c>
      <c r="M105" s="14">
        <v>19</v>
      </c>
      <c r="N105" s="14">
        <v>16</v>
      </c>
      <c r="O105" s="14">
        <v>21</v>
      </c>
      <c r="P105" s="14">
        <v>19</v>
      </c>
      <c r="Q105" s="14">
        <v>14</v>
      </c>
      <c r="R105" s="14">
        <v>9</v>
      </c>
      <c r="S105" s="14">
        <v>9</v>
      </c>
      <c r="T105" s="14">
        <v>13</v>
      </c>
      <c r="U105" s="14">
        <v>9</v>
      </c>
      <c r="V105" s="14">
        <v>16</v>
      </c>
      <c r="W105" s="14">
        <v>18</v>
      </c>
      <c r="X105" s="14">
        <v>8</v>
      </c>
      <c r="Y105" s="14">
        <v>17</v>
      </c>
      <c r="Z105" s="14">
        <v>15</v>
      </c>
      <c r="AA105" s="14">
        <v>17</v>
      </c>
      <c r="AB105" s="14">
        <v>14</v>
      </c>
      <c r="AC105" s="14">
        <v>10</v>
      </c>
      <c r="AD105" s="14">
        <v>11</v>
      </c>
      <c r="AE105" s="14">
        <v>7</v>
      </c>
      <c r="AF105" s="214">
        <v>13</v>
      </c>
      <c r="AG105" s="15">
        <f t="shared" si="2"/>
        <v>421</v>
      </c>
    </row>
    <row r="106" spans="1:33" ht="15.75" customHeight="1" x14ac:dyDescent="0.25">
      <c r="A106" s="67" t="s">
        <v>68</v>
      </c>
      <c r="B106" s="13">
        <v>10</v>
      </c>
      <c r="C106" s="14">
        <v>7</v>
      </c>
      <c r="D106" s="14">
        <v>12</v>
      </c>
      <c r="E106" s="14">
        <v>16</v>
      </c>
      <c r="F106" s="14">
        <v>15</v>
      </c>
      <c r="G106" s="14">
        <v>13</v>
      </c>
      <c r="H106" s="14">
        <v>13</v>
      </c>
      <c r="I106" s="14">
        <v>10</v>
      </c>
      <c r="J106" s="14">
        <v>12</v>
      </c>
      <c r="K106" s="14">
        <v>13</v>
      </c>
      <c r="L106" s="14">
        <v>13</v>
      </c>
      <c r="M106" s="14">
        <v>12</v>
      </c>
      <c r="N106" s="14">
        <v>17</v>
      </c>
      <c r="O106" s="14">
        <v>12</v>
      </c>
      <c r="P106" s="14">
        <v>22</v>
      </c>
      <c r="Q106" s="14">
        <v>16</v>
      </c>
      <c r="R106" s="14">
        <v>9</v>
      </c>
      <c r="S106" s="14">
        <v>8</v>
      </c>
      <c r="T106" s="14">
        <v>15</v>
      </c>
      <c r="U106" s="14">
        <v>14</v>
      </c>
      <c r="V106" s="14">
        <v>17</v>
      </c>
      <c r="W106" s="14">
        <v>11</v>
      </c>
      <c r="X106" s="14">
        <v>12</v>
      </c>
      <c r="Y106" s="14">
        <v>17</v>
      </c>
      <c r="Z106" s="14">
        <v>16</v>
      </c>
      <c r="AA106" s="14">
        <v>10</v>
      </c>
      <c r="AB106" s="14">
        <v>13</v>
      </c>
      <c r="AC106" s="14">
        <v>15</v>
      </c>
      <c r="AD106" s="14">
        <v>7</v>
      </c>
      <c r="AE106" s="14">
        <v>14</v>
      </c>
      <c r="AF106" s="214">
        <v>12</v>
      </c>
      <c r="AG106" s="15">
        <f t="shared" si="2"/>
        <v>403</v>
      </c>
    </row>
    <row r="107" spans="1:33" ht="15.75" customHeight="1" x14ac:dyDescent="0.25">
      <c r="A107" s="67" t="s">
        <v>69</v>
      </c>
      <c r="B107" s="13">
        <v>15</v>
      </c>
      <c r="C107" s="14">
        <v>15</v>
      </c>
      <c r="D107" s="14">
        <v>14</v>
      </c>
      <c r="E107" s="14">
        <v>16</v>
      </c>
      <c r="F107" s="14">
        <v>16</v>
      </c>
      <c r="G107" s="14">
        <v>14</v>
      </c>
      <c r="H107" s="14">
        <v>10</v>
      </c>
      <c r="I107" s="14">
        <v>9</v>
      </c>
      <c r="J107" s="14">
        <v>17</v>
      </c>
      <c r="K107" s="14">
        <v>13</v>
      </c>
      <c r="L107" s="14">
        <v>16</v>
      </c>
      <c r="M107" s="14">
        <v>9</v>
      </c>
      <c r="N107" s="14">
        <v>6</v>
      </c>
      <c r="O107" s="14">
        <v>14</v>
      </c>
      <c r="P107" s="14">
        <v>22</v>
      </c>
      <c r="Q107" s="14">
        <v>12</v>
      </c>
      <c r="R107" s="14">
        <v>16</v>
      </c>
      <c r="S107" s="14">
        <v>14</v>
      </c>
      <c r="T107" s="14">
        <v>14</v>
      </c>
      <c r="U107" s="14">
        <v>10</v>
      </c>
      <c r="V107" s="14">
        <v>17</v>
      </c>
      <c r="W107" s="14">
        <v>17</v>
      </c>
      <c r="X107" s="14">
        <v>24</v>
      </c>
      <c r="Y107" s="14">
        <v>11</v>
      </c>
      <c r="Z107" s="14">
        <v>20</v>
      </c>
      <c r="AA107" s="14">
        <v>10</v>
      </c>
      <c r="AB107" s="14">
        <v>11</v>
      </c>
      <c r="AC107" s="14">
        <v>16</v>
      </c>
      <c r="AD107" s="14">
        <v>9</v>
      </c>
      <c r="AE107" s="14">
        <v>7</v>
      </c>
      <c r="AF107" s="214">
        <v>18</v>
      </c>
      <c r="AG107" s="15">
        <f t="shared" si="2"/>
        <v>432</v>
      </c>
    </row>
    <row r="108" spans="1:33" ht="15.75" customHeight="1" x14ac:dyDescent="0.25">
      <c r="A108" s="67" t="s">
        <v>70</v>
      </c>
      <c r="B108" s="13">
        <v>16</v>
      </c>
      <c r="C108" s="14">
        <v>18</v>
      </c>
      <c r="D108" s="14">
        <v>14</v>
      </c>
      <c r="E108" s="14">
        <v>15</v>
      </c>
      <c r="F108" s="14">
        <v>15</v>
      </c>
      <c r="G108" s="14">
        <v>16</v>
      </c>
      <c r="H108" s="14">
        <v>12</v>
      </c>
      <c r="I108" s="14">
        <v>20</v>
      </c>
      <c r="J108" s="14">
        <v>16</v>
      </c>
      <c r="K108" s="14">
        <v>19</v>
      </c>
      <c r="L108" s="14">
        <v>8</v>
      </c>
      <c r="M108" s="14">
        <v>12</v>
      </c>
      <c r="N108" s="14">
        <v>16</v>
      </c>
      <c r="O108" s="14">
        <v>17</v>
      </c>
      <c r="P108" s="14">
        <v>20</v>
      </c>
      <c r="Q108" s="14">
        <v>18</v>
      </c>
      <c r="R108" s="14">
        <v>20</v>
      </c>
      <c r="S108" s="14">
        <v>19</v>
      </c>
      <c r="T108" s="14">
        <v>16</v>
      </c>
      <c r="U108" s="14">
        <v>21</v>
      </c>
      <c r="V108" s="14">
        <v>12</v>
      </c>
      <c r="W108" s="14">
        <v>11</v>
      </c>
      <c r="X108" s="14">
        <v>21</v>
      </c>
      <c r="Y108" s="14">
        <v>14</v>
      </c>
      <c r="Z108" s="14">
        <v>15</v>
      </c>
      <c r="AA108" s="14">
        <v>3</v>
      </c>
      <c r="AB108" s="14">
        <v>15</v>
      </c>
      <c r="AC108" s="14">
        <v>19</v>
      </c>
      <c r="AD108" s="14">
        <v>16</v>
      </c>
      <c r="AE108" s="14">
        <v>10</v>
      </c>
      <c r="AF108" s="214">
        <v>13</v>
      </c>
      <c r="AG108" s="15">
        <f t="shared" si="2"/>
        <v>477</v>
      </c>
    </row>
    <row r="109" spans="1:33" ht="15.75" customHeight="1" x14ac:dyDescent="0.25">
      <c r="A109" s="67" t="s">
        <v>71</v>
      </c>
      <c r="B109" s="13">
        <v>14</v>
      </c>
      <c r="C109" s="14">
        <v>14</v>
      </c>
      <c r="D109" s="14">
        <v>18</v>
      </c>
      <c r="E109" s="14">
        <v>18</v>
      </c>
      <c r="F109" s="14">
        <v>9</v>
      </c>
      <c r="G109" s="14">
        <v>10</v>
      </c>
      <c r="H109" s="14">
        <v>15</v>
      </c>
      <c r="I109" s="14">
        <v>13</v>
      </c>
      <c r="J109" s="14">
        <v>13</v>
      </c>
      <c r="K109" s="14">
        <v>9</v>
      </c>
      <c r="L109" s="14">
        <v>9</v>
      </c>
      <c r="M109" s="14">
        <v>10</v>
      </c>
      <c r="N109" s="14">
        <v>14</v>
      </c>
      <c r="O109" s="14">
        <v>12</v>
      </c>
      <c r="P109" s="14">
        <v>13</v>
      </c>
      <c r="Q109" s="14">
        <v>15</v>
      </c>
      <c r="R109" s="14">
        <v>10</v>
      </c>
      <c r="S109" s="14">
        <v>15</v>
      </c>
      <c r="T109" s="14">
        <v>22</v>
      </c>
      <c r="U109" s="14">
        <v>19</v>
      </c>
      <c r="V109" s="14">
        <v>17</v>
      </c>
      <c r="W109" s="14">
        <v>10</v>
      </c>
      <c r="X109" s="14">
        <v>12</v>
      </c>
      <c r="Y109" s="14">
        <v>15</v>
      </c>
      <c r="Z109" s="14">
        <v>12</v>
      </c>
      <c r="AA109" s="14">
        <v>12</v>
      </c>
      <c r="AB109" s="14">
        <v>13</v>
      </c>
      <c r="AC109" s="14">
        <v>18</v>
      </c>
      <c r="AD109" s="14">
        <v>20</v>
      </c>
      <c r="AE109" s="14">
        <v>12</v>
      </c>
      <c r="AF109" s="214">
        <v>12</v>
      </c>
      <c r="AG109" s="15">
        <f t="shared" si="2"/>
        <v>425</v>
      </c>
    </row>
    <row r="110" spans="1:33" ht="15.75" customHeight="1" x14ac:dyDescent="0.25">
      <c r="A110" s="67" t="s">
        <v>72</v>
      </c>
      <c r="B110" s="13">
        <v>12</v>
      </c>
      <c r="C110" s="14">
        <v>6</v>
      </c>
      <c r="D110" s="14">
        <v>10</v>
      </c>
      <c r="E110" s="14">
        <v>14</v>
      </c>
      <c r="F110" s="14">
        <v>8</v>
      </c>
      <c r="G110" s="14">
        <v>9</v>
      </c>
      <c r="H110" s="14">
        <v>16</v>
      </c>
      <c r="I110" s="14">
        <v>12</v>
      </c>
      <c r="J110" s="14">
        <v>12</v>
      </c>
      <c r="K110" s="14">
        <v>12</v>
      </c>
      <c r="L110" s="14">
        <v>22</v>
      </c>
      <c r="M110" s="14">
        <v>10</v>
      </c>
      <c r="N110" s="14">
        <v>9</v>
      </c>
      <c r="O110" s="14">
        <v>14</v>
      </c>
      <c r="P110" s="14">
        <v>12</v>
      </c>
      <c r="Q110" s="14">
        <v>13</v>
      </c>
      <c r="R110" s="14">
        <v>10</v>
      </c>
      <c r="S110" s="14">
        <v>16</v>
      </c>
      <c r="T110" s="14">
        <v>12</v>
      </c>
      <c r="U110" s="14">
        <v>14</v>
      </c>
      <c r="V110" s="14">
        <v>10</v>
      </c>
      <c r="W110" s="14">
        <v>19</v>
      </c>
      <c r="X110" s="14">
        <v>14</v>
      </c>
      <c r="Y110" s="14">
        <v>9</v>
      </c>
      <c r="Z110" s="14">
        <v>16</v>
      </c>
      <c r="AA110" s="14">
        <v>20</v>
      </c>
      <c r="AB110" s="14">
        <v>7</v>
      </c>
      <c r="AC110" s="14">
        <v>18</v>
      </c>
      <c r="AD110" s="14">
        <v>13</v>
      </c>
      <c r="AE110" s="14">
        <v>15</v>
      </c>
      <c r="AF110" s="214">
        <v>9</v>
      </c>
      <c r="AG110" s="15">
        <f t="shared" si="2"/>
        <v>393</v>
      </c>
    </row>
    <row r="111" spans="1:33" ht="15.75" customHeight="1" x14ac:dyDescent="0.25">
      <c r="A111" s="67" t="s">
        <v>73</v>
      </c>
      <c r="B111" s="13">
        <v>15</v>
      </c>
      <c r="C111" s="14">
        <v>14</v>
      </c>
      <c r="D111" s="14">
        <v>13</v>
      </c>
      <c r="E111" s="14">
        <v>12</v>
      </c>
      <c r="F111" s="14">
        <v>14</v>
      </c>
      <c r="G111" s="14">
        <v>11</v>
      </c>
      <c r="H111" s="14">
        <v>12</v>
      </c>
      <c r="I111" s="14">
        <v>16</v>
      </c>
      <c r="J111" s="14">
        <v>11</v>
      </c>
      <c r="K111" s="14">
        <v>10</v>
      </c>
      <c r="L111" s="14">
        <v>9</v>
      </c>
      <c r="M111" s="14">
        <v>10</v>
      </c>
      <c r="N111" s="14">
        <v>10</v>
      </c>
      <c r="O111" s="14">
        <v>11</v>
      </c>
      <c r="P111" s="14">
        <v>10</v>
      </c>
      <c r="Q111" s="14">
        <v>10</v>
      </c>
      <c r="R111" s="14">
        <v>9</v>
      </c>
      <c r="S111" s="14">
        <v>9</v>
      </c>
      <c r="T111" s="14">
        <v>8</v>
      </c>
      <c r="U111" s="14">
        <v>11</v>
      </c>
      <c r="V111" s="14">
        <v>7</v>
      </c>
      <c r="W111" s="14">
        <v>6</v>
      </c>
      <c r="X111" s="14">
        <v>12</v>
      </c>
      <c r="Y111" s="14">
        <v>9</v>
      </c>
      <c r="Z111" s="14">
        <v>11</v>
      </c>
      <c r="AA111" s="14">
        <v>19</v>
      </c>
      <c r="AB111" s="14">
        <v>13</v>
      </c>
      <c r="AC111" s="14">
        <v>16</v>
      </c>
      <c r="AD111" s="14">
        <v>6</v>
      </c>
      <c r="AE111" s="14">
        <v>11</v>
      </c>
      <c r="AF111" s="214">
        <v>17</v>
      </c>
      <c r="AG111" s="15">
        <f t="shared" si="2"/>
        <v>352</v>
      </c>
    </row>
    <row r="112" spans="1:33" ht="15.75" customHeight="1" x14ac:dyDescent="0.25">
      <c r="A112" s="67" t="s">
        <v>74</v>
      </c>
      <c r="B112" s="13">
        <v>8</v>
      </c>
      <c r="C112" s="14">
        <v>6</v>
      </c>
      <c r="D112" s="14">
        <v>7</v>
      </c>
      <c r="E112" s="14">
        <v>6</v>
      </c>
      <c r="F112" s="14">
        <v>12</v>
      </c>
      <c r="G112" s="14">
        <v>7</v>
      </c>
      <c r="H112" s="14">
        <v>12</v>
      </c>
      <c r="I112" s="14">
        <v>9</v>
      </c>
      <c r="J112" s="14">
        <v>3</v>
      </c>
      <c r="K112" s="14">
        <v>7</v>
      </c>
      <c r="L112" s="14">
        <v>7</v>
      </c>
      <c r="M112" s="14">
        <v>8</v>
      </c>
      <c r="N112" s="14">
        <v>8</v>
      </c>
      <c r="O112" s="14">
        <v>6</v>
      </c>
      <c r="P112" s="14">
        <v>8</v>
      </c>
      <c r="Q112" s="14">
        <v>8</v>
      </c>
      <c r="R112" s="14">
        <v>6</v>
      </c>
      <c r="S112" s="14">
        <v>7</v>
      </c>
      <c r="T112" s="14">
        <v>5</v>
      </c>
      <c r="U112" s="14">
        <v>10</v>
      </c>
      <c r="V112" s="14">
        <v>10</v>
      </c>
      <c r="W112" s="14">
        <v>11</v>
      </c>
      <c r="X112" s="14">
        <v>10</v>
      </c>
      <c r="Y112" s="14">
        <v>4</v>
      </c>
      <c r="Z112" s="14">
        <v>12</v>
      </c>
      <c r="AA112" s="14">
        <v>11</v>
      </c>
      <c r="AB112" s="14">
        <v>9</v>
      </c>
      <c r="AC112" s="14">
        <v>9</v>
      </c>
      <c r="AD112" s="14">
        <v>7</v>
      </c>
      <c r="AE112" s="14">
        <v>9</v>
      </c>
      <c r="AF112" s="214">
        <v>8</v>
      </c>
      <c r="AG112" s="15">
        <f t="shared" si="2"/>
        <v>250</v>
      </c>
    </row>
    <row r="113" spans="1:33" ht="15.75" customHeight="1" x14ac:dyDescent="0.25">
      <c r="A113" s="67" t="s">
        <v>75</v>
      </c>
      <c r="B113" s="13">
        <v>7</v>
      </c>
      <c r="C113" s="14">
        <v>6</v>
      </c>
      <c r="D113" s="14">
        <v>9</v>
      </c>
      <c r="E113" s="14">
        <v>9</v>
      </c>
      <c r="F113" s="14">
        <v>6</v>
      </c>
      <c r="G113" s="14">
        <v>7</v>
      </c>
      <c r="H113" s="14">
        <v>15</v>
      </c>
      <c r="I113" s="14">
        <v>6</v>
      </c>
      <c r="J113" s="14">
        <v>5</v>
      </c>
      <c r="K113" s="14">
        <v>8</v>
      </c>
      <c r="L113" s="14">
        <v>3</v>
      </c>
      <c r="M113" s="14">
        <v>7</v>
      </c>
      <c r="N113" s="14">
        <v>6</v>
      </c>
      <c r="O113" s="14">
        <v>7</v>
      </c>
      <c r="P113" s="14">
        <v>9</v>
      </c>
      <c r="Q113" s="14">
        <v>7</v>
      </c>
      <c r="R113" s="14">
        <v>8</v>
      </c>
      <c r="S113" s="14">
        <v>5</v>
      </c>
      <c r="T113" s="14">
        <v>5</v>
      </c>
      <c r="U113" s="14">
        <v>7</v>
      </c>
      <c r="V113" s="14">
        <v>6</v>
      </c>
      <c r="W113" s="14">
        <v>11</v>
      </c>
      <c r="X113" s="14">
        <v>8</v>
      </c>
      <c r="Y113" s="14">
        <v>8</v>
      </c>
      <c r="Z113" s="14">
        <v>4</v>
      </c>
      <c r="AA113" s="14">
        <v>6</v>
      </c>
      <c r="AB113" s="14">
        <v>7</v>
      </c>
      <c r="AC113" s="14">
        <v>7</v>
      </c>
      <c r="AD113" s="14">
        <v>4</v>
      </c>
      <c r="AE113" s="14">
        <v>8</v>
      </c>
      <c r="AF113" s="214">
        <v>3</v>
      </c>
      <c r="AG113" s="15">
        <f t="shared" si="2"/>
        <v>214</v>
      </c>
    </row>
    <row r="114" spans="1:33" ht="15.75" customHeight="1" x14ac:dyDescent="0.25">
      <c r="A114" s="67" t="s">
        <v>76</v>
      </c>
      <c r="B114" s="13">
        <v>11</v>
      </c>
      <c r="C114" s="14">
        <v>17</v>
      </c>
      <c r="D114" s="14">
        <v>11</v>
      </c>
      <c r="E114" s="14">
        <v>9</v>
      </c>
      <c r="F114" s="14">
        <v>9</v>
      </c>
      <c r="G114" s="14">
        <v>12</v>
      </c>
      <c r="H114" s="14">
        <v>4</v>
      </c>
      <c r="I114" s="14">
        <v>13</v>
      </c>
      <c r="J114" s="14">
        <v>5</v>
      </c>
      <c r="K114" s="14">
        <v>11</v>
      </c>
      <c r="L114" s="14">
        <v>5</v>
      </c>
      <c r="M114" s="14">
        <v>13</v>
      </c>
      <c r="N114" s="14">
        <v>11</v>
      </c>
      <c r="O114" s="14">
        <v>10</v>
      </c>
      <c r="P114" s="14">
        <v>7</v>
      </c>
      <c r="Q114" s="14">
        <v>13</v>
      </c>
      <c r="R114" s="14">
        <v>11</v>
      </c>
      <c r="S114" s="14">
        <v>7</v>
      </c>
      <c r="T114" s="14">
        <v>14</v>
      </c>
      <c r="U114" s="14">
        <v>7</v>
      </c>
      <c r="V114" s="14">
        <v>5</v>
      </c>
      <c r="W114" s="14">
        <v>10</v>
      </c>
      <c r="X114" s="14">
        <v>7</v>
      </c>
      <c r="Y114" s="14">
        <v>8</v>
      </c>
      <c r="Z114" s="14">
        <v>9</v>
      </c>
      <c r="AA114" s="14">
        <v>16</v>
      </c>
      <c r="AB114" s="14">
        <v>12</v>
      </c>
      <c r="AC114" s="14">
        <v>7</v>
      </c>
      <c r="AD114" s="14">
        <v>11</v>
      </c>
      <c r="AE114" s="14">
        <v>8</v>
      </c>
      <c r="AF114" s="214">
        <v>5</v>
      </c>
      <c r="AG114" s="15">
        <f t="shared" si="2"/>
        <v>298</v>
      </c>
    </row>
    <row r="115" spans="1:33" ht="15.75" customHeight="1" x14ac:dyDescent="0.25">
      <c r="A115" s="72"/>
      <c r="B115" s="37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224"/>
      <c r="AG115" s="15">
        <f t="shared" si="2"/>
        <v>0</v>
      </c>
    </row>
    <row r="116" spans="1:33" ht="15.75" customHeight="1" x14ac:dyDescent="0.25">
      <c r="A116" s="60" t="s">
        <v>77</v>
      </c>
      <c r="B116" s="61">
        <f t="shared" ref="B116:AF116" si="15">SUM(B117:B129)</f>
        <v>60</v>
      </c>
      <c r="C116" s="62">
        <f t="shared" si="15"/>
        <v>45</v>
      </c>
      <c r="D116" s="62">
        <f t="shared" si="15"/>
        <v>52</v>
      </c>
      <c r="E116" s="62">
        <f t="shared" si="15"/>
        <v>46</v>
      </c>
      <c r="F116" s="62">
        <f t="shared" si="15"/>
        <v>61</v>
      </c>
      <c r="G116" s="62">
        <f t="shared" si="15"/>
        <v>72</v>
      </c>
      <c r="H116" s="62">
        <f t="shared" si="15"/>
        <v>69</v>
      </c>
      <c r="I116" s="62">
        <f t="shared" si="15"/>
        <v>51</v>
      </c>
      <c r="J116" s="62">
        <f t="shared" si="15"/>
        <v>75</v>
      </c>
      <c r="K116" s="62">
        <f t="shared" si="15"/>
        <v>52</v>
      </c>
      <c r="L116" s="62">
        <f t="shared" si="15"/>
        <v>46</v>
      </c>
      <c r="M116" s="62">
        <f t="shared" si="15"/>
        <v>86</v>
      </c>
      <c r="N116" s="62">
        <f t="shared" si="15"/>
        <v>101</v>
      </c>
      <c r="O116" s="62">
        <f t="shared" si="15"/>
        <v>95</v>
      </c>
      <c r="P116" s="62">
        <f t="shared" si="15"/>
        <v>99</v>
      </c>
      <c r="Q116" s="62">
        <f t="shared" si="15"/>
        <v>104</v>
      </c>
      <c r="R116" s="62">
        <f t="shared" si="15"/>
        <v>67</v>
      </c>
      <c r="S116" s="62">
        <f t="shared" si="15"/>
        <v>51</v>
      </c>
      <c r="T116" s="62">
        <f t="shared" si="15"/>
        <v>41</v>
      </c>
      <c r="U116" s="62">
        <f t="shared" si="15"/>
        <v>101</v>
      </c>
      <c r="V116" s="62">
        <f t="shared" si="15"/>
        <v>108</v>
      </c>
      <c r="W116" s="62">
        <f t="shared" si="15"/>
        <v>77</v>
      </c>
      <c r="X116" s="62">
        <f t="shared" si="15"/>
        <v>84</v>
      </c>
      <c r="Y116" s="62">
        <f t="shared" si="15"/>
        <v>69</v>
      </c>
      <c r="Z116" s="62">
        <f t="shared" si="15"/>
        <v>67</v>
      </c>
      <c r="AA116" s="62">
        <f t="shared" si="15"/>
        <v>67</v>
      </c>
      <c r="AB116" s="62">
        <f t="shared" si="15"/>
        <v>81</v>
      </c>
      <c r="AC116" s="62">
        <f t="shared" si="15"/>
        <v>91</v>
      </c>
      <c r="AD116" s="62">
        <f t="shared" si="15"/>
        <v>72</v>
      </c>
      <c r="AE116" s="62">
        <f t="shared" si="15"/>
        <v>64</v>
      </c>
      <c r="AF116" s="221">
        <f t="shared" si="15"/>
        <v>69</v>
      </c>
      <c r="AG116" s="15">
        <f t="shared" si="2"/>
        <v>2223</v>
      </c>
    </row>
    <row r="117" spans="1:33" ht="15.75" customHeight="1" x14ac:dyDescent="0.25">
      <c r="A117" s="73" t="s">
        <v>78</v>
      </c>
      <c r="B117" s="13">
        <v>48</v>
      </c>
      <c r="C117" s="14">
        <v>33</v>
      </c>
      <c r="D117" s="14">
        <v>31</v>
      </c>
      <c r="E117" s="14">
        <v>29</v>
      </c>
      <c r="F117" s="14">
        <v>51</v>
      </c>
      <c r="G117" s="14">
        <v>55</v>
      </c>
      <c r="H117" s="14">
        <v>60</v>
      </c>
      <c r="I117" s="14">
        <v>46</v>
      </c>
      <c r="J117" s="14">
        <v>66</v>
      </c>
      <c r="K117" s="14">
        <v>40</v>
      </c>
      <c r="L117" s="14">
        <v>34</v>
      </c>
      <c r="M117" s="14">
        <v>66</v>
      </c>
      <c r="N117" s="14">
        <v>81</v>
      </c>
      <c r="O117" s="14">
        <v>72</v>
      </c>
      <c r="P117" s="14">
        <v>78</v>
      </c>
      <c r="Q117" s="14">
        <v>81</v>
      </c>
      <c r="R117" s="14">
        <v>55</v>
      </c>
      <c r="S117" s="14">
        <v>36</v>
      </c>
      <c r="T117" s="14">
        <v>30</v>
      </c>
      <c r="U117" s="14">
        <v>83</v>
      </c>
      <c r="V117" s="14">
        <v>91</v>
      </c>
      <c r="W117" s="14">
        <v>62</v>
      </c>
      <c r="X117" s="14">
        <v>64</v>
      </c>
      <c r="Y117" s="14">
        <v>50</v>
      </c>
      <c r="Z117" s="14">
        <v>57</v>
      </c>
      <c r="AA117" s="14">
        <v>52</v>
      </c>
      <c r="AB117" s="14">
        <v>66</v>
      </c>
      <c r="AC117" s="14">
        <v>70</v>
      </c>
      <c r="AD117" s="14">
        <v>58</v>
      </c>
      <c r="AE117" s="14">
        <v>54</v>
      </c>
      <c r="AF117" s="214">
        <v>51</v>
      </c>
      <c r="AG117" s="15">
        <f t="shared" si="2"/>
        <v>1750</v>
      </c>
    </row>
    <row r="118" spans="1:33" ht="19.5" hidden="1" customHeight="1" x14ac:dyDescent="0.25">
      <c r="A118" s="73" t="s">
        <v>79</v>
      </c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214"/>
      <c r="AG118" s="15">
        <f t="shared" si="2"/>
        <v>0</v>
      </c>
    </row>
    <row r="119" spans="1:33" ht="19.5" hidden="1" customHeight="1" x14ac:dyDescent="0.25">
      <c r="A119" s="73" t="s">
        <v>80</v>
      </c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214"/>
      <c r="AG119" s="15">
        <f t="shared" si="2"/>
        <v>0</v>
      </c>
    </row>
    <row r="120" spans="1:33" ht="19.5" hidden="1" customHeight="1" x14ac:dyDescent="0.25">
      <c r="A120" s="73" t="s">
        <v>81</v>
      </c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214"/>
      <c r="AG120" s="15">
        <f t="shared" si="2"/>
        <v>0</v>
      </c>
    </row>
    <row r="121" spans="1:33" ht="19.5" hidden="1" customHeight="1" x14ac:dyDescent="0.25">
      <c r="A121" s="73" t="s">
        <v>82</v>
      </c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214"/>
      <c r="AG121" s="15">
        <f t="shared" si="2"/>
        <v>0</v>
      </c>
    </row>
    <row r="122" spans="1:33" ht="19.5" hidden="1" customHeight="1" x14ac:dyDescent="0.25">
      <c r="A122" s="73" t="s">
        <v>83</v>
      </c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214"/>
      <c r="AG122" s="15">
        <f t="shared" si="2"/>
        <v>0</v>
      </c>
    </row>
    <row r="123" spans="1:33" ht="19.5" hidden="1" customHeight="1" x14ac:dyDescent="0.25">
      <c r="A123" s="73" t="s">
        <v>84</v>
      </c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214"/>
      <c r="AG123" s="15">
        <f t="shared" si="2"/>
        <v>0</v>
      </c>
    </row>
    <row r="124" spans="1:33" ht="19.5" hidden="1" customHeight="1" x14ac:dyDescent="0.25">
      <c r="A124" s="73" t="s">
        <v>85</v>
      </c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214"/>
      <c r="AG124" s="15">
        <f t="shared" si="2"/>
        <v>0</v>
      </c>
    </row>
    <row r="125" spans="1:33" ht="19.5" hidden="1" customHeight="1" x14ac:dyDescent="0.25">
      <c r="A125" s="12" t="s">
        <v>86</v>
      </c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214"/>
      <c r="AG125" s="15">
        <f t="shared" si="2"/>
        <v>0</v>
      </c>
    </row>
    <row r="126" spans="1:33" ht="19.5" hidden="1" customHeight="1" x14ac:dyDescent="0.25">
      <c r="A126" s="12" t="s">
        <v>87</v>
      </c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214"/>
      <c r="AG126" s="15">
        <f t="shared" si="2"/>
        <v>0</v>
      </c>
    </row>
    <row r="127" spans="1:33" ht="19.5" hidden="1" customHeight="1" x14ac:dyDescent="0.25">
      <c r="A127" s="12" t="s">
        <v>88</v>
      </c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214"/>
      <c r="AG127" s="15">
        <f t="shared" si="2"/>
        <v>0</v>
      </c>
    </row>
    <row r="128" spans="1:33" ht="19.5" hidden="1" customHeight="1" x14ac:dyDescent="0.25">
      <c r="A128" s="73" t="s">
        <v>89</v>
      </c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214"/>
      <c r="AG128" s="15">
        <f t="shared" si="2"/>
        <v>0</v>
      </c>
    </row>
    <row r="129" spans="1:35" ht="15.75" customHeight="1" x14ac:dyDescent="0.25">
      <c r="A129" s="74" t="s">
        <v>90</v>
      </c>
      <c r="B129" s="75">
        <v>12</v>
      </c>
      <c r="C129" s="76">
        <v>12</v>
      </c>
      <c r="D129" s="76">
        <v>21</v>
      </c>
      <c r="E129" s="76">
        <v>17</v>
      </c>
      <c r="F129" s="76">
        <v>10</v>
      </c>
      <c r="G129" s="76">
        <v>17</v>
      </c>
      <c r="H129" s="76">
        <v>9</v>
      </c>
      <c r="I129" s="76">
        <v>5</v>
      </c>
      <c r="J129" s="76">
        <v>9</v>
      </c>
      <c r="K129" s="76">
        <v>12</v>
      </c>
      <c r="L129" s="76">
        <v>12</v>
      </c>
      <c r="M129" s="76">
        <v>20</v>
      </c>
      <c r="N129" s="76">
        <v>20</v>
      </c>
      <c r="O129" s="76">
        <f>17+6</f>
        <v>23</v>
      </c>
      <c r="P129" s="76">
        <v>21</v>
      </c>
      <c r="Q129" s="76">
        <v>23</v>
      </c>
      <c r="R129" s="76">
        <v>12</v>
      </c>
      <c r="S129" s="76">
        <v>15</v>
      </c>
      <c r="T129" s="76">
        <v>11</v>
      </c>
      <c r="U129" s="76">
        <v>18</v>
      </c>
      <c r="V129" s="76">
        <v>17</v>
      </c>
      <c r="W129" s="76">
        <v>15</v>
      </c>
      <c r="X129" s="76">
        <v>20</v>
      </c>
      <c r="Y129" s="76">
        <v>19</v>
      </c>
      <c r="Z129" s="76">
        <v>10</v>
      </c>
      <c r="AA129" s="76">
        <v>15</v>
      </c>
      <c r="AB129" s="76">
        <v>15</v>
      </c>
      <c r="AC129" s="76">
        <v>21</v>
      </c>
      <c r="AD129" s="76">
        <v>14</v>
      </c>
      <c r="AE129" s="76">
        <v>10</v>
      </c>
      <c r="AF129" s="225">
        <v>18</v>
      </c>
      <c r="AG129" s="15">
        <f t="shared" si="2"/>
        <v>473</v>
      </c>
    </row>
    <row r="130" spans="1:35" ht="15.75" customHeight="1" x14ac:dyDescent="0.25">
      <c r="A130" s="60" t="s">
        <v>91</v>
      </c>
      <c r="B130" s="61">
        <f t="shared" ref="B130:AF130" si="16">SUM(B131:B143)</f>
        <v>195</v>
      </c>
      <c r="C130" s="62">
        <f t="shared" si="16"/>
        <v>178</v>
      </c>
      <c r="D130" s="62">
        <f t="shared" si="16"/>
        <v>203</v>
      </c>
      <c r="E130" s="62">
        <f t="shared" si="16"/>
        <v>214</v>
      </c>
      <c r="F130" s="62">
        <f t="shared" si="16"/>
        <v>197</v>
      </c>
      <c r="G130" s="62">
        <f t="shared" si="16"/>
        <v>208</v>
      </c>
      <c r="H130" s="62">
        <f t="shared" si="16"/>
        <v>202</v>
      </c>
      <c r="I130" s="62">
        <f t="shared" si="16"/>
        <v>215</v>
      </c>
      <c r="J130" s="62">
        <f t="shared" si="16"/>
        <v>206</v>
      </c>
      <c r="K130" s="62">
        <f t="shared" si="16"/>
        <v>205</v>
      </c>
      <c r="L130" s="62">
        <f t="shared" si="16"/>
        <v>208</v>
      </c>
      <c r="M130" s="62">
        <f t="shared" si="16"/>
        <v>257</v>
      </c>
      <c r="N130" s="62">
        <f t="shared" si="16"/>
        <v>263</v>
      </c>
      <c r="O130" s="62">
        <f t="shared" si="16"/>
        <v>248</v>
      </c>
      <c r="P130" s="62">
        <f t="shared" si="16"/>
        <v>289</v>
      </c>
      <c r="Q130" s="62">
        <f t="shared" si="16"/>
        <v>274</v>
      </c>
      <c r="R130" s="62">
        <f t="shared" si="16"/>
        <v>220</v>
      </c>
      <c r="S130" s="62">
        <f t="shared" si="16"/>
        <v>222</v>
      </c>
      <c r="T130" s="62">
        <f t="shared" si="16"/>
        <v>236</v>
      </c>
      <c r="U130" s="62">
        <f t="shared" si="16"/>
        <v>270</v>
      </c>
      <c r="V130" s="62">
        <f t="shared" si="16"/>
        <v>266</v>
      </c>
      <c r="W130" s="62">
        <f t="shared" si="16"/>
        <v>238</v>
      </c>
      <c r="X130" s="62">
        <f t="shared" si="16"/>
        <v>242</v>
      </c>
      <c r="Y130" s="62">
        <f t="shared" si="16"/>
        <v>201</v>
      </c>
      <c r="Z130" s="62">
        <f t="shared" si="16"/>
        <v>266</v>
      </c>
      <c r="AA130" s="62">
        <f t="shared" si="16"/>
        <v>253</v>
      </c>
      <c r="AB130" s="62">
        <f t="shared" si="16"/>
        <v>224</v>
      </c>
      <c r="AC130" s="62">
        <f t="shared" si="16"/>
        <v>246</v>
      </c>
      <c r="AD130" s="62">
        <f t="shared" si="16"/>
        <v>210</v>
      </c>
      <c r="AE130" s="62">
        <f t="shared" si="16"/>
        <v>209</v>
      </c>
      <c r="AF130" s="221">
        <f t="shared" si="16"/>
        <v>225</v>
      </c>
      <c r="AG130" s="22">
        <f t="shared" si="2"/>
        <v>7090</v>
      </c>
      <c r="AH130" s="77" t="str">
        <f>IF(AG130&lt;&gt;AG93,"*","")</f>
        <v/>
      </c>
    </row>
    <row r="131" spans="1:35" ht="15.75" customHeight="1" x14ac:dyDescent="0.25">
      <c r="A131" s="73" t="s">
        <v>78</v>
      </c>
      <c r="B131" s="13">
        <v>45</v>
      </c>
      <c r="C131" s="14">
        <v>29</v>
      </c>
      <c r="D131" s="14">
        <v>27</v>
      </c>
      <c r="E131" s="14">
        <v>29</v>
      </c>
      <c r="F131" s="14">
        <v>49</v>
      </c>
      <c r="G131" s="14">
        <v>42</v>
      </c>
      <c r="H131" s="14">
        <v>49</v>
      </c>
      <c r="I131" s="14">
        <v>43</v>
      </c>
      <c r="J131" s="14">
        <v>50</v>
      </c>
      <c r="K131" s="14">
        <v>38</v>
      </c>
      <c r="L131" s="14">
        <v>33</v>
      </c>
      <c r="M131" s="14">
        <v>62</v>
      </c>
      <c r="N131" s="14">
        <v>63</v>
      </c>
      <c r="O131" s="14">
        <v>56</v>
      </c>
      <c r="P131" s="14">
        <v>60</v>
      </c>
      <c r="Q131" s="14">
        <v>67</v>
      </c>
      <c r="R131" s="14">
        <v>46</v>
      </c>
      <c r="S131" s="14">
        <v>36</v>
      </c>
      <c r="T131" s="14">
        <v>30</v>
      </c>
      <c r="U131" s="14">
        <v>61</v>
      </c>
      <c r="V131" s="14">
        <v>72</v>
      </c>
      <c r="W131" s="14">
        <v>52</v>
      </c>
      <c r="X131" s="14">
        <v>54</v>
      </c>
      <c r="Y131" s="14">
        <v>45</v>
      </c>
      <c r="Z131" s="14">
        <v>56</v>
      </c>
      <c r="AA131" s="14">
        <v>52</v>
      </c>
      <c r="AB131" s="14">
        <v>57</v>
      </c>
      <c r="AC131" s="14">
        <v>57</v>
      </c>
      <c r="AD131" s="14">
        <v>51</v>
      </c>
      <c r="AE131" s="14">
        <v>46</v>
      </c>
      <c r="AF131" s="214">
        <v>46</v>
      </c>
      <c r="AG131" s="15">
        <f t="shared" si="2"/>
        <v>1503</v>
      </c>
    </row>
    <row r="132" spans="1:35" ht="15.75" customHeight="1" x14ac:dyDescent="0.25">
      <c r="A132" s="73" t="s">
        <v>79</v>
      </c>
      <c r="B132" s="13">
        <v>9</v>
      </c>
      <c r="C132" s="14">
        <v>10</v>
      </c>
      <c r="D132" s="14">
        <v>8</v>
      </c>
      <c r="E132" s="14">
        <v>6</v>
      </c>
      <c r="F132" s="14">
        <v>8</v>
      </c>
      <c r="G132" s="14">
        <v>11</v>
      </c>
      <c r="H132" s="14">
        <v>12</v>
      </c>
      <c r="I132" s="14">
        <v>10</v>
      </c>
      <c r="J132" s="14">
        <v>13</v>
      </c>
      <c r="K132" s="14">
        <v>16</v>
      </c>
      <c r="L132" s="14">
        <v>10</v>
      </c>
      <c r="M132" s="14">
        <v>11</v>
      </c>
      <c r="N132" s="14">
        <v>16</v>
      </c>
      <c r="O132" s="14">
        <v>8</v>
      </c>
      <c r="P132" s="14">
        <v>10</v>
      </c>
      <c r="Q132" s="14">
        <v>10</v>
      </c>
      <c r="R132" s="14">
        <v>13</v>
      </c>
      <c r="S132" s="14">
        <v>9</v>
      </c>
      <c r="T132" s="14">
        <v>4</v>
      </c>
      <c r="U132" s="14">
        <v>12</v>
      </c>
      <c r="V132" s="14">
        <v>9</v>
      </c>
      <c r="W132" s="14">
        <v>18</v>
      </c>
      <c r="X132" s="14">
        <v>11</v>
      </c>
      <c r="Y132" s="14">
        <v>4</v>
      </c>
      <c r="Z132" s="14">
        <v>17</v>
      </c>
      <c r="AA132" s="14">
        <v>12</v>
      </c>
      <c r="AB132" s="14">
        <v>7</v>
      </c>
      <c r="AC132" s="14">
        <v>5</v>
      </c>
      <c r="AD132" s="14">
        <v>9</v>
      </c>
      <c r="AE132" s="14">
        <v>9</v>
      </c>
      <c r="AF132" s="214">
        <v>9</v>
      </c>
      <c r="AG132" s="15">
        <f t="shared" si="2"/>
        <v>316</v>
      </c>
    </row>
    <row r="133" spans="1:35" ht="15.75" customHeight="1" x14ac:dyDescent="0.25">
      <c r="A133" s="73" t="s">
        <v>80</v>
      </c>
      <c r="B133" s="13">
        <v>8</v>
      </c>
      <c r="C133" s="14">
        <v>13</v>
      </c>
      <c r="D133" s="14">
        <v>8</v>
      </c>
      <c r="E133" s="14">
        <v>7</v>
      </c>
      <c r="F133" s="14">
        <v>9</v>
      </c>
      <c r="G133" s="14">
        <v>11</v>
      </c>
      <c r="H133" s="14">
        <v>9</v>
      </c>
      <c r="I133" s="14">
        <v>19</v>
      </c>
      <c r="J133" s="14">
        <v>10</v>
      </c>
      <c r="K133" s="14">
        <v>7</v>
      </c>
      <c r="L133" s="14">
        <v>5</v>
      </c>
      <c r="M133" s="14">
        <v>15</v>
      </c>
      <c r="N133" s="14">
        <v>17</v>
      </c>
      <c r="O133" s="14">
        <v>16</v>
      </c>
      <c r="P133" s="14">
        <v>14</v>
      </c>
      <c r="Q133" s="14">
        <v>27</v>
      </c>
      <c r="R133" s="14">
        <v>7</v>
      </c>
      <c r="S133" s="14">
        <v>10</v>
      </c>
      <c r="T133" s="14">
        <v>7</v>
      </c>
      <c r="U133" s="14">
        <v>11</v>
      </c>
      <c r="V133" s="14">
        <v>7</v>
      </c>
      <c r="W133" s="14">
        <v>13</v>
      </c>
      <c r="X133" s="14">
        <v>10</v>
      </c>
      <c r="Y133" s="14">
        <v>5</v>
      </c>
      <c r="Z133" s="14">
        <v>12</v>
      </c>
      <c r="AA133" s="14">
        <v>11</v>
      </c>
      <c r="AB133" s="14">
        <v>11</v>
      </c>
      <c r="AC133" s="14">
        <v>15</v>
      </c>
      <c r="AD133" s="14">
        <v>12</v>
      </c>
      <c r="AE133" s="14">
        <v>6</v>
      </c>
      <c r="AF133" s="214">
        <v>9</v>
      </c>
      <c r="AG133" s="15">
        <f t="shared" si="2"/>
        <v>341</v>
      </c>
    </row>
    <row r="134" spans="1:35" ht="15.75" customHeight="1" x14ac:dyDescent="0.25">
      <c r="A134" s="73" t="s">
        <v>81</v>
      </c>
      <c r="B134" s="13">
        <v>6</v>
      </c>
      <c r="C134" s="14">
        <v>8</v>
      </c>
      <c r="D134" s="14">
        <v>16</v>
      </c>
      <c r="E134" s="14">
        <v>7</v>
      </c>
      <c r="F134" s="14">
        <v>15</v>
      </c>
      <c r="G134" s="14">
        <v>16</v>
      </c>
      <c r="H134" s="14">
        <v>8</v>
      </c>
      <c r="I134" s="14">
        <v>14</v>
      </c>
      <c r="J134" s="14">
        <v>5</v>
      </c>
      <c r="K134" s="14">
        <v>12</v>
      </c>
      <c r="L134" s="14">
        <v>11</v>
      </c>
      <c r="M134" s="14">
        <v>19</v>
      </c>
      <c r="N134" s="14">
        <v>21</v>
      </c>
      <c r="O134" s="14">
        <v>13</v>
      </c>
      <c r="P134" s="14">
        <v>28</v>
      </c>
      <c r="Q134" s="14">
        <v>15</v>
      </c>
      <c r="R134" s="14">
        <v>11</v>
      </c>
      <c r="S134" s="14">
        <f>9+4</f>
        <v>13</v>
      </c>
      <c r="T134" s="14">
        <f>9+4</f>
        <v>13</v>
      </c>
      <c r="U134" s="14">
        <v>21</v>
      </c>
      <c r="V134" s="14">
        <v>8</v>
      </c>
      <c r="W134" s="14">
        <f>8+3</f>
        <v>11</v>
      </c>
      <c r="X134" s="14">
        <v>15</v>
      </c>
      <c r="Y134" s="14">
        <v>11</v>
      </c>
      <c r="Z134" s="14">
        <v>15</v>
      </c>
      <c r="AA134" s="14">
        <v>14</v>
      </c>
      <c r="AB134" s="14">
        <v>9</v>
      </c>
      <c r="AC134" s="14">
        <v>15</v>
      </c>
      <c r="AD134" s="14">
        <v>4</v>
      </c>
      <c r="AE134" s="14">
        <v>16</v>
      </c>
      <c r="AF134" s="214">
        <v>19</v>
      </c>
      <c r="AG134" s="15">
        <f t="shared" si="2"/>
        <v>409</v>
      </c>
    </row>
    <row r="135" spans="1:35" ht="15.75" customHeight="1" x14ac:dyDescent="0.25">
      <c r="A135" s="73" t="s">
        <v>82</v>
      </c>
      <c r="B135" s="13">
        <v>13</v>
      </c>
      <c r="C135" s="14">
        <v>5</v>
      </c>
      <c r="D135" s="14">
        <v>17</v>
      </c>
      <c r="E135" s="14">
        <v>5</v>
      </c>
      <c r="F135" s="14">
        <v>10</v>
      </c>
      <c r="G135" s="14">
        <v>17</v>
      </c>
      <c r="H135" s="14">
        <v>14</v>
      </c>
      <c r="I135" s="14">
        <v>14</v>
      </c>
      <c r="J135" s="14">
        <v>18</v>
      </c>
      <c r="K135" s="14">
        <v>14</v>
      </c>
      <c r="L135" s="14">
        <v>9</v>
      </c>
      <c r="M135" s="14">
        <v>17</v>
      </c>
      <c r="N135" s="14">
        <v>20</v>
      </c>
      <c r="O135" s="14">
        <v>10</v>
      </c>
      <c r="P135" s="14">
        <v>12</v>
      </c>
      <c r="Q135" s="14">
        <v>16</v>
      </c>
      <c r="R135" s="14">
        <v>11</v>
      </c>
      <c r="S135" s="14">
        <v>12</v>
      </c>
      <c r="T135" s="14">
        <v>5</v>
      </c>
      <c r="U135" s="14">
        <v>14</v>
      </c>
      <c r="V135" s="14">
        <v>24</v>
      </c>
      <c r="W135" s="14">
        <v>15</v>
      </c>
      <c r="X135" s="14">
        <v>21</v>
      </c>
      <c r="Y135" s="14">
        <v>8</v>
      </c>
      <c r="Z135" s="14">
        <v>10</v>
      </c>
      <c r="AA135" s="14">
        <v>15</v>
      </c>
      <c r="AB135" s="14">
        <v>15</v>
      </c>
      <c r="AC135" s="14">
        <v>25</v>
      </c>
      <c r="AD135" s="14">
        <v>12</v>
      </c>
      <c r="AE135" s="14">
        <v>11</v>
      </c>
      <c r="AF135" s="214">
        <v>14</v>
      </c>
      <c r="AG135" s="15">
        <f t="shared" si="2"/>
        <v>423</v>
      </c>
    </row>
    <row r="136" spans="1:35" ht="15.75" customHeight="1" x14ac:dyDescent="0.25">
      <c r="A136" s="73" t="s">
        <v>83</v>
      </c>
      <c r="B136" s="13">
        <v>81</v>
      </c>
      <c r="C136" s="14">
        <v>91</v>
      </c>
      <c r="D136" s="14">
        <v>89</v>
      </c>
      <c r="E136" s="14">
        <v>119</v>
      </c>
      <c r="F136" s="14">
        <v>78</v>
      </c>
      <c r="G136" s="14">
        <v>83</v>
      </c>
      <c r="H136" s="14">
        <v>82</v>
      </c>
      <c r="I136" s="14">
        <v>94</v>
      </c>
      <c r="J136" s="14">
        <v>93</v>
      </c>
      <c r="K136" s="14">
        <v>90</v>
      </c>
      <c r="L136" s="14">
        <v>110</v>
      </c>
      <c r="M136" s="14">
        <v>104</v>
      </c>
      <c r="N136" s="14">
        <v>85</v>
      </c>
      <c r="O136" s="14">
        <v>111</v>
      </c>
      <c r="P136" s="14">
        <v>116</v>
      </c>
      <c r="Q136" s="14">
        <v>101</v>
      </c>
      <c r="R136" s="14">
        <v>98</v>
      </c>
      <c r="S136" s="14">
        <v>106</v>
      </c>
      <c r="T136" s="14">
        <v>158</v>
      </c>
      <c r="U136" s="14">
        <v>106</v>
      </c>
      <c r="V136" s="14">
        <v>97</v>
      </c>
      <c r="W136" s="14">
        <v>98</v>
      </c>
      <c r="X136" s="14">
        <v>95</v>
      </c>
      <c r="Y136" s="14">
        <v>86</v>
      </c>
      <c r="Z136" s="14">
        <v>121</v>
      </c>
      <c r="AA136" s="14">
        <v>115</v>
      </c>
      <c r="AB136" s="14">
        <v>97</v>
      </c>
      <c r="AC136" s="14">
        <v>92</v>
      </c>
      <c r="AD136" s="14">
        <v>88</v>
      </c>
      <c r="AE136" s="14">
        <v>88</v>
      </c>
      <c r="AF136" s="214">
        <v>91</v>
      </c>
      <c r="AG136" s="15">
        <f t="shared" si="2"/>
        <v>3063</v>
      </c>
    </row>
    <row r="137" spans="1:35" ht="15.75" customHeight="1" x14ac:dyDescent="0.25">
      <c r="A137" s="73" t="s">
        <v>84</v>
      </c>
      <c r="B137" s="13">
        <v>8</v>
      </c>
      <c r="C137" s="14">
        <v>2</v>
      </c>
      <c r="D137" s="14">
        <v>2</v>
      </c>
      <c r="E137" s="14">
        <v>5</v>
      </c>
      <c r="F137" s="14">
        <v>7</v>
      </c>
      <c r="G137" s="14">
        <v>2</v>
      </c>
      <c r="H137" s="14">
        <v>6</v>
      </c>
      <c r="I137" s="14">
        <v>2</v>
      </c>
      <c r="J137" s="14">
        <v>3</v>
      </c>
      <c r="K137" s="14">
        <v>8</v>
      </c>
      <c r="L137" s="14">
        <v>2</v>
      </c>
      <c r="M137" s="14">
        <v>2</v>
      </c>
      <c r="N137" s="14">
        <f>8+6</f>
        <v>14</v>
      </c>
      <c r="O137" s="14">
        <v>3</v>
      </c>
      <c r="P137" s="14">
        <v>8</v>
      </c>
      <c r="Q137" s="14">
        <v>6</v>
      </c>
      <c r="R137" s="14">
        <v>2</v>
      </c>
      <c r="S137" s="14">
        <v>4</v>
      </c>
      <c r="T137" s="14">
        <v>2</v>
      </c>
      <c r="U137" s="14">
        <v>6</v>
      </c>
      <c r="V137" s="14">
        <v>8</v>
      </c>
      <c r="W137" s="14">
        <v>5</v>
      </c>
      <c r="X137" s="14">
        <v>3</v>
      </c>
      <c r="Y137" s="14">
        <v>9</v>
      </c>
      <c r="Z137" s="14">
        <v>3</v>
      </c>
      <c r="AA137" s="14">
        <v>5</v>
      </c>
      <c r="AB137" s="14">
        <v>1</v>
      </c>
      <c r="AC137" s="14">
        <v>3</v>
      </c>
      <c r="AD137" s="14">
        <v>6</v>
      </c>
      <c r="AE137" s="14">
        <v>9</v>
      </c>
      <c r="AF137" s="214">
        <v>7</v>
      </c>
      <c r="AG137" s="15">
        <f t="shared" si="2"/>
        <v>153</v>
      </c>
    </row>
    <row r="138" spans="1:35" ht="15.75" customHeight="1" x14ac:dyDescent="0.25">
      <c r="A138" s="73" t="s">
        <v>85</v>
      </c>
      <c r="B138" s="13">
        <v>4</v>
      </c>
      <c r="C138" s="14">
        <v>1</v>
      </c>
      <c r="D138" s="14">
        <v>4</v>
      </c>
      <c r="E138" s="14">
        <v>2</v>
      </c>
      <c r="F138" s="14">
        <v>1</v>
      </c>
      <c r="G138" s="14">
        <v>2</v>
      </c>
      <c r="H138" s="14">
        <v>4</v>
      </c>
      <c r="I138" s="14">
        <v>3</v>
      </c>
      <c r="J138" s="14">
        <v>1</v>
      </c>
      <c r="K138" s="14">
        <v>1</v>
      </c>
      <c r="L138" s="14">
        <v>2</v>
      </c>
      <c r="M138" s="14">
        <v>2</v>
      </c>
      <c r="N138" s="14">
        <v>1</v>
      </c>
      <c r="O138" s="14">
        <v>2</v>
      </c>
      <c r="P138" s="14">
        <v>2</v>
      </c>
      <c r="Q138" s="14">
        <v>3</v>
      </c>
      <c r="R138" s="14">
        <v>3</v>
      </c>
      <c r="S138" s="14">
        <v>1</v>
      </c>
      <c r="T138" s="14">
        <v>0</v>
      </c>
      <c r="U138" s="14">
        <v>2</v>
      </c>
      <c r="V138" s="14">
        <v>7</v>
      </c>
      <c r="W138" s="14">
        <v>2</v>
      </c>
      <c r="X138" s="14">
        <v>1</v>
      </c>
      <c r="Y138" s="14">
        <v>3</v>
      </c>
      <c r="Z138" s="14">
        <v>4</v>
      </c>
      <c r="AA138" s="14">
        <v>0</v>
      </c>
      <c r="AB138" s="14">
        <v>0</v>
      </c>
      <c r="AC138" s="14">
        <v>2</v>
      </c>
      <c r="AD138" s="14">
        <v>2</v>
      </c>
      <c r="AE138" s="14">
        <v>2</v>
      </c>
      <c r="AF138" s="214">
        <v>4</v>
      </c>
      <c r="AG138" s="15">
        <f t="shared" si="2"/>
        <v>68</v>
      </c>
    </row>
    <row r="139" spans="1:35" ht="15.75" customHeight="1" x14ac:dyDescent="0.25">
      <c r="A139" s="12" t="s">
        <v>86</v>
      </c>
      <c r="B139" s="13">
        <v>6</v>
      </c>
      <c r="C139" s="14">
        <v>1</v>
      </c>
      <c r="D139" s="14">
        <v>1</v>
      </c>
      <c r="E139" s="14">
        <v>5</v>
      </c>
      <c r="F139" s="14">
        <v>3</v>
      </c>
      <c r="G139" s="14">
        <v>2</v>
      </c>
      <c r="H139" s="14">
        <v>3</v>
      </c>
      <c r="I139" s="14">
        <v>0</v>
      </c>
      <c r="J139" s="14">
        <v>3</v>
      </c>
      <c r="K139" s="14">
        <v>2</v>
      </c>
      <c r="L139" s="14">
        <v>3</v>
      </c>
      <c r="M139" s="14">
        <v>3</v>
      </c>
      <c r="N139" s="14">
        <v>3</v>
      </c>
      <c r="O139" s="14">
        <v>2</v>
      </c>
      <c r="P139" s="14">
        <v>4</v>
      </c>
      <c r="Q139" s="14">
        <v>3</v>
      </c>
      <c r="R139" s="14">
        <v>2</v>
      </c>
      <c r="S139" s="14">
        <v>5</v>
      </c>
      <c r="T139" s="14">
        <v>1</v>
      </c>
      <c r="U139" s="14">
        <v>2</v>
      </c>
      <c r="V139" s="14">
        <v>0</v>
      </c>
      <c r="W139" s="14">
        <v>2</v>
      </c>
      <c r="X139" s="14">
        <v>6</v>
      </c>
      <c r="Y139" s="14">
        <v>1</v>
      </c>
      <c r="Z139" s="14">
        <v>2</v>
      </c>
      <c r="AA139" s="14">
        <v>2</v>
      </c>
      <c r="AB139" s="14">
        <v>3</v>
      </c>
      <c r="AC139" s="14">
        <v>4</v>
      </c>
      <c r="AD139" s="14">
        <v>2</v>
      </c>
      <c r="AE139" s="14">
        <v>1</v>
      </c>
      <c r="AF139" s="214">
        <v>1</v>
      </c>
      <c r="AG139" s="15">
        <f t="shared" si="2"/>
        <v>78</v>
      </c>
    </row>
    <row r="140" spans="1:35" ht="15.75" customHeight="1" x14ac:dyDescent="0.25">
      <c r="A140" s="12" t="s">
        <v>87</v>
      </c>
      <c r="B140" s="13">
        <v>1</v>
      </c>
      <c r="C140" s="14">
        <v>0</v>
      </c>
      <c r="D140" s="14">
        <v>4</v>
      </c>
      <c r="E140" s="14">
        <v>3</v>
      </c>
      <c r="F140" s="14">
        <v>4</v>
      </c>
      <c r="G140" s="14">
        <v>3</v>
      </c>
      <c r="H140" s="14">
        <v>2</v>
      </c>
      <c r="I140" s="14">
        <v>1</v>
      </c>
      <c r="J140" s="14">
        <v>0</v>
      </c>
      <c r="K140" s="14">
        <v>1</v>
      </c>
      <c r="L140" s="14">
        <v>2</v>
      </c>
      <c r="M140" s="14">
        <v>2</v>
      </c>
      <c r="N140" s="14">
        <v>1</v>
      </c>
      <c r="O140" s="14">
        <v>3</v>
      </c>
      <c r="P140" s="14">
        <v>4</v>
      </c>
      <c r="Q140" s="14">
        <v>0</v>
      </c>
      <c r="R140" s="14">
        <v>1</v>
      </c>
      <c r="S140" s="14">
        <v>4</v>
      </c>
      <c r="T140" s="14">
        <v>1</v>
      </c>
      <c r="U140" s="14">
        <v>3</v>
      </c>
      <c r="V140" s="14">
        <v>1</v>
      </c>
      <c r="W140" s="14">
        <v>1</v>
      </c>
      <c r="X140" s="14">
        <v>3</v>
      </c>
      <c r="Y140" s="14">
        <v>2</v>
      </c>
      <c r="Z140" s="14">
        <v>3</v>
      </c>
      <c r="AA140" s="14">
        <v>2</v>
      </c>
      <c r="AB140" s="14">
        <v>2</v>
      </c>
      <c r="AC140" s="14">
        <v>3</v>
      </c>
      <c r="AD140" s="14">
        <v>1</v>
      </c>
      <c r="AE140" s="14">
        <v>2</v>
      </c>
      <c r="AF140" s="214">
        <v>2</v>
      </c>
      <c r="AG140" s="15">
        <f t="shared" si="2"/>
        <v>62</v>
      </c>
    </row>
    <row r="141" spans="1:35" ht="15.75" customHeight="1" x14ac:dyDescent="0.25">
      <c r="A141" s="12" t="s">
        <v>88</v>
      </c>
      <c r="B141" s="13">
        <v>2</v>
      </c>
      <c r="C141" s="14">
        <v>0</v>
      </c>
      <c r="D141" s="14">
        <v>0</v>
      </c>
      <c r="E141" s="14">
        <v>2</v>
      </c>
      <c r="F141" s="14">
        <v>0</v>
      </c>
      <c r="G141" s="14">
        <v>0</v>
      </c>
      <c r="H141" s="14">
        <v>1</v>
      </c>
      <c r="I141" s="14">
        <v>1</v>
      </c>
      <c r="J141" s="14">
        <v>0</v>
      </c>
      <c r="K141" s="14">
        <v>1</v>
      </c>
      <c r="L141" s="14">
        <v>0</v>
      </c>
      <c r="M141" s="14">
        <v>0</v>
      </c>
      <c r="N141" s="14">
        <v>0</v>
      </c>
      <c r="O141" s="14">
        <v>2</v>
      </c>
      <c r="P141" s="14">
        <v>1</v>
      </c>
      <c r="Q141" s="14">
        <v>0</v>
      </c>
      <c r="R141" s="14">
        <v>3</v>
      </c>
      <c r="S141" s="14">
        <v>1</v>
      </c>
      <c r="T141" s="14">
        <v>2</v>
      </c>
      <c r="U141" s="14">
        <v>0</v>
      </c>
      <c r="V141" s="14">
        <v>1</v>
      </c>
      <c r="W141" s="14">
        <v>1</v>
      </c>
      <c r="X141" s="14">
        <v>1</v>
      </c>
      <c r="Y141" s="14">
        <v>0</v>
      </c>
      <c r="Z141" s="14">
        <v>0</v>
      </c>
      <c r="AA141" s="14">
        <v>0</v>
      </c>
      <c r="AB141" s="14">
        <v>1</v>
      </c>
      <c r="AC141" s="14">
        <v>1</v>
      </c>
      <c r="AD141" s="14">
        <v>0</v>
      </c>
      <c r="AE141" s="14">
        <v>0</v>
      </c>
      <c r="AF141" s="214">
        <v>0</v>
      </c>
      <c r="AG141" s="15">
        <f t="shared" si="2"/>
        <v>21</v>
      </c>
    </row>
    <row r="142" spans="1:35" ht="15.75" customHeight="1" x14ac:dyDescent="0.25">
      <c r="A142" s="73" t="s">
        <v>89</v>
      </c>
      <c r="B142" s="13">
        <v>2</v>
      </c>
      <c r="C142" s="14">
        <v>6</v>
      </c>
      <c r="D142" s="14">
        <v>10</v>
      </c>
      <c r="E142" s="14">
        <v>7</v>
      </c>
      <c r="F142" s="14">
        <v>4</v>
      </c>
      <c r="G142" s="14">
        <v>5</v>
      </c>
      <c r="H142" s="14">
        <v>6</v>
      </c>
      <c r="I142" s="14">
        <v>9</v>
      </c>
      <c r="J142" s="14">
        <v>2</v>
      </c>
      <c r="K142" s="14">
        <v>4</v>
      </c>
      <c r="L142" s="14">
        <v>9</v>
      </c>
      <c r="M142" s="14">
        <v>3</v>
      </c>
      <c r="N142" s="14">
        <v>7</v>
      </c>
      <c r="O142" s="14">
        <v>6</v>
      </c>
      <c r="P142" s="14">
        <v>14</v>
      </c>
      <c r="Q142" s="14">
        <v>10</v>
      </c>
      <c r="R142" s="14">
        <f>8+5</f>
        <v>13</v>
      </c>
      <c r="S142" s="14">
        <v>7</v>
      </c>
      <c r="T142" s="14">
        <v>3</v>
      </c>
      <c r="U142" s="14">
        <v>18</v>
      </c>
      <c r="V142" s="14">
        <v>13</v>
      </c>
      <c r="W142" s="14">
        <v>8</v>
      </c>
      <c r="X142" s="14">
        <v>4</v>
      </c>
      <c r="Y142" s="14">
        <f>8+4</f>
        <v>12</v>
      </c>
      <c r="Z142" s="14">
        <v>13</v>
      </c>
      <c r="AA142" s="14">
        <v>10</v>
      </c>
      <c r="AB142" s="14">
        <v>8</v>
      </c>
      <c r="AC142" s="14">
        <v>7</v>
      </c>
      <c r="AD142" s="14">
        <v>11</v>
      </c>
      <c r="AE142" s="14">
        <v>10</v>
      </c>
      <c r="AF142" s="214">
        <v>8</v>
      </c>
      <c r="AG142" s="15">
        <f t="shared" si="2"/>
        <v>249</v>
      </c>
    </row>
    <row r="143" spans="1:35" ht="15.75" customHeight="1" x14ac:dyDescent="0.25">
      <c r="A143" s="74" t="s">
        <v>90</v>
      </c>
      <c r="B143" s="75">
        <v>10</v>
      </c>
      <c r="C143" s="76">
        <v>12</v>
      </c>
      <c r="D143" s="76">
        <v>17</v>
      </c>
      <c r="E143" s="76">
        <v>17</v>
      </c>
      <c r="F143" s="76">
        <v>9</v>
      </c>
      <c r="G143" s="76">
        <v>14</v>
      </c>
      <c r="H143" s="76">
        <v>6</v>
      </c>
      <c r="I143" s="76">
        <v>5</v>
      </c>
      <c r="J143" s="76">
        <v>8</v>
      </c>
      <c r="K143" s="76">
        <v>11</v>
      </c>
      <c r="L143" s="76">
        <v>12</v>
      </c>
      <c r="M143" s="76">
        <v>17</v>
      </c>
      <c r="N143" s="76">
        <v>15</v>
      </c>
      <c r="O143" s="76">
        <v>16</v>
      </c>
      <c r="P143" s="76">
        <v>16</v>
      </c>
      <c r="Q143" s="76">
        <v>16</v>
      </c>
      <c r="R143" s="76">
        <v>10</v>
      </c>
      <c r="S143" s="76">
        <v>14</v>
      </c>
      <c r="T143" s="76">
        <v>10</v>
      </c>
      <c r="U143" s="76">
        <v>14</v>
      </c>
      <c r="V143" s="76">
        <v>19</v>
      </c>
      <c r="W143" s="76">
        <v>12</v>
      </c>
      <c r="X143" s="76">
        <v>18</v>
      </c>
      <c r="Y143" s="76">
        <v>15</v>
      </c>
      <c r="Z143" s="76">
        <v>10</v>
      </c>
      <c r="AA143" s="76">
        <v>15</v>
      </c>
      <c r="AB143" s="76">
        <v>13</v>
      </c>
      <c r="AC143" s="76">
        <v>17</v>
      </c>
      <c r="AD143" s="76">
        <v>12</v>
      </c>
      <c r="AE143" s="76">
        <v>9</v>
      </c>
      <c r="AF143" s="225">
        <v>15</v>
      </c>
      <c r="AG143" s="26">
        <f t="shared" si="2"/>
        <v>404</v>
      </c>
    </row>
    <row r="144" spans="1:35" ht="15.75" customHeight="1" x14ac:dyDescent="0.25">
      <c r="A144" s="41" t="s">
        <v>92</v>
      </c>
      <c r="B144" s="42">
        <f t="shared" ref="B144:AF144" si="17">+B146+B156+B158+B167</f>
        <v>195</v>
      </c>
      <c r="C144" s="43">
        <f t="shared" si="17"/>
        <v>178</v>
      </c>
      <c r="D144" s="43">
        <f t="shared" si="17"/>
        <v>203</v>
      </c>
      <c r="E144" s="43">
        <f t="shared" si="17"/>
        <v>214</v>
      </c>
      <c r="F144" s="43">
        <f t="shared" si="17"/>
        <v>197</v>
      </c>
      <c r="G144" s="43">
        <f t="shared" si="17"/>
        <v>208</v>
      </c>
      <c r="H144" s="43">
        <f t="shared" si="17"/>
        <v>202</v>
      </c>
      <c r="I144" s="43">
        <f t="shared" si="17"/>
        <v>215</v>
      </c>
      <c r="J144" s="43">
        <f t="shared" si="17"/>
        <v>206</v>
      </c>
      <c r="K144" s="43">
        <f t="shared" si="17"/>
        <v>205</v>
      </c>
      <c r="L144" s="43">
        <f t="shared" si="17"/>
        <v>208</v>
      </c>
      <c r="M144" s="43">
        <f t="shared" si="17"/>
        <v>257</v>
      </c>
      <c r="N144" s="43">
        <f t="shared" si="17"/>
        <v>263</v>
      </c>
      <c r="O144" s="43">
        <f t="shared" si="17"/>
        <v>248</v>
      </c>
      <c r="P144" s="43">
        <f t="shared" si="17"/>
        <v>289</v>
      </c>
      <c r="Q144" s="43">
        <f t="shared" si="17"/>
        <v>274</v>
      </c>
      <c r="R144" s="43">
        <f t="shared" si="17"/>
        <v>220</v>
      </c>
      <c r="S144" s="43">
        <f t="shared" si="17"/>
        <v>222</v>
      </c>
      <c r="T144" s="43">
        <f t="shared" si="17"/>
        <v>236</v>
      </c>
      <c r="U144" s="43">
        <f t="shared" si="17"/>
        <v>270</v>
      </c>
      <c r="V144" s="43">
        <f t="shared" si="17"/>
        <v>266</v>
      </c>
      <c r="W144" s="43">
        <f t="shared" si="17"/>
        <v>238</v>
      </c>
      <c r="X144" s="43">
        <f t="shared" si="17"/>
        <v>242</v>
      </c>
      <c r="Y144" s="43">
        <f t="shared" si="17"/>
        <v>201</v>
      </c>
      <c r="Z144" s="43">
        <f t="shared" si="17"/>
        <v>266</v>
      </c>
      <c r="AA144" s="43">
        <f t="shared" si="17"/>
        <v>253</v>
      </c>
      <c r="AB144" s="43">
        <f t="shared" si="17"/>
        <v>224</v>
      </c>
      <c r="AC144" s="43">
        <f t="shared" si="17"/>
        <v>246</v>
      </c>
      <c r="AD144" s="43">
        <f t="shared" si="17"/>
        <v>210</v>
      </c>
      <c r="AE144" s="43">
        <f t="shared" si="17"/>
        <v>209</v>
      </c>
      <c r="AF144" s="43">
        <f t="shared" si="17"/>
        <v>225</v>
      </c>
      <c r="AG144" s="27">
        <f t="shared" si="2"/>
        <v>7090</v>
      </c>
      <c r="AH144" s="78" t="str">
        <f>IF(AG144&lt;&gt;AG93,"*","")</f>
        <v/>
      </c>
      <c r="AI144" s="79" t="s">
        <v>93</v>
      </c>
    </row>
    <row r="145" spans="1:35" ht="15.75" customHeight="1" x14ac:dyDescent="0.25">
      <c r="A145" s="80" t="s">
        <v>44</v>
      </c>
      <c r="B145" s="81">
        <f t="shared" ref="B145:AF145" si="18">+B149+B155+B157+B172</f>
        <v>8</v>
      </c>
      <c r="C145" s="82">
        <f t="shared" si="18"/>
        <v>13</v>
      </c>
      <c r="D145" s="82">
        <f t="shared" si="18"/>
        <v>23</v>
      </c>
      <c r="E145" s="82">
        <f t="shared" si="18"/>
        <v>6</v>
      </c>
      <c r="F145" s="82">
        <f t="shared" si="18"/>
        <v>7</v>
      </c>
      <c r="G145" s="82">
        <f t="shared" si="18"/>
        <v>37</v>
      </c>
      <c r="H145" s="82">
        <f t="shared" si="18"/>
        <v>31</v>
      </c>
      <c r="I145" s="82">
        <f t="shared" si="18"/>
        <v>10</v>
      </c>
      <c r="J145" s="82">
        <f t="shared" si="18"/>
        <v>35</v>
      </c>
      <c r="K145" s="82">
        <f t="shared" si="18"/>
        <v>18</v>
      </c>
      <c r="L145" s="82">
        <f t="shared" si="18"/>
        <v>4</v>
      </c>
      <c r="M145" s="82">
        <f t="shared" si="18"/>
        <v>19</v>
      </c>
      <c r="N145" s="82">
        <f t="shared" si="18"/>
        <v>88</v>
      </c>
      <c r="O145" s="82">
        <f t="shared" si="18"/>
        <v>61</v>
      </c>
      <c r="P145" s="82">
        <f t="shared" si="18"/>
        <v>63</v>
      </c>
      <c r="Q145" s="82">
        <f t="shared" si="18"/>
        <v>58</v>
      </c>
      <c r="R145" s="82">
        <f t="shared" si="18"/>
        <v>35</v>
      </c>
      <c r="S145" s="82">
        <f t="shared" si="18"/>
        <v>4</v>
      </c>
      <c r="T145" s="82">
        <f t="shared" si="18"/>
        <v>8</v>
      </c>
      <c r="U145" s="82">
        <f t="shared" si="18"/>
        <v>78</v>
      </c>
      <c r="V145" s="82">
        <f t="shared" si="18"/>
        <v>71</v>
      </c>
      <c r="W145" s="82">
        <f t="shared" si="18"/>
        <v>48</v>
      </c>
      <c r="X145" s="82">
        <f t="shared" si="18"/>
        <v>34</v>
      </c>
      <c r="Y145" s="82">
        <f t="shared" si="18"/>
        <v>37</v>
      </c>
      <c r="Z145" s="82">
        <f t="shared" si="18"/>
        <v>8</v>
      </c>
      <c r="AA145" s="82">
        <f t="shared" si="18"/>
        <v>0</v>
      </c>
      <c r="AB145" s="82">
        <f t="shared" si="18"/>
        <v>70</v>
      </c>
      <c r="AC145" s="82">
        <f t="shared" si="18"/>
        <v>34</v>
      </c>
      <c r="AD145" s="82">
        <f t="shared" si="18"/>
        <v>32</v>
      </c>
      <c r="AE145" s="82">
        <f t="shared" si="18"/>
        <v>37</v>
      </c>
      <c r="AF145" s="226">
        <f t="shared" si="18"/>
        <v>20</v>
      </c>
      <c r="AG145" s="83">
        <f t="shared" si="2"/>
        <v>997</v>
      </c>
      <c r="AH145" s="77"/>
    </row>
    <row r="146" spans="1:35" ht="15.75" customHeight="1" x14ac:dyDescent="0.25">
      <c r="A146" s="84" t="s">
        <v>94</v>
      </c>
      <c r="B146" s="85">
        <f t="shared" ref="B146:AG146" si="19">+B148+B154</f>
        <v>0</v>
      </c>
      <c r="C146" s="86">
        <f t="shared" si="19"/>
        <v>0</v>
      </c>
      <c r="D146" s="86">
        <f t="shared" si="19"/>
        <v>0</v>
      </c>
      <c r="E146" s="86">
        <f t="shared" si="19"/>
        <v>0</v>
      </c>
      <c r="F146" s="86">
        <f t="shared" si="19"/>
        <v>0</v>
      </c>
      <c r="G146" s="86">
        <f t="shared" si="19"/>
        <v>0</v>
      </c>
      <c r="H146" s="86">
        <f t="shared" si="19"/>
        <v>0</v>
      </c>
      <c r="I146" s="86">
        <f t="shared" si="19"/>
        <v>0</v>
      </c>
      <c r="J146" s="86">
        <f t="shared" si="19"/>
        <v>0</v>
      </c>
      <c r="K146" s="86">
        <f t="shared" si="19"/>
        <v>0</v>
      </c>
      <c r="L146" s="86">
        <f t="shared" si="19"/>
        <v>0</v>
      </c>
      <c r="M146" s="86">
        <f t="shared" si="19"/>
        <v>0</v>
      </c>
      <c r="N146" s="86">
        <f t="shared" si="19"/>
        <v>0</v>
      </c>
      <c r="O146" s="86">
        <f t="shared" si="19"/>
        <v>0</v>
      </c>
      <c r="P146" s="86">
        <f t="shared" si="19"/>
        <v>0</v>
      </c>
      <c r="Q146" s="86">
        <f t="shared" si="19"/>
        <v>0</v>
      </c>
      <c r="R146" s="86">
        <f t="shared" si="19"/>
        <v>0</v>
      </c>
      <c r="S146" s="86">
        <f t="shared" si="19"/>
        <v>0</v>
      </c>
      <c r="T146" s="86">
        <f t="shared" si="19"/>
        <v>0</v>
      </c>
      <c r="U146" s="86">
        <f t="shared" si="19"/>
        <v>0</v>
      </c>
      <c r="V146" s="86">
        <f t="shared" si="19"/>
        <v>0</v>
      </c>
      <c r="W146" s="86">
        <f t="shared" si="19"/>
        <v>0</v>
      </c>
      <c r="X146" s="86">
        <f t="shared" si="19"/>
        <v>0</v>
      </c>
      <c r="Y146" s="86">
        <f t="shared" si="19"/>
        <v>0</v>
      </c>
      <c r="Z146" s="86">
        <f t="shared" si="19"/>
        <v>0</v>
      </c>
      <c r="AA146" s="86">
        <f t="shared" si="19"/>
        <v>0</v>
      </c>
      <c r="AB146" s="86">
        <f t="shared" si="19"/>
        <v>0</v>
      </c>
      <c r="AC146" s="86">
        <f t="shared" si="19"/>
        <v>0</v>
      </c>
      <c r="AD146" s="86">
        <f t="shared" si="19"/>
        <v>0</v>
      </c>
      <c r="AE146" s="86">
        <f t="shared" si="19"/>
        <v>0</v>
      </c>
      <c r="AF146" s="227">
        <f t="shared" si="19"/>
        <v>0</v>
      </c>
      <c r="AG146" s="87">
        <f t="shared" si="19"/>
        <v>0</v>
      </c>
    </row>
    <row r="147" spans="1:35" ht="15.75" customHeight="1" x14ac:dyDescent="0.25">
      <c r="A147" s="88" t="s">
        <v>95</v>
      </c>
      <c r="B147" s="89">
        <f t="shared" ref="B147:AE147" si="20">+B149+B155</f>
        <v>0</v>
      </c>
      <c r="C147" s="90">
        <f t="shared" si="20"/>
        <v>0</v>
      </c>
      <c r="D147" s="90">
        <f t="shared" si="20"/>
        <v>0</v>
      </c>
      <c r="E147" s="90">
        <f t="shared" si="20"/>
        <v>0</v>
      </c>
      <c r="F147" s="90">
        <f t="shared" si="20"/>
        <v>0</v>
      </c>
      <c r="G147" s="90">
        <f t="shared" si="20"/>
        <v>0</v>
      </c>
      <c r="H147" s="90">
        <f t="shared" si="20"/>
        <v>0</v>
      </c>
      <c r="I147" s="90">
        <f t="shared" si="20"/>
        <v>0</v>
      </c>
      <c r="J147" s="90">
        <f t="shared" si="20"/>
        <v>0</v>
      </c>
      <c r="K147" s="90">
        <f t="shared" si="20"/>
        <v>0</v>
      </c>
      <c r="L147" s="90">
        <f t="shared" si="20"/>
        <v>0</v>
      </c>
      <c r="M147" s="90">
        <f t="shared" si="20"/>
        <v>0</v>
      </c>
      <c r="N147" s="90">
        <f t="shared" si="20"/>
        <v>0</v>
      </c>
      <c r="O147" s="90">
        <f t="shared" si="20"/>
        <v>0</v>
      </c>
      <c r="P147" s="90">
        <f t="shared" si="20"/>
        <v>0</v>
      </c>
      <c r="Q147" s="90">
        <f t="shared" si="20"/>
        <v>0</v>
      </c>
      <c r="R147" s="90">
        <f t="shared" si="20"/>
        <v>0</v>
      </c>
      <c r="S147" s="90">
        <f t="shared" si="20"/>
        <v>0</v>
      </c>
      <c r="T147" s="90">
        <f t="shared" si="20"/>
        <v>0</v>
      </c>
      <c r="U147" s="90">
        <f t="shared" si="20"/>
        <v>0</v>
      </c>
      <c r="V147" s="90">
        <f t="shared" si="20"/>
        <v>0</v>
      </c>
      <c r="W147" s="90">
        <f t="shared" si="20"/>
        <v>0</v>
      </c>
      <c r="X147" s="90">
        <f t="shared" si="20"/>
        <v>0</v>
      </c>
      <c r="Y147" s="90">
        <f t="shared" si="20"/>
        <v>0</v>
      </c>
      <c r="Z147" s="90">
        <f t="shared" si="20"/>
        <v>0</v>
      </c>
      <c r="AA147" s="90">
        <f t="shared" si="20"/>
        <v>0</v>
      </c>
      <c r="AB147" s="90">
        <f t="shared" si="20"/>
        <v>0</v>
      </c>
      <c r="AC147" s="90">
        <f t="shared" si="20"/>
        <v>0</v>
      </c>
      <c r="AD147" s="90">
        <f t="shared" si="20"/>
        <v>0</v>
      </c>
      <c r="AE147" s="90">
        <f t="shared" si="20"/>
        <v>0</v>
      </c>
      <c r="AF147" s="228"/>
      <c r="AG147" s="91">
        <f t="shared" ref="AG147:AG226" si="21">SUM(B147:AF147)</f>
        <v>0</v>
      </c>
    </row>
    <row r="148" spans="1:35" ht="15.75" customHeight="1" x14ac:dyDescent="0.25">
      <c r="A148" s="92" t="s">
        <v>96</v>
      </c>
      <c r="B148" s="93">
        <f t="shared" ref="B148:AF148" si="22">SUM(B150:B153)</f>
        <v>0</v>
      </c>
      <c r="C148" s="94">
        <f t="shared" si="22"/>
        <v>0</v>
      </c>
      <c r="D148" s="94">
        <f t="shared" si="22"/>
        <v>0</v>
      </c>
      <c r="E148" s="94">
        <f t="shared" si="22"/>
        <v>0</v>
      </c>
      <c r="F148" s="94">
        <f t="shared" si="22"/>
        <v>0</v>
      </c>
      <c r="G148" s="94">
        <f t="shared" si="22"/>
        <v>0</v>
      </c>
      <c r="H148" s="94">
        <f t="shared" si="22"/>
        <v>0</v>
      </c>
      <c r="I148" s="94">
        <f t="shared" si="22"/>
        <v>0</v>
      </c>
      <c r="J148" s="94">
        <f t="shared" si="22"/>
        <v>0</v>
      </c>
      <c r="K148" s="94">
        <f t="shared" si="22"/>
        <v>0</v>
      </c>
      <c r="L148" s="94">
        <f t="shared" si="22"/>
        <v>0</v>
      </c>
      <c r="M148" s="94">
        <f t="shared" si="22"/>
        <v>0</v>
      </c>
      <c r="N148" s="94">
        <f t="shared" si="22"/>
        <v>0</v>
      </c>
      <c r="O148" s="94">
        <f t="shared" si="22"/>
        <v>0</v>
      </c>
      <c r="P148" s="94">
        <f t="shared" si="22"/>
        <v>0</v>
      </c>
      <c r="Q148" s="94">
        <f t="shared" si="22"/>
        <v>0</v>
      </c>
      <c r="R148" s="94">
        <f t="shared" si="22"/>
        <v>0</v>
      </c>
      <c r="S148" s="94">
        <f t="shared" si="22"/>
        <v>0</v>
      </c>
      <c r="T148" s="94">
        <f t="shared" si="22"/>
        <v>0</v>
      </c>
      <c r="U148" s="94">
        <f t="shared" si="22"/>
        <v>0</v>
      </c>
      <c r="V148" s="94">
        <f t="shared" si="22"/>
        <v>0</v>
      </c>
      <c r="W148" s="94">
        <f t="shared" si="22"/>
        <v>0</v>
      </c>
      <c r="X148" s="94">
        <f t="shared" si="22"/>
        <v>0</v>
      </c>
      <c r="Y148" s="94">
        <f t="shared" si="22"/>
        <v>0</v>
      </c>
      <c r="Z148" s="94">
        <f t="shared" si="22"/>
        <v>0</v>
      </c>
      <c r="AA148" s="94">
        <f t="shared" si="22"/>
        <v>0</v>
      </c>
      <c r="AB148" s="94">
        <f t="shared" si="22"/>
        <v>0</v>
      </c>
      <c r="AC148" s="94">
        <f t="shared" si="22"/>
        <v>0</v>
      </c>
      <c r="AD148" s="94">
        <f t="shared" si="22"/>
        <v>0</v>
      </c>
      <c r="AE148" s="94">
        <f t="shared" si="22"/>
        <v>0</v>
      </c>
      <c r="AF148" s="229">
        <f t="shared" si="22"/>
        <v>0</v>
      </c>
      <c r="AG148" s="95">
        <f t="shared" si="21"/>
        <v>0</v>
      </c>
    </row>
    <row r="149" spans="1:35" ht="15.75" customHeight="1" x14ac:dyDescent="0.25">
      <c r="A149" s="88" t="s">
        <v>97</v>
      </c>
      <c r="B149" s="89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228"/>
      <c r="AG149" s="91">
        <f t="shared" si="21"/>
        <v>0</v>
      </c>
    </row>
    <row r="150" spans="1:35" ht="15.75" customHeight="1" x14ac:dyDescent="0.25">
      <c r="A150" s="96" t="s">
        <v>98</v>
      </c>
      <c r="B150" s="97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230"/>
      <c r="AG150" s="11">
        <f t="shared" si="21"/>
        <v>0</v>
      </c>
      <c r="AI150" s="99"/>
    </row>
    <row r="151" spans="1:35" ht="15.75" customHeight="1" x14ac:dyDescent="0.25">
      <c r="A151" s="100" t="s">
        <v>99</v>
      </c>
      <c r="B151" s="101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231"/>
      <c r="AG151" s="15">
        <f t="shared" si="21"/>
        <v>0</v>
      </c>
      <c r="AI151" s="99"/>
    </row>
    <row r="152" spans="1:35" ht="15.75" customHeight="1" x14ac:dyDescent="0.25">
      <c r="A152" s="100" t="s">
        <v>100</v>
      </c>
      <c r="B152" s="101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231"/>
      <c r="AG152" s="15">
        <f t="shared" si="21"/>
        <v>0</v>
      </c>
    </row>
    <row r="153" spans="1:35" ht="15.75" customHeight="1" x14ac:dyDescent="0.25">
      <c r="A153" s="103" t="s">
        <v>101</v>
      </c>
      <c r="B153" s="104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232"/>
      <c r="AG153" s="106">
        <f t="shared" si="21"/>
        <v>0</v>
      </c>
    </row>
    <row r="154" spans="1:35" ht="15.75" customHeight="1" x14ac:dyDescent="0.25">
      <c r="A154" s="92" t="s">
        <v>102</v>
      </c>
      <c r="B154" s="93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229"/>
      <c r="AG154" s="95">
        <f t="shared" si="21"/>
        <v>0</v>
      </c>
    </row>
    <row r="155" spans="1:35" ht="15.75" customHeight="1" x14ac:dyDescent="0.25">
      <c r="A155" s="88" t="s">
        <v>103</v>
      </c>
      <c r="B155" s="89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228"/>
      <c r="AG155" s="91">
        <f t="shared" si="21"/>
        <v>0</v>
      </c>
    </row>
    <row r="156" spans="1:35" ht="15.75" customHeight="1" x14ac:dyDescent="0.25">
      <c r="A156" s="107" t="s">
        <v>104</v>
      </c>
      <c r="B156" s="108">
        <v>195</v>
      </c>
      <c r="C156" s="109">
        <v>178</v>
      </c>
      <c r="D156" s="109">
        <v>203</v>
      </c>
      <c r="E156" s="109">
        <v>214</v>
      </c>
      <c r="F156" s="109">
        <v>197</v>
      </c>
      <c r="G156" s="109">
        <v>208</v>
      </c>
      <c r="H156" s="109">
        <v>202</v>
      </c>
      <c r="I156" s="109">
        <v>215</v>
      </c>
      <c r="J156" s="109">
        <v>206</v>
      </c>
      <c r="K156" s="109">
        <v>205</v>
      </c>
      <c r="L156" s="109">
        <v>208</v>
      </c>
      <c r="M156" s="109">
        <v>257</v>
      </c>
      <c r="N156" s="109">
        <v>263</v>
      </c>
      <c r="O156" s="109">
        <v>248</v>
      </c>
      <c r="P156" s="109">
        <v>289</v>
      </c>
      <c r="Q156" s="109">
        <v>274</v>
      </c>
      <c r="R156" s="109">
        <v>220</v>
      </c>
      <c r="S156" s="109">
        <v>222</v>
      </c>
      <c r="T156" s="109">
        <v>236</v>
      </c>
      <c r="U156" s="109">
        <v>270</v>
      </c>
      <c r="V156" s="109">
        <v>266</v>
      </c>
      <c r="W156" s="109">
        <v>238</v>
      </c>
      <c r="X156" s="109">
        <v>242</v>
      </c>
      <c r="Y156" s="109">
        <v>201</v>
      </c>
      <c r="Z156" s="109">
        <v>266</v>
      </c>
      <c r="AA156" s="109">
        <v>253</v>
      </c>
      <c r="AB156" s="109">
        <v>224</v>
      </c>
      <c r="AC156" s="109">
        <v>246</v>
      </c>
      <c r="AD156" s="109">
        <v>210</v>
      </c>
      <c r="AE156" s="109">
        <v>209</v>
      </c>
      <c r="AF156" s="233">
        <v>225</v>
      </c>
      <c r="AG156" s="110">
        <f t="shared" si="21"/>
        <v>7090</v>
      </c>
      <c r="AH156" s="111" t="s">
        <v>105</v>
      </c>
    </row>
    <row r="157" spans="1:35" ht="15.75" customHeight="1" x14ac:dyDescent="0.25">
      <c r="A157" s="74" t="s">
        <v>46</v>
      </c>
      <c r="B157" s="75">
        <v>8</v>
      </c>
      <c r="C157" s="76">
        <v>13</v>
      </c>
      <c r="D157" s="76">
        <v>23</v>
      </c>
      <c r="E157" s="76">
        <v>6</v>
      </c>
      <c r="F157" s="76">
        <v>7</v>
      </c>
      <c r="G157" s="76">
        <v>37</v>
      </c>
      <c r="H157" s="76">
        <v>31</v>
      </c>
      <c r="I157" s="76">
        <v>10</v>
      </c>
      <c r="J157" s="76">
        <v>35</v>
      </c>
      <c r="K157" s="76">
        <v>18</v>
      </c>
      <c r="L157" s="76">
        <v>4</v>
      </c>
      <c r="M157" s="76">
        <v>19</v>
      </c>
      <c r="N157" s="76">
        <v>88</v>
      </c>
      <c r="O157" s="76">
        <v>61</v>
      </c>
      <c r="P157" s="76">
        <v>63</v>
      </c>
      <c r="Q157" s="76">
        <v>58</v>
      </c>
      <c r="R157" s="76">
        <v>35</v>
      </c>
      <c r="S157" s="76">
        <v>4</v>
      </c>
      <c r="T157" s="76">
        <v>8</v>
      </c>
      <c r="U157" s="76">
        <v>78</v>
      </c>
      <c r="V157" s="76">
        <v>71</v>
      </c>
      <c r="W157" s="76">
        <v>48</v>
      </c>
      <c r="X157" s="76">
        <v>34</v>
      </c>
      <c r="Y157" s="76">
        <v>37</v>
      </c>
      <c r="Z157" s="76">
        <v>8</v>
      </c>
      <c r="AA157" s="76"/>
      <c r="AB157" s="76">
        <v>70</v>
      </c>
      <c r="AC157" s="76">
        <v>34</v>
      </c>
      <c r="AD157" s="76">
        <v>32</v>
      </c>
      <c r="AE157" s="76">
        <v>37</v>
      </c>
      <c r="AF157" s="225">
        <v>20</v>
      </c>
      <c r="AG157" s="112">
        <f t="shared" si="21"/>
        <v>997</v>
      </c>
      <c r="AH157" s="111"/>
    </row>
    <row r="158" spans="1:35" ht="15.75" customHeight="1" x14ac:dyDescent="0.25">
      <c r="A158" s="113" t="s">
        <v>106</v>
      </c>
      <c r="B158" s="114">
        <f t="shared" ref="B158:AF158" si="23">SUM(B159:B166)</f>
        <v>0</v>
      </c>
      <c r="C158" s="115">
        <f t="shared" si="23"/>
        <v>0</v>
      </c>
      <c r="D158" s="115">
        <f t="shared" si="23"/>
        <v>0</v>
      </c>
      <c r="E158" s="115">
        <f t="shared" si="23"/>
        <v>0</v>
      </c>
      <c r="F158" s="115">
        <f t="shared" si="23"/>
        <v>0</v>
      </c>
      <c r="G158" s="115">
        <f t="shared" si="23"/>
        <v>0</v>
      </c>
      <c r="H158" s="115">
        <f t="shared" si="23"/>
        <v>0</v>
      </c>
      <c r="I158" s="115">
        <f t="shared" si="23"/>
        <v>0</v>
      </c>
      <c r="J158" s="115">
        <f t="shared" si="23"/>
        <v>0</v>
      </c>
      <c r="K158" s="115">
        <f t="shared" si="23"/>
        <v>0</v>
      </c>
      <c r="L158" s="115">
        <f t="shared" si="23"/>
        <v>0</v>
      </c>
      <c r="M158" s="115">
        <f t="shared" si="23"/>
        <v>0</v>
      </c>
      <c r="N158" s="115">
        <f t="shared" si="23"/>
        <v>0</v>
      </c>
      <c r="O158" s="115">
        <f t="shared" si="23"/>
        <v>0</v>
      </c>
      <c r="P158" s="115">
        <f t="shared" si="23"/>
        <v>0</v>
      </c>
      <c r="Q158" s="115">
        <f t="shared" si="23"/>
        <v>0</v>
      </c>
      <c r="R158" s="115">
        <f t="shared" si="23"/>
        <v>0</v>
      </c>
      <c r="S158" s="115">
        <f t="shared" si="23"/>
        <v>0</v>
      </c>
      <c r="T158" s="115">
        <f t="shared" si="23"/>
        <v>0</v>
      </c>
      <c r="U158" s="115">
        <f t="shared" si="23"/>
        <v>0</v>
      </c>
      <c r="V158" s="115">
        <f t="shared" si="23"/>
        <v>0</v>
      </c>
      <c r="W158" s="115">
        <f t="shared" si="23"/>
        <v>0</v>
      </c>
      <c r="X158" s="115">
        <f t="shared" si="23"/>
        <v>0</v>
      </c>
      <c r="Y158" s="115">
        <f t="shared" si="23"/>
        <v>0</v>
      </c>
      <c r="Z158" s="115">
        <f t="shared" si="23"/>
        <v>0</v>
      </c>
      <c r="AA158" s="115">
        <f t="shared" si="23"/>
        <v>0</v>
      </c>
      <c r="AB158" s="115">
        <f t="shared" si="23"/>
        <v>0</v>
      </c>
      <c r="AC158" s="115">
        <f t="shared" si="23"/>
        <v>0</v>
      </c>
      <c r="AD158" s="115">
        <f t="shared" si="23"/>
        <v>0</v>
      </c>
      <c r="AE158" s="115">
        <f t="shared" si="23"/>
        <v>0</v>
      </c>
      <c r="AF158" s="234">
        <f t="shared" si="23"/>
        <v>0</v>
      </c>
      <c r="AG158" s="116">
        <f t="shared" si="21"/>
        <v>0</v>
      </c>
    </row>
    <row r="159" spans="1:35" ht="15.75" customHeight="1" x14ac:dyDescent="0.25">
      <c r="A159" s="96" t="s">
        <v>79</v>
      </c>
      <c r="B159" s="97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230"/>
      <c r="AG159" s="11">
        <f t="shared" si="21"/>
        <v>0</v>
      </c>
    </row>
    <row r="160" spans="1:35" ht="15.75" customHeight="1" x14ac:dyDescent="0.25">
      <c r="A160" s="100" t="s">
        <v>80</v>
      </c>
      <c r="B160" s="101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231"/>
      <c r="AG160" s="15">
        <f t="shared" si="21"/>
        <v>0</v>
      </c>
    </row>
    <row r="161" spans="1:34" ht="15.75" customHeight="1" x14ac:dyDescent="0.25">
      <c r="A161" s="100" t="s">
        <v>78</v>
      </c>
      <c r="B161" s="101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231"/>
      <c r="AG161" s="15">
        <f t="shared" si="21"/>
        <v>0</v>
      </c>
    </row>
    <row r="162" spans="1:34" ht="15.75" customHeight="1" x14ac:dyDescent="0.25">
      <c r="A162" s="100" t="s">
        <v>81</v>
      </c>
      <c r="B162" s="101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231"/>
      <c r="AG162" s="15">
        <f t="shared" si="21"/>
        <v>0</v>
      </c>
    </row>
    <row r="163" spans="1:34" ht="15.75" customHeight="1" x14ac:dyDescent="0.25">
      <c r="A163" s="100" t="s">
        <v>82</v>
      </c>
      <c r="B163" s="101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231"/>
      <c r="AG163" s="15">
        <f t="shared" si="21"/>
        <v>0</v>
      </c>
    </row>
    <row r="164" spans="1:34" ht="15.75" customHeight="1" x14ac:dyDescent="0.25">
      <c r="A164" s="100" t="s">
        <v>83</v>
      </c>
      <c r="B164" s="101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231"/>
      <c r="AG164" s="15">
        <f t="shared" si="21"/>
        <v>0</v>
      </c>
    </row>
    <row r="165" spans="1:34" ht="15.75" customHeight="1" x14ac:dyDescent="0.25">
      <c r="A165" s="100" t="s">
        <v>84</v>
      </c>
      <c r="B165" s="101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231"/>
      <c r="AG165" s="15">
        <f t="shared" si="21"/>
        <v>0</v>
      </c>
    </row>
    <row r="166" spans="1:34" ht="15.75" customHeight="1" x14ac:dyDescent="0.25">
      <c r="A166" s="103" t="s">
        <v>85</v>
      </c>
      <c r="B166" s="104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232"/>
      <c r="AG166" s="106">
        <f t="shared" si="21"/>
        <v>0</v>
      </c>
    </row>
    <row r="167" spans="1:34" ht="15.75" customHeight="1" x14ac:dyDescent="0.25">
      <c r="A167" s="107" t="s">
        <v>107</v>
      </c>
      <c r="B167" s="108">
        <f t="shared" ref="B167:AF167" si="24">SUM(B168:B171)</f>
        <v>0</v>
      </c>
      <c r="C167" s="109">
        <f t="shared" si="24"/>
        <v>0</v>
      </c>
      <c r="D167" s="109">
        <f t="shared" si="24"/>
        <v>0</v>
      </c>
      <c r="E167" s="109">
        <f t="shared" si="24"/>
        <v>0</v>
      </c>
      <c r="F167" s="109">
        <f t="shared" si="24"/>
        <v>0</v>
      </c>
      <c r="G167" s="109">
        <f t="shared" si="24"/>
        <v>0</v>
      </c>
      <c r="H167" s="109">
        <f t="shared" si="24"/>
        <v>0</v>
      </c>
      <c r="I167" s="109">
        <f t="shared" si="24"/>
        <v>0</v>
      </c>
      <c r="J167" s="109">
        <f t="shared" si="24"/>
        <v>0</v>
      </c>
      <c r="K167" s="109">
        <f t="shared" si="24"/>
        <v>0</v>
      </c>
      <c r="L167" s="109">
        <f t="shared" si="24"/>
        <v>0</v>
      </c>
      <c r="M167" s="109">
        <f t="shared" si="24"/>
        <v>0</v>
      </c>
      <c r="N167" s="109">
        <f t="shared" si="24"/>
        <v>0</v>
      </c>
      <c r="O167" s="109">
        <f t="shared" si="24"/>
        <v>0</v>
      </c>
      <c r="P167" s="109">
        <f t="shared" si="24"/>
        <v>0</v>
      </c>
      <c r="Q167" s="109">
        <f t="shared" si="24"/>
        <v>0</v>
      </c>
      <c r="R167" s="109">
        <f t="shared" si="24"/>
        <v>0</v>
      </c>
      <c r="S167" s="109">
        <f t="shared" si="24"/>
        <v>0</v>
      </c>
      <c r="T167" s="109">
        <f t="shared" si="24"/>
        <v>0</v>
      </c>
      <c r="U167" s="109">
        <f t="shared" si="24"/>
        <v>0</v>
      </c>
      <c r="V167" s="109">
        <f t="shared" si="24"/>
        <v>0</v>
      </c>
      <c r="W167" s="109">
        <f t="shared" si="24"/>
        <v>0</v>
      </c>
      <c r="X167" s="109">
        <f t="shared" si="24"/>
        <v>0</v>
      </c>
      <c r="Y167" s="109">
        <f t="shared" si="24"/>
        <v>0</v>
      </c>
      <c r="Z167" s="109">
        <f t="shared" si="24"/>
        <v>0</v>
      </c>
      <c r="AA167" s="109">
        <f t="shared" si="24"/>
        <v>0</v>
      </c>
      <c r="AB167" s="109">
        <f t="shared" si="24"/>
        <v>0</v>
      </c>
      <c r="AC167" s="109">
        <f t="shared" si="24"/>
        <v>0</v>
      </c>
      <c r="AD167" s="109">
        <f t="shared" si="24"/>
        <v>0</v>
      </c>
      <c r="AE167" s="109">
        <f t="shared" si="24"/>
        <v>0</v>
      </c>
      <c r="AF167" s="233">
        <f t="shared" si="24"/>
        <v>0</v>
      </c>
      <c r="AG167" s="110">
        <f t="shared" si="21"/>
        <v>0</v>
      </c>
    </row>
    <row r="168" spans="1:34" ht="15.75" customHeight="1" x14ac:dyDescent="0.25">
      <c r="A168" s="117" t="s">
        <v>86</v>
      </c>
      <c r="B168" s="101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231"/>
      <c r="AG168" s="15">
        <f t="shared" si="21"/>
        <v>0</v>
      </c>
    </row>
    <row r="169" spans="1:34" ht="15.75" customHeight="1" x14ac:dyDescent="0.25">
      <c r="A169" s="117" t="s">
        <v>87</v>
      </c>
      <c r="B169" s="101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231"/>
      <c r="AG169" s="15">
        <f t="shared" si="21"/>
        <v>0</v>
      </c>
    </row>
    <row r="170" spans="1:34" ht="15.75" customHeight="1" x14ac:dyDescent="0.25">
      <c r="A170" s="117" t="s">
        <v>88</v>
      </c>
      <c r="B170" s="101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231"/>
      <c r="AG170" s="15">
        <f t="shared" si="21"/>
        <v>0</v>
      </c>
    </row>
    <row r="171" spans="1:34" ht="15.75" customHeight="1" x14ac:dyDescent="0.25">
      <c r="A171" s="118" t="s">
        <v>108</v>
      </c>
      <c r="B171" s="104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232"/>
      <c r="AG171" s="106">
        <f t="shared" si="21"/>
        <v>0</v>
      </c>
    </row>
    <row r="172" spans="1:34" ht="15.75" customHeight="1" x14ac:dyDescent="0.25">
      <c r="A172" s="119" t="s">
        <v>109</v>
      </c>
      <c r="B172" s="120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235"/>
      <c r="AG172" s="122">
        <f t="shared" si="21"/>
        <v>0</v>
      </c>
    </row>
    <row r="173" spans="1:34" ht="15.75" customHeight="1" x14ac:dyDescent="0.25">
      <c r="A173" s="4" t="s">
        <v>110</v>
      </c>
      <c r="B173" s="5">
        <f t="shared" ref="B173:AF173" si="25">SUM(B174:B176)</f>
        <v>1</v>
      </c>
      <c r="C173" s="6">
        <f t="shared" si="25"/>
        <v>3</v>
      </c>
      <c r="D173" s="6">
        <f t="shared" si="25"/>
        <v>0</v>
      </c>
      <c r="E173" s="6">
        <f t="shared" si="25"/>
        <v>2</v>
      </c>
      <c r="F173" s="6">
        <f t="shared" si="25"/>
        <v>0</v>
      </c>
      <c r="G173" s="6">
        <f t="shared" si="25"/>
        <v>1</v>
      </c>
      <c r="H173" s="6">
        <f t="shared" si="25"/>
        <v>0</v>
      </c>
      <c r="I173" s="6">
        <f t="shared" si="25"/>
        <v>0</v>
      </c>
      <c r="J173" s="6">
        <f t="shared" si="25"/>
        <v>0</v>
      </c>
      <c r="K173" s="6">
        <f t="shared" si="25"/>
        <v>0</v>
      </c>
      <c r="L173" s="6">
        <f t="shared" si="25"/>
        <v>0</v>
      </c>
      <c r="M173" s="6">
        <f t="shared" si="25"/>
        <v>2</v>
      </c>
      <c r="N173" s="6">
        <f t="shared" si="25"/>
        <v>0</v>
      </c>
      <c r="O173" s="6">
        <f t="shared" si="25"/>
        <v>0</v>
      </c>
      <c r="P173" s="6">
        <f t="shared" si="25"/>
        <v>2</v>
      </c>
      <c r="Q173" s="6">
        <f t="shared" si="25"/>
        <v>1</v>
      </c>
      <c r="R173" s="6">
        <f t="shared" si="25"/>
        <v>0</v>
      </c>
      <c r="S173" s="6">
        <f t="shared" si="25"/>
        <v>0</v>
      </c>
      <c r="T173" s="6">
        <f t="shared" si="25"/>
        <v>1</v>
      </c>
      <c r="U173" s="6">
        <f t="shared" si="25"/>
        <v>1</v>
      </c>
      <c r="V173" s="6">
        <f t="shared" si="25"/>
        <v>1</v>
      </c>
      <c r="W173" s="6">
        <f t="shared" si="25"/>
        <v>1</v>
      </c>
      <c r="X173" s="6">
        <f t="shared" si="25"/>
        <v>0</v>
      </c>
      <c r="Y173" s="6">
        <f t="shared" si="25"/>
        <v>2</v>
      </c>
      <c r="Z173" s="6">
        <f t="shared" si="25"/>
        <v>1</v>
      </c>
      <c r="AA173" s="6">
        <f t="shared" si="25"/>
        <v>1</v>
      </c>
      <c r="AB173" s="6">
        <f t="shared" si="25"/>
        <v>0</v>
      </c>
      <c r="AC173" s="6">
        <f t="shared" si="25"/>
        <v>0</v>
      </c>
      <c r="AD173" s="6">
        <f t="shared" si="25"/>
        <v>0</v>
      </c>
      <c r="AE173" s="6">
        <f t="shared" si="25"/>
        <v>0</v>
      </c>
      <c r="AF173" s="236">
        <f t="shared" si="25"/>
        <v>0</v>
      </c>
      <c r="AG173" s="7">
        <f t="shared" si="21"/>
        <v>20</v>
      </c>
      <c r="AH173" s="111" t="s">
        <v>111</v>
      </c>
    </row>
    <row r="174" spans="1:34" ht="15.75" customHeight="1" x14ac:dyDescent="0.25">
      <c r="A174" s="123" t="s">
        <v>112</v>
      </c>
      <c r="B174" s="124">
        <v>1</v>
      </c>
      <c r="C174" s="125">
        <v>2</v>
      </c>
      <c r="D174" s="125">
        <v>0</v>
      </c>
      <c r="E174" s="125">
        <v>2</v>
      </c>
      <c r="F174" s="125">
        <v>0</v>
      </c>
      <c r="G174" s="125">
        <v>0</v>
      </c>
      <c r="H174" s="125">
        <v>0</v>
      </c>
      <c r="I174" s="125">
        <v>0</v>
      </c>
      <c r="J174" s="125">
        <v>0</v>
      </c>
      <c r="K174" s="125">
        <v>0</v>
      </c>
      <c r="L174" s="125">
        <v>0</v>
      </c>
      <c r="M174" s="125">
        <v>0</v>
      </c>
      <c r="N174" s="125">
        <v>0</v>
      </c>
      <c r="O174" s="125">
        <v>0</v>
      </c>
      <c r="P174" s="125">
        <v>2</v>
      </c>
      <c r="Q174" s="125">
        <v>1</v>
      </c>
      <c r="R174" s="125">
        <v>0</v>
      </c>
      <c r="S174" s="125">
        <v>0</v>
      </c>
      <c r="T174" s="125">
        <v>1</v>
      </c>
      <c r="U174" s="125">
        <v>0</v>
      </c>
      <c r="V174" s="125">
        <v>1</v>
      </c>
      <c r="W174" s="125">
        <v>1</v>
      </c>
      <c r="X174" s="125">
        <v>0</v>
      </c>
      <c r="Y174" s="125">
        <v>0</v>
      </c>
      <c r="Z174" s="125">
        <v>1</v>
      </c>
      <c r="AA174" s="125">
        <v>1</v>
      </c>
      <c r="AB174" s="125">
        <v>0</v>
      </c>
      <c r="AC174" s="125">
        <v>0</v>
      </c>
      <c r="AD174" s="125">
        <v>0</v>
      </c>
      <c r="AE174" s="125">
        <v>0</v>
      </c>
      <c r="AF174" s="237">
        <v>0</v>
      </c>
      <c r="AG174" s="126">
        <f t="shared" si="21"/>
        <v>13</v>
      </c>
      <c r="AH174" s="111"/>
    </row>
    <row r="175" spans="1:34" ht="15.75" customHeight="1" x14ac:dyDescent="0.25">
      <c r="A175" s="127" t="s">
        <v>113</v>
      </c>
      <c r="B175" s="128">
        <v>0</v>
      </c>
      <c r="C175" s="129">
        <v>1</v>
      </c>
      <c r="D175" s="129">
        <v>0</v>
      </c>
      <c r="E175" s="129">
        <v>0</v>
      </c>
      <c r="F175" s="129">
        <v>0</v>
      </c>
      <c r="G175" s="129">
        <v>1</v>
      </c>
      <c r="H175" s="129">
        <v>0</v>
      </c>
      <c r="I175" s="129">
        <v>0</v>
      </c>
      <c r="J175" s="129">
        <v>0</v>
      </c>
      <c r="K175" s="129">
        <v>0</v>
      </c>
      <c r="L175" s="129">
        <v>0</v>
      </c>
      <c r="M175" s="129">
        <v>2</v>
      </c>
      <c r="N175" s="129">
        <v>0</v>
      </c>
      <c r="O175" s="129">
        <v>0</v>
      </c>
      <c r="P175" s="129">
        <v>0</v>
      </c>
      <c r="Q175" s="129">
        <v>0</v>
      </c>
      <c r="R175" s="129">
        <v>0</v>
      </c>
      <c r="S175" s="129">
        <v>0</v>
      </c>
      <c r="T175" s="129">
        <v>0</v>
      </c>
      <c r="U175" s="129">
        <v>1</v>
      </c>
      <c r="V175" s="129">
        <v>0</v>
      </c>
      <c r="W175" s="129">
        <v>0</v>
      </c>
      <c r="X175" s="129">
        <v>0</v>
      </c>
      <c r="Y175" s="129">
        <v>2</v>
      </c>
      <c r="Z175" s="129">
        <v>0</v>
      </c>
      <c r="AA175" s="129">
        <v>0</v>
      </c>
      <c r="AB175" s="129">
        <v>0</v>
      </c>
      <c r="AC175" s="129">
        <v>0</v>
      </c>
      <c r="AD175" s="129">
        <v>0</v>
      </c>
      <c r="AE175" s="129">
        <v>0</v>
      </c>
      <c r="AF175" s="238">
        <v>0</v>
      </c>
      <c r="AG175" s="130">
        <f t="shared" si="21"/>
        <v>7</v>
      </c>
      <c r="AH175" s="111"/>
    </row>
    <row r="176" spans="1:34" ht="15.75" customHeight="1" x14ac:dyDescent="0.25">
      <c r="A176" s="131" t="s">
        <v>114</v>
      </c>
      <c r="B176" s="132">
        <v>0</v>
      </c>
      <c r="C176" s="133">
        <v>0</v>
      </c>
      <c r="D176" s="133">
        <v>0</v>
      </c>
      <c r="E176" s="133">
        <v>0</v>
      </c>
      <c r="F176" s="133">
        <v>0</v>
      </c>
      <c r="G176" s="133">
        <v>0</v>
      </c>
      <c r="H176" s="133">
        <v>0</v>
      </c>
      <c r="I176" s="133">
        <v>0</v>
      </c>
      <c r="J176" s="133">
        <v>0</v>
      </c>
      <c r="K176" s="133">
        <v>0</v>
      </c>
      <c r="L176" s="133">
        <v>0</v>
      </c>
      <c r="M176" s="133">
        <v>0</v>
      </c>
      <c r="N176" s="133">
        <v>0</v>
      </c>
      <c r="O176" s="133">
        <v>0</v>
      </c>
      <c r="P176" s="133">
        <v>0</v>
      </c>
      <c r="Q176" s="133">
        <v>0</v>
      </c>
      <c r="R176" s="133">
        <v>0</v>
      </c>
      <c r="S176" s="133">
        <v>0</v>
      </c>
      <c r="T176" s="133">
        <v>0</v>
      </c>
      <c r="U176" s="133">
        <v>0</v>
      </c>
      <c r="V176" s="133">
        <v>0</v>
      </c>
      <c r="W176" s="133">
        <v>0</v>
      </c>
      <c r="X176" s="133">
        <v>0</v>
      </c>
      <c r="Y176" s="133">
        <v>0</v>
      </c>
      <c r="Z176" s="133">
        <v>0</v>
      </c>
      <c r="AA176" s="133">
        <v>0</v>
      </c>
      <c r="AB176" s="133">
        <v>0</v>
      </c>
      <c r="AC176" s="133">
        <v>0</v>
      </c>
      <c r="AD176" s="133">
        <v>0</v>
      </c>
      <c r="AE176" s="133">
        <v>0</v>
      </c>
      <c r="AF176" s="239">
        <v>0</v>
      </c>
      <c r="AG176" s="134">
        <f t="shared" si="21"/>
        <v>0</v>
      </c>
      <c r="AH176" s="111"/>
    </row>
    <row r="177" spans="1:35" ht="15.75" customHeight="1" x14ac:dyDescent="0.25">
      <c r="A177" s="53" t="s">
        <v>115</v>
      </c>
      <c r="B177" s="135">
        <f t="shared" ref="B177:AF177" si="26">SUM(B178:B179)</f>
        <v>5</v>
      </c>
      <c r="C177" s="136">
        <f t="shared" si="26"/>
        <v>3</v>
      </c>
      <c r="D177" s="136">
        <f t="shared" si="26"/>
        <v>1</v>
      </c>
      <c r="E177" s="136">
        <f t="shared" si="26"/>
        <v>5</v>
      </c>
      <c r="F177" s="136">
        <f t="shared" si="26"/>
        <v>5</v>
      </c>
      <c r="G177" s="136">
        <f t="shared" si="26"/>
        <v>5</v>
      </c>
      <c r="H177" s="136">
        <f t="shared" si="26"/>
        <v>5</v>
      </c>
      <c r="I177" s="136">
        <f t="shared" si="26"/>
        <v>0</v>
      </c>
      <c r="J177" s="136">
        <f t="shared" si="26"/>
        <v>8</v>
      </c>
      <c r="K177" s="136">
        <f t="shared" si="26"/>
        <v>0</v>
      </c>
      <c r="L177" s="136">
        <f t="shared" si="26"/>
        <v>3</v>
      </c>
      <c r="M177" s="136">
        <f t="shared" si="26"/>
        <v>1</v>
      </c>
      <c r="N177" s="136">
        <f t="shared" si="26"/>
        <v>2</v>
      </c>
      <c r="O177" s="136">
        <f t="shared" si="26"/>
        <v>3</v>
      </c>
      <c r="P177" s="136">
        <f t="shared" si="26"/>
        <v>6</v>
      </c>
      <c r="Q177" s="136">
        <f t="shared" si="26"/>
        <v>5</v>
      </c>
      <c r="R177" s="136">
        <f t="shared" si="26"/>
        <v>2</v>
      </c>
      <c r="S177" s="136">
        <f t="shared" si="26"/>
        <v>2</v>
      </c>
      <c r="T177" s="136">
        <f t="shared" si="26"/>
        <v>7</v>
      </c>
      <c r="U177" s="136">
        <f t="shared" si="26"/>
        <v>2</v>
      </c>
      <c r="V177" s="136">
        <f t="shared" si="26"/>
        <v>5</v>
      </c>
      <c r="W177" s="136">
        <f t="shared" si="26"/>
        <v>4</v>
      </c>
      <c r="X177" s="136">
        <f t="shared" si="26"/>
        <v>5</v>
      </c>
      <c r="Y177" s="136">
        <f t="shared" si="26"/>
        <v>8</v>
      </c>
      <c r="Z177" s="136">
        <f t="shared" si="26"/>
        <v>0</v>
      </c>
      <c r="AA177" s="136">
        <f t="shared" si="26"/>
        <v>0</v>
      </c>
      <c r="AB177" s="136">
        <f t="shared" si="26"/>
        <v>2</v>
      </c>
      <c r="AC177" s="136">
        <f t="shared" si="26"/>
        <v>3</v>
      </c>
      <c r="AD177" s="136">
        <f t="shared" si="26"/>
        <v>1</v>
      </c>
      <c r="AE177" s="136">
        <f t="shared" si="26"/>
        <v>0</v>
      </c>
      <c r="AF177" s="240">
        <f t="shared" si="26"/>
        <v>3</v>
      </c>
      <c r="AG177" s="137">
        <f t="shared" si="21"/>
        <v>101</v>
      </c>
      <c r="AH177" s="111" t="s">
        <v>116</v>
      </c>
    </row>
    <row r="178" spans="1:35" ht="15.75" customHeight="1" x14ac:dyDescent="0.25">
      <c r="A178" s="138" t="s">
        <v>117</v>
      </c>
      <c r="B178" s="139">
        <v>0</v>
      </c>
      <c r="C178" s="140">
        <v>0</v>
      </c>
      <c r="D178" s="140">
        <v>0</v>
      </c>
      <c r="E178" s="140">
        <v>1</v>
      </c>
      <c r="F178" s="140">
        <v>0</v>
      </c>
      <c r="G178" s="140">
        <v>1</v>
      </c>
      <c r="H178" s="140">
        <v>1</v>
      </c>
      <c r="I178" s="140">
        <v>0</v>
      </c>
      <c r="J178" s="140">
        <v>0</v>
      </c>
      <c r="K178" s="140">
        <v>0</v>
      </c>
      <c r="L178" s="140">
        <v>1</v>
      </c>
      <c r="M178" s="140">
        <v>0</v>
      </c>
      <c r="N178" s="140">
        <v>0</v>
      </c>
      <c r="O178" s="140"/>
      <c r="P178" s="140">
        <v>0</v>
      </c>
      <c r="Q178" s="140">
        <v>3</v>
      </c>
      <c r="R178" s="140">
        <v>0</v>
      </c>
      <c r="S178" s="140">
        <v>0</v>
      </c>
      <c r="T178" s="140">
        <v>0</v>
      </c>
      <c r="U178" s="140">
        <v>0</v>
      </c>
      <c r="V178" s="140">
        <v>1</v>
      </c>
      <c r="W178" s="140">
        <v>0</v>
      </c>
      <c r="X178" s="140">
        <v>1</v>
      </c>
      <c r="Y178" s="140">
        <v>2</v>
      </c>
      <c r="Z178" s="140">
        <v>0</v>
      </c>
      <c r="AA178" s="140">
        <v>0</v>
      </c>
      <c r="AB178" s="140">
        <v>0</v>
      </c>
      <c r="AC178" s="140">
        <v>0</v>
      </c>
      <c r="AD178" s="140">
        <v>0</v>
      </c>
      <c r="AE178" s="140">
        <v>0</v>
      </c>
      <c r="AF178" s="241">
        <v>1</v>
      </c>
      <c r="AG178" s="141">
        <f t="shared" si="21"/>
        <v>12</v>
      </c>
      <c r="AH178" s="111" t="s">
        <v>116</v>
      </c>
    </row>
    <row r="179" spans="1:35" ht="15.75" customHeight="1" x14ac:dyDescent="0.25">
      <c r="A179" s="58" t="s">
        <v>118</v>
      </c>
      <c r="B179" s="142">
        <v>5</v>
      </c>
      <c r="C179" s="143">
        <v>3</v>
      </c>
      <c r="D179" s="143">
        <v>1</v>
      </c>
      <c r="E179" s="143">
        <v>4</v>
      </c>
      <c r="F179" s="143">
        <v>5</v>
      </c>
      <c r="G179" s="143">
        <v>4</v>
      </c>
      <c r="H179" s="143">
        <v>4</v>
      </c>
      <c r="I179" s="143">
        <v>0</v>
      </c>
      <c r="J179" s="143">
        <v>8</v>
      </c>
      <c r="K179" s="143">
        <v>0</v>
      </c>
      <c r="L179" s="143">
        <v>2</v>
      </c>
      <c r="M179" s="143">
        <v>1</v>
      </c>
      <c r="N179" s="143">
        <v>2</v>
      </c>
      <c r="O179" s="143">
        <v>3</v>
      </c>
      <c r="P179" s="143">
        <v>6</v>
      </c>
      <c r="Q179" s="143">
        <v>2</v>
      </c>
      <c r="R179" s="143">
        <v>2</v>
      </c>
      <c r="S179" s="143">
        <v>2</v>
      </c>
      <c r="T179" s="143">
        <v>7</v>
      </c>
      <c r="U179" s="143">
        <v>2</v>
      </c>
      <c r="V179" s="143">
        <v>4</v>
      </c>
      <c r="W179" s="143">
        <v>4</v>
      </c>
      <c r="X179" s="143">
        <v>4</v>
      </c>
      <c r="Y179" s="143">
        <v>6</v>
      </c>
      <c r="Z179" s="143">
        <v>0</v>
      </c>
      <c r="AA179" s="143">
        <v>0</v>
      </c>
      <c r="AB179" s="143">
        <v>2</v>
      </c>
      <c r="AC179" s="143">
        <v>3</v>
      </c>
      <c r="AD179" s="143">
        <v>1</v>
      </c>
      <c r="AE179" s="143">
        <v>0</v>
      </c>
      <c r="AF179" s="242">
        <v>2</v>
      </c>
      <c r="AG179" s="144">
        <f t="shared" si="21"/>
        <v>89</v>
      </c>
      <c r="AH179" s="111" t="s">
        <v>116</v>
      </c>
    </row>
    <row r="180" spans="1:35" ht="15.75" customHeight="1" x14ac:dyDescent="0.25">
      <c r="A180" s="145" t="s">
        <v>119</v>
      </c>
      <c r="B180" s="146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243"/>
      <c r="AG180" s="148">
        <f t="shared" si="21"/>
        <v>0</v>
      </c>
    </row>
    <row r="181" spans="1:35" ht="15.75" customHeight="1" x14ac:dyDescent="0.25">
      <c r="A181" s="149" t="s">
        <v>120</v>
      </c>
      <c r="B181" s="150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244"/>
      <c r="AG181" s="152">
        <f t="shared" si="21"/>
        <v>0</v>
      </c>
    </row>
    <row r="182" spans="1:35" ht="15.75" customHeight="1" x14ac:dyDescent="0.25">
      <c r="A182" s="153" t="s">
        <v>121</v>
      </c>
      <c r="B182" s="154">
        <f t="shared" ref="B182:AF182" si="27">SUM(B183:B208)</f>
        <v>42</v>
      </c>
      <c r="C182" s="155">
        <f t="shared" si="27"/>
        <v>28</v>
      </c>
      <c r="D182" s="155">
        <f t="shared" si="27"/>
        <v>54</v>
      </c>
      <c r="E182" s="155">
        <f t="shared" si="27"/>
        <v>45</v>
      </c>
      <c r="F182" s="155">
        <f t="shared" si="27"/>
        <v>80</v>
      </c>
      <c r="G182" s="155">
        <f t="shared" si="27"/>
        <v>49</v>
      </c>
      <c r="H182" s="155">
        <f t="shared" si="27"/>
        <v>60</v>
      </c>
      <c r="I182" s="155">
        <f t="shared" si="27"/>
        <v>62</v>
      </c>
      <c r="J182" s="155">
        <f t="shared" si="27"/>
        <v>67</v>
      </c>
      <c r="K182" s="155">
        <f t="shared" si="27"/>
        <v>63</v>
      </c>
      <c r="L182" s="155">
        <f t="shared" si="27"/>
        <v>76</v>
      </c>
      <c r="M182" s="155">
        <f t="shared" si="27"/>
        <v>123</v>
      </c>
      <c r="N182" s="155">
        <f t="shared" si="27"/>
        <v>179</v>
      </c>
      <c r="O182" s="155">
        <f t="shared" si="27"/>
        <v>94</v>
      </c>
      <c r="P182" s="155">
        <f t="shared" si="27"/>
        <v>138</v>
      </c>
      <c r="Q182" s="155">
        <f t="shared" si="27"/>
        <v>133</v>
      </c>
      <c r="R182" s="155">
        <f t="shared" si="27"/>
        <v>89</v>
      </c>
      <c r="S182" s="155">
        <f t="shared" si="27"/>
        <v>71</v>
      </c>
      <c r="T182" s="155">
        <f t="shared" si="27"/>
        <v>114</v>
      </c>
      <c r="U182" s="155">
        <f t="shared" si="27"/>
        <v>135</v>
      </c>
      <c r="V182" s="155">
        <f t="shared" si="27"/>
        <v>105</v>
      </c>
      <c r="W182" s="155">
        <f t="shared" si="27"/>
        <v>98</v>
      </c>
      <c r="X182" s="155">
        <f t="shared" si="27"/>
        <v>131</v>
      </c>
      <c r="Y182" s="155">
        <f t="shared" si="27"/>
        <v>95</v>
      </c>
      <c r="Z182" s="155">
        <f t="shared" si="27"/>
        <v>104</v>
      </c>
      <c r="AA182" s="155">
        <f t="shared" si="27"/>
        <v>108</v>
      </c>
      <c r="AB182" s="155">
        <f t="shared" si="27"/>
        <v>95</v>
      </c>
      <c r="AC182" s="155">
        <f t="shared" si="27"/>
        <v>120</v>
      </c>
      <c r="AD182" s="155">
        <f t="shared" si="27"/>
        <v>97</v>
      </c>
      <c r="AE182" s="155">
        <f t="shared" si="27"/>
        <v>84</v>
      </c>
      <c r="AF182" s="245">
        <f t="shared" si="27"/>
        <v>109</v>
      </c>
      <c r="AG182" s="91">
        <f t="shared" si="21"/>
        <v>2848</v>
      </c>
      <c r="AH182" s="78"/>
    </row>
    <row r="183" spans="1:35" ht="15.75" customHeight="1" x14ac:dyDescent="0.25">
      <c r="A183" s="156" t="s">
        <v>122</v>
      </c>
      <c r="B183" s="157">
        <v>8</v>
      </c>
      <c r="C183" s="158">
        <v>4</v>
      </c>
      <c r="D183" s="158">
        <v>11</v>
      </c>
      <c r="E183" s="158">
        <v>5</v>
      </c>
      <c r="F183" s="158">
        <v>6</v>
      </c>
      <c r="G183" s="158">
        <v>8</v>
      </c>
      <c r="H183" s="158">
        <v>5</v>
      </c>
      <c r="I183" s="158">
        <v>5</v>
      </c>
      <c r="J183" s="158">
        <v>8</v>
      </c>
      <c r="K183" s="158">
        <v>4</v>
      </c>
      <c r="L183" s="158">
        <v>7</v>
      </c>
      <c r="M183" s="158">
        <v>5</v>
      </c>
      <c r="N183" s="158">
        <v>5</v>
      </c>
      <c r="O183" s="158">
        <v>3</v>
      </c>
      <c r="P183" s="158">
        <v>3</v>
      </c>
      <c r="Q183" s="158">
        <v>12</v>
      </c>
      <c r="R183" s="158">
        <v>6</v>
      </c>
      <c r="S183" s="158">
        <v>2</v>
      </c>
      <c r="T183" s="158">
        <v>6</v>
      </c>
      <c r="U183" s="158">
        <v>8</v>
      </c>
      <c r="V183" s="158">
        <v>3</v>
      </c>
      <c r="W183" s="158">
        <v>6</v>
      </c>
      <c r="X183" s="158">
        <v>18</v>
      </c>
      <c r="Y183" s="158">
        <v>6</v>
      </c>
      <c r="Z183" s="158">
        <v>10</v>
      </c>
      <c r="AA183" s="158">
        <v>8</v>
      </c>
      <c r="AB183" s="158">
        <v>5</v>
      </c>
      <c r="AC183" s="158">
        <v>5</v>
      </c>
      <c r="AD183" s="158">
        <v>3</v>
      </c>
      <c r="AE183" s="158">
        <v>4</v>
      </c>
      <c r="AF183" s="246">
        <v>4</v>
      </c>
      <c r="AG183" s="159">
        <f t="shared" si="21"/>
        <v>193</v>
      </c>
    </row>
    <row r="184" spans="1:35" ht="15.75" customHeight="1" x14ac:dyDescent="0.25">
      <c r="A184" s="160" t="s">
        <v>123</v>
      </c>
      <c r="B184" s="65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222"/>
      <c r="AG184" s="15">
        <f t="shared" si="21"/>
        <v>0</v>
      </c>
    </row>
    <row r="185" spans="1:35" ht="15.75" customHeight="1" x14ac:dyDescent="0.25">
      <c r="A185" s="160" t="s">
        <v>124</v>
      </c>
      <c r="B185" s="65"/>
      <c r="C185" s="66"/>
      <c r="D185" s="66"/>
      <c r="E185" s="66"/>
      <c r="F185" s="66">
        <v>3</v>
      </c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222"/>
      <c r="AG185" s="15">
        <f t="shared" si="21"/>
        <v>3</v>
      </c>
    </row>
    <row r="186" spans="1:35" ht="15.75" customHeight="1" x14ac:dyDescent="0.25">
      <c r="A186" s="160" t="s">
        <v>125</v>
      </c>
      <c r="B186" s="65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222"/>
      <c r="AG186" s="15">
        <f t="shared" si="21"/>
        <v>0</v>
      </c>
    </row>
    <row r="187" spans="1:35" ht="15.75" customHeight="1" x14ac:dyDescent="0.25">
      <c r="A187" s="161" t="s">
        <v>126</v>
      </c>
      <c r="B187" s="162">
        <v>30</v>
      </c>
      <c r="C187" s="163">
        <v>22</v>
      </c>
      <c r="D187" s="163">
        <v>39</v>
      </c>
      <c r="E187" s="163">
        <v>35</v>
      </c>
      <c r="F187" s="163">
        <v>65</v>
      </c>
      <c r="G187" s="163">
        <v>38</v>
      </c>
      <c r="H187" s="163">
        <v>51</v>
      </c>
      <c r="I187" s="163">
        <v>56</v>
      </c>
      <c r="J187" s="163">
        <v>54</v>
      </c>
      <c r="K187" s="163">
        <v>54</v>
      </c>
      <c r="L187" s="163">
        <v>65</v>
      </c>
      <c r="M187" s="163">
        <v>115</v>
      </c>
      <c r="N187" s="163">
        <v>173</v>
      </c>
      <c r="O187" s="163">
        <v>86</v>
      </c>
      <c r="P187" s="163">
        <v>129</v>
      </c>
      <c r="Q187" s="163">
        <v>116</v>
      </c>
      <c r="R187" s="163">
        <v>81</v>
      </c>
      <c r="S187" s="163">
        <v>65</v>
      </c>
      <c r="T187" s="163">
        <v>107</v>
      </c>
      <c r="U187" s="163">
        <v>122</v>
      </c>
      <c r="V187" s="163">
        <v>87</v>
      </c>
      <c r="W187" s="163">
        <v>85</v>
      </c>
      <c r="X187" s="163">
        <v>107</v>
      </c>
      <c r="Y187" s="163">
        <v>78</v>
      </c>
      <c r="Z187" s="163">
        <v>89</v>
      </c>
      <c r="AA187" s="163">
        <v>99</v>
      </c>
      <c r="AB187" s="163">
        <v>89</v>
      </c>
      <c r="AC187" s="163">
        <v>104</v>
      </c>
      <c r="AD187" s="163">
        <v>92</v>
      </c>
      <c r="AE187" s="163">
        <v>74</v>
      </c>
      <c r="AF187" s="247">
        <v>103</v>
      </c>
      <c r="AG187" s="164">
        <f t="shared" si="21"/>
        <v>2510</v>
      </c>
      <c r="AH187" s="165"/>
      <c r="AI187" s="165"/>
    </row>
    <row r="188" spans="1:35" ht="15.75" customHeight="1" x14ac:dyDescent="0.25">
      <c r="A188" s="160" t="s">
        <v>127</v>
      </c>
      <c r="B188" s="65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222"/>
      <c r="AG188" s="15">
        <f t="shared" si="21"/>
        <v>0</v>
      </c>
    </row>
    <row r="189" spans="1:35" ht="15.75" customHeight="1" x14ac:dyDescent="0.25">
      <c r="A189" s="160" t="s">
        <v>128</v>
      </c>
      <c r="B189" s="65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222"/>
      <c r="AG189" s="15">
        <f t="shared" si="21"/>
        <v>0</v>
      </c>
    </row>
    <row r="190" spans="1:35" ht="15.75" customHeight="1" x14ac:dyDescent="0.25">
      <c r="A190" s="160" t="s">
        <v>129</v>
      </c>
      <c r="B190" s="65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222"/>
      <c r="AG190" s="15">
        <f t="shared" si="21"/>
        <v>0</v>
      </c>
    </row>
    <row r="191" spans="1:35" ht="15.75" customHeight="1" x14ac:dyDescent="0.25">
      <c r="A191" s="160" t="s">
        <v>130</v>
      </c>
      <c r="B191" s="65"/>
      <c r="C191" s="66"/>
      <c r="D191" s="66"/>
      <c r="E191" s="66"/>
      <c r="F191" s="66">
        <v>2</v>
      </c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222"/>
      <c r="AG191" s="15">
        <f t="shared" si="21"/>
        <v>2</v>
      </c>
    </row>
    <row r="192" spans="1:35" ht="15.75" customHeight="1" x14ac:dyDescent="0.25">
      <c r="A192" s="64" t="s">
        <v>131</v>
      </c>
      <c r="B192" s="65"/>
      <c r="C192" s="66"/>
      <c r="D192" s="66"/>
      <c r="E192" s="66"/>
      <c r="F192" s="66"/>
      <c r="G192" s="66">
        <v>1</v>
      </c>
      <c r="H192" s="66">
        <v>2</v>
      </c>
      <c r="I192" s="66"/>
      <c r="J192" s="66">
        <v>3</v>
      </c>
      <c r="K192" s="66">
        <v>3</v>
      </c>
      <c r="L192" s="66"/>
      <c r="M192" s="66"/>
      <c r="N192" s="66"/>
      <c r="O192" s="66">
        <v>3</v>
      </c>
      <c r="P192" s="66">
        <v>4</v>
      </c>
      <c r="Q192" s="66">
        <v>1</v>
      </c>
      <c r="R192" s="66">
        <v>1</v>
      </c>
      <c r="S192" s="66"/>
      <c r="T192" s="66"/>
      <c r="U192" s="66">
        <v>2</v>
      </c>
      <c r="V192" s="66">
        <v>7</v>
      </c>
      <c r="W192" s="66">
        <v>4</v>
      </c>
      <c r="X192" s="66">
        <v>1</v>
      </c>
      <c r="Y192" s="66">
        <v>2</v>
      </c>
      <c r="Z192" s="66"/>
      <c r="AA192" s="66"/>
      <c r="AB192" s="66">
        <v>1</v>
      </c>
      <c r="AC192" s="66">
        <v>5</v>
      </c>
      <c r="AD192" s="66">
        <v>1</v>
      </c>
      <c r="AE192" s="66">
        <v>2</v>
      </c>
      <c r="AF192" s="222">
        <v>1</v>
      </c>
      <c r="AG192" s="15">
        <f t="shared" si="21"/>
        <v>44</v>
      </c>
    </row>
    <row r="193" spans="1:33" ht="15.75" customHeight="1" x14ac:dyDescent="0.25">
      <c r="A193" s="64" t="s">
        <v>132</v>
      </c>
      <c r="B193" s="65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222"/>
      <c r="AG193" s="15">
        <f t="shared" si="21"/>
        <v>0</v>
      </c>
    </row>
    <row r="194" spans="1:33" ht="15.75" customHeight="1" x14ac:dyDescent="0.25">
      <c r="A194" s="64" t="s">
        <v>133</v>
      </c>
      <c r="B194" s="65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222"/>
      <c r="AG194" s="15">
        <f t="shared" si="21"/>
        <v>0</v>
      </c>
    </row>
    <row r="195" spans="1:33" ht="15.75" customHeight="1" x14ac:dyDescent="0.25">
      <c r="A195" s="64" t="s">
        <v>134</v>
      </c>
      <c r="B195" s="65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>
        <v>2</v>
      </c>
      <c r="AD195" s="66"/>
      <c r="AE195" s="66"/>
      <c r="AF195" s="222"/>
      <c r="AG195" s="15">
        <f t="shared" si="21"/>
        <v>2</v>
      </c>
    </row>
    <row r="196" spans="1:33" ht="15.75" customHeight="1" x14ac:dyDescent="0.25">
      <c r="A196" s="166" t="s">
        <v>135</v>
      </c>
      <c r="B196" s="167">
        <v>4</v>
      </c>
      <c r="C196" s="168">
        <v>1</v>
      </c>
      <c r="D196" s="168">
        <v>2</v>
      </c>
      <c r="E196" s="168">
        <v>5</v>
      </c>
      <c r="F196" s="168">
        <v>2</v>
      </c>
      <c r="G196" s="168">
        <v>1</v>
      </c>
      <c r="H196" s="168"/>
      <c r="I196" s="168"/>
      <c r="J196" s="168"/>
      <c r="K196" s="168">
        <v>1</v>
      </c>
      <c r="L196" s="168">
        <v>2</v>
      </c>
      <c r="M196" s="168"/>
      <c r="N196" s="168"/>
      <c r="O196" s="168">
        <v>1</v>
      </c>
      <c r="P196" s="168">
        <v>1</v>
      </c>
      <c r="Q196" s="168">
        <v>3</v>
      </c>
      <c r="R196" s="168">
        <v>1</v>
      </c>
      <c r="S196" s="168">
        <v>3</v>
      </c>
      <c r="T196" s="168">
        <v>1</v>
      </c>
      <c r="U196" s="168"/>
      <c r="V196" s="168">
        <v>5</v>
      </c>
      <c r="W196" s="168"/>
      <c r="X196" s="168">
        <v>2</v>
      </c>
      <c r="Y196" s="168">
        <v>5</v>
      </c>
      <c r="Z196" s="168">
        <v>3</v>
      </c>
      <c r="AA196" s="168"/>
      <c r="AB196" s="168"/>
      <c r="AC196" s="168">
        <v>2</v>
      </c>
      <c r="AD196" s="168"/>
      <c r="AE196" s="168">
        <v>1</v>
      </c>
      <c r="AF196" s="248"/>
      <c r="AG196" s="169">
        <f t="shared" si="21"/>
        <v>46</v>
      </c>
    </row>
    <row r="197" spans="1:33" ht="15.75" customHeight="1" x14ac:dyDescent="0.25">
      <c r="A197" s="170" t="s">
        <v>136</v>
      </c>
      <c r="B197" s="65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222"/>
      <c r="AG197" s="15">
        <f t="shared" si="21"/>
        <v>0</v>
      </c>
    </row>
    <row r="198" spans="1:33" ht="15.75" customHeight="1" x14ac:dyDescent="0.25">
      <c r="A198" s="170" t="s">
        <v>137</v>
      </c>
      <c r="B198" s="65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222"/>
      <c r="AG198" s="15">
        <f t="shared" si="21"/>
        <v>0</v>
      </c>
    </row>
    <row r="199" spans="1:33" ht="15.75" customHeight="1" x14ac:dyDescent="0.25">
      <c r="A199" s="170" t="s">
        <v>138</v>
      </c>
      <c r="B199" s="65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222"/>
      <c r="AG199" s="15">
        <f t="shared" si="21"/>
        <v>0</v>
      </c>
    </row>
    <row r="200" spans="1:33" ht="15.75" customHeight="1" x14ac:dyDescent="0.25">
      <c r="A200" s="170" t="s">
        <v>139</v>
      </c>
      <c r="B200" s="65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222"/>
      <c r="AG200" s="15">
        <f t="shared" si="21"/>
        <v>0</v>
      </c>
    </row>
    <row r="201" spans="1:33" ht="15.75" customHeight="1" x14ac:dyDescent="0.25">
      <c r="A201" s="170" t="s">
        <v>140</v>
      </c>
      <c r="B201" s="65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222"/>
      <c r="AG201" s="15">
        <f t="shared" si="21"/>
        <v>0</v>
      </c>
    </row>
    <row r="202" spans="1:33" ht="15.75" customHeight="1" x14ac:dyDescent="0.25">
      <c r="A202" s="170" t="s">
        <v>141</v>
      </c>
      <c r="B202" s="65"/>
      <c r="C202" s="66"/>
      <c r="D202" s="66"/>
      <c r="E202" s="66"/>
      <c r="F202" s="66"/>
      <c r="G202" s="66"/>
      <c r="H202" s="66">
        <v>1</v>
      </c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222"/>
      <c r="AG202" s="15">
        <f t="shared" si="21"/>
        <v>1</v>
      </c>
    </row>
    <row r="203" spans="1:33" ht="15.75" customHeight="1" x14ac:dyDescent="0.25">
      <c r="A203" s="64" t="s">
        <v>142</v>
      </c>
      <c r="B203" s="65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>
        <v>1</v>
      </c>
      <c r="V203" s="66">
        <v>1</v>
      </c>
      <c r="W203" s="66">
        <v>2</v>
      </c>
      <c r="X203" s="66"/>
      <c r="Y203" s="66"/>
      <c r="Z203" s="66"/>
      <c r="AA203" s="66"/>
      <c r="AB203" s="66"/>
      <c r="AC203" s="66"/>
      <c r="AD203" s="66">
        <v>1</v>
      </c>
      <c r="AE203" s="66"/>
      <c r="AF203" s="222"/>
      <c r="AG203" s="15">
        <f t="shared" si="21"/>
        <v>5</v>
      </c>
    </row>
    <row r="204" spans="1:33" ht="15.75" customHeight="1" x14ac:dyDescent="0.25">
      <c r="A204" s="64" t="s">
        <v>143</v>
      </c>
      <c r="B204" s="65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222"/>
      <c r="AG204" s="15">
        <f t="shared" si="21"/>
        <v>0</v>
      </c>
    </row>
    <row r="205" spans="1:33" ht="15.75" customHeight="1" x14ac:dyDescent="0.25">
      <c r="A205" s="64" t="s">
        <v>144</v>
      </c>
      <c r="B205" s="65"/>
      <c r="C205" s="66"/>
      <c r="D205" s="66"/>
      <c r="E205" s="66"/>
      <c r="F205" s="66">
        <v>1</v>
      </c>
      <c r="G205" s="66"/>
      <c r="H205" s="66"/>
      <c r="I205" s="66">
        <v>1</v>
      </c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>
        <v>1</v>
      </c>
      <c r="Z205" s="66"/>
      <c r="AA205" s="66"/>
      <c r="AB205" s="66"/>
      <c r="AC205" s="66"/>
      <c r="AD205" s="66"/>
      <c r="AE205" s="66"/>
      <c r="AF205" s="222"/>
      <c r="AG205" s="15">
        <f t="shared" si="21"/>
        <v>3</v>
      </c>
    </row>
    <row r="206" spans="1:33" ht="15.75" customHeight="1" x14ac:dyDescent="0.25">
      <c r="A206" s="64" t="s">
        <v>145</v>
      </c>
      <c r="B206" s="171"/>
      <c r="C206" s="172"/>
      <c r="D206" s="172">
        <v>1</v>
      </c>
      <c r="E206" s="172"/>
      <c r="F206" s="172">
        <v>1</v>
      </c>
      <c r="G206" s="172"/>
      <c r="H206" s="172">
        <v>1</v>
      </c>
      <c r="I206" s="172"/>
      <c r="J206" s="172">
        <v>1</v>
      </c>
      <c r="K206" s="172">
        <v>1</v>
      </c>
      <c r="L206" s="172">
        <v>2</v>
      </c>
      <c r="M206" s="172">
        <v>1</v>
      </c>
      <c r="N206" s="172">
        <v>1</v>
      </c>
      <c r="O206" s="172">
        <v>1</v>
      </c>
      <c r="P206" s="172">
        <v>1</v>
      </c>
      <c r="Q206" s="172">
        <v>1</v>
      </c>
      <c r="R206" s="172"/>
      <c r="S206" s="172">
        <v>1</v>
      </c>
      <c r="T206" s="172"/>
      <c r="U206" s="172">
        <v>1</v>
      </c>
      <c r="V206" s="172">
        <v>2</v>
      </c>
      <c r="W206" s="172"/>
      <c r="X206" s="172">
        <v>2</v>
      </c>
      <c r="Y206" s="172">
        <v>3</v>
      </c>
      <c r="Z206" s="172"/>
      <c r="AA206" s="172"/>
      <c r="AB206" s="172"/>
      <c r="AC206" s="172">
        <v>2</v>
      </c>
      <c r="AD206" s="172"/>
      <c r="AE206" s="172">
        <v>2</v>
      </c>
      <c r="AF206" s="249">
        <v>1</v>
      </c>
      <c r="AG206" s="15">
        <f t="shared" si="21"/>
        <v>26</v>
      </c>
    </row>
    <row r="207" spans="1:33" ht="15.75" customHeight="1" x14ac:dyDescent="0.25">
      <c r="A207" s="173" t="s">
        <v>146</v>
      </c>
      <c r="B207" s="171"/>
      <c r="C207" s="172">
        <v>1</v>
      </c>
      <c r="D207" s="172">
        <v>1</v>
      </c>
      <c r="E207" s="172"/>
      <c r="F207" s="172"/>
      <c r="G207" s="172">
        <v>1</v>
      </c>
      <c r="H207" s="172"/>
      <c r="I207" s="172"/>
      <c r="J207" s="172">
        <v>1</v>
      </c>
      <c r="K207" s="172"/>
      <c r="L207" s="172"/>
      <c r="M207" s="172">
        <v>2</v>
      </c>
      <c r="N207" s="172"/>
      <c r="O207" s="172"/>
      <c r="P207" s="172"/>
      <c r="Q207" s="172"/>
      <c r="R207" s="172"/>
      <c r="S207" s="172"/>
      <c r="T207" s="172"/>
      <c r="U207" s="172">
        <v>1</v>
      </c>
      <c r="V207" s="172"/>
      <c r="W207" s="172">
        <v>1</v>
      </c>
      <c r="X207" s="172">
        <v>1</v>
      </c>
      <c r="Y207" s="172"/>
      <c r="Z207" s="172">
        <v>2</v>
      </c>
      <c r="AA207" s="172">
        <v>1</v>
      </c>
      <c r="AB207" s="172"/>
      <c r="AC207" s="172"/>
      <c r="AD207" s="172"/>
      <c r="AE207" s="172">
        <v>1</v>
      </c>
      <c r="AF207" s="249"/>
      <c r="AG207" s="15">
        <f t="shared" si="21"/>
        <v>13</v>
      </c>
    </row>
    <row r="208" spans="1:33" ht="15.75" customHeight="1" x14ac:dyDescent="0.25">
      <c r="A208" s="174" t="s">
        <v>147</v>
      </c>
      <c r="B208" s="171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  <c r="AA208" s="172"/>
      <c r="AB208" s="172"/>
      <c r="AC208" s="172"/>
      <c r="AD208" s="172"/>
      <c r="AE208" s="172"/>
      <c r="AF208" s="249"/>
      <c r="AG208" s="106">
        <f t="shared" si="21"/>
        <v>0</v>
      </c>
    </row>
    <row r="209" spans="1:34" ht="15.75" customHeight="1" x14ac:dyDescent="0.25">
      <c r="A209" s="175" t="s">
        <v>148</v>
      </c>
      <c r="B209" s="176">
        <f t="shared" ref="B209:AF209" si="28">SUM(B210:B214)</f>
        <v>195</v>
      </c>
      <c r="C209" s="177">
        <f t="shared" si="28"/>
        <v>178</v>
      </c>
      <c r="D209" s="177">
        <f t="shared" si="28"/>
        <v>203</v>
      </c>
      <c r="E209" s="177">
        <f t="shared" si="28"/>
        <v>214</v>
      </c>
      <c r="F209" s="177">
        <f t="shared" si="28"/>
        <v>197</v>
      </c>
      <c r="G209" s="177">
        <f t="shared" si="28"/>
        <v>208</v>
      </c>
      <c r="H209" s="177">
        <f t="shared" si="28"/>
        <v>202</v>
      </c>
      <c r="I209" s="177">
        <f t="shared" si="28"/>
        <v>215</v>
      </c>
      <c r="J209" s="177">
        <f t="shared" si="28"/>
        <v>206</v>
      </c>
      <c r="K209" s="177">
        <f t="shared" si="28"/>
        <v>205</v>
      </c>
      <c r="L209" s="177">
        <f t="shared" si="28"/>
        <v>208</v>
      </c>
      <c r="M209" s="177">
        <f t="shared" si="28"/>
        <v>257</v>
      </c>
      <c r="N209" s="177">
        <f t="shared" si="28"/>
        <v>263</v>
      </c>
      <c r="O209" s="177">
        <f t="shared" si="28"/>
        <v>248</v>
      </c>
      <c r="P209" s="177">
        <f t="shared" si="28"/>
        <v>289</v>
      </c>
      <c r="Q209" s="177">
        <f t="shared" si="28"/>
        <v>274</v>
      </c>
      <c r="R209" s="177">
        <f t="shared" si="28"/>
        <v>220</v>
      </c>
      <c r="S209" s="177">
        <f t="shared" si="28"/>
        <v>222</v>
      </c>
      <c r="T209" s="177">
        <f t="shared" si="28"/>
        <v>236</v>
      </c>
      <c r="U209" s="177">
        <f t="shared" si="28"/>
        <v>270</v>
      </c>
      <c r="V209" s="177">
        <f t="shared" si="28"/>
        <v>266</v>
      </c>
      <c r="W209" s="177">
        <f t="shared" si="28"/>
        <v>238</v>
      </c>
      <c r="X209" s="177">
        <f t="shared" si="28"/>
        <v>242</v>
      </c>
      <c r="Y209" s="177">
        <f t="shared" si="28"/>
        <v>201</v>
      </c>
      <c r="Z209" s="177">
        <f t="shared" si="28"/>
        <v>266</v>
      </c>
      <c r="AA209" s="177">
        <f t="shared" si="28"/>
        <v>253</v>
      </c>
      <c r="AB209" s="177">
        <f t="shared" si="28"/>
        <v>224</v>
      </c>
      <c r="AC209" s="177">
        <f t="shared" si="28"/>
        <v>246</v>
      </c>
      <c r="AD209" s="177">
        <f t="shared" si="28"/>
        <v>210</v>
      </c>
      <c r="AE209" s="177">
        <f t="shared" si="28"/>
        <v>209</v>
      </c>
      <c r="AF209" s="250">
        <f t="shared" si="28"/>
        <v>225</v>
      </c>
      <c r="AG209" s="178">
        <f t="shared" si="21"/>
        <v>7090</v>
      </c>
      <c r="AH209" s="40" t="str">
        <f>IF(AG209&lt;&gt;AG93,"X","")</f>
        <v/>
      </c>
    </row>
    <row r="210" spans="1:34" ht="15.75" customHeight="1" x14ac:dyDescent="0.25">
      <c r="A210" s="179" t="s">
        <v>149</v>
      </c>
      <c r="B210" s="180"/>
      <c r="C210" s="181"/>
      <c r="D210" s="181"/>
      <c r="E210" s="181"/>
      <c r="F210" s="181"/>
      <c r="G210" s="181"/>
      <c r="H210" s="181"/>
      <c r="I210" s="181"/>
      <c r="J210" s="181">
        <v>1</v>
      </c>
      <c r="K210" s="181"/>
      <c r="L210" s="181"/>
      <c r="M210" s="181"/>
      <c r="N210" s="181">
        <v>0</v>
      </c>
      <c r="O210" s="181">
        <v>0</v>
      </c>
      <c r="P210" s="181">
        <v>0</v>
      </c>
      <c r="Q210" s="181">
        <v>1</v>
      </c>
      <c r="R210" s="181">
        <v>0</v>
      </c>
      <c r="S210" s="181"/>
      <c r="T210" s="181"/>
      <c r="U210" s="181">
        <v>1</v>
      </c>
      <c r="V210" s="181"/>
      <c r="W210" s="181"/>
      <c r="X210" s="181"/>
      <c r="Y210" s="181"/>
      <c r="Z210" s="181"/>
      <c r="AA210" s="181"/>
      <c r="AB210" s="181"/>
      <c r="AC210" s="181"/>
      <c r="AD210" s="181"/>
      <c r="AE210" s="181"/>
      <c r="AF210" s="251"/>
      <c r="AG210" s="182">
        <f t="shared" si="21"/>
        <v>3</v>
      </c>
    </row>
    <row r="211" spans="1:34" ht="15.75" customHeight="1" x14ac:dyDescent="0.25">
      <c r="A211" s="183" t="s">
        <v>51</v>
      </c>
      <c r="B211" s="184">
        <v>2</v>
      </c>
      <c r="C211" s="185">
        <v>2</v>
      </c>
      <c r="D211" s="185">
        <v>2</v>
      </c>
      <c r="E211" s="185">
        <v>1</v>
      </c>
      <c r="F211" s="185">
        <v>3</v>
      </c>
      <c r="G211" s="185">
        <v>1</v>
      </c>
      <c r="H211" s="185">
        <v>2</v>
      </c>
      <c r="I211" s="185">
        <v>1</v>
      </c>
      <c r="J211" s="185">
        <v>7</v>
      </c>
      <c r="K211" s="185">
        <v>1</v>
      </c>
      <c r="L211" s="185">
        <v>1</v>
      </c>
      <c r="M211" s="185">
        <v>2</v>
      </c>
      <c r="N211" s="185">
        <v>2</v>
      </c>
      <c r="O211" s="185">
        <v>1</v>
      </c>
      <c r="P211" s="185">
        <v>3</v>
      </c>
      <c r="Q211" s="185">
        <v>2</v>
      </c>
      <c r="R211" s="185">
        <v>2</v>
      </c>
      <c r="S211" s="185">
        <v>3</v>
      </c>
      <c r="T211" s="185">
        <v>4</v>
      </c>
      <c r="U211" s="185">
        <v>1</v>
      </c>
      <c r="V211" s="185">
        <v>5</v>
      </c>
      <c r="W211" s="185">
        <v>4</v>
      </c>
      <c r="X211" s="185">
        <v>1</v>
      </c>
      <c r="Y211" s="185">
        <v>2</v>
      </c>
      <c r="Z211" s="185">
        <v>3</v>
      </c>
      <c r="AA211" s="185">
        <v>1</v>
      </c>
      <c r="AB211" s="185">
        <v>2</v>
      </c>
      <c r="AC211" s="185">
        <v>5</v>
      </c>
      <c r="AD211" s="185">
        <v>2</v>
      </c>
      <c r="AE211" s="185">
        <v>2</v>
      </c>
      <c r="AF211" s="252"/>
      <c r="AG211" s="186">
        <f t="shared" si="21"/>
        <v>70</v>
      </c>
    </row>
    <row r="212" spans="1:34" ht="15.75" customHeight="1" x14ac:dyDescent="0.25">
      <c r="A212" s="183" t="s">
        <v>52</v>
      </c>
      <c r="B212" s="184">
        <v>27</v>
      </c>
      <c r="C212" s="185">
        <v>29</v>
      </c>
      <c r="D212" s="185">
        <v>31</v>
      </c>
      <c r="E212" s="185">
        <v>24</v>
      </c>
      <c r="F212" s="185">
        <v>28</v>
      </c>
      <c r="G212" s="185">
        <v>33</v>
      </c>
      <c r="H212" s="185">
        <v>17</v>
      </c>
      <c r="I212" s="185">
        <v>14</v>
      </c>
      <c r="J212" s="185">
        <v>21</v>
      </c>
      <c r="K212" s="185">
        <v>22</v>
      </c>
      <c r="L212" s="185">
        <v>26</v>
      </c>
      <c r="M212" s="185">
        <v>26</v>
      </c>
      <c r="N212" s="185">
        <v>33</v>
      </c>
      <c r="O212" s="185">
        <v>23</v>
      </c>
      <c r="P212" s="185">
        <v>23</v>
      </c>
      <c r="Q212" s="185">
        <v>26</v>
      </c>
      <c r="R212" s="185">
        <v>16</v>
      </c>
      <c r="S212" s="185">
        <v>33</v>
      </c>
      <c r="T212" s="185">
        <v>25</v>
      </c>
      <c r="U212" s="185">
        <v>33</v>
      </c>
      <c r="V212" s="185">
        <v>30</v>
      </c>
      <c r="W212" s="185">
        <v>28</v>
      </c>
      <c r="X212" s="185">
        <v>39</v>
      </c>
      <c r="Y212" s="185">
        <v>46</v>
      </c>
      <c r="Z212" s="185">
        <v>26</v>
      </c>
      <c r="AA212" s="185">
        <v>35</v>
      </c>
      <c r="AB212" s="185">
        <v>32</v>
      </c>
      <c r="AC212" s="185">
        <v>33</v>
      </c>
      <c r="AD212" s="185">
        <v>32</v>
      </c>
      <c r="AE212" s="185">
        <v>25</v>
      </c>
      <c r="AF212" s="252">
        <v>24</v>
      </c>
      <c r="AG212" s="186">
        <f t="shared" si="21"/>
        <v>860</v>
      </c>
    </row>
    <row r="213" spans="1:34" ht="15.75" customHeight="1" x14ac:dyDescent="0.25">
      <c r="A213" s="183" t="s">
        <v>53</v>
      </c>
      <c r="B213" s="184">
        <v>125</v>
      </c>
      <c r="C213" s="185">
        <v>111</v>
      </c>
      <c r="D213" s="185">
        <v>134</v>
      </c>
      <c r="E213" s="185">
        <v>129</v>
      </c>
      <c r="F213" s="185">
        <v>129</v>
      </c>
      <c r="G213" s="185">
        <v>148</v>
      </c>
      <c r="H213" s="185">
        <v>152</v>
      </c>
      <c r="I213" s="185">
        <v>164</v>
      </c>
      <c r="J213" s="185">
        <v>148</v>
      </c>
      <c r="K213" s="185">
        <v>151</v>
      </c>
      <c r="L213" s="185">
        <v>136</v>
      </c>
      <c r="M213" s="185">
        <v>192</v>
      </c>
      <c r="N213" s="185">
        <v>208</v>
      </c>
      <c r="O213" s="185">
        <v>187</v>
      </c>
      <c r="P213" s="185">
        <v>233</v>
      </c>
      <c r="Q213" s="185">
        <v>216</v>
      </c>
      <c r="R213" s="185">
        <v>172</v>
      </c>
      <c r="S213" s="185">
        <v>156</v>
      </c>
      <c r="T213" s="185">
        <v>181</v>
      </c>
      <c r="U213" s="185">
        <v>221</v>
      </c>
      <c r="V213" s="185">
        <v>194</v>
      </c>
      <c r="W213" s="185">
        <v>180</v>
      </c>
      <c r="X213" s="185">
        <v>173</v>
      </c>
      <c r="Y213" s="185">
        <v>135</v>
      </c>
      <c r="Z213" s="185">
        <v>180</v>
      </c>
      <c r="AA213" s="185">
        <v>179</v>
      </c>
      <c r="AB213" s="185">
        <v>179</v>
      </c>
      <c r="AC213" s="185">
        <v>184</v>
      </c>
      <c r="AD213" s="185">
        <v>163</v>
      </c>
      <c r="AE213" s="185">
        <v>156</v>
      </c>
      <c r="AF213" s="252">
        <v>179</v>
      </c>
      <c r="AG213" s="186">
        <f t="shared" si="21"/>
        <v>5195</v>
      </c>
    </row>
    <row r="214" spans="1:34" ht="15.75" customHeight="1" x14ac:dyDescent="0.25">
      <c r="A214" s="187" t="s">
        <v>54</v>
      </c>
      <c r="B214" s="188">
        <v>41</v>
      </c>
      <c r="C214" s="189">
        <v>36</v>
      </c>
      <c r="D214" s="189">
        <v>36</v>
      </c>
      <c r="E214" s="189">
        <v>60</v>
      </c>
      <c r="F214" s="189">
        <v>37</v>
      </c>
      <c r="G214" s="189">
        <v>26</v>
      </c>
      <c r="H214" s="189">
        <v>31</v>
      </c>
      <c r="I214" s="189">
        <v>36</v>
      </c>
      <c r="J214" s="189">
        <v>29</v>
      </c>
      <c r="K214" s="189">
        <v>31</v>
      </c>
      <c r="L214" s="189">
        <v>45</v>
      </c>
      <c r="M214" s="189">
        <v>37</v>
      </c>
      <c r="N214" s="189">
        <v>20</v>
      </c>
      <c r="O214" s="189">
        <v>37</v>
      </c>
      <c r="P214" s="189">
        <v>30</v>
      </c>
      <c r="Q214" s="189">
        <v>29</v>
      </c>
      <c r="R214" s="189">
        <v>30</v>
      </c>
      <c r="S214" s="189">
        <v>30</v>
      </c>
      <c r="T214" s="189">
        <v>26</v>
      </c>
      <c r="U214" s="189">
        <v>14</v>
      </c>
      <c r="V214" s="189">
        <v>37</v>
      </c>
      <c r="W214" s="189">
        <v>26</v>
      </c>
      <c r="X214" s="189">
        <v>29</v>
      </c>
      <c r="Y214" s="189">
        <v>18</v>
      </c>
      <c r="Z214" s="189">
        <v>57</v>
      </c>
      <c r="AA214" s="189">
        <v>38</v>
      </c>
      <c r="AB214" s="189">
        <v>11</v>
      </c>
      <c r="AC214" s="189">
        <v>24</v>
      </c>
      <c r="AD214" s="189">
        <v>13</v>
      </c>
      <c r="AE214" s="189">
        <v>26</v>
      </c>
      <c r="AF214" s="253">
        <v>22</v>
      </c>
      <c r="AG214" s="190">
        <f t="shared" si="21"/>
        <v>962</v>
      </c>
    </row>
    <row r="215" spans="1:34" ht="15.75" customHeight="1" x14ac:dyDescent="0.25">
      <c r="A215" s="113" t="s">
        <v>150</v>
      </c>
      <c r="B215" s="114">
        <v>1</v>
      </c>
      <c r="C215" s="115">
        <v>6</v>
      </c>
      <c r="D215" s="115">
        <v>18</v>
      </c>
      <c r="E215" s="115">
        <v>14</v>
      </c>
      <c r="F215" s="115">
        <v>13</v>
      </c>
      <c r="G215" s="115">
        <v>3</v>
      </c>
      <c r="H215" s="115">
        <v>7</v>
      </c>
      <c r="I215" s="115">
        <v>10</v>
      </c>
      <c r="J215" s="115">
        <v>8</v>
      </c>
      <c r="K215" s="115">
        <v>20</v>
      </c>
      <c r="L215" s="115">
        <v>34</v>
      </c>
      <c r="M215" s="115">
        <v>29</v>
      </c>
      <c r="N215" s="115">
        <v>46</v>
      </c>
      <c r="O215" s="115">
        <v>43</v>
      </c>
      <c r="P215" s="115">
        <v>25</v>
      </c>
      <c r="Q215" s="115">
        <v>24</v>
      </c>
      <c r="R215" s="115">
        <v>37</v>
      </c>
      <c r="S215" s="115">
        <v>24</v>
      </c>
      <c r="T215" s="115">
        <v>27</v>
      </c>
      <c r="U215" s="115">
        <v>34</v>
      </c>
      <c r="V215" s="115">
        <v>25</v>
      </c>
      <c r="W215" s="115">
        <v>12</v>
      </c>
      <c r="X215" s="115">
        <v>29</v>
      </c>
      <c r="Y215" s="115">
        <v>8</v>
      </c>
      <c r="Z215" s="115">
        <v>27</v>
      </c>
      <c r="AA215" s="115">
        <v>16</v>
      </c>
      <c r="AB215" s="115">
        <v>18</v>
      </c>
      <c r="AC215" s="115">
        <v>18</v>
      </c>
      <c r="AD215" s="115">
        <v>17</v>
      </c>
      <c r="AE215" s="115">
        <v>22</v>
      </c>
      <c r="AF215" s="234">
        <v>20</v>
      </c>
      <c r="AG215" s="116">
        <f t="shared" si="21"/>
        <v>635</v>
      </c>
    </row>
    <row r="216" spans="1:34" ht="15.75" customHeight="1" x14ac:dyDescent="0.25">
      <c r="A216" s="161" t="s">
        <v>151</v>
      </c>
      <c r="B216" s="192">
        <v>0</v>
      </c>
      <c r="C216" s="193">
        <v>0</v>
      </c>
      <c r="D216" s="193">
        <v>0</v>
      </c>
      <c r="E216" s="193">
        <v>0</v>
      </c>
      <c r="F216" s="193">
        <v>0</v>
      </c>
      <c r="G216" s="193">
        <v>0</v>
      </c>
      <c r="H216" s="193">
        <v>0</v>
      </c>
      <c r="I216" s="193">
        <v>0</v>
      </c>
      <c r="J216" s="193">
        <v>1</v>
      </c>
      <c r="K216" s="193">
        <v>0</v>
      </c>
      <c r="L216" s="193">
        <v>0</v>
      </c>
      <c r="M216" s="193">
        <v>0</v>
      </c>
      <c r="N216" s="193">
        <v>3</v>
      </c>
      <c r="O216" s="193">
        <v>1</v>
      </c>
      <c r="P216" s="193">
        <v>0</v>
      </c>
      <c r="Q216" s="193">
        <v>4</v>
      </c>
      <c r="R216" s="193">
        <v>0</v>
      </c>
      <c r="S216" s="193">
        <v>1</v>
      </c>
      <c r="T216" s="193">
        <v>4</v>
      </c>
      <c r="U216" s="193">
        <v>0</v>
      </c>
      <c r="V216" s="193">
        <v>5</v>
      </c>
      <c r="W216" s="193">
        <v>2</v>
      </c>
      <c r="X216" s="193">
        <v>5</v>
      </c>
      <c r="Y216" s="193">
        <v>0</v>
      </c>
      <c r="Z216" s="193">
        <v>0</v>
      </c>
      <c r="AA216" s="193">
        <v>3</v>
      </c>
      <c r="AB216" s="193">
        <v>3</v>
      </c>
      <c r="AC216" s="193">
        <v>0</v>
      </c>
      <c r="AD216" s="193">
        <v>0</v>
      </c>
      <c r="AE216" s="193">
        <v>1</v>
      </c>
      <c r="AF216" s="254">
        <v>0</v>
      </c>
      <c r="AG216" s="194">
        <f t="shared" si="21"/>
        <v>33</v>
      </c>
    </row>
    <row r="217" spans="1:34" ht="15.75" customHeight="1" x14ac:dyDescent="0.25">
      <c r="A217" s="191" t="s">
        <v>152</v>
      </c>
      <c r="B217" s="196">
        <v>0</v>
      </c>
      <c r="C217" s="197">
        <v>0</v>
      </c>
      <c r="D217" s="197">
        <v>0</v>
      </c>
      <c r="E217" s="197">
        <v>0</v>
      </c>
      <c r="F217" s="197">
        <v>0</v>
      </c>
      <c r="G217" s="197">
        <v>0</v>
      </c>
      <c r="H217" s="197">
        <v>0</v>
      </c>
      <c r="I217" s="197">
        <v>0</v>
      </c>
      <c r="J217" s="197">
        <v>0</v>
      </c>
      <c r="K217" s="197">
        <v>0</v>
      </c>
      <c r="L217" s="197">
        <v>0</v>
      </c>
      <c r="M217" s="197">
        <v>0</v>
      </c>
      <c r="N217" s="197">
        <v>0</v>
      </c>
      <c r="O217" s="197">
        <v>0</v>
      </c>
      <c r="P217" s="197">
        <v>0</v>
      </c>
      <c r="Q217" s="197">
        <v>0</v>
      </c>
      <c r="R217" s="197">
        <v>0</v>
      </c>
      <c r="S217" s="197">
        <v>0</v>
      </c>
      <c r="T217" s="197">
        <v>0</v>
      </c>
      <c r="U217" s="197">
        <v>0</v>
      </c>
      <c r="V217" s="197">
        <v>0</v>
      </c>
      <c r="W217" s="197">
        <v>0</v>
      </c>
      <c r="X217" s="197">
        <v>0</v>
      </c>
      <c r="Y217" s="197">
        <v>0</v>
      </c>
      <c r="Z217" s="197">
        <v>0</v>
      </c>
      <c r="AA217" s="197">
        <v>0</v>
      </c>
      <c r="AB217" s="197">
        <v>0</v>
      </c>
      <c r="AC217" s="197">
        <v>0</v>
      </c>
      <c r="AD217" s="197">
        <v>0</v>
      </c>
      <c r="AE217" s="197">
        <v>1</v>
      </c>
      <c r="AF217" s="255">
        <v>0</v>
      </c>
      <c r="AG217" s="164">
        <f t="shared" si="21"/>
        <v>1</v>
      </c>
    </row>
    <row r="218" spans="1:34" ht="15.75" customHeight="1" x14ac:dyDescent="0.25">
      <c r="A218" s="195" t="s">
        <v>153</v>
      </c>
      <c r="B218" s="196">
        <v>0</v>
      </c>
      <c r="C218" s="197">
        <v>4</v>
      </c>
      <c r="D218" s="197">
        <v>7</v>
      </c>
      <c r="E218" s="197">
        <v>4</v>
      </c>
      <c r="F218" s="197">
        <v>5</v>
      </c>
      <c r="G218" s="197">
        <v>1</v>
      </c>
      <c r="H218" s="197">
        <v>2</v>
      </c>
      <c r="I218" s="197">
        <v>4</v>
      </c>
      <c r="J218" s="197">
        <v>3</v>
      </c>
      <c r="K218" s="197">
        <v>8</v>
      </c>
      <c r="L218" s="197">
        <v>12</v>
      </c>
      <c r="M218" s="197">
        <v>10</v>
      </c>
      <c r="N218" s="197">
        <v>11</v>
      </c>
      <c r="O218" s="197">
        <v>13</v>
      </c>
      <c r="P218" s="197">
        <v>5</v>
      </c>
      <c r="Q218" s="197">
        <v>4</v>
      </c>
      <c r="R218" s="197">
        <v>8</v>
      </c>
      <c r="S218" s="197">
        <v>7</v>
      </c>
      <c r="T218" s="197">
        <v>9</v>
      </c>
      <c r="U218" s="197">
        <v>7</v>
      </c>
      <c r="V218" s="197">
        <v>5</v>
      </c>
      <c r="W218" s="197">
        <v>2</v>
      </c>
      <c r="X218" s="197">
        <v>2</v>
      </c>
      <c r="Y218" s="197">
        <v>2</v>
      </c>
      <c r="Z218" s="197">
        <v>12</v>
      </c>
      <c r="AA218" s="197">
        <v>4</v>
      </c>
      <c r="AB218" s="197">
        <v>1</v>
      </c>
      <c r="AC218" s="197">
        <v>5</v>
      </c>
      <c r="AD218" s="197">
        <v>1</v>
      </c>
      <c r="AE218" s="197">
        <v>4</v>
      </c>
      <c r="AF218" s="255">
        <v>3</v>
      </c>
      <c r="AG218" s="164">
        <f t="shared" si="21"/>
        <v>165</v>
      </c>
    </row>
    <row r="219" spans="1:34" ht="15.75" customHeight="1" x14ac:dyDescent="0.25">
      <c r="A219" s="88" t="s">
        <v>154</v>
      </c>
      <c r="B219" s="89">
        <v>34</v>
      </c>
      <c r="C219" s="90">
        <v>20</v>
      </c>
      <c r="D219" s="90">
        <v>20</v>
      </c>
      <c r="E219" s="90">
        <v>23</v>
      </c>
      <c r="F219" s="90">
        <v>27</v>
      </c>
      <c r="G219" s="90">
        <v>43</v>
      </c>
      <c r="H219" s="90">
        <v>36</v>
      </c>
      <c r="I219" s="90">
        <v>38</v>
      </c>
      <c r="J219" s="90">
        <v>35</v>
      </c>
      <c r="K219" s="90">
        <v>21</v>
      </c>
      <c r="L219" s="90">
        <v>23</v>
      </c>
      <c r="M219" s="90">
        <v>49</v>
      </c>
      <c r="N219" s="90">
        <v>53</v>
      </c>
      <c r="O219" s="90">
        <v>50</v>
      </c>
      <c r="P219" s="90">
        <v>81</v>
      </c>
      <c r="Q219" s="90">
        <v>75</v>
      </c>
      <c r="R219" s="90">
        <v>30</v>
      </c>
      <c r="S219" s="90">
        <v>16</v>
      </c>
      <c r="T219" s="90">
        <v>58</v>
      </c>
      <c r="U219" s="90">
        <v>91</v>
      </c>
      <c r="V219" s="90">
        <v>50</v>
      </c>
      <c r="W219" s="90">
        <v>58</v>
      </c>
      <c r="X219" s="90">
        <v>40</v>
      </c>
      <c r="Y219" s="90">
        <v>37</v>
      </c>
      <c r="Z219" s="90">
        <v>36</v>
      </c>
      <c r="AA219" s="90">
        <v>48</v>
      </c>
      <c r="AB219" s="90">
        <v>40</v>
      </c>
      <c r="AC219" s="90">
        <v>40</v>
      </c>
      <c r="AD219" s="90">
        <v>40</v>
      </c>
      <c r="AE219" s="90">
        <v>34</v>
      </c>
      <c r="AF219" s="90">
        <v>29</v>
      </c>
      <c r="AG219" s="91">
        <f t="shared" si="21"/>
        <v>1275</v>
      </c>
    </row>
    <row r="220" spans="1:34" ht="15.75" customHeight="1" x14ac:dyDescent="0.25">
      <c r="A220" s="198" t="s">
        <v>155</v>
      </c>
      <c r="B220" s="199">
        <v>15</v>
      </c>
      <c r="C220" s="200">
        <v>4</v>
      </c>
      <c r="D220" s="200">
        <v>8</v>
      </c>
      <c r="E220" s="200">
        <v>10</v>
      </c>
      <c r="F220" s="200">
        <v>14</v>
      </c>
      <c r="G220" s="200">
        <v>10</v>
      </c>
      <c r="H220" s="200">
        <v>19</v>
      </c>
      <c r="I220" s="200">
        <v>14</v>
      </c>
      <c r="J220" s="200">
        <v>11</v>
      </c>
      <c r="K220" s="200">
        <v>7</v>
      </c>
      <c r="L220" s="200">
        <v>8</v>
      </c>
      <c r="M220" s="200">
        <v>18</v>
      </c>
      <c r="N220" s="200">
        <v>26</v>
      </c>
      <c r="O220" s="200">
        <v>18</v>
      </c>
      <c r="P220" s="200">
        <v>58</v>
      </c>
      <c r="Q220" s="200">
        <v>26</v>
      </c>
      <c r="R220" s="200">
        <v>10</v>
      </c>
      <c r="S220" s="200">
        <v>4</v>
      </c>
      <c r="T220" s="200">
        <v>19</v>
      </c>
      <c r="U220" s="200">
        <v>35</v>
      </c>
      <c r="V220" s="200">
        <v>17</v>
      </c>
      <c r="W220" s="200">
        <v>17</v>
      </c>
      <c r="X220" s="200">
        <v>9</v>
      </c>
      <c r="Y220" s="200">
        <v>7</v>
      </c>
      <c r="Z220" s="200">
        <v>10</v>
      </c>
      <c r="AA220" s="200">
        <v>10</v>
      </c>
      <c r="AB220" s="200">
        <v>12</v>
      </c>
      <c r="AC220" s="200">
        <v>8</v>
      </c>
      <c r="AD220" s="200">
        <v>13</v>
      </c>
      <c r="AE220" s="200">
        <v>4</v>
      </c>
      <c r="AF220" s="200">
        <v>9</v>
      </c>
      <c r="AG220" s="201">
        <f t="shared" si="21"/>
        <v>450</v>
      </c>
    </row>
    <row r="221" spans="1:34" ht="15.75" customHeight="1" x14ac:dyDescent="0.25">
      <c r="A221" s="202" t="s">
        <v>156</v>
      </c>
      <c r="B221" s="120">
        <v>19</v>
      </c>
      <c r="C221" s="121">
        <v>16</v>
      </c>
      <c r="D221" s="121">
        <v>12</v>
      </c>
      <c r="E221" s="121">
        <v>13</v>
      </c>
      <c r="F221" s="121">
        <v>13</v>
      </c>
      <c r="G221" s="121">
        <v>33</v>
      </c>
      <c r="H221" s="121">
        <v>16</v>
      </c>
      <c r="I221" s="121">
        <v>24</v>
      </c>
      <c r="J221" s="121">
        <v>21</v>
      </c>
      <c r="K221" s="121">
        <v>14</v>
      </c>
      <c r="L221" s="121">
        <v>15</v>
      </c>
      <c r="M221" s="121">
        <v>31</v>
      </c>
      <c r="N221" s="121">
        <v>27</v>
      </c>
      <c r="O221" s="121">
        <v>32</v>
      </c>
      <c r="P221" s="121">
        <v>23</v>
      </c>
      <c r="Q221" s="121">
        <v>49</v>
      </c>
      <c r="R221" s="121">
        <v>20</v>
      </c>
      <c r="S221" s="121">
        <v>12</v>
      </c>
      <c r="T221" s="121">
        <v>39</v>
      </c>
      <c r="U221" s="121">
        <v>56</v>
      </c>
      <c r="V221" s="121">
        <v>33</v>
      </c>
      <c r="W221" s="121">
        <v>41</v>
      </c>
      <c r="X221" s="121">
        <v>31</v>
      </c>
      <c r="Y221" s="121">
        <v>29</v>
      </c>
      <c r="Z221" s="121">
        <v>26</v>
      </c>
      <c r="AA221" s="121">
        <v>38</v>
      </c>
      <c r="AB221" s="121">
        <v>28</v>
      </c>
      <c r="AC221" s="121">
        <v>32</v>
      </c>
      <c r="AD221" s="121">
        <v>27</v>
      </c>
      <c r="AE221" s="121">
        <v>30</v>
      </c>
      <c r="AF221" s="121">
        <v>20</v>
      </c>
      <c r="AG221" s="122">
        <f t="shared" si="21"/>
        <v>820</v>
      </c>
    </row>
    <row r="222" spans="1:34" ht="15.75" customHeight="1" x14ac:dyDescent="0.25">
      <c r="A222" s="74" t="s">
        <v>157</v>
      </c>
      <c r="B222" s="75">
        <v>0</v>
      </c>
      <c r="C222" s="76">
        <v>0</v>
      </c>
      <c r="D222" s="76">
        <v>0</v>
      </c>
      <c r="E222" s="76">
        <v>0</v>
      </c>
      <c r="F222" s="76">
        <v>0</v>
      </c>
      <c r="G222" s="76">
        <v>0</v>
      </c>
      <c r="H222" s="76">
        <v>1</v>
      </c>
      <c r="I222" s="76">
        <v>0</v>
      </c>
      <c r="J222" s="76">
        <v>3</v>
      </c>
      <c r="K222" s="76">
        <v>0</v>
      </c>
      <c r="L222" s="76">
        <v>0</v>
      </c>
      <c r="M222" s="76">
        <v>0</v>
      </c>
      <c r="N222" s="76">
        <v>0</v>
      </c>
      <c r="O222" s="76">
        <v>0</v>
      </c>
      <c r="P222" s="76">
        <v>0</v>
      </c>
      <c r="Q222" s="76">
        <v>0</v>
      </c>
      <c r="R222" s="76">
        <v>0</v>
      </c>
      <c r="S222" s="76">
        <v>0</v>
      </c>
      <c r="T222" s="76">
        <v>0</v>
      </c>
      <c r="U222" s="76">
        <v>0</v>
      </c>
      <c r="V222" s="76">
        <v>0</v>
      </c>
      <c r="W222" s="76">
        <v>0</v>
      </c>
      <c r="X222" s="76">
        <v>0</v>
      </c>
      <c r="Y222" s="76">
        <v>1</v>
      </c>
      <c r="Z222" s="76">
        <v>0</v>
      </c>
      <c r="AA222" s="76">
        <v>0</v>
      </c>
      <c r="AB222" s="76">
        <v>0</v>
      </c>
      <c r="AC222" s="76">
        <v>0</v>
      </c>
      <c r="AD222" s="76">
        <v>0</v>
      </c>
      <c r="AE222" s="76">
        <v>0</v>
      </c>
      <c r="AF222" s="76">
        <v>0</v>
      </c>
      <c r="AG222" s="112">
        <f t="shared" si="21"/>
        <v>5</v>
      </c>
    </row>
    <row r="223" spans="1:34" ht="15.75" customHeight="1" x14ac:dyDescent="0.25">
      <c r="A223" s="203" t="s">
        <v>158</v>
      </c>
      <c r="B223" s="85">
        <f t="shared" ref="B223:AF223" si="29">SUM(B224:B226)</f>
        <v>4</v>
      </c>
      <c r="C223" s="86">
        <f t="shared" si="29"/>
        <v>2</v>
      </c>
      <c r="D223" s="86">
        <f t="shared" si="29"/>
        <v>6</v>
      </c>
      <c r="E223" s="86">
        <f t="shared" si="29"/>
        <v>3</v>
      </c>
      <c r="F223" s="86">
        <f t="shared" si="29"/>
        <v>3</v>
      </c>
      <c r="G223" s="86">
        <f t="shared" si="29"/>
        <v>4</v>
      </c>
      <c r="H223" s="86">
        <f t="shared" si="29"/>
        <v>5</v>
      </c>
      <c r="I223" s="86">
        <f t="shared" si="29"/>
        <v>3</v>
      </c>
      <c r="J223" s="86">
        <f t="shared" si="29"/>
        <v>5</v>
      </c>
      <c r="K223" s="86">
        <f t="shared" si="29"/>
        <v>3</v>
      </c>
      <c r="L223" s="86">
        <f t="shared" si="29"/>
        <v>4</v>
      </c>
      <c r="M223" s="86">
        <f t="shared" si="29"/>
        <v>1</v>
      </c>
      <c r="N223" s="86">
        <f t="shared" si="29"/>
        <v>4</v>
      </c>
      <c r="O223" s="86">
        <f t="shared" si="29"/>
        <v>3</v>
      </c>
      <c r="P223" s="86">
        <f t="shared" si="29"/>
        <v>4</v>
      </c>
      <c r="Q223" s="86">
        <f t="shared" si="29"/>
        <v>4</v>
      </c>
      <c r="R223" s="86">
        <f t="shared" si="29"/>
        <v>1</v>
      </c>
      <c r="S223" s="86">
        <f t="shared" si="29"/>
        <v>1</v>
      </c>
      <c r="T223" s="86">
        <f t="shared" si="29"/>
        <v>4</v>
      </c>
      <c r="U223" s="86">
        <f t="shared" si="29"/>
        <v>2</v>
      </c>
      <c r="V223" s="86">
        <f t="shared" si="29"/>
        <v>4</v>
      </c>
      <c r="W223" s="86">
        <f t="shared" si="29"/>
        <v>3</v>
      </c>
      <c r="X223" s="86">
        <f t="shared" si="29"/>
        <v>3</v>
      </c>
      <c r="Y223" s="86">
        <f t="shared" si="29"/>
        <v>5</v>
      </c>
      <c r="Z223" s="86">
        <f t="shared" si="29"/>
        <v>0</v>
      </c>
      <c r="AA223" s="86">
        <f t="shared" si="29"/>
        <v>1</v>
      </c>
      <c r="AB223" s="86">
        <f t="shared" si="29"/>
        <v>2</v>
      </c>
      <c r="AC223" s="86">
        <f t="shared" si="29"/>
        <v>1</v>
      </c>
      <c r="AD223" s="86">
        <f t="shared" si="29"/>
        <v>5</v>
      </c>
      <c r="AE223" s="86">
        <f t="shared" si="29"/>
        <v>2</v>
      </c>
      <c r="AF223" s="86">
        <f t="shared" si="29"/>
        <v>3</v>
      </c>
      <c r="AG223" s="110">
        <f t="shared" si="21"/>
        <v>95</v>
      </c>
      <c r="AH223" s="364" t="s">
        <v>159</v>
      </c>
    </row>
    <row r="224" spans="1:34" ht="15.75" customHeight="1" x14ac:dyDescent="0.25">
      <c r="A224" s="204" t="s">
        <v>160</v>
      </c>
      <c r="B224" s="205">
        <v>3</v>
      </c>
      <c r="C224" s="206">
        <v>1</v>
      </c>
      <c r="D224" s="206">
        <v>3</v>
      </c>
      <c r="E224" s="206">
        <v>2</v>
      </c>
      <c r="F224" s="206">
        <v>1</v>
      </c>
      <c r="G224" s="206">
        <v>3</v>
      </c>
      <c r="H224" s="206">
        <v>1</v>
      </c>
      <c r="I224" s="206">
        <v>2</v>
      </c>
      <c r="J224" s="206">
        <v>1</v>
      </c>
      <c r="K224" s="206">
        <v>1</v>
      </c>
      <c r="L224" s="206">
        <v>2</v>
      </c>
      <c r="M224" s="206">
        <v>0</v>
      </c>
      <c r="N224" s="205">
        <v>2</v>
      </c>
      <c r="O224" s="206">
        <v>3</v>
      </c>
      <c r="P224" s="206">
        <v>1</v>
      </c>
      <c r="Q224" s="206">
        <v>1</v>
      </c>
      <c r="R224" s="206">
        <v>0</v>
      </c>
      <c r="S224" s="206">
        <v>0</v>
      </c>
      <c r="T224" s="206">
        <v>3</v>
      </c>
      <c r="U224" s="206">
        <v>1</v>
      </c>
      <c r="V224" s="206">
        <v>2</v>
      </c>
      <c r="W224" s="206">
        <v>1</v>
      </c>
      <c r="X224" s="206">
        <v>1</v>
      </c>
      <c r="Y224" s="206">
        <v>3</v>
      </c>
      <c r="Z224" s="256">
        <v>0</v>
      </c>
      <c r="AA224" s="206">
        <v>0</v>
      </c>
      <c r="AB224" s="206">
        <v>1</v>
      </c>
      <c r="AC224" s="206">
        <v>1</v>
      </c>
      <c r="AD224" s="206">
        <v>3</v>
      </c>
      <c r="AE224" s="206">
        <v>0</v>
      </c>
      <c r="AF224" s="257">
        <v>1</v>
      </c>
      <c r="AG224" s="207">
        <f t="shared" si="21"/>
        <v>44</v>
      </c>
      <c r="AH224" s="365"/>
    </row>
    <row r="225" spans="1:34" ht="15.75" customHeight="1" x14ac:dyDescent="0.25">
      <c r="A225" s="204" t="s">
        <v>161</v>
      </c>
      <c r="B225" s="205">
        <v>1</v>
      </c>
      <c r="C225" s="206">
        <v>1</v>
      </c>
      <c r="D225" s="206">
        <v>3</v>
      </c>
      <c r="E225" s="206">
        <v>1</v>
      </c>
      <c r="F225" s="206">
        <v>2</v>
      </c>
      <c r="G225" s="206">
        <v>1</v>
      </c>
      <c r="H225" s="206">
        <v>4</v>
      </c>
      <c r="I225" s="206">
        <v>1</v>
      </c>
      <c r="J225" s="206">
        <v>4</v>
      </c>
      <c r="K225" s="206">
        <v>2</v>
      </c>
      <c r="L225" s="206">
        <v>2</v>
      </c>
      <c r="M225" s="206">
        <v>1</v>
      </c>
      <c r="N225" s="205">
        <v>2</v>
      </c>
      <c r="O225" s="206">
        <v>0</v>
      </c>
      <c r="P225" s="206">
        <v>3</v>
      </c>
      <c r="Q225" s="206">
        <v>3</v>
      </c>
      <c r="R225" s="206">
        <v>1</v>
      </c>
      <c r="S225" s="206">
        <v>1</v>
      </c>
      <c r="T225" s="206">
        <v>1</v>
      </c>
      <c r="U225" s="206">
        <v>1</v>
      </c>
      <c r="V225" s="206">
        <v>2</v>
      </c>
      <c r="W225" s="206">
        <v>2</v>
      </c>
      <c r="X225" s="206">
        <v>2</v>
      </c>
      <c r="Y225" s="206">
        <v>2</v>
      </c>
      <c r="Z225" s="256">
        <v>0</v>
      </c>
      <c r="AA225" s="206">
        <v>1</v>
      </c>
      <c r="AB225" s="206">
        <v>1</v>
      </c>
      <c r="AC225" s="206">
        <v>0</v>
      </c>
      <c r="AD225" s="206">
        <v>2</v>
      </c>
      <c r="AE225" s="206">
        <v>2</v>
      </c>
      <c r="AF225" s="257">
        <v>2</v>
      </c>
      <c r="AG225" s="207">
        <f t="shared" si="21"/>
        <v>51</v>
      </c>
      <c r="AH225" s="365"/>
    </row>
    <row r="226" spans="1:34" ht="15.75" customHeight="1" x14ac:dyDescent="0.25">
      <c r="A226" s="208" t="s">
        <v>162</v>
      </c>
      <c r="B226" s="209"/>
      <c r="C226" s="210"/>
      <c r="D226" s="210"/>
      <c r="E226" s="210"/>
      <c r="F226" s="210"/>
      <c r="G226" s="210"/>
      <c r="H226" s="210"/>
      <c r="I226" s="210"/>
      <c r="J226" s="210"/>
      <c r="K226" s="211"/>
      <c r="L226" s="211"/>
      <c r="M226" s="211"/>
      <c r="N226" s="258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60"/>
      <c r="AG226" s="106">
        <f t="shared" si="21"/>
        <v>0</v>
      </c>
      <c r="AH226" s="366"/>
    </row>
    <row r="227" spans="1:34" ht="15.75" customHeight="1" x14ac:dyDescent="0.25"/>
    <row r="228" spans="1:34" ht="15.75" customHeight="1" x14ac:dyDescent="0.25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</row>
    <row r="229" spans="1:34" ht="15.75" customHeight="1" x14ac:dyDescent="0.25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</row>
    <row r="230" spans="1:34" ht="15.75" customHeight="1" x14ac:dyDescent="0.25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</row>
    <row r="231" spans="1:34" ht="15.75" customHeight="1" x14ac:dyDescent="0.25"/>
    <row r="232" spans="1:34" ht="15.75" customHeight="1" x14ac:dyDescent="0.25"/>
    <row r="233" spans="1:34" ht="15.75" customHeight="1" x14ac:dyDescent="0.25"/>
    <row r="234" spans="1:34" ht="15.75" customHeight="1" x14ac:dyDescent="0.25"/>
    <row r="235" spans="1:34" ht="15.75" customHeight="1" x14ac:dyDescent="0.25"/>
    <row r="236" spans="1:34" ht="15.75" customHeight="1" x14ac:dyDescent="0.25"/>
    <row r="237" spans="1:34" ht="15.75" customHeight="1" x14ac:dyDescent="0.25"/>
    <row r="238" spans="1:34" ht="15.75" customHeight="1" x14ac:dyDescent="0.25"/>
    <row r="239" spans="1:34" ht="15.75" customHeight="1" x14ac:dyDescent="0.25"/>
    <row r="240" spans="1:3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9.5" customHeight="1" x14ac:dyDescent="0.25"/>
    <row r="258" ht="15.75" customHeight="1" x14ac:dyDescent="0.25"/>
    <row r="259" ht="18.75" customHeight="1" x14ac:dyDescent="0.25"/>
    <row r="260" ht="15.75" customHeight="1" x14ac:dyDescent="0.25"/>
    <row r="261" ht="15.75" customHeight="1" x14ac:dyDescent="0.25"/>
    <row r="262" ht="18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G1"/>
    <mergeCell ref="AI84:AI86"/>
    <mergeCell ref="AH223:AH226"/>
  </mergeCells>
  <conditionalFormatting sqref="B29:AF52">
    <cfRule type="cellIs" dxfId="86" priority="5" operator="lessThan">
      <formula>0</formula>
    </cfRule>
  </conditionalFormatting>
  <conditionalFormatting sqref="D54:D77">
    <cfRule type="cellIs" dxfId="85" priority="9" operator="lessThan">
      <formula>0</formula>
    </cfRule>
  </conditionalFormatting>
  <conditionalFormatting sqref="G54:G77">
    <cfRule type="cellIs" dxfId="84" priority="10" operator="lessThan">
      <formula>0</formula>
    </cfRule>
  </conditionalFormatting>
  <conditionalFormatting sqref="AH81">
    <cfRule type="cellIs" dxfId="83" priority="7" operator="equal">
      <formula>"*"</formula>
    </cfRule>
  </conditionalFormatting>
  <conditionalFormatting sqref="AH84 AH87">
    <cfRule type="cellIs" dxfId="82" priority="6" operator="equal">
      <formula>"*"</formula>
    </cfRule>
  </conditionalFormatting>
  <conditionalFormatting sqref="AH93">
    <cfRule type="cellIs" dxfId="81" priority="1" operator="equal">
      <formula>"*"</formula>
    </cfRule>
  </conditionalFormatting>
  <conditionalFormatting sqref="AH130">
    <cfRule type="cellIs" dxfId="80" priority="3" operator="equal">
      <formula>"*"</formula>
    </cfRule>
  </conditionalFormatting>
  <conditionalFormatting sqref="AH144:AH145">
    <cfRule type="cellIs" dxfId="79" priority="2" operator="equal">
      <formula>"*"</formula>
    </cfRule>
  </conditionalFormatting>
  <conditionalFormatting sqref="AH182">
    <cfRule type="cellIs" dxfId="78" priority="4" operator="equal">
      <formula>"*"</formula>
    </cfRule>
  </conditionalFormatting>
  <conditionalFormatting sqref="AH209">
    <cfRule type="cellIs" dxfId="77" priority="8" operator="equal">
      <formula>"X"</formula>
    </cfRule>
  </conditionalFormatting>
  <dataValidations count="1">
    <dataValidation type="decimal" allowBlank="1" showInputMessage="1" showErrorMessage="1" prompt="ERROR - Por favor ingrese solo Números" sqref="A98:A99 A101:A115" xr:uid="{00000000-0002-0000-0400-000000000000}">
      <formula1>0</formula1>
      <formula2>1000000000</formula2>
    </dataValidation>
  </dataValidations>
  <pageMargins left="0.7" right="0.7" top="0.7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AI1000"/>
  <sheetViews>
    <sheetView workbookViewId="0">
      <pane ySplit="3" topLeftCell="A145" activePane="bottomLeft" state="frozen"/>
      <selection activeCell="A192" sqref="A192:XFD192"/>
      <selection pane="bottomLeft" activeCell="A192" sqref="A192:XFD192"/>
    </sheetView>
  </sheetViews>
  <sheetFormatPr baseColWidth="10" defaultColWidth="14.42578125" defaultRowHeight="15" customHeight="1" x14ac:dyDescent="0.25"/>
  <cols>
    <col min="1" max="1" width="34.7109375" customWidth="1"/>
    <col min="2" max="13" width="8.28515625" customWidth="1"/>
    <col min="14" max="14" width="10.140625" customWidth="1"/>
    <col min="15" max="15" width="9.85546875" customWidth="1"/>
    <col min="16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  <col min="35" max="35" width="10.7109375" customWidth="1"/>
  </cols>
  <sheetData>
    <row r="1" spans="1:33" ht="21" x14ac:dyDescent="0.25">
      <c r="A1" s="358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60"/>
    </row>
    <row r="2" spans="1:33" ht="28.5" x14ac:dyDescent="0.25">
      <c r="A2" s="1" t="s">
        <v>4</v>
      </c>
      <c r="B2" s="261">
        <v>1</v>
      </c>
      <c r="C2" s="262">
        <f t="shared" ref="C2:AA2" si="0">+B2+1</f>
        <v>2</v>
      </c>
      <c r="D2" s="262">
        <f t="shared" si="0"/>
        <v>3</v>
      </c>
      <c r="E2" s="262">
        <f t="shared" si="0"/>
        <v>4</v>
      </c>
      <c r="F2" s="262">
        <f t="shared" si="0"/>
        <v>5</v>
      </c>
      <c r="G2" s="262">
        <f t="shared" si="0"/>
        <v>6</v>
      </c>
      <c r="H2" s="262">
        <f t="shared" si="0"/>
        <v>7</v>
      </c>
      <c r="I2" s="262">
        <f t="shared" si="0"/>
        <v>8</v>
      </c>
      <c r="J2" s="262">
        <f t="shared" si="0"/>
        <v>9</v>
      </c>
      <c r="K2" s="262">
        <f t="shared" si="0"/>
        <v>10</v>
      </c>
      <c r="L2" s="262">
        <f t="shared" si="0"/>
        <v>11</v>
      </c>
      <c r="M2" s="262">
        <f t="shared" si="0"/>
        <v>12</v>
      </c>
      <c r="N2" s="262">
        <f t="shared" si="0"/>
        <v>13</v>
      </c>
      <c r="O2" s="262">
        <f t="shared" si="0"/>
        <v>14</v>
      </c>
      <c r="P2" s="262">
        <f t="shared" si="0"/>
        <v>15</v>
      </c>
      <c r="Q2" s="262">
        <f t="shared" si="0"/>
        <v>16</v>
      </c>
      <c r="R2" s="262">
        <f t="shared" si="0"/>
        <v>17</v>
      </c>
      <c r="S2" s="262">
        <f t="shared" si="0"/>
        <v>18</v>
      </c>
      <c r="T2" s="262">
        <f t="shared" si="0"/>
        <v>19</v>
      </c>
      <c r="U2" s="262">
        <f t="shared" si="0"/>
        <v>20</v>
      </c>
      <c r="V2" s="262">
        <f t="shared" si="0"/>
        <v>21</v>
      </c>
      <c r="W2" s="262">
        <f t="shared" si="0"/>
        <v>22</v>
      </c>
      <c r="X2" s="262">
        <f t="shared" si="0"/>
        <v>23</v>
      </c>
      <c r="Y2" s="263">
        <f t="shared" si="0"/>
        <v>24</v>
      </c>
      <c r="Z2" s="262">
        <f t="shared" si="0"/>
        <v>25</v>
      </c>
      <c r="AA2" s="263">
        <f t="shared" si="0"/>
        <v>26</v>
      </c>
      <c r="AB2" s="262">
        <v>27</v>
      </c>
      <c r="AC2" s="262">
        <f>+AB2+1</f>
        <v>28</v>
      </c>
      <c r="AD2" s="262">
        <v>29</v>
      </c>
      <c r="AE2" s="262">
        <v>30</v>
      </c>
      <c r="AF2" s="212">
        <v>31</v>
      </c>
      <c r="AG2" s="3" t="s">
        <v>13</v>
      </c>
    </row>
    <row r="3" spans="1:33" ht="18.75" x14ac:dyDescent="0.25">
      <c r="A3" s="4" t="s">
        <v>14</v>
      </c>
      <c r="B3" s="5">
        <f t="shared" ref="B3:AF3" si="1">SUM(B4:B27)</f>
        <v>244</v>
      </c>
      <c r="C3" s="6">
        <f t="shared" si="1"/>
        <v>221</v>
      </c>
      <c r="D3" s="6">
        <f t="shared" si="1"/>
        <v>278</v>
      </c>
      <c r="E3" s="6">
        <f t="shared" si="1"/>
        <v>238</v>
      </c>
      <c r="F3" s="6">
        <f t="shared" si="1"/>
        <v>264</v>
      </c>
      <c r="G3" s="6">
        <f t="shared" si="1"/>
        <v>225</v>
      </c>
      <c r="H3" s="6">
        <f t="shared" si="1"/>
        <v>200</v>
      </c>
      <c r="I3" s="6">
        <f t="shared" si="1"/>
        <v>227</v>
      </c>
      <c r="J3" s="6">
        <f t="shared" si="1"/>
        <v>218</v>
      </c>
      <c r="K3" s="6">
        <f t="shared" si="1"/>
        <v>321</v>
      </c>
      <c r="L3" s="6">
        <f t="shared" si="1"/>
        <v>295</v>
      </c>
      <c r="M3" s="6">
        <f t="shared" si="1"/>
        <v>282</v>
      </c>
      <c r="N3" s="6">
        <f t="shared" si="1"/>
        <v>245</v>
      </c>
      <c r="O3" s="6">
        <f t="shared" si="1"/>
        <v>225</v>
      </c>
      <c r="P3" s="6">
        <f t="shared" si="1"/>
        <v>201</v>
      </c>
      <c r="Q3" s="6">
        <f t="shared" si="1"/>
        <v>203</v>
      </c>
      <c r="R3" s="6">
        <f t="shared" si="1"/>
        <v>269</v>
      </c>
      <c r="S3" s="6">
        <f t="shared" si="1"/>
        <v>269</v>
      </c>
      <c r="T3" s="6">
        <f t="shared" si="1"/>
        <v>265</v>
      </c>
      <c r="U3" s="6">
        <f t="shared" si="1"/>
        <v>272</v>
      </c>
      <c r="V3" s="6">
        <f t="shared" si="1"/>
        <v>233</v>
      </c>
      <c r="W3" s="6">
        <f t="shared" si="1"/>
        <v>183</v>
      </c>
      <c r="X3" s="6">
        <f t="shared" si="1"/>
        <v>243</v>
      </c>
      <c r="Y3" s="6">
        <f t="shared" si="1"/>
        <v>330</v>
      </c>
      <c r="Z3" s="6">
        <f t="shared" si="1"/>
        <v>284</v>
      </c>
      <c r="AA3" s="6">
        <f t="shared" si="1"/>
        <v>285</v>
      </c>
      <c r="AB3" s="6">
        <f t="shared" si="1"/>
        <v>289</v>
      </c>
      <c r="AC3" s="6">
        <f t="shared" si="1"/>
        <v>226</v>
      </c>
      <c r="AD3" s="6">
        <f t="shared" si="1"/>
        <v>238</v>
      </c>
      <c r="AE3" s="6">
        <f t="shared" si="1"/>
        <v>241</v>
      </c>
      <c r="AF3" s="6">
        <f t="shared" si="1"/>
        <v>0</v>
      </c>
      <c r="AG3" s="7">
        <f t="shared" ref="AG3:AG145" si="2">SUM(B3:AF3)</f>
        <v>7514</v>
      </c>
    </row>
    <row r="4" spans="1:33" ht="18.75" x14ac:dyDescent="0.25">
      <c r="A4" s="8" t="s">
        <v>15</v>
      </c>
      <c r="B4" s="9">
        <v>8</v>
      </c>
      <c r="C4" s="10">
        <v>6</v>
      </c>
      <c r="D4" s="10">
        <v>18</v>
      </c>
      <c r="E4" s="10">
        <v>19</v>
      </c>
      <c r="F4" s="10">
        <v>15</v>
      </c>
      <c r="G4" s="10">
        <v>11</v>
      </c>
      <c r="H4" s="10">
        <v>14</v>
      </c>
      <c r="I4" s="10">
        <v>15</v>
      </c>
      <c r="J4" s="10">
        <v>8</v>
      </c>
      <c r="K4" s="10">
        <v>21</v>
      </c>
      <c r="L4" s="10">
        <v>22</v>
      </c>
      <c r="M4" s="10">
        <v>19</v>
      </c>
      <c r="N4" s="10">
        <v>18</v>
      </c>
      <c r="O4" s="10">
        <v>13</v>
      </c>
      <c r="P4" s="10">
        <v>14</v>
      </c>
      <c r="Q4" s="10">
        <v>8</v>
      </c>
      <c r="R4" s="10">
        <v>7</v>
      </c>
      <c r="S4" s="10">
        <v>16</v>
      </c>
      <c r="T4" s="10">
        <v>9</v>
      </c>
      <c r="U4" s="10">
        <v>9</v>
      </c>
      <c r="V4" s="10">
        <v>14</v>
      </c>
      <c r="W4" s="10">
        <v>10</v>
      </c>
      <c r="X4" s="10">
        <v>4</v>
      </c>
      <c r="Y4" s="10">
        <v>24</v>
      </c>
      <c r="Z4" s="10">
        <v>13</v>
      </c>
      <c r="AA4" s="10">
        <v>20</v>
      </c>
      <c r="AB4" s="10">
        <v>14</v>
      </c>
      <c r="AC4" s="10">
        <v>15</v>
      </c>
      <c r="AD4" s="10">
        <v>17</v>
      </c>
      <c r="AE4" s="10">
        <v>10</v>
      </c>
      <c r="AF4" s="213"/>
      <c r="AG4" s="11">
        <f t="shared" si="2"/>
        <v>411</v>
      </c>
    </row>
    <row r="5" spans="1:33" ht="18.75" x14ac:dyDescent="0.25">
      <c r="A5" s="12" t="s">
        <v>16</v>
      </c>
      <c r="B5" s="13">
        <v>19</v>
      </c>
      <c r="C5" s="14">
        <v>13</v>
      </c>
      <c r="D5" s="14">
        <v>14</v>
      </c>
      <c r="E5" s="14">
        <v>14</v>
      </c>
      <c r="F5" s="14">
        <v>15</v>
      </c>
      <c r="G5" s="14">
        <v>14</v>
      </c>
      <c r="H5" s="14">
        <v>12</v>
      </c>
      <c r="I5" s="14">
        <v>7</v>
      </c>
      <c r="J5" s="14">
        <v>8</v>
      </c>
      <c r="K5" s="14">
        <v>16</v>
      </c>
      <c r="L5" s="14">
        <v>24</v>
      </c>
      <c r="M5" s="14">
        <v>16</v>
      </c>
      <c r="N5" s="14">
        <v>13</v>
      </c>
      <c r="O5" s="14">
        <v>14</v>
      </c>
      <c r="P5" s="14">
        <v>17</v>
      </c>
      <c r="Q5" s="14">
        <v>6</v>
      </c>
      <c r="R5" s="14">
        <v>16</v>
      </c>
      <c r="S5" s="14">
        <v>18</v>
      </c>
      <c r="T5" s="14">
        <v>15</v>
      </c>
      <c r="U5" s="14">
        <v>19</v>
      </c>
      <c r="V5" s="14">
        <v>9</v>
      </c>
      <c r="W5" s="14">
        <v>18</v>
      </c>
      <c r="X5" s="14">
        <v>7</v>
      </c>
      <c r="Y5" s="14">
        <v>21</v>
      </c>
      <c r="Z5" s="14">
        <v>21</v>
      </c>
      <c r="AA5" s="14">
        <v>13</v>
      </c>
      <c r="AB5" s="14">
        <v>12</v>
      </c>
      <c r="AC5" s="14">
        <v>20</v>
      </c>
      <c r="AD5" s="14">
        <v>14</v>
      </c>
      <c r="AE5" s="14">
        <v>19</v>
      </c>
      <c r="AF5" s="214"/>
      <c r="AG5" s="15">
        <f t="shared" si="2"/>
        <v>444</v>
      </c>
    </row>
    <row r="6" spans="1:33" ht="18.75" x14ac:dyDescent="0.25">
      <c r="A6" s="12" t="s">
        <v>17</v>
      </c>
      <c r="B6" s="13">
        <v>9</v>
      </c>
      <c r="C6" s="14">
        <v>21</v>
      </c>
      <c r="D6" s="14">
        <v>17</v>
      </c>
      <c r="E6" s="14">
        <v>17</v>
      </c>
      <c r="F6" s="14">
        <v>24</v>
      </c>
      <c r="G6" s="14">
        <v>11</v>
      </c>
      <c r="H6" s="14">
        <v>15</v>
      </c>
      <c r="I6" s="14">
        <v>22</v>
      </c>
      <c r="J6" s="14">
        <v>21</v>
      </c>
      <c r="K6" s="14">
        <v>22</v>
      </c>
      <c r="L6" s="14">
        <v>18</v>
      </c>
      <c r="M6" s="14">
        <v>29</v>
      </c>
      <c r="N6" s="14">
        <v>18</v>
      </c>
      <c r="O6" s="14">
        <v>16</v>
      </c>
      <c r="P6" s="14">
        <v>17</v>
      </c>
      <c r="Q6" s="14">
        <v>19</v>
      </c>
      <c r="R6" s="14">
        <v>15</v>
      </c>
      <c r="S6" s="14">
        <v>12</v>
      </c>
      <c r="T6" s="14">
        <v>13</v>
      </c>
      <c r="U6" s="14">
        <v>20</v>
      </c>
      <c r="V6" s="14">
        <v>19</v>
      </c>
      <c r="W6" s="14">
        <v>22</v>
      </c>
      <c r="X6" s="14">
        <v>20</v>
      </c>
      <c r="Y6" s="14">
        <v>22</v>
      </c>
      <c r="Z6" s="14">
        <v>19</v>
      </c>
      <c r="AA6" s="14">
        <v>11</v>
      </c>
      <c r="AB6" s="14">
        <v>23</v>
      </c>
      <c r="AC6" s="14">
        <v>13</v>
      </c>
      <c r="AD6" s="14">
        <v>28</v>
      </c>
      <c r="AE6" s="14">
        <v>16</v>
      </c>
      <c r="AF6" s="214"/>
      <c r="AG6" s="15">
        <f t="shared" si="2"/>
        <v>549</v>
      </c>
    </row>
    <row r="7" spans="1:33" ht="18.75" x14ac:dyDescent="0.25">
      <c r="A7" s="12" t="s">
        <v>18</v>
      </c>
      <c r="B7" s="13">
        <v>25</v>
      </c>
      <c r="C7" s="14">
        <v>14</v>
      </c>
      <c r="D7" s="14">
        <v>24</v>
      </c>
      <c r="E7" s="14">
        <v>14</v>
      </c>
      <c r="F7" s="14">
        <v>18</v>
      </c>
      <c r="G7" s="14">
        <v>17</v>
      </c>
      <c r="H7" s="14">
        <v>18</v>
      </c>
      <c r="I7" s="14">
        <v>13</v>
      </c>
      <c r="J7" s="14">
        <v>19</v>
      </c>
      <c r="K7" s="14">
        <v>27</v>
      </c>
      <c r="L7" s="14">
        <v>19</v>
      </c>
      <c r="M7" s="14">
        <v>24</v>
      </c>
      <c r="N7" s="14">
        <v>18</v>
      </c>
      <c r="O7" s="14">
        <v>12</v>
      </c>
      <c r="P7" s="14">
        <v>20</v>
      </c>
      <c r="Q7" s="14">
        <v>16</v>
      </c>
      <c r="R7" s="14">
        <v>21</v>
      </c>
      <c r="S7" s="14">
        <v>18</v>
      </c>
      <c r="T7" s="14">
        <v>18</v>
      </c>
      <c r="U7" s="14">
        <v>16</v>
      </c>
      <c r="V7" s="14">
        <v>14</v>
      </c>
      <c r="W7" s="14">
        <v>15</v>
      </c>
      <c r="X7" s="14">
        <v>23</v>
      </c>
      <c r="Y7" s="14">
        <v>19</v>
      </c>
      <c r="Z7" s="14">
        <v>28</v>
      </c>
      <c r="AA7" s="14">
        <v>15</v>
      </c>
      <c r="AB7" s="14">
        <v>20</v>
      </c>
      <c r="AC7" s="14">
        <v>20</v>
      </c>
      <c r="AD7" s="14">
        <v>20</v>
      </c>
      <c r="AE7" s="14">
        <v>24</v>
      </c>
      <c r="AF7" s="214"/>
      <c r="AG7" s="15">
        <f t="shared" si="2"/>
        <v>569</v>
      </c>
    </row>
    <row r="8" spans="1:33" ht="18.75" x14ac:dyDescent="0.25">
      <c r="A8" s="12" t="s">
        <v>19</v>
      </c>
      <c r="B8" s="13">
        <v>25</v>
      </c>
      <c r="C8" s="14">
        <v>15</v>
      </c>
      <c r="D8" s="14">
        <v>22</v>
      </c>
      <c r="E8" s="14">
        <v>9</v>
      </c>
      <c r="F8" s="14">
        <v>16</v>
      </c>
      <c r="G8" s="14">
        <v>16</v>
      </c>
      <c r="H8" s="14">
        <v>15</v>
      </c>
      <c r="I8" s="14">
        <v>13</v>
      </c>
      <c r="J8" s="14">
        <v>18</v>
      </c>
      <c r="K8" s="14">
        <v>21</v>
      </c>
      <c r="L8" s="14">
        <v>22</v>
      </c>
      <c r="M8" s="14">
        <v>26</v>
      </c>
      <c r="N8" s="14">
        <v>15</v>
      </c>
      <c r="O8" s="14">
        <v>11</v>
      </c>
      <c r="P8" s="14">
        <v>19</v>
      </c>
      <c r="Q8" s="14">
        <v>18</v>
      </c>
      <c r="R8" s="14">
        <v>15</v>
      </c>
      <c r="S8" s="14">
        <v>12</v>
      </c>
      <c r="T8" s="14">
        <v>13</v>
      </c>
      <c r="U8" s="14">
        <v>15</v>
      </c>
      <c r="V8" s="14">
        <v>22</v>
      </c>
      <c r="W8" s="14">
        <v>9</v>
      </c>
      <c r="X8" s="14">
        <v>15</v>
      </c>
      <c r="Y8" s="14">
        <v>32</v>
      </c>
      <c r="Z8" s="14">
        <v>23</v>
      </c>
      <c r="AA8" s="14">
        <v>15</v>
      </c>
      <c r="AB8" s="14">
        <v>17</v>
      </c>
      <c r="AC8" s="14">
        <v>9</v>
      </c>
      <c r="AD8" s="14">
        <v>17</v>
      </c>
      <c r="AE8" s="14">
        <v>20</v>
      </c>
      <c r="AF8" s="214"/>
      <c r="AG8" s="15">
        <f t="shared" si="2"/>
        <v>515</v>
      </c>
    </row>
    <row r="9" spans="1:33" ht="18.75" x14ac:dyDescent="0.25">
      <c r="A9" s="12" t="s">
        <v>20</v>
      </c>
      <c r="B9" s="13">
        <v>12</v>
      </c>
      <c r="C9" s="14">
        <v>10</v>
      </c>
      <c r="D9" s="14">
        <v>11</v>
      </c>
      <c r="E9" s="14">
        <v>13</v>
      </c>
      <c r="F9" s="14">
        <v>10</v>
      </c>
      <c r="G9" s="14">
        <v>13</v>
      </c>
      <c r="H9" s="14">
        <v>14</v>
      </c>
      <c r="I9" s="14">
        <v>18</v>
      </c>
      <c r="J9" s="14">
        <v>11</v>
      </c>
      <c r="K9" s="14">
        <v>11</v>
      </c>
      <c r="L9" s="14">
        <v>13</v>
      </c>
      <c r="M9" s="14">
        <v>10</v>
      </c>
      <c r="N9" s="14">
        <v>13</v>
      </c>
      <c r="O9" s="14">
        <v>10</v>
      </c>
      <c r="P9" s="14">
        <v>11</v>
      </c>
      <c r="Q9" s="14">
        <v>9</v>
      </c>
      <c r="R9" s="14">
        <v>8</v>
      </c>
      <c r="S9" s="14">
        <v>12</v>
      </c>
      <c r="T9" s="14">
        <v>12</v>
      </c>
      <c r="U9" s="14">
        <v>10</v>
      </c>
      <c r="V9" s="14">
        <v>12</v>
      </c>
      <c r="W9" s="14">
        <v>12</v>
      </c>
      <c r="X9" s="14">
        <v>22</v>
      </c>
      <c r="Y9" s="14">
        <v>22</v>
      </c>
      <c r="Z9" s="14">
        <v>14</v>
      </c>
      <c r="AA9" s="14">
        <v>18</v>
      </c>
      <c r="AB9" s="14">
        <v>9</v>
      </c>
      <c r="AC9" s="14">
        <v>7</v>
      </c>
      <c r="AD9" s="14">
        <v>15</v>
      </c>
      <c r="AE9" s="14">
        <v>20</v>
      </c>
      <c r="AF9" s="214"/>
      <c r="AG9" s="15">
        <f t="shared" si="2"/>
        <v>382</v>
      </c>
    </row>
    <row r="10" spans="1:33" ht="18.75" x14ac:dyDescent="0.25">
      <c r="A10" s="12" t="s">
        <v>21</v>
      </c>
      <c r="B10" s="13">
        <v>9</v>
      </c>
      <c r="C10" s="14">
        <v>15</v>
      </c>
      <c r="D10" s="14">
        <v>13</v>
      </c>
      <c r="E10" s="14">
        <v>7</v>
      </c>
      <c r="F10" s="14">
        <v>18</v>
      </c>
      <c r="G10" s="14">
        <v>8</v>
      </c>
      <c r="H10" s="14">
        <v>10</v>
      </c>
      <c r="I10" s="14">
        <v>14</v>
      </c>
      <c r="J10" s="14">
        <v>16</v>
      </c>
      <c r="K10" s="14">
        <v>18</v>
      </c>
      <c r="L10" s="14">
        <v>20</v>
      </c>
      <c r="M10" s="14">
        <v>10</v>
      </c>
      <c r="N10" s="14">
        <v>11</v>
      </c>
      <c r="O10" s="14">
        <v>10</v>
      </c>
      <c r="P10" s="14">
        <v>12</v>
      </c>
      <c r="Q10" s="14">
        <v>15</v>
      </c>
      <c r="R10" s="14">
        <v>24</v>
      </c>
      <c r="S10" s="14">
        <v>14</v>
      </c>
      <c r="T10" s="14">
        <v>20</v>
      </c>
      <c r="U10" s="14">
        <v>18</v>
      </c>
      <c r="V10" s="14">
        <v>11</v>
      </c>
      <c r="W10" s="14">
        <v>10</v>
      </c>
      <c r="X10" s="14">
        <v>11</v>
      </c>
      <c r="Y10" s="14">
        <v>19</v>
      </c>
      <c r="Z10" s="14">
        <v>22</v>
      </c>
      <c r="AA10" s="14">
        <v>21</v>
      </c>
      <c r="AB10" s="14">
        <v>14</v>
      </c>
      <c r="AC10" s="14">
        <v>5</v>
      </c>
      <c r="AD10" s="14">
        <v>7</v>
      </c>
      <c r="AE10" s="14">
        <v>17</v>
      </c>
      <c r="AF10" s="214"/>
      <c r="AG10" s="15">
        <f t="shared" si="2"/>
        <v>419</v>
      </c>
    </row>
    <row r="11" spans="1:33" ht="18.75" x14ac:dyDescent="0.25">
      <c r="A11" s="12" t="s">
        <v>22</v>
      </c>
      <c r="B11" s="13">
        <v>17</v>
      </c>
      <c r="C11" s="14">
        <v>17</v>
      </c>
      <c r="D11" s="14">
        <v>17</v>
      </c>
      <c r="E11" s="14">
        <v>21</v>
      </c>
      <c r="F11" s="14">
        <v>15</v>
      </c>
      <c r="G11" s="14">
        <v>11</v>
      </c>
      <c r="H11" s="14">
        <v>14</v>
      </c>
      <c r="I11" s="14">
        <v>15</v>
      </c>
      <c r="J11" s="14">
        <v>11</v>
      </c>
      <c r="K11" s="14">
        <v>17</v>
      </c>
      <c r="L11" s="14">
        <v>18</v>
      </c>
      <c r="M11" s="14">
        <v>18</v>
      </c>
      <c r="N11" s="14">
        <v>7</v>
      </c>
      <c r="O11" s="14">
        <v>18</v>
      </c>
      <c r="P11" s="14">
        <v>10</v>
      </c>
      <c r="Q11" s="14">
        <v>15</v>
      </c>
      <c r="R11" s="14">
        <v>20</v>
      </c>
      <c r="S11" s="14">
        <v>11</v>
      </c>
      <c r="T11" s="14">
        <v>12</v>
      </c>
      <c r="U11" s="14">
        <v>22</v>
      </c>
      <c r="V11" s="14">
        <v>11</v>
      </c>
      <c r="W11" s="14">
        <v>15</v>
      </c>
      <c r="X11" s="14">
        <v>14</v>
      </c>
      <c r="Y11" s="14">
        <v>20</v>
      </c>
      <c r="Z11" s="14">
        <v>20</v>
      </c>
      <c r="AA11" s="14">
        <v>15</v>
      </c>
      <c r="AB11" s="14">
        <v>20</v>
      </c>
      <c r="AC11" s="14">
        <v>18</v>
      </c>
      <c r="AD11" s="14">
        <v>17</v>
      </c>
      <c r="AE11" s="14">
        <v>9</v>
      </c>
      <c r="AF11" s="214"/>
      <c r="AG11" s="15">
        <f t="shared" si="2"/>
        <v>465</v>
      </c>
    </row>
    <row r="12" spans="1:33" ht="18.75" x14ac:dyDescent="0.25">
      <c r="A12" s="12" t="s">
        <v>23</v>
      </c>
      <c r="B12" s="13">
        <v>15</v>
      </c>
      <c r="C12" s="14">
        <v>20</v>
      </c>
      <c r="D12" s="14">
        <v>26</v>
      </c>
      <c r="E12" s="14">
        <v>24</v>
      </c>
      <c r="F12" s="14">
        <v>24</v>
      </c>
      <c r="G12" s="14">
        <v>16</v>
      </c>
      <c r="H12" s="14">
        <v>16</v>
      </c>
      <c r="I12" s="14">
        <v>22</v>
      </c>
      <c r="J12" s="14">
        <v>10</v>
      </c>
      <c r="K12" s="14">
        <v>26</v>
      </c>
      <c r="L12" s="14">
        <v>11</v>
      </c>
      <c r="M12" s="14">
        <v>21</v>
      </c>
      <c r="N12" s="14">
        <v>21</v>
      </c>
      <c r="O12" s="14">
        <v>23</v>
      </c>
      <c r="P12" s="14">
        <v>8</v>
      </c>
      <c r="Q12" s="14">
        <v>8</v>
      </c>
      <c r="R12" s="14">
        <v>29</v>
      </c>
      <c r="S12" s="14">
        <v>40</v>
      </c>
      <c r="T12" s="14">
        <v>24</v>
      </c>
      <c r="U12" s="14">
        <v>26</v>
      </c>
      <c r="V12" s="14">
        <v>20</v>
      </c>
      <c r="W12" s="14">
        <v>3</v>
      </c>
      <c r="X12" s="14">
        <v>10</v>
      </c>
      <c r="Y12" s="14">
        <v>26</v>
      </c>
      <c r="Z12" s="14">
        <v>25</v>
      </c>
      <c r="AA12" s="14">
        <v>24</v>
      </c>
      <c r="AB12" s="14">
        <v>29</v>
      </c>
      <c r="AC12" s="14">
        <v>13</v>
      </c>
      <c r="AD12" s="14">
        <v>18</v>
      </c>
      <c r="AE12" s="14">
        <v>15</v>
      </c>
      <c r="AF12" s="214"/>
      <c r="AG12" s="15">
        <f t="shared" si="2"/>
        <v>593</v>
      </c>
    </row>
    <row r="13" spans="1:33" ht="18.75" x14ac:dyDescent="0.25">
      <c r="A13" s="12" t="s">
        <v>24</v>
      </c>
      <c r="B13" s="13">
        <v>18</v>
      </c>
      <c r="C13" s="14">
        <v>13</v>
      </c>
      <c r="D13" s="14">
        <v>17</v>
      </c>
      <c r="E13" s="14">
        <v>21</v>
      </c>
      <c r="F13" s="14">
        <v>18</v>
      </c>
      <c r="G13" s="14">
        <v>26</v>
      </c>
      <c r="H13" s="14">
        <v>15</v>
      </c>
      <c r="I13" s="14">
        <v>12</v>
      </c>
      <c r="J13" s="14">
        <v>16</v>
      </c>
      <c r="K13" s="14">
        <v>28</v>
      </c>
      <c r="L13" s="14">
        <v>24</v>
      </c>
      <c r="M13" s="14">
        <v>15</v>
      </c>
      <c r="N13" s="14">
        <v>21</v>
      </c>
      <c r="O13" s="14">
        <v>16</v>
      </c>
      <c r="P13" s="14">
        <v>19</v>
      </c>
      <c r="Q13" s="14">
        <v>17</v>
      </c>
      <c r="R13" s="14">
        <v>23</v>
      </c>
      <c r="S13" s="14">
        <v>24</v>
      </c>
      <c r="T13" s="14">
        <v>31</v>
      </c>
      <c r="U13" s="14">
        <v>17</v>
      </c>
      <c r="V13" s="14">
        <v>19</v>
      </c>
      <c r="W13" s="14">
        <v>2</v>
      </c>
      <c r="X13" s="14">
        <v>33</v>
      </c>
      <c r="Y13" s="14">
        <v>22</v>
      </c>
      <c r="Z13" s="14">
        <v>21</v>
      </c>
      <c r="AA13" s="14">
        <v>37</v>
      </c>
      <c r="AB13" s="14">
        <v>32</v>
      </c>
      <c r="AC13" s="14">
        <v>23</v>
      </c>
      <c r="AD13" s="14">
        <v>18</v>
      </c>
      <c r="AE13" s="14">
        <v>18</v>
      </c>
      <c r="AF13" s="214"/>
      <c r="AG13" s="15">
        <f t="shared" si="2"/>
        <v>616</v>
      </c>
    </row>
    <row r="14" spans="1:33" ht="18.75" x14ac:dyDescent="0.25">
      <c r="A14" s="12" t="s">
        <v>25</v>
      </c>
      <c r="B14" s="13">
        <v>10</v>
      </c>
      <c r="C14" s="14">
        <v>17</v>
      </c>
      <c r="D14" s="14">
        <v>24</v>
      </c>
      <c r="E14" s="14">
        <v>19</v>
      </c>
      <c r="F14" s="14">
        <v>21</v>
      </c>
      <c r="G14" s="14">
        <v>14</v>
      </c>
      <c r="H14" s="14">
        <v>8</v>
      </c>
      <c r="I14" s="14">
        <v>14</v>
      </c>
      <c r="J14" s="14">
        <v>20</v>
      </c>
      <c r="K14" s="14">
        <v>24</v>
      </c>
      <c r="L14" s="14">
        <v>21</v>
      </c>
      <c r="M14" s="14">
        <v>22</v>
      </c>
      <c r="N14" s="14">
        <v>21</v>
      </c>
      <c r="O14" s="14">
        <v>17</v>
      </c>
      <c r="P14" s="14">
        <v>10</v>
      </c>
      <c r="Q14" s="14">
        <v>15</v>
      </c>
      <c r="R14" s="14">
        <v>27</v>
      </c>
      <c r="S14" s="14">
        <v>20</v>
      </c>
      <c r="T14" s="14">
        <v>19</v>
      </c>
      <c r="U14" s="14">
        <v>19</v>
      </c>
      <c r="V14" s="14">
        <v>12</v>
      </c>
      <c r="W14" s="14">
        <v>9</v>
      </c>
      <c r="X14" s="14">
        <v>20</v>
      </c>
      <c r="Y14" s="14">
        <v>25</v>
      </c>
      <c r="Z14" s="14">
        <v>19</v>
      </c>
      <c r="AA14" s="14">
        <v>16</v>
      </c>
      <c r="AB14" s="14">
        <v>19</v>
      </c>
      <c r="AC14" s="14">
        <v>22</v>
      </c>
      <c r="AD14" s="14">
        <v>4</v>
      </c>
      <c r="AE14" s="14">
        <v>15</v>
      </c>
      <c r="AF14" s="214"/>
      <c r="AG14" s="15">
        <f t="shared" si="2"/>
        <v>523</v>
      </c>
    </row>
    <row r="15" spans="1:33" ht="18.75" x14ac:dyDescent="0.25">
      <c r="A15" s="12" t="s">
        <v>26</v>
      </c>
      <c r="B15" s="13">
        <v>11</v>
      </c>
      <c r="C15" s="14">
        <v>9</v>
      </c>
      <c r="D15" s="14">
        <v>14</v>
      </c>
      <c r="E15" s="14">
        <v>11</v>
      </c>
      <c r="F15" s="14">
        <v>18</v>
      </c>
      <c r="G15" s="14">
        <v>13</v>
      </c>
      <c r="H15" s="14">
        <v>5</v>
      </c>
      <c r="I15" s="14">
        <v>7</v>
      </c>
      <c r="J15" s="14">
        <v>9</v>
      </c>
      <c r="K15" s="14">
        <v>24</v>
      </c>
      <c r="L15" s="14">
        <v>18</v>
      </c>
      <c r="M15" s="14">
        <v>13</v>
      </c>
      <c r="N15" s="14">
        <v>18</v>
      </c>
      <c r="O15" s="14">
        <v>12</v>
      </c>
      <c r="P15" s="14">
        <v>5</v>
      </c>
      <c r="Q15" s="14">
        <v>11</v>
      </c>
      <c r="R15" s="14">
        <v>17</v>
      </c>
      <c r="S15" s="14">
        <v>13</v>
      </c>
      <c r="T15" s="14">
        <v>25</v>
      </c>
      <c r="U15" s="14">
        <v>21</v>
      </c>
      <c r="V15" s="14">
        <v>19</v>
      </c>
      <c r="W15" s="14">
        <v>15</v>
      </c>
      <c r="X15" s="14">
        <v>9</v>
      </c>
      <c r="Y15" s="14">
        <v>21</v>
      </c>
      <c r="Z15" s="14">
        <v>13</v>
      </c>
      <c r="AA15" s="14">
        <v>15</v>
      </c>
      <c r="AB15" s="14">
        <v>9</v>
      </c>
      <c r="AC15" s="14">
        <v>6</v>
      </c>
      <c r="AD15" s="14">
        <v>9</v>
      </c>
      <c r="AE15" s="14">
        <v>12</v>
      </c>
      <c r="AF15" s="214"/>
      <c r="AG15" s="15">
        <f t="shared" si="2"/>
        <v>402</v>
      </c>
    </row>
    <row r="16" spans="1:33" ht="18.75" x14ac:dyDescent="0.25">
      <c r="A16" s="12" t="s">
        <v>27</v>
      </c>
      <c r="B16" s="13">
        <v>15</v>
      </c>
      <c r="C16" s="14">
        <v>15</v>
      </c>
      <c r="D16" s="14">
        <v>14</v>
      </c>
      <c r="E16" s="14">
        <v>12</v>
      </c>
      <c r="F16" s="14">
        <v>11</v>
      </c>
      <c r="G16" s="14">
        <v>10</v>
      </c>
      <c r="H16" s="14">
        <v>9</v>
      </c>
      <c r="I16" s="14">
        <v>8</v>
      </c>
      <c r="J16" s="14">
        <v>9</v>
      </c>
      <c r="K16" s="14">
        <v>14</v>
      </c>
      <c r="L16" s="14">
        <v>17</v>
      </c>
      <c r="M16" s="14">
        <v>11</v>
      </c>
      <c r="N16" s="14">
        <v>13</v>
      </c>
      <c r="O16" s="14">
        <v>5</v>
      </c>
      <c r="P16" s="14">
        <v>5</v>
      </c>
      <c r="Q16" s="14">
        <v>14</v>
      </c>
      <c r="R16" s="14">
        <v>18</v>
      </c>
      <c r="S16" s="14">
        <v>13</v>
      </c>
      <c r="T16" s="14">
        <v>18</v>
      </c>
      <c r="U16" s="14">
        <v>15</v>
      </c>
      <c r="V16" s="14">
        <v>10</v>
      </c>
      <c r="W16" s="14">
        <v>10</v>
      </c>
      <c r="X16" s="14">
        <v>9</v>
      </c>
      <c r="Y16" s="14">
        <v>8</v>
      </c>
      <c r="Z16" s="14">
        <v>7</v>
      </c>
      <c r="AA16" s="14">
        <v>11</v>
      </c>
      <c r="AB16" s="14">
        <v>15</v>
      </c>
      <c r="AC16" s="14">
        <v>20</v>
      </c>
      <c r="AD16" s="14">
        <v>3</v>
      </c>
      <c r="AE16" s="14">
        <v>3</v>
      </c>
      <c r="AF16" s="214"/>
      <c r="AG16" s="15">
        <f t="shared" si="2"/>
        <v>342</v>
      </c>
    </row>
    <row r="17" spans="1:33" ht="18.75" x14ac:dyDescent="0.25">
      <c r="A17" s="12" t="s">
        <v>28</v>
      </c>
      <c r="B17" s="13">
        <v>13</v>
      </c>
      <c r="C17" s="14">
        <v>9</v>
      </c>
      <c r="D17" s="14">
        <v>11</v>
      </c>
      <c r="E17" s="14">
        <v>8</v>
      </c>
      <c r="F17" s="14">
        <v>7</v>
      </c>
      <c r="G17" s="14">
        <v>9</v>
      </c>
      <c r="H17" s="14">
        <v>5</v>
      </c>
      <c r="I17" s="14">
        <v>11</v>
      </c>
      <c r="J17" s="14">
        <v>9</v>
      </c>
      <c r="K17" s="14">
        <v>11</v>
      </c>
      <c r="L17" s="14">
        <v>11</v>
      </c>
      <c r="M17" s="14">
        <v>14</v>
      </c>
      <c r="N17" s="14">
        <v>12</v>
      </c>
      <c r="O17" s="14">
        <v>10</v>
      </c>
      <c r="P17" s="14">
        <v>7</v>
      </c>
      <c r="Q17" s="14">
        <v>4</v>
      </c>
      <c r="R17" s="14">
        <v>12</v>
      </c>
      <c r="S17" s="14">
        <v>9</v>
      </c>
      <c r="T17" s="14">
        <v>12</v>
      </c>
      <c r="U17" s="14">
        <v>11</v>
      </c>
      <c r="V17" s="14">
        <v>6</v>
      </c>
      <c r="W17" s="14">
        <v>12</v>
      </c>
      <c r="X17" s="14">
        <v>10</v>
      </c>
      <c r="Y17" s="14">
        <v>12</v>
      </c>
      <c r="Z17" s="14">
        <v>10</v>
      </c>
      <c r="AA17" s="14">
        <v>11</v>
      </c>
      <c r="AB17" s="14">
        <v>14</v>
      </c>
      <c r="AC17" s="14">
        <v>9</v>
      </c>
      <c r="AD17" s="14">
        <v>12</v>
      </c>
      <c r="AE17" s="14">
        <v>9</v>
      </c>
      <c r="AF17" s="214"/>
      <c r="AG17" s="15">
        <f t="shared" si="2"/>
        <v>300</v>
      </c>
    </row>
    <row r="18" spans="1:33" ht="18.75" x14ac:dyDescent="0.25">
      <c r="A18" s="12" t="s">
        <v>29</v>
      </c>
      <c r="B18" s="13">
        <v>13</v>
      </c>
      <c r="C18" s="14">
        <v>11</v>
      </c>
      <c r="D18" s="14">
        <v>7</v>
      </c>
      <c r="E18" s="14">
        <v>9</v>
      </c>
      <c r="F18" s="14">
        <v>16</v>
      </c>
      <c r="G18" s="14">
        <v>10</v>
      </c>
      <c r="H18" s="14">
        <v>12</v>
      </c>
      <c r="I18" s="14">
        <v>6</v>
      </c>
      <c r="J18" s="14">
        <v>7</v>
      </c>
      <c r="K18" s="14">
        <v>12</v>
      </c>
      <c r="L18" s="14">
        <v>8</v>
      </c>
      <c r="M18" s="14">
        <v>7</v>
      </c>
      <c r="N18" s="14">
        <v>7</v>
      </c>
      <c r="O18" s="14">
        <v>8</v>
      </c>
      <c r="P18" s="14">
        <v>6</v>
      </c>
      <c r="Q18" s="14">
        <v>8</v>
      </c>
      <c r="R18" s="14">
        <v>6</v>
      </c>
      <c r="S18" s="14">
        <v>12</v>
      </c>
      <c r="T18" s="14">
        <v>6</v>
      </c>
      <c r="U18" s="14">
        <v>12</v>
      </c>
      <c r="V18" s="14">
        <v>5</v>
      </c>
      <c r="W18" s="14">
        <v>9</v>
      </c>
      <c r="X18" s="14">
        <v>12</v>
      </c>
      <c r="Y18" s="14">
        <v>6</v>
      </c>
      <c r="Z18" s="14">
        <v>13</v>
      </c>
      <c r="AA18" s="14">
        <v>10</v>
      </c>
      <c r="AB18" s="14">
        <v>10</v>
      </c>
      <c r="AC18" s="14">
        <v>8</v>
      </c>
      <c r="AD18" s="14">
        <v>6</v>
      </c>
      <c r="AE18" s="14">
        <v>6</v>
      </c>
      <c r="AF18" s="214"/>
      <c r="AG18" s="15">
        <f t="shared" si="2"/>
        <v>268</v>
      </c>
    </row>
    <row r="19" spans="1:33" ht="18.75" x14ac:dyDescent="0.25">
      <c r="A19" s="12" t="s">
        <v>30</v>
      </c>
      <c r="B19" s="13">
        <v>8</v>
      </c>
      <c r="C19" s="14">
        <v>6</v>
      </c>
      <c r="D19" s="14">
        <v>9</v>
      </c>
      <c r="E19" s="14">
        <v>7</v>
      </c>
      <c r="F19" s="14">
        <v>3</v>
      </c>
      <c r="G19" s="14">
        <v>8</v>
      </c>
      <c r="H19" s="14">
        <v>5</v>
      </c>
      <c r="I19" s="14">
        <v>7</v>
      </c>
      <c r="J19" s="14">
        <v>8</v>
      </c>
      <c r="K19" s="14">
        <v>7</v>
      </c>
      <c r="L19" s="14">
        <v>6</v>
      </c>
      <c r="M19" s="14">
        <v>8</v>
      </c>
      <c r="N19" s="14">
        <v>3</v>
      </c>
      <c r="O19" s="14">
        <v>11</v>
      </c>
      <c r="P19" s="14">
        <v>7</v>
      </c>
      <c r="Q19" s="14">
        <v>5</v>
      </c>
      <c r="R19" s="14">
        <v>2</v>
      </c>
      <c r="S19" s="14">
        <v>4</v>
      </c>
      <c r="T19" s="14">
        <v>3</v>
      </c>
      <c r="U19" s="14">
        <v>7</v>
      </c>
      <c r="V19" s="14">
        <v>8</v>
      </c>
      <c r="W19" s="14"/>
      <c r="X19" s="14">
        <v>5</v>
      </c>
      <c r="Y19" s="14">
        <v>5</v>
      </c>
      <c r="Z19" s="14">
        <v>3</v>
      </c>
      <c r="AA19" s="14">
        <v>5</v>
      </c>
      <c r="AB19" s="14">
        <v>6</v>
      </c>
      <c r="AC19" s="14">
        <v>2</v>
      </c>
      <c r="AD19" s="14">
        <v>6</v>
      </c>
      <c r="AE19" s="14">
        <v>10</v>
      </c>
      <c r="AF19" s="214"/>
      <c r="AG19" s="15">
        <f t="shared" si="2"/>
        <v>174</v>
      </c>
    </row>
    <row r="20" spans="1:33" ht="18.75" x14ac:dyDescent="0.25">
      <c r="A20" s="12" t="s">
        <v>31</v>
      </c>
      <c r="B20" s="13">
        <v>5</v>
      </c>
      <c r="C20" s="14">
        <v>1</v>
      </c>
      <c r="D20" s="14">
        <v>8</v>
      </c>
      <c r="E20" s="14">
        <v>3</v>
      </c>
      <c r="F20" s="14">
        <v>4</v>
      </c>
      <c r="G20" s="14">
        <v>5</v>
      </c>
      <c r="H20" s="14">
        <v>2</v>
      </c>
      <c r="I20" s="14">
        <v>4</v>
      </c>
      <c r="J20" s="14">
        <v>5</v>
      </c>
      <c r="K20" s="14">
        <v>4</v>
      </c>
      <c r="L20" s="14">
        <v>3</v>
      </c>
      <c r="M20" s="14">
        <v>4</v>
      </c>
      <c r="N20" s="14">
        <v>2</v>
      </c>
      <c r="O20" s="14">
        <v>4</v>
      </c>
      <c r="P20" s="14">
        <v>7</v>
      </c>
      <c r="Q20" s="14">
        <v>2</v>
      </c>
      <c r="R20" s="14">
        <v>4</v>
      </c>
      <c r="S20" s="14">
        <v>3</v>
      </c>
      <c r="T20" s="14">
        <v>10</v>
      </c>
      <c r="U20" s="14">
        <v>2</v>
      </c>
      <c r="V20" s="14">
        <v>7</v>
      </c>
      <c r="W20" s="14">
        <v>4</v>
      </c>
      <c r="X20" s="14">
        <v>5</v>
      </c>
      <c r="Y20" s="14">
        <v>7</v>
      </c>
      <c r="Z20" s="14">
        <v>3</v>
      </c>
      <c r="AA20" s="14">
        <v>6</v>
      </c>
      <c r="AB20" s="14">
        <v>2</v>
      </c>
      <c r="AC20" s="14">
        <v>2</v>
      </c>
      <c r="AD20" s="14">
        <v>6</v>
      </c>
      <c r="AE20" s="14">
        <v>5</v>
      </c>
      <c r="AF20" s="214"/>
      <c r="AG20" s="15">
        <f t="shared" si="2"/>
        <v>129</v>
      </c>
    </row>
    <row r="21" spans="1:33" ht="15.75" customHeight="1" x14ac:dyDescent="0.25">
      <c r="A21" s="12" t="s">
        <v>32</v>
      </c>
      <c r="B21" s="13">
        <v>0</v>
      </c>
      <c r="C21" s="14">
        <v>2</v>
      </c>
      <c r="D21" s="14">
        <v>4</v>
      </c>
      <c r="E21" s="14">
        <v>1</v>
      </c>
      <c r="F21" s="14">
        <v>1</v>
      </c>
      <c r="G21" s="14">
        <v>4</v>
      </c>
      <c r="H21" s="14">
        <v>3</v>
      </c>
      <c r="I21" s="14">
        <v>6</v>
      </c>
      <c r="J21" s="14">
        <v>4</v>
      </c>
      <c r="K21" s="14">
        <v>4</v>
      </c>
      <c r="L21" s="14">
        <v>5</v>
      </c>
      <c r="M21" s="14">
        <v>3</v>
      </c>
      <c r="N21" s="14">
        <v>2</v>
      </c>
      <c r="O21" s="14">
        <v>3</v>
      </c>
      <c r="P21" s="14">
        <v>2</v>
      </c>
      <c r="Q21" s="14">
        <v>2</v>
      </c>
      <c r="R21" s="14">
        <v>3</v>
      </c>
      <c r="S21" s="14">
        <v>5</v>
      </c>
      <c r="T21" s="14">
        <v>1</v>
      </c>
      <c r="U21" s="14">
        <v>1</v>
      </c>
      <c r="V21" s="14">
        <v>4</v>
      </c>
      <c r="W21" s="14">
        <v>2</v>
      </c>
      <c r="X21" s="14">
        <v>3</v>
      </c>
      <c r="Y21" s="14">
        <v>5</v>
      </c>
      <c r="Z21" s="14">
        <v>4</v>
      </c>
      <c r="AA21" s="14">
        <v>5</v>
      </c>
      <c r="AB21" s="14">
        <v>7</v>
      </c>
      <c r="AC21" s="14">
        <v>5</v>
      </c>
      <c r="AD21" s="14">
        <v>5</v>
      </c>
      <c r="AE21" s="14">
        <v>5</v>
      </c>
      <c r="AF21" s="214"/>
      <c r="AG21" s="15">
        <f t="shared" si="2"/>
        <v>101</v>
      </c>
    </row>
    <row r="22" spans="1:33" ht="15.75" customHeight="1" x14ac:dyDescent="0.25">
      <c r="A22" s="12" t="s">
        <v>33</v>
      </c>
      <c r="B22" s="13">
        <v>2</v>
      </c>
      <c r="C22" s="14">
        <v>0</v>
      </c>
      <c r="D22" s="14">
        <v>2</v>
      </c>
      <c r="E22" s="14">
        <v>1</v>
      </c>
      <c r="F22" s="14">
        <v>0</v>
      </c>
      <c r="G22" s="14">
        <v>0</v>
      </c>
      <c r="H22" s="14">
        <v>1</v>
      </c>
      <c r="I22" s="14">
        <v>3</v>
      </c>
      <c r="J22" s="14">
        <v>0</v>
      </c>
      <c r="K22" s="14">
        <v>4</v>
      </c>
      <c r="L22" s="14">
        <v>1</v>
      </c>
      <c r="M22" s="14">
        <v>0</v>
      </c>
      <c r="N22" s="14">
        <v>1</v>
      </c>
      <c r="O22" s="14">
        <v>3</v>
      </c>
      <c r="P22" s="14">
        <v>1</v>
      </c>
      <c r="Q22" s="14">
        <v>4</v>
      </c>
      <c r="R22" s="14">
        <v>1</v>
      </c>
      <c r="S22" s="14">
        <v>5</v>
      </c>
      <c r="T22" s="14">
        <v>0</v>
      </c>
      <c r="U22" s="14">
        <v>2</v>
      </c>
      <c r="V22" s="14">
        <v>3</v>
      </c>
      <c r="W22" s="14">
        <v>3</v>
      </c>
      <c r="X22" s="14">
        <v>0</v>
      </c>
      <c r="Y22" s="14">
        <v>2</v>
      </c>
      <c r="Z22" s="14">
        <v>3</v>
      </c>
      <c r="AA22" s="14">
        <v>4</v>
      </c>
      <c r="AB22" s="14">
        <v>1</v>
      </c>
      <c r="AC22" s="14">
        <v>2</v>
      </c>
      <c r="AD22" s="14">
        <v>3</v>
      </c>
      <c r="AE22" s="14">
        <v>1</v>
      </c>
      <c r="AF22" s="214"/>
      <c r="AG22" s="15">
        <f t="shared" si="2"/>
        <v>53</v>
      </c>
    </row>
    <row r="23" spans="1:33" ht="15.75" customHeight="1" x14ac:dyDescent="0.25">
      <c r="A23" s="12" t="s">
        <v>34</v>
      </c>
      <c r="B23" s="13">
        <v>4</v>
      </c>
      <c r="C23" s="14">
        <v>1</v>
      </c>
      <c r="D23" s="14">
        <v>2</v>
      </c>
      <c r="E23" s="14">
        <v>0</v>
      </c>
      <c r="F23" s="14">
        <v>0</v>
      </c>
      <c r="G23" s="14">
        <v>3</v>
      </c>
      <c r="H23" s="14">
        <v>0</v>
      </c>
      <c r="I23" s="14">
        <v>0</v>
      </c>
      <c r="J23" s="14">
        <v>1</v>
      </c>
      <c r="K23" s="14">
        <v>1</v>
      </c>
      <c r="L23" s="14">
        <v>1</v>
      </c>
      <c r="M23" s="14">
        <v>0</v>
      </c>
      <c r="N23" s="14">
        <v>2</v>
      </c>
      <c r="O23" s="14">
        <v>0</v>
      </c>
      <c r="P23" s="14">
        <v>1</v>
      </c>
      <c r="Q23" s="14">
        <v>0</v>
      </c>
      <c r="R23" s="14">
        <v>0</v>
      </c>
      <c r="S23" s="14">
        <v>2</v>
      </c>
      <c r="T23" s="14">
        <v>1</v>
      </c>
      <c r="U23" s="14">
        <v>2</v>
      </c>
      <c r="V23" s="14">
        <v>1</v>
      </c>
      <c r="W23" s="14">
        <v>1</v>
      </c>
      <c r="X23" s="14">
        <v>0</v>
      </c>
      <c r="Y23" s="14">
        <v>2</v>
      </c>
      <c r="Z23" s="14">
        <v>1</v>
      </c>
      <c r="AA23" s="14">
        <v>1</v>
      </c>
      <c r="AB23" s="14">
        <v>2</v>
      </c>
      <c r="AC23" s="14">
        <v>2</v>
      </c>
      <c r="AD23" s="14">
        <v>3</v>
      </c>
      <c r="AE23" s="14">
        <v>2</v>
      </c>
      <c r="AF23" s="214"/>
      <c r="AG23" s="15">
        <f t="shared" si="2"/>
        <v>36</v>
      </c>
    </row>
    <row r="24" spans="1:33" ht="15.75" customHeight="1" x14ac:dyDescent="0.25">
      <c r="A24" s="12" t="s">
        <v>35</v>
      </c>
      <c r="B24" s="13">
        <v>2</v>
      </c>
      <c r="C24" s="14">
        <v>1</v>
      </c>
      <c r="D24" s="14">
        <v>2</v>
      </c>
      <c r="E24" s="14">
        <v>0</v>
      </c>
      <c r="F24" s="14">
        <v>1</v>
      </c>
      <c r="G24" s="14">
        <v>2</v>
      </c>
      <c r="H24" s="14">
        <v>1</v>
      </c>
      <c r="I24" s="14">
        <v>3</v>
      </c>
      <c r="J24" s="14">
        <v>2</v>
      </c>
      <c r="K24" s="14">
        <v>0</v>
      </c>
      <c r="L24" s="14">
        <v>1</v>
      </c>
      <c r="M24" s="14">
        <v>1</v>
      </c>
      <c r="N24" s="14">
        <v>0</v>
      </c>
      <c r="O24" s="14">
        <v>0</v>
      </c>
      <c r="P24" s="14">
        <v>1</v>
      </c>
      <c r="Q24" s="14">
        <v>1</v>
      </c>
      <c r="R24" s="14">
        <v>1</v>
      </c>
      <c r="S24" s="14">
        <v>0</v>
      </c>
      <c r="T24" s="14">
        <v>1</v>
      </c>
      <c r="U24" s="14">
        <v>1</v>
      </c>
      <c r="V24" s="14">
        <v>1</v>
      </c>
      <c r="W24" s="14">
        <v>1</v>
      </c>
      <c r="X24" s="14">
        <v>2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2</v>
      </c>
      <c r="AE24" s="14">
        <v>3</v>
      </c>
      <c r="AF24" s="214"/>
      <c r="AG24" s="15">
        <f t="shared" si="2"/>
        <v>30</v>
      </c>
    </row>
    <row r="25" spans="1:33" ht="15.75" customHeight="1" x14ac:dyDescent="0.25">
      <c r="A25" s="12" t="s">
        <v>36</v>
      </c>
      <c r="B25" s="13">
        <v>1</v>
      </c>
      <c r="C25" s="14">
        <v>0</v>
      </c>
      <c r="D25" s="14">
        <v>0</v>
      </c>
      <c r="E25" s="14">
        <v>0</v>
      </c>
      <c r="F25" s="14">
        <v>0</v>
      </c>
      <c r="G25" s="14">
        <v>1</v>
      </c>
      <c r="H25" s="14">
        <v>1</v>
      </c>
      <c r="I25" s="14">
        <v>1</v>
      </c>
      <c r="J25" s="14">
        <v>0</v>
      </c>
      <c r="K25" s="14">
        <v>1</v>
      </c>
      <c r="L25" s="14">
        <v>1</v>
      </c>
      <c r="M25" s="14">
        <v>2</v>
      </c>
      <c r="N25" s="14">
        <v>0</v>
      </c>
      <c r="O25" s="14">
        <v>0</v>
      </c>
      <c r="P25" s="14">
        <v>1</v>
      </c>
      <c r="Q25" s="14">
        <v>1</v>
      </c>
      <c r="R25" s="14">
        <v>0</v>
      </c>
      <c r="S25" s="14">
        <v>2</v>
      </c>
      <c r="T25" s="14">
        <v>0</v>
      </c>
      <c r="U25" s="14">
        <v>0</v>
      </c>
      <c r="V25" s="14">
        <v>1</v>
      </c>
      <c r="W25" s="14">
        <v>1</v>
      </c>
      <c r="X25" s="14">
        <v>2</v>
      </c>
      <c r="Y25" s="14">
        <v>1</v>
      </c>
      <c r="Z25" s="14">
        <v>0</v>
      </c>
      <c r="AA25" s="14">
        <v>2</v>
      </c>
      <c r="AB25" s="14">
        <v>6</v>
      </c>
      <c r="AC25" s="14">
        <v>0</v>
      </c>
      <c r="AD25" s="14">
        <v>0</v>
      </c>
      <c r="AE25" s="14">
        <v>2</v>
      </c>
      <c r="AF25" s="214"/>
      <c r="AG25" s="15">
        <f t="shared" si="2"/>
        <v>27</v>
      </c>
    </row>
    <row r="26" spans="1:33" ht="15.75" customHeight="1" x14ac:dyDescent="0.25">
      <c r="A26" s="12" t="s">
        <v>37</v>
      </c>
      <c r="B26" s="13">
        <v>1</v>
      </c>
      <c r="C26" s="14">
        <v>1</v>
      </c>
      <c r="D26" s="14">
        <v>1</v>
      </c>
      <c r="E26" s="14">
        <v>1</v>
      </c>
      <c r="F26" s="14">
        <v>2</v>
      </c>
      <c r="G26" s="14">
        <v>2</v>
      </c>
      <c r="H26" s="14">
        <v>2</v>
      </c>
      <c r="I26" s="14">
        <v>1</v>
      </c>
      <c r="J26" s="14">
        <v>1</v>
      </c>
      <c r="K26" s="14">
        <v>0</v>
      </c>
      <c r="L26" s="14">
        <v>3</v>
      </c>
      <c r="M26" s="14">
        <v>1</v>
      </c>
      <c r="N26" s="14">
        <v>2</v>
      </c>
      <c r="O26" s="14">
        <v>2</v>
      </c>
      <c r="P26" s="14">
        <v>0</v>
      </c>
      <c r="Q26" s="14">
        <v>3</v>
      </c>
      <c r="R26" s="14">
        <v>0</v>
      </c>
      <c r="S26" s="14">
        <v>1</v>
      </c>
      <c r="T26" s="14">
        <v>2</v>
      </c>
      <c r="U26" s="14">
        <v>3</v>
      </c>
      <c r="V26" s="14">
        <v>4</v>
      </c>
      <c r="W26" s="14">
        <v>0</v>
      </c>
      <c r="X26" s="14">
        <v>3</v>
      </c>
      <c r="Y26" s="14">
        <v>0</v>
      </c>
      <c r="Z26" s="14">
        <v>1</v>
      </c>
      <c r="AA26" s="14">
        <v>1</v>
      </c>
      <c r="AB26" s="14">
        <v>1</v>
      </c>
      <c r="AC26" s="14">
        <v>1</v>
      </c>
      <c r="AD26" s="14">
        <v>5</v>
      </c>
      <c r="AE26" s="14">
        <v>0</v>
      </c>
      <c r="AF26" s="214"/>
      <c r="AG26" s="15">
        <f t="shared" si="2"/>
        <v>45</v>
      </c>
    </row>
    <row r="27" spans="1:33" ht="15.75" customHeight="1" x14ac:dyDescent="0.25">
      <c r="A27" s="16" t="s">
        <v>38</v>
      </c>
      <c r="B27" s="17">
        <v>2</v>
      </c>
      <c r="C27" s="18">
        <v>4</v>
      </c>
      <c r="D27" s="18">
        <v>1</v>
      </c>
      <c r="E27" s="18">
        <v>7</v>
      </c>
      <c r="F27" s="18">
        <v>7</v>
      </c>
      <c r="G27" s="18">
        <v>1</v>
      </c>
      <c r="H27" s="18">
        <v>3</v>
      </c>
      <c r="I27" s="18">
        <v>5</v>
      </c>
      <c r="J27" s="18">
        <v>5</v>
      </c>
      <c r="K27" s="18">
        <v>8</v>
      </c>
      <c r="L27" s="18">
        <v>8</v>
      </c>
      <c r="M27" s="18">
        <v>8</v>
      </c>
      <c r="N27" s="18">
        <v>7</v>
      </c>
      <c r="O27" s="18">
        <v>7</v>
      </c>
      <c r="P27" s="18">
        <v>1</v>
      </c>
      <c r="Q27" s="18">
        <v>2</v>
      </c>
      <c r="R27" s="18">
        <v>0</v>
      </c>
      <c r="S27" s="18">
        <v>3</v>
      </c>
      <c r="T27" s="18">
        <v>0</v>
      </c>
      <c r="U27" s="18">
        <v>4</v>
      </c>
      <c r="V27" s="18">
        <v>1</v>
      </c>
      <c r="W27" s="18">
        <v>0</v>
      </c>
      <c r="X27" s="18">
        <v>4</v>
      </c>
      <c r="Y27" s="18">
        <v>9</v>
      </c>
      <c r="Z27" s="18">
        <v>1</v>
      </c>
      <c r="AA27" s="18">
        <v>9</v>
      </c>
      <c r="AB27" s="18">
        <v>7</v>
      </c>
      <c r="AC27" s="18">
        <v>4</v>
      </c>
      <c r="AD27" s="18">
        <v>3</v>
      </c>
      <c r="AE27" s="18">
        <v>0</v>
      </c>
      <c r="AF27" s="215"/>
      <c r="AG27" s="15">
        <f t="shared" si="2"/>
        <v>121</v>
      </c>
    </row>
    <row r="28" spans="1:33" ht="15.75" customHeight="1" x14ac:dyDescent="0.25">
      <c r="A28" s="19" t="s">
        <v>39</v>
      </c>
      <c r="B28" s="20">
        <f t="shared" ref="B28:AF28" si="3">SUM(B29:B52)</f>
        <v>228</v>
      </c>
      <c r="C28" s="21">
        <f t="shared" si="3"/>
        <v>218</v>
      </c>
      <c r="D28" s="21">
        <f t="shared" si="3"/>
        <v>259</v>
      </c>
      <c r="E28" s="21">
        <f t="shared" si="3"/>
        <v>216</v>
      </c>
      <c r="F28" s="21">
        <f t="shared" si="3"/>
        <v>220</v>
      </c>
      <c r="G28" s="21">
        <f t="shared" si="3"/>
        <v>201</v>
      </c>
      <c r="H28" s="21">
        <f t="shared" si="3"/>
        <v>196</v>
      </c>
      <c r="I28" s="21">
        <f t="shared" si="3"/>
        <v>212</v>
      </c>
      <c r="J28" s="21">
        <f t="shared" si="3"/>
        <v>213</v>
      </c>
      <c r="K28" s="21">
        <f t="shared" si="3"/>
        <v>248</v>
      </c>
      <c r="L28" s="21">
        <f t="shared" si="3"/>
        <v>256</v>
      </c>
      <c r="M28" s="21">
        <f t="shared" si="3"/>
        <v>216</v>
      </c>
      <c r="N28" s="21">
        <f t="shared" si="3"/>
        <v>216</v>
      </c>
      <c r="O28" s="21">
        <f t="shared" si="3"/>
        <v>193</v>
      </c>
      <c r="P28" s="21">
        <f t="shared" si="3"/>
        <v>185</v>
      </c>
      <c r="Q28" s="21">
        <f t="shared" si="3"/>
        <v>202</v>
      </c>
      <c r="R28" s="21">
        <f t="shared" si="3"/>
        <v>227</v>
      </c>
      <c r="S28" s="21">
        <f t="shared" si="3"/>
        <v>243</v>
      </c>
      <c r="T28" s="21">
        <f t="shared" si="3"/>
        <v>230</v>
      </c>
      <c r="U28" s="21">
        <f t="shared" si="3"/>
        <v>234</v>
      </c>
      <c r="V28" s="21">
        <f t="shared" si="3"/>
        <v>207</v>
      </c>
      <c r="W28" s="21">
        <f t="shared" si="3"/>
        <v>165</v>
      </c>
      <c r="X28" s="21">
        <f t="shared" si="3"/>
        <v>230</v>
      </c>
      <c r="Y28" s="21">
        <f t="shared" si="3"/>
        <v>265</v>
      </c>
      <c r="Z28" s="21">
        <f t="shared" si="3"/>
        <v>226</v>
      </c>
      <c r="AA28" s="21">
        <f t="shared" si="3"/>
        <v>238</v>
      </c>
      <c r="AB28" s="21">
        <f t="shared" si="3"/>
        <v>239</v>
      </c>
      <c r="AC28" s="21">
        <f t="shared" si="3"/>
        <v>211</v>
      </c>
      <c r="AD28" s="21">
        <f t="shared" si="3"/>
        <v>214</v>
      </c>
      <c r="AE28" s="21">
        <f t="shared" si="3"/>
        <v>196</v>
      </c>
      <c r="AF28" s="21">
        <f t="shared" si="3"/>
        <v>0</v>
      </c>
      <c r="AG28" s="22">
        <f t="shared" si="2"/>
        <v>6604</v>
      </c>
    </row>
    <row r="29" spans="1:33" ht="15.75" customHeight="1" x14ac:dyDescent="0.25">
      <c r="A29" s="12" t="s">
        <v>15</v>
      </c>
      <c r="B29" s="13">
        <v>5</v>
      </c>
      <c r="C29" s="14">
        <v>5</v>
      </c>
      <c r="D29" s="14">
        <v>0</v>
      </c>
      <c r="E29" s="14">
        <v>8</v>
      </c>
      <c r="F29" s="14">
        <v>6</v>
      </c>
      <c r="G29" s="14">
        <v>5</v>
      </c>
      <c r="H29" s="14">
        <v>3</v>
      </c>
      <c r="I29" s="14">
        <v>5</v>
      </c>
      <c r="J29" s="14">
        <v>5</v>
      </c>
      <c r="K29" s="14">
        <v>9</v>
      </c>
      <c r="L29" s="14">
        <v>13</v>
      </c>
      <c r="M29" s="14">
        <v>8</v>
      </c>
      <c r="N29" s="14">
        <v>9</v>
      </c>
      <c r="O29" s="14">
        <v>6</v>
      </c>
      <c r="P29" s="14">
        <v>4</v>
      </c>
      <c r="Q29" s="14">
        <v>3</v>
      </c>
      <c r="R29" s="14">
        <v>5</v>
      </c>
      <c r="S29" s="14">
        <v>9</v>
      </c>
      <c r="T29" s="14">
        <v>4</v>
      </c>
      <c r="U29" s="14">
        <v>9</v>
      </c>
      <c r="V29" s="14">
        <v>2</v>
      </c>
      <c r="W29" s="14">
        <v>2</v>
      </c>
      <c r="X29" s="14">
        <v>4</v>
      </c>
      <c r="Y29" s="14">
        <v>9</v>
      </c>
      <c r="Z29" s="14">
        <v>2</v>
      </c>
      <c r="AA29" s="14">
        <v>10</v>
      </c>
      <c r="AB29" s="14">
        <v>8</v>
      </c>
      <c r="AC29" s="14">
        <v>9</v>
      </c>
      <c r="AD29" s="14">
        <v>7</v>
      </c>
      <c r="AE29" s="14">
        <v>2</v>
      </c>
      <c r="AF29" s="214"/>
      <c r="AG29" s="15">
        <f t="shared" si="2"/>
        <v>176</v>
      </c>
    </row>
    <row r="30" spans="1:33" ht="15.75" customHeight="1" x14ac:dyDescent="0.25">
      <c r="A30" s="12" t="s">
        <v>16</v>
      </c>
      <c r="B30" s="13">
        <v>6</v>
      </c>
      <c r="C30" s="14">
        <v>12</v>
      </c>
      <c r="D30" s="14">
        <v>18</v>
      </c>
      <c r="E30" s="14">
        <v>14</v>
      </c>
      <c r="F30" s="14">
        <v>13</v>
      </c>
      <c r="G30" s="14">
        <v>9</v>
      </c>
      <c r="H30" s="14">
        <v>20</v>
      </c>
      <c r="I30" s="14">
        <v>16</v>
      </c>
      <c r="J30" s="14">
        <v>8</v>
      </c>
      <c r="K30" s="14">
        <v>6</v>
      </c>
      <c r="L30" s="14">
        <v>21</v>
      </c>
      <c r="M30" s="14">
        <v>10</v>
      </c>
      <c r="N30" s="14">
        <v>12</v>
      </c>
      <c r="O30" s="14">
        <v>12</v>
      </c>
      <c r="P30" s="14">
        <v>7</v>
      </c>
      <c r="Q30" s="14">
        <v>6</v>
      </c>
      <c r="R30" s="14">
        <v>6</v>
      </c>
      <c r="S30" s="14">
        <v>14</v>
      </c>
      <c r="T30" s="14">
        <v>7</v>
      </c>
      <c r="U30" s="14">
        <v>9</v>
      </c>
      <c r="V30" s="14">
        <v>11</v>
      </c>
      <c r="W30" s="14">
        <v>11</v>
      </c>
      <c r="X30" s="14">
        <v>7</v>
      </c>
      <c r="Y30" s="14">
        <v>10</v>
      </c>
      <c r="Z30" s="14">
        <v>10</v>
      </c>
      <c r="AA30" s="14">
        <v>13</v>
      </c>
      <c r="AB30" s="14">
        <v>8</v>
      </c>
      <c r="AC30" s="14">
        <v>12</v>
      </c>
      <c r="AD30" s="14">
        <v>15</v>
      </c>
      <c r="AE30" s="14">
        <v>11</v>
      </c>
      <c r="AF30" s="214"/>
      <c r="AG30" s="15">
        <f t="shared" si="2"/>
        <v>334</v>
      </c>
    </row>
    <row r="31" spans="1:33" ht="15.75" customHeight="1" x14ac:dyDescent="0.25">
      <c r="A31" s="12" t="s">
        <v>17</v>
      </c>
      <c r="B31" s="13">
        <v>16</v>
      </c>
      <c r="C31" s="14">
        <v>17</v>
      </c>
      <c r="D31" s="14">
        <v>11</v>
      </c>
      <c r="E31" s="14">
        <v>16</v>
      </c>
      <c r="F31" s="14">
        <v>15</v>
      </c>
      <c r="G31" s="14">
        <v>7</v>
      </c>
      <c r="H31" s="14">
        <v>7</v>
      </c>
      <c r="I31" s="14">
        <v>12</v>
      </c>
      <c r="J31" s="14">
        <v>14</v>
      </c>
      <c r="K31" s="14">
        <v>21</v>
      </c>
      <c r="L31" s="14">
        <v>17</v>
      </c>
      <c r="M31" s="14">
        <v>18</v>
      </c>
      <c r="N31" s="14">
        <v>10</v>
      </c>
      <c r="O31" s="14">
        <v>12</v>
      </c>
      <c r="P31" s="14">
        <v>13</v>
      </c>
      <c r="Q31" s="14">
        <v>18</v>
      </c>
      <c r="R31" s="14">
        <v>9</v>
      </c>
      <c r="S31" s="14">
        <v>13</v>
      </c>
      <c r="T31" s="14">
        <v>12</v>
      </c>
      <c r="U31" s="14">
        <v>14</v>
      </c>
      <c r="V31" s="14">
        <v>12</v>
      </c>
      <c r="W31" s="14">
        <v>10</v>
      </c>
      <c r="X31" s="14">
        <v>20</v>
      </c>
      <c r="Y31" s="14">
        <v>11</v>
      </c>
      <c r="Z31" s="14">
        <v>11</v>
      </c>
      <c r="AA31" s="14">
        <v>6</v>
      </c>
      <c r="AB31" s="14">
        <v>11</v>
      </c>
      <c r="AC31" s="14">
        <v>9</v>
      </c>
      <c r="AD31" s="14">
        <v>9</v>
      </c>
      <c r="AE31" s="14">
        <v>13</v>
      </c>
      <c r="AF31" s="214"/>
      <c r="AG31" s="15">
        <f t="shared" si="2"/>
        <v>384</v>
      </c>
    </row>
    <row r="32" spans="1:33" ht="15.75" customHeight="1" x14ac:dyDescent="0.25">
      <c r="A32" s="12" t="s">
        <v>18</v>
      </c>
      <c r="B32" s="13">
        <v>12</v>
      </c>
      <c r="C32" s="14">
        <v>16</v>
      </c>
      <c r="D32" s="14">
        <v>11</v>
      </c>
      <c r="E32" s="14">
        <v>13</v>
      </c>
      <c r="F32" s="14">
        <v>11</v>
      </c>
      <c r="G32" s="14">
        <v>8</v>
      </c>
      <c r="H32" s="14">
        <v>10</v>
      </c>
      <c r="I32" s="14">
        <v>16</v>
      </c>
      <c r="J32" s="14">
        <v>15</v>
      </c>
      <c r="K32" s="14">
        <v>15</v>
      </c>
      <c r="L32" s="14">
        <v>11</v>
      </c>
      <c r="M32" s="14">
        <v>11</v>
      </c>
      <c r="N32" s="14">
        <v>16</v>
      </c>
      <c r="O32" s="14">
        <v>2</v>
      </c>
      <c r="P32" s="14">
        <v>12</v>
      </c>
      <c r="Q32" s="14">
        <v>14</v>
      </c>
      <c r="R32" s="14">
        <v>16</v>
      </c>
      <c r="S32" s="14">
        <v>16</v>
      </c>
      <c r="T32" s="14">
        <v>11</v>
      </c>
      <c r="U32" s="14">
        <v>10</v>
      </c>
      <c r="V32" s="14">
        <v>8</v>
      </c>
      <c r="W32" s="14">
        <v>8</v>
      </c>
      <c r="X32" s="14">
        <v>23</v>
      </c>
      <c r="Y32" s="14">
        <v>13</v>
      </c>
      <c r="Z32" s="14">
        <v>8</v>
      </c>
      <c r="AA32" s="14">
        <v>9</v>
      </c>
      <c r="AB32" s="14">
        <v>9</v>
      </c>
      <c r="AC32" s="14">
        <v>14</v>
      </c>
      <c r="AD32" s="14">
        <v>18</v>
      </c>
      <c r="AE32" s="14">
        <v>13</v>
      </c>
      <c r="AF32" s="214"/>
      <c r="AG32" s="15">
        <f t="shared" si="2"/>
        <v>369</v>
      </c>
    </row>
    <row r="33" spans="1:33" ht="15.75" customHeight="1" x14ac:dyDescent="0.25">
      <c r="A33" s="12" t="s">
        <v>19</v>
      </c>
      <c r="B33" s="13">
        <v>22</v>
      </c>
      <c r="C33" s="14">
        <v>11</v>
      </c>
      <c r="D33" s="14">
        <v>20</v>
      </c>
      <c r="E33" s="14">
        <v>3</v>
      </c>
      <c r="F33" s="14">
        <v>10</v>
      </c>
      <c r="G33" s="14">
        <v>10</v>
      </c>
      <c r="H33" s="14">
        <v>23</v>
      </c>
      <c r="I33" s="14">
        <v>16</v>
      </c>
      <c r="J33" s="14">
        <v>15</v>
      </c>
      <c r="K33" s="14">
        <v>7</v>
      </c>
      <c r="L33" s="14">
        <v>12</v>
      </c>
      <c r="M33" s="14">
        <v>13</v>
      </c>
      <c r="N33" s="14">
        <v>6</v>
      </c>
      <c r="O33" s="14">
        <v>21</v>
      </c>
      <c r="P33" s="14">
        <v>7</v>
      </c>
      <c r="Q33" s="14">
        <v>16</v>
      </c>
      <c r="R33" s="14">
        <v>6</v>
      </c>
      <c r="S33" s="14">
        <v>14</v>
      </c>
      <c r="T33" s="14">
        <v>10</v>
      </c>
      <c r="U33" s="14">
        <v>10</v>
      </c>
      <c r="V33" s="14">
        <v>12</v>
      </c>
      <c r="W33" s="14">
        <v>13</v>
      </c>
      <c r="X33" s="14">
        <v>15</v>
      </c>
      <c r="Y33" s="14">
        <v>13</v>
      </c>
      <c r="Z33" s="14">
        <v>15</v>
      </c>
      <c r="AA33" s="14">
        <v>16</v>
      </c>
      <c r="AB33" s="14">
        <v>9</v>
      </c>
      <c r="AC33" s="14">
        <v>10</v>
      </c>
      <c r="AD33" s="14">
        <v>12</v>
      </c>
      <c r="AE33" s="14">
        <v>12</v>
      </c>
      <c r="AF33" s="214"/>
      <c r="AG33" s="15">
        <f t="shared" si="2"/>
        <v>379</v>
      </c>
    </row>
    <row r="34" spans="1:33" ht="15.75" customHeight="1" x14ac:dyDescent="0.25">
      <c r="A34" s="12" t="s">
        <v>20</v>
      </c>
      <c r="B34" s="13">
        <v>14</v>
      </c>
      <c r="C34" s="14">
        <v>9</v>
      </c>
      <c r="D34" s="14">
        <v>4</v>
      </c>
      <c r="E34" s="14">
        <v>10</v>
      </c>
      <c r="F34" s="14">
        <v>12</v>
      </c>
      <c r="G34" s="14">
        <v>6</v>
      </c>
      <c r="H34" s="14">
        <v>12</v>
      </c>
      <c r="I34" s="14">
        <v>6</v>
      </c>
      <c r="J34" s="14">
        <v>12</v>
      </c>
      <c r="K34" s="14">
        <v>4</v>
      </c>
      <c r="L34" s="14">
        <v>2</v>
      </c>
      <c r="M34" s="14">
        <v>0</v>
      </c>
      <c r="N34" s="14">
        <v>6</v>
      </c>
      <c r="O34" s="14">
        <v>0</v>
      </c>
      <c r="P34" s="14">
        <v>17</v>
      </c>
      <c r="Q34" s="14">
        <v>15</v>
      </c>
      <c r="R34" s="14">
        <v>9</v>
      </c>
      <c r="S34" s="14">
        <v>6</v>
      </c>
      <c r="T34" s="14">
        <v>6</v>
      </c>
      <c r="U34" s="14">
        <v>16</v>
      </c>
      <c r="V34" s="14">
        <v>7</v>
      </c>
      <c r="W34" s="14">
        <v>12</v>
      </c>
      <c r="X34" s="14">
        <v>22</v>
      </c>
      <c r="Y34" s="14">
        <v>13</v>
      </c>
      <c r="Z34" s="14">
        <v>11</v>
      </c>
      <c r="AA34" s="14">
        <v>9</v>
      </c>
      <c r="AB34" s="14">
        <v>6</v>
      </c>
      <c r="AC34" s="14">
        <v>11</v>
      </c>
      <c r="AD34" s="14">
        <v>12</v>
      </c>
      <c r="AE34" s="14">
        <v>7</v>
      </c>
      <c r="AF34" s="214"/>
      <c r="AG34" s="15">
        <f t="shared" si="2"/>
        <v>276</v>
      </c>
    </row>
    <row r="35" spans="1:33" ht="15.75" customHeight="1" x14ac:dyDescent="0.25">
      <c r="A35" s="12" t="s">
        <v>21</v>
      </c>
      <c r="B35" s="13">
        <v>6</v>
      </c>
      <c r="C35" s="14">
        <v>17</v>
      </c>
      <c r="D35" s="14">
        <v>12</v>
      </c>
      <c r="E35" s="14">
        <v>12</v>
      </c>
      <c r="F35" s="14">
        <v>5</v>
      </c>
      <c r="G35" s="14">
        <v>16</v>
      </c>
      <c r="H35" s="14">
        <v>9</v>
      </c>
      <c r="I35" s="14">
        <v>11</v>
      </c>
      <c r="J35" s="14">
        <v>5</v>
      </c>
      <c r="K35" s="14">
        <v>6</v>
      </c>
      <c r="L35" s="14">
        <v>9</v>
      </c>
      <c r="M35" s="14">
        <v>8</v>
      </c>
      <c r="N35" s="14">
        <v>10</v>
      </c>
      <c r="O35" s="14">
        <v>16</v>
      </c>
      <c r="P35" s="14">
        <v>1</v>
      </c>
      <c r="Q35" s="14">
        <v>9</v>
      </c>
      <c r="R35" s="14">
        <v>16</v>
      </c>
      <c r="S35" s="14">
        <v>8</v>
      </c>
      <c r="T35" s="14">
        <v>14</v>
      </c>
      <c r="U35" s="14">
        <v>7</v>
      </c>
      <c r="V35" s="14">
        <v>13</v>
      </c>
      <c r="W35" s="14">
        <v>10</v>
      </c>
      <c r="X35" s="14">
        <v>8</v>
      </c>
      <c r="Y35" s="14">
        <v>11</v>
      </c>
      <c r="Z35" s="14">
        <v>9</v>
      </c>
      <c r="AA35" s="14">
        <v>12</v>
      </c>
      <c r="AB35" s="14">
        <v>11</v>
      </c>
      <c r="AC35" s="14">
        <v>10</v>
      </c>
      <c r="AD35" s="14">
        <v>10</v>
      </c>
      <c r="AE35" s="14">
        <v>8</v>
      </c>
      <c r="AF35" s="214"/>
      <c r="AG35" s="15">
        <f t="shared" si="2"/>
        <v>299</v>
      </c>
    </row>
    <row r="36" spans="1:33" ht="15.75" customHeight="1" x14ac:dyDescent="0.25">
      <c r="A36" s="12" t="s">
        <v>22</v>
      </c>
      <c r="B36" s="13">
        <v>13</v>
      </c>
      <c r="C36" s="14">
        <v>4</v>
      </c>
      <c r="D36" s="14">
        <v>20</v>
      </c>
      <c r="E36" s="14">
        <v>15</v>
      </c>
      <c r="F36" s="14">
        <v>11</v>
      </c>
      <c r="G36" s="14">
        <v>9</v>
      </c>
      <c r="H36" s="14">
        <v>16</v>
      </c>
      <c r="I36" s="14">
        <v>21</v>
      </c>
      <c r="J36" s="14">
        <v>15</v>
      </c>
      <c r="K36" s="14">
        <v>6</v>
      </c>
      <c r="L36" s="14">
        <v>17</v>
      </c>
      <c r="M36" s="14">
        <v>14</v>
      </c>
      <c r="N36" s="14">
        <v>7</v>
      </c>
      <c r="O36" s="14">
        <v>6</v>
      </c>
      <c r="P36" s="14">
        <v>7</v>
      </c>
      <c r="Q36" s="14">
        <v>5</v>
      </c>
      <c r="R36" s="14">
        <v>19</v>
      </c>
      <c r="S36" s="14">
        <v>12</v>
      </c>
      <c r="T36" s="14">
        <v>15</v>
      </c>
      <c r="U36" s="14">
        <v>14</v>
      </c>
      <c r="V36" s="14">
        <v>11</v>
      </c>
      <c r="W36" s="14">
        <v>15</v>
      </c>
      <c r="X36" s="14">
        <v>13</v>
      </c>
      <c r="Y36" s="14">
        <v>22</v>
      </c>
      <c r="Z36" s="14">
        <v>15</v>
      </c>
      <c r="AA36" s="14">
        <v>14</v>
      </c>
      <c r="AB36" s="14">
        <v>10</v>
      </c>
      <c r="AC36" s="14">
        <v>11</v>
      </c>
      <c r="AD36" s="14">
        <v>11</v>
      </c>
      <c r="AE36" s="14">
        <v>6</v>
      </c>
      <c r="AF36" s="214"/>
      <c r="AG36" s="15">
        <f t="shared" si="2"/>
        <v>374</v>
      </c>
    </row>
    <row r="37" spans="1:33" ht="15.75" customHeight="1" x14ac:dyDescent="0.25">
      <c r="A37" s="12" t="s">
        <v>23</v>
      </c>
      <c r="B37" s="13">
        <v>16</v>
      </c>
      <c r="C37" s="14">
        <v>18</v>
      </c>
      <c r="D37" s="14">
        <v>12</v>
      </c>
      <c r="E37" s="14">
        <v>11</v>
      </c>
      <c r="F37" s="14">
        <v>17</v>
      </c>
      <c r="G37" s="14">
        <v>6</v>
      </c>
      <c r="H37" s="14">
        <v>21</v>
      </c>
      <c r="I37" s="14">
        <v>11</v>
      </c>
      <c r="J37" s="14">
        <v>23</v>
      </c>
      <c r="K37" s="14">
        <v>4</v>
      </c>
      <c r="L37" s="14">
        <v>10</v>
      </c>
      <c r="M37" s="14">
        <v>16</v>
      </c>
      <c r="N37" s="14">
        <v>7</v>
      </c>
      <c r="O37" s="14">
        <v>0</v>
      </c>
      <c r="P37" s="14">
        <v>19</v>
      </c>
      <c r="Q37" s="14">
        <v>13</v>
      </c>
      <c r="R37" s="14">
        <v>11</v>
      </c>
      <c r="S37" s="14">
        <v>13</v>
      </c>
      <c r="T37" s="14">
        <v>11</v>
      </c>
      <c r="U37" s="14">
        <v>15</v>
      </c>
      <c r="V37" s="14">
        <v>12</v>
      </c>
      <c r="W37" s="14">
        <v>3</v>
      </c>
      <c r="X37" s="14">
        <v>10</v>
      </c>
      <c r="Y37" s="14">
        <v>12</v>
      </c>
      <c r="Z37" s="14">
        <v>13</v>
      </c>
      <c r="AA37" s="14">
        <v>10</v>
      </c>
      <c r="AB37" s="14">
        <v>16</v>
      </c>
      <c r="AC37" s="14">
        <v>10</v>
      </c>
      <c r="AD37" s="14">
        <v>15</v>
      </c>
      <c r="AE37" s="14">
        <v>11</v>
      </c>
      <c r="AF37" s="214"/>
      <c r="AG37" s="15">
        <f t="shared" si="2"/>
        <v>366</v>
      </c>
    </row>
    <row r="38" spans="1:33" ht="15.75" customHeight="1" x14ac:dyDescent="0.25">
      <c r="A38" s="12" t="s">
        <v>24</v>
      </c>
      <c r="B38" s="13">
        <v>10</v>
      </c>
      <c r="C38" s="14">
        <v>17</v>
      </c>
      <c r="D38" s="14">
        <v>9</v>
      </c>
      <c r="E38" s="14">
        <v>9</v>
      </c>
      <c r="F38" s="14">
        <v>8</v>
      </c>
      <c r="G38" s="14">
        <v>15</v>
      </c>
      <c r="H38" s="14">
        <v>12</v>
      </c>
      <c r="I38" s="14">
        <v>11</v>
      </c>
      <c r="J38" s="14">
        <v>17</v>
      </c>
      <c r="K38" s="14">
        <v>17</v>
      </c>
      <c r="L38" s="14">
        <v>18</v>
      </c>
      <c r="M38" s="14">
        <v>8</v>
      </c>
      <c r="N38" s="14">
        <v>12</v>
      </c>
      <c r="O38" s="14">
        <v>9</v>
      </c>
      <c r="P38" s="14">
        <v>16</v>
      </c>
      <c r="Q38" s="14">
        <v>11</v>
      </c>
      <c r="R38" s="14">
        <v>15</v>
      </c>
      <c r="S38" s="14">
        <v>5</v>
      </c>
      <c r="T38" s="14">
        <v>9</v>
      </c>
      <c r="U38" s="14">
        <v>6</v>
      </c>
      <c r="V38" s="14">
        <v>7</v>
      </c>
      <c r="W38" s="14">
        <v>1</v>
      </c>
      <c r="X38" s="14">
        <v>30</v>
      </c>
      <c r="Y38" s="14">
        <v>14</v>
      </c>
      <c r="Z38" s="14">
        <v>12</v>
      </c>
      <c r="AA38" s="14">
        <v>13</v>
      </c>
      <c r="AB38" s="14">
        <v>10</v>
      </c>
      <c r="AC38" s="14">
        <v>13</v>
      </c>
      <c r="AD38" s="14">
        <v>6</v>
      </c>
      <c r="AE38" s="14">
        <v>11</v>
      </c>
      <c r="AF38" s="214"/>
      <c r="AG38" s="15">
        <f t="shared" si="2"/>
        <v>351</v>
      </c>
    </row>
    <row r="39" spans="1:33" ht="15.75" customHeight="1" x14ac:dyDescent="0.25">
      <c r="A39" s="12" t="s">
        <v>25</v>
      </c>
      <c r="B39" s="13">
        <v>14</v>
      </c>
      <c r="C39" s="14">
        <v>13</v>
      </c>
      <c r="D39" s="14">
        <v>28</v>
      </c>
      <c r="E39" s="14">
        <v>10</v>
      </c>
      <c r="F39" s="14">
        <v>14</v>
      </c>
      <c r="G39" s="14">
        <v>17</v>
      </c>
      <c r="H39" s="14">
        <v>11</v>
      </c>
      <c r="I39" s="14">
        <v>13</v>
      </c>
      <c r="J39" s="14">
        <v>19</v>
      </c>
      <c r="K39" s="14">
        <v>29</v>
      </c>
      <c r="L39" s="14">
        <v>25</v>
      </c>
      <c r="M39" s="14">
        <v>17</v>
      </c>
      <c r="N39" s="14">
        <v>26</v>
      </c>
      <c r="O39" s="14">
        <v>14</v>
      </c>
      <c r="P39" s="14">
        <v>13</v>
      </c>
      <c r="Q39" s="14">
        <v>16</v>
      </c>
      <c r="R39" s="14">
        <v>16</v>
      </c>
      <c r="S39" s="14">
        <v>21</v>
      </c>
      <c r="T39" s="14">
        <v>13</v>
      </c>
      <c r="U39" s="14">
        <v>13</v>
      </c>
      <c r="V39" s="14">
        <v>16</v>
      </c>
      <c r="W39" s="14">
        <v>16</v>
      </c>
      <c r="X39" s="14">
        <v>15</v>
      </c>
      <c r="Y39" s="14">
        <v>16</v>
      </c>
      <c r="Z39" s="14">
        <v>17</v>
      </c>
      <c r="AA39" s="14">
        <v>13</v>
      </c>
      <c r="AB39" s="14">
        <v>17</v>
      </c>
      <c r="AC39" s="14">
        <v>13</v>
      </c>
      <c r="AD39" s="14">
        <v>13</v>
      </c>
      <c r="AE39" s="14">
        <v>19</v>
      </c>
      <c r="AF39" s="214"/>
      <c r="AG39" s="15">
        <f t="shared" si="2"/>
        <v>497</v>
      </c>
    </row>
    <row r="40" spans="1:33" ht="15.75" customHeight="1" x14ac:dyDescent="0.25">
      <c r="A40" s="12" t="s">
        <v>26</v>
      </c>
      <c r="B40" s="13">
        <v>16</v>
      </c>
      <c r="C40" s="14">
        <v>19</v>
      </c>
      <c r="D40" s="14">
        <v>29</v>
      </c>
      <c r="E40" s="14">
        <v>17</v>
      </c>
      <c r="F40" s="14">
        <v>15</v>
      </c>
      <c r="G40" s="14">
        <v>22</v>
      </c>
      <c r="H40" s="14">
        <v>6</v>
      </c>
      <c r="I40" s="14">
        <v>12</v>
      </c>
      <c r="J40" s="14">
        <v>16</v>
      </c>
      <c r="K40" s="14">
        <v>23</v>
      </c>
      <c r="L40" s="14">
        <v>12</v>
      </c>
      <c r="M40" s="14">
        <v>14</v>
      </c>
      <c r="N40" s="14">
        <v>22</v>
      </c>
      <c r="O40" s="14">
        <v>13</v>
      </c>
      <c r="P40" s="14">
        <v>18</v>
      </c>
      <c r="Q40" s="14">
        <v>13</v>
      </c>
      <c r="R40" s="14">
        <v>18</v>
      </c>
      <c r="S40" s="14">
        <v>18</v>
      </c>
      <c r="T40" s="14">
        <v>22</v>
      </c>
      <c r="U40" s="14">
        <v>20</v>
      </c>
      <c r="V40" s="14">
        <v>12</v>
      </c>
      <c r="W40" s="14">
        <v>11</v>
      </c>
      <c r="X40" s="14">
        <v>9</v>
      </c>
      <c r="Y40" s="14">
        <v>18</v>
      </c>
      <c r="Z40" s="14">
        <v>17</v>
      </c>
      <c r="AA40" s="14">
        <v>13</v>
      </c>
      <c r="AB40" s="14">
        <v>21</v>
      </c>
      <c r="AC40" s="14">
        <v>17</v>
      </c>
      <c r="AD40" s="14">
        <v>14</v>
      </c>
      <c r="AE40" s="14">
        <v>13</v>
      </c>
      <c r="AF40" s="214"/>
      <c r="AG40" s="15">
        <f t="shared" si="2"/>
        <v>490</v>
      </c>
    </row>
    <row r="41" spans="1:33" ht="15.75" customHeight="1" x14ac:dyDescent="0.25">
      <c r="A41" s="12" t="s">
        <v>27</v>
      </c>
      <c r="B41" s="13">
        <v>11</v>
      </c>
      <c r="C41" s="14">
        <v>18</v>
      </c>
      <c r="D41" s="14">
        <v>20</v>
      </c>
      <c r="E41" s="14">
        <v>16</v>
      </c>
      <c r="F41" s="14">
        <v>20</v>
      </c>
      <c r="G41" s="14">
        <v>19</v>
      </c>
      <c r="H41" s="14">
        <v>9</v>
      </c>
      <c r="I41" s="14">
        <v>12</v>
      </c>
      <c r="J41" s="14">
        <v>11</v>
      </c>
      <c r="K41" s="14">
        <v>21</v>
      </c>
      <c r="L41" s="14">
        <v>17</v>
      </c>
      <c r="M41" s="14">
        <v>14</v>
      </c>
      <c r="N41" s="14">
        <v>27</v>
      </c>
      <c r="O41" s="14">
        <v>17</v>
      </c>
      <c r="P41" s="14">
        <v>17</v>
      </c>
      <c r="Q41" s="14">
        <v>22</v>
      </c>
      <c r="R41" s="14">
        <v>16</v>
      </c>
      <c r="S41" s="14">
        <v>18</v>
      </c>
      <c r="T41" s="14">
        <v>23</v>
      </c>
      <c r="U41" s="14">
        <v>15</v>
      </c>
      <c r="V41" s="14">
        <v>21</v>
      </c>
      <c r="W41" s="14">
        <v>14</v>
      </c>
      <c r="X41" s="14">
        <v>9</v>
      </c>
      <c r="Y41" s="14">
        <v>20</v>
      </c>
      <c r="Z41" s="14">
        <v>18</v>
      </c>
      <c r="AA41" s="14">
        <v>18</v>
      </c>
      <c r="AB41" s="14">
        <v>20</v>
      </c>
      <c r="AC41" s="14">
        <v>14</v>
      </c>
      <c r="AD41" s="14">
        <v>12</v>
      </c>
      <c r="AE41" s="14">
        <v>9</v>
      </c>
      <c r="AF41" s="214"/>
      <c r="AG41" s="15">
        <f t="shared" si="2"/>
        <v>498</v>
      </c>
    </row>
    <row r="42" spans="1:33" ht="15.75" customHeight="1" x14ac:dyDescent="0.25">
      <c r="A42" s="12" t="s">
        <v>28</v>
      </c>
      <c r="B42" s="13">
        <v>8</v>
      </c>
      <c r="C42" s="14">
        <v>16</v>
      </c>
      <c r="D42" s="14">
        <v>13</v>
      </c>
      <c r="E42" s="14">
        <v>15</v>
      </c>
      <c r="F42" s="14">
        <v>14</v>
      </c>
      <c r="G42" s="14">
        <v>12</v>
      </c>
      <c r="H42" s="14">
        <v>5</v>
      </c>
      <c r="I42" s="14">
        <v>15</v>
      </c>
      <c r="J42" s="14">
        <v>6</v>
      </c>
      <c r="K42" s="14">
        <v>16</v>
      </c>
      <c r="L42" s="14">
        <v>9</v>
      </c>
      <c r="M42" s="14">
        <v>15</v>
      </c>
      <c r="N42" s="14">
        <v>18</v>
      </c>
      <c r="O42" s="14">
        <v>17</v>
      </c>
      <c r="P42" s="14">
        <v>9</v>
      </c>
      <c r="Q42" s="14">
        <v>10</v>
      </c>
      <c r="R42" s="14">
        <v>19</v>
      </c>
      <c r="S42" s="14">
        <v>20</v>
      </c>
      <c r="T42" s="14">
        <v>12</v>
      </c>
      <c r="U42" s="14">
        <v>24</v>
      </c>
      <c r="V42" s="14">
        <v>15</v>
      </c>
      <c r="W42" s="14">
        <v>9</v>
      </c>
      <c r="X42" s="14">
        <v>10</v>
      </c>
      <c r="Y42" s="14">
        <v>21</v>
      </c>
      <c r="Z42" s="14">
        <v>17</v>
      </c>
      <c r="AA42" s="14">
        <v>16</v>
      </c>
      <c r="AB42" s="14">
        <v>20</v>
      </c>
      <c r="AC42" s="14">
        <v>14</v>
      </c>
      <c r="AD42" s="14">
        <v>16</v>
      </c>
      <c r="AE42" s="14">
        <v>8</v>
      </c>
      <c r="AF42" s="214"/>
      <c r="AG42" s="15">
        <f t="shared" si="2"/>
        <v>419</v>
      </c>
    </row>
    <row r="43" spans="1:33" ht="15.75" customHeight="1" x14ac:dyDescent="0.25">
      <c r="A43" s="12" t="s">
        <v>29</v>
      </c>
      <c r="B43" s="13">
        <v>7</v>
      </c>
      <c r="C43" s="14">
        <v>7</v>
      </c>
      <c r="D43" s="14">
        <v>19</v>
      </c>
      <c r="E43" s="14">
        <v>18</v>
      </c>
      <c r="F43" s="14">
        <v>16</v>
      </c>
      <c r="G43" s="14">
        <v>15</v>
      </c>
      <c r="H43" s="14">
        <v>3</v>
      </c>
      <c r="I43" s="14">
        <v>6</v>
      </c>
      <c r="J43" s="14">
        <v>6</v>
      </c>
      <c r="K43" s="14">
        <v>21</v>
      </c>
      <c r="L43" s="14">
        <v>39</v>
      </c>
      <c r="M43" s="14">
        <v>20</v>
      </c>
      <c r="N43" s="14">
        <v>15</v>
      </c>
      <c r="O43" s="14">
        <v>8</v>
      </c>
      <c r="P43" s="14">
        <v>7</v>
      </c>
      <c r="Q43" s="14">
        <v>10</v>
      </c>
      <c r="R43" s="14">
        <v>18</v>
      </c>
      <c r="S43" s="14">
        <v>11</v>
      </c>
      <c r="T43" s="14">
        <v>22</v>
      </c>
      <c r="U43" s="14">
        <v>20</v>
      </c>
      <c r="V43" s="14">
        <v>13</v>
      </c>
      <c r="W43" s="14">
        <v>6</v>
      </c>
      <c r="X43" s="14">
        <v>12</v>
      </c>
      <c r="Y43" s="14">
        <v>15</v>
      </c>
      <c r="Z43" s="14">
        <v>29</v>
      </c>
      <c r="AA43" s="14">
        <v>16</v>
      </c>
      <c r="AB43" s="14">
        <v>19</v>
      </c>
      <c r="AC43" s="14">
        <v>9</v>
      </c>
      <c r="AD43" s="14">
        <v>5</v>
      </c>
      <c r="AE43" s="14">
        <v>12</v>
      </c>
      <c r="AF43" s="214"/>
      <c r="AG43" s="15">
        <f t="shared" si="2"/>
        <v>424</v>
      </c>
    </row>
    <row r="44" spans="1:33" ht="15.75" customHeight="1" x14ac:dyDescent="0.25">
      <c r="A44" s="12" t="s">
        <v>30</v>
      </c>
      <c r="B44" s="13">
        <v>24</v>
      </c>
      <c r="C44" s="14">
        <v>11</v>
      </c>
      <c r="D44" s="14">
        <v>8</v>
      </c>
      <c r="E44" s="14">
        <v>12</v>
      </c>
      <c r="F44" s="14">
        <v>11</v>
      </c>
      <c r="G44" s="14">
        <v>25</v>
      </c>
      <c r="H44" s="14">
        <v>17</v>
      </c>
      <c r="I44" s="14">
        <v>11</v>
      </c>
      <c r="J44" s="14">
        <v>10</v>
      </c>
      <c r="K44" s="14">
        <v>16</v>
      </c>
      <c r="L44" s="14">
        <v>15</v>
      </c>
      <c r="M44" s="14">
        <v>13</v>
      </c>
      <c r="N44" s="14">
        <v>13</v>
      </c>
      <c r="O44" s="14">
        <v>9</v>
      </c>
      <c r="P44" s="14">
        <v>7</v>
      </c>
      <c r="Q44" s="14">
        <v>5</v>
      </c>
      <c r="R44" s="14">
        <v>15</v>
      </c>
      <c r="S44" s="14">
        <v>15</v>
      </c>
      <c r="T44" s="14">
        <v>8</v>
      </c>
      <c r="U44" s="14">
        <v>4</v>
      </c>
      <c r="V44" s="14">
        <v>10</v>
      </c>
      <c r="W44" s="14">
        <v>6</v>
      </c>
      <c r="X44" s="14">
        <v>5</v>
      </c>
      <c r="Y44" s="14">
        <v>12</v>
      </c>
      <c r="Z44" s="14">
        <v>11</v>
      </c>
      <c r="AA44" s="14">
        <v>18</v>
      </c>
      <c r="AB44" s="14">
        <v>17</v>
      </c>
      <c r="AC44" s="14">
        <v>8</v>
      </c>
      <c r="AD44" s="14">
        <v>8</v>
      </c>
      <c r="AE44" s="14">
        <v>13</v>
      </c>
      <c r="AF44" s="214"/>
      <c r="AG44" s="15">
        <f t="shared" si="2"/>
        <v>357</v>
      </c>
    </row>
    <row r="45" spans="1:33" ht="15.75" customHeight="1" x14ac:dyDescent="0.25">
      <c r="A45" s="12" t="s">
        <v>31</v>
      </c>
      <c r="B45" s="13">
        <v>12</v>
      </c>
      <c r="C45" s="14">
        <v>3</v>
      </c>
      <c r="D45" s="14">
        <v>11</v>
      </c>
      <c r="E45" s="14">
        <v>7</v>
      </c>
      <c r="F45" s="14">
        <v>12</v>
      </c>
      <c r="G45" s="14"/>
      <c r="H45" s="14">
        <v>1</v>
      </c>
      <c r="I45" s="14">
        <v>3</v>
      </c>
      <c r="J45" s="14">
        <v>7</v>
      </c>
      <c r="K45" s="14">
        <v>9</v>
      </c>
      <c r="L45" s="14">
        <v>9</v>
      </c>
      <c r="M45" s="14">
        <v>11</v>
      </c>
      <c r="N45" s="14">
        <v>0</v>
      </c>
      <c r="O45" s="14">
        <v>3</v>
      </c>
      <c r="P45" s="14">
        <v>5</v>
      </c>
      <c r="Q45" s="14">
        <v>3</v>
      </c>
      <c r="R45" s="14">
        <v>6</v>
      </c>
      <c r="S45" s="14">
        <v>14</v>
      </c>
      <c r="T45" s="14">
        <v>13</v>
      </c>
      <c r="U45" s="14">
        <v>11</v>
      </c>
      <c r="V45" s="14">
        <v>8</v>
      </c>
      <c r="W45" s="14">
        <v>9</v>
      </c>
      <c r="X45" s="14">
        <v>4</v>
      </c>
      <c r="Y45" s="14">
        <v>8</v>
      </c>
      <c r="Z45" s="14">
        <v>9</v>
      </c>
      <c r="AA45" s="14">
        <v>13</v>
      </c>
      <c r="AB45" s="14">
        <v>2</v>
      </c>
      <c r="AC45" s="14">
        <v>11</v>
      </c>
      <c r="AD45" s="14">
        <v>4</v>
      </c>
      <c r="AE45" s="14">
        <v>7</v>
      </c>
      <c r="AF45" s="214"/>
      <c r="AG45" s="15">
        <f t="shared" si="2"/>
        <v>215</v>
      </c>
    </row>
    <row r="46" spans="1:33" ht="15.75" customHeight="1" x14ac:dyDescent="0.25">
      <c r="A46" s="12" t="s">
        <v>32</v>
      </c>
      <c r="B46" s="13">
        <v>5</v>
      </c>
      <c r="C46" s="14">
        <v>0</v>
      </c>
      <c r="D46" s="14">
        <v>1</v>
      </c>
      <c r="E46" s="14">
        <v>2</v>
      </c>
      <c r="F46" s="14">
        <v>10</v>
      </c>
      <c r="G46" s="14"/>
      <c r="H46" s="14">
        <v>1</v>
      </c>
      <c r="I46" s="14">
        <v>5</v>
      </c>
      <c r="J46" s="14">
        <v>0</v>
      </c>
      <c r="K46" s="14">
        <v>6</v>
      </c>
      <c r="L46" s="14">
        <v>0</v>
      </c>
      <c r="M46" s="14">
        <v>1</v>
      </c>
      <c r="N46" s="14">
        <v>0</v>
      </c>
      <c r="O46" s="14">
        <v>15</v>
      </c>
      <c r="P46" s="14">
        <v>2</v>
      </c>
      <c r="Q46" s="14">
        <v>1</v>
      </c>
      <c r="R46" s="14">
        <v>5</v>
      </c>
      <c r="S46" s="14">
        <v>2</v>
      </c>
      <c r="T46" s="14">
        <v>13</v>
      </c>
      <c r="U46" s="14">
        <v>7</v>
      </c>
      <c r="V46" s="14">
        <v>1</v>
      </c>
      <c r="W46" s="14">
        <v>3</v>
      </c>
      <c r="X46" s="14">
        <v>3</v>
      </c>
      <c r="Y46" s="14">
        <v>10</v>
      </c>
      <c r="Z46" s="14">
        <v>0</v>
      </c>
      <c r="AA46" s="14">
        <v>6</v>
      </c>
      <c r="AB46" s="14">
        <v>7</v>
      </c>
      <c r="AC46" s="14">
        <v>9</v>
      </c>
      <c r="AD46" s="14">
        <v>6</v>
      </c>
      <c r="AE46" s="14">
        <v>6</v>
      </c>
      <c r="AF46" s="214"/>
      <c r="AG46" s="15">
        <f t="shared" si="2"/>
        <v>127</v>
      </c>
    </row>
    <row r="47" spans="1:33" ht="15.75" customHeight="1" x14ac:dyDescent="0.25">
      <c r="A47" s="12" t="s">
        <v>33</v>
      </c>
      <c r="B47" s="13">
        <v>1</v>
      </c>
      <c r="C47" s="14">
        <v>0</v>
      </c>
      <c r="D47" s="14">
        <v>3</v>
      </c>
      <c r="E47" s="14">
        <v>2</v>
      </c>
      <c r="F47" s="14">
        <v>0</v>
      </c>
      <c r="G47" s="14"/>
      <c r="H47" s="14">
        <v>3</v>
      </c>
      <c r="I47" s="14">
        <v>2</v>
      </c>
      <c r="J47" s="14">
        <v>4</v>
      </c>
      <c r="K47" s="14">
        <v>4</v>
      </c>
      <c r="L47" s="14">
        <v>0</v>
      </c>
      <c r="M47" s="14">
        <v>5</v>
      </c>
      <c r="N47" s="14">
        <v>0</v>
      </c>
      <c r="O47" s="14">
        <v>7</v>
      </c>
      <c r="P47" s="14">
        <v>1</v>
      </c>
      <c r="Q47" s="14">
        <v>3</v>
      </c>
      <c r="R47" s="14">
        <v>1</v>
      </c>
      <c r="S47" s="14">
        <v>7</v>
      </c>
      <c r="T47" s="14">
        <v>1</v>
      </c>
      <c r="U47" s="14">
        <v>5</v>
      </c>
      <c r="V47" s="14">
        <v>6</v>
      </c>
      <c r="W47" s="14">
        <v>2</v>
      </c>
      <c r="X47" s="14">
        <v>0</v>
      </c>
      <c r="Y47" s="14">
        <v>10</v>
      </c>
      <c r="Z47" s="14">
        <v>0</v>
      </c>
      <c r="AA47" s="14">
        <v>7</v>
      </c>
      <c r="AB47" s="14">
        <v>7</v>
      </c>
      <c r="AC47" s="14">
        <v>3</v>
      </c>
      <c r="AD47" s="14">
        <v>9</v>
      </c>
      <c r="AE47" s="14">
        <v>3</v>
      </c>
      <c r="AF47" s="214"/>
      <c r="AG47" s="15">
        <f t="shared" si="2"/>
        <v>96</v>
      </c>
    </row>
    <row r="48" spans="1:33" ht="15.75" customHeight="1" x14ac:dyDescent="0.25">
      <c r="A48" s="12" t="s">
        <v>34</v>
      </c>
      <c r="B48" s="13">
        <v>4</v>
      </c>
      <c r="C48" s="14">
        <v>1</v>
      </c>
      <c r="D48" s="14">
        <v>4</v>
      </c>
      <c r="E48" s="14">
        <v>0</v>
      </c>
      <c r="F48" s="14">
        <v>0</v>
      </c>
      <c r="G48" s="14"/>
      <c r="H48" s="14">
        <v>0</v>
      </c>
      <c r="I48" s="14">
        <v>3</v>
      </c>
      <c r="J48" s="14">
        <v>0</v>
      </c>
      <c r="K48" s="14">
        <v>2</v>
      </c>
      <c r="L48" s="14">
        <v>0</v>
      </c>
      <c r="M48" s="14">
        <v>0</v>
      </c>
      <c r="N48" s="14">
        <v>0</v>
      </c>
      <c r="O48" s="14">
        <v>6</v>
      </c>
      <c r="P48" s="14">
        <v>0</v>
      </c>
      <c r="Q48" s="14">
        <v>2</v>
      </c>
      <c r="R48" s="14">
        <v>0</v>
      </c>
      <c r="S48" s="14">
        <v>7</v>
      </c>
      <c r="T48" s="14">
        <v>0</v>
      </c>
      <c r="U48" s="14">
        <v>2</v>
      </c>
      <c r="V48" s="14">
        <v>4</v>
      </c>
      <c r="W48" s="14">
        <v>1</v>
      </c>
      <c r="X48" s="14">
        <v>0</v>
      </c>
      <c r="Y48" s="14">
        <v>6</v>
      </c>
      <c r="Z48" s="14">
        <v>0</v>
      </c>
      <c r="AA48" s="14">
        <v>1</v>
      </c>
      <c r="AB48" s="14">
        <v>3</v>
      </c>
      <c r="AC48" s="14">
        <v>3</v>
      </c>
      <c r="AD48" s="14">
        <v>5</v>
      </c>
      <c r="AE48" s="14">
        <v>4</v>
      </c>
      <c r="AF48" s="214"/>
      <c r="AG48" s="15">
        <f t="shared" si="2"/>
        <v>58</v>
      </c>
    </row>
    <row r="49" spans="1:33" ht="15.75" customHeight="1" x14ac:dyDescent="0.25">
      <c r="A49" s="12" t="s">
        <v>35</v>
      </c>
      <c r="B49" s="13">
        <v>3</v>
      </c>
      <c r="C49" s="14">
        <v>1</v>
      </c>
      <c r="D49" s="14">
        <v>4</v>
      </c>
      <c r="E49" s="14">
        <v>0</v>
      </c>
      <c r="F49" s="14">
        <v>0</v>
      </c>
      <c r="G49" s="14"/>
      <c r="H49" s="14">
        <v>7</v>
      </c>
      <c r="I49" s="14">
        <v>5</v>
      </c>
      <c r="J49" s="14">
        <v>5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1</v>
      </c>
      <c r="R49" s="14">
        <v>0</v>
      </c>
      <c r="S49" s="14">
        <v>0</v>
      </c>
      <c r="T49" s="14">
        <v>2</v>
      </c>
      <c r="U49" s="14">
        <v>3</v>
      </c>
      <c r="V49" s="14">
        <v>0</v>
      </c>
      <c r="W49" s="14">
        <v>1</v>
      </c>
      <c r="X49" s="14">
        <v>2</v>
      </c>
      <c r="Y49" s="14">
        <v>0</v>
      </c>
      <c r="Z49" s="14">
        <v>0</v>
      </c>
      <c r="AA49" s="14">
        <v>0</v>
      </c>
      <c r="AB49" s="14">
        <v>1</v>
      </c>
      <c r="AC49" s="14">
        <v>0</v>
      </c>
      <c r="AD49" s="14">
        <v>2</v>
      </c>
      <c r="AE49" s="14">
        <v>5</v>
      </c>
      <c r="AF49" s="214"/>
      <c r="AG49" s="15">
        <f t="shared" si="2"/>
        <v>42</v>
      </c>
    </row>
    <row r="50" spans="1:33" ht="15.75" customHeight="1" x14ac:dyDescent="0.25">
      <c r="A50" s="12" t="s">
        <v>36</v>
      </c>
      <c r="B50" s="13">
        <v>1</v>
      </c>
      <c r="C50" s="14">
        <v>0</v>
      </c>
      <c r="D50" s="14">
        <v>0</v>
      </c>
      <c r="E50" s="14">
        <v>0</v>
      </c>
      <c r="F50" s="14">
        <v>0</v>
      </c>
      <c r="G50" s="14"/>
      <c r="H50" s="14">
        <v>0</v>
      </c>
      <c r="I50" s="14">
        <v>0</v>
      </c>
      <c r="J50" s="14">
        <v>0</v>
      </c>
      <c r="K50" s="14">
        <v>1</v>
      </c>
      <c r="L50" s="14">
        <v>0</v>
      </c>
      <c r="M50" s="14">
        <v>0</v>
      </c>
      <c r="N50" s="14">
        <v>0</v>
      </c>
      <c r="O50" s="14">
        <v>0</v>
      </c>
      <c r="P50" s="14">
        <v>3</v>
      </c>
      <c r="Q50" s="14">
        <v>1</v>
      </c>
      <c r="R50" s="14">
        <v>1</v>
      </c>
      <c r="S50" s="14">
        <v>0</v>
      </c>
      <c r="T50" s="14">
        <v>0</v>
      </c>
      <c r="U50" s="14">
        <v>0</v>
      </c>
      <c r="V50" s="14">
        <v>6</v>
      </c>
      <c r="W50" s="14">
        <v>1</v>
      </c>
      <c r="X50" s="14">
        <v>2</v>
      </c>
      <c r="Y50" s="14">
        <v>0</v>
      </c>
      <c r="Z50" s="14">
        <v>0</v>
      </c>
      <c r="AA50" s="14">
        <v>2</v>
      </c>
      <c r="AB50" s="14">
        <v>7</v>
      </c>
      <c r="AC50" s="14">
        <v>0</v>
      </c>
      <c r="AD50" s="14">
        <v>0</v>
      </c>
      <c r="AE50" s="14">
        <v>1</v>
      </c>
      <c r="AF50" s="214"/>
      <c r="AG50" s="15">
        <f t="shared" si="2"/>
        <v>26</v>
      </c>
    </row>
    <row r="51" spans="1:33" ht="15.75" customHeight="1" x14ac:dyDescent="0.25">
      <c r="A51" s="12" t="s">
        <v>37</v>
      </c>
      <c r="B51" s="13">
        <v>0</v>
      </c>
      <c r="C51" s="14">
        <v>0</v>
      </c>
      <c r="D51" s="14">
        <v>1</v>
      </c>
      <c r="E51" s="14">
        <v>0</v>
      </c>
      <c r="F51" s="14">
        <v>0</v>
      </c>
      <c r="G51" s="14"/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5</v>
      </c>
      <c r="R51" s="14">
        <v>0</v>
      </c>
      <c r="S51" s="14">
        <v>0</v>
      </c>
      <c r="T51" s="14">
        <v>1</v>
      </c>
      <c r="U51" s="14">
        <v>0</v>
      </c>
      <c r="V51" s="14">
        <v>0</v>
      </c>
      <c r="W51" s="14">
        <v>1</v>
      </c>
      <c r="X51" s="14">
        <v>3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1</v>
      </c>
      <c r="AE51" s="14">
        <v>2</v>
      </c>
      <c r="AF51" s="214"/>
      <c r="AG51" s="15">
        <f t="shared" si="2"/>
        <v>14</v>
      </c>
    </row>
    <row r="52" spans="1:33" ht="15.75" customHeight="1" x14ac:dyDescent="0.25">
      <c r="A52" s="23" t="s">
        <v>38</v>
      </c>
      <c r="B52" s="24">
        <v>2</v>
      </c>
      <c r="C52" s="25">
        <v>3</v>
      </c>
      <c r="D52" s="25">
        <v>1</v>
      </c>
      <c r="E52" s="25">
        <v>6</v>
      </c>
      <c r="F52" s="25">
        <v>0</v>
      </c>
      <c r="G52" s="25"/>
      <c r="H52" s="25">
        <v>0</v>
      </c>
      <c r="I52" s="25">
        <v>0</v>
      </c>
      <c r="J52" s="25">
        <v>0</v>
      </c>
      <c r="K52" s="25">
        <v>5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1</v>
      </c>
      <c r="U52" s="25">
        <v>0</v>
      </c>
      <c r="V52" s="25">
        <v>0</v>
      </c>
      <c r="W52" s="25">
        <v>0</v>
      </c>
      <c r="X52" s="25">
        <v>4</v>
      </c>
      <c r="Y52" s="25">
        <v>1</v>
      </c>
      <c r="Z52" s="25">
        <v>2</v>
      </c>
      <c r="AA52" s="25">
        <v>3</v>
      </c>
      <c r="AB52" s="25">
        <v>0</v>
      </c>
      <c r="AC52" s="25">
        <v>1</v>
      </c>
      <c r="AD52" s="25">
        <v>4</v>
      </c>
      <c r="AE52" s="25">
        <v>0</v>
      </c>
      <c r="AF52" s="216"/>
      <c r="AG52" s="26">
        <f t="shared" si="2"/>
        <v>33</v>
      </c>
    </row>
    <row r="53" spans="1:33" ht="15.75" customHeight="1" x14ac:dyDescent="0.25">
      <c r="A53" s="4" t="s">
        <v>40</v>
      </c>
      <c r="B53" s="5">
        <f t="shared" ref="B53:AF53" si="4">SUM(B54:B77)</f>
        <v>16</v>
      </c>
      <c r="C53" s="6">
        <f t="shared" si="4"/>
        <v>3</v>
      </c>
      <c r="D53" s="6">
        <f t="shared" si="4"/>
        <v>19</v>
      </c>
      <c r="E53" s="6">
        <f t="shared" si="4"/>
        <v>22</v>
      </c>
      <c r="F53" s="6">
        <f t="shared" si="4"/>
        <v>44</v>
      </c>
      <c r="G53" s="6">
        <f t="shared" si="4"/>
        <v>24</v>
      </c>
      <c r="H53" s="6">
        <f t="shared" si="4"/>
        <v>4</v>
      </c>
      <c r="I53" s="6">
        <f t="shared" si="4"/>
        <v>15</v>
      </c>
      <c r="J53" s="6">
        <f t="shared" si="4"/>
        <v>5</v>
      </c>
      <c r="K53" s="6">
        <f t="shared" si="4"/>
        <v>73</v>
      </c>
      <c r="L53" s="6">
        <f t="shared" si="4"/>
        <v>39</v>
      </c>
      <c r="M53" s="6">
        <f t="shared" si="4"/>
        <v>66</v>
      </c>
      <c r="N53" s="6">
        <f t="shared" si="4"/>
        <v>29</v>
      </c>
      <c r="O53" s="6">
        <f t="shared" si="4"/>
        <v>32</v>
      </c>
      <c r="P53" s="6">
        <f t="shared" si="4"/>
        <v>16</v>
      </c>
      <c r="Q53" s="6">
        <f t="shared" si="4"/>
        <v>1</v>
      </c>
      <c r="R53" s="6">
        <f t="shared" si="4"/>
        <v>42</v>
      </c>
      <c r="S53" s="6">
        <f t="shared" si="4"/>
        <v>26</v>
      </c>
      <c r="T53" s="6">
        <f t="shared" si="4"/>
        <v>35</v>
      </c>
      <c r="U53" s="6">
        <f t="shared" si="4"/>
        <v>38</v>
      </c>
      <c r="V53" s="6">
        <f t="shared" si="4"/>
        <v>26</v>
      </c>
      <c r="W53" s="6">
        <f t="shared" si="4"/>
        <v>18</v>
      </c>
      <c r="X53" s="6">
        <f t="shared" si="4"/>
        <v>13</v>
      </c>
      <c r="Y53" s="6">
        <f t="shared" si="4"/>
        <v>65</v>
      </c>
      <c r="Z53" s="6">
        <f t="shared" si="4"/>
        <v>58</v>
      </c>
      <c r="AA53" s="6">
        <f t="shared" si="4"/>
        <v>47</v>
      </c>
      <c r="AB53" s="6">
        <f t="shared" si="4"/>
        <v>50</v>
      </c>
      <c r="AC53" s="6">
        <f t="shared" si="4"/>
        <v>15</v>
      </c>
      <c r="AD53" s="6">
        <f t="shared" si="4"/>
        <v>24</v>
      </c>
      <c r="AE53" s="6">
        <f t="shared" si="4"/>
        <v>45</v>
      </c>
      <c r="AF53" s="6">
        <f t="shared" si="4"/>
        <v>0</v>
      </c>
      <c r="AG53" s="27">
        <f t="shared" si="2"/>
        <v>910</v>
      </c>
    </row>
    <row r="54" spans="1:33" ht="15.75" customHeight="1" x14ac:dyDescent="0.25">
      <c r="A54" s="8" t="s">
        <v>15</v>
      </c>
      <c r="B54" s="9"/>
      <c r="C54" s="10"/>
      <c r="D54" s="14"/>
      <c r="E54" s="10">
        <v>1</v>
      </c>
      <c r="F54" s="10"/>
      <c r="G54" s="14"/>
      <c r="H54" s="10"/>
      <c r="I54" s="10"/>
      <c r="J54" s="10"/>
      <c r="K54" s="10"/>
      <c r="L54" s="10"/>
      <c r="M54" s="10">
        <v>1</v>
      </c>
      <c r="N54" s="10">
        <v>1</v>
      </c>
      <c r="O54" s="10"/>
      <c r="P54" s="10"/>
      <c r="Q54" s="10"/>
      <c r="R54" s="10"/>
      <c r="S54" s="10">
        <v>1</v>
      </c>
      <c r="T54" s="10"/>
      <c r="U54" s="10">
        <v>1</v>
      </c>
      <c r="V54" s="10"/>
      <c r="W54" s="10">
        <v>1</v>
      </c>
      <c r="X54" s="10"/>
      <c r="Y54" s="10"/>
      <c r="Z54" s="10"/>
      <c r="AA54" s="10">
        <v>1</v>
      </c>
      <c r="AB54" s="10"/>
      <c r="AC54" s="10"/>
      <c r="AD54" s="10"/>
      <c r="AE54" s="10"/>
      <c r="AF54" s="213"/>
      <c r="AG54" s="11">
        <f t="shared" si="2"/>
        <v>7</v>
      </c>
    </row>
    <row r="55" spans="1:33" ht="15.75" customHeight="1" x14ac:dyDescent="0.25">
      <c r="A55" s="12" t="s">
        <v>16</v>
      </c>
      <c r="B55" s="13"/>
      <c r="C55" s="14"/>
      <c r="D55" s="14">
        <v>1</v>
      </c>
      <c r="E55" s="14">
        <v>1</v>
      </c>
      <c r="F55" s="14">
        <v>1</v>
      </c>
      <c r="G55" s="14">
        <v>1</v>
      </c>
      <c r="H55" s="14"/>
      <c r="I55" s="14"/>
      <c r="J55" s="14"/>
      <c r="K55" s="14"/>
      <c r="L55" s="14"/>
      <c r="M55" s="14">
        <v>1</v>
      </c>
      <c r="N55" s="14">
        <v>1</v>
      </c>
      <c r="O55" s="14"/>
      <c r="P55" s="14">
        <v>1</v>
      </c>
      <c r="Q55" s="14"/>
      <c r="R55" s="14">
        <v>1</v>
      </c>
      <c r="S55" s="14">
        <v>1</v>
      </c>
      <c r="T55" s="14"/>
      <c r="U55" s="14"/>
      <c r="V55" s="14"/>
      <c r="W55" s="14"/>
      <c r="X55" s="14"/>
      <c r="Y55" s="14">
        <v>2</v>
      </c>
      <c r="Z55" s="14"/>
      <c r="AA55" s="14"/>
      <c r="AB55" s="14">
        <v>1</v>
      </c>
      <c r="AC55" s="14"/>
      <c r="AD55" s="14"/>
      <c r="AE55" s="14">
        <v>1</v>
      </c>
      <c r="AF55" s="214"/>
      <c r="AG55" s="15">
        <f t="shared" si="2"/>
        <v>13</v>
      </c>
    </row>
    <row r="56" spans="1:33" ht="15.75" customHeight="1" x14ac:dyDescent="0.25">
      <c r="A56" s="12" t="s">
        <v>17</v>
      </c>
      <c r="B56" s="13"/>
      <c r="C56" s="14"/>
      <c r="D56" s="14"/>
      <c r="E56" s="14"/>
      <c r="F56" s="14"/>
      <c r="G56" s="14"/>
      <c r="H56" s="14"/>
      <c r="I56" s="14">
        <v>1</v>
      </c>
      <c r="J56" s="14"/>
      <c r="K56" s="14"/>
      <c r="L56" s="14"/>
      <c r="M56" s="14"/>
      <c r="N56" s="14">
        <v>2</v>
      </c>
      <c r="O56" s="14"/>
      <c r="P56" s="14">
        <v>1</v>
      </c>
      <c r="Q56" s="14"/>
      <c r="R56" s="14"/>
      <c r="S56" s="14"/>
      <c r="T56" s="14"/>
      <c r="U56" s="14">
        <v>1</v>
      </c>
      <c r="V56" s="14"/>
      <c r="W56" s="14">
        <v>2</v>
      </c>
      <c r="X56" s="14"/>
      <c r="Y56" s="14">
        <v>4</v>
      </c>
      <c r="Z56" s="14"/>
      <c r="AA56" s="14">
        <v>1</v>
      </c>
      <c r="AB56" s="14">
        <v>1</v>
      </c>
      <c r="AC56" s="14">
        <v>1</v>
      </c>
      <c r="AD56" s="14"/>
      <c r="AE56" s="14">
        <v>1</v>
      </c>
      <c r="AF56" s="214"/>
      <c r="AG56" s="15">
        <f t="shared" si="2"/>
        <v>15</v>
      </c>
    </row>
    <row r="57" spans="1:33" ht="15.75" customHeight="1" x14ac:dyDescent="0.25">
      <c r="A57" s="12" t="s">
        <v>18</v>
      </c>
      <c r="B57" s="13"/>
      <c r="C57" s="14"/>
      <c r="D57" s="14"/>
      <c r="E57" s="14"/>
      <c r="F57" s="14">
        <v>3</v>
      </c>
      <c r="G57" s="14">
        <v>1</v>
      </c>
      <c r="H57" s="14">
        <v>1</v>
      </c>
      <c r="I57" s="14">
        <v>1</v>
      </c>
      <c r="J57" s="14"/>
      <c r="K57" s="14">
        <v>1</v>
      </c>
      <c r="L57" s="14"/>
      <c r="M57" s="14"/>
      <c r="N57" s="14">
        <v>2</v>
      </c>
      <c r="O57" s="14">
        <v>1</v>
      </c>
      <c r="P57" s="14"/>
      <c r="Q57" s="14"/>
      <c r="R57" s="14"/>
      <c r="S57" s="14"/>
      <c r="T57" s="14">
        <v>2</v>
      </c>
      <c r="U57" s="14">
        <v>1</v>
      </c>
      <c r="V57" s="14">
        <v>3</v>
      </c>
      <c r="W57" s="14"/>
      <c r="X57" s="14"/>
      <c r="Y57" s="14">
        <v>2</v>
      </c>
      <c r="Z57" s="14">
        <v>1</v>
      </c>
      <c r="AA57" s="14"/>
      <c r="AB57" s="14"/>
      <c r="AC57" s="14">
        <v>2</v>
      </c>
      <c r="AD57" s="14"/>
      <c r="AE57" s="14"/>
      <c r="AF57" s="214"/>
      <c r="AG57" s="15">
        <f t="shared" si="2"/>
        <v>21</v>
      </c>
    </row>
    <row r="58" spans="1:33" ht="15.75" customHeight="1" x14ac:dyDescent="0.25">
      <c r="A58" s="12" t="s">
        <v>19</v>
      </c>
      <c r="B58" s="13"/>
      <c r="C58" s="14"/>
      <c r="D58" s="14">
        <v>1</v>
      </c>
      <c r="E58" s="14"/>
      <c r="F58" s="14">
        <v>2</v>
      </c>
      <c r="G58" s="14">
        <v>2</v>
      </c>
      <c r="H58" s="14"/>
      <c r="I58" s="14"/>
      <c r="J58" s="14"/>
      <c r="K58" s="14">
        <v>2</v>
      </c>
      <c r="L58" s="14">
        <v>4</v>
      </c>
      <c r="M58" s="14">
        <v>7</v>
      </c>
      <c r="N58" s="14"/>
      <c r="O58" s="14">
        <v>1</v>
      </c>
      <c r="P58" s="14">
        <v>1</v>
      </c>
      <c r="Q58" s="14"/>
      <c r="R58" s="14">
        <v>1</v>
      </c>
      <c r="S58" s="14"/>
      <c r="T58" s="14"/>
      <c r="U58" s="14"/>
      <c r="V58" s="14"/>
      <c r="W58" s="14">
        <v>1</v>
      </c>
      <c r="X58" s="14"/>
      <c r="Y58" s="14">
        <v>4</v>
      </c>
      <c r="Z58" s="14">
        <v>1</v>
      </c>
      <c r="AA58" s="14">
        <v>3</v>
      </c>
      <c r="AB58" s="14">
        <v>2</v>
      </c>
      <c r="AC58" s="14"/>
      <c r="AD58" s="14"/>
      <c r="AE58" s="14">
        <v>2</v>
      </c>
      <c r="AF58" s="214"/>
      <c r="AG58" s="15">
        <f t="shared" si="2"/>
        <v>34</v>
      </c>
    </row>
    <row r="59" spans="1:33" ht="15.75" customHeight="1" x14ac:dyDescent="0.25">
      <c r="A59" s="12" t="s">
        <v>20</v>
      </c>
      <c r="B59" s="13"/>
      <c r="C59" s="14"/>
      <c r="D59" s="14">
        <v>2</v>
      </c>
      <c r="E59" s="14">
        <v>1</v>
      </c>
      <c r="F59" s="14">
        <v>4</v>
      </c>
      <c r="G59" s="14">
        <v>2</v>
      </c>
      <c r="H59" s="14"/>
      <c r="I59" s="14"/>
      <c r="J59" s="14"/>
      <c r="K59" s="14">
        <v>2</v>
      </c>
      <c r="L59" s="14">
        <v>1</v>
      </c>
      <c r="M59" s="14">
        <v>2</v>
      </c>
      <c r="N59" s="14"/>
      <c r="O59" s="14">
        <v>6</v>
      </c>
      <c r="P59" s="14"/>
      <c r="Q59" s="14"/>
      <c r="R59" s="14">
        <v>2</v>
      </c>
      <c r="S59" s="14"/>
      <c r="T59" s="14">
        <v>1</v>
      </c>
      <c r="U59" s="14"/>
      <c r="V59" s="14">
        <v>2</v>
      </c>
      <c r="W59" s="14">
        <v>3</v>
      </c>
      <c r="X59" s="14"/>
      <c r="Y59" s="14">
        <v>7</v>
      </c>
      <c r="Z59" s="14">
        <v>2</v>
      </c>
      <c r="AA59" s="14">
        <v>2</v>
      </c>
      <c r="AB59" s="14">
        <v>2</v>
      </c>
      <c r="AC59" s="14">
        <v>2</v>
      </c>
      <c r="AD59" s="14"/>
      <c r="AE59" s="14">
        <v>2</v>
      </c>
      <c r="AF59" s="214"/>
      <c r="AG59" s="15">
        <f t="shared" si="2"/>
        <v>45</v>
      </c>
    </row>
    <row r="60" spans="1:33" ht="15.75" customHeight="1" x14ac:dyDescent="0.25">
      <c r="A60" s="12" t="s">
        <v>21</v>
      </c>
      <c r="B60" s="13"/>
      <c r="C60" s="14"/>
      <c r="D60" s="14">
        <v>3</v>
      </c>
      <c r="E60" s="14"/>
      <c r="F60" s="14">
        <v>2</v>
      </c>
      <c r="G60" s="14">
        <v>4</v>
      </c>
      <c r="H60" s="14">
        <v>2</v>
      </c>
      <c r="I60" s="14">
        <v>4</v>
      </c>
      <c r="J60" s="14">
        <v>1</v>
      </c>
      <c r="K60" s="14">
        <v>15</v>
      </c>
      <c r="L60" s="14">
        <v>1</v>
      </c>
      <c r="M60" s="14">
        <v>13</v>
      </c>
      <c r="N60" s="14">
        <v>5</v>
      </c>
      <c r="O60" s="14">
        <v>2</v>
      </c>
      <c r="P60" s="14"/>
      <c r="Q60" s="14"/>
      <c r="R60" s="14">
        <v>0</v>
      </c>
      <c r="S60" s="14"/>
      <c r="T60" s="14"/>
      <c r="U60" s="14">
        <v>3</v>
      </c>
      <c r="V60" s="14"/>
      <c r="W60" s="14">
        <v>1</v>
      </c>
      <c r="X60" s="14"/>
      <c r="Y60" s="14">
        <v>7</v>
      </c>
      <c r="Z60" s="14">
        <v>5</v>
      </c>
      <c r="AA60" s="14">
        <v>2</v>
      </c>
      <c r="AB60" s="14">
        <v>4</v>
      </c>
      <c r="AC60" s="14">
        <v>2</v>
      </c>
      <c r="AD60" s="14"/>
      <c r="AE60" s="14">
        <v>2</v>
      </c>
      <c r="AF60" s="214"/>
      <c r="AG60" s="15">
        <f t="shared" si="2"/>
        <v>78</v>
      </c>
    </row>
    <row r="61" spans="1:33" ht="15.75" customHeight="1" x14ac:dyDescent="0.25">
      <c r="A61" s="12" t="s">
        <v>22</v>
      </c>
      <c r="B61" s="13"/>
      <c r="C61" s="14"/>
      <c r="D61" s="14">
        <v>1</v>
      </c>
      <c r="E61" s="14">
        <v>2</v>
      </c>
      <c r="F61" s="14">
        <v>0</v>
      </c>
      <c r="G61" s="14">
        <v>2</v>
      </c>
      <c r="H61" s="14"/>
      <c r="I61" s="14"/>
      <c r="J61" s="14">
        <v>4</v>
      </c>
      <c r="K61" s="14">
        <v>7</v>
      </c>
      <c r="L61" s="14">
        <v>3</v>
      </c>
      <c r="M61" s="14">
        <v>7</v>
      </c>
      <c r="N61" s="14"/>
      <c r="O61" s="14">
        <v>2</v>
      </c>
      <c r="P61" s="14">
        <v>1</v>
      </c>
      <c r="Q61" s="14">
        <v>1</v>
      </c>
      <c r="R61" s="14">
        <v>8</v>
      </c>
      <c r="S61" s="14"/>
      <c r="T61" s="14">
        <v>4</v>
      </c>
      <c r="U61" s="14">
        <v>4</v>
      </c>
      <c r="V61" s="14">
        <v>3</v>
      </c>
      <c r="W61" s="14"/>
      <c r="X61" s="14"/>
      <c r="Y61" s="14">
        <v>7</v>
      </c>
      <c r="Z61" s="14">
        <v>10</v>
      </c>
      <c r="AA61" s="14">
        <v>7</v>
      </c>
      <c r="AB61" s="14">
        <v>2</v>
      </c>
      <c r="AC61" s="14">
        <v>2</v>
      </c>
      <c r="AD61" s="14"/>
      <c r="AE61" s="14">
        <v>7</v>
      </c>
      <c r="AF61" s="214"/>
      <c r="AG61" s="15">
        <f t="shared" si="2"/>
        <v>84</v>
      </c>
    </row>
    <row r="62" spans="1:33" ht="15.75" customHeight="1" x14ac:dyDescent="0.25">
      <c r="A62" s="12" t="s">
        <v>23</v>
      </c>
      <c r="B62" s="13"/>
      <c r="C62" s="14"/>
      <c r="D62" s="14">
        <v>4</v>
      </c>
      <c r="E62" s="14">
        <v>1</v>
      </c>
      <c r="F62" s="14">
        <v>5</v>
      </c>
      <c r="G62" s="14">
        <v>2</v>
      </c>
      <c r="H62" s="14"/>
      <c r="I62" s="14">
        <v>1</v>
      </c>
      <c r="J62" s="14"/>
      <c r="K62" s="14">
        <v>3</v>
      </c>
      <c r="L62" s="14">
        <v>4</v>
      </c>
      <c r="M62" s="14">
        <v>6</v>
      </c>
      <c r="N62" s="14">
        <v>2</v>
      </c>
      <c r="O62" s="14">
        <v>1</v>
      </c>
      <c r="P62" s="14">
        <v>6</v>
      </c>
      <c r="Q62" s="14"/>
      <c r="R62" s="14"/>
      <c r="S62" s="14"/>
      <c r="T62" s="14">
        <v>2</v>
      </c>
      <c r="U62" s="14">
        <v>2</v>
      </c>
      <c r="V62" s="14">
        <v>10</v>
      </c>
      <c r="W62" s="14">
        <v>1</v>
      </c>
      <c r="X62" s="14">
        <v>1</v>
      </c>
      <c r="Y62" s="14">
        <v>1</v>
      </c>
      <c r="Z62" s="14">
        <v>5</v>
      </c>
      <c r="AA62" s="14"/>
      <c r="AB62" s="14">
        <v>9</v>
      </c>
      <c r="AC62" s="14">
        <v>1</v>
      </c>
      <c r="AD62" s="14">
        <v>6</v>
      </c>
      <c r="AE62" s="14">
        <v>3</v>
      </c>
      <c r="AF62" s="214"/>
      <c r="AG62" s="15">
        <f t="shared" si="2"/>
        <v>76</v>
      </c>
    </row>
    <row r="63" spans="1:33" ht="15.75" customHeight="1" x14ac:dyDescent="0.25">
      <c r="A63" s="12" t="s">
        <v>24</v>
      </c>
      <c r="B63" s="13">
        <v>2</v>
      </c>
      <c r="C63" s="14"/>
      <c r="D63" s="14">
        <v>2</v>
      </c>
      <c r="E63" s="14">
        <v>1</v>
      </c>
      <c r="F63" s="14">
        <v>7</v>
      </c>
      <c r="G63" s="14">
        <v>2</v>
      </c>
      <c r="H63" s="14"/>
      <c r="I63" s="14">
        <v>1</v>
      </c>
      <c r="J63" s="14"/>
      <c r="K63" s="14">
        <v>7</v>
      </c>
      <c r="L63" s="14">
        <v>7</v>
      </c>
      <c r="M63" s="14">
        <v>4</v>
      </c>
      <c r="N63" s="14">
        <v>6</v>
      </c>
      <c r="O63" s="14"/>
      <c r="P63" s="14">
        <v>5</v>
      </c>
      <c r="Q63" s="14"/>
      <c r="R63" s="14">
        <v>1</v>
      </c>
      <c r="S63" s="14">
        <v>2</v>
      </c>
      <c r="T63" s="14">
        <v>3</v>
      </c>
      <c r="U63" s="14">
        <v>2</v>
      </c>
      <c r="V63" s="14">
        <v>1</v>
      </c>
      <c r="W63" s="14"/>
      <c r="X63" s="14">
        <v>1</v>
      </c>
      <c r="Y63" s="14">
        <v>6</v>
      </c>
      <c r="Z63" s="14">
        <v>7</v>
      </c>
      <c r="AA63" s="14">
        <v>6</v>
      </c>
      <c r="AB63" s="14">
        <v>4</v>
      </c>
      <c r="AC63" s="14"/>
      <c r="AD63" s="14">
        <v>1</v>
      </c>
      <c r="AE63" s="14">
        <v>3</v>
      </c>
      <c r="AF63" s="214"/>
      <c r="AG63" s="15">
        <f t="shared" si="2"/>
        <v>81</v>
      </c>
    </row>
    <row r="64" spans="1:33" ht="15.75" customHeight="1" x14ac:dyDescent="0.25">
      <c r="A64" s="12" t="s">
        <v>25</v>
      </c>
      <c r="B64" s="13">
        <v>7</v>
      </c>
      <c r="C64" s="14">
        <v>1</v>
      </c>
      <c r="D64" s="14">
        <v>3</v>
      </c>
      <c r="E64" s="14">
        <v>6</v>
      </c>
      <c r="F64" s="14"/>
      <c r="G64" s="14">
        <v>1</v>
      </c>
      <c r="H64" s="14"/>
      <c r="I64" s="14"/>
      <c r="J64" s="14"/>
      <c r="K64" s="14">
        <v>4</v>
      </c>
      <c r="L64" s="14">
        <v>2</v>
      </c>
      <c r="M64" s="14">
        <v>6</v>
      </c>
      <c r="N64" s="14">
        <v>6</v>
      </c>
      <c r="O64" s="14">
        <v>1</v>
      </c>
      <c r="P64" s="14"/>
      <c r="Q64" s="14"/>
      <c r="R64" s="14">
        <v>3</v>
      </c>
      <c r="S64" s="14">
        <v>6</v>
      </c>
      <c r="T64" s="14"/>
      <c r="U64" s="14">
        <v>6</v>
      </c>
      <c r="V64" s="14"/>
      <c r="W64" s="14">
        <v>8</v>
      </c>
      <c r="X64" s="14">
        <v>5</v>
      </c>
      <c r="Y64" s="14">
        <v>3</v>
      </c>
      <c r="Z64" s="14">
        <v>7</v>
      </c>
      <c r="AA64" s="14">
        <v>6</v>
      </c>
      <c r="AB64" s="14">
        <v>5</v>
      </c>
      <c r="AC64" s="14"/>
      <c r="AD64" s="14">
        <v>2</v>
      </c>
      <c r="AE64" s="14">
        <v>1</v>
      </c>
      <c r="AF64" s="214"/>
      <c r="AG64" s="15">
        <f t="shared" si="2"/>
        <v>89</v>
      </c>
    </row>
    <row r="65" spans="1:33" ht="15.75" customHeight="1" x14ac:dyDescent="0.25">
      <c r="A65" s="12" t="s">
        <v>26</v>
      </c>
      <c r="B65" s="13">
        <v>2</v>
      </c>
      <c r="C65" s="14"/>
      <c r="D65" s="14">
        <v>1</v>
      </c>
      <c r="E65" s="14">
        <v>8</v>
      </c>
      <c r="F65" s="14">
        <v>8</v>
      </c>
      <c r="G65" s="14">
        <v>5</v>
      </c>
      <c r="H65" s="14"/>
      <c r="I65" s="14">
        <v>3</v>
      </c>
      <c r="J65" s="14"/>
      <c r="K65" s="14">
        <v>13</v>
      </c>
      <c r="L65" s="14">
        <v>4</v>
      </c>
      <c r="M65" s="14">
        <v>4</v>
      </c>
      <c r="N65" s="14">
        <v>2</v>
      </c>
      <c r="O65" s="14">
        <v>1</v>
      </c>
      <c r="P65" s="14">
        <v>1</v>
      </c>
      <c r="Q65" s="14"/>
      <c r="R65" s="14">
        <v>4</v>
      </c>
      <c r="S65" s="14">
        <v>2</v>
      </c>
      <c r="T65" s="14">
        <v>6</v>
      </c>
      <c r="U65" s="14">
        <v>7</v>
      </c>
      <c r="V65" s="14">
        <v>3</v>
      </c>
      <c r="W65" s="14">
        <v>1</v>
      </c>
      <c r="X65" s="14">
        <v>2</v>
      </c>
      <c r="Y65" s="14">
        <v>5</v>
      </c>
      <c r="Z65" s="14">
        <v>6</v>
      </c>
      <c r="AA65" s="14">
        <v>3</v>
      </c>
      <c r="AB65" s="14">
        <v>5</v>
      </c>
      <c r="AC65" s="14">
        <v>1</v>
      </c>
      <c r="AD65" s="14">
        <v>5</v>
      </c>
      <c r="AE65" s="14">
        <v>13</v>
      </c>
      <c r="AF65" s="214"/>
      <c r="AG65" s="15">
        <f t="shared" si="2"/>
        <v>115</v>
      </c>
    </row>
    <row r="66" spans="1:33" ht="15.75" customHeight="1" x14ac:dyDescent="0.25">
      <c r="A66" s="12" t="s">
        <v>27</v>
      </c>
      <c r="B66" s="13">
        <v>1</v>
      </c>
      <c r="C66" s="14">
        <v>2</v>
      </c>
      <c r="D66" s="14">
        <v>1</v>
      </c>
      <c r="E66" s="14"/>
      <c r="F66" s="14">
        <v>3</v>
      </c>
      <c r="G66" s="14">
        <v>1</v>
      </c>
      <c r="H66" s="14">
        <v>1</v>
      </c>
      <c r="I66" s="14"/>
      <c r="J66" s="14"/>
      <c r="K66" s="14">
        <v>5</v>
      </c>
      <c r="L66" s="14">
        <v>1</v>
      </c>
      <c r="M66" s="14">
        <v>2</v>
      </c>
      <c r="N66" s="14"/>
      <c r="O66" s="14">
        <v>5</v>
      </c>
      <c r="P66" s="14"/>
      <c r="Q66" s="14"/>
      <c r="R66" s="14">
        <v>4</v>
      </c>
      <c r="S66" s="14">
        <v>6</v>
      </c>
      <c r="T66" s="14">
        <v>2</v>
      </c>
      <c r="U66" s="14">
        <v>4</v>
      </c>
      <c r="V66" s="14">
        <v>3</v>
      </c>
      <c r="W66" s="14"/>
      <c r="X66" s="14">
        <v>1</v>
      </c>
      <c r="Y66" s="14">
        <v>3</v>
      </c>
      <c r="Z66" s="14">
        <v>3</v>
      </c>
      <c r="AA66" s="14">
        <v>2</v>
      </c>
      <c r="AB66" s="14">
        <v>2</v>
      </c>
      <c r="AC66" s="14"/>
      <c r="AD66" s="14">
        <v>2</v>
      </c>
      <c r="AE66" s="14">
        <v>3</v>
      </c>
      <c r="AF66" s="214"/>
      <c r="AG66" s="15">
        <f t="shared" si="2"/>
        <v>57</v>
      </c>
    </row>
    <row r="67" spans="1:33" ht="15.75" customHeight="1" x14ac:dyDescent="0.25">
      <c r="A67" s="12" t="s">
        <v>28</v>
      </c>
      <c r="B67" s="13"/>
      <c r="C67" s="14"/>
      <c r="D67" s="14"/>
      <c r="E67" s="14"/>
      <c r="F67" s="14"/>
      <c r="G67" s="14">
        <v>1</v>
      </c>
      <c r="H67" s="14"/>
      <c r="I67" s="14"/>
      <c r="J67" s="14"/>
      <c r="K67" s="14">
        <v>3</v>
      </c>
      <c r="L67" s="14">
        <v>1</v>
      </c>
      <c r="M67" s="14">
        <v>3</v>
      </c>
      <c r="N67" s="14">
        <v>1</v>
      </c>
      <c r="O67" s="14">
        <v>3</v>
      </c>
      <c r="P67" s="14"/>
      <c r="Q67" s="14"/>
      <c r="R67" s="14">
        <v>9</v>
      </c>
      <c r="S67" s="14">
        <v>4</v>
      </c>
      <c r="T67" s="14">
        <v>4</v>
      </c>
      <c r="U67" s="14">
        <v>1</v>
      </c>
      <c r="V67" s="14"/>
      <c r="W67" s="14"/>
      <c r="X67" s="14">
        <v>1</v>
      </c>
      <c r="Y67" s="14">
        <v>6</v>
      </c>
      <c r="Z67" s="14">
        <v>5</v>
      </c>
      <c r="AA67" s="14">
        <v>3</v>
      </c>
      <c r="AB67" s="14">
        <v>3</v>
      </c>
      <c r="AC67" s="14">
        <v>1</v>
      </c>
      <c r="AD67" s="14"/>
      <c r="AE67" s="14">
        <v>1</v>
      </c>
      <c r="AF67" s="214"/>
      <c r="AG67" s="15">
        <f t="shared" si="2"/>
        <v>50</v>
      </c>
    </row>
    <row r="68" spans="1:33" ht="15.75" customHeight="1" x14ac:dyDescent="0.25">
      <c r="A68" s="12" t="s">
        <v>29</v>
      </c>
      <c r="B68" s="13">
        <v>1</v>
      </c>
      <c r="C68" s="14"/>
      <c r="D68" s="14"/>
      <c r="E68" s="14"/>
      <c r="F68" s="14">
        <v>3</v>
      </c>
      <c r="G68" s="14"/>
      <c r="H68" s="14"/>
      <c r="I68" s="14"/>
      <c r="J68" s="14"/>
      <c r="K68" s="14">
        <v>5</v>
      </c>
      <c r="L68" s="14">
        <v>4</v>
      </c>
      <c r="M68" s="14">
        <v>6</v>
      </c>
      <c r="N68" s="14"/>
      <c r="O68" s="14"/>
      <c r="P68" s="14"/>
      <c r="Q68" s="14"/>
      <c r="R68" s="14">
        <v>7</v>
      </c>
      <c r="S68" s="14"/>
      <c r="T68" s="14">
        <v>7</v>
      </c>
      <c r="U68" s="14">
        <v>5</v>
      </c>
      <c r="V68" s="14"/>
      <c r="W68" s="14"/>
      <c r="X68" s="14">
        <v>1</v>
      </c>
      <c r="Y68" s="14">
        <v>2</v>
      </c>
      <c r="Z68" s="14">
        <v>1</v>
      </c>
      <c r="AA68" s="14">
        <v>5</v>
      </c>
      <c r="AB68" s="14">
        <v>3</v>
      </c>
      <c r="AC68" s="14">
        <v>3</v>
      </c>
      <c r="AD68" s="14">
        <v>1</v>
      </c>
      <c r="AE68" s="14">
        <v>2</v>
      </c>
      <c r="AF68" s="214"/>
      <c r="AG68" s="15">
        <f t="shared" si="2"/>
        <v>56</v>
      </c>
    </row>
    <row r="69" spans="1:33" ht="15.75" customHeight="1" x14ac:dyDescent="0.25">
      <c r="A69" s="12" t="s">
        <v>30</v>
      </c>
      <c r="B69" s="13">
        <v>2</v>
      </c>
      <c r="C69" s="14"/>
      <c r="D69" s="14"/>
      <c r="E69" s="14">
        <v>1</v>
      </c>
      <c r="F69" s="14">
        <v>4</v>
      </c>
      <c r="G69" s="14"/>
      <c r="H69" s="14"/>
      <c r="I69" s="14">
        <v>1</v>
      </c>
      <c r="J69" s="14"/>
      <c r="K69" s="14">
        <v>3</v>
      </c>
      <c r="L69" s="14">
        <v>4</v>
      </c>
      <c r="M69" s="14">
        <v>2</v>
      </c>
      <c r="N69" s="14"/>
      <c r="O69" s="14">
        <v>4</v>
      </c>
      <c r="P69" s="14"/>
      <c r="Q69" s="14"/>
      <c r="R69" s="14">
        <v>1</v>
      </c>
      <c r="S69" s="14"/>
      <c r="T69" s="14"/>
      <c r="U69" s="14"/>
      <c r="V69" s="14"/>
      <c r="W69" s="14"/>
      <c r="X69" s="14"/>
      <c r="Y69" s="14"/>
      <c r="Z69" s="14">
        <v>2</v>
      </c>
      <c r="AA69" s="14">
        <v>3</v>
      </c>
      <c r="AB69" s="14"/>
      <c r="AC69" s="14"/>
      <c r="AD69" s="14">
        <v>4</v>
      </c>
      <c r="AE69" s="14">
        <v>4</v>
      </c>
      <c r="AF69" s="214"/>
      <c r="AG69" s="15">
        <f t="shared" si="2"/>
        <v>35</v>
      </c>
    </row>
    <row r="70" spans="1:33" ht="15.75" customHeight="1" x14ac:dyDescent="0.25">
      <c r="A70" s="12" t="s">
        <v>31</v>
      </c>
      <c r="B70" s="9">
        <v>1</v>
      </c>
      <c r="C70" s="10"/>
      <c r="D70" s="14"/>
      <c r="E70" s="10"/>
      <c r="F70" s="10">
        <v>1</v>
      </c>
      <c r="G70" s="14"/>
      <c r="H70" s="10"/>
      <c r="I70" s="14"/>
      <c r="J70" s="10"/>
      <c r="K70" s="10">
        <v>1</v>
      </c>
      <c r="L70" s="10">
        <v>1</v>
      </c>
      <c r="M70" s="10">
        <v>2</v>
      </c>
      <c r="N70" s="10"/>
      <c r="O70" s="10">
        <v>2</v>
      </c>
      <c r="P70" s="10"/>
      <c r="Q70" s="10"/>
      <c r="R70" s="10">
        <v>1</v>
      </c>
      <c r="S70" s="10">
        <v>4</v>
      </c>
      <c r="T70" s="10">
        <v>3</v>
      </c>
      <c r="U70" s="10"/>
      <c r="V70" s="10"/>
      <c r="W70" s="10"/>
      <c r="X70" s="10">
        <v>1</v>
      </c>
      <c r="Y70" s="10">
        <v>2</v>
      </c>
      <c r="Z70" s="10"/>
      <c r="AA70" s="10">
        <v>1</v>
      </c>
      <c r="AB70" s="10"/>
      <c r="AC70" s="10"/>
      <c r="AD70" s="10">
        <v>1</v>
      </c>
      <c r="AE70" s="10"/>
      <c r="AF70" s="213"/>
      <c r="AG70" s="15">
        <f t="shared" si="2"/>
        <v>21</v>
      </c>
    </row>
    <row r="71" spans="1:33" ht="15.75" customHeight="1" x14ac:dyDescent="0.25">
      <c r="A71" s="12" t="s">
        <v>32</v>
      </c>
      <c r="B71" s="9"/>
      <c r="C71" s="10"/>
      <c r="D71" s="14"/>
      <c r="E71" s="10"/>
      <c r="F71" s="10">
        <v>1</v>
      </c>
      <c r="G71" s="14"/>
      <c r="H71" s="10"/>
      <c r="I71" s="14">
        <v>1</v>
      </c>
      <c r="J71" s="10"/>
      <c r="K71" s="10">
        <v>1</v>
      </c>
      <c r="L71" s="10">
        <v>1</v>
      </c>
      <c r="M71" s="10"/>
      <c r="N71" s="10"/>
      <c r="O71" s="10">
        <v>3</v>
      </c>
      <c r="P71" s="10"/>
      <c r="Q71" s="10"/>
      <c r="R71" s="10"/>
      <c r="S71" s="10"/>
      <c r="T71" s="10">
        <v>1</v>
      </c>
      <c r="U71" s="10"/>
      <c r="V71" s="10"/>
      <c r="W71" s="10"/>
      <c r="X71" s="10"/>
      <c r="Y71" s="10">
        <v>2</v>
      </c>
      <c r="Z71" s="10">
        <v>2</v>
      </c>
      <c r="AA71" s="10">
        <v>1</v>
      </c>
      <c r="AB71" s="10">
        <v>4</v>
      </c>
      <c r="AC71" s="10"/>
      <c r="AD71" s="10">
        <v>2</v>
      </c>
      <c r="AE71" s="10"/>
      <c r="AF71" s="213"/>
      <c r="AG71" s="15">
        <f t="shared" si="2"/>
        <v>19</v>
      </c>
    </row>
    <row r="72" spans="1:33" ht="15.75" customHeight="1" x14ac:dyDescent="0.25">
      <c r="A72" s="12" t="s">
        <v>33</v>
      </c>
      <c r="B72" s="9"/>
      <c r="C72" s="10"/>
      <c r="D72" s="14"/>
      <c r="E72" s="10"/>
      <c r="F72" s="10"/>
      <c r="G72" s="14"/>
      <c r="H72" s="10"/>
      <c r="I72" s="14"/>
      <c r="J72" s="10"/>
      <c r="K72" s="10">
        <v>1</v>
      </c>
      <c r="L72" s="10">
        <v>1</v>
      </c>
      <c r="M72" s="10"/>
      <c r="N72" s="10">
        <v>1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>
        <v>1</v>
      </c>
      <c r="Z72" s="10">
        <v>1</v>
      </c>
      <c r="AA72" s="10"/>
      <c r="AB72" s="10">
        <v>1</v>
      </c>
      <c r="AC72" s="10"/>
      <c r="AD72" s="10"/>
      <c r="AE72" s="10"/>
      <c r="AF72" s="213"/>
      <c r="AG72" s="15">
        <f t="shared" si="2"/>
        <v>6</v>
      </c>
    </row>
    <row r="73" spans="1:33" ht="15.75" customHeight="1" x14ac:dyDescent="0.25">
      <c r="A73" s="12" t="s">
        <v>34</v>
      </c>
      <c r="B73" s="9"/>
      <c r="C73" s="10"/>
      <c r="D73" s="14"/>
      <c r="E73" s="10"/>
      <c r="F73" s="10"/>
      <c r="G73" s="14"/>
      <c r="H73" s="10"/>
      <c r="I73" s="14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>
        <v>2</v>
      </c>
      <c r="AC73" s="10"/>
      <c r="AD73" s="10"/>
      <c r="AE73" s="10"/>
      <c r="AF73" s="213"/>
      <c r="AG73" s="15">
        <f t="shared" si="2"/>
        <v>2</v>
      </c>
    </row>
    <row r="74" spans="1:33" ht="15.75" customHeight="1" x14ac:dyDescent="0.25">
      <c r="A74" s="12" t="s">
        <v>35</v>
      </c>
      <c r="B74" s="9"/>
      <c r="C74" s="10"/>
      <c r="D74" s="14"/>
      <c r="E74" s="10"/>
      <c r="F74" s="10"/>
      <c r="G74" s="14"/>
      <c r="H74" s="10"/>
      <c r="I74" s="14">
        <v>2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213"/>
      <c r="AG74" s="15">
        <f t="shared" si="2"/>
        <v>2</v>
      </c>
    </row>
    <row r="75" spans="1:33" ht="15.75" customHeight="1" x14ac:dyDescent="0.25">
      <c r="A75" s="12" t="s">
        <v>36</v>
      </c>
      <c r="B75" s="9"/>
      <c r="C75" s="10"/>
      <c r="D75" s="14"/>
      <c r="E75" s="10"/>
      <c r="F75" s="10"/>
      <c r="G75" s="14"/>
      <c r="H75" s="10"/>
      <c r="I75" s="14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213"/>
      <c r="AG75" s="15">
        <f t="shared" si="2"/>
        <v>0</v>
      </c>
    </row>
    <row r="76" spans="1:33" ht="15.75" customHeight="1" x14ac:dyDescent="0.25">
      <c r="A76" s="12" t="s">
        <v>37</v>
      </c>
      <c r="B76" s="9"/>
      <c r="C76" s="10"/>
      <c r="D76" s="14"/>
      <c r="E76" s="10"/>
      <c r="F76" s="10"/>
      <c r="G76" s="14"/>
      <c r="H76" s="10"/>
      <c r="I76" s="14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>
        <v>1</v>
      </c>
      <c r="W76" s="10"/>
      <c r="X76" s="10"/>
      <c r="Y76" s="10"/>
      <c r="Z76" s="10"/>
      <c r="AA76" s="10"/>
      <c r="AB76" s="10"/>
      <c r="AC76" s="10"/>
      <c r="AD76" s="10"/>
      <c r="AE76" s="10"/>
      <c r="AF76" s="213"/>
      <c r="AG76" s="15">
        <f t="shared" si="2"/>
        <v>1</v>
      </c>
    </row>
    <row r="77" spans="1:33" ht="15.75" customHeight="1" x14ac:dyDescent="0.25">
      <c r="A77" s="28" t="s">
        <v>38</v>
      </c>
      <c r="B77" s="29"/>
      <c r="C77" s="30"/>
      <c r="D77" s="25"/>
      <c r="E77" s="30"/>
      <c r="F77" s="30"/>
      <c r="G77" s="25"/>
      <c r="H77" s="30"/>
      <c r="I77" s="25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>
        <v>1</v>
      </c>
      <c r="V77" s="30"/>
      <c r="W77" s="30"/>
      <c r="X77" s="30"/>
      <c r="Y77" s="30">
        <v>1</v>
      </c>
      <c r="Z77" s="30"/>
      <c r="AA77" s="30">
        <v>1</v>
      </c>
      <c r="AB77" s="30"/>
      <c r="AC77" s="30"/>
      <c r="AD77" s="30"/>
      <c r="AE77" s="30"/>
      <c r="AF77" s="217"/>
      <c r="AG77" s="26">
        <f t="shared" si="2"/>
        <v>3</v>
      </c>
    </row>
    <row r="78" spans="1:33" ht="19.5" customHeight="1" x14ac:dyDescent="0.25">
      <c r="A78" s="31" t="s">
        <v>41</v>
      </c>
      <c r="B78" s="32">
        <f t="shared" ref="B78:AF78" si="5">SUM(B79:B80)</f>
        <v>244</v>
      </c>
      <c r="C78" s="33">
        <f t="shared" si="5"/>
        <v>221</v>
      </c>
      <c r="D78" s="33">
        <f t="shared" si="5"/>
        <v>278</v>
      </c>
      <c r="E78" s="34">
        <f t="shared" si="5"/>
        <v>238</v>
      </c>
      <c r="F78" s="34">
        <f t="shared" si="5"/>
        <v>264</v>
      </c>
      <c r="G78" s="34">
        <f t="shared" si="5"/>
        <v>225</v>
      </c>
      <c r="H78" s="34">
        <f t="shared" si="5"/>
        <v>200</v>
      </c>
      <c r="I78" s="34">
        <f t="shared" si="5"/>
        <v>227</v>
      </c>
      <c r="J78" s="34">
        <f t="shared" si="5"/>
        <v>218</v>
      </c>
      <c r="K78" s="34">
        <f t="shared" si="5"/>
        <v>321</v>
      </c>
      <c r="L78" s="34">
        <f t="shared" si="5"/>
        <v>295</v>
      </c>
      <c r="M78" s="34">
        <f t="shared" si="5"/>
        <v>282</v>
      </c>
      <c r="N78" s="34">
        <f t="shared" si="5"/>
        <v>245</v>
      </c>
      <c r="O78" s="34">
        <f t="shared" si="5"/>
        <v>225</v>
      </c>
      <c r="P78" s="34">
        <f t="shared" si="5"/>
        <v>201</v>
      </c>
      <c r="Q78" s="34">
        <f t="shared" si="5"/>
        <v>203</v>
      </c>
      <c r="R78" s="34">
        <f t="shared" si="5"/>
        <v>269</v>
      </c>
      <c r="S78" s="34">
        <f t="shared" si="5"/>
        <v>269</v>
      </c>
      <c r="T78" s="34">
        <f t="shared" si="5"/>
        <v>265</v>
      </c>
      <c r="U78" s="34">
        <f t="shared" si="5"/>
        <v>272</v>
      </c>
      <c r="V78" s="34">
        <f t="shared" si="5"/>
        <v>233</v>
      </c>
      <c r="W78" s="34">
        <f t="shared" si="5"/>
        <v>183</v>
      </c>
      <c r="X78" s="34">
        <f t="shared" si="5"/>
        <v>243</v>
      </c>
      <c r="Y78" s="34">
        <f t="shared" si="5"/>
        <v>330</v>
      </c>
      <c r="Z78" s="34">
        <f t="shared" si="5"/>
        <v>284</v>
      </c>
      <c r="AA78" s="34">
        <f t="shared" si="5"/>
        <v>285</v>
      </c>
      <c r="AB78" s="34">
        <f t="shared" si="5"/>
        <v>289</v>
      </c>
      <c r="AC78" s="34">
        <f t="shared" si="5"/>
        <v>226</v>
      </c>
      <c r="AD78" s="34">
        <f t="shared" si="5"/>
        <v>238</v>
      </c>
      <c r="AE78" s="34">
        <f t="shared" si="5"/>
        <v>241</v>
      </c>
      <c r="AF78" s="218">
        <f t="shared" si="5"/>
        <v>0</v>
      </c>
      <c r="AG78" s="27">
        <f t="shared" si="2"/>
        <v>7514</v>
      </c>
    </row>
    <row r="79" spans="1:33" ht="19.5" customHeight="1" x14ac:dyDescent="0.25">
      <c r="A79" s="35" t="s">
        <v>42</v>
      </c>
      <c r="B79" s="9">
        <f t="shared" ref="B79:AF79" si="6">SUM(B4:B27)-B80</f>
        <v>244</v>
      </c>
      <c r="C79" s="10">
        <f t="shared" si="6"/>
        <v>221</v>
      </c>
      <c r="D79" s="10">
        <f t="shared" si="6"/>
        <v>278</v>
      </c>
      <c r="E79" s="10">
        <f t="shared" si="6"/>
        <v>238</v>
      </c>
      <c r="F79" s="10">
        <f t="shared" si="6"/>
        <v>109</v>
      </c>
      <c r="G79" s="10">
        <f t="shared" si="6"/>
        <v>108</v>
      </c>
      <c r="H79" s="10">
        <f t="shared" si="6"/>
        <v>72</v>
      </c>
      <c r="I79" s="10">
        <f t="shared" si="6"/>
        <v>227</v>
      </c>
      <c r="J79" s="10">
        <f t="shared" si="6"/>
        <v>218</v>
      </c>
      <c r="K79" s="10">
        <f t="shared" si="6"/>
        <v>321</v>
      </c>
      <c r="L79" s="10">
        <f t="shared" si="6"/>
        <v>295</v>
      </c>
      <c r="M79" s="10">
        <f t="shared" si="6"/>
        <v>109</v>
      </c>
      <c r="N79" s="10">
        <f t="shared" si="6"/>
        <v>111</v>
      </c>
      <c r="O79" s="10">
        <f t="shared" si="6"/>
        <v>98</v>
      </c>
      <c r="P79" s="10">
        <f t="shared" si="6"/>
        <v>201</v>
      </c>
      <c r="Q79" s="10">
        <f t="shared" si="6"/>
        <v>203</v>
      </c>
      <c r="R79" s="10">
        <f t="shared" si="6"/>
        <v>114</v>
      </c>
      <c r="S79" s="10">
        <f t="shared" si="6"/>
        <v>116</v>
      </c>
      <c r="T79" s="10">
        <f t="shared" si="6"/>
        <v>129</v>
      </c>
      <c r="U79" s="10">
        <f t="shared" si="6"/>
        <v>117</v>
      </c>
      <c r="V79" s="10">
        <f t="shared" si="6"/>
        <v>101</v>
      </c>
      <c r="W79" s="10">
        <f t="shared" si="6"/>
        <v>183</v>
      </c>
      <c r="X79" s="10">
        <f t="shared" si="6"/>
        <v>243</v>
      </c>
      <c r="Y79" s="10">
        <f t="shared" si="6"/>
        <v>125</v>
      </c>
      <c r="Z79" s="10">
        <f t="shared" si="6"/>
        <v>284</v>
      </c>
      <c r="AA79" s="10">
        <f t="shared" si="6"/>
        <v>133</v>
      </c>
      <c r="AB79" s="10">
        <f t="shared" si="6"/>
        <v>131</v>
      </c>
      <c r="AC79" s="10">
        <f t="shared" si="6"/>
        <v>106</v>
      </c>
      <c r="AD79" s="10">
        <f t="shared" si="6"/>
        <v>238</v>
      </c>
      <c r="AE79" s="10">
        <f t="shared" si="6"/>
        <v>241</v>
      </c>
      <c r="AF79" s="10">
        <f t="shared" si="6"/>
        <v>0</v>
      </c>
      <c r="AG79" s="11">
        <f t="shared" si="2"/>
        <v>5314</v>
      </c>
    </row>
    <row r="80" spans="1:33" ht="19.5" customHeight="1" x14ac:dyDescent="0.25">
      <c r="A80" s="36" t="s">
        <v>43</v>
      </c>
      <c r="B80" s="37"/>
      <c r="C80" s="38"/>
      <c r="D80" s="25">
        <v>0</v>
      </c>
      <c r="E80" s="25">
        <v>0</v>
      </c>
      <c r="F80" s="25">
        <f>SUM(F4:F12)</f>
        <v>155</v>
      </c>
      <c r="G80" s="25">
        <f>SUM(G4:G12)</f>
        <v>117</v>
      </c>
      <c r="H80" s="25">
        <f>SUM(H4:H12)</f>
        <v>128</v>
      </c>
      <c r="I80" s="38"/>
      <c r="J80" s="38"/>
      <c r="K80" s="25">
        <v>0</v>
      </c>
      <c r="L80" s="25">
        <v>0</v>
      </c>
      <c r="M80" s="25">
        <f>SUM(M4:M12)</f>
        <v>173</v>
      </c>
      <c r="N80" s="25">
        <f>SUM(N4:N12)</f>
        <v>134</v>
      </c>
      <c r="O80" s="25">
        <f>SUM(O4:O12)</f>
        <v>127</v>
      </c>
      <c r="P80" s="38"/>
      <c r="Q80" s="38"/>
      <c r="R80" s="25">
        <f>SUM(R4:R12)</f>
        <v>155</v>
      </c>
      <c r="S80" s="25">
        <f>SUM(S4:S12)</f>
        <v>153</v>
      </c>
      <c r="T80" s="25">
        <f>SUM(T4:T12)</f>
        <v>136</v>
      </c>
      <c r="U80" s="25">
        <f>SUM(U4:U12)</f>
        <v>155</v>
      </c>
      <c r="V80" s="25">
        <f>SUM(V4:V12)</f>
        <v>132</v>
      </c>
      <c r="W80" s="38"/>
      <c r="X80" s="38"/>
      <c r="Y80" s="25">
        <f>SUM(Y4:Y12)</f>
        <v>205</v>
      </c>
      <c r="Z80" s="38"/>
      <c r="AA80" s="25">
        <f>SUM(AA4:AA12)</f>
        <v>152</v>
      </c>
      <c r="AB80" s="25">
        <f>SUM(AB4:AB12)</f>
        <v>158</v>
      </c>
      <c r="AC80" s="25">
        <f>SUM(AC4:AC12)</f>
        <v>120</v>
      </c>
      <c r="AD80" s="38"/>
      <c r="AE80" s="38"/>
      <c r="AF80" s="25">
        <f>SUM(AF4:AF12)</f>
        <v>0</v>
      </c>
      <c r="AG80" s="26">
        <f t="shared" si="2"/>
        <v>2200</v>
      </c>
    </row>
    <row r="81" spans="1:35" ht="15.75" customHeight="1" x14ac:dyDescent="0.25">
      <c r="A81" s="31" t="s">
        <v>44</v>
      </c>
      <c r="B81" s="39">
        <f t="shared" ref="B81:AF81" si="7">SUM(B82:B83)</f>
        <v>16</v>
      </c>
      <c r="C81" s="34">
        <f t="shared" si="7"/>
        <v>3</v>
      </c>
      <c r="D81" s="34">
        <f t="shared" si="7"/>
        <v>19</v>
      </c>
      <c r="E81" s="34">
        <f t="shared" si="7"/>
        <v>22</v>
      </c>
      <c r="F81" s="34">
        <f t="shared" si="7"/>
        <v>44</v>
      </c>
      <c r="G81" s="34">
        <f t="shared" si="7"/>
        <v>24</v>
      </c>
      <c r="H81" s="34">
        <f t="shared" si="7"/>
        <v>4</v>
      </c>
      <c r="I81" s="34">
        <f t="shared" si="7"/>
        <v>15</v>
      </c>
      <c r="J81" s="34">
        <f t="shared" si="7"/>
        <v>5</v>
      </c>
      <c r="K81" s="34">
        <f t="shared" si="7"/>
        <v>73</v>
      </c>
      <c r="L81" s="34">
        <f t="shared" si="7"/>
        <v>39</v>
      </c>
      <c r="M81" s="34">
        <f t="shared" si="7"/>
        <v>66</v>
      </c>
      <c r="N81" s="34">
        <f t="shared" si="7"/>
        <v>29</v>
      </c>
      <c r="O81" s="34">
        <f t="shared" si="7"/>
        <v>32</v>
      </c>
      <c r="P81" s="34">
        <f t="shared" si="7"/>
        <v>16</v>
      </c>
      <c r="Q81" s="34">
        <f t="shared" si="7"/>
        <v>1</v>
      </c>
      <c r="R81" s="34">
        <f t="shared" si="7"/>
        <v>42</v>
      </c>
      <c r="S81" s="34">
        <f t="shared" si="7"/>
        <v>26</v>
      </c>
      <c r="T81" s="34">
        <f t="shared" si="7"/>
        <v>35</v>
      </c>
      <c r="U81" s="34">
        <f t="shared" si="7"/>
        <v>38</v>
      </c>
      <c r="V81" s="34">
        <f t="shared" si="7"/>
        <v>26</v>
      </c>
      <c r="W81" s="34">
        <f t="shared" si="7"/>
        <v>18</v>
      </c>
      <c r="X81" s="34">
        <f t="shared" si="7"/>
        <v>13</v>
      </c>
      <c r="Y81" s="34">
        <f t="shared" si="7"/>
        <v>65</v>
      </c>
      <c r="Z81" s="34">
        <f t="shared" si="7"/>
        <v>58</v>
      </c>
      <c r="AA81" s="34">
        <f t="shared" si="7"/>
        <v>47</v>
      </c>
      <c r="AB81" s="34">
        <f t="shared" si="7"/>
        <v>50</v>
      </c>
      <c r="AC81" s="34">
        <f t="shared" si="7"/>
        <v>15</v>
      </c>
      <c r="AD81" s="34">
        <f t="shared" si="7"/>
        <v>24</v>
      </c>
      <c r="AE81" s="34">
        <f t="shared" si="7"/>
        <v>45</v>
      </c>
      <c r="AF81" s="34">
        <f t="shared" si="7"/>
        <v>0</v>
      </c>
      <c r="AG81" s="27">
        <f t="shared" si="2"/>
        <v>910</v>
      </c>
      <c r="AH81" s="40" t="str">
        <f>IF(AG81&lt;&gt;AG53,"*","")</f>
        <v/>
      </c>
    </row>
    <row r="82" spans="1:35" ht="15.75" customHeight="1" x14ac:dyDescent="0.25">
      <c r="A82" s="35" t="s">
        <v>43</v>
      </c>
      <c r="B82" s="9">
        <f t="shared" ref="B82:AF82" si="8">SUM(B54:B62)</f>
        <v>0</v>
      </c>
      <c r="C82" s="10">
        <f t="shared" si="8"/>
        <v>0</v>
      </c>
      <c r="D82" s="10">
        <f t="shared" si="8"/>
        <v>12</v>
      </c>
      <c r="E82" s="10">
        <f t="shared" si="8"/>
        <v>6</v>
      </c>
      <c r="F82" s="10">
        <f t="shared" si="8"/>
        <v>17</v>
      </c>
      <c r="G82" s="10">
        <f t="shared" si="8"/>
        <v>14</v>
      </c>
      <c r="H82" s="10">
        <f t="shared" si="8"/>
        <v>3</v>
      </c>
      <c r="I82" s="10">
        <f t="shared" si="8"/>
        <v>7</v>
      </c>
      <c r="J82" s="10">
        <f t="shared" si="8"/>
        <v>5</v>
      </c>
      <c r="K82" s="10">
        <f t="shared" si="8"/>
        <v>30</v>
      </c>
      <c r="L82" s="10">
        <f t="shared" si="8"/>
        <v>13</v>
      </c>
      <c r="M82" s="10">
        <f t="shared" si="8"/>
        <v>37</v>
      </c>
      <c r="N82" s="10">
        <f t="shared" si="8"/>
        <v>13</v>
      </c>
      <c r="O82" s="10">
        <f t="shared" si="8"/>
        <v>13</v>
      </c>
      <c r="P82" s="10">
        <f t="shared" si="8"/>
        <v>10</v>
      </c>
      <c r="Q82" s="10">
        <f t="shared" si="8"/>
        <v>1</v>
      </c>
      <c r="R82" s="10">
        <f t="shared" si="8"/>
        <v>12</v>
      </c>
      <c r="S82" s="10">
        <f t="shared" si="8"/>
        <v>2</v>
      </c>
      <c r="T82" s="10">
        <f t="shared" si="8"/>
        <v>9</v>
      </c>
      <c r="U82" s="10">
        <f t="shared" si="8"/>
        <v>12</v>
      </c>
      <c r="V82" s="10">
        <f t="shared" si="8"/>
        <v>18</v>
      </c>
      <c r="W82" s="10">
        <f t="shared" si="8"/>
        <v>9</v>
      </c>
      <c r="X82" s="10">
        <f t="shared" si="8"/>
        <v>1</v>
      </c>
      <c r="Y82" s="10">
        <f t="shared" si="8"/>
        <v>34</v>
      </c>
      <c r="Z82" s="10">
        <f t="shared" si="8"/>
        <v>24</v>
      </c>
      <c r="AA82" s="10">
        <f t="shared" si="8"/>
        <v>16</v>
      </c>
      <c r="AB82" s="10">
        <f t="shared" si="8"/>
        <v>21</v>
      </c>
      <c r="AC82" s="10">
        <f t="shared" si="8"/>
        <v>10</v>
      </c>
      <c r="AD82" s="10">
        <f t="shared" si="8"/>
        <v>6</v>
      </c>
      <c r="AE82" s="10">
        <f t="shared" si="8"/>
        <v>18</v>
      </c>
      <c r="AF82" s="10">
        <f t="shared" si="8"/>
        <v>0</v>
      </c>
      <c r="AG82" s="11">
        <f t="shared" si="2"/>
        <v>373</v>
      </c>
    </row>
    <row r="83" spans="1:35" ht="15.75" customHeight="1" x14ac:dyDescent="0.25">
      <c r="A83" s="36" t="s">
        <v>42</v>
      </c>
      <c r="B83" s="24">
        <f t="shared" ref="B83:AF83" si="9">SUM(B54:B77)-B82</f>
        <v>16</v>
      </c>
      <c r="C83" s="25">
        <f t="shared" si="9"/>
        <v>3</v>
      </c>
      <c r="D83" s="25">
        <f t="shared" si="9"/>
        <v>7</v>
      </c>
      <c r="E83" s="25">
        <f t="shared" si="9"/>
        <v>16</v>
      </c>
      <c r="F83" s="25">
        <f t="shared" si="9"/>
        <v>27</v>
      </c>
      <c r="G83" s="25">
        <f t="shared" si="9"/>
        <v>10</v>
      </c>
      <c r="H83" s="25">
        <f t="shared" si="9"/>
        <v>1</v>
      </c>
      <c r="I83" s="25">
        <f t="shared" si="9"/>
        <v>8</v>
      </c>
      <c r="J83" s="25">
        <f t="shared" si="9"/>
        <v>0</v>
      </c>
      <c r="K83" s="25">
        <f t="shared" si="9"/>
        <v>43</v>
      </c>
      <c r="L83" s="25">
        <f t="shared" si="9"/>
        <v>26</v>
      </c>
      <c r="M83" s="25">
        <f t="shared" si="9"/>
        <v>29</v>
      </c>
      <c r="N83" s="25">
        <f t="shared" si="9"/>
        <v>16</v>
      </c>
      <c r="O83" s="25">
        <f t="shared" si="9"/>
        <v>19</v>
      </c>
      <c r="P83" s="25">
        <f t="shared" si="9"/>
        <v>6</v>
      </c>
      <c r="Q83" s="25">
        <f t="shared" si="9"/>
        <v>0</v>
      </c>
      <c r="R83" s="25">
        <f t="shared" si="9"/>
        <v>30</v>
      </c>
      <c r="S83" s="25">
        <f t="shared" si="9"/>
        <v>24</v>
      </c>
      <c r="T83" s="25">
        <f t="shared" si="9"/>
        <v>26</v>
      </c>
      <c r="U83" s="25">
        <f t="shared" si="9"/>
        <v>26</v>
      </c>
      <c r="V83" s="25">
        <f t="shared" si="9"/>
        <v>8</v>
      </c>
      <c r="W83" s="25">
        <f t="shared" si="9"/>
        <v>9</v>
      </c>
      <c r="X83" s="25">
        <f t="shared" si="9"/>
        <v>12</v>
      </c>
      <c r="Y83" s="25">
        <f t="shared" si="9"/>
        <v>31</v>
      </c>
      <c r="Z83" s="25">
        <f t="shared" si="9"/>
        <v>34</v>
      </c>
      <c r="AA83" s="25">
        <f t="shared" si="9"/>
        <v>31</v>
      </c>
      <c r="AB83" s="25">
        <f t="shared" si="9"/>
        <v>29</v>
      </c>
      <c r="AC83" s="25">
        <f t="shared" si="9"/>
        <v>5</v>
      </c>
      <c r="AD83" s="25">
        <f t="shared" si="9"/>
        <v>18</v>
      </c>
      <c r="AE83" s="25">
        <f t="shared" si="9"/>
        <v>27</v>
      </c>
      <c r="AF83" s="25">
        <f t="shared" si="9"/>
        <v>0</v>
      </c>
      <c r="AG83" s="15">
        <f t="shared" si="2"/>
        <v>537</v>
      </c>
    </row>
    <row r="84" spans="1:35" ht="15.75" customHeight="1" x14ac:dyDescent="0.25">
      <c r="A84" s="41" t="s">
        <v>45</v>
      </c>
      <c r="B84" s="42">
        <f t="shared" ref="B84:AF84" si="10">SUM(B85:B86)</f>
        <v>16</v>
      </c>
      <c r="C84" s="43">
        <f t="shared" si="10"/>
        <v>3</v>
      </c>
      <c r="D84" s="43">
        <f t="shared" si="10"/>
        <v>19</v>
      </c>
      <c r="E84" s="43">
        <f t="shared" si="10"/>
        <v>22</v>
      </c>
      <c r="F84" s="43">
        <f t="shared" si="10"/>
        <v>44</v>
      </c>
      <c r="G84" s="43">
        <f t="shared" si="10"/>
        <v>24</v>
      </c>
      <c r="H84" s="43">
        <f t="shared" si="10"/>
        <v>4</v>
      </c>
      <c r="I84" s="43">
        <f t="shared" si="10"/>
        <v>15</v>
      </c>
      <c r="J84" s="43">
        <f t="shared" si="10"/>
        <v>5</v>
      </c>
      <c r="K84" s="43">
        <f t="shared" si="10"/>
        <v>73</v>
      </c>
      <c r="L84" s="43">
        <f t="shared" si="10"/>
        <v>39</v>
      </c>
      <c r="M84" s="43">
        <f t="shared" si="10"/>
        <v>66</v>
      </c>
      <c r="N84" s="43">
        <f t="shared" si="10"/>
        <v>29</v>
      </c>
      <c r="O84" s="43">
        <f t="shared" si="10"/>
        <v>32</v>
      </c>
      <c r="P84" s="43">
        <f t="shared" si="10"/>
        <v>16</v>
      </c>
      <c r="Q84" s="43">
        <f t="shared" si="10"/>
        <v>1</v>
      </c>
      <c r="R84" s="43">
        <f t="shared" si="10"/>
        <v>42</v>
      </c>
      <c r="S84" s="43">
        <f t="shared" si="10"/>
        <v>26</v>
      </c>
      <c r="T84" s="43">
        <f t="shared" si="10"/>
        <v>35</v>
      </c>
      <c r="U84" s="43">
        <f t="shared" si="10"/>
        <v>38</v>
      </c>
      <c r="V84" s="43">
        <f t="shared" si="10"/>
        <v>26</v>
      </c>
      <c r="W84" s="43">
        <f t="shared" si="10"/>
        <v>18</v>
      </c>
      <c r="X84" s="43">
        <f t="shared" si="10"/>
        <v>13</v>
      </c>
      <c r="Y84" s="43">
        <f t="shared" si="10"/>
        <v>65</v>
      </c>
      <c r="Z84" s="43">
        <f t="shared" si="10"/>
        <v>58</v>
      </c>
      <c r="AA84" s="43">
        <f t="shared" si="10"/>
        <v>47</v>
      </c>
      <c r="AB84" s="43">
        <f t="shared" si="10"/>
        <v>50</v>
      </c>
      <c r="AC84" s="43">
        <f t="shared" si="10"/>
        <v>15</v>
      </c>
      <c r="AD84" s="43">
        <f t="shared" si="10"/>
        <v>24</v>
      </c>
      <c r="AE84" s="43">
        <f t="shared" si="10"/>
        <v>45</v>
      </c>
      <c r="AF84" s="43">
        <f t="shared" si="10"/>
        <v>0</v>
      </c>
      <c r="AG84" s="44">
        <f t="shared" si="2"/>
        <v>910</v>
      </c>
      <c r="AH84" s="40" t="str">
        <f>IF(AG84&lt;&gt;AG82+AG83,"*","")</f>
        <v/>
      </c>
      <c r="AI84" s="361" t="s">
        <v>46</v>
      </c>
    </row>
    <row r="85" spans="1:35" ht="15.75" customHeight="1" x14ac:dyDescent="0.25">
      <c r="A85" s="45" t="s">
        <v>47</v>
      </c>
      <c r="B85" s="46">
        <v>2</v>
      </c>
      <c r="C85" s="47">
        <v>0</v>
      </c>
      <c r="D85" s="47">
        <v>5</v>
      </c>
      <c r="E85" s="47">
        <v>4</v>
      </c>
      <c r="F85" s="47">
        <v>8</v>
      </c>
      <c r="G85" s="47">
        <v>5</v>
      </c>
      <c r="H85" s="47">
        <v>1</v>
      </c>
      <c r="I85" s="47">
        <v>1</v>
      </c>
      <c r="J85" s="47">
        <v>0</v>
      </c>
      <c r="K85" s="47">
        <v>28</v>
      </c>
      <c r="L85" s="47">
        <v>8</v>
      </c>
      <c r="M85" s="47">
        <v>18</v>
      </c>
      <c r="N85" s="47">
        <v>5</v>
      </c>
      <c r="O85" s="47">
        <v>5</v>
      </c>
      <c r="P85" s="47">
        <v>1</v>
      </c>
      <c r="Q85" s="47">
        <v>0</v>
      </c>
      <c r="R85" s="47">
        <v>14</v>
      </c>
      <c r="S85" s="47">
        <v>11</v>
      </c>
      <c r="T85" s="47">
        <v>13</v>
      </c>
      <c r="U85" s="47">
        <v>8</v>
      </c>
      <c r="V85" s="47">
        <v>10</v>
      </c>
      <c r="W85" s="47">
        <v>5</v>
      </c>
      <c r="X85" s="47">
        <v>2</v>
      </c>
      <c r="Y85" s="47">
        <v>13</v>
      </c>
      <c r="Z85" s="47">
        <v>21</v>
      </c>
      <c r="AA85" s="47">
        <v>15</v>
      </c>
      <c r="AB85" s="47">
        <v>10</v>
      </c>
      <c r="AC85" s="47">
        <v>1</v>
      </c>
      <c r="AD85" s="47">
        <v>10</v>
      </c>
      <c r="AE85" s="47">
        <v>18</v>
      </c>
      <c r="AF85" s="219"/>
      <c r="AG85" s="48">
        <f t="shared" si="2"/>
        <v>242</v>
      </c>
      <c r="AI85" s="362"/>
    </row>
    <row r="86" spans="1:35" ht="15.75" customHeight="1" x14ac:dyDescent="0.25">
      <c r="A86" s="49" t="s">
        <v>48</v>
      </c>
      <c r="B86" s="50">
        <v>14</v>
      </c>
      <c r="C86" s="51">
        <v>3</v>
      </c>
      <c r="D86" s="51">
        <v>14</v>
      </c>
      <c r="E86" s="51">
        <v>18</v>
      </c>
      <c r="F86" s="51">
        <v>36</v>
      </c>
      <c r="G86" s="51">
        <v>19</v>
      </c>
      <c r="H86" s="51">
        <v>3</v>
      </c>
      <c r="I86" s="51">
        <v>14</v>
      </c>
      <c r="J86" s="51">
        <v>5</v>
      </c>
      <c r="K86" s="51">
        <v>45</v>
      </c>
      <c r="L86" s="51">
        <v>31</v>
      </c>
      <c r="M86" s="51">
        <v>48</v>
      </c>
      <c r="N86" s="51">
        <v>24</v>
      </c>
      <c r="O86" s="51">
        <v>27</v>
      </c>
      <c r="P86" s="51">
        <v>15</v>
      </c>
      <c r="Q86" s="51">
        <v>1</v>
      </c>
      <c r="R86" s="51">
        <v>28</v>
      </c>
      <c r="S86" s="51">
        <v>15</v>
      </c>
      <c r="T86" s="51">
        <v>22</v>
      </c>
      <c r="U86" s="51">
        <v>30</v>
      </c>
      <c r="V86" s="51">
        <v>16</v>
      </c>
      <c r="W86" s="51">
        <v>13</v>
      </c>
      <c r="X86" s="51">
        <v>11</v>
      </c>
      <c r="Y86" s="51">
        <v>52</v>
      </c>
      <c r="Z86" s="51">
        <v>37</v>
      </c>
      <c r="AA86" s="51">
        <v>32</v>
      </c>
      <c r="AB86" s="51">
        <v>40</v>
      </c>
      <c r="AC86" s="51">
        <v>14</v>
      </c>
      <c r="AD86" s="51">
        <v>14</v>
      </c>
      <c r="AE86" s="51">
        <v>27</v>
      </c>
      <c r="AF86" s="220"/>
      <c r="AG86" s="52">
        <f t="shared" si="2"/>
        <v>668</v>
      </c>
      <c r="AI86" s="363"/>
    </row>
    <row r="87" spans="1:35" ht="15.75" customHeight="1" x14ac:dyDescent="0.25">
      <c r="A87" s="53" t="s">
        <v>49</v>
      </c>
      <c r="B87" s="54">
        <f t="shared" ref="B87:AF87" si="11">SUM(B88:B92)</f>
        <v>16</v>
      </c>
      <c r="C87" s="55">
        <f t="shared" si="11"/>
        <v>3</v>
      </c>
      <c r="D87" s="55">
        <f t="shared" si="11"/>
        <v>19</v>
      </c>
      <c r="E87" s="55">
        <f t="shared" si="11"/>
        <v>22</v>
      </c>
      <c r="F87" s="55">
        <f t="shared" si="11"/>
        <v>44</v>
      </c>
      <c r="G87" s="55">
        <f t="shared" si="11"/>
        <v>24</v>
      </c>
      <c r="H87" s="55">
        <f t="shared" si="11"/>
        <v>4</v>
      </c>
      <c r="I87" s="55">
        <f t="shared" si="11"/>
        <v>15</v>
      </c>
      <c r="J87" s="55">
        <f t="shared" si="11"/>
        <v>5</v>
      </c>
      <c r="K87" s="55">
        <f t="shared" si="11"/>
        <v>73</v>
      </c>
      <c r="L87" s="55">
        <f t="shared" si="11"/>
        <v>39</v>
      </c>
      <c r="M87" s="55">
        <f t="shared" si="11"/>
        <v>66</v>
      </c>
      <c r="N87" s="55">
        <f t="shared" si="11"/>
        <v>29</v>
      </c>
      <c r="O87" s="55">
        <f t="shared" si="11"/>
        <v>32</v>
      </c>
      <c r="P87" s="55">
        <f t="shared" si="11"/>
        <v>16</v>
      </c>
      <c r="Q87" s="55">
        <f t="shared" si="11"/>
        <v>1</v>
      </c>
      <c r="R87" s="55">
        <f t="shared" si="11"/>
        <v>42</v>
      </c>
      <c r="S87" s="55">
        <f t="shared" si="11"/>
        <v>26</v>
      </c>
      <c r="T87" s="55">
        <f t="shared" si="11"/>
        <v>35</v>
      </c>
      <c r="U87" s="55">
        <f t="shared" si="11"/>
        <v>38</v>
      </c>
      <c r="V87" s="55">
        <f t="shared" si="11"/>
        <v>26</v>
      </c>
      <c r="W87" s="55">
        <f t="shared" si="11"/>
        <v>18</v>
      </c>
      <c r="X87" s="55">
        <f t="shared" si="11"/>
        <v>13</v>
      </c>
      <c r="Y87" s="55">
        <f t="shared" si="11"/>
        <v>65</v>
      </c>
      <c r="Z87" s="55">
        <f t="shared" si="11"/>
        <v>58</v>
      </c>
      <c r="AA87" s="55">
        <f t="shared" si="11"/>
        <v>47</v>
      </c>
      <c r="AB87" s="55">
        <f t="shared" si="11"/>
        <v>50</v>
      </c>
      <c r="AC87" s="55">
        <f t="shared" si="11"/>
        <v>15</v>
      </c>
      <c r="AD87" s="55">
        <f t="shared" si="11"/>
        <v>24</v>
      </c>
      <c r="AE87" s="55">
        <f t="shared" si="11"/>
        <v>45</v>
      </c>
      <c r="AF87" s="55">
        <f t="shared" si="11"/>
        <v>0</v>
      </c>
      <c r="AG87" s="56">
        <f t="shared" si="2"/>
        <v>910</v>
      </c>
      <c r="AH87" s="57" t="str">
        <f>IF(AG87&lt;&gt;AG84,"*","")</f>
        <v/>
      </c>
    </row>
    <row r="88" spans="1:35" ht="15.75" customHeight="1" x14ac:dyDescent="0.25">
      <c r="A88" s="58" t="s">
        <v>50</v>
      </c>
      <c r="B88" s="29">
        <v>4</v>
      </c>
      <c r="C88" s="30"/>
      <c r="D88" s="30">
        <v>8</v>
      </c>
      <c r="E88" s="30">
        <v>7</v>
      </c>
      <c r="F88" s="30">
        <v>12</v>
      </c>
      <c r="G88" s="30">
        <v>7</v>
      </c>
      <c r="H88" s="30">
        <v>3</v>
      </c>
      <c r="I88" s="30">
        <v>4</v>
      </c>
      <c r="J88" s="30"/>
      <c r="K88" s="30">
        <v>24</v>
      </c>
      <c r="L88" s="30">
        <v>3</v>
      </c>
      <c r="M88" s="30">
        <v>19</v>
      </c>
      <c r="N88" s="30">
        <v>11</v>
      </c>
      <c r="O88" s="30">
        <v>9</v>
      </c>
      <c r="P88" s="30">
        <v>3</v>
      </c>
      <c r="Q88" s="30">
        <v>1</v>
      </c>
      <c r="R88" s="30">
        <v>11</v>
      </c>
      <c r="S88" s="30">
        <v>8</v>
      </c>
      <c r="T88" s="30">
        <v>10</v>
      </c>
      <c r="U88" s="30">
        <v>9</v>
      </c>
      <c r="V88" s="30">
        <v>7</v>
      </c>
      <c r="W88" s="30">
        <v>7</v>
      </c>
      <c r="X88" s="30">
        <v>5</v>
      </c>
      <c r="Y88" s="30">
        <v>12</v>
      </c>
      <c r="Z88" s="30">
        <v>11</v>
      </c>
      <c r="AA88" s="30">
        <v>12</v>
      </c>
      <c r="AB88" s="30">
        <v>9</v>
      </c>
      <c r="AC88" s="30">
        <v>5</v>
      </c>
      <c r="AD88" s="30">
        <v>1</v>
      </c>
      <c r="AE88" s="30">
        <v>12</v>
      </c>
      <c r="AF88" s="217"/>
      <c r="AG88" s="11">
        <f t="shared" si="2"/>
        <v>234</v>
      </c>
    </row>
    <row r="89" spans="1:35" ht="15.75" customHeight="1" x14ac:dyDescent="0.25">
      <c r="A89" s="59" t="s">
        <v>51</v>
      </c>
      <c r="B89" s="24"/>
      <c r="C89" s="25"/>
      <c r="D89" s="25"/>
      <c r="E89" s="25"/>
      <c r="F89" s="25"/>
      <c r="G89" s="25">
        <v>1</v>
      </c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16"/>
      <c r="AG89" s="15">
        <f t="shared" si="2"/>
        <v>1</v>
      </c>
    </row>
    <row r="90" spans="1:35" ht="15.75" customHeight="1" x14ac:dyDescent="0.25">
      <c r="A90" s="59" t="s">
        <v>52</v>
      </c>
      <c r="B90" s="24"/>
      <c r="C90" s="25"/>
      <c r="D90" s="25">
        <v>1</v>
      </c>
      <c r="E90" s="25"/>
      <c r="F90" s="25">
        <v>1</v>
      </c>
      <c r="G90" s="25"/>
      <c r="H90" s="25"/>
      <c r="I90" s="25"/>
      <c r="J90" s="25">
        <v>1</v>
      </c>
      <c r="K90" s="25"/>
      <c r="L90" s="25"/>
      <c r="M90" s="25">
        <v>4</v>
      </c>
      <c r="N90" s="25"/>
      <c r="O90" s="25"/>
      <c r="P90" s="25"/>
      <c r="Q90" s="25"/>
      <c r="R90" s="25"/>
      <c r="S90" s="25"/>
      <c r="T90" s="25">
        <v>1</v>
      </c>
      <c r="U90" s="25"/>
      <c r="V90" s="25">
        <v>1</v>
      </c>
      <c r="W90" s="25"/>
      <c r="X90" s="25"/>
      <c r="Y90" s="25">
        <v>1</v>
      </c>
      <c r="Z90" s="25">
        <v>1</v>
      </c>
      <c r="AA90" s="25">
        <v>1</v>
      </c>
      <c r="AB90" s="25"/>
      <c r="AC90" s="25"/>
      <c r="AD90" s="25"/>
      <c r="AE90" s="25"/>
      <c r="AF90" s="216"/>
      <c r="AG90" s="15">
        <f t="shared" si="2"/>
        <v>12</v>
      </c>
    </row>
    <row r="91" spans="1:35" ht="15.75" customHeight="1" x14ac:dyDescent="0.25">
      <c r="A91" s="59" t="s">
        <v>53</v>
      </c>
      <c r="B91" s="24">
        <v>11</v>
      </c>
      <c r="C91" s="25"/>
      <c r="D91" s="25">
        <v>9</v>
      </c>
      <c r="E91" s="25">
        <v>13</v>
      </c>
      <c r="F91" s="25">
        <v>19</v>
      </c>
      <c r="G91" s="25">
        <v>6</v>
      </c>
      <c r="H91" s="25"/>
      <c r="I91" s="25">
        <v>6</v>
      </c>
      <c r="J91" s="25"/>
      <c r="K91" s="25">
        <v>34</v>
      </c>
      <c r="L91" s="25">
        <v>23</v>
      </c>
      <c r="M91" s="25">
        <v>24</v>
      </c>
      <c r="N91" s="25">
        <v>6</v>
      </c>
      <c r="O91" s="25">
        <v>17</v>
      </c>
      <c r="P91" s="25">
        <v>9</v>
      </c>
      <c r="Q91" s="25"/>
      <c r="R91" s="25">
        <v>24</v>
      </c>
      <c r="S91" s="25">
        <v>12</v>
      </c>
      <c r="T91" s="25">
        <v>10</v>
      </c>
      <c r="U91" s="25">
        <v>24</v>
      </c>
      <c r="V91" s="25">
        <v>10</v>
      </c>
      <c r="W91" s="25">
        <v>8</v>
      </c>
      <c r="X91" s="25">
        <v>4</v>
      </c>
      <c r="Y91" s="25">
        <v>35</v>
      </c>
      <c r="Z91" s="25">
        <v>33</v>
      </c>
      <c r="AA91" s="25">
        <v>20</v>
      </c>
      <c r="AB91" s="25">
        <v>30</v>
      </c>
      <c r="AC91" s="25">
        <v>5</v>
      </c>
      <c r="AD91" s="25">
        <v>18</v>
      </c>
      <c r="AE91" s="25">
        <v>22</v>
      </c>
      <c r="AF91" s="216"/>
      <c r="AG91" s="15">
        <f t="shared" si="2"/>
        <v>432</v>
      </c>
    </row>
    <row r="92" spans="1:35" ht="15.75" customHeight="1" x14ac:dyDescent="0.25">
      <c r="A92" s="59" t="s">
        <v>54</v>
      </c>
      <c r="B92" s="24">
        <v>1</v>
      </c>
      <c r="C92" s="25">
        <v>3</v>
      </c>
      <c r="D92" s="25">
        <v>1</v>
      </c>
      <c r="E92" s="25">
        <v>2</v>
      </c>
      <c r="F92" s="25">
        <v>12</v>
      </c>
      <c r="G92" s="25">
        <v>10</v>
      </c>
      <c r="H92" s="25">
        <v>1</v>
      </c>
      <c r="I92" s="25">
        <v>5</v>
      </c>
      <c r="J92" s="25">
        <v>4</v>
      </c>
      <c r="K92" s="25">
        <v>15</v>
      </c>
      <c r="L92" s="25">
        <v>13</v>
      </c>
      <c r="M92" s="25">
        <v>19</v>
      </c>
      <c r="N92" s="25">
        <v>12</v>
      </c>
      <c r="O92" s="25">
        <v>6</v>
      </c>
      <c r="P92" s="25">
        <v>4</v>
      </c>
      <c r="Q92" s="25"/>
      <c r="R92" s="25">
        <v>7</v>
      </c>
      <c r="S92" s="25">
        <v>6</v>
      </c>
      <c r="T92" s="25">
        <v>14</v>
      </c>
      <c r="U92" s="25">
        <v>5</v>
      </c>
      <c r="V92" s="25">
        <v>8</v>
      </c>
      <c r="W92" s="25">
        <v>3</v>
      </c>
      <c r="X92" s="25">
        <v>4</v>
      </c>
      <c r="Y92" s="25">
        <v>17</v>
      </c>
      <c r="Z92" s="25">
        <v>13</v>
      </c>
      <c r="AA92" s="25">
        <v>14</v>
      </c>
      <c r="AB92" s="25">
        <v>11</v>
      </c>
      <c r="AC92" s="25">
        <v>5</v>
      </c>
      <c r="AD92" s="25">
        <v>5</v>
      </c>
      <c r="AE92" s="25">
        <v>11</v>
      </c>
      <c r="AF92" s="216"/>
      <c r="AG92" s="15">
        <f t="shared" si="2"/>
        <v>231</v>
      </c>
    </row>
    <row r="93" spans="1:35" ht="15.75" customHeight="1" x14ac:dyDescent="0.25">
      <c r="A93" s="60" t="s">
        <v>55</v>
      </c>
      <c r="B93" s="61">
        <f t="shared" ref="B93:AF93" si="12">+B94+B100</f>
        <v>228</v>
      </c>
      <c r="C93" s="62">
        <f t="shared" si="12"/>
        <v>218</v>
      </c>
      <c r="D93" s="62">
        <f t="shared" si="12"/>
        <v>259</v>
      </c>
      <c r="E93" s="62">
        <f t="shared" si="12"/>
        <v>216</v>
      </c>
      <c r="F93" s="62">
        <f t="shared" si="12"/>
        <v>220</v>
      </c>
      <c r="G93" s="62">
        <f t="shared" si="12"/>
        <v>201</v>
      </c>
      <c r="H93" s="62">
        <f t="shared" si="12"/>
        <v>196</v>
      </c>
      <c r="I93" s="62">
        <f t="shared" si="12"/>
        <v>212</v>
      </c>
      <c r="J93" s="62">
        <f t="shared" si="12"/>
        <v>213</v>
      </c>
      <c r="K93" s="62">
        <f t="shared" si="12"/>
        <v>248</v>
      </c>
      <c r="L93" s="62">
        <f t="shared" si="12"/>
        <v>256</v>
      </c>
      <c r="M93" s="62">
        <f t="shared" si="12"/>
        <v>216</v>
      </c>
      <c r="N93" s="62">
        <f t="shared" si="12"/>
        <v>216</v>
      </c>
      <c r="O93" s="62">
        <f t="shared" si="12"/>
        <v>193</v>
      </c>
      <c r="P93" s="62">
        <f t="shared" si="12"/>
        <v>185</v>
      </c>
      <c r="Q93" s="62">
        <f t="shared" si="12"/>
        <v>202</v>
      </c>
      <c r="R93" s="62">
        <f t="shared" si="12"/>
        <v>227</v>
      </c>
      <c r="S93" s="62">
        <f t="shared" si="12"/>
        <v>243</v>
      </c>
      <c r="T93" s="62">
        <f t="shared" si="12"/>
        <v>230</v>
      </c>
      <c r="U93" s="62">
        <f t="shared" si="12"/>
        <v>234</v>
      </c>
      <c r="V93" s="62">
        <f t="shared" si="12"/>
        <v>207</v>
      </c>
      <c r="W93" s="62">
        <f t="shared" si="12"/>
        <v>165</v>
      </c>
      <c r="X93" s="62">
        <f t="shared" si="12"/>
        <v>230</v>
      </c>
      <c r="Y93" s="62">
        <f t="shared" si="12"/>
        <v>265</v>
      </c>
      <c r="Z93" s="62">
        <f t="shared" si="12"/>
        <v>226</v>
      </c>
      <c r="AA93" s="62">
        <f t="shared" si="12"/>
        <v>238</v>
      </c>
      <c r="AB93" s="62">
        <f t="shared" si="12"/>
        <v>239</v>
      </c>
      <c r="AC93" s="62">
        <f t="shared" si="12"/>
        <v>211</v>
      </c>
      <c r="AD93" s="62">
        <f t="shared" si="12"/>
        <v>214</v>
      </c>
      <c r="AE93" s="62">
        <f t="shared" si="12"/>
        <v>196</v>
      </c>
      <c r="AF93" s="221">
        <f t="shared" si="12"/>
        <v>0</v>
      </c>
      <c r="AG93" s="22">
        <f t="shared" si="2"/>
        <v>6604</v>
      </c>
      <c r="AH93" s="63" t="str">
        <f>IF(AG93&lt;&gt;AG28,"*","")</f>
        <v/>
      </c>
    </row>
    <row r="94" spans="1:35" ht="15.75" customHeight="1" x14ac:dyDescent="0.25">
      <c r="A94" s="64" t="s">
        <v>56</v>
      </c>
      <c r="B94" s="65">
        <f t="shared" ref="B94:AF94" si="13">SUM(B95:B99)</f>
        <v>36</v>
      </c>
      <c r="C94" s="66">
        <f t="shared" si="13"/>
        <v>41</v>
      </c>
      <c r="D94" s="66">
        <f t="shared" si="13"/>
        <v>56</v>
      </c>
      <c r="E94" s="66">
        <f t="shared" si="13"/>
        <v>39</v>
      </c>
      <c r="F94" s="66">
        <f t="shared" si="13"/>
        <v>49</v>
      </c>
      <c r="G94" s="66">
        <f t="shared" si="13"/>
        <v>42</v>
      </c>
      <c r="H94" s="66">
        <f t="shared" si="13"/>
        <v>33</v>
      </c>
      <c r="I94" s="66">
        <f t="shared" si="13"/>
        <v>47</v>
      </c>
      <c r="J94" s="66">
        <f t="shared" si="13"/>
        <v>31</v>
      </c>
      <c r="K94" s="66">
        <f t="shared" si="13"/>
        <v>47</v>
      </c>
      <c r="L94" s="66">
        <f t="shared" si="13"/>
        <v>50</v>
      </c>
      <c r="M94" s="66">
        <f t="shared" si="13"/>
        <v>46</v>
      </c>
      <c r="N94" s="66">
        <f t="shared" si="13"/>
        <v>44</v>
      </c>
      <c r="O94" s="66">
        <f t="shared" si="13"/>
        <v>44</v>
      </c>
      <c r="P94" s="66">
        <f t="shared" si="13"/>
        <v>37</v>
      </c>
      <c r="Q94" s="66">
        <f t="shared" si="13"/>
        <v>47</v>
      </c>
      <c r="R94" s="66">
        <f t="shared" si="13"/>
        <v>53</v>
      </c>
      <c r="S94" s="66">
        <f t="shared" si="13"/>
        <v>60</v>
      </c>
      <c r="T94" s="66">
        <f t="shared" si="13"/>
        <v>76</v>
      </c>
      <c r="U94" s="66">
        <f t="shared" si="13"/>
        <v>66</v>
      </c>
      <c r="V94" s="66">
        <f t="shared" si="13"/>
        <v>49</v>
      </c>
      <c r="W94" s="66">
        <f t="shared" si="13"/>
        <v>37</v>
      </c>
      <c r="X94" s="66">
        <f t="shared" si="13"/>
        <v>58</v>
      </c>
      <c r="Y94" s="66">
        <f t="shared" si="13"/>
        <v>80</v>
      </c>
      <c r="Z94" s="66">
        <f t="shared" si="13"/>
        <v>57</v>
      </c>
      <c r="AA94" s="66">
        <f t="shared" si="13"/>
        <v>60</v>
      </c>
      <c r="AB94" s="66">
        <f t="shared" si="13"/>
        <v>75</v>
      </c>
      <c r="AC94" s="66">
        <f t="shared" si="13"/>
        <v>53</v>
      </c>
      <c r="AD94" s="66">
        <f t="shared" si="13"/>
        <v>57</v>
      </c>
      <c r="AE94" s="66">
        <f t="shared" si="13"/>
        <v>67</v>
      </c>
      <c r="AF94" s="222">
        <f t="shared" si="13"/>
        <v>0</v>
      </c>
      <c r="AG94" s="15">
        <f t="shared" si="2"/>
        <v>1537</v>
      </c>
    </row>
    <row r="95" spans="1:35" ht="15.75" customHeight="1" x14ac:dyDescent="0.25">
      <c r="A95" s="67" t="s">
        <v>57</v>
      </c>
      <c r="B95" s="13"/>
      <c r="C95" s="14">
        <v>1</v>
      </c>
      <c r="D95" s="14">
        <v>1</v>
      </c>
      <c r="E95" s="14"/>
      <c r="F95" s="14"/>
      <c r="G95" s="14"/>
      <c r="H95" s="14"/>
      <c r="I95" s="14">
        <v>4</v>
      </c>
      <c r="J95" s="14">
        <v>1</v>
      </c>
      <c r="K95" s="14">
        <v>1</v>
      </c>
      <c r="L95" s="14"/>
      <c r="M95" s="14"/>
      <c r="N95" s="14">
        <v>1</v>
      </c>
      <c r="O95" s="14"/>
      <c r="P95" s="14"/>
      <c r="Q95" s="14">
        <v>1</v>
      </c>
      <c r="R95" s="14">
        <v>1</v>
      </c>
      <c r="S95" s="14"/>
      <c r="T95" s="14">
        <v>1</v>
      </c>
      <c r="U95" s="14">
        <v>1</v>
      </c>
      <c r="V95" s="14"/>
      <c r="W95" s="14"/>
      <c r="X95" s="14"/>
      <c r="Y95" s="14">
        <v>2</v>
      </c>
      <c r="Z95" s="14"/>
      <c r="AA95" s="14"/>
      <c r="AB95" s="14"/>
      <c r="AC95" s="14"/>
      <c r="AD95" s="14">
        <v>1</v>
      </c>
      <c r="AE95" s="14">
        <v>5</v>
      </c>
      <c r="AF95" s="214"/>
      <c r="AG95" s="15">
        <f t="shared" si="2"/>
        <v>21</v>
      </c>
    </row>
    <row r="96" spans="1:35" ht="15.75" customHeight="1" x14ac:dyDescent="0.25">
      <c r="A96" s="68" t="s">
        <v>58</v>
      </c>
      <c r="B96" s="13"/>
      <c r="C96" s="14">
        <v>1</v>
      </c>
      <c r="D96" s="14"/>
      <c r="E96" s="14">
        <v>2</v>
      </c>
      <c r="F96" s="14"/>
      <c r="G96" s="14">
        <v>1</v>
      </c>
      <c r="H96" s="14">
        <v>2</v>
      </c>
      <c r="I96" s="14">
        <v>2</v>
      </c>
      <c r="J96" s="14">
        <v>1</v>
      </c>
      <c r="K96" s="14">
        <v>2</v>
      </c>
      <c r="L96" s="14">
        <v>1</v>
      </c>
      <c r="M96" s="14">
        <v>1</v>
      </c>
      <c r="N96" s="14">
        <v>3</v>
      </c>
      <c r="O96" s="14"/>
      <c r="P96" s="14">
        <v>5</v>
      </c>
      <c r="Q96" s="14"/>
      <c r="R96" s="14">
        <v>1</v>
      </c>
      <c r="S96" s="223">
        <v>4</v>
      </c>
      <c r="T96" s="14">
        <v>5</v>
      </c>
      <c r="U96" s="14">
        <v>5</v>
      </c>
      <c r="V96" s="14">
        <v>5</v>
      </c>
      <c r="W96" s="14">
        <v>1</v>
      </c>
      <c r="X96" s="14">
        <v>1</v>
      </c>
      <c r="Y96" s="14">
        <v>4</v>
      </c>
      <c r="Z96" s="14">
        <v>1</v>
      </c>
      <c r="AA96" s="14">
        <v>3</v>
      </c>
      <c r="AB96" s="14">
        <v>4</v>
      </c>
      <c r="AC96" s="14">
        <v>1</v>
      </c>
      <c r="AD96" s="14">
        <v>4</v>
      </c>
      <c r="AE96" s="14">
        <v>2</v>
      </c>
      <c r="AF96" s="214"/>
      <c r="AG96" s="15">
        <f t="shared" si="2"/>
        <v>62</v>
      </c>
    </row>
    <row r="97" spans="1:33" ht="15.75" customHeight="1" x14ac:dyDescent="0.25">
      <c r="A97" s="69" t="s">
        <v>59</v>
      </c>
      <c r="B97" s="13">
        <v>9</v>
      </c>
      <c r="C97" s="14">
        <v>8</v>
      </c>
      <c r="D97" s="14">
        <v>12</v>
      </c>
      <c r="E97" s="14">
        <v>9</v>
      </c>
      <c r="F97" s="14">
        <v>10</v>
      </c>
      <c r="G97" s="14">
        <v>13</v>
      </c>
      <c r="H97" s="14">
        <v>14</v>
      </c>
      <c r="I97" s="14">
        <v>18</v>
      </c>
      <c r="J97" s="14">
        <v>8</v>
      </c>
      <c r="K97" s="14">
        <v>10</v>
      </c>
      <c r="L97" s="14">
        <v>10</v>
      </c>
      <c r="M97" s="14">
        <v>6</v>
      </c>
      <c r="N97" s="14">
        <v>8</v>
      </c>
      <c r="O97" s="14">
        <v>11</v>
      </c>
      <c r="P97" s="14">
        <v>10</v>
      </c>
      <c r="Q97" s="14">
        <v>9</v>
      </c>
      <c r="R97" s="14">
        <v>10</v>
      </c>
      <c r="S97" s="14">
        <v>13</v>
      </c>
      <c r="T97" s="14">
        <v>23</v>
      </c>
      <c r="U97" s="14">
        <v>10</v>
      </c>
      <c r="V97" s="14">
        <v>15</v>
      </c>
      <c r="W97" s="14">
        <v>9</v>
      </c>
      <c r="X97" s="14">
        <v>16</v>
      </c>
      <c r="Y97" s="14">
        <v>19</v>
      </c>
      <c r="Z97" s="14">
        <v>15</v>
      </c>
      <c r="AA97" s="14">
        <v>19</v>
      </c>
      <c r="AB97" s="14">
        <v>12</v>
      </c>
      <c r="AC97" s="14">
        <v>13</v>
      </c>
      <c r="AD97" s="14">
        <v>16</v>
      </c>
      <c r="AE97" s="14">
        <v>11</v>
      </c>
      <c r="AF97" s="214"/>
      <c r="AG97" s="15">
        <f t="shared" si="2"/>
        <v>366</v>
      </c>
    </row>
    <row r="98" spans="1:33" ht="15.75" customHeight="1" x14ac:dyDescent="0.25">
      <c r="A98" s="70" t="s">
        <v>60</v>
      </c>
      <c r="B98" s="13">
        <v>19</v>
      </c>
      <c r="C98" s="14">
        <v>18</v>
      </c>
      <c r="D98" s="14">
        <v>26</v>
      </c>
      <c r="E98" s="14">
        <v>14</v>
      </c>
      <c r="F98" s="14">
        <v>25</v>
      </c>
      <c r="G98" s="14">
        <v>23</v>
      </c>
      <c r="H98" s="14">
        <v>13</v>
      </c>
      <c r="I98" s="14">
        <v>13</v>
      </c>
      <c r="J98" s="14">
        <v>14</v>
      </c>
      <c r="K98" s="14">
        <v>22</v>
      </c>
      <c r="L98" s="14">
        <v>22</v>
      </c>
      <c r="M98" s="14">
        <v>23</v>
      </c>
      <c r="N98" s="14">
        <v>18</v>
      </c>
      <c r="O98" s="14">
        <v>22</v>
      </c>
      <c r="P98" s="14">
        <v>14</v>
      </c>
      <c r="Q98" s="14">
        <v>25</v>
      </c>
      <c r="R98" s="14">
        <v>20</v>
      </c>
      <c r="S98" s="14">
        <v>15</v>
      </c>
      <c r="T98" s="14">
        <v>28</v>
      </c>
      <c r="U98" s="14">
        <v>35</v>
      </c>
      <c r="V98" s="14">
        <v>20</v>
      </c>
      <c r="W98" s="14">
        <v>14</v>
      </c>
      <c r="X98" s="14">
        <v>24</v>
      </c>
      <c r="Y98" s="14">
        <v>30</v>
      </c>
      <c r="Z98" s="14">
        <v>16</v>
      </c>
      <c r="AA98" s="14">
        <v>21</v>
      </c>
      <c r="AB98" s="14">
        <v>34</v>
      </c>
      <c r="AC98" s="14">
        <v>25</v>
      </c>
      <c r="AD98" s="14">
        <v>23</v>
      </c>
      <c r="AE98" s="14">
        <v>33</v>
      </c>
      <c r="AF98" s="214"/>
      <c r="AG98" s="15">
        <f t="shared" si="2"/>
        <v>649</v>
      </c>
    </row>
    <row r="99" spans="1:33" ht="15.75" customHeight="1" x14ac:dyDescent="0.25">
      <c r="A99" s="71" t="s">
        <v>61</v>
      </c>
      <c r="B99" s="13">
        <v>8</v>
      </c>
      <c r="C99" s="14">
        <v>13</v>
      </c>
      <c r="D99" s="14">
        <v>17</v>
      </c>
      <c r="E99" s="14">
        <v>14</v>
      </c>
      <c r="F99" s="14">
        <v>14</v>
      </c>
      <c r="G99" s="14">
        <v>5</v>
      </c>
      <c r="H99" s="14">
        <v>4</v>
      </c>
      <c r="I99" s="14">
        <v>10</v>
      </c>
      <c r="J99" s="14">
        <v>7</v>
      </c>
      <c r="K99" s="14">
        <v>12</v>
      </c>
      <c r="L99" s="14">
        <v>17</v>
      </c>
      <c r="M99" s="14">
        <v>16</v>
      </c>
      <c r="N99" s="14">
        <v>14</v>
      </c>
      <c r="O99" s="14">
        <v>11</v>
      </c>
      <c r="P99" s="14">
        <v>8</v>
      </c>
      <c r="Q99" s="14">
        <v>12</v>
      </c>
      <c r="R99" s="14">
        <v>21</v>
      </c>
      <c r="S99" s="14">
        <v>28</v>
      </c>
      <c r="T99" s="14">
        <v>19</v>
      </c>
      <c r="U99" s="14">
        <v>15</v>
      </c>
      <c r="V99" s="14">
        <v>9</v>
      </c>
      <c r="W99" s="14">
        <v>13</v>
      </c>
      <c r="X99" s="14">
        <v>17</v>
      </c>
      <c r="Y99" s="14">
        <v>25</v>
      </c>
      <c r="Z99" s="14">
        <v>25</v>
      </c>
      <c r="AA99" s="14">
        <v>17</v>
      </c>
      <c r="AB99" s="14">
        <v>25</v>
      </c>
      <c r="AC99" s="14">
        <v>14</v>
      </c>
      <c r="AD99" s="14">
        <v>13</v>
      </c>
      <c r="AE99" s="14">
        <v>16</v>
      </c>
      <c r="AF99" s="214"/>
      <c r="AG99" s="15">
        <f t="shared" si="2"/>
        <v>439</v>
      </c>
    </row>
    <row r="100" spans="1:33" ht="15.75" customHeight="1" x14ac:dyDescent="0.25">
      <c r="A100" s="64" t="s">
        <v>62</v>
      </c>
      <c r="B100" s="65">
        <f t="shared" ref="B100:AF100" si="14">SUM(B101:B115)</f>
        <v>192</v>
      </c>
      <c r="C100" s="66">
        <f t="shared" si="14"/>
        <v>177</v>
      </c>
      <c r="D100" s="66">
        <f t="shared" si="14"/>
        <v>203</v>
      </c>
      <c r="E100" s="66">
        <f t="shared" si="14"/>
        <v>177</v>
      </c>
      <c r="F100" s="66">
        <f t="shared" si="14"/>
        <v>171</v>
      </c>
      <c r="G100" s="66">
        <f t="shared" si="14"/>
        <v>159</v>
      </c>
      <c r="H100" s="66">
        <f t="shared" si="14"/>
        <v>163</v>
      </c>
      <c r="I100" s="66">
        <f t="shared" si="14"/>
        <v>165</v>
      </c>
      <c r="J100" s="66">
        <f t="shared" si="14"/>
        <v>182</v>
      </c>
      <c r="K100" s="66">
        <f t="shared" si="14"/>
        <v>201</v>
      </c>
      <c r="L100" s="66">
        <f t="shared" si="14"/>
        <v>206</v>
      </c>
      <c r="M100" s="66">
        <f t="shared" si="14"/>
        <v>170</v>
      </c>
      <c r="N100" s="66">
        <f t="shared" si="14"/>
        <v>172</v>
      </c>
      <c r="O100" s="66">
        <f t="shared" si="14"/>
        <v>149</v>
      </c>
      <c r="P100" s="66">
        <f t="shared" si="14"/>
        <v>148</v>
      </c>
      <c r="Q100" s="66">
        <f t="shared" si="14"/>
        <v>155</v>
      </c>
      <c r="R100" s="66">
        <f t="shared" si="14"/>
        <v>174</v>
      </c>
      <c r="S100" s="66">
        <f t="shared" si="14"/>
        <v>183</v>
      </c>
      <c r="T100" s="66">
        <f t="shared" si="14"/>
        <v>154</v>
      </c>
      <c r="U100" s="66">
        <f t="shared" si="14"/>
        <v>168</v>
      </c>
      <c r="V100" s="66">
        <f t="shared" si="14"/>
        <v>158</v>
      </c>
      <c r="W100" s="66">
        <f t="shared" si="14"/>
        <v>128</v>
      </c>
      <c r="X100" s="66">
        <f t="shared" si="14"/>
        <v>172</v>
      </c>
      <c r="Y100" s="66">
        <f t="shared" si="14"/>
        <v>185</v>
      </c>
      <c r="Z100" s="66">
        <f t="shared" si="14"/>
        <v>169</v>
      </c>
      <c r="AA100" s="66">
        <f t="shared" si="14"/>
        <v>178</v>
      </c>
      <c r="AB100" s="66">
        <f t="shared" si="14"/>
        <v>164</v>
      </c>
      <c r="AC100" s="66">
        <f t="shared" si="14"/>
        <v>158</v>
      </c>
      <c r="AD100" s="66">
        <f t="shared" si="14"/>
        <v>157</v>
      </c>
      <c r="AE100" s="66">
        <f t="shared" si="14"/>
        <v>129</v>
      </c>
      <c r="AF100" s="222">
        <f t="shared" si="14"/>
        <v>0</v>
      </c>
      <c r="AG100" s="15">
        <f t="shared" si="2"/>
        <v>5067</v>
      </c>
    </row>
    <row r="101" spans="1:33" ht="15.75" customHeight="1" x14ac:dyDescent="0.25">
      <c r="A101" s="71" t="s">
        <v>63</v>
      </c>
      <c r="B101" s="13">
        <v>19</v>
      </c>
      <c r="C101" s="14">
        <v>17</v>
      </c>
      <c r="D101" s="14">
        <v>25</v>
      </c>
      <c r="E101" s="14">
        <v>23</v>
      </c>
      <c r="F101" s="14">
        <v>19</v>
      </c>
      <c r="G101" s="14">
        <v>20</v>
      </c>
      <c r="H101" s="14">
        <v>13</v>
      </c>
      <c r="I101" s="14">
        <v>11</v>
      </c>
      <c r="J101" s="14">
        <v>19</v>
      </c>
      <c r="K101" s="14">
        <v>15</v>
      </c>
      <c r="L101" s="14">
        <v>18</v>
      </c>
      <c r="M101" s="14">
        <v>15</v>
      </c>
      <c r="N101" s="14">
        <v>23</v>
      </c>
      <c r="O101" s="14">
        <v>16</v>
      </c>
      <c r="P101" s="14">
        <v>13</v>
      </c>
      <c r="Q101" s="14">
        <v>10</v>
      </c>
      <c r="R101" s="14">
        <v>27</v>
      </c>
      <c r="S101" s="14">
        <v>27</v>
      </c>
      <c r="T101" s="14">
        <v>16</v>
      </c>
      <c r="U101" s="14">
        <v>15</v>
      </c>
      <c r="V101" s="14">
        <v>15</v>
      </c>
      <c r="W101" s="14">
        <v>11</v>
      </c>
      <c r="X101" s="14">
        <v>17</v>
      </c>
      <c r="Y101" s="14">
        <v>22</v>
      </c>
      <c r="Z101" s="14">
        <v>14</v>
      </c>
      <c r="AA101" s="14">
        <v>17</v>
      </c>
      <c r="AB101" s="14">
        <v>19</v>
      </c>
      <c r="AC101" s="14">
        <v>13</v>
      </c>
      <c r="AD101" s="14">
        <v>12</v>
      </c>
      <c r="AE101" s="14">
        <v>8</v>
      </c>
      <c r="AF101" s="214"/>
      <c r="AG101" s="15">
        <f t="shared" si="2"/>
        <v>509</v>
      </c>
    </row>
    <row r="102" spans="1:33" ht="15.75" customHeight="1" x14ac:dyDescent="0.25">
      <c r="A102" s="71" t="s">
        <v>64</v>
      </c>
      <c r="B102" s="13">
        <v>13</v>
      </c>
      <c r="C102" s="14">
        <v>21</v>
      </c>
      <c r="D102" s="14">
        <v>22</v>
      </c>
      <c r="E102" s="14">
        <v>14</v>
      </c>
      <c r="F102" s="14">
        <v>16</v>
      </c>
      <c r="G102" s="14">
        <v>10</v>
      </c>
      <c r="H102" s="14">
        <v>18</v>
      </c>
      <c r="I102" s="14">
        <v>14</v>
      </c>
      <c r="J102" s="14">
        <v>17</v>
      </c>
      <c r="K102" s="14">
        <v>23</v>
      </c>
      <c r="L102" s="14">
        <v>29</v>
      </c>
      <c r="M102" s="14">
        <v>18</v>
      </c>
      <c r="N102" s="14">
        <v>15</v>
      </c>
      <c r="O102" s="14">
        <v>18</v>
      </c>
      <c r="P102" s="14">
        <v>14</v>
      </c>
      <c r="Q102" s="14">
        <v>17</v>
      </c>
      <c r="R102" s="14">
        <v>23</v>
      </c>
      <c r="S102" s="14">
        <v>28</v>
      </c>
      <c r="T102" s="14">
        <v>16</v>
      </c>
      <c r="U102" s="14">
        <v>13</v>
      </c>
      <c r="V102" s="14">
        <v>12</v>
      </c>
      <c r="W102" s="14">
        <v>7</v>
      </c>
      <c r="X102" s="14">
        <v>19</v>
      </c>
      <c r="Y102" s="14">
        <v>23</v>
      </c>
      <c r="Z102" s="14">
        <v>16</v>
      </c>
      <c r="AA102" s="14">
        <v>19</v>
      </c>
      <c r="AB102" s="14">
        <v>20</v>
      </c>
      <c r="AC102" s="14">
        <v>23</v>
      </c>
      <c r="AD102" s="14">
        <v>17</v>
      </c>
      <c r="AE102" s="14">
        <v>15</v>
      </c>
      <c r="AF102" s="214"/>
      <c r="AG102" s="15">
        <f t="shared" si="2"/>
        <v>530</v>
      </c>
    </row>
    <row r="103" spans="1:33" ht="15.75" customHeight="1" x14ac:dyDescent="0.25">
      <c r="A103" s="67" t="s">
        <v>65</v>
      </c>
      <c r="B103" s="13">
        <v>15</v>
      </c>
      <c r="C103" s="14">
        <v>10</v>
      </c>
      <c r="D103" s="14">
        <v>23</v>
      </c>
      <c r="E103" s="14">
        <v>25</v>
      </c>
      <c r="F103" s="14">
        <v>16</v>
      </c>
      <c r="G103" s="14">
        <v>19</v>
      </c>
      <c r="H103" s="14">
        <v>15</v>
      </c>
      <c r="I103" s="14">
        <v>18</v>
      </c>
      <c r="J103" s="14">
        <v>17</v>
      </c>
      <c r="K103" s="14">
        <v>17</v>
      </c>
      <c r="L103" s="14">
        <v>18</v>
      </c>
      <c r="M103" s="14">
        <v>10</v>
      </c>
      <c r="N103" s="14">
        <v>19</v>
      </c>
      <c r="O103" s="14">
        <v>10</v>
      </c>
      <c r="P103" s="14">
        <v>17</v>
      </c>
      <c r="Q103" s="14">
        <v>18</v>
      </c>
      <c r="R103" s="14">
        <v>14</v>
      </c>
      <c r="S103" s="14">
        <v>13</v>
      </c>
      <c r="T103" s="14">
        <v>11</v>
      </c>
      <c r="U103" s="14">
        <v>10</v>
      </c>
      <c r="V103" s="14">
        <v>16</v>
      </c>
      <c r="W103" s="14">
        <v>9</v>
      </c>
      <c r="X103" s="14">
        <v>13</v>
      </c>
      <c r="Y103" s="14">
        <v>15</v>
      </c>
      <c r="Z103" s="14">
        <v>17</v>
      </c>
      <c r="AA103" s="14">
        <v>21</v>
      </c>
      <c r="AB103" s="14">
        <v>12</v>
      </c>
      <c r="AC103" s="14">
        <v>11</v>
      </c>
      <c r="AD103" s="14">
        <v>10</v>
      </c>
      <c r="AE103" s="14">
        <v>9</v>
      </c>
      <c r="AF103" s="214"/>
      <c r="AG103" s="15">
        <f t="shared" si="2"/>
        <v>448</v>
      </c>
    </row>
    <row r="104" spans="1:33" ht="15.75" customHeight="1" x14ac:dyDescent="0.25">
      <c r="A104" s="67" t="s">
        <v>66</v>
      </c>
      <c r="B104" s="13">
        <v>12</v>
      </c>
      <c r="C104" s="14">
        <v>15</v>
      </c>
      <c r="D104" s="14">
        <v>15</v>
      </c>
      <c r="E104" s="14">
        <v>14</v>
      </c>
      <c r="F104" s="14">
        <v>9</v>
      </c>
      <c r="G104" s="14">
        <v>16</v>
      </c>
      <c r="H104" s="14">
        <v>10</v>
      </c>
      <c r="I104" s="14">
        <v>16</v>
      </c>
      <c r="J104" s="14">
        <v>13</v>
      </c>
      <c r="K104" s="14">
        <v>24</v>
      </c>
      <c r="L104" s="14">
        <v>14</v>
      </c>
      <c r="M104" s="14">
        <v>13</v>
      </c>
      <c r="N104" s="14">
        <v>13</v>
      </c>
      <c r="O104" s="14">
        <v>10</v>
      </c>
      <c r="P104" s="14">
        <v>12</v>
      </c>
      <c r="Q104" s="14">
        <v>15</v>
      </c>
      <c r="R104" s="14">
        <v>11</v>
      </c>
      <c r="S104" s="14">
        <v>17</v>
      </c>
      <c r="T104" s="14">
        <v>11</v>
      </c>
      <c r="U104" s="14">
        <v>15</v>
      </c>
      <c r="V104" s="14">
        <v>9</v>
      </c>
      <c r="W104" s="14">
        <v>10</v>
      </c>
      <c r="X104" s="14">
        <v>14</v>
      </c>
      <c r="Y104" s="14">
        <v>11</v>
      </c>
      <c r="Z104" s="14">
        <v>9</v>
      </c>
      <c r="AA104" s="14">
        <v>9</v>
      </c>
      <c r="AB104" s="14">
        <v>14</v>
      </c>
      <c r="AC104" s="14">
        <v>12</v>
      </c>
      <c r="AD104" s="14">
        <v>11</v>
      </c>
      <c r="AE104" s="14">
        <v>14</v>
      </c>
      <c r="AF104" s="214"/>
      <c r="AG104" s="15">
        <f t="shared" si="2"/>
        <v>388</v>
      </c>
    </row>
    <row r="105" spans="1:33" ht="15.75" customHeight="1" x14ac:dyDescent="0.25">
      <c r="A105" s="67" t="s">
        <v>67</v>
      </c>
      <c r="B105" s="13">
        <v>11</v>
      </c>
      <c r="C105" s="14">
        <v>16</v>
      </c>
      <c r="D105" s="14">
        <v>12</v>
      </c>
      <c r="E105" s="14">
        <v>12</v>
      </c>
      <c r="F105" s="14">
        <v>10</v>
      </c>
      <c r="G105" s="14">
        <v>8</v>
      </c>
      <c r="H105" s="14">
        <v>9</v>
      </c>
      <c r="I105" s="14">
        <v>11</v>
      </c>
      <c r="J105" s="14">
        <v>16</v>
      </c>
      <c r="K105" s="14">
        <v>9</v>
      </c>
      <c r="L105" s="14">
        <v>14</v>
      </c>
      <c r="M105" s="14">
        <v>9</v>
      </c>
      <c r="N105" s="14">
        <v>12</v>
      </c>
      <c r="O105" s="14">
        <v>10</v>
      </c>
      <c r="P105" s="14">
        <v>11</v>
      </c>
      <c r="Q105" s="14">
        <v>13</v>
      </c>
      <c r="R105" s="14">
        <v>13</v>
      </c>
      <c r="S105" s="14">
        <v>13</v>
      </c>
      <c r="T105" s="14">
        <v>13</v>
      </c>
      <c r="U105" s="14">
        <v>10</v>
      </c>
      <c r="V105" s="14">
        <v>16</v>
      </c>
      <c r="W105" s="14">
        <v>7</v>
      </c>
      <c r="X105" s="14">
        <v>11</v>
      </c>
      <c r="Y105" s="14">
        <v>19</v>
      </c>
      <c r="Z105" s="14">
        <v>18</v>
      </c>
      <c r="AA105" s="14">
        <v>9</v>
      </c>
      <c r="AB105" s="14">
        <v>11</v>
      </c>
      <c r="AC105" s="14">
        <v>13</v>
      </c>
      <c r="AD105" s="14">
        <v>17</v>
      </c>
      <c r="AE105" s="14">
        <v>9</v>
      </c>
      <c r="AF105" s="214"/>
      <c r="AG105" s="15">
        <f t="shared" si="2"/>
        <v>362</v>
      </c>
    </row>
    <row r="106" spans="1:33" ht="15.75" customHeight="1" x14ac:dyDescent="0.25">
      <c r="A106" s="67" t="s">
        <v>68</v>
      </c>
      <c r="B106" s="13">
        <v>9</v>
      </c>
      <c r="C106" s="14">
        <v>7</v>
      </c>
      <c r="D106" s="14">
        <v>15</v>
      </c>
      <c r="E106" s="14">
        <v>14</v>
      </c>
      <c r="F106" s="14">
        <v>7</v>
      </c>
      <c r="G106" s="14">
        <v>7</v>
      </c>
      <c r="H106" s="14">
        <v>6</v>
      </c>
      <c r="I106" s="14">
        <v>9</v>
      </c>
      <c r="J106" s="14">
        <v>15</v>
      </c>
      <c r="K106" s="14">
        <v>12</v>
      </c>
      <c r="L106" s="14">
        <v>17</v>
      </c>
      <c r="M106" s="14">
        <v>10</v>
      </c>
      <c r="N106" s="14">
        <v>13</v>
      </c>
      <c r="O106" s="14">
        <v>13</v>
      </c>
      <c r="P106" s="14">
        <v>6</v>
      </c>
      <c r="Q106" s="14">
        <v>13</v>
      </c>
      <c r="R106" s="14">
        <v>8</v>
      </c>
      <c r="S106" s="14">
        <v>8</v>
      </c>
      <c r="T106" s="14">
        <v>11</v>
      </c>
      <c r="U106" s="14">
        <v>18</v>
      </c>
      <c r="V106" s="14">
        <v>16</v>
      </c>
      <c r="W106" s="14">
        <v>11</v>
      </c>
      <c r="X106" s="14">
        <v>6</v>
      </c>
      <c r="Y106" s="14">
        <v>15</v>
      </c>
      <c r="Z106" s="14">
        <v>7</v>
      </c>
      <c r="AA106" s="14">
        <v>8</v>
      </c>
      <c r="AB106" s="14">
        <v>12</v>
      </c>
      <c r="AC106" s="14">
        <v>14</v>
      </c>
      <c r="AD106" s="14">
        <v>7</v>
      </c>
      <c r="AE106" s="14">
        <v>9</v>
      </c>
      <c r="AF106" s="214"/>
      <c r="AG106" s="15">
        <f t="shared" si="2"/>
        <v>323</v>
      </c>
    </row>
    <row r="107" spans="1:33" ht="15.75" customHeight="1" x14ac:dyDescent="0.25">
      <c r="A107" s="67" t="s">
        <v>69</v>
      </c>
      <c r="B107" s="13">
        <v>14</v>
      </c>
      <c r="C107" s="14">
        <v>12</v>
      </c>
      <c r="D107" s="14">
        <v>10</v>
      </c>
      <c r="E107" s="14">
        <v>8</v>
      </c>
      <c r="F107" s="14">
        <v>13</v>
      </c>
      <c r="G107" s="14">
        <v>8</v>
      </c>
      <c r="H107" s="14">
        <v>10</v>
      </c>
      <c r="I107" s="14">
        <v>11</v>
      </c>
      <c r="J107" s="14">
        <v>14</v>
      </c>
      <c r="K107" s="14">
        <v>13</v>
      </c>
      <c r="L107" s="14">
        <v>24</v>
      </c>
      <c r="M107" s="14">
        <v>16</v>
      </c>
      <c r="N107" s="14">
        <v>7</v>
      </c>
      <c r="O107" s="14">
        <v>10</v>
      </c>
      <c r="P107" s="14">
        <v>8</v>
      </c>
      <c r="Q107" s="14">
        <v>13</v>
      </c>
      <c r="R107" s="14">
        <v>8</v>
      </c>
      <c r="S107" s="14">
        <v>16</v>
      </c>
      <c r="T107" s="14">
        <v>14</v>
      </c>
      <c r="U107" s="14">
        <v>11</v>
      </c>
      <c r="V107" s="14">
        <v>13</v>
      </c>
      <c r="W107" s="14">
        <v>17</v>
      </c>
      <c r="X107" s="14">
        <v>17</v>
      </c>
      <c r="Y107" s="14">
        <v>12</v>
      </c>
      <c r="Z107" s="14">
        <v>14</v>
      </c>
      <c r="AA107" s="14">
        <v>18</v>
      </c>
      <c r="AB107" s="14">
        <v>6</v>
      </c>
      <c r="AC107" s="14">
        <v>14</v>
      </c>
      <c r="AD107" s="14">
        <v>10</v>
      </c>
      <c r="AE107" s="14">
        <v>10</v>
      </c>
      <c r="AF107" s="214"/>
      <c r="AG107" s="15">
        <f t="shared" si="2"/>
        <v>371</v>
      </c>
    </row>
    <row r="108" spans="1:33" ht="15.75" customHeight="1" x14ac:dyDescent="0.25">
      <c r="A108" s="67" t="s">
        <v>70</v>
      </c>
      <c r="B108" s="13">
        <v>22</v>
      </c>
      <c r="C108" s="14">
        <v>15</v>
      </c>
      <c r="D108" s="14">
        <v>13</v>
      </c>
      <c r="E108" s="14">
        <v>13</v>
      </c>
      <c r="F108" s="14">
        <v>26</v>
      </c>
      <c r="G108" s="14">
        <v>18</v>
      </c>
      <c r="H108" s="14">
        <v>19</v>
      </c>
      <c r="I108" s="14">
        <v>16</v>
      </c>
      <c r="J108" s="14">
        <v>17</v>
      </c>
      <c r="K108" s="14">
        <v>18</v>
      </c>
      <c r="L108" s="14">
        <v>15</v>
      </c>
      <c r="M108" s="14">
        <v>20</v>
      </c>
      <c r="N108" s="14">
        <v>9</v>
      </c>
      <c r="O108" s="14">
        <v>11</v>
      </c>
      <c r="P108" s="14">
        <v>10</v>
      </c>
      <c r="Q108" s="14">
        <v>10</v>
      </c>
      <c r="R108" s="14">
        <v>7</v>
      </c>
      <c r="S108" s="14">
        <v>14</v>
      </c>
      <c r="T108" s="14">
        <v>8</v>
      </c>
      <c r="U108" s="14">
        <v>15</v>
      </c>
      <c r="V108" s="14">
        <v>17</v>
      </c>
      <c r="W108" s="14">
        <v>7</v>
      </c>
      <c r="X108" s="14">
        <v>9</v>
      </c>
      <c r="Y108" s="14">
        <v>18</v>
      </c>
      <c r="Z108" s="14">
        <v>16</v>
      </c>
      <c r="AA108" s="14">
        <v>11</v>
      </c>
      <c r="AB108" s="14">
        <v>14</v>
      </c>
      <c r="AC108" s="14">
        <v>9</v>
      </c>
      <c r="AD108" s="14">
        <v>8</v>
      </c>
      <c r="AE108" s="14">
        <v>7</v>
      </c>
      <c r="AF108" s="214"/>
      <c r="AG108" s="15">
        <f t="shared" si="2"/>
        <v>412</v>
      </c>
    </row>
    <row r="109" spans="1:33" ht="15.75" customHeight="1" x14ac:dyDescent="0.25">
      <c r="A109" s="67" t="s">
        <v>71</v>
      </c>
      <c r="B109" s="13">
        <v>11</v>
      </c>
      <c r="C109" s="14">
        <v>10</v>
      </c>
      <c r="D109" s="14">
        <v>17</v>
      </c>
      <c r="E109" s="14">
        <v>12</v>
      </c>
      <c r="F109" s="14">
        <v>18</v>
      </c>
      <c r="G109" s="14">
        <v>11</v>
      </c>
      <c r="H109" s="14">
        <v>11</v>
      </c>
      <c r="I109" s="14">
        <v>14</v>
      </c>
      <c r="J109" s="14">
        <v>9</v>
      </c>
      <c r="K109" s="14">
        <v>16</v>
      </c>
      <c r="L109" s="14">
        <v>11</v>
      </c>
      <c r="M109" s="14">
        <v>8</v>
      </c>
      <c r="N109" s="14">
        <v>10</v>
      </c>
      <c r="O109" s="14">
        <v>10</v>
      </c>
      <c r="P109" s="14">
        <v>12</v>
      </c>
      <c r="Q109" s="14">
        <v>17</v>
      </c>
      <c r="R109" s="14">
        <v>12</v>
      </c>
      <c r="S109" s="14">
        <v>12</v>
      </c>
      <c r="T109" s="14">
        <v>12</v>
      </c>
      <c r="U109" s="14">
        <v>10</v>
      </c>
      <c r="V109" s="14">
        <v>14</v>
      </c>
      <c r="W109" s="14">
        <v>7</v>
      </c>
      <c r="X109" s="14">
        <v>13</v>
      </c>
      <c r="Y109" s="14">
        <v>14</v>
      </c>
      <c r="Z109" s="14">
        <v>13</v>
      </c>
      <c r="AA109" s="14">
        <v>21</v>
      </c>
      <c r="AB109" s="14">
        <v>8</v>
      </c>
      <c r="AC109" s="14">
        <v>12</v>
      </c>
      <c r="AD109" s="14">
        <v>11</v>
      </c>
      <c r="AE109" s="14">
        <v>8</v>
      </c>
      <c r="AF109" s="214"/>
      <c r="AG109" s="15">
        <f t="shared" si="2"/>
        <v>364</v>
      </c>
    </row>
    <row r="110" spans="1:33" ht="15.75" customHeight="1" x14ac:dyDescent="0.25">
      <c r="A110" s="67" t="s">
        <v>72</v>
      </c>
      <c r="B110" s="13">
        <v>19</v>
      </c>
      <c r="C110" s="14">
        <v>11</v>
      </c>
      <c r="D110" s="14">
        <v>11</v>
      </c>
      <c r="E110" s="14">
        <v>6</v>
      </c>
      <c r="F110" s="14">
        <v>12</v>
      </c>
      <c r="G110" s="14">
        <v>14</v>
      </c>
      <c r="H110" s="14">
        <v>14</v>
      </c>
      <c r="I110" s="14">
        <v>9</v>
      </c>
      <c r="J110" s="14">
        <v>7</v>
      </c>
      <c r="K110" s="14">
        <v>17</v>
      </c>
      <c r="L110" s="14">
        <v>14</v>
      </c>
      <c r="M110" s="14">
        <v>16</v>
      </c>
      <c r="N110" s="14">
        <v>10</v>
      </c>
      <c r="O110" s="14">
        <v>12</v>
      </c>
      <c r="P110" s="14">
        <v>12</v>
      </c>
      <c r="Q110" s="14">
        <v>8</v>
      </c>
      <c r="R110" s="14">
        <v>8</v>
      </c>
      <c r="S110" s="14">
        <v>13</v>
      </c>
      <c r="T110" s="14">
        <v>12</v>
      </c>
      <c r="U110" s="14">
        <v>9</v>
      </c>
      <c r="V110" s="14">
        <v>11</v>
      </c>
      <c r="W110" s="14">
        <v>7</v>
      </c>
      <c r="X110" s="14">
        <v>11</v>
      </c>
      <c r="Y110" s="14">
        <v>7</v>
      </c>
      <c r="Z110" s="14">
        <v>12</v>
      </c>
      <c r="AA110" s="14">
        <v>17</v>
      </c>
      <c r="AB110" s="14">
        <v>12</v>
      </c>
      <c r="AC110" s="14">
        <v>12</v>
      </c>
      <c r="AD110" s="14">
        <v>9</v>
      </c>
      <c r="AE110" s="14">
        <v>14</v>
      </c>
      <c r="AF110" s="214"/>
      <c r="AG110" s="15">
        <f t="shared" si="2"/>
        <v>346</v>
      </c>
    </row>
    <row r="111" spans="1:33" ht="15.75" customHeight="1" x14ac:dyDescent="0.25">
      <c r="A111" s="67" t="s">
        <v>73</v>
      </c>
      <c r="B111" s="13">
        <v>10</v>
      </c>
      <c r="C111" s="14">
        <v>12</v>
      </c>
      <c r="D111" s="14">
        <v>12</v>
      </c>
      <c r="E111" s="14">
        <v>8</v>
      </c>
      <c r="F111" s="14">
        <v>7</v>
      </c>
      <c r="G111" s="14">
        <v>9</v>
      </c>
      <c r="H111" s="14">
        <v>8</v>
      </c>
      <c r="I111" s="14">
        <v>14</v>
      </c>
      <c r="J111" s="14">
        <v>11</v>
      </c>
      <c r="K111" s="14">
        <v>10</v>
      </c>
      <c r="L111" s="14">
        <v>6</v>
      </c>
      <c r="M111" s="14">
        <v>14</v>
      </c>
      <c r="N111" s="14">
        <v>8</v>
      </c>
      <c r="O111" s="14">
        <v>12</v>
      </c>
      <c r="P111" s="14">
        <v>12</v>
      </c>
      <c r="Q111" s="14">
        <v>8</v>
      </c>
      <c r="R111" s="14">
        <v>18</v>
      </c>
      <c r="S111" s="14">
        <v>9</v>
      </c>
      <c r="T111" s="14">
        <v>11</v>
      </c>
      <c r="U111" s="14">
        <v>14</v>
      </c>
      <c r="V111" s="14">
        <v>4</v>
      </c>
      <c r="W111" s="14">
        <v>10</v>
      </c>
      <c r="X111" s="14">
        <v>12</v>
      </c>
      <c r="Y111" s="14">
        <v>9</v>
      </c>
      <c r="Z111" s="14">
        <v>10</v>
      </c>
      <c r="AA111" s="14">
        <v>9</v>
      </c>
      <c r="AB111" s="14">
        <v>11</v>
      </c>
      <c r="AC111" s="14">
        <v>12</v>
      </c>
      <c r="AD111" s="14">
        <v>14</v>
      </c>
      <c r="AE111" s="14">
        <v>8</v>
      </c>
      <c r="AF111" s="214"/>
      <c r="AG111" s="15">
        <f t="shared" si="2"/>
        <v>312</v>
      </c>
    </row>
    <row r="112" spans="1:33" ht="15.75" customHeight="1" x14ac:dyDescent="0.25">
      <c r="A112" s="67" t="s">
        <v>74</v>
      </c>
      <c r="B112" s="13">
        <v>13</v>
      </c>
      <c r="C112" s="14">
        <v>11</v>
      </c>
      <c r="D112" s="14">
        <v>10</v>
      </c>
      <c r="E112" s="14">
        <v>6</v>
      </c>
      <c r="F112" s="14">
        <v>6</v>
      </c>
      <c r="G112" s="14">
        <v>7</v>
      </c>
      <c r="H112" s="14">
        <v>13</v>
      </c>
      <c r="I112" s="14">
        <v>11</v>
      </c>
      <c r="J112" s="14">
        <v>6</v>
      </c>
      <c r="K112" s="14">
        <v>8</v>
      </c>
      <c r="L112" s="14">
        <v>9</v>
      </c>
      <c r="M112" s="14">
        <v>5</v>
      </c>
      <c r="N112" s="14">
        <v>8</v>
      </c>
      <c r="O112" s="14">
        <v>6</v>
      </c>
      <c r="P112" s="14">
        <v>3</v>
      </c>
      <c r="Q112" s="14">
        <v>5</v>
      </c>
      <c r="R112" s="14">
        <v>10</v>
      </c>
      <c r="S112" s="14">
        <v>3</v>
      </c>
      <c r="T112" s="14">
        <v>7</v>
      </c>
      <c r="U112" s="14">
        <v>11</v>
      </c>
      <c r="V112" s="14">
        <v>7</v>
      </c>
      <c r="W112" s="14">
        <v>7</v>
      </c>
      <c r="X112" s="14">
        <v>13</v>
      </c>
      <c r="Y112" s="14">
        <v>9</v>
      </c>
      <c r="Z112" s="14">
        <v>10</v>
      </c>
      <c r="AA112" s="14">
        <v>5</v>
      </c>
      <c r="AB112" s="14">
        <v>5</v>
      </c>
      <c r="AC112" s="14">
        <v>8</v>
      </c>
      <c r="AD112" s="14">
        <v>9</v>
      </c>
      <c r="AE112" s="14">
        <v>11</v>
      </c>
      <c r="AF112" s="214"/>
      <c r="AG112" s="15">
        <f t="shared" si="2"/>
        <v>242</v>
      </c>
    </row>
    <row r="113" spans="1:33" ht="15.75" customHeight="1" x14ac:dyDescent="0.25">
      <c r="A113" s="67" t="s">
        <v>75</v>
      </c>
      <c r="B113" s="13">
        <v>10</v>
      </c>
      <c r="C113" s="14">
        <v>9</v>
      </c>
      <c r="D113" s="14">
        <v>9</v>
      </c>
      <c r="E113" s="14">
        <v>10</v>
      </c>
      <c r="F113" s="14">
        <v>7</v>
      </c>
      <c r="G113" s="14">
        <v>3</v>
      </c>
      <c r="H113" s="14">
        <v>11</v>
      </c>
      <c r="I113" s="14">
        <v>2</v>
      </c>
      <c r="J113" s="14">
        <v>12</v>
      </c>
      <c r="K113" s="14">
        <v>7</v>
      </c>
      <c r="L113" s="14">
        <v>7</v>
      </c>
      <c r="M113" s="14">
        <v>8</v>
      </c>
      <c r="N113" s="14">
        <v>10</v>
      </c>
      <c r="O113" s="14">
        <v>4</v>
      </c>
      <c r="P113" s="14">
        <v>10</v>
      </c>
      <c r="Q113" s="14">
        <v>4</v>
      </c>
      <c r="R113" s="14">
        <v>9</v>
      </c>
      <c r="S113" s="14">
        <v>5</v>
      </c>
      <c r="T113" s="14">
        <v>4</v>
      </c>
      <c r="U113" s="14">
        <v>7</v>
      </c>
      <c r="V113" s="14">
        <v>3</v>
      </c>
      <c r="W113" s="14">
        <v>9</v>
      </c>
      <c r="X113" s="14">
        <v>5</v>
      </c>
      <c r="Y113" s="14">
        <v>7</v>
      </c>
      <c r="Z113" s="14">
        <v>5</v>
      </c>
      <c r="AA113" s="14">
        <v>6</v>
      </c>
      <c r="AB113" s="14">
        <v>9</v>
      </c>
      <c r="AC113" s="14">
        <v>2</v>
      </c>
      <c r="AD113" s="14">
        <v>12</v>
      </c>
      <c r="AE113" s="14">
        <v>3</v>
      </c>
      <c r="AF113" s="214"/>
      <c r="AG113" s="15">
        <f t="shared" si="2"/>
        <v>209</v>
      </c>
    </row>
    <row r="114" spans="1:33" ht="15.75" customHeight="1" x14ac:dyDescent="0.25">
      <c r="A114" s="67" t="s">
        <v>76</v>
      </c>
      <c r="B114" s="13">
        <v>14</v>
      </c>
      <c r="C114" s="14">
        <v>11</v>
      </c>
      <c r="D114" s="14">
        <v>9</v>
      </c>
      <c r="E114" s="14">
        <v>12</v>
      </c>
      <c r="F114" s="14">
        <v>5</v>
      </c>
      <c r="G114" s="14">
        <v>9</v>
      </c>
      <c r="H114" s="14">
        <v>6</v>
      </c>
      <c r="I114" s="14">
        <v>9</v>
      </c>
      <c r="J114" s="14">
        <v>9</v>
      </c>
      <c r="K114" s="14">
        <v>12</v>
      </c>
      <c r="L114" s="14">
        <v>10</v>
      </c>
      <c r="M114" s="14">
        <v>8</v>
      </c>
      <c r="N114" s="14">
        <v>15</v>
      </c>
      <c r="O114" s="14">
        <v>7</v>
      </c>
      <c r="P114" s="14">
        <v>8</v>
      </c>
      <c r="Q114" s="14">
        <v>4</v>
      </c>
      <c r="R114" s="14">
        <v>6</v>
      </c>
      <c r="S114" s="14">
        <v>5</v>
      </c>
      <c r="T114" s="14">
        <v>8</v>
      </c>
      <c r="U114" s="14">
        <v>10</v>
      </c>
      <c r="V114" s="14">
        <v>5</v>
      </c>
      <c r="W114" s="14">
        <v>9</v>
      </c>
      <c r="X114" s="14">
        <v>12</v>
      </c>
      <c r="Y114" s="14">
        <v>4</v>
      </c>
      <c r="Z114" s="14">
        <v>8</v>
      </c>
      <c r="AA114" s="14">
        <v>8</v>
      </c>
      <c r="AB114" s="14">
        <v>11</v>
      </c>
      <c r="AC114" s="14">
        <v>3</v>
      </c>
      <c r="AD114" s="14">
        <v>10</v>
      </c>
      <c r="AE114" s="14">
        <v>4</v>
      </c>
      <c r="AF114" s="214"/>
      <c r="AG114" s="15">
        <f t="shared" si="2"/>
        <v>251</v>
      </c>
    </row>
    <row r="115" spans="1:33" ht="15.75" customHeight="1" x14ac:dyDescent="0.25">
      <c r="A115" s="72"/>
      <c r="B115" s="37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224"/>
      <c r="AG115" s="15">
        <f t="shared" si="2"/>
        <v>0</v>
      </c>
    </row>
    <row r="116" spans="1:33" ht="15.75" customHeight="1" x14ac:dyDescent="0.25">
      <c r="A116" s="60" t="s">
        <v>77</v>
      </c>
      <c r="B116" s="61">
        <f t="shared" ref="B116:AF116" si="15">SUM(B117:B129)</f>
        <v>58</v>
      </c>
      <c r="C116" s="62">
        <f t="shared" si="15"/>
        <v>16</v>
      </c>
      <c r="D116" s="62">
        <f t="shared" si="15"/>
        <v>85</v>
      </c>
      <c r="E116" s="62">
        <f t="shared" si="15"/>
        <v>75</v>
      </c>
      <c r="F116" s="62">
        <f t="shared" si="15"/>
        <v>88</v>
      </c>
      <c r="G116" s="62">
        <f t="shared" si="15"/>
        <v>58</v>
      </c>
      <c r="H116" s="62">
        <f t="shared" si="15"/>
        <v>54</v>
      </c>
      <c r="I116" s="62">
        <f t="shared" si="15"/>
        <v>66</v>
      </c>
      <c r="J116" s="62">
        <f t="shared" si="15"/>
        <v>57</v>
      </c>
      <c r="K116" s="62">
        <f t="shared" si="15"/>
        <v>105</v>
      </c>
      <c r="L116" s="62">
        <f t="shared" si="15"/>
        <v>86</v>
      </c>
      <c r="M116" s="62">
        <f t="shared" si="15"/>
        <v>78</v>
      </c>
      <c r="N116" s="62">
        <f t="shared" si="15"/>
        <v>70</v>
      </c>
      <c r="O116" s="62">
        <f t="shared" si="15"/>
        <v>78</v>
      </c>
      <c r="P116" s="62">
        <f t="shared" si="15"/>
        <v>48</v>
      </c>
      <c r="Q116" s="62">
        <f t="shared" si="15"/>
        <v>43</v>
      </c>
      <c r="R116" s="62">
        <f t="shared" si="15"/>
        <v>80</v>
      </c>
      <c r="S116" s="62">
        <f t="shared" si="15"/>
        <v>80</v>
      </c>
      <c r="T116" s="62">
        <f t="shared" si="15"/>
        <v>57</v>
      </c>
      <c r="U116" s="62">
        <f t="shared" si="15"/>
        <v>83</v>
      </c>
      <c r="V116" s="62">
        <f t="shared" si="15"/>
        <v>60</v>
      </c>
      <c r="W116" s="62">
        <f t="shared" si="15"/>
        <v>62</v>
      </c>
      <c r="X116" s="62">
        <f t="shared" si="15"/>
        <v>61</v>
      </c>
      <c r="Y116" s="62">
        <f t="shared" si="15"/>
        <v>81</v>
      </c>
      <c r="Z116" s="62">
        <f t="shared" si="15"/>
        <v>87</v>
      </c>
      <c r="AA116" s="62">
        <f t="shared" si="15"/>
        <v>69</v>
      </c>
      <c r="AB116" s="62">
        <f t="shared" si="15"/>
        <v>75</v>
      </c>
      <c r="AC116" s="62">
        <f t="shared" si="15"/>
        <v>64</v>
      </c>
      <c r="AD116" s="62">
        <f t="shared" si="15"/>
        <v>62</v>
      </c>
      <c r="AE116" s="62">
        <f t="shared" si="15"/>
        <v>67</v>
      </c>
      <c r="AF116" s="221">
        <f t="shared" si="15"/>
        <v>0</v>
      </c>
      <c r="AG116" s="15">
        <f t="shared" si="2"/>
        <v>2053</v>
      </c>
    </row>
    <row r="117" spans="1:33" ht="15.75" customHeight="1" x14ac:dyDescent="0.25">
      <c r="A117" s="73" t="s">
        <v>78</v>
      </c>
      <c r="B117" s="13">
        <v>46</v>
      </c>
      <c r="C117" s="14">
        <v>6</v>
      </c>
      <c r="D117" s="14">
        <v>69</v>
      </c>
      <c r="E117" s="14">
        <v>61</v>
      </c>
      <c r="F117" s="14">
        <v>75</v>
      </c>
      <c r="G117" s="14">
        <v>44</v>
      </c>
      <c r="H117" s="14">
        <v>43</v>
      </c>
      <c r="I117" s="14">
        <v>46</v>
      </c>
      <c r="J117" s="14">
        <v>45</v>
      </c>
      <c r="K117" s="14">
        <v>76</v>
      </c>
      <c r="L117" s="14">
        <v>71</v>
      </c>
      <c r="M117" s="14">
        <v>64</v>
      </c>
      <c r="N117" s="14">
        <v>52</v>
      </c>
      <c r="O117" s="14">
        <v>56</v>
      </c>
      <c r="P117" s="14">
        <v>40</v>
      </c>
      <c r="Q117" s="14">
        <v>35</v>
      </c>
      <c r="R117" s="14">
        <v>60</v>
      </c>
      <c r="S117" s="14">
        <v>60</v>
      </c>
      <c r="T117" s="14">
        <v>44</v>
      </c>
      <c r="U117" s="14">
        <v>64</v>
      </c>
      <c r="V117" s="14">
        <v>42</v>
      </c>
      <c r="W117" s="14">
        <v>45</v>
      </c>
      <c r="X117" s="14">
        <v>48</v>
      </c>
      <c r="Y117" s="14">
        <v>68</v>
      </c>
      <c r="Z117" s="14">
        <v>67</v>
      </c>
      <c r="AA117" s="14">
        <v>57</v>
      </c>
      <c r="AB117" s="14">
        <v>60</v>
      </c>
      <c r="AC117" s="14">
        <v>50</v>
      </c>
      <c r="AD117" s="14">
        <v>44</v>
      </c>
      <c r="AE117" s="14">
        <v>54</v>
      </c>
      <c r="AF117" s="214"/>
      <c r="AG117" s="15">
        <f t="shared" si="2"/>
        <v>1592</v>
      </c>
    </row>
    <row r="118" spans="1:33" ht="19.5" hidden="1" customHeight="1" x14ac:dyDescent="0.25">
      <c r="A118" s="73" t="s">
        <v>79</v>
      </c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214"/>
      <c r="AG118" s="15">
        <f t="shared" si="2"/>
        <v>0</v>
      </c>
    </row>
    <row r="119" spans="1:33" ht="19.5" hidden="1" customHeight="1" x14ac:dyDescent="0.25">
      <c r="A119" s="73" t="s">
        <v>80</v>
      </c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214"/>
      <c r="AG119" s="15">
        <f t="shared" si="2"/>
        <v>0</v>
      </c>
    </row>
    <row r="120" spans="1:33" ht="19.5" hidden="1" customHeight="1" x14ac:dyDescent="0.25">
      <c r="A120" s="73" t="s">
        <v>81</v>
      </c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214"/>
      <c r="AG120" s="15">
        <f t="shared" si="2"/>
        <v>0</v>
      </c>
    </row>
    <row r="121" spans="1:33" ht="19.5" hidden="1" customHeight="1" x14ac:dyDescent="0.25">
      <c r="A121" s="73" t="s">
        <v>82</v>
      </c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214"/>
      <c r="AG121" s="15">
        <f t="shared" si="2"/>
        <v>0</v>
      </c>
    </row>
    <row r="122" spans="1:33" ht="19.5" hidden="1" customHeight="1" x14ac:dyDescent="0.25">
      <c r="A122" s="73" t="s">
        <v>83</v>
      </c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214"/>
      <c r="AG122" s="15">
        <f t="shared" si="2"/>
        <v>0</v>
      </c>
    </row>
    <row r="123" spans="1:33" ht="19.5" hidden="1" customHeight="1" x14ac:dyDescent="0.25">
      <c r="A123" s="73" t="s">
        <v>84</v>
      </c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214"/>
      <c r="AG123" s="15">
        <f t="shared" si="2"/>
        <v>0</v>
      </c>
    </row>
    <row r="124" spans="1:33" ht="19.5" hidden="1" customHeight="1" x14ac:dyDescent="0.25">
      <c r="A124" s="73" t="s">
        <v>85</v>
      </c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214"/>
      <c r="AG124" s="15">
        <f t="shared" si="2"/>
        <v>0</v>
      </c>
    </row>
    <row r="125" spans="1:33" ht="19.5" hidden="1" customHeight="1" x14ac:dyDescent="0.25">
      <c r="A125" s="12" t="s">
        <v>86</v>
      </c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214"/>
      <c r="AG125" s="15">
        <f t="shared" si="2"/>
        <v>0</v>
      </c>
    </row>
    <row r="126" spans="1:33" ht="19.5" hidden="1" customHeight="1" x14ac:dyDescent="0.25">
      <c r="A126" s="12" t="s">
        <v>87</v>
      </c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214"/>
      <c r="AG126" s="15">
        <f t="shared" si="2"/>
        <v>0</v>
      </c>
    </row>
    <row r="127" spans="1:33" ht="19.5" hidden="1" customHeight="1" x14ac:dyDescent="0.25">
      <c r="A127" s="12" t="s">
        <v>88</v>
      </c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214"/>
      <c r="AG127" s="15">
        <f t="shared" si="2"/>
        <v>0</v>
      </c>
    </row>
    <row r="128" spans="1:33" ht="19.5" hidden="1" customHeight="1" x14ac:dyDescent="0.25">
      <c r="A128" s="73" t="s">
        <v>89</v>
      </c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214"/>
      <c r="AG128" s="15">
        <f t="shared" si="2"/>
        <v>0</v>
      </c>
    </row>
    <row r="129" spans="1:35" ht="15.75" customHeight="1" x14ac:dyDescent="0.25">
      <c r="A129" s="74" t="s">
        <v>90</v>
      </c>
      <c r="B129" s="75">
        <v>12</v>
      </c>
      <c r="C129" s="76">
        <v>10</v>
      </c>
      <c r="D129" s="76">
        <v>16</v>
      </c>
      <c r="E129" s="76">
        <v>14</v>
      </c>
      <c r="F129" s="76">
        <v>13</v>
      </c>
      <c r="G129" s="76">
        <v>14</v>
      </c>
      <c r="H129" s="76">
        <v>11</v>
      </c>
      <c r="I129" s="76">
        <v>20</v>
      </c>
      <c r="J129" s="76">
        <v>12</v>
      </c>
      <c r="K129" s="76">
        <v>29</v>
      </c>
      <c r="L129" s="76">
        <v>15</v>
      </c>
      <c r="M129" s="76">
        <v>14</v>
      </c>
      <c r="N129" s="76">
        <v>18</v>
      </c>
      <c r="O129" s="76">
        <v>22</v>
      </c>
      <c r="P129" s="76">
        <v>8</v>
      </c>
      <c r="Q129" s="76">
        <v>8</v>
      </c>
      <c r="R129" s="76">
        <v>20</v>
      </c>
      <c r="S129" s="76">
        <v>20</v>
      </c>
      <c r="T129" s="76">
        <v>13</v>
      </c>
      <c r="U129" s="76">
        <v>19</v>
      </c>
      <c r="V129" s="76">
        <v>18</v>
      </c>
      <c r="W129" s="76">
        <v>17</v>
      </c>
      <c r="X129" s="76">
        <v>13</v>
      </c>
      <c r="Y129" s="76">
        <v>13</v>
      </c>
      <c r="Z129" s="76">
        <v>20</v>
      </c>
      <c r="AA129" s="76">
        <v>12</v>
      </c>
      <c r="AB129" s="76">
        <v>15</v>
      </c>
      <c r="AC129" s="76">
        <v>14</v>
      </c>
      <c r="AD129" s="76">
        <v>18</v>
      </c>
      <c r="AE129" s="76">
        <v>13</v>
      </c>
      <c r="AF129" s="225"/>
      <c r="AG129" s="15">
        <f t="shared" si="2"/>
        <v>461</v>
      </c>
    </row>
    <row r="130" spans="1:35" ht="15.75" customHeight="1" x14ac:dyDescent="0.25">
      <c r="A130" s="60" t="s">
        <v>91</v>
      </c>
      <c r="B130" s="61">
        <f t="shared" ref="B130:AF130" si="16">SUM(B131:B143)</f>
        <v>228</v>
      </c>
      <c r="C130" s="62">
        <f t="shared" si="16"/>
        <v>218</v>
      </c>
      <c r="D130" s="62">
        <f t="shared" si="16"/>
        <v>259</v>
      </c>
      <c r="E130" s="62">
        <f t="shared" si="16"/>
        <v>216</v>
      </c>
      <c r="F130" s="62">
        <f t="shared" si="16"/>
        <v>220</v>
      </c>
      <c r="G130" s="62">
        <f t="shared" si="16"/>
        <v>201</v>
      </c>
      <c r="H130" s="62">
        <f t="shared" si="16"/>
        <v>196</v>
      </c>
      <c r="I130" s="62">
        <f t="shared" si="16"/>
        <v>212</v>
      </c>
      <c r="J130" s="62">
        <f t="shared" si="16"/>
        <v>213</v>
      </c>
      <c r="K130" s="62">
        <f t="shared" si="16"/>
        <v>248</v>
      </c>
      <c r="L130" s="62">
        <f t="shared" si="16"/>
        <v>256</v>
      </c>
      <c r="M130" s="62">
        <f t="shared" si="16"/>
        <v>216</v>
      </c>
      <c r="N130" s="62">
        <f t="shared" si="16"/>
        <v>216</v>
      </c>
      <c r="O130" s="62">
        <f t="shared" si="16"/>
        <v>193</v>
      </c>
      <c r="P130" s="62">
        <f t="shared" si="16"/>
        <v>185</v>
      </c>
      <c r="Q130" s="62">
        <f t="shared" si="16"/>
        <v>202</v>
      </c>
      <c r="R130" s="62">
        <f t="shared" si="16"/>
        <v>227</v>
      </c>
      <c r="S130" s="62">
        <f t="shared" si="16"/>
        <v>243</v>
      </c>
      <c r="T130" s="62">
        <f t="shared" si="16"/>
        <v>230</v>
      </c>
      <c r="U130" s="62">
        <f t="shared" si="16"/>
        <v>234</v>
      </c>
      <c r="V130" s="62">
        <f t="shared" si="16"/>
        <v>207</v>
      </c>
      <c r="W130" s="62">
        <f t="shared" si="16"/>
        <v>165</v>
      </c>
      <c r="X130" s="62">
        <f t="shared" si="16"/>
        <v>230</v>
      </c>
      <c r="Y130" s="62">
        <f t="shared" si="16"/>
        <v>265</v>
      </c>
      <c r="Z130" s="62">
        <f t="shared" si="16"/>
        <v>226</v>
      </c>
      <c r="AA130" s="62">
        <f t="shared" si="16"/>
        <v>238</v>
      </c>
      <c r="AB130" s="62">
        <f t="shared" si="16"/>
        <v>239</v>
      </c>
      <c r="AC130" s="62">
        <f t="shared" si="16"/>
        <v>211</v>
      </c>
      <c r="AD130" s="62">
        <f t="shared" si="16"/>
        <v>214</v>
      </c>
      <c r="AE130" s="62">
        <f t="shared" si="16"/>
        <v>196</v>
      </c>
      <c r="AF130" s="221">
        <f t="shared" si="16"/>
        <v>0</v>
      </c>
      <c r="AG130" s="22">
        <f t="shared" si="2"/>
        <v>6604</v>
      </c>
      <c r="AH130" s="77" t="str">
        <f>IF(AG130&lt;&gt;AG93,"*","")</f>
        <v/>
      </c>
    </row>
    <row r="131" spans="1:35" ht="15.75" customHeight="1" x14ac:dyDescent="0.25">
      <c r="A131" s="73" t="s">
        <v>78</v>
      </c>
      <c r="B131" s="13">
        <v>44</v>
      </c>
      <c r="C131" s="14">
        <v>6</v>
      </c>
      <c r="D131" s="14">
        <v>61</v>
      </c>
      <c r="E131" s="14">
        <v>56</v>
      </c>
      <c r="F131" s="14">
        <v>60</v>
      </c>
      <c r="G131" s="14">
        <v>37</v>
      </c>
      <c r="H131" s="14">
        <v>43</v>
      </c>
      <c r="I131" s="14">
        <v>44</v>
      </c>
      <c r="J131" s="14">
        <v>44</v>
      </c>
      <c r="K131" s="14">
        <v>54</v>
      </c>
      <c r="L131" s="14">
        <v>61</v>
      </c>
      <c r="M131" s="14">
        <v>51</v>
      </c>
      <c r="N131" s="14">
        <v>41</v>
      </c>
      <c r="O131" s="14">
        <v>42</v>
      </c>
      <c r="P131" s="14">
        <v>38</v>
      </c>
      <c r="Q131" s="14">
        <v>35</v>
      </c>
      <c r="R131" s="14">
        <v>52</v>
      </c>
      <c r="S131" s="14">
        <v>58</v>
      </c>
      <c r="T131" s="14">
        <v>38</v>
      </c>
      <c r="U131" s="14">
        <v>56</v>
      </c>
      <c r="V131" s="14">
        <v>36</v>
      </c>
      <c r="W131" s="14">
        <v>39</v>
      </c>
      <c r="X131" s="14">
        <v>47</v>
      </c>
      <c r="Y131" s="14">
        <v>49</v>
      </c>
      <c r="Z131" s="14">
        <v>55</v>
      </c>
      <c r="AA131" s="14">
        <v>50</v>
      </c>
      <c r="AB131" s="14">
        <v>46</v>
      </c>
      <c r="AC131" s="14">
        <v>47</v>
      </c>
      <c r="AD131" s="14">
        <v>43</v>
      </c>
      <c r="AE131" s="14">
        <v>43</v>
      </c>
      <c r="AF131" s="214"/>
      <c r="AG131" s="15">
        <f t="shared" si="2"/>
        <v>1376</v>
      </c>
    </row>
    <row r="132" spans="1:35" ht="15.75" customHeight="1" x14ac:dyDescent="0.25">
      <c r="A132" s="73" t="s">
        <v>79</v>
      </c>
      <c r="B132" s="13">
        <v>12</v>
      </c>
      <c r="C132" s="14">
        <v>2</v>
      </c>
      <c r="D132" s="14">
        <v>9</v>
      </c>
      <c r="E132" s="14">
        <v>9</v>
      </c>
      <c r="F132" s="14">
        <v>8</v>
      </c>
      <c r="G132" s="14">
        <v>11</v>
      </c>
      <c r="H132" s="14">
        <v>8</v>
      </c>
      <c r="I132" s="14">
        <v>6</v>
      </c>
      <c r="J132" s="14">
        <v>16</v>
      </c>
      <c r="K132" s="14">
        <v>17</v>
      </c>
      <c r="L132" s="14">
        <v>10</v>
      </c>
      <c r="M132" s="14">
        <v>9</v>
      </c>
      <c r="N132" s="14">
        <v>6</v>
      </c>
      <c r="O132" s="14">
        <v>12</v>
      </c>
      <c r="P132" s="14">
        <v>3</v>
      </c>
      <c r="Q132" s="14">
        <v>9</v>
      </c>
      <c r="R132" s="14">
        <v>11</v>
      </c>
      <c r="S132" s="14">
        <v>13</v>
      </c>
      <c r="T132" s="14">
        <v>14</v>
      </c>
      <c r="U132" s="14">
        <v>9</v>
      </c>
      <c r="V132" s="14">
        <v>3</v>
      </c>
      <c r="W132" s="14">
        <v>2</v>
      </c>
      <c r="X132" s="14">
        <v>10</v>
      </c>
      <c r="Y132" s="14">
        <v>9</v>
      </c>
      <c r="Z132" s="14">
        <v>8</v>
      </c>
      <c r="AA132" s="14">
        <v>11</v>
      </c>
      <c r="AB132" s="14">
        <v>10</v>
      </c>
      <c r="AC132" s="14">
        <v>8</v>
      </c>
      <c r="AD132" s="14">
        <v>7</v>
      </c>
      <c r="AE132" s="14">
        <v>9</v>
      </c>
      <c r="AF132" s="214"/>
      <c r="AG132" s="15">
        <f t="shared" si="2"/>
        <v>271</v>
      </c>
    </row>
    <row r="133" spans="1:35" ht="15.75" customHeight="1" x14ac:dyDescent="0.25">
      <c r="A133" s="73" t="s">
        <v>80</v>
      </c>
      <c r="B133" s="13">
        <v>12</v>
      </c>
      <c r="C133" s="14">
        <v>1</v>
      </c>
      <c r="D133" s="14">
        <v>8</v>
      </c>
      <c r="E133" s="14">
        <v>16</v>
      </c>
      <c r="F133" s="14">
        <v>13</v>
      </c>
      <c r="G133" s="14">
        <v>10</v>
      </c>
      <c r="H133" s="14">
        <v>8</v>
      </c>
      <c r="I133" s="14">
        <v>9</v>
      </c>
      <c r="J133" s="14">
        <v>10</v>
      </c>
      <c r="K133" s="14">
        <v>10</v>
      </c>
      <c r="L133" s="14">
        <v>16</v>
      </c>
      <c r="M133" s="14">
        <v>12</v>
      </c>
      <c r="N133" s="14">
        <v>14</v>
      </c>
      <c r="O133" s="14">
        <v>15</v>
      </c>
      <c r="P133" s="14">
        <v>5</v>
      </c>
      <c r="Q133" s="14">
        <v>14</v>
      </c>
      <c r="R133" s="14">
        <v>7</v>
      </c>
      <c r="S133" s="14">
        <v>18</v>
      </c>
      <c r="T133" s="14">
        <v>11</v>
      </c>
      <c r="U133" s="14">
        <v>9</v>
      </c>
      <c r="V133" s="14">
        <v>11</v>
      </c>
      <c r="W133" s="14">
        <v>6</v>
      </c>
      <c r="X133" s="14">
        <v>11</v>
      </c>
      <c r="Y133" s="14">
        <v>15</v>
      </c>
      <c r="Z133" s="14">
        <v>15</v>
      </c>
      <c r="AA133" s="14">
        <v>15</v>
      </c>
      <c r="AB133" s="14">
        <v>12</v>
      </c>
      <c r="AC133" s="14">
        <v>9</v>
      </c>
      <c r="AD133" s="14">
        <v>11</v>
      </c>
      <c r="AE133" s="14">
        <v>15</v>
      </c>
      <c r="AF133" s="214"/>
      <c r="AG133" s="15">
        <f t="shared" si="2"/>
        <v>338</v>
      </c>
    </row>
    <row r="134" spans="1:35" ht="15.75" customHeight="1" x14ac:dyDescent="0.25">
      <c r="A134" s="73" t="s">
        <v>81</v>
      </c>
      <c r="B134" s="13">
        <v>14</v>
      </c>
      <c r="C134" s="14">
        <v>2</v>
      </c>
      <c r="D134" s="14">
        <v>17</v>
      </c>
      <c r="E134" s="14">
        <v>11</v>
      </c>
      <c r="F134" s="14">
        <v>16</v>
      </c>
      <c r="G134" s="14">
        <v>17</v>
      </c>
      <c r="H134" s="14">
        <v>9</v>
      </c>
      <c r="I134" s="14">
        <v>7</v>
      </c>
      <c r="J134" s="14">
        <v>9</v>
      </c>
      <c r="K134" s="14">
        <v>14</v>
      </c>
      <c r="L134" s="14">
        <v>10</v>
      </c>
      <c r="M134" s="14">
        <v>14</v>
      </c>
      <c r="N134" s="14">
        <v>7</v>
      </c>
      <c r="O134" s="14">
        <v>10</v>
      </c>
      <c r="P134" s="14">
        <v>5</v>
      </c>
      <c r="Q134" s="14">
        <v>9</v>
      </c>
      <c r="R134" s="14">
        <v>14</v>
      </c>
      <c r="S134" s="14">
        <v>17</v>
      </c>
      <c r="T134" s="14">
        <v>9</v>
      </c>
      <c r="U134" s="14">
        <v>12</v>
      </c>
      <c r="V134" s="14">
        <v>12</v>
      </c>
      <c r="W134" s="14">
        <v>8</v>
      </c>
      <c r="X134" s="14">
        <v>14</v>
      </c>
      <c r="Y134" s="14">
        <v>22</v>
      </c>
      <c r="Z134" s="14">
        <v>10</v>
      </c>
      <c r="AA134" s="14">
        <v>11</v>
      </c>
      <c r="AB134" s="14">
        <v>13</v>
      </c>
      <c r="AC134" s="14">
        <v>17</v>
      </c>
      <c r="AD134" s="14">
        <f>8+6</f>
        <v>14</v>
      </c>
      <c r="AE134" s="14">
        <v>8</v>
      </c>
      <c r="AF134" s="214"/>
      <c r="AG134" s="15">
        <f t="shared" si="2"/>
        <v>352</v>
      </c>
    </row>
    <row r="135" spans="1:35" ht="15.75" customHeight="1" x14ac:dyDescent="0.25">
      <c r="A135" s="73" t="s">
        <v>82</v>
      </c>
      <c r="B135" s="13">
        <v>9</v>
      </c>
      <c r="C135" s="14">
        <v>1</v>
      </c>
      <c r="D135" s="14">
        <v>10</v>
      </c>
      <c r="E135" s="14">
        <v>14</v>
      </c>
      <c r="F135" s="14">
        <v>18</v>
      </c>
      <c r="G135" s="14">
        <v>9</v>
      </c>
      <c r="H135" s="14">
        <v>7</v>
      </c>
      <c r="I135" s="14">
        <v>13</v>
      </c>
      <c r="J135" s="14">
        <v>11</v>
      </c>
      <c r="K135" s="14">
        <v>16</v>
      </c>
      <c r="L135" s="14">
        <v>14</v>
      </c>
      <c r="M135" s="14">
        <v>13</v>
      </c>
      <c r="N135" s="14">
        <v>13</v>
      </c>
      <c r="O135" s="14">
        <v>13</v>
      </c>
      <c r="P135" s="14">
        <v>14</v>
      </c>
      <c r="Q135" s="14">
        <v>9</v>
      </c>
      <c r="R135" s="14">
        <v>13</v>
      </c>
      <c r="S135" s="14">
        <v>17</v>
      </c>
      <c r="T135" s="14">
        <v>12</v>
      </c>
      <c r="U135" s="14">
        <v>15</v>
      </c>
      <c r="V135" s="14">
        <v>11</v>
      </c>
      <c r="W135" s="14">
        <v>12</v>
      </c>
      <c r="X135" s="14">
        <v>15</v>
      </c>
      <c r="Y135" s="14">
        <v>22</v>
      </c>
      <c r="Z135" s="14">
        <v>15</v>
      </c>
      <c r="AA135" s="14">
        <v>13</v>
      </c>
      <c r="AB135" s="14">
        <v>13</v>
      </c>
      <c r="AC135" s="14">
        <v>11</v>
      </c>
      <c r="AD135" s="14">
        <v>11</v>
      </c>
      <c r="AE135" s="14">
        <v>19</v>
      </c>
      <c r="AF135" s="214"/>
      <c r="AG135" s="15">
        <f t="shared" si="2"/>
        <v>383</v>
      </c>
    </row>
    <row r="136" spans="1:35" ht="15.75" customHeight="1" x14ac:dyDescent="0.25">
      <c r="A136" s="73" t="s">
        <v>83</v>
      </c>
      <c r="B136" s="13">
        <v>114</v>
      </c>
      <c r="C136" s="14">
        <v>184</v>
      </c>
      <c r="D136" s="14">
        <v>111</v>
      </c>
      <c r="E136" s="14">
        <v>81</v>
      </c>
      <c r="F136" s="14">
        <v>76</v>
      </c>
      <c r="G136" s="14">
        <v>85</v>
      </c>
      <c r="H136" s="14">
        <v>94</v>
      </c>
      <c r="I136" s="14">
        <v>91</v>
      </c>
      <c r="J136" s="14">
        <v>93</v>
      </c>
      <c r="K136" s="14">
        <v>88</v>
      </c>
      <c r="L136" s="14">
        <v>108</v>
      </c>
      <c r="M136" s="14">
        <v>80</v>
      </c>
      <c r="N136" s="14">
        <v>97</v>
      </c>
      <c r="O136" s="14">
        <v>69</v>
      </c>
      <c r="P136" s="14">
        <v>94</v>
      </c>
      <c r="Q136" s="14">
        <v>99</v>
      </c>
      <c r="R136" s="14">
        <v>91</v>
      </c>
      <c r="S136" s="14">
        <v>86</v>
      </c>
      <c r="T136" s="14">
        <v>115</v>
      </c>
      <c r="U136" s="14">
        <v>102</v>
      </c>
      <c r="V136" s="14">
        <v>89</v>
      </c>
      <c r="W136" s="14">
        <v>65</v>
      </c>
      <c r="X136" s="14">
        <v>108</v>
      </c>
      <c r="Y136" s="14">
        <v>112</v>
      </c>
      <c r="Z136" s="14">
        <v>91</v>
      </c>
      <c r="AA136" s="14">
        <v>105</v>
      </c>
      <c r="AB136" s="14">
        <v>116</v>
      </c>
      <c r="AC136" s="14">
        <v>87</v>
      </c>
      <c r="AD136" s="14">
        <v>89</v>
      </c>
      <c r="AE136" s="14">
        <v>74</v>
      </c>
      <c r="AF136" s="214"/>
      <c r="AG136" s="15">
        <f t="shared" si="2"/>
        <v>2894</v>
      </c>
    </row>
    <row r="137" spans="1:35" ht="15.75" customHeight="1" x14ac:dyDescent="0.25">
      <c r="A137" s="73" t="s">
        <v>84</v>
      </c>
      <c r="B137" s="13">
        <v>3</v>
      </c>
      <c r="C137" s="14">
        <v>0</v>
      </c>
      <c r="D137" s="14">
        <v>3</v>
      </c>
      <c r="E137" s="14">
        <v>7</v>
      </c>
      <c r="F137" s="14">
        <v>8</v>
      </c>
      <c r="G137" s="14">
        <v>8</v>
      </c>
      <c r="H137" s="14">
        <v>9</v>
      </c>
      <c r="I137" s="14">
        <v>9</v>
      </c>
      <c r="J137" s="14">
        <v>5</v>
      </c>
      <c r="K137" s="14">
        <v>10</v>
      </c>
      <c r="L137" s="14">
        <v>7</v>
      </c>
      <c r="M137" s="14">
        <v>9</v>
      </c>
      <c r="N137" s="14">
        <v>6</v>
      </c>
      <c r="O137" s="14">
        <v>4</v>
      </c>
      <c r="P137" s="14">
        <v>4</v>
      </c>
      <c r="Q137" s="14">
        <v>3</v>
      </c>
      <c r="R137" s="14">
        <v>8</v>
      </c>
      <c r="S137" s="14">
        <v>7</v>
      </c>
      <c r="T137" s="14">
        <v>4</v>
      </c>
      <c r="U137" s="14">
        <v>4</v>
      </c>
      <c r="V137" s="14">
        <v>8</v>
      </c>
      <c r="W137" s="14">
        <v>5</v>
      </c>
      <c r="X137" s="14">
        <v>1</v>
      </c>
      <c r="Y137" s="14">
        <v>3</v>
      </c>
      <c r="Z137" s="14">
        <v>4</v>
      </c>
      <c r="AA137" s="14">
        <v>6</v>
      </c>
      <c r="AB137" s="14">
        <v>7</v>
      </c>
      <c r="AC137" s="14">
        <v>4</v>
      </c>
      <c r="AD137" s="14">
        <v>4</v>
      </c>
      <c r="AE137" s="14">
        <v>2</v>
      </c>
      <c r="AF137" s="214"/>
      <c r="AG137" s="15">
        <f t="shared" si="2"/>
        <v>162</v>
      </c>
    </row>
    <row r="138" spans="1:35" ht="15.75" customHeight="1" x14ac:dyDescent="0.25">
      <c r="A138" s="73" t="s">
        <v>85</v>
      </c>
      <c r="B138" s="13">
        <v>1</v>
      </c>
      <c r="C138" s="14">
        <v>0</v>
      </c>
      <c r="D138" s="14">
        <v>4</v>
      </c>
      <c r="E138" s="14">
        <v>3</v>
      </c>
      <c r="F138" s="14">
        <v>2</v>
      </c>
      <c r="G138" s="14">
        <v>4</v>
      </c>
      <c r="H138" s="14">
        <v>2</v>
      </c>
      <c r="I138" s="14">
        <v>2</v>
      </c>
      <c r="J138" s="14">
        <v>3</v>
      </c>
      <c r="K138" s="14">
        <v>2</v>
      </c>
      <c r="L138" s="14">
        <v>3</v>
      </c>
      <c r="M138" s="14">
        <v>3</v>
      </c>
      <c r="N138" s="14">
        <v>5</v>
      </c>
      <c r="O138" s="14">
        <v>1</v>
      </c>
      <c r="P138" s="14">
        <v>1</v>
      </c>
      <c r="Q138" s="14">
        <v>2</v>
      </c>
      <c r="R138" s="14">
        <v>1</v>
      </c>
      <c r="S138" s="14">
        <v>3</v>
      </c>
      <c r="T138" s="14">
        <v>1</v>
      </c>
      <c r="U138" s="14">
        <v>4</v>
      </c>
      <c r="V138" s="14">
        <v>1</v>
      </c>
      <c r="W138" s="14">
        <v>0</v>
      </c>
      <c r="X138" s="14">
        <v>3</v>
      </c>
      <c r="Y138" s="14">
        <v>2</v>
      </c>
      <c r="Z138" s="14">
        <v>1</v>
      </c>
      <c r="AA138" s="14">
        <v>2</v>
      </c>
      <c r="AB138" s="14">
        <v>1</v>
      </c>
      <c r="AC138" s="14">
        <v>5</v>
      </c>
      <c r="AD138" s="14">
        <v>6</v>
      </c>
      <c r="AE138" s="14">
        <v>0</v>
      </c>
      <c r="AF138" s="214"/>
      <c r="AG138" s="15">
        <f t="shared" si="2"/>
        <v>68</v>
      </c>
    </row>
    <row r="139" spans="1:35" ht="15.75" customHeight="1" x14ac:dyDescent="0.25">
      <c r="A139" s="12" t="s">
        <v>86</v>
      </c>
      <c r="B139" s="13">
        <v>4</v>
      </c>
      <c r="C139" s="14">
        <v>4</v>
      </c>
      <c r="D139" s="14">
        <v>3</v>
      </c>
      <c r="E139" s="14">
        <v>2</v>
      </c>
      <c r="F139" s="14">
        <v>1</v>
      </c>
      <c r="G139" s="14">
        <v>0</v>
      </c>
      <c r="H139" s="14">
        <v>1</v>
      </c>
      <c r="I139" s="14">
        <v>2</v>
      </c>
      <c r="J139" s="14">
        <v>2</v>
      </c>
      <c r="K139" s="14">
        <v>3</v>
      </c>
      <c r="L139" s="14">
        <v>1</v>
      </c>
      <c r="M139" s="14">
        <v>2</v>
      </c>
      <c r="N139" s="14">
        <v>3</v>
      </c>
      <c r="O139" s="14">
        <v>3</v>
      </c>
      <c r="P139" s="14">
        <v>3</v>
      </c>
      <c r="Q139" s="14">
        <v>4</v>
      </c>
      <c r="R139" s="14">
        <v>3</v>
      </c>
      <c r="S139" s="14">
        <v>5</v>
      </c>
      <c r="T139" s="14">
        <v>1</v>
      </c>
      <c r="U139" s="14">
        <v>1</v>
      </c>
      <c r="V139" s="14">
        <v>8</v>
      </c>
      <c r="W139" s="14">
        <v>2</v>
      </c>
      <c r="X139" s="14">
        <v>1</v>
      </c>
      <c r="Y139" s="14">
        <v>4</v>
      </c>
      <c r="Z139" s="14">
        <v>2</v>
      </c>
      <c r="AA139" s="14">
        <v>4</v>
      </c>
      <c r="AB139" s="14">
        <v>2</v>
      </c>
      <c r="AC139" s="14">
        <v>1</v>
      </c>
      <c r="AD139" s="14">
        <v>2</v>
      </c>
      <c r="AE139" s="14">
        <v>4</v>
      </c>
      <c r="AF139" s="214"/>
      <c r="AG139" s="15">
        <f t="shared" si="2"/>
        <v>78</v>
      </c>
    </row>
    <row r="140" spans="1:35" ht="15.75" customHeight="1" x14ac:dyDescent="0.25">
      <c r="A140" s="12" t="s">
        <v>87</v>
      </c>
      <c r="B140" s="13">
        <v>1</v>
      </c>
      <c r="C140" s="14">
        <v>2</v>
      </c>
      <c r="D140" s="14">
        <v>3</v>
      </c>
      <c r="E140" s="14">
        <v>2</v>
      </c>
      <c r="F140" s="14">
        <v>1</v>
      </c>
      <c r="G140" s="14">
        <v>1</v>
      </c>
      <c r="H140" s="14">
        <v>0</v>
      </c>
      <c r="I140" s="14">
        <v>0</v>
      </c>
      <c r="J140" s="14">
        <v>1</v>
      </c>
      <c r="K140" s="14">
        <v>2</v>
      </c>
      <c r="L140" s="14">
        <v>4</v>
      </c>
      <c r="M140" s="14">
        <v>1</v>
      </c>
      <c r="N140" s="14">
        <v>1</v>
      </c>
      <c r="O140" s="14">
        <v>1</v>
      </c>
      <c r="P140" s="14">
        <v>5</v>
      </c>
      <c r="Q140" s="14">
        <v>2</v>
      </c>
      <c r="R140" s="14">
        <v>3</v>
      </c>
      <c r="S140" s="14">
        <v>1</v>
      </c>
      <c r="T140" s="14">
        <v>0</v>
      </c>
      <c r="U140" s="14">
        <v>1</v>
      </c>
      <c r="V140" s="14">
        <v>1</v>
      </c>
      <c r="W140" s="14">
        <v>2</v>
      </c>
      <c r="X140" s="14">
        <v>0</v>
      </c>
      <c r="Y140" s="14">
        <v>3</v>
      </c>
      <c r="Z140" s="14">
        <v>0</v>
      </c>
      <c r="AA140" s="14">
        <v>1</v>
      </c>
      <c r="AB140" s="14">
        <v>0</v>
      </c>
      <c r="AC140" s="14">
        <v>1</v>
      </c>
      <c r="AD140" s="14">
        <v>2</v>
      </c>
      <c r="AE140" s="14">
        <v>0</v>
      </c>
      <c r="AF140" s="214"/>
      <c r="AG140" s="15">
        <f t="shared" si="2"/>
        <v>42</v>
      </c>
    </row>
    <row r="141" spans="1:35" ht="15.75" customHeight="1" x14ac:dyDescent="0.25">
      <c r="A141" s="12" t="s">
        <v>88</v>
      </c>
      <c r="B141" s="13">
        <v>0</v>
      </c>
      <c r="C141" s="14">
        <v>1</v>
      </c>
      <c r="D141" s="14">
        <v>2</v>
      </c>
      <c r="E141" s="14">
        <v>0</v>
      </c>
      <c r="F141" s="14">
        <v>0</v>
      </c>
      <c r="G141" s="14">
        <v>1</v>
      </c>
      <c r="H141" s="14">
        <v>0</v>
      </c>
      <c r="I141" s="14">
        <v>0</v>
      </c>
      <c r="J141" s="14">
        <v>1</v>
      </c>
      <c r="K141" s="14">
        <v>0</v>
      </c>
      <c r="L141" s="14">
        <v>0</v>
      </c>
      <c r="M141" s="14">
        <v>2</v>
      </c>
      <c r="N141" s="14">
        <v>0</v>
      </c>
      <c r="O141" s="14">
        <v>0</v>
      </c>
      <c r="P141" s="14">
        <v>2</v>
      </c>
      <c r="Q141" s="14">
        <v>0</v>
      </c>
      <c r="R141" s="14">
        <v>1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1</v>
      </c>
      <c r="AB141" s="14">
        <v>0</v>
      </c>
      <c r="AC141" s="14">
        <v>1</v>
      </c>
      <c r="AD141" s="14">
        <v>0</v>
      </c>
      <c r="AE141" s="14">
        <v>1</v>
      </c>
      <c r="AF141" s="214"/>
      <c r="AG141" s="15">
        <f t="shared" si="2"/>
        <v>13</v>
      </c>
    </row>
    <row r="142" spans="1:35" ht="15.75" customHeight="1" x14ac:dyDescent="0.25">
      <c r="A142" s="73" t="s">
        <v>89</v>
      </c>
      <c r="B142" s="13">
        <v>3</v>
      </c>
      <c r="C142" s="14">
        <v>6</v>
      </c>
      <c r="D142" s="14">
        <f>8+4</f>
        <v>12</v>
      </c>
      <c r="E142" s="14">
        <v>5</v>
      </c>
      <c r="F142" s="14">
        <v>6</v>
      </c>
      <c r="G142" s="14">
        <v>8</v>
      </c>
      <c r="H142" s="14">
        <v>5</v>
      </c>
      <c r="I142" s="14">
        <v>12</v>
      </c>
      <c r="J142" s="14">
        <v>7</v>
      </c>
      <c r="K142" s="14">
        <v>12</v>
      </c>
      <c r="L142" s="14">
        <v>11</v>
      </c>
      <c r="M142" s="14">
        <v>7</v>
      </c>
      <c r="N142" s="14">
        <v>12</v>
      </c>
      <c r="O142" s="14">
        <v>8</v>
      </c>
      <c r="P142" s="14">
        <v>2</v>
      </c>
      <c r="Q142" s="14">
        <v>8</v>
      </c>
      <c r="R142" s="14">
        <v>8</v>
      </c>
      <c r="S142" s="14">
        <v>3</v>
      </c>
      <c r="T142" s="14">
        <f>7+6</f>
        <v>13</v>
      </c>
      <c r="U142" s="14">
        <v>4</v>
      </c>
      <c r="V142" s="14">
        <v>11</v>
      </c>
      <c r="W142" s="14">
        <v>7</v>
      </c>
      <c r="X142" s="14">
        <v>8</v>
      </c>
      <c r="Y142" s="14">
        <v>13</v>
      </c>
      <c r="Z142" s="14">
        <v>7</v>
      </c>
      <c r="AA142" s="14">
        <v>10</v>
      </c>
      <c r="AB142" s="14">
        <v>8</v>
      </c>
      <c r="AC142" s="14">
        <v>6</v>
      </c>
      <c r="AD142" s="14">
        <v>8</v>
      </c>
      <c r="AE142" s="14">
        <v>8</v>
      </c>
      <c r="AF142" s="214"/>
      <c r="AG142" s="15">
        <f t="shared" si="2"/>
        <v>238</v>
      </c>
    </row>
    <row r="143" spans="1:35" ht="15.75" customHeight="1" x14ac:dyDescent="0.25">
      <c r="A143" s="74" t="s">
        <v>90</v>
      </c>
      <c r="B143" s="75">
        <v>11</v>
      </c>
      <c r="C143" s="76">
        <v>9</v>
      </c>
      <c r="D143" s="76">
        <v>16</v>
      </c>
      <c r="E143" s="76">
        <v>10</v>
      </c>
      <c r="F143" s="76">
        <v>11</v>
      </c>
      <c r="G143" s="76">
        <v>10</v>
      </c>
      <c r="H143" s="76">
        <v>10</v>
      </c>
      <c r="I143" s="76">
        <v>17</v>
      </c>
      <c r="J143" s="76">
        <v>11</v>
      </c>
      <c r="K143" s="76">
        <v>20</v>
      </c>
      <c r="L143" s="76">
        <v>11</v>
      </c>
      <c r="M143" s="76">
        <v>13</v>
      </c>
      <c r="N143" s="76">
        <v>11</v>
      </c>
      <c r="O143" s="76">
        <v>15</v>
      </c>
      <c r="P143" s="76">
        <v>9</v>
      </c>
      <c r="Q143" s="76">
        <v>8</v>
      </c>
      <c r="R143" s="76">
        <v>15</v>
      </c>
      <c r="S143" s="76">
        <v>15</v>
      </c>
      <c r="T143" s="76">
        <v>12</v>
      </c>
      <c r="U143" s="76">
        <v>17</v>
      </c>
      <c r="V143" s="76">
        <v>16</v>
      </c>
      <c r="W143" s="76">
        <v>17</v>
      </c>
      <c r="X143" s="76">
        <v>12</v>
      </c>
      <c r="Y143" s="76">
        <v>11</v>
      </c>
      <c r="Z143" s="76">
        <v>18</v>
      </c>
      <c r="AA143" s="76">
        <v>9</v>
      </c>
      <c r="AB143" s="76">
        <v>11</v>
      </c>
      <c r="AC143" s="76">
        <v>14</v>
      </c>
      <c r="AD143" s="76">
        <v>17</v>
      </c>
      <c r="AE143" s="76">
        <v>13</v>
      </c>
      <c r="AF143" s="225"/>
      <c r="AG143" s="26">
        <f t="shared" si="2"/>
        <v>389</v>
      </c>
    </row>
    <row r="144" spans="1:35" ht="15.75" customHeight="1" x14ac:dyDescent="0.25">
      <c r="A144" s="41" t="s">
        <v>92</v>
      </c>
      <c r="B144" s="42">
        <f t="shared" ref="B144:AF144" si="17">+B146+B156+B158+B167</f>
        <v>228</v>
      </c>
      <c r="C144" s="43">
        <f t="shared" si="17"/>
        <v>218</v>
      </c>
      <c r="D144" s="43">
        <f t="shared" si="17"/>
        <v>259</v>
      </c>
      <c r="E144" s="43">
        <f t="shared" si="17"/>
        <v>216</v>
      </c>
      <c r="F144" s="43">
        <f t="shared" si="17"/>
        <v>220</v>
      </c>
      <c r="G144" s="43">
        <f t="shared" si="17"/>
        <v>201</v>
      </c>
      <c r="H144" s="43">
        <f t="shared" si="17"/>
        <v>196</v>
      </c>
      <c r="I144" s="43">
        <f t="shared" si="17"/>
        <v>212</v>
      </c>
      <c r="J144" s="43">
        <f t="shared" si="17"/>
        <v>213</v>
      </c>
      <c r="K144" s="43">
        <f t="shared" si="17"/>
        <v>248</v>
      </c>
      <c r="L144" s="43">
        <f t="shared" si="17"/>
        <v>256</v>
      </c>
      <c r="M144" s="43">
        <f t="shared" si="17"/>
        <v>216</v>
      </c>
      <c r="N144" s="43">
        <f t="shared" si="17"/>
        <v>216</v>
      </c>
      <c r="O144" s="43">
        <f t="shared" si="17"/>
        <v>193</v>
      </c>
      <c r="P144" s="43">
        <f t="shared" si="17"/>
        <v>185</v>
      </c>
      <c r="Q144" s="43">
        <f t="shared" si="17"/>
        <v>202</v>
      </c>
      <c r="R144" s="43">
        <f t="shared" si="17"/>
        <v>227</v>
      </c>
      <c r="S144" s="43">
        <f t="shared" si="17"/>
        <v>243</v>
      </c>
      <c r="T144" s="43">
        <f t="shared" si="17"/>
        <v>230</v>
      </c>
      <c r="U144" s="43">
        <f t="shared" si="17"/>
        <v>234</v>
      </c>
      <c r="V144" s="43">
        <f t="shared" si="17"/>
        <v>207</v>
      </c>
      <c r="W144" s="43">
        <f t="shared" si="17"/>
        <v>165</v>
      </c>
      <c r="X144" s="43">
        <f t="shared" si="17"/>
        <v>230</v>
      </c>
      <c r="Y144" s="43">
        <f t="shared" si="17"/>
        <v>265</v>
      </c>
      <c r="Z144" s="43">
        <f t="shared" si="17"/>
        <v>226</v>
      </c>
      <c r="AA144" s="43">
        <f t="shared" si="17"/>
        <v>238</v>
      </c>
      <c r="AB144" s="43">
        <f t="shared" si="17"/>
        <v>239</v>
      </c>
      <c r="AC144" s="43">
        <f t="shared" si="17"/>
        <v>211</v>
      </c>
      <c r="AD144" s="43">
        <f t="shared" si="17"/>
        <v>214</v>
      </c>
      <c r="AE144" s="43">
        <f t="shared" si="17"/>
        <v>196</v>
      </c>
      <c r="AF144" s="43">
        <f t="shared" si="17"/>
        <v>0</v>
      </c>
      <c r="AG144" s="27">
        <f t="shared" si="2"/>
        <v>6604</v>
      </c>
      <c r="AH144" s="78" t="str">
        <f>IF(AG144&lt;&gt;AG93,"*","")</f>
        <v/>
      </c>
      <c r="AI144" s="79" t="s">
        <v>93</v>
      </c>
    </row>
    <row r="145" spans="1:35" ht="15.75" customHeight="1" x14ac:dyDescent="0.25">
      <c r="A145" s="80" t="s">
        <v>44</v>
      </c>
      <c r="B145" s="81">
        <f t="shared" ref="B145:AF145" si="18">+B149+B155+B157+B172</f>
        <v>16</v>
      </c>
      <c r="C145" s="82">
        <f t="shared" si="18"/>
        <v>3</v>
      </c>
      <c r="D145" s="82">
        <f t="shared" si="18"/>
        <v>19</v>
      </c>
      <c r="E145" s="82">
        <f t="shared" si="18"/>
        <v>22</v>
      </c>
      <c r="F145" s="82">
        <f t="shared" si="18"/>
        <v>44</v>
      </c>
      <c r="G145" s="82">
        <f t="shared" si="18"/>
        <v>24</v>
      </c>
      <c r="H145" s="82">
        <f t="shared" si="18"/>
        <v>4</v>
      </c>
      <c r="I145" s="82">
        <f t="shared" si="18"/>
        <v>15</v>
      </c>
      <c r="J145" s="82">
        <f t="shared" si="18"/>
        <v>5</v>
      </c>
      <c r="K145" s="82">
        <f t="shared" si="18"/>
        <v>73</v>
      </c>
      <c r="L145" s="82">
        <f t="shared" si="18"/>
        <v>39</v>
      </c>
      <c r="M145" s="82">
        <f t="shared" si="18"/>
        <v>66</v>
      </c>
      <c r="N145" s="82">
        <f t="shared" si="18"/>
        <v>29</v>
      </c>
      <c r="O145" s="82">
        <f t="shared" si="18"/>
        <v>32</v>
      </c>
      <c r="P145" s="82">
        <f t="shared" si="18"/>
        <v>16</v>
      </c>
      <c r="Q145" s="82">
        <f t="shared" si="18"/>
        <v>1</v>
      </c>
      <c r="R145" s="82">
        <f t="shared" si="18"/>
        <v>42</v>
      </c>
      <c r="S145" s="82">
        <f t="shared" si="18"/>
        <v>26</v>
      </c>
      <c r="T145" s="82">
        <f t="shared" si="18"/>
        <v>35</v>
      </c>
      <c r="U145" s="82">
        <f t="shared" si="18"/>
        <v>38</v>
      </c>
      <c r="V145" s="82">
        <f t="shared" si="18"/>
        <v>26</v>
      </c>
      <c r="W145" s="82">
        <f t="shared" si="18"/>
        <v>18</v>
      </c>
      <c r="X145" s="82">
        <f t="shared" si="18"/>
        <v>13</v>
      </c>
      <c r="Y145" s="82">
        <f t="shared" si="18"/>
        <v>65</v>
      </c>
      <c r="Z145" s="82">
        <f t="shared" si="18"/>
        <v>58</v>
      </c>
      <c r="AA145" s="82">
        <f t="shared" si="18"/>
        <v>47</v>
      </c>
      <c r="AB145" s="82">
        <f t="shared" si="18"/>
        <v>50</v>
      </c>
      <c r="AC145" s="82">
        <f t="shared" si="18"/>
        <v>15</v>
      </c>
      <c r="AD145" s="82">
        <f t="shared" si="18"/>
        <v>24</v>
      </c>
      <c r="AE145" s="82">
        <f t="shared" si="18"/>
        <v>45</v>
      </c>
      <c r="AF145" s="226">
        <f t="shared" si="18"/>
        <v>0</v>
      </c>
      <c r="AG145" s="83">
        <f t="shared" si="2"/>
        <v>910</v>
      </c>
      <c r="AH145" s="77"/>
    </row>
    <row r="146" spans="1:35" ht="15.75" customHeight="1" x14ac:dyDescent="0.25">
      <c r="A146" s="84" t="s">
        <v>94</v>
      </c>
      <c r="B146" s="85">
        <f t="shared" ref="B146:AG146" si="19">+B148+B154</f>
        <v>0</v>
      </c>
      <c r="C146" s="86">
        <f t="shared" si="19"/>
        <v>0</v>
      </c>
      <c r="D146" s="86">
        <f t="shared" si="19"/>
        <v>0</v>
      </c>
      <c r="E146" s="86">
        <f t="shared" si="19"/>
        <v>0</v>
      </c>
      <c r="F146" s="86">
        <f t="shared" si="19"/>
        <v>0</v>
      </c>
      <c r="G146" s="86">
        <f t="shared" si="19"/>
        <v>0</v>
      </c>
      <c r="H146" s="86">
        <f t="shared" si="19"/>
        <v>0</v>
      </c>
      <c r="I146" s="86">
        <f t="shared" si="19"/>
        <v>0</v>
      </c>
      <c r="J146" s="86">
        <f t="shared" si="19"/>
        <v>0</v>
      </c>
      <c r="K146" s="86">
        <f t="shared" si="19"/>
        <v>0</v>
      </c>
      <c r="L146" s="86">
        <f t="shared" si="19"/>
        <v>0</v>
      </c>
      <c r="M146" s="86">
        <f t="shared" si="19"/>
        <v>0</v>
      </c>
      <c r="N146" s="86">
        <f t="shared" si="19"/>
        <v>0</v>
      </c>
      <c r="O146" s="86">
        <f t="shared" si="19"/>
        <v>0</v>
      </c>
      <c r="P146" s="86">
        <f t="shared" si="19"/>
        <v>0</v>
      </c>
      <c r="Q146" s="86">
        <f t="shared" si="19"/>
        <v>0</v>
      </c>
      <c r="R146" s="86">
        <f t="shared" si="19"/>
        <v>0</v>
      </c>
      <c r="S146" s="86">
        <f t="shared" si="19"/>
        <v>0</v>
      </c>
      <c r="T146" s="86">
        <f t="shared" si="19"/>
        <v>0</v>
      </c>
      <c r="U146" s="86">
        <f t="shared" si="19"/>
        <v>0</v>
      </c>
      <c r="V146" s="86">
        <f t="shared" si="19"/>
        <v>0</v>
      </c>
      <c r="W146" s="86">
        <f t="shared" si="19"/>
        <v>0</v>
      </c>
      <c r="X146" s="86">
        <f t="shared" si="19"/>
        <v>0</v>
      </c>
      <c r="Y146" s="86">
        <f t="shared" si="19"/>
        <v>0</v>
      </c>
      <c r="Z146" s="86">
        <f t="shared" si="19"/>
        <v>0</v>
      </c>
      <c r="AA146" s="86">
        <f t="shared" si="19"/>
        <v>0</v>
      </c>
      <c r="AB146" s="86">
        <f t="shared" si="19"/>
        <v>0</v>
      </c>
      <c r="AC146" s="86">
        <f t="shared" si="19"/>
        <v>0</v>
      </c>
      <c r="AD146" s="86">
        <f t="shared" si="19"/>
        <v>0</v>
      </c>
      <c r="AE146" s="86">
        <f t="shared" si="19"/>
        <v>0</v>
      </c>
      <c r="AF146" s="227">
        <f t="shared" si="19"/>
        <v>0</v>
      </c>
      <c r="AG146" s="87">
        <f t="shared" si="19"/>
        <v>0</v>
      </c>
    </row>
    <row r="147" spans="1:35" ht="15.75" customHeight="1" x14ac:dyDescent="0.25">
      <c r="A147" s="88" t="s">
        <v>95</v>
      </c>
      <c r="B147" s="89">
        <f t="shared" ref="B147:AE147" si="20">+B149+B155</f>
        <v>0</v>
      </c>
      <c r="C147" s="90">
        <f t="shared" si="20"/>
        <v>0</v>
      </c>
      <c r="D147" s="90">
        <f t="shared" si="20"/>
        <v>0</v>
      </c>
      <c r="E147" s="90">
        <f t="shared" si="20"/>
        <v>0</v>
      </c>
      <c r="F147" s="90">
        <f t="shared" si="20"/>
        <v>0</v>
      </c>
      <c r="G147" s="90">
        <f t="shared" si="20"/>
        <v>0</v>
      </c>
      <c r="H147" s="90">
        <f t="shared" si="20"/>
        <v>0</v>
      </c>
      <c r="I147" s="90">
        <f t="shared" si="20"/>
        <v>0</v>
      </c>
      <c r="J147" s="90">
        <f t="shared" si="20"/>
        <v>0</v>
      </c>
      <c r="K147" s="90">
        <f t="shared" si="20"/>
        <v>0</v>
      </c>
      <c r="L147" s="90">
        <f t="shared" si="20"/>
        <v>0</v>
      </c>
      <c r="M147" s="90">
        <f t="shared" si="20"/>
        <v>0</v>
      </c>
      <c r="N147" s="90">
        <f t="shared" si="20"/>
        <v>0</v>
      </c>
      <c r="O147" s="90">
        <f t="shared" si="20"/>
        <v>0</v>
      </c>
      <c r="P147" s="90">
        <f t="shared" si="20"/>
        <v>0</v>
      </c>
      <c r="Q147" s="90">
        <f t="shared" si="20"/>
        <v>0</v>
      </c>
      <c r="R147" s="90">
        <f t="shared" si="20"/>
        <v>0</v>
      </c>
      <c r="S147" s="90">
        <f t="shared" si="20"/>
        <v>0</v>
      </c>
      <c r="T147" s="90">
        <f t="shared" si="20"/>
        <v>0</v>
      </c>
      <c r="U147" s="90">
        <f t="shared" si="20"/>
        <v>0</v>
      </c>
      <c r="V147" s="90">
        <f t="shared" si="20"/>
        <v>0</v>
      </c>
      <c r="W147" s="90">
        <f t="shared" si="20"/>
        <v>0</v>
      </c>
      <c r="X147" s="90">
        <f t="shared" si="20"/>
        <v>0</v>
      </c>
      <c r="Y147" s="90">
        <f t="shared" si="20"/>
        <v>0</v>
      </c>
      <c r="Z147" s="90">
        <f t="shared" si="20"/>
        <v>0</v>
      </c>
      <c r="AA147" s="90">
        <f t="shared" si="20"/>
        <v>0</v>
      </c>
      <c r="AB147" s="90">
        <f t="shared" si="20"/>
        <v>0</v>
      </c>
      <c r="AC147" s="90">
        <f t="shared" si="20"/>
        <v>0</v>
      </c>
      <c r="AD147" s="90">
        <f t="shared" si="20"/>
        <v>0</v>
      </c>
      <c r="AE147" s="90">
        <f t="shared" si="20"/>
        <v>0</v>
      </c>
      <c r="AF147" s="228"/>
      <c r="AG147" s="91">
        <f t="shared" ref="AG147:AG226" si="21">SUM(B147:AF147)</f>
        <v>0</v>
      </c>
    </row>
    <row r="148" spans="1:35" ht="15.75" customHeight="1" x14ac:dyDescent="0.25">
      <c r="A148" s="92" t="s">
        <v>96</v>
      </c>
      <c r="B148" s="93">
        <f t="shared" ref="B148:AF148" si="22">SUM(B150:B153)</f>
        <v>0</v>
      </c>
      <c r="C148" s="94">
        <f t="shared" si="22"/>
        <v>0</v>
      </c>
      <c r="D148" s="94">
        <f t="shared" si="22"/>
        <v>0</v>
      </c>
      <c r="E148" s="94">
        <f t="shared" si="22"/>
        <v>0</v>
      </c>
      <c r="F148" s="94">
        <f t="shared" si="22"/>
        <v>0</v>
      </c>
      <c r="G148" s="94">
        <f t="shared" si="22"/>
        <v>0</v>
      </c>
      <c r="H148" s="94">
        <f t="shared" si="22"/>
        <v>0</v>
      </c>
      <c r="I148" s="94">
        <f t="shared" si="22"/>
        <v>0</v>
      </c>
      <c r="J148" s="94">
        <f t="shared" si="22"/>
        <v>0</v>
      </c>
      <c r="K148" s="94">
        <f t="shared" si="22"/>
        <v>0</v>
      </c>
      <c r="L148" s="94">
        <f t="shared" si="22"/>
        <v>0</v>
      </c>
      <c r="M148" s="94">
        <f t="shared" si="22"/>
        <v>0</v>
      </c>
      <c r="N148" s="94">
        <f t="shared" si="22"/>
        <v>0</v>
      </c>
      <c r="O148" s="94">
        <f t="shared" si="22"/>
        <v>0</v>
      </c>
      <c r="P148" s="94">
        <f t="shared" si="22"/>
        <v>0</v>
      </c>
      <c r="Q148" s="94">
        <f t="shared" si="22"/>
        <v>0</v>
      </c>
      <c r="R148" s="94">
        <f t="shared" si="22"/>
        <v>0</v>
      </c>
      <c r="S148" s="94">
        <f t="shared" si="22"/>
        <v>0</v>
      </c>
      <c r="T148" s="94">
        <f t="shared" si="22"/>
        <v>0</v>
      </c>
      <c r="U148" s="94">
        <f t="shared" si="22"/>
        <v>0</v>
      </c>
      <c r="V148" s="94">
        <f t="shared" si="22"/>
        <v>0</v>
      </c>
      <c r="W148" s="94">
        <f t="shared" si="22"/>
        <v>0</v>
      </c>
      <c r="X148" s="94">
        <f t="shared" si="22"/>
        <v>0</v>
      </c>
      <c r="Y148" s="94">
        <f t="shared" si="22"/>
        <v>0</v>
      </c>
      <c r="Z148" s="94">
        <f t="shared" si="22"/>
        <v>0</v>
      </c>
      <c r="AA148" s="94">
        <f t="shared" si="22"/>
        <v>0</v>
      </c>
      <c r="AB148" s="94">
        <f t="shared" si="22"/>
        <v>0</v>
      </c>
      <c r="AC148" s="94">
        <f t="shared" si="22"/>
        <v>0</v>
      </c>
      <c r="AD148" s="94">
        <f t="shared" si="22"/>
        <v>0</v>
      </c>
      <c r="AE148" s="94">
        <f t="shared" si="22"/>
        <v>0</v>
      </c>
      <c r="AF148" s="229">
        <f t="shared" si="22"/>
        <v>0</v>
      </c>
      <c r="AG148" s="95">
        <f t="shared" si="21"/>
        <v>0</v>
      </c>
    </row>
    <row r="149" spans="1:35" ht="15.75" customHeight="1" x14ac:dyDescent="0.25">
      <c r="A149" s="88" t="s">
        <v>97</v>
      </c>
      <c r="B149" s="89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228"/>
      <c r="AG149" s="91">
        <f t="shared" si="21"/>
        <v>0</v>
      </c>
    </row>
    <row r="150" spans="1:35" ht="15.75" customHeight="1" x14ac:dyDescent="0.25">
      <c r="A150" s="96" t="s">
        <v>98</v>
      </c>
      <c r="B150" s="97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230"/>
      <c r="AG150" s="11">
        <f t="shared" si="21"/>
        <v>0</v>
      </c>
      <c r="AI150" s="99"/>
    </row>
    <row r="151" spans="1:35" ht="15.75" customHeight="1" x14ac:dyDescent="0.25">
      <c r="A151" s="100" t="s">
        <v>99</v>
      </c>
      <c r="B151" s="101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231"/>
      <c r="AG151" s="15">
        <f t="shared" si="21"/>
        <v>0</v>
      </c>
      <c r="AI151" s="99"/>
    </row>
    <row r="152" spans="1:35" ht="15.75" customHeight="1" x14ac:dyDescent="0.25">
      <c r="A152" s="100" t="s">
        <v>100</v>
      </c>
      <c r="B152" s="101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231"/>
      <c r="AG152" s="15">
        <f t="shared" si="21"/>
        <v>0</v>
      </c>
    </row>
    <row r="153" spans="1:35" ht="15.75" customHeight="1" x14ac:dyDescent="0.25">
      <c r="A153" s="103" t="s">
        <v>101</v>
      </c>
      <c r="B153" s="104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232"/>
      <c r="AG153" s="106">
        <f t="shared" si="21"/>
        <v>0</v>
      </c>
    </row>
    <row r="154" spans="1:35" ht="15.75" customHeight="1" x14ac:dyDescent="0.25">
      <c r="A154" s="92" t="s">
        <v>102</v>
      </c>
      <c r="B154" s="93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229"/>
      <c r="AG154" s="95">
        <f t="shared" si="21"/>
        <v>0</v>
      </c>
    </row>
    <row r="155" spans="1:35" ht="15.75" customHeight="1" x14ac:dyDescent="0.25">
      <c r="A155" s="88" t="s">
        <v>103</v>
      </c>
      <c r="B155" s="89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228"/>
      <c r="AG155" s="91">
        <f t="shared" si="21"/>
        <v>0</v>
      </c>
    </row>
    <row r="156" spans="1:35" ht="15.75" customHeight="1" x14ac:dyDescent="0.25">
      <c r="A156" s="107" t="s">
        <v>104</v>
      </c>
      <c r="B156" s="108">
        <v>228</v>
      </c>
      <c r="C156" s="109">
        <v>218</v>
      </c>
      <c r="D156" s="109">
        <v>259</v>
      </c>
      <c r="E156" s="109">
        <v>216</v>
      </c>
      <c r="F156" s="109">
        <v>220</v>
      </c>
      <c r="G156" s="109">
        <v>201</v>
      </c>
      <c r="H156" s="109">
        <v>196</v>
      </c>
      <c r="I156" s="109">
        <v>212</v>
      </c>
      <c r="J156" s="109">
        <v>213</v>
      </c>
      <c r="K156" s="109">
        <v>248</v>
      </c>
      <c r="L156" s="109">
        <v>256</v>
      </c>
      <c r="M156" s="109">
        <v>216</v>
      </c>
      <c r="N156" s="109">
        <v>216</v>
      </c>
      <c r="O156" s="109">
        <v>193</v>
      </c>
      <c r="P156" s="109">
        <v>185</v>
      </c>
      <c r="Q156" s="109">
        <v>202</v>
      </c>
      <c r="R156" s="109">
        <v>227</v>
      </c>
      <c r="S156" s="109">
        <v>243</v>
      </c>
      <c r="T156" s="109">
        <v>230</v>
      </c>
      <c r="U156" s="109">
        <v>234</v>
      </c>
      <c r="V156" s="109">
        <v>207</v>
      </c>
      <c r="W156" s="109">
        <v>165</v>
      </c>
      <c r="X156" s="109">
        <v>230</v>
      </c>
      <c r="Y156" s="109">
        <v>265</v>
      </c>
      <c r="Z156" s="109">
        <v>226</v>
      </c>
      <c r="AA156" s="109">
        <v>238</v>
      </c>
      <c r="AB156" s="109">
        <v>239</v>
      </c>
      <c r="AC156" s="109">
        <v>211</v>
      </c>
      <c r="AD156" s="109">
        <v>214</v>
      </c>
      <c r="AE156" s="109">
        <v>196</v>
      </c>
      <c r="AF156" s="233"/>
      <c r="AG156" s="110">
        <f t="shared" si="21"/>
        <v>6604</v>
      </c>
      <c r="AH156" s="111" t="s">
        <v>105</v>
      </c>
    </row>
    <row r="157" spans="1:35" ht="15.75" customHeight="1" x14ac:dyDescent="0.25">
      <c r="A157" s="74" t="s">
        <v>46</v>
      </c>
      <c r="B157" s="75">
        <v>16</v>
      </c>
      <c r="C157" s="76">
        <v>3</v>
      </c>
      <c r="D157" s="76">
        <v>19</v>
      </c>
      <c r="E157" s="76">
        <v>22</v>
      </c>
      <c r="F157" s="76">
        <v>44</v>
      </c>
      <c r="G157" s="76">
        <v>24</v>
      </c>
      <c r="H157" s="76">
        <v>4</v>
      </c>
      <c r="I157" s="76">
        <v>15</v>
      </c>
      <c r="J157" s="76">
        <v>5</v>
      </c>
      <c r="K157" s="76">
        <v>73</v>
      </c>
      <c r="L157" s="76">
        <v>39</v>
      </c>
      <c r="M157" s="76">
        <v>66</v>
      </c>
      <c r="N157" s="76">
        <v>29</v>
      </c>
      <c r="O157" s="76">
        <v>32</v>
      </c>
      <c r="P157" s="76">
        <v>16</v>
      </c>
      <c r="Q157" s="76">
        <v>1</v>
      </c>
      <c r="R157" s="76">
        <v>42</v>
      </c>
      <c r="S157" s="76">
        <v>26</v>
      </c>
      <c r="T157" s="76">
        <v>35</v>
      </c>
      <c r="U157" s="76">
        <v>38</v>
      </c>
      <c r="V157" s="76">
        <v>26</v>
      </c>
      <c r="W157" s="76">
        <v>18</v>
      </c>
      <c r="X157" s="76">
        <v>13</v>
      </c>
      <c r="Y157" s="76">
        <v>65</v>
      </c>
      <c r="Z157" s="76">
        <v>58</v>
      </c>
      <c r="AA157" s="76">
        <v>47</v>
      </c>
      <c r="AB157" s="76">
        <v>50</v>
      </c>
      <c r="AC157" s="76">
        <v>15</v>
      </c>
      <c r="AD157" s="76">
        <v>24</v>
      </c>
      <c r="AE157" s="76">
        <v>45</v>
      </c>
      <c r="AF157" s="225"/>
      <c r="AG157" s="112">
        <f t="shared" si="21"/>
        <v>910</v>
      </c>
      <c r="AH157" s="111"/>
    </row>
    <row r="158" spans="1:35" ht="15.75" customHeight="1" x14ac:dyDescent="0.25">
      <c r="A158" s="113" t="s">
        <v>106</v>
      </c>
      <c r="B158" s="114">
        <f t="shared" ref="B158:AF158" si="23">SUM(B159:B166)</f>
        <v>0</v>
      </c>
      <c r="C158" s="115">
        <f t="shared" si="23"/>
        <v>0</v>
      </c>
      <c r="D158" s="115">
        <f t="shared" si="23"/>
        <v>0</v>
      </c>
      <c r="E158" s="115">
        <f t="shared" si="23"/>
        <v>0</v>
      </c>
      <c r="F158" s="115">
        <f t="shared" si="23"/>
        <v>0</v>
      </c>
      <c r="G158" s="115">
        <f t="shared" si="23"/>
        <v>0</v>
      </c>
      <c r="H158" s="115">
        <f t="shared" si="23"/>
        <v>0</v>
      </c>
      <c r="I158" s="115">
        <f t="shared" si="23"/>
        <v>0</v>
      </c>
      <c r="J158" s="115">
        <f t="shared" si="23"/>
        <v>0</v>
      </c>
      <c r="K158" s="115">
        <f t="shared" si="23"/>
        <v>0</v>
      </c>
      <c r="L158" s="115">
        <f t="shared" si="23"/>
        <v>0</v>
      </c>
      <c r="M158" s="115">
        <f t="shared" si="23"/>
        <v>0</v>
      </c>
      <c r="N158" s="115">
        <f t="shared" si="23"/>
        <v>0</v>
      </c>
      <c r="O158" s="115">
        <f t="shared" si="23"/>
        <v>0</v>
      </c>
      <c r="P158" s="115">
        <f t="shared" si="23"/>
        <v>0</v>
      </c>
      <c r="Q158" s="115">
        <f t="shared" si="23"/>
        <v>0</v>
      </c>
      <c r="R158" s="115">
        <f t="shared" si="23"/>
        <v>0</v>
      </c>
      <c r="S158" s="115">
        <f t="shared" si="23"/>
        <v>0</v>
      </c>
      <c r="T158" s="115">
        <f t="shared" si="23"/>
        <v>0</v>
      </c>
      <c r="U158" s="115">
        <f t="shared" si="23"/>
        <v>0</v>
      </c>
      <c r="V158" s="115">
        <f t="shared" si="23"/>
        <v>0</v>
      </c>
      <c r="W158" s="115">
        <f t="shared" si="23"/>
        <v>0</v>
      </c>
      <c r="X158" s="115">
        <f t="shared" si="23"/>
        <v>0</v>
      </c>
      <c r="Y158" s="115">
        <f t="shared" si="23"/>
        <v>0</v>
      </c>
      <c r="Z158" s="115">
        <f t="shared" si="23"/>
        <v>0</v>
      </c>
      <c r="AA158" s="115">
        <f t="shared" si="23"/>
        <v>0</v>
      </c>
      <c r="AB158" s="115">
        <f t="shared" si="23"/>
        <v>0</v>
      </c>
      <c r="AC158" s="115">
        <f t="shared" si="23"/>
        <v>0</v>
      </c>
      <c r="AD158" s="115">
        <f t="shared" si="23"/>
        <v>0</v>
      </c>
      <c r="AE158" s="115">
        <f t="shared" si="23"/>
        <v>0</v>
      </c>
      <c r="AF158" s="234">
        <f t="shared" si="23"/>
        <v>0</v>
      </c>
      <c r="AG158" s="116">
        <f t="shared" si="21"/>
        <v>0</v>
      </c>
    </row>
    <row r="159" spans="1:35" ht="15.75" customHeight="1" x14ac:dyDescent="0.25">
      <c r="A159" s="96" t="s">
        <v>79</v>
      </c>
      <c r="B159" s="97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230"/>
      <c r="AG159" s="11">
        <f t="shared" si="21"/>
        <v>0</v>
      </c>
    </row>
    <row r="160" spans="1:35" ht="15.75" customHeight="1" x14ac:dyDescent="0.25">
      <c r="A160" s="100" t="s">
        <v>80</v>
      </c>
      <c r="B160" s="101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231"/>
      <c r="AG160" s="15">
        <f t="shared" si="21"/>
        <v>0</v>
      </c>
    </row>
    <row r="161" spans="1:34" ht="15.75" customHeight="1" x14ac:dyDescent="0.25">
      <c r="A161" s="100" t="s">
        <v>78</v>
      </c>
      <c r="B161" s="101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231"/>
      <c r="AG161" s="15">
        <f t="shared" si="21"/>
        <v>0</v>
      </c>
    </row>
    <row r="162" spans="1:34" ht="15.75" customHeight="1" x14ac:dyDescent="0.25">
      <c r="A162" s="100" t="s">
        <v>81</v>
      </c>
      <c r="B162" s="101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231"/>
      <c r="AG162" s="15">
        <f t="shared" si="21"/>
        <v>0</v>
      </c>
    </row>
    <row r="163" spans="1:34" ht="15.75" customHeight="1" x14ac:dyDescent="0.25">
      <c r="A163" s="100" t="s">
        <v>82</v>
      </c>
      <c r="B163" s="101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231"/>
      <c r="AG163" s="15">
        <f t="shared" si="21"/>
        <v>0</v>
      </c>
    </row>
    <row r="164" spans="1:34" ht="15.75" customHeight="1" x14ac:dyDescent="0.25">
      <c r="A164" s="100" t="s">
        <v>83</v>
      </c>
      <c r="B164" s="101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231"/>
      <c r="AG164" s="15">
        <f t="shared" si="21"/>
        <v>0</v>
      </c>
    </row>
    <row r="165" spans="1:34" ht="15.75" customHeight="1" x14ac:dyDescent="0.25">
      <c r="A165" s="100" t="s">
        <v>84</v>
      </c>
      <c r="B165" s="101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231"/>
      <c r="AG165" s="15">
        <f t="shared" si="21"/>
        <v>0</v>
      </c>
    </row>
    <row r="166" spans="1:34" ht="15.75" customHeight="1" x14ac:dyDescent="0.25">
      <c r="A166" s="103" t="s">
        <v>85</v>
      </c>
      <c r="B166" s="104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232"/>
      <c r="AG166" s="106">
        <f t="shared" si="21"/>
        <v>0</v>
      </c>
    </row>
    <row r="167" spans="1:34" ht="15.75" customHeight="1" x14ac:dyDescent="0.25">
      <c r="A167" s="107" t="s">
        <v>107</v>
      </c>
      <c r="B167" s="108">
        <f t="shared" ref="B167:AF167" si="24">SUM(B168:B171)</f>
        <v>0</v>
      </c>
      <c r="C167" s="109">
        <f t="shared" si="24"/>
        <v>0</v>
      </c>
      <c r="D167" s="109">
        <f t="shared" si="24"/>
        <v>0</v>
      </c>
      <c r="E167" s="109">
        <f t="shared" si="24"/>
        <v>0</v>
      </c>
      <c r="F167" s="109">
        <f t="shared" si="24"/>
        <v>0</v>
      </c>
      <c r="G167" s="109">
        <f t="shared" si="24"/>
        <v>0</v>
      </c>
      <c r="H167" s="109">
        <f t="shared" si="24"/>
        <v>0</v>
      </c>
      <c r="I167" s="109">
        <f t="shared" si="24"/>
        <v>0</v>
      </c>
      <c r="J167" s="109">
        <f t="shared" si="24"/>
        <v>0</v>
      </c>
      <c r="K167" s="109">
        <f t="shared" si="24"/>
        <v>0</v>
      </c>
      <c r="L167" s="109">
        <f t="shared" si="24"/>
        <v>0</v>
      </c>
      <c r="M167" s="109">
        <f t="shared" si="24"/>
        <v>0</v>
      </c>
      <c r="N167" s="109">
        <f t="shared" si="24"/>
        <v>0</v>
      </c>
      <c r="O167" s="109">
        <f t="shared" si="24"/>
        <v>0</v>
      </c>
      <c r="P167" s="109">
        <f t="shared" si="24"/>
        <v>0</v>
      </c>
      <c r="Q167" s="109">
        <f t="shared" si="24"/>
        <v>0</v>
      </c>
      <c r="R167" s="109">
        <f t="shared" si="24"/>
        <v>0</v>
      </c>
      <c r="S167" s="109">
        <f t="shared" si="24"/>
        <v>0</v>
      </c>
      <c r="T167" s="109">
        <f t="shared" si="24"/>
        <v>0</v>
      </c>
      <c r="U167" s="109">
        <f t="shared" si="24"/>
        <v>0</v>
      </c>
      <c r="V167" s="109">
        <f t="shared" si="24"/>
        <v>0</v>
      </c>
      <c r="W167" s="109">
        <f t="shared" si="24"/>
        <v>0</v>
      </c>
      <c r="X167" s="109">
        <f t="shared" si="24"/>
        <v>0</v>
      </c>
      <c r="Y167" s="109">
        <f t="shared" si="24"/>
        <v>0</v>
      </c>
      <c r="Z167" s="109">
        <f t="shared" si="24"/>
        <v>0</v>
      </c>
      <c r="AA167" s="109">
        <f t="shared" si="24"/>
        <v>0</v>
      </c>
      <c r="AB167" s="109">
        <f t="shared" si="24"/>
        <v>0</v>
      </c>
      <c r="AC167" s="109">
        <f t="shared" si="24"/>
        <v>0</v>
      </c>
      <c r="AD167" s="109">
        <f t="shared" si="24"/>
        <v>0</v>
      </c>
      <c r="AE167" s="109">
        <f t="shared" si="24"/>
        <v>0</v>
      </c>
      <c r="AF167" s="233">
        <f t="shared" si="24"/>
        <v>0</v>
      </c>
      <c r="AG167" s="110">
        <f t="shared" si="21"/>
        <v>0</v>
      </c>
    </row>
    <row r="168" spans="1:34" ht="15.75" customHeight="1" x14ac:dyDescent="0.25">
      <c r="A168" s="117" t="s">
        <v>86</v>
      </c>
      <c r="B168" s="101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231"/>
      <c r="AG168" s="15">
        <f t="shared" si="21"/>
        <v>0</v>
      </c>
    </row>
    <row r="169" spans="1:34" ht="15.75" customHeight="1" x14ac:dyDescent="0.25">
      <c r="A169" s="117" t="s">
        <v>87</v>
      </c>
      <c r="B169" s="101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231"/>
      <c r="AG169" s="15">
        <f t="shared" si="21"/>
        <v>0</v>
      </c>
    </row>
    <row r="170" spans="1:34" ht="15.75" customHeight="1" x14ac:dyDescent="0.25">
      <c r="A170" s="117" t="s">
        <v>88</v>
      </c>
      <c r="B170" s="101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231"/>
      <c r="AG170" s="15">
        <f t="shared" si="21"/>
        <v>0</v>
      </c>
    </row>
    <row r="171" spans="1:34" ht="15.75" customHeight="1" x14ac:dyDescent="0.25">
      <c r="A171" s="118" t="s">
        <v>108</v>
      </c>
      <c r="B171" s="104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232"/>
      <c r="AG171" s="106">
        <f t="shared" si="21"/>
        <v>0</v>
      </c>
    </row>
    <row r="172" spans="1:34" ht="15.75" customHeight="1" x14ac:dyDescent="0.25">
      <c r="A172" s="119" t="s">
        <v>109</v>
      </c>
      <c r="B172" s="120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235"/>
      <c r="AG172" s="122">
        <f t="shared" si="21"/>
        <v>0</v>
      </c>
    </row>
    <row r="173" spans="1:34" ht="15.75" customHeight="1" x14ac:dyDescent="0.25">
      <c r="A173" s="4" t="s">
        <v>110</v>
      </c>
      <c r="B173" s="5">
        <f t="shared" ref="B173:AF173" si="25">SUM(B174:B176)</f>
        <v>1</v>
      </c>
      <c r="C173" s="6">
        <f t="shared" si="25"/>
        <v>0</v>
      </c>
      <c r="D173" s="6">
        <f t="shared" si="25"/>
        <v>0</v>
      </c>
      <c r="E173" s="6">
        <f t="shared" si="25"/>
        <v>1</v>
      </c>
      <c r="F173" s="6">
        <f t="shared" si="25"/>
        <v>1</v>
      </c>
      <c r="G173" s="6">
        <f t="shared" si="25"/>
        <v>1</v>
      </c>
      <c r="H173" s="6">
        <f t="shared" si="25"/>
        <v>4</v>
      </c>
      <c r="I173" s="6">
        <f t="shared" si="25"/>
        <v>0</v>
      </c>
      <c r="J173" s="6">
        <f t="shared" si="25"/>
        <v>0</v>
      </c>
      <c r="K173" s="6">
        <f t="shared" si="25"/>
        <v>0</v>
      </c>
      <c r="L173" s="6">
        <f t="shared" si="25"/>
        <v>0</v>
      </c>
      <c r="M173" s="6">
        <f t="shared" si="25"/>
        <v>0</v>
      </c>
      <c r="N173" s="6">
        <f t="shared" si="25"/>
        <v>0</v>
      </c>
      <c r="O173" s="6">
        <f t="shared" si="25"/>
        <v>0</v>
      </c>
      <c r="P173" s="6">
        <f t="shared" si="25"/>
        <v>0</v>
      </c>
      <c r="Q173" s="6">
        <f t="shared" si="25"/>
        <v>0</v>
      </c>
      <c r="R173" s="6">
        <f t="shared" si="25"/>
        <v>1</v>
      </c>
      <c r="S173" s="6">
        <f t="shared" si="25"/>
        <v>0</v>
      </c>
      <c r="T173" s="6">
        <f t="shared" si="25"/>
        <v>2</v>
      </c>
      <c r="U173" s="6">
        <f t="shared" si="25"/>
        <v>1</v>
      </c>
      <c r="V173" s="6">
        <f t="shared" si="25"/>
        <v>6</v>
      </c>
      <c r="W173" s="6">
        <f t="shared" si="25"/>
        <v>2</v>
      </c>
      <c r="X173" s="6">
        <f t="shared" si="25"/>
        <v>3</v>
      </c>
      <c r="Y173" s="6">
        <f t="shared" si="25"/>
        <v>1</v>
      </c>
      <c r="Z173" s="6">
        <f t="shared" si="25"/>
        <v>0</v>
      </c>
      <c r="AA173" s="6">
        <f t="shared" si="25"/>
        <v>1</v>
      </c>
      <c r="AB173" s="6">
        <f t="shared" si="25"/>
        <v>2</v>
      </c>
      <c r="AC173" s="6">
        <f t="shared" si="25"/>
        <v>0</v>
      </c>
      <c r="AD173" s="6">
        <f t="shared" si="25"/>
        <v>0</v>
      </c>
      <c r="AE173" s="6">
        <f t="shared" si="25"/>
        <v>1</v>
      </c>
      <c r="AF173" s="236">
        <f t="shared" si="25"/>
        <v>0</v>
      </c>
      <c r="AG173" s="7">
        <f t="shared" si="21"/>
        <v>28</v>
      </c>
      <c r="AH173" s="111" t="s">
        <v>111</v>
      </c>
    </row>
    <row r="174" spans="1:34" ht="15.75" customHeight="1" x14ac:dyDescent="0.25">
      <c r="A174" s="123" t="s">
        <v>112</v>
      </c>
      <c r="B174" s="124">
        <v>1</v>
      </c>
      <c r="C174" s="125">
        <v>0</v>
      </c>
      <c r="D174" s="125">
        <v>0</v>
      </c>
      <c r="E174" s="125">
        <v>1</v>
      </c>
      <c r="F174" s="125">
        <v>1</v>
      </c>
      <c r="G174" s="125">
        <v>1</v>
      </c>
      <c r="H174" s="125">
        <v>4</v>
      </c>
      <c r="I174" s="125">
        <v>0</v>
      </c>
      <c r="J174" s="125">
        <v>0</v>
      </c>
      <c r="K174" s="125">
        <v>0</v>
      </c>
      <c r="L174" s="125">
        <v>0</v>
      </c>
      <c r="M174" s="125">
        <v>0</v>
      </c>
      <c r="N174" s="125">
        <v>0</v>
      </c>
      <c r="O174" s="125">
        <v>0</v>
      </c>
      <c r="P174" s="125">
        <v>0</v>
      </c>
      <c r="Q174" s="125">
        <v>0</v>
      </c>
      <c r="R174" s="125">
        <v>1</v>
      </c>
      <c r="S174" s="125">
        <v>0</v>
      </c>
      <c r="T174" s="125">
        <v>2</v>
      </c>
      <c r="U174" s="125">
        <v>1</v>
      </c>
      <c r="V174" s="125">
        <v>1</v>
      </c>
      <c r="W174" s="125">
        <v>2</v>
      </c>
      <c r="X174" s="125">
        <v>3</v>
      </c>
      <c r="Y174" s="125">
        <v>0</v>
      </c>
      <c r="Z174" s="125">
        <v>0</v>
      </c>
      <c r="AA174" s="125">
        <v>1</v>
      </c>
      <c r="AB174" s="125">
        <v>2</v>
      </c>
      <c r="AC174" s="125">
        <v>0</v>
      </c>
      <c r="AD174" s="125">
        <v>0</v>
      </c>
      <c r="AE174" s="125">
        <v>1</v>
      </c>
      <c r="AF174" s="237"/>
      <c r="AG174" s="126">
        <f t="shared" si="21"/>
        <v>22</v>
      </c>
      <c r="AH174" s="111"/>
    </row>
    <row r="175" spans="1:34" ht="15.75" customHeight="1" x14ac:dyDescent="0.25">
      <c r="A175" s="127" t="s">
        <v>113</v>
      </c>
      <c r="B175" s="128">
        <v>0</v>
      </c>
      <c r="C175" s="129">
        <v>0</v>
      </c>
      <c r="D175" s="129">
        <v>0</v>
      </c>
      <c r="E175" s="129">
        <v>0</v>
      </c>
      <c r="F175" s="129">
        <v>0</v>
      </c>
      <c r="G175" s="129">
        <v>0</v>
      </c>
      <c r="H175" s="129">
        <v>0</v>
      </c>
      <c r="I175" s="129">
        <v>0</v>
      </c>
      <c r="J175" s="129">
        <v>0</v>
      </c>
      <c r="K175" s="129">
        <v>0</v>
      </c>
      <c r="L175" s="129">
        <v>0</v>
      </c>
      <c r="M175" s="129">
        <v>0</v>
      </c>
      <c r="N175" s="129">
        <v>0</v>
      </c>
      <c r="O175" s="129">
        <v>0</v>
      </c>
      <c r="P175" s="129">
        <v>0</v>
      </c>
      <c r="Q175" s="129">
        <v>0</v>
      </c>
      <c r="R175" s="129">
        <v>0</v>
      </c>
      <c r="S175" s="129">
        <v>0</v>
      </c>
      <c r="T175" s="129">
        <v>0</v>
      </c>
      <c r="U175" s="129">
        <v>0</v>
      </c>
      <c r="V175" s="129">
        <v>5</v>
      </c>
      <c r="W175" s="129">
        <v>0</v>
      </c>
      <c r="X175" s="129">
        <v>0</v>
      </c>
      <c r="Y175" s="129">
        <v>1</v>
      </c>
      <c r="Z175" s="129">
        <v>0</v>
      </c>
      <c r="AA175" s="129">
        <v>0</v>
      </c>
      <c r="AB175" s="129">
        <v>0</v>
      </c>
      <c r="AC175" s="129">
        <v>0</v>
      </c>
      <c r="AD175" s="129">
        <v>0</v>
      </c>
      <c r="AE175" s="129">
        <v>0</v>
      </c>
      <c r="AF175" s="238"/>
      <c r="AG175" s="130">
        <f t="shared" si="21"/>
        <v>6</v>
      </c>
      <c r="AH175" s="111"/>
    </row>
    <row r="176" spans="1:34" ht="15.75" customHeight="1" x14ac:dyDescent="0.25">
      <c r="A176" s="131" t="s">
        <v>114</v>
      </c>
      <c r="B176" s="132">
        <v>0</v>
      </c>
      <c r="C176" s="133">
        <v>0</v>
      </c>
      <c r="D176" s="133">
        <v>0</v>
      </c>
      <c r="E176" s="133">
        <v>0</v>
      </c>
      <c r="F176" s="133">
        <v>0</v>
      </c>
      <c r="G176" s="133">
        <v>0</v>
      </c>
      <c r="H176" s="133">
        <v>0</v>
      </c>
      <c r="I176" s="133">
        <v>0</v>
      </c>
      <c r="J176" s="133">
        <v>0</v>
      </c>
      <c r="K176" s="133">
        <v>0</v>
      </c>
      <c r="L176" s="133">
        <v>0</v>
      </c>
      <c r="M176" s="133">
        <v>0</v>
      </c>
      <c r="N176" s="133">
        <v>0</v>
      </c>
      <c r="O176" s="133">
        <v>0</v>
      </c>
      <c r="P176" s="133">
        <v>0</v>
      </c>
      <c r="Q176" s="133">
        <v>0</v>
      </c>
      <c r="R176" s="133">
        <v>0</v>
      </c>
      <c r="S176" s="133">
        <v>0</v>
      </c>
      <c r="T176" s="133">
        <v>0</v>
      </c>
      <c r="U176" s="133">
        <v>0</v>
      </c>
      <c r="V176" s="133">
        <v>0</v>
      </c>
      <c r="W176" s="133">
        <v>0</v>
      </c>
      <c r="X176" s="133">
        <v>0</v>
      </c>
      <c r="Y176" s="133">
        <v>0</v>
      </c>
      <c r="Z176" s="133">
        <v>0</v>
      </c>
      <c r="AA176" s="133">
        <v>0</v>
      </c>
      <c r="AB176" s="133">
        <v>0</v>
      </c>
      <c r="AC176" s="133">
        <v>0</v>
      </c>
      <c r="AD176" s="133">
        <v>0</v>
      </c>
      <c r="AE176" s="133">
        <v>0</v>
      </c>
      <c r="AF176" s="239"/>
      <c r="AG176" s="134">
        <f t="shared" si="21"/>
        <v>0</v>
      </c>
      <c r="AH176" s="111"/>
    </row>
    <row r="177" spans="1:35" ht="15.75" customHeight="1" x14ac:dyDescent="0.25">
      <c r="A177" s="53" t="s">
        <v>115</v>
      </c>
      <c r="B177" s="135">
        <f t="shared" ref="B177:AF177" si="26">SUM(B178:B179)</f>
        <v>7</v>
      </c>
      <c r="C177" s="136">
        <f t="shared" si="26"/>
        <v>4</v>
      </c>
      <c r="D177" s="136">
        <f t="shared" si="26"/>
        <v>4</v>
      </c>
      <c r="E177" s="136">
        <f t="shared" si="26"/>
        <v>5</v>
      </c>
      <c r="F177" s="136">
        <f t="shared" si="26"/>
        <v>1</v>
      </c>
      <c r="G177" s="136">
        <f t="shared" si="26"/>
        <v>3</v>
      </c>
      <c r="H177" s="136">
        <f t="shared" si="26"/>
        <v>3</v>
      </c>
      <c r="I177" s="136">
        <f t="shared" si="26"/>
        <v>1</v>
      </c>
      <c r="J177" s="136">
        <f t="shared" si="26"/>
        <v>1</v>
      </c>
      <c r="K177" s="136">
        <f t="shared" si="26"/>
        <v>4</v>
      </c>
      <c r="L177" s="136">
        <f t="shared" si="26"/>
        <v>1</v>
      </c>
      <c r="M177" s="136">
        <f t="shared" si="26"/>
        <v>5</v>
      </c>
      <c r="N177" s="136">
        <f t="shared" si="26"/>
        <v>6</v>
      </c>
      <c r="O177" s="136">
        <f t="shared" si="26"/>
        <v>8</v>
      </c>
      <c r="P177" s="136">
        <f t="shared" si="26"/>
        <v>16</v>
      </c>
      <c r="Q177" s="136">
        <f t="shared" si="26"/>
        <v>4</v>
      </c>
      <c r="R177" s="136">
        <f t="shared" si="26"/>
        <v>3</v>
      </c>
      <c r="S177" s="136">
        <f t="shared" si="26"/>
        <v>9</v>
      </c>
      <c r="T177" s="136">
        <f t="shared" si="26"/>
        <v>2</v>
      </c>
      <c r="U177" s="136">
        <f t="shared" si="26"/>
        <v>9</v>
      </c>
      <c r="V177" s="136">
        <f t="shared" si="26"/>
        <v>3</v>
      </c>
      <c r="W177" s="136">
        <f t="shared" si="26"/>
        <v>1</v>
      </c>
      <c r="X177" s="136">
        <f t="shared" si="26"/>
        <v>3</v>
      </c>
      <c r="Y177" s="136">
        <f t="shared" si="26"/>
        <v>2</v>
      </c>
      <c r="Z177" s="136">
        <f t="shared" si="26"/>
        <v>7</v>
      </c>
      <c r="AA177" s="136">
        <f t="shared" si="26"/>
        <v>2</v>
      </c>
      <c r="AB177" s="136">
        <f t="shared" si="26"/>
        <v>6</v>
      </c>
      <c r="AC177" s="136">
        <f t="shared" si="26"/>
        <v>6</v>
      </c>
      <c r="AD177" s="136">
        <f t="shared" si="26"/>
        <v>2</v>
      </c>
      <c r="AE177" s="136">
        <f t="shared" si="26"/>
        <v>3</v>
      </c>
      <c r="AF177" s="240">
        <f t="shared" si="26"/>
        <v>0</v>
      </c>
      <c r="AG177" s="137">
        <f t="shared" si="21"/>
        <v>131</v>
      </c>
      <c r="AH177" s="111" t="s">
        <v>116</v>
      </c>
    </row>
    <row r="178" spans="1:35" ht="15.75" customHeight="1" x14ac:dyDescent="0.25">
      <c r="A178" s="138" t="s">
        <v>117</v>
      </c>
      <c r="B178" s="139">
        <v>0</v>
      </c>
      <c r="C178" s="140">
        <v>0</v>
      </c>
      <c r="D178" s="140">
        <v>2</v>
      </c>
      <c r="E178" s="140">
        <v>0</v>
      </c>
      <c r="F178" s="140">
        <v>0</v>
      </c>
      <c r="G178" s="140">
        <v>1</v>
      </c>
      <c r="H178" s="140">
        <v>1</v>
      </c>
      <c r="I178" s="140">
        <v>0</v>
      </c>
      <c r="J178" s="140">
        <v>1</v>
      </c>
      <c r="K178" s="140">
        <v>0</v>
      </c>
      <c r="L178" s="140">
        <v>0</v>
      </c>
      <c r="M178" s="140">
        <v>1</v>
      </c>
      <c r="N178" s="140">
        <v>1</v>
      </c>
      <c r="O178" s="140">
        <v>2</v>
      </c>
      <c r="P178" s="140">
        <v>1</v>
      </c>
      <c r="Q178" s="140">
        <v>0</v>
      </c>
      <c r="R178" s="140">
        <v>0</v>
      </c>
      <c r="S178" s="140">
        <v>3</v>
      </c>
      <c r="T178" s="140">
        <v>0</v>
      </c>
      <c r="U178" s="140">
        <v>0</v>
      </c>
      <c r="V178" s="140">
        <v>1</v>
      </c>
      <c r="W178" s="140">
        <v>0</v>
      </c>
      <c r="X178" s="140">
        <v>1</v>
      </c>
      <c r="Y178" s="140">
        <v>0</v>
      </c>
      <c r="Z178" s="140">
        <v>2</v>
      </c>
      <c r="AA178" s="140">
        <v>1</v>
      </c>
      <c r="AB178" s="140">
        <v>1</v>
      </c>
      <c r="AC178" s="140">
        <v>1</v>
      </c>
      <c r="AD178" s="140">
        <v>0</v>
      </c>
      <c r="AE178" s="140">
        <v>1</v>
      </c>
      <c r="AF178" s="241"/>
      <c r="AG178" s="141">
        <f t="shared" si="21"/>
        <v>21</v>
      </c>
      <c r="AH178" s="111" t="s">
        <v>116</v>
      </c>
    </row>
    <row r="179" spans="1:35" ht="15.75" customHeight="1" x14ac:dyDescent="0.25">
      <c r="A179" s="58" t="s">
        <v>118</v>
      </c>
      <c r="B179" s="142">
        <v>7</v>
      </c>
      <c r="C179" s="143">
        <v>4</v>
      </c>
      <c r="D179" s="143">
        <v>2</v>
      </c>
      <c r="E179" s="143">
        <v>5</v>
      </c>
      <c r="F179" s="143">
        <v>1</v>
      </c>
      <c r="G179" s="143">
        <v>2</v>
      </c>
      <c r="H179" s="143">
        <v>2</v>
      </c>
      <c r="I179" s="143">
        <v>1</v>
      </c>
      <c r="J179" s="143">
        <v>0</v>
      </c>
      <c r="K179" s="143">
        <v>4</v>
      </c>
      <c r="L179" s="143">
        <v>1</v>
      </c>
      <c r="M179" s="143">
        <v>4</v>
      </c>
      <c r="N179" s="143">
        <v>5</v>
      </c>
      <c r="O179" s="143">
        <v>6</v>
      </c>
      <c r="P179" s="143">
        <v>15</v>
      </c>
      <c r="Q179" s="143">
        <v>4</v>
      </c>
      <c r="R179" s="143">
        <v>3</v>
      </c>
      <c r="S179" s="143">
        <v>6</v>
      </c>
      <c r="T179" s="143">
        <v>2</v>
      </c>
      <c r="U179" s="143">
        <v>9</v>
      </c>
      <c r="V179" s="143">
        <v>2</v>
      </c>
      <c r="W179" s="143">
        <v>1</v>
      </c>
      <c r="X179" s="143">
        <v>2</v>
      </c>
      <c r="Y179" s="143">
        <v>2</v>
      </c>
      <c r="Z179" s="143">
        <v>5</v>
      </c>
      <c r="AA179" s="143">
        <v>1</v>
      </c>
      <c r="AB179" s="143">
        <v>5</v>
      </c>
      <c r="AC179" s="143">
        <v>5</v>
      </c>
      <c r="AD179" s="143">
        <v>2</v>
      </c>
      <c r="AE179" s="143">
        <v>2</v>
      </c>
      <c r="AF179" s="242"/>
      <c r="AG179" s="144">
        <f t="shared" si="21"/>
        <v>110</v>
      </c>
      <c r="AH179" s="111" t="s">
        <v>116</v>
      </c>
    </row>
    <row r="180" spans="1:35" ht="15.75" customHeight="1" x14ac:dyDescent="0.25">
      <c r="A180" s="145" t="s">
        <v>119</v>
      </c>
      <c r="B180" s="146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243"/>
      <c r="AG180" s="148">
        <f t="shared" si="21"/>
        <v>0</v>
      </c>
    </row>
    <row r="181" spans="1:35" ht="15.75" customHeight="1" x14ac:dyDescent="0.25">
      <c r="A181" s="149" t="s">
        <v>120</v>
      </c>
      <c r="B181" s="150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244"/>
      <c r="AG181" s="152">
        <f t="shared" si="21"/>
        <v>0</v>
      </c>
    </row>
    <row r="182" spans="1:35" ht="15.75" customHeight="1" x14ac:dyDescent="0.25">
      <c r="A182" s="153" t="s">
        <v>121</v>
      </c>
      <c r="B182" s="154">
        <f t="shared" ref="B182:AF182" si="27">SUM(B183:B208)</f>
        <v>62</v>
      </c>
      <c r="C182" s="155">
        <f t="shared" si="27"/>
        <v>63</v>
      </c>
      <c r="D182" s="155">
        <f t="shared" si="27"/>
        <v>123</v>
      </c>
      <c r="E182" s="155">
        <f t="shared" si="27"/>
        <v>106</v>
      </c>
      <c r="F182" s="155">
        <f t="shared" si="27"/>
        <v>107</v>
      </c>
      <c r="G182" s="155">
        <f t="shared" si="27"/>
        <v>76</v>
      </c>
      <c r="H182" s="155">
        <f t="shared" si="27"/>
        <v>57</v>
      </c>
      <c r="I182" s="155">
        <f t="shared" si="27"/>
        <v>62</v>
      </c>
      <c r="J182" s="155">
        <f t="shared" si="27"/>
        <v>66</v>
      </c>
      <c r="K182" s="155">
        <f t="shared" si="27"/>
        <v>106</v>
      </c>
      <c r="L182" s="155">
        <f t="shared" si="27"/>
        <v>113</v>
      </c>
      <c r="M182" s="155">
        <f t="shared" si="27"/>
        <v>81</v>
      </c>
      <c r="N182" s="155">
        <f t="shared" si="27"/>
        <v>86</v>
      </c>
      <c r="O182" s="155">
        <f t="shared" si="27"/>
        <v>78</v>
      </c>
      <c r="P182" s="155">
        <f t="shared" si="27"/>
        <v>47</v>
      </c>
      <c r="Q182" s="155">
        <f t="shared" si="27"/>
        <v>70</v>
      </c>
      <c r="R182" s="155">
        <f t="shared" si="27"/>
        <v>94</v>
      </c>
      <c r="S182" s="155">
        <f t="shared" si="27"/>
        <v>104</v>
      </c>
      <c r="T182" s="155">
        <f t="shared" si="27"/>
        <v>87</v>
      </c>
      <c r="U182" s="155">
        <f t="shared" si="27"/>
        <v>88</v>
      </c>
      <c r="V182" s="155">
        <f t="shared" si="27"/>
        <v>86</v>
      </c>
      <c r="W182" s="155">
        <f t="shared" si="27"/>
        <v>46</v>
      </c>
      <c r="X182" s="155">
        <f t="shared" si="27"/>
        <v>92</v>
      </c>
      <c r="Y182" s="155">
        <f t="shared" si="27"/>
        <v>120</v>
      </c>
      <c r="Z182" s="155">
        <f t="shared" si="27"/>
        <v>93</v>
      </c>
      <c r="AA182" s="155">
        <f t="shared" si="27"/>
        <v>105</v>
      </c>
      <c r="AB182" s="155">
        <f t="shared" si="27"/>
        <v>95</v>
      </c>
      <c r="AC182" s="155">
        <f t="shared" si="27"/>
        <v>67</v>
      </c>
      <c r="AD182" s="155">
        <f t="shared" si="27"/>
        <v>92</v>
      </c>
      <c r="AE182" s="155">
        <f t="shared" si="27"/>
        <v>83</v>
      </c>
      <c r="AF182" s="245">
        <f t="shared" si="27"/>
        <v>0</v>
      </c>
      <c r="AG182" s="91">
        <f t="shared" si="21"/>
        <v>2555</v>
      </c>
      <c r="AH182" s="78"/>
    </row>
    <row r="183" spans="1:35" ht="15.75" customHeight="1" x14ac:dyDescent="0.25">
      <c r="A183" s="156" t="s">
        <v>122</v>
      </c>
      <c r="B183" s="157">
        <v>7</v>
      </c>
      <c r="C183" s="158">
        <v>4</v>
      </c>
      <c r="D183" s="158">
        <v>9</v>
      </c>
      <c r="E183" s="158">
        <v>3</v>
      </c>
      <c r="F183" s="158">
        <v>12</v>
      </c>
      <c r="G183" s="158">
        <v>1</v>
      </c>
      <c r="H183" s="158">
        <v>4</v>
      </c>
      <c r="I183" s="158">
        <v>1</v>
      </c>
      <c r="J183" s="158">
        <v>4</v>
      </c>
      <c r="K183" s="158">
        <v>8</v>
      </c>
      <c r="L183" s="158">
        <v>2</v>
      </c>
      <c r="M183" s="158">
        <v>2</v>
      </c>
      <c r="N183" s="158">
        <v>7</v>
      </c>
      <c r="O183" s="158">
        <v>2</v>
      </c>
      <c r="P183" s="158">
        <v>4</v>
      </c>
      <c r="Q183" s="158">
        <v>1</v>
      </c>
      <c r="R183" s="158">
        <v>5</v>
      </c>
      <c r="S183" s="158">
        <v>13</v>
      </c>
      <c r="T183" s="158">
        <v>6</v>
      </c>
      <c r="U183" s="158">
        <v>6</v>
      </c>
      <c r="V183" s="158">
        <v>8</v>
      </c>
      <c r="W183" s="158">
        <v>1</v>
      </c>
      <c r="X183" s="158">
        <v>1</v>
      </c>
      <c r="Y183" s="158">
        <v>5</v>
      </c>
      <c r="Z183" s="158">
        <v>12</v>
      </c>
      <c r="AA183" s="158"/>
      <c r="AB183" s="158">
        <v>4</v>
      </c>
      <c r="AC183" s="158">
        <v>5</v>
      </c>
      <c r="AD183" s="158">
        <v>8</v>
      </c>
      <c r="AE183" s="158">
        <v>2</v>
      </c>
      <c r="AF183" s="246"/>
      <c r="AG183" s="159">
        <f t="shared" si="21"/>
        <v>147</v>
      </c>
    </row>
    <row r="184" spans="1:35" ht="15.75" customHeight="1" x14ac:dyDescent="0.25">
      <c r="A184" s="160" t="s">
        <v>123</v>
      </c>
      <c r="B184" s="65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222"/>
      <c r="AG184" s="15">
        <f t="shared" si="21"/>
        <v>0</v>
      </c>
    </row>
    <row r="185" spans="1:35" ht="15.75" customHeight="1" x14ac:dyDescent="0.25">
      <c r="A185" s="160" t="s">
        <v>124</v>
      </c>
      <c r="B185" s="65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>
        <v>1</v>
      </c>
      <c r="AF185" s="222"/>
      <c r="AG185" s="15">
        <f t="shared" si="21"/>
        <v>1</v>
      </c>
    </row>
    <row r="186" spans="1:35" ht="15.75" customHeight="1" x14ac:dyDescent="0.25">
      <c r="A186" s="160" t="s">
        <v>125</v>
      </c>
      <c r="B186" s="65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>
        <v>1</v>
      </c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>
        <v>1</v>
      </c>
      <c r="AC186" s="66"/>
      <c r="AD186" s="66"/>
      <c r="AE186" s="66"/>
      <c r="AF186" s="222"/>
      <c r="AG186" s="15">
        <f t="shared" si="21"/>
        <v>2</v>
      </c>
    </row>
    <row r="187" spans="1:35" ht="15.75" customHeight="1" x14ac:dyDescent="0.25">
      <c r="A187" s="161" t="s">
        <v>126</v>
      </c>
      <c r="B187" s="162">
        <v>53</v>
      </c>
      <c r="C187" s="163">
        <v>57</v>
      </c>
      <c r="D187" s="163">
        <v>109</v>
      </c>
      <c r="E187" s="163">
        <v>94</v>
      </c>
      <c r="F187" s="163">
        <v>85</v>
      </c>
      <c r="G187" s="163">
        <v>72</v>
      </c>
      <c r="H187" s="163">
        <v>52</v>
      </c>
      <c r="I187" s="163">
        <v>60</v>
      </c>
      <c r="J187" s="163">
        <v>61</v>
      </c>
      <c r="K187" s="163">
        <v>93</v>
      </c>
      <c r="L187" s="163">
        <v>105</v>
      </c>
      <c r="M187" s="163">
        <v>75</v>
      </c>
      <c r="N187" s="163">
        <v>71</v>
      </c>
      <c r="O187" s="163">
        <v>64</v>
      </c>
      <c r="P187" s="163">
        <v>40</v>
      </c>
      <c r="Q187" s="163">
        <v>61</v>
      </c>
      <c r="R187" s="163">
        <v>85</v>
      </c>
      <c r="S187" s="163">
        <v>84</v>
      </c>
      <c r="T187" s="163">
        <v>76</v>
      </c>
      <c r="U187" s="163">
        <v>79</v>
      </c>
      <c r="V187" s="163">
        <v>73</v>
      </c>
      <c r="W187" s="163">
        <v>41</v>
      </c>
      <c r="X187" s="163">
        <v>89</v>
      </c>
      <c r="Y187" s="163">
        <v>112</v>
      </c>
      <c r="Z187" s="163">
        <v>77</v>
      </c>
      <c r="AA187" s="163">
        <v>97</v>
      </c>
      <c r="AB187" s="163">
        <v>84</v>
      </c>
      <c r="AC187" s="163">
        <v>59</v>
      </c>
      <c r="AD187" s="163">
        <v>83</v>
      </c>
      <c r="AE187" s="163">
        <v>76</v>
      </c>
      <c r="AF187" s="247"/>
      <c r="AG187" s="164">
        <f t="shared" si="21"/>
        <v>2267</v>
      </c>
      <c r="AH187" s="165"/>
      <c r="AI187" s="165"/>
    </row>
    <row r="188" spans="1:35" ht="15.75" customHeight="1" x14ac:dyDescent="0.25">
      <c r="A188" s="160" t="s">
        <v>127</v>
      </c>
      <c r="B188" s="65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222"/>
      <c r="AG188" s="15">
        <f t="shared" si="21"/>
        <v>0</v>
      </c>
    </row>
    <row r="189" spans="1:35" ht="15.75" customHeight="1" x14ac:dyDescent="0.25">
      <c r="A189" s="160" t="s">
        <v>128</v>
      </c>
      <c r="B189" s="65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222"/>
      <c r="AG189" s="15">
        <f t="shared" si="21"/>
        <v>0</v>
      </c>
    </row>
    <row r="190" spans="1:35" ht="15.75" customHeight="1" x14ac:dyDescent="0.25">
      <c r="A190" s="160" t="s">
        <v>129</v>
      </c>
      <c r="B190" s="65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222"/>
      <c r="AG190" s="15">
        <f t="shared" si="21"/>
        <v>0</v>
      </c>
    </row>
    <row r="191" spans="1:35" ht="15.75" customHeight="1" x14ac:dyDescent="0.25">
      <c r="A191" s="160" t="s">
        <v>130</v>
      </c>
      <c r="B191" s="65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>
        <v>4</v>
      </c>
      <c r="P191" s="66"/>
      <c r="Q191" s="66">
        <v>7</v>
      </c>
      <c r="R191" s="66"/>
      <c r="S191" s="66"/>
      <c r="T191" s="66"/>
      <c r="U191" s="66"/>
      <c r="V191" s="66"/>
      <c r="W191" s="66"/>
      <c r="X191" s="66">
        <v>1</v>
      </c>
      <c r="Y191" s="66"/>
      <c r="Z191" s="66"/>
      <c r="AA191" s="66"/>
      <c r="AB191" s="66"/>
      <c r="AC191" s="66"/>
      <c r="AD191" s="66"/>
      <c r="AE191" s="66">
        <v>2</v>
      </c>
      <c r="AF191" s="222"/>
      <c r="AG191" s="15">
        <f t="shared" si="21"/>
        <v>14</v>
      </c>
    </row>
    <row r="192" spans="1:35" ht="15.75" customHeight="1" x14ac:dyDescent="0.25">
      <c r="A192" s="64" t="s">
        <v>131</v>
      </c>
      <c r="B192" s="65"/>
      <c r="C192" s="66">
        <v>1</v>
      </c>
      <c r="D192" s="66">
        <v>3</v>
      </c>
      <c r="E192" s="66">
        <v>6</v>
      </c>
      <c r="F192" s="66">
        <v>6</v>
      </c>
      <c r="G192" s="66">
        <v>3</v>
      </c>
      <c r="H192" s="66"/>
      <c r="I192" s="66"/>
      <c r="J192" s="66"/>
      <c r="K192" s="66">
        <v>2</v>
      </c>
      <c r="L192" s="66">
        <v>4</v>
      </c>
      <c r="M192" s="66">
        <v>3</v>
      </c>
      <c r="N192" s="66">
        <v>5</v>
      </c>
      <c r="O192" s="66">
        <v>6</v>
      </c>
      <c r="P192" s="66"/>
      <c r="Q192" s="66"/>
      <c r="R192" s="66">
        <v>2</v>
      </c>
      <c r="S192" s="66">
        <v>3</v>
      </c>
      <c r="T192" s="66">
        <v>5</v>
      </c>
      <c r="U192" s="66"/>
      <c r="V192" s="66">
        <v>2</v>
      </c>
      <c r="W192" s="66"/>
      <c r="X192" s="66"/>
      <c r="Y192" s="66">
        <v>2</v>
      </c>
      <c r="Z192" s="66">
        <v>3</v>
      </c>
      <c r="AA192" s="66">
        <v>5</v>
      </c>
      <c r="AB192" s="66">
        <v>2</v>
      </c>
      <c r="AC192" s="66"/>
      <c r="AD192" s="66"/>
      <c r="AE192" s="66"/>
      <c r="AF192" s="222"/>
      <c r="AG192" s="15">
        <f t="shared" si="21"/>
        <v>63</v>
      </c>
    </row>
    <row r="193" spans="1:33" ht="15.75" customHeight="1" x14ac:dyDescent="0.25">
      <c r="A193" s="64" t="s">
        <v>132</v>
      </c>
      <c r="B193" s="65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222"/>
      <c r="AG193" s="15">
        <f t="shared" si="21"/>
        <v>0</v>
      </c>
    </row>
    <row r="194" spans="1:33" ht="15.75" customHeight="1" x14ac:dyDescent="0.25">
      <c r="A194" s="64" t="s">
        <v>133</v>
      </c>
      <c r="B194" s="65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222"/>
      <c r="AG194" s="15">
        <f t="shared" si="21"/>
        <v>0</v>
      </c>
    </row>
    <row r="195" spans="1:33" ht="15.75" customHeight="1" x14ac:dyDescent="0.25">
      <c r="A195" s="64" t="s">
        <v>134</v>
      </c>
      <c r="B195" s="65"/>
      <c r="C195" s="66"/>
      <c r="D195" s="66">
        <v>1</v>
      </c>
      <c r="E195" s="66"/>
      <c r="F195" s="66">
        <v>1</v>
      </c>
      <c r="G195" s="66"/>
      <c r="H195" s="66"/>
      <c r="I195" s="66"/>
      <c r="J195" s="66"/>
      <c r="K195" s="66">
        <v>1</v>
      </c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222"/>
      <c r="AG195" s="15">
        <f t="shared" si="21"/>
        <v>3</v>
      </c>
    </row>
    <row r="196" spans="1:33" ht="15.75" customHeight="1" x14ac:dyDescent="0.25">
      <c r="A196" s="166" t="s">
        <v>135</v>
      </c>
      <c r="B196" s="167">
        <v>2</v>
      </c>
      <c r="C196" s="168"/>
      <c r="D196" s="168"/>
      <c r="E196" s="168">
        <v>1</v>
      </c>
      <c r="F196" s="168"/>
      <c r="G196" s="168"/>
      <c r="H196" s="168"/>
      <c r="I196" s="168"/>
      <c r="J196" s="168"/>
      <c r="K196" s="168"/>
      <c r="L196" s="168"/>
      <c r="M196" s="168"/>
      <c r="N196" s="168"/>
      <c r="O196" s="168">
        <v>1</v>
      </c>
      <c r="P196" s="168">
        <v>2</v>
      </c>
      <c r="Q196" s="168"/>
      <c r="R196" s="168"/>
      <c r="S196" s="168">
        <v>2</v>
      </c>
      <c r="T196" s="168"/>
      <c r="U196" s="168">
        <v>3</v>
      </c>
      <c r="V196" s="168"/>
      <c r="W196" s="168">
        <v>2</v>
      </c>
      <c r="X196" s="168">
        <v>1</v>
      </c>
      <c r="Y196" s="168"/>
      <c r="Z196" s="168"/>
      <c r="AA196" s="168"/>
      <c r="AB196" s="168">
        <v>3</v>
      </c>
      <c r="AC196" s="168">
        <v>1</v>
      </c>
      <c r="AD196" s="168">
        <v>1</v>
      </c>
      <c r="AE196" s="168">
        <v>2</v>
      </c>
      <c r="AF196" s="248"/>
      <c r="AG196" s="169">
        <f t="shared" si="21"/>
        <v>21</v>
      </c>
    </row>
    <row r="197" spans="1:33" ht="15.75" customHeight="1" x14ac:dyDescent="0.25">
      <c r="A197" s="170" t="s">
        <v>136</v>
      </c>
      <c r="B197" s="65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222"/>
      <c r="AG197" s="15">
        <f t="shared" si="21"/>
        <v>0</v>
      </c>
    </row>
    <row r="198" spans="1:33" ht="15.75" customHeight="1" x14ac:dyDescent="0.25">
      <c r="A198" s="170" t="s">
        <v>137</v>
      </c>
      <c r="B198" s="65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222"/>
      <c r="AG198" s="15">
        <f t="shared" si="21"/>
        <v>0</v>
      </c>
    </row>
    <row r="199" spans="1:33" ht="15.75" customHeight="1" x14ac:dyDescent="0.25">
      <c r="A199" s="170" t="s">
        <v>138</v>
      </c>
      <c r="B199" s="65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222"/>
      <c r="AG199" s="15">
        <f t="shared" si="21"/>
        <v>0</v>
      </c>
    </row>
    <row r="200" spans="1:33" ht="15.75" customHeight="1" x14ac:dyDescent="0.25">
      <c r="A200" s="170" t="s">
        <v>139</v>
      </c>
      <c r="B200" s="65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222"/>
      <c r="AG200" s="15">
        <f t="shared" si="21"/>
        <v>0</v>
      </c>
    </row>
    <row r="201" spans="1:33" ht="15.75" customHeight="1" x14ac:dyDescent="0.25">
      <c r="A201" s="170" t="s">
        <v>140</v>
      </c>
      <c r="B201" s="65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222"/>
      <c r="AG201" s="15">
        <f t="shared" si="21"/>
        <v>0</v>
      </c>
    </row>
    <row r="202" spans="1:33" ht="15.75" customHeight="1" x14ac:dyDescent="0.25">
      <c r="A202" s="170" t="s">
        <v>141</v>
      </c>
      <c r="B202" s="65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222"/>
      <c r="AG202" s="15">
        <f t="shared" si="21"/>
        <v>0</v>
      </c>
    </row>
    <row r="203" spans="1:33" ht="15.75" customHeight="1" x14ac:dyDescent="0.25">
      <c r="A203" s="64" t="s">
        <v>142</v>
      </c>
      <c r="B203" s="65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>
        <v>1</v>
      </c>
      <c r="O203" s="66"/>
      <c r="P203" s="66"/>
      <c r="Q203" s="66"/>
      <c r="R203" s="66">
        <v>1</v>
      </c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222"/>
      <c r="AG203" s="15">
        <f t="shared" si="21"/>
        <v>2</v>
      </c>
    </row>
    <row r="204" spans="1:33" ht="15.75" customHeight="1" x14ac:dyDescent="0.25">
      <c r="A204" s="64" t="s">
        <v>143</v>
      </c>
      <c r="B204" s="65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222"/>
      <c r="AG204" s="15">
        <f t="shared" si="21"/>
        <v>0</v>
      </c>
    </row>
    <row r="205" spans="1:33" ht="15.75" customHeight="1" x14ac:dyDescent="0.25">
      <c r="A205" s="64" t="s">
        <v>144</v>
      </c>
      <c r="B205" s="65"/>
      <c r="C205" s="66">
        <v>1</v>
      </c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>
        <v>1</v>
      </c>
      <c r="R205" s="66"/>
      <c r="S205" s="66"/>
      <c r="T205" s="66"/>
      <c r="U205" s="66"/>
      <c r="V205" s="66">
        <v>1</v>
      </c>
      <c r="W205" s="66"/>
      <c r="X205" s="66"/>
      <c r="Y205" s="66"/>
      <c r="Z205" s="66"/>
      <c r="AA205" s="66">
        <v>1</v>
      </c>
      <c r="AB205" s="66"/>
      <c r="AC205" s="66"/>
      <c r="AD205" s="66"/>
      <c r="AE205" s="66"/>
      <c r="AF205" s="222"/>
      <c r="AG205" s="15">
        <f t="shared" si="21"/>
        <v>4</v>
      </c>
    </row>
    <row r="206" spans="1:33" ht="15.75" customHeight="1" x14ac:dyDescent="0.25">
      <c r="A206" s="64" t="s">
        <v>145</v>
      </c>
      <c r="B206" s="171"/>
      <c r="C206" s="172"/>
      <c r="D206" s="172"/>
      <c r="E206" s="172">
        <v>2</v>
      </c>
      <c r="F206" s="172">
        <v>3</v>
      </c>
      <c r="G206" s="172"/>
      <c r="H206" s="172"/>
      <c r="I206" s="172">
        <v>1</v>
      </c>
      <c r="J206" s="172">
        <v>1</v>
      </c>
      <c r="K206" s="172">
        <v>1</v>
      </c>
      <c r="L206" s="172"/>
      <c r="M206" s="172"/>
      <c r="N206" s="172"/>
      <c r="O206" s="172"/>
      <c r="P206" s="172">
        <v>1</v>
      </c>
      <c r="Q206" s="172"/>
      <c r="R206" s="172"/>
      <c r="S206" s="172">
        <v>1</v>
      </c>
      <c r="T206" s="172"/>
      <c r="U206" s="172"/>
      <c r="V206" s="172">
        <v>1</v>
      </c>
      <c r="W206" s="172">
        <v>1</v>
      </c>
      <c r="X206" s="172"/>
      <c r="Y206" s="172">
        <v>1</v>
      </c>
      <c r="Z206" s="172"/>
      <c r="AA206" s="172">
        <v>1</v>
      </c>
      <c r="AB206" s="172"/>
      <c r="AC206" s="172">
        <v>1</v>
      </c>
      <c r="AD206" s="172"/>
      <c r="AE206" s="172"/>
      <c r="AF206" s="249"/>
      <c r="AG206" s="15">
        <f t="shared" si="21"/>
        <v>15</v>
      </c>
    </row>
    <row r="207" spans="1:33" ht="15.75" customHeight="1" x14ac:dyDescent="0.25">
      <c r="A207" s="173" t="s">
        <v>146</v>
      </c>
      <c r="B207" s="171"/>
      <c r="C207" s="172"/>
      <c r="D207" s="172">
        <v>1</v>
      </c>
      <c r="E207" s="172"/>
      <c r="F207" s="172"/>
      <c r="G207" s="172"/>
      <c r="H207" s="172">
        <v>1</v>
      </c>
      <c r="I207" s="172"/>
      <c r="J207" s="172"/>
      <c r="K207" s="172">
        <v>1</v>
      </c>
      <c r="L207" s="172">
        <v>2</v>
      </c>
      <c r="M207" s="172">
        <v>1</v>
      </c>
      <c r="N207" s="172">
        <v>1</v>
      </c>
      <c r="O207" s="172"/>
      <c r="P207" s="172"/>
      <c r="Q207" s="172"/>
      <c r="R207" s="172">
        <v>1</v>
      </c>
      <c r="S207" s="172">
        <v>1</v>
      </c>
      <c r="T207" s="172"/>
      <c r="U207" s="172"/>
      <c r="V207" s="172">
        <v>1</v>
      </c>
      <c r="W207" s="172">
        <v>1</v>
      </c>
      <c r="X207" s="172"/>
      <c r="Y207" s="172"/>
      <c r="Z207" s="172">
        <v>1</v>
      </c>
      <c r="AA207" s="172">
        <v>1</v>
      </c>
      <c r="AB207" s="172">
        <v>1</v>
      </c>
      <c r="AC207" s="172">
        <v>1</v>
      </c>
      <c r="AD207" s="172"/>
      <c r="AE207" s="172"/>
      <c r="AF207" s="249"/>
      <c r="AG207" s="15">
        <f t="shared" si="21"/>
        <v>15</v>
      </c>
    </row>
    <row r="208" spans="1:33" ht="15.75" customHeight="1" x14ac:dyDescent="0.25">
      <c r="A208" s="174" t="s">
        <v>147</v>
      </c>
      <c r="B208" s="171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>
        <v>1</v>
      </c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  <c r="AA208" s="172"/>
      <c r="AB208" s="172"/>
      <c r="AC208" s="172"/>
      <c r="AD208" s="172"/>
      <c r="AE208" s="172"/>
      <c r="AF208" s="249"/>
      <c r="AG208" s="106">
        <f t="shared" si="21"/>
        <v>1</v>
      </c>
    </row>
    <row r="209" spans="1:34" ht="15.75" customHeight="1" x14ac:dyDescent="0.25">
      <c r="A209" s="175" t="s">
        <v>148</v>
      </c>
      <c r="B209" s="176">
        <f t="shared" ref="B209:AF209" si="28">SUM(B210:B214)</f>
        <v>228</v>
      </c>
      <c r="C209" s="177">
        <f t="shared" si="28"/>
        <v>218</v>
      </c>
      <c r="D209" s="177">
        <f t="shared" si="28"/>
        <v>259</v>
      </c>
      <c r="E209" s="177">
        <f t="shared" si="28"/>
        <v>216</v>
      </c>
      <c r="F209" s="177">
        <f t="shared" si="28"/>
        <v>220</v>
      </c>
      <c r="G209" s="177">
        <f t="shared" si="28"/>
        <v>201</v>
      </c>
      <c r="H209" s="177">
        <f t="shared" si="28"/>
        <v>196</v>
      </c>
      <c r="I209" s="177">
        <f t="shared" si="28"/>
        <v>212</v>
      </c>
      <c r="J209" s="177">
        <f t="shared" si="28"/>
        <v>213</v>
      </c>
      <c r="K209" s="177">
        <f t="shared" si="28"/>
        <v>248</v>
      </c>
      <c r="L209" s="177">
        <f t="shared" si="28"/>
        <v>256</v>
      </c>
      <c r="M209" s="177">
        <f t="shared" si="28"/>
        <v>216</v>
      </c>
      <c r="N209" s="177">
        <f t="shared" si="28"/>
        <v>216</v>
      </c>
      <c r="O209" s="177">
        <f t="shared" si="28"/>
        <v>193</v>
      </c>
      <c r="P209" s="177">
        <f t="shared" si="28"/>
        <v>185</v>
      </c>
      <c r="Q209" s="177">
        <f t="shared" si="28"/>
        <v>202</v>
      </c>
      <c r="R209" s="177">
        <f t="shared" si="28"/>
        <v>227</v>
      </c>
      <c r="S209" s="177">
        <f t="shared" si="28"/>
        <v>243</v>
      </c>
      <c r="T209" s="177">
        <f t="shared" si="28"/>
        <v>230</v>
      </c>
      <c r="U209" s="177">
        <f t="shared" si="28"/>
        <v>234</v>
      </c>
      <c r="V209" s="177">
        <f t="shared" si="28"/>
        <v>207</v>
      </c>
      <c r="W209" s="177">
        <f t="shared" si="28"/>
        <v>165</v>
      </c>
      <c r="X209" s="177">
        <f t="shared" si="28"/>
        <v>230</v>
      </c>
      <c r="Y209" s="177">
        <f t="shared" si="28"/>
        <v>265</v>
      </c>
      <c r="Z209" s="177">
        <f t="shared" si="28"/>
        <v>226</v>
      </c>
      <c r="AA209" s="177">
        <f t="shared" si="28"/>
        <v>238</v>
      </c>
      <c r="AB209" s="177">
        <f t="shared" si="28"/>
        <v>239</v>
      </c>
      <c r="AC209" s="177">
        <f t="shared" si="28"/>
        <v>211</v>
      </c>
      <c r="AD209" s="177">
        <f t="shared" si="28"/>
        <v>214</v>
      </c>
      <c r="AE209" s="177">
        <f t="shared" si="28"/>
        <v>196</v>
      </c>
      <c r="AF209" s="250">
        <f t="shared" si="28"/>
        <v>0</v>
      </c>
      <c r="AG209" s="178">
        <f t="shared" si="21"/>
        <v>6604</v>
      </c>
      <c r="AH209" s="40" t="str">
        <f>IF(AG209&lt;&gt;AG93,"X","")</f>
        <v/>
      </c>
    </row>
    <row r="210" spans="1:34" ht="15.75" customHeight="1" x14ac:dyDescent="0.25">
      <c r="A210" s="179" t="s">
        <v>149</v>
      </c>
      <c r="B210" s="180"/>
      <c r="C210" s="181"/>
      <c r="D210" s="181"/>
      <c r="E210" s="181"/>
      <c r="F210" s="181"/>
      <c r="G210" s="181"/>
      <c r="H210" s="181"/>
      <c r="I210" s="181">
        <v>1</v>
      </c>
      <c r="J210" s="181"/>
      <c r="K210" s="181">
        <v>1</v>
      </c>
      <c r="L210" s="181"/>
      <c r="M210" s="181"/>
      <c r="N210" s="181"/>
      <c r="O210" s="181"/>
      <c r="P210" s="181"/>
      <c r="Q210" s="181"/>
      <c r="R210" s="181"/>
      <c r="S210" s="181"/>
      <c r="T210" s="181"/>
      <c r="U210" s="181">
        <v>1</v>
      </c>
      <c r="V210" s="181"/>
      <c r="W210" s="181"/>
      <c r="X210" s="181"/>
      <c r="Y210" s="181"/>
      <c r="Z210" s="181">
        <v>1</v>
      </c>
      <c r="AA210" s="181"/>
      <c r="AB210" s="181">
        <v>1</v>
      </c>
      <c r="AC210" s="181">
        <v>1</v>
      </c>
      <c r="AD210" s="181"/>
      <c r="AE210" s="181"/>
      <c r="AF210" s="251"/>
      <c r="AG210" s="182">
        <f t="shared" si="21"/>
        <v>6</v>
      </c>
    </row>
    <row r="211" spans="1:34" ht="15.75" customHeight="1" x14ac:dyDescent="0.25">
      <c r="A211" s="183" t="s">
        <v>51</v>
      </c>
      <c r="B211" s="184">
        <v>3</v>
      </c>
      <c r="C211" s="185">
        <v>1</v>
      </c>
      <c r="D211" s="185">
        <v>2</v>
      </c>
      <c r="E211" s="185">
        <v>2</v>
      </c>
      <c r="F211" s="185">
        <v>4</v>
      </c>
      <c r="G211" s="185">
        <v>2</v>
      </c>
      <c r="H211" s="185">
        <v>2</v>
      </c>
      <c r="I211" s="185">
        <v>2</v>
      </c>
      <c r="J211" s="185">
        <v>3</v>
      </c>
      <c r="K211" s="185">
        <v>4</v>
      </c>
      <c r="L211" s="185">
        <v>2</v>
      </c>
      <c r="M211" s="185">
        <v>1</v>
      </c>
      <c r="N211" s="185">
        <v>4</v>
      </c>
      <c r="O211" s="185">
        <v>2</v>
      </c>
      <c r="P211" s="185">
        <v>1</v>
      </c>
      <c r="Q211" s="185">
        <v>2</v>
      </c>
      <c r="R211" s="185">
        <v>1</v>
      </c>
      <c r="S211" s="185">
        <v>2</v>
      </c>
      <c r="T211" s="185">
        <v>6</v>
      </c>
      <c r="U211" s="185">
        <v>4</v>
      </c>
      <c r="V211" s="185">
        <v>2</v>
      </c>
      <c r="W211" s="185">
        <v>2</v>
      </c>
      <c r="X211" s="185">
        <v>2</v>
      </c>
      <c r="Y211" s="185">
        <v>3</v>
      </c>
      <c r="Z211" s="185">
        <v>5</v>
      </c>
      <c r="AA211" s="185">
        <v>5</v>
      </c>
      <c r="AB211" s="185">
        <v>6</v>
      </c>
      <c r="AC211" s="185"/>
      <c r="AD211" s="185">
        <v>3</v>
      </c>
      <c r="AE211" s="185">
        <v>1</v>
      </c>
      <c r="AF211" s="252"/>
      <c r="AG211" s="186">
        <f t="shared" si="21"/>
        <v>79</v>
      </c>
    </row>
    <row r="212" spans="1:34" ht="15.75" customHeight="1" x14ac:dyDescent="0.25">
      <c r="A212" s="183" t="s">
        <v>52</v>
      </c>
      <c r="B212" s="184">
        <v>32</v>
      </c>
      <c r="C212" s="185">
        <v>21</v>
      </c>
      <c r="D212" s="185">
        <v>29</v>
      </c>
      <c r="E212" s="185">
        <v>30</v>
      </c>
      <c r="F212" s="185">
        <v>40</v>
      </c>
      <c r="G212" s="185">
        <v>26</v>
      </c>
      <c r="H212" s="185">
        <v>18</v>
      </c>
      <c r="I212" s="185">
        <v>15</v>
      </c>
      <c r="J212" s="185">
        <v>19</v>
      </c>
      <c r="K212" s="185">
        <v>37</v>
      </c>
      <c r="L212" s="185">
        <v>27</v>
      </c>
      <c r="M212" s="185">
        <v>26</v>
      </c>
      <c r="N212" s="185">
        <v>28</v>
      </c>
      <c r="O212" s="185">
        <v>26</v>
      </c>
      <c r="P212" s="185">
        <v>20</v>
      </c>
      <c r="Q212" s="185">
        <v>21</v>
      </c>
      <c r="R212" s="185">
        <v>22</v>
      </c>
      <c r="S212" s="185">
        <v>38</v>
      </c>
      <c r="T212" s="185">
        <v>40</v>
      </c>
      <c r="U212" s="185">
        <v>42</v>
      </c>
      <c r="V212" s="185">
        <v>28</v>
      </c>
      <c r="W212" s="185">
        <v>28</v>
      </c>
      <c r="X212" s="185">
        <v>26</v>
      </c>
      <c r="Y212" s="185">
        <v>40</v>
      </c>
      <c r="Z212" s="185">
        <v>36</v>
      </c>
      <c r="AA212" s="185">
        <v>26</v>
      </c>
      <c r="AB212" s="185">
        <v>39</v>
      </c>
      <c r="AC212" s="185">
        <v>20</v>
      </c>
      <c r="AD212" s="185">
        <v>39</v>
      </c>
      <c r="AE212" s="185">
        <v>38</v>
      </c>
      <c r="AF212" s="252"/>
      <c r="AG212" s="186">
        <f t="shared" si="21"/>
        <v>877</v>
      </c>
    </row>
    <row r="213" spans="1:34" ht="15.75" customHeight="1" x14ac:dyDescent="0.25">
      <c r="A213" s="183" t="s">
        <v>53</v>
      </c>
      <c r="B213" s="184">
        <v>165</v>
      </c>
      <c r="C213" s="185">
        <v>160</v>
      </c>
      <c r="D213" s="185">
        <v>195</v>
      </c>
      <c r="E213" s="185">
        <v>161</v>
      </c>
      <c r="F213" s="185">
        <v>150</v>
      </c>
      <c r="G213" s="185">
        <v>128</v>
      </c>
      <c r="H213" s="185">
        <v>137</v>
      </c>
      <c r="I213" s="185">
        <v>144</v>
      </c>
      <c r="J213" s="185">
        <v>162</v>
      </c>
      <c r="K213" s="185">
        <v>181</v>
      </c>
      <c r="L213" s="185">
        <v>205</v>
      </c>
      <c r="M213" s="185">
        <v>162</v>
      </c>
      <c r="N213" s="185">
        <v>156</v>
      </c>
      <c r="O213" s="185">
        <v>137</v>
      </c>
      <c r="P213" s="185">
        <v>134</v>
      </c>
      <c r="Q213" s="185">
        <v>131</v>
      </c>
      <c r="R213" s="185">
        <v>175</v>
      </c>
      <c r="S213" s="185">
        <v>168</v>
      </c>
      <c r="T213" s="185">
        <v>160</v>
      </c>
      <c r="U213" s="185">
        <v>159</v>
      </c>
      <c r="V213" s="185">
        <v>153</v>
      </c>
      <c r="W213" s="185">
        <v>110</v>
      </c>
      <c r="X213" s="185">
        <v>167</v>
      </c>
      <c r="Y213" s="185">
        <v>209</v>
      </c>
      <c r="Z213" s="185">
        <v>165</v>
      </c>
      <c r="AA213" s="185">
        <v>175</v>
      </c>
      <c r="AB213" s="185">
        <v>161</v>
      </c>
      <c r="AC213" s="185">
        <v>168</v>
      </c>
      <c r="AD213" s="185">
        <v>141</v>
      </c>
      <c r="AE213" s="185">
        <v>131</v>
      </c>
      <c r="AF213" s="252"/>
      <c r="AG213" s="186">
        <f t="shared" si="21"/>
        <v>4750</v>
      </c>
    </row>
    <row r="214" spans="1:34" ht="15.75" customHeight="1" x14ac:dyDescent="0.25">
      <c r="A214" s="187" t="s">
        <v>54</v>
      </c>
      <c r="B214" s="188">
        <v>28</v>
      </c>
      <c r="C214" s="189">
        <v>36</v>
      </c>
      <c r="D214" s="189">
        <v>33</v>
      </c>
      <c r="E214" s="189">
        <v>23</v>
      </c>
      <c r="F214" s="189">
        <v>26</v>
      </c>
      <c r="G214" s="189">
        <v>45</v>
      </c>
      <c r="H214" s="189">
        <v>39</v>
      </c>
      <c r="I214" s="189">
        <v>50</v>
      </c>
      <c r="J214" s="189">
        <v>29</v>
      </c>
      <c r="K214" s="189">
        <v>25</v>
      </c>
      <c r="L214" s="189">
        <v>22</v>
      </c>
      <c r="M214" s="189">
        <v>27</v>
      </c>
      <c r="N214" s="189">
        <v>28</v>
      </c>
      <c r="O214" s="189">
        <v>28</v>
      </c>
      <c r="P214" s="189">
        <v>30</v>
      </c>
      <c r="Q214" s="189">
        <v>48</v>
      </c>
      <c r="R214" s="189">
        <v>29</v>
      </c>
      <c r="S214" s="189">
        <v>35</v>
      </c>
      <c r="T214" s="189">
        <v>24</v>
      </c>
      <c r="U214" s="189">
        <v>28</v>
      </c>
      <c r="V214" s="189">
        <v>24</v>
      </c>
      <c r="W214" s="189">
        <v>25</v>
      </c>
      <c r="X214" s="189">
        <v>35</v>
      </c>
      <c r="Y214" s="189">
        <v>13</v>
      </c>
      <c r="Z214" s="189">
        <v>19</v>
      </c>
      <c r="AA214" s="189">
        <v>32</v>
      </c>
      <c r="AB214" s="189">
        <v>32</v>
      </c>
      <c r="AC214" s="189">
        <v>22</v>
      </c>
      <c r="AD214" s="189">
        <v>31</v>
      </c>
      <c r="AE214" s="189">
        <v>26</v>
      </c>
      <c r="AF214" s="253"/>
      <c r="AG214" s="190">
        <f t="shared" si="21"/>
        <v>892</v>
      </c>
    </row>
    <row r="215" spans="1:34" ht="15.75" customHeight="1" x14ac:dyDescent="0.25">
      <c r="A215" s="113" t="s">
        <v>150</v>
      </c>
      <c r="B215" s="114">
        <v>17</v>
      </c>
      <c r="C215" s="115">
        <v>20</v>
      </c>
      <c r="D215" s="115">
        <v>17</v>
      </c>
      <c r="E215" s="115">
        <v>18</v>
      </c>
      <c r="F215" s="115">
        <v>16</v>
      </c>
      <c r="G215" s="115">
        <v>15</v>
      </c>
      <c r="H215" s="115">
        <v>7</v>
      </c>
      <c r="I215" s="115">
        <v>14</v>
      </c>
      <c r="J215" s="115">
        <v>11</v>
      </c>
      <c r="K215" s="115">
        <v>22</v>
      </c>
      <c r="L215" s="115">
        <v>21</v>
      </c>
      <c r="M215" s="115">
        <v>12</v>
      </c>
      <c r="N215" s="115">
        <v>7</v>
      </c>
      <c r="O215" s="115">
        <v>14</v>
      </c>
      <c r="P215" s="115">
        <v>15</v>
      </c>
      <c r="Q215" s="115">
        <v>0</v>
      </c>
      <c r="R215" s="115">
        <v>14</v>
      </c>
      <c r="S215" s="115">
        <v>10</v>
      </c>
      <c r="T215" s="115">
        <v>10</v>
      </c>
      <c r="U215" s="115">
        <f t="shared" ref="U215:AF215" si="29">SUM(U216:U218)</f>
        <v>0</v>
      </c>
      <c r="V215" s="115">
        <f t="shared" si="29"/>
        <v>0</v>
      </c>
      <c r="W215" s="115">
        <f t="shared" si="29"/>
        <v>0</v>
      </c>
      <c r="X215" s="115">
        <f t="shared" si="29"/>
        <v>0</v>
      </c>
      <c r="Y215" s="115">
        <f t="shared" si="29"/>
        <v>0</v>
      </c>
      <c r="Z215" s="115">
        <f t="shared" si="29"/>
        <v>0</v>
      </c>
      <c r="AA215" s="115">
        <f t="shared" si="29"/>
        <v>0</v>
      </c>
      <c r="AB215" s="115">
        <f t="shared" si="29"/>
        <v>0</v>
      </c>
      <c r="AC215" s="115">
        <f t="shared" si="29"/>
        <v>0</v>
      </c>
      <c r="AD215" s="115">
        <f t="shared" si="29"/>
        <v>0</v>
      </c>
      <c r="AE215" s="115">
        <f t="shared" si="29"/>
        <v>0</v>
      </c>
      <c r="AF215" s="234">
        <f t="shared" si="29"/>
        <v>0</v>
      </c>
      <c r="AG215" s="116">
        <f t="shared" si="21"/>
        <v>260</v>
      </c>
    </row>
    <row r="216" spans="1:34" ht="15.75" customHeight="1" x14ac:dyDescent="0.25">
      <c r="A216" s="191" t="s">
        <v>151</v>
      </c>
      <c r="B216" s="192">
        <v>0</v>
      </c>
      <c r="C216" s="193">
        <v>0</v>
      </c>
      <c r="D216" s="193">
        <v>4</v>
      </c>
      <c r="E216" s="193">
        <v>0</v>
      </c>
      <c r="F216" s="193">
        <v>0</v>
      </c>
      <c r="G216" s="193">
        <v>0</v>
      </c>
      <c r="H216" s="193">
        <v>1</v>
      </c>
      <c r="I216" s="193">
        <v>0</v>
      </c>
      <c r="J216" s="193">
        <v>0</v>
      </c>
      <c r="K216" s="193">
        <v>1</v>
      </c>
      <c r="L216" s="193">
        <v>0</v>
      </c>
      <c r="M216" s="193">
        <v>2</v>
      </c>
      <c r="N216" s="193">
        <v>0</v>
      </c>
      <c r="O216" s="193">
        <v>0</v>
      </c>
      <c r="P216" s="193">
        <v>0</v>
      </c>
      <c r="Q216" s="193">
        <v>0</v>
      </c>
      <c r="R216" s="193">
        <v>0</v>
      </c>
      <c r="S216" s="193">
        <v>0</v>
      </c>
      <c r="T216" s="193">
        <v>2</v>
      </c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254"/>
      <c r="AG216" s="194">
        <f t="shared" si="21"/>
        <v>10</v>
      </c>
    </row>
    <row r="217" spans="1:34" ht="15.75" customHeight="1" x14ac:dyDescent="0.25">
      <c r="A217" s="195" t="s">
        <v>152</v>
      </c>
      <c r="B217" s="196">
        <v>0</v>
      </c>
      <c r="C217" s="197">
        <v>0</v>
      </c>
      <c r="D217" s="197">
        <v>0</v>
      </c>
      <c r="E217" s="197">
        <v>0</v>
      </c>
      <c r="F217" s="197">
        <v>1</v>
      </c>
      <c r="G217" s="197">
        <v>0</v>
      </c>
      <c r="H217" s="197">
        <v>0</v>
      </c>
      <c r="I217" s="197">
        <v>0</v>
      </c>
      <c r="J217" s="197">
        <v>2</v>
      </c>
      <c r="K217" s="197">
        <v>0</v>
      </c>
      <c r="L217" s="197">
        <v>0</v>
      </c>
      <c r="M217" s="197">
        <v>0</v>
      </c>
      <c r="N217" s="197">
        <v>0</v>
      </c>
      <c r="O217" s="197">
        <v>0</v>
      </c>
      <c r="P217" s="197">
        <v>0</v>
      </c>
      <c r="Q217" s="197">
        <v>0</v>
      </c>
      <c r="R217" s="197">
        <v>0</v>
      </c>
      <c r="S217" s="197">
        <v>0</v>
      </c>
      <c r="T217" s="197">
        <v>0</v>
      </c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255"/>
      <c r="AG217" s="164">
        <f t="shared" si="21"/>
        <v>3</v>
      </c>
    </row>
    <row r="218" spans="1:34" ht="15.75" customHeight="1" x14ac:dyDescent="0.25">
      <c r="A218" s="195" t="s">
        <v>153</v>
      </c>
      <c r="B218" s="196">
        <v>2</v>
      </c>
      <c r="C218" s="197">
        <v>1</v>
      </c>
      <c r="D218" s="197">
        <v>1</v>
      </c>
      <c r="E218" s="197">
        <v>2</v>
      </c>
      <c r="F218" s="197">
        <v>1</v>
      </c>
      <c r="G218" s="197">
        <v>4</v>
      </c>
      <c r="H218" s="197">
        <v>1</v>
      </c>
      <c r="I218" s="197">
        <v>2</v>
      </c>
      <c r="J218" s="197">
        <v>2</v>
      </c>
      <c r="K218" s="197">
        <v>2</v>
      </c>
      <c r="L218" s="197">
        <v>2</v>
      </c>
      <c r="M218" s="197">
        <v>2</v>
      </c>
      <c r="N218" s="197">
        <v>1</v>
      </c>
      <c r="O218" s="197">
        <v>0</v>
      </c>
      <c r="P218" s="197">
        <v>0</v>
      </c>
      <c r="Q218" s="197">
        <v>0</v>
      </c>
      <c r="R218" s="197">
        <v>1</v>
      </c>
      <c r="S218" s="197">
        <v>1</v>
      </c>
      <c r="T218" s="197">
        <v>0</v>
      </c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255"/>
      <c r="AG218" s="164">
        <f t="shared" si="21"/>
        <v>25</v>
      </c>
    </row>
    <row r="219" spans="1:34" ht="15.75" customHeight="1" x14ac:dyDescent="0.25">
      <c r="A219" s="88" t="s">
        <v>154</v>
      </c>
      <c r="B219" s="89">
        <v>13</v>
      </c>
      <c r="C219" s="90">
        <v>26</v>
      </c>
      <c r="D219" s="90">
        <v>41</v>
      </c>
      <c r="E219" s="90">
        <v>29</v>
      </c>
      <c r="F219" s="90">
        <v>36</v>
      </c>
      <c r="G219" s="90">
        <v>15</v>
      </c>
      <c r="H219" s="90">
        <v>16</v>
      </c>
      <c r="I219" s="90">
        <v>14</v>
      </c>
      <c r="J219" s="90">
        <v>25</v>
      </c>
      <c r="K219" s="90">
        <v>26</v>
      </c>
      <c r="L219" s="90">
        <v>27</v>
      </c>
      <c r="M219" s="90">
        <v>25</v>
      </c>
      <c r="N219" s="90">
        <v>30</v>
      </c>
      <c r="O219" s="90">
        <v>21</v>
      </c>
      <c r="P219" s="90">
        <v>18</v>
      </c>
      <c r="Q219" s="90">
        <v>19</v>
      </c>
      <c r="R219" s="90">
        <v>24</v>
      </c>
      <c r="S219" s="90">
        <v>34</v>
      </c>
      <c r="T219" s="90">
        <v>26</v>
      </c>
      <c r="U219" s="90">
        <f t="shared" ref="U219:AF219" si="30">SUM(U220:U222)</f>
        <v>0</v>
      </c>
      <c r="V219" s="90">
        <f t="shared" si="30"/>
        <v>0</v>
      </c>
      <c r="W219" s="90">
        <f t="shared" si="30"/>
        <v>0</v>
      </c>
      <c r="X219" s="90">
        <f t="shared" si="30"/>
        <v>0</v>
      </c>
      <c r="Y219" s="90">
        <f t="shared" si="30"/>
        <v>0</v>
      </c>
      <c r="Z219" s="90">
        <f t="shared" si="30"/>
        <v>0</v>
      </c>
      <c r="AA219" s="90">
        <f t="shared" si="30"/>
        <v>0</v>
      </c>
      <c r="AB219" s="90">
        <f t="shared" si="30"/>
        <v>0</v>
      </c>
      <c r="AC219" s="90">
        <f t="shared" si="30"/>
        <v>0</v>
      </c>
      <c r="AD219" s="90">
        <f t="shared" si="30"/>
        <v>0</v>
      </c>
      <c r="AE219" s="90">
        <f t="shared" si="30"/>
        <v>0</v>
      </c>
      <c r="AF219" s="90">
        <f t="shared" si="30"/>
        <v>0</v>
      </c>
      <c r="AG219" s="91">
        <f t="shared" si="21"/>
        <v>465</v>
      </c>
    </row>
    <row r="220" spans="1:34" ht="15.75" customHeight="1" x14ac:dyDescent="0.25">
      <c r="A220" s="198" t="s">
        <v>155</v>
      </c>
      <c r="B220" s="199">
        <v>4</v>
      </c>
      <c r="C220" s="200">
        <v>5</v>
      </c>
      <c r="D220" s="200">
        <v>4</v>
      </c>
      <c r="E220" s="200">
        <v>5</v>
      </c>
      <c r="F220" s="200">
        <v>7</v>
      </c>
      <c r="G220" s="200">
        <v>1</v>
      </c>
      <c r="H220" s="200">
        <v>4</v>
      </c>
      <c r="I220" s="200">
        <v>3</v>
      </c>
      <c r="J220" s="200">
        <v>4</v>
      </c>
      <c r="K220" s="200">
        <v>4</v>
      </c>
      <c r="L220" s="200">
        <v>8</v>
      </c>
      <c r="M220" s="200">
        <v>3</v>
      </c>
      <c r="N220" s="200">
        <v>2</v>
      </c>
      <c r="O220" s="200">
        <v>2</v>
      </c>
      <c r="P220" s="200">
        <v>3</v>
      </c>
      <c r="Q220" s="200">
        <v>3</v>
      </c>
      <c r="R220" s="200">
        <v>2</v>
      </c>
      <c r="S220" s="200">
        <v>3</v>
      </c>
      <c r="T220" s="200">
        <v>2</v>
      </c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1">
        <f t="shared" si="21"/>
        <v>69</v>
      </c>
    </row>
    <row r="221" spans="1:34" ht="15.75" customHeight="1" x14ac:dyDescent="0.25">
      <c r="A221" s="202" t="s">
        <v>156</v>
      </c>
      <c r="B221" s="120">
        <v>9</v>
      </c>
      <c r="C221" s="121">
        <v>21</v>
      </c>
      <c r="D221" s="121">
        <v>36</v>
      </c>
      <c r="E221" s="121">
        <v>24</v>
      </c>
      <c r="F221" s="121">
        <v>29</v>
      </c>
      <c r="G221" s="121">
        <v>14</v>
      </c>
      <c r="H221" s="121">
        <v>12</v>
      </c>
      <c r="I221" s="121">
        <v>11</v>
      </c>
      <c r="J221" s="121">
        <v>21</v>
      </c>
      <c r="K221" s="121">
        <v>22</v>
      </c>
      <c r="L221" s="121">
        <v>19</v>
      </c>
      <c r="M221" s="121">
        <v>19</v>
      </c>
      <c r="N221" s="121">
        <v>28</v>
      </c>
      <c r="O221" s="121">
        <v>19</v>
      </c>
      <c r="P221" s="121">
        <v>15</v>
      </c>
      <c r="Q221" s="121">
        <v>16</v>
      </c>
      <c r="R221" s="121">
        <v>22</v>
      </c>
      <c r="S221" s="121">
        <v>31</v>
      </c>
      <c r="T221" s="121">
        <v>24</v>
      </c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2">
        <f t="shared" si="21"/>
        <v>392</v>
      </c>
    </row>
    <row r="222" spans="1:34" ht="15.75" customHeight="1" x14ac:dyDescent="0.25">
      <c r="A222" s="74" t="s">
        <v>157</v>
      </c>
      <c r="B222" s="75">
        <v>0</v>
      </c>
      <c r="C222" s="76">
        <v>0</v>
      </c>
      <c r="D222" s="76">
        <v>1</v>
      </c>
      <c r="E222" s="76">
        <v>0</v>
      </c>
      <c r="F222" s="76">
        <v>0</v>
      </c>
      <c r="G222" s="76">
        <v>0</v>
      </c>
      <c r="H222" s="76">
        <v>0</v>
      </c>
      <c r="I222" s="76">
        <v>0</v>
      </c>
      <c r="J222" s="76">
        <v>0</v>
      </c>
      <c r="K222" s="76">
        <v>0</v>
      </c>
      <c r="L222" s="76">
        <v>0</v>
      </c>
      <c r="M222" s="76">
        <v>3</v>
      </c>
      <c r="N222" s="76">
        <v>0</v>
      </c>
      <c r="O222" s="76">
        <v>0</v>
      </c>
      <c r="P222" s="76">
        <v>0</v>
      </c>
      <c r="Q222" s="76">
        <v>0</v>
      </c>
      <c r="R222" s="76">
        <v>0</v>
      </c>
      <c r="S222" s="76">
        <v>0</v>
      </c>
      <c r="T222" s="76">
        <v>0</v>
      </c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112">
        <f t="shared" si="21"/>
        <v>4</v>
      </c>
    </row>
    <row r="223" spans="1:34" ht="15.75" customHeight="1" x14ac:dyDescent="0.25">
      <c r="A223" s="203" t="s">
        <v>158</v>
      </c>
      <c r="B223" s="85">
        <f t="shared" ref="B223:AF223" si="31">SUM(B224:B226)</f>
        <v>2</v>
      </c>
      <c r="C223" s="86">
        <f t="shared" si="31"/>
        <v>1</v>
      </c>
      <c r="D223" s="86">
        <f t="shared" si="31"/>
        <v>2</v>
      </c>
      <c r="E223" s="86">
        <f t="shared" si="31"/>
        <v>1</v>
      </c>
      <c r="F223" s="86">
        <f t="shared" si="31"/>
        <v>3</v>
      </c>
      <c r="G223" s="86">
        <f t="shared" si="31"/>
        <v>1</v>
      </c>
      <c r="H223" s="86">
        <f t="shared" si="31"/>
        <v>1</v>
      </c>
      <c r="I223" s="86">
        <f t="shared" si="31"/>
        <v>4</v>
      </c>
      <c r="J223" s="86">
        <f t="shared" si="31"/>
        <v>2</v>
      </c>
      <c r="K223" s="86">
        <f t="shared" si="31"/>
        <v>0</v>
      </c>
      <c r="L223" s="86">
        <f t="shared" si="31"/>
        <v>0</v>
      </c>
      <c r="M223" s="86">
        <f t="shared" si="31"/>
        <v>0</v>
      </c>
      <c r="N223" s="86">
        <f t="shared" si="31"/>
        <v>0</v>
      </c>
      <c r="O223" s="86">
        <f t="shared" si="31"/>
        <v>0</v>
      </c>
      <c r="P223" s="86">
        <f t="shared" si="31"/>
        <v>0</v>
      </c>
      <c r="Q223" s="86">
        <f t="shared" si="31"/>
        <v>0</v>
      </c>
      <c r="R223" s="86">
        <f t="shared" si="31"/>
        <v>3</v>
      </c>
      <c r="S223" s="86">
        <f t="shared" si="31"/>
        <v>3</v>
      </c>
      <c r="T223" s="86">
        <f t="shared" si="31"/>
        <v>3</v>
      </c>
      <c r="U223" s="86">
        <f t="shared" si="31"/>
        <v>0</v>
      </c>
      <c r="V223" s="86">
        <f t="shared" si="31"/>
        <v>0</v>
      </c>
      <c r="W223" s="86">
        <f t="shared" si="31"/>
        <v>0</v>
      </c>
      <c r="X223" s="86">
        <f t="shared" si="31"/>
        <v>0</v>
      </c>
      <c r="Y223" s="86">
        <f t="shared" si="31"/>
        <v>0</v>
      </c>
      <c r="Z223" s="86">
        <f t="shared" si="31"/>
        <v>0</v>
      </c>
      <c r="AA223" s="86">
        <f t="shared" si="31"/>
        <v>0</v>
      </c>
      <c r="AB223" s="86">
        <f t="shared" si="31"/>
        <v>0</v>
      </c>
      <c r="AC223" s="86">
        <f t="shared" si="31"/>
        <v>0</v>
      </c>
      <c r="AD223" s="86">
        <f t="shared" si="31"/>
        <v>0</v>
      </c>
      <c r="AE223" s="86">
        <f t="shared" si="31"/>
        <v>0</v>
      </c>
      <c r="AF223" s="86">
        <f t="shared" si="31"/>
        <v>0</v>
      </c>
      <c r="AG223" s="110">
        <f t="shared" si="21"/>
        <v>26</v>
      </c>
      <c r="AH223" s="364" t="s">
        <v>159</v>
      </c>
    </row>
    <row r="224" spans="1:34" ht="15.75" customHeight="1" x14ac:dyDescent="0.25">
      <c r="A224" s="204" t="s">
        <v>160</v>
      </c>
      <c r="B224" s="205">
        <v>0</v>
      </c>
      <c r="C224" s="206">
        <v>0</v>
      </c>
      <c r="D224" s="206">
        <v>1</v>
      </c>
      <c r="E224" s="206">
        <v>0</v>
      </c>
      <c r="F224" s="206">
        <v>0</v>
      </c>
      <c r="G224" s="206">
        <v>0</v>
      </c>
      <c r="H224" s="206">
        <v>0</v>
      </c>
      <c r="I224" s="206">
        <v>2</v>
      </c>
      <c r="J224" s="206">
        <v>1</v>
      </c>
      <c r="K224" s="206">
        <v>0</v>
      </c>
      <c r="L224" s="206">
        <v>0</v>
      </c>
      <c r="M224" s="206">
        <v>0</v>
      </c>
      <c r="N224" s="205">
        <v>0</v>
      </c>
      <c r="O224" s="206">
        <v>0</v>
      </c>
      <c r="P224" s="206">
        <v>0</v>
      </c>
      <c r="Q224" s="206">
        <v>0</v>
      </c>
      <c r="R224" s="206">
        <v>1</v>
      </c>
      <c r="S224" s="206">
        <v>3</v>
      </c>
      <c r="T224" s="206">
        <v>3</v>
      </c>
      <c r="U224" s="206"/>
      <c r="V224" s="206"/>
      <c r="W224" s="206"/>
      <c r="X224" s="206"/>
      <c r="Y224" s="206"/>
      <c r="Z224" s="256"/>
      <c r="AA224" s="206"/>
      <c r="AB224" s="206"/>
      <c r="AC224" s="206"/>
      <c r="AD224" s="206"/>
      <c r="AE224" s="206"/>
      <c r="AF224" s="257"/>
      <c r="AG224" s="207">
        <f t="shared" si="21"/>
        <v>11</v>
      </c>
      <c r="AH224" s="365"/>
    </row>
    <row r="225" spans="1:34" ht="15.75" customHeight="1" x14ac:dyDescent="0.25">
      <c r="A225" s="204" t="s">
        <v>161</v>
      </c>
      <c r="B225" s="205">
        <v>2</v>
      </c>
      <c r="C225" s="206">
        <v>1</v>
      </c>
      <c r="D225" s="206">
        <v>1</v>
      </c>
      <c r="E225" s="206">
        <v>1</v>
      </c>
      <c r="F225" s="206">
        <v>3</v>
      </c>
      <c r="G225" s="206">
        <v>1</v>
      </c>
      <c r="H225" s="206">
        <v>1</v>
      </c>
      <c r="I225" s="206">
        <v>2</v>
      </c>
      <c r="J225" s="206">
        <v>1</v>
      </c>
      <c r="K225" s="206">
        <v>0</v>
      </c>
      <c r="L225" s="206">
        <v>0</v>
      </c>
      <c r="M225" s="206">
        <v>0</v>
      </c>
      <c r="N225" s="205">
        <v>0</v>
      </c>
      <c r="O225" s="206">
        <v>0</v>
      </c>
      <c r="P225" s="206">
        <v>0</v>
      </c>
      <c r="Q225" s="206">
        <v>0</v>
      </c>
      <c r="R225" s="206">
        <v>2</v>
      </c>
      <c r="S225" s="206">
        <v>0</v>
      </c>
      <c r="T225" s="206">
        <v>0</v>
      </c>
      <c r="U225" s="206"/>
      <c r="V225" s="206"/>
      <c r="W225" s="206"/>
      <c r="X225" s="206"/>
      <c r="Y225" s="206"/>
      <c r="Z225" s="256"/>
      <c r="AA225" s="206"/>
      <c r="AB225" s="206"/>
      <c r="AC225" s="206"/>
      <c r="AD225" s="206"/>
      <c r="AE225" s="206"/>
      <c r="AF225" s="257"/>
      <c r="AG225" s="207">
        <f t="shared" si="21"/>
        <v>15</v>
      </c>
      <c r="AH225" s="365"/>
    </row>
    <row r="226" spans="1:34" ht="15.75" customHeight="1" x14ac:dyDescent="0.25">
      <c r="A226" s="208" t="s">
        <v>162</v>
      </c>
      <c r="B226" s="209"/>
      <c r="C226" s="210"/>
      <c r="D226" s="210"/>
      <c r="E226" s="210"/>
      <c r="F226" s="210"/>
      <c r="G226" s="210"/>
      <c r="H226" s="210"/>
      <c r="I226" s="210"/>
      <c r="J226" s="210"/>
      <c r="K226" s="211"/>
      <c r="L226" s="211"/>
      <c r="M226" s="211"/>
      <c r="N226" s="258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60"/>
      <c r="AG226" s="106">
        <f t="shared" si="21"/>
        <v>0</v>
      </c>
      <c r="AH226" s="366"/>
    </row>
    <row r="227" spans="1:34" ht="15.75" customHeight="1" x14ac:dyDescent="0.25"/>
    <row r="228" spans="1:34" ht="15.75" customHeight="1" x14ac:dyDescent="0.25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</row>
    <row r="229" spans="1:34" ht="15.75" customHeight="1" x14ac:dyDescent="0.25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</row>
    <row r="230" spans="1:34" ht="15.75" customHeight="1" x14ac:dyDescent="0.25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</row>
    <row r="231" spans="1:34" ht="15.75" customHeight="1" x14ac:dyDescent="0.25"/>
    <row r="232" spans="1:34" ht="15.75" customHeight="1" x14ac:dyDescent="0.25"/>
    <row r="233" spans="1:34" ht="15.75" customHeight="1" x14ac:dyDescent="0.25"/>
    <row r="234" spans="1:34" ht="15.75" customHeight="1" x14ac:dyDescent="0.25"/>
    <row r="235" spans="1:34" ht="15.75" customHeight="1" x14ac:dyDescent="0.25"/>
    <row r="236" spans="1:34" ht="15.75" customHeight="1" x14ac:dyDescent="0.25"/>
    <row r="237" spans="1:34" ht="15.75" customHeight="1" x14ac:dyDescent="0.25"/>
    <row r="238" spans="1:34" ht="15.75" customHeight="1" x14ac:dyDescent="0.25"/>
    <row r="239" spans="1:34" ht="15.75" customHeight="1" x14ac:dyDescent="0.25"/>
    <row r="240" spans="1:3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9.5" customHeight="1" x14ac:dyDescent="0.25"/>
    <row r="258" ht="15.75" customHeight="1" x14ac:dyDescent="0.25"/>
    <row r="259" ht="18.75" customHeight="1" x14ac:dyDescent="0.25"/>
    <row r="260" ht="15.75" customHeight="1" x14ac:dyDescent="0.25"/>
    <row r="261" ht="15.75" customHeight="1" x14ac:dyDescent="0.25"/>
    <row r="262" ht="18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G1"/>
    <mergeCell ref="AI84:AI86"/>
    <mergeCell ref="AH223:AH226"/>
  </mergeCells>
  <conditionalFormatting sqref="B29:AF52">
    <cfRule type="cellIs" dxfId="76" priority="5" operator="lessThan">
      <formula>0</formula>
    </cfRule>
  </conditionalFormatting>
  <conditionalFormatting sqref="D54:D77">
    <cfRule type="cellIs" dxfId="75" priority="9" operator="lessThan">
      <formula>0</formula>
    </cfRule>
  </conditionalFormatting>
  <conditionalFormatting sqref="G54:G77">
    <cfRule type="cellIs" dxfId="74" priority="10" operator="lessThan">
      <formula>0</formula>
    </cfRule>
  </conditionalFormatting>
  <conditionalFormatting sqref="AH81">
    <cfRule type="cellIs" dxfId="73" priority="7" operator="equal">
      <formula>"*"</formula>
    </cfRule>
  </conditionalFormatting>
  <conditionalFormatting sqref="AH84 AH87">
    <cfRule type="cellIs" dxfId="72" priority="6" operator="equal">
      <formula>"*"</formula>
    </cfRule>
  </conditionalFormatting>
  <conditionalFormatting sqref="AH93">
    <cfRule type="cellIs" dxfId="71" priority="1" operator="equal">
      <formula>"*"</formula>
    </cfRule>
  </conditionalFormatting>
  <conditionalFormatting sqref="AH130">
    <cfRule type="cellIs" dxfId="70" priority="3" operator="equal">
      <formula>"*"</formula>
    </cfRule>
  </conditionalFormatting>
  <conditionalFormatting sqref="AH144:AH145">
    <cfRule type="cellIs" dxfId="69" priority="2" operator="equal">
      <formula>"*"</formula>
    </cfRule>
  </conditionalFormatting>
  <conditionalFormatting sqref="AH182">
    <cfRule type="cellIs" dxfId="68" priority="4" operator="equal">
      <formula>"*"</formula>
    </cfRule>
  </conditionalFormatting>
  <conditionalFormatting sqref="AH209">
    <cfRule type="cellIs" dxfId="67" priority="8" operator="equal">
      <formula>"X"</formula>
    </cfRule>
  </conditionalFormatting>
  <dataValidations count="1">
    <dataValidation type="decimal" allowBlank="1" showInputMessage="1" showErrorMessage="1" prompt="ERROR - Por favor ingrese solo Números" sqref="A98:A99 A101:A115" xr:uid="{00000000-0002-0000-0500-000000000000}">
      <formula1>0</formula1>
      <formula2>1000000000</formula2>
    </dataValidation>
  </dataValidation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AI1000"/>
  <sheetViews>
    <sheetView topLeftCell="A146" zoomScale="79" zoomScaleNormal="79" workbookViewId="0">
      <selection activeCell="A192" sqref="A192:XFD192"/>
    </sheetView>
  </sheetViews>
  <sheetFormatPr baseColWidth="10" defaultColWidth="14.42578125" defaultRowHeight="15" customHeight="1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  <col min="35" max="35" width="10.7109375" customWidth="1"/>
  </cols>
  <sheetData>
    <row r="1" spans="1:33" ht="21" x14ac:dyDescent="0.25">
      <c r="A1" s="358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60"/>
    </row>
    <row r="2" spans="1:33" ht="28.5" x14ac:dyDescent="0.25">
      <c r="A2" s="1" t="s">
        <v>5</v>
      </c>
      <c r="B2" s="261">
        <v>1</v>
      </c>
      <c r="C2" s="262">
        <f t="shared" ref="C2:AA2" si="0">+B2+1</f>
        <v>2</v>
      </c>
      <c r="D2" s="262">
        <f t="shared" si="0"/>
        <v>3</v>
      </c>
      <c r="E2" s="262">
        <f t="shared" si="0"/>
        <v>4</v>
      </c>
      <c r="F2" s="262">
        <f t="shared" si="0"/>
        <v>5</v>
      </c>
      <c r="G2" s="262">
        <f t="shared" si="0"/>
        <v>6</v>
      </c>
      <c r="H2" s="263">
        <f t="shared" si="0"/>
        <v>7</v>
      </c>
      <c r="I2" s="263">
        <f t="shared" si="0"/>
        <v>8</v>
      </c>
      <c r="J2" s="212">
        <f t="shared" si="0"/>
        <v>9</v>
      </c>
      <c r="K2" s="212">
        <f t="shared" si="0"/>
        <v>10</v>
      </c>
      <c r="L2" s="212">
        <f t="shared" si="0"/>
        <v>11</v>
      </c>
      <c r="M2" s="212">
        <f t="shared" si="0"/>
        <v>12</v>
      </c>
      <c r="N2" s="212">
        <f t="shared" si="0"/>
        <v>13</v>
      </c>
      <c r="O2" s="212">
        <f t="shared" si="0"/>
        <v>14</v>
      </c>
      <c r="P2" s="212">
        <f t="shared" si="0"/>
        <v>15</v>
      </c>
      <c r="Q2" s="212">
        <f t="shared" si="0"/>
        <v>16</v>
      </c>
      <c r="R2" s="212">
        <f t="shared" si="0"/>
        <v>17</v>
      </c>
      <c r="S2" s="212">
        <f t="shared" si="0"/>
        <v>18</v>
      </c>
      <c r="T2" s="212">
        <f t="shared" si="0"/>
        <v>19</v>
      </c>
      <c r="U2" s="212">
        <f t="shared" si="0"/>
        <v>20</v>
      </c>
      <c r="V2" s="212">
        <f t="shared" si="0"/>
        <v>21</v>
      </c>
      <c r="W2" s="212">
        <f t="shared" si="0"/>
        <v>22</v>
      </c>
      <c r="X2" s="212">
        <f t="shared" si="0"/>
        <v>23</v>
      </c>
      <c r="Y2" s="212">
        <f t="shared" si="0"/>
        <v>24</v>
      </c>
      <c r="Z2" s="212">
        <f t="shared" si="0"/>
        <v>25</v>
      </c>
      <c r="AA2" s="212">
        <f t="shared" si="0"/>
        <v>26</v>
      </c>
      <c r="AB2" s="212">
        <v>27</v>
      </c>
      <c r="AC2" s="212">
        <f>+AB2+1</f>
        <v>28</v>
      </c>
      <c r="AD2" s="212">
        <v>29</v>
      </c>
      <c r="AE2" s="212">
        <v>30</v>
      </c>
      <c r="AF2" s="212">
        <v>31</v>
      </c>
      <c r="AG2" s="3" t="s">
        <v>13</v>
      </c>
    </row>
    <row r="3" spans="1:33" ht="18.75" x14ac:dyDescent="0.25">
      <c r="A3" s="4" t="s">
        <v>14</v>
      </c>
      <c r="B3" s="5">
        <f t="shared" ref="B3:AF3" si="1">SUM(B4:B27)</f>
        <v>274</v>
      </c>
      <c r="C3" s="6">
        <f t="shared" si="1"/>
        <v>303</v>
      </c>
      <c r="D3" s="6">
        <f t="shared" si="1"/>
        <v>307</v>
      </c>
      <c r="E3" s="6">
        <f t="shared" si="1"/>
        <v>263</v>
      </c>
      <c r="F3" s="6">
        <f t="shared" si="1"/>
        <v>223</v>
      </c>
      <c r="G3" s="6">
        <f t="shared" si="1"/>
        <v>226</v>
      </c>
      <c r="H3" s="6">
        <f t="shared" si="1"/>
        <v>248</v>
      </c>
      <c r="I3" s="6">
        <f t="shared" si="1"/>
        <v>315</v>
      </c>
      <c r="J3" s="6">
        <f t="shared" si="1"/>
        <v>309</v>
      </c>
      <c r="K3" s="6">
        <f t="shared" si="1"/>
        <v>261</v>
      </c>
      <c r="L3" s="6">
        <f t="shared" si="1"/>
        <v>280</v>
      </c>
      <c r="M3" s="6">
        <f t="shared" si="1"/>
        <v>258</v>
      </c>
      <c r="N3" s="6">
        <f t="shared" si="1"/>
        <v>248</v>
      </c>
      <c r="O3" s="6">
        <f t="shared" si="1"/>
        <v>218</v>
      </c>
      <c r="P3" s="6">
        <f t="shared" si="1"/>
        <v>325</v>
      </c>
      <c r="Q3" s="6">
        <f t="shared" si="1"/>
        <v>311</v>
      </c>
      <c r="R3" s="6">
        <f t="shared" si="1"/>
        <v>246</v>
      </c>
      <c r="S3" s="6">
        <f t="shared" si="1"/>
        <v>279</v>
      </c>
      <c r="T3" s="6">
        <f t="shared" si="1"/>
        <v>257</v>
      </c>
      <c r="U3" s="6">
        <f t="shared" si="1"/>
        <v>214</v>
      </c>
      <c r="V3" s="6">
        <f t="shared" si="1"/>
        <v>191</v>
      </c>
      <c r="W3" s="6">
        <f t="shared" si="1"/>
        <v>289</v>
      </c>
      <c r="X3" s="6">
        <f t="shared" si="1"/>
        <v>290</v>
      </c>
      <c r="Y3" s="6">
        <f t="shared" si="1"/>
        <v>255</v>
      </c>
      <c r="Z3" s="6">
        <f t="shared" si="1"/>
        <v>235</v>
      </c>
      <c r="AA3" s="6">
        <f t="shared" si="1"/>
        <v>228</v>
      </c>
      <c r="AB3" s="6">
        <f t="shared" si="1"/>
        <v>196</v>
      </c>
      <c r="AC3" s="6">
        <f t="shared" si="1"/>
        <v>239</v>
      </c>
      <c r="AD3" s="6">
        <f t="shared" si="1"/>
        <v>277</v>
      </c>
      <c r="AE3" s="6">
        <f t="shared" si="1"/>
        <v>272</v>
      </c>
      <c r="AF3" s="6">
        <f t="shared" si="1"/>
        <v>270</v>
      </c>
      <c r="AG3" s="7">
        <f t="shared" ref="AG3:AG145" si="2">SUM(B3:AF3)</f>
        <v>8107</v>
      </c>
    </row>
    <row r="4" spans="1:33" ht="18.75" x14ac:dyDescent="0.25">
      <c r="A4" s="8" t="s">
        <v>15</v>
      </c>
      <c r="B4" s="9">
        <v>13</v>
      </c>
      <c r="C4" s="10">
        <v>19</v>
      </c>
      <c r="D4" s="10">
        <v>26</v>
      </c>
      <c r="E4" s="10">
        <v>13</v>
      </c>
      <c r="F4" s="10">
        <v>9</v>
      </c>
      <c r="G4" s="10">
        <v>10</v>
      </c>
      <c r="H4" s="10">
        <v>6</v>
      </c>
      <c r="I4" s="10">
        <v>15</v>
      </c>
      <c r="J4" s="10">
        <v>16</v>
      </c>
      <c r="K4" s="10">
        <v>23</v>
      </c>
      <c r="L4" s="10">
        <v>18</v>
      </c>
      <c r="M4" s="10">
        <v>13</v>
      </c>
      <c r="N4" s="10">
        <v>6</v>
      </c>
      <c r="O4" s="10">
        <v>9</v>
      </c>
      <c r="P4" s="10">
        <v>17</v>
      </c>
      <c r="Q4" s="10">
        <v>20</v>
      </c>
      <c r="R4" s="10">
        <v>12</v>
      </c>
      <c r="S4" s="10">
        <v>15</v>
      </c>
      <c r="T4" s="10">
        <v>14</v>
      </c>
      <c r="U4" s="10">
        <v>14</v>
      </c>
      <c r="V4" s="10">
        <v>5</v>
      </c>
      <c r="W4" s="10">
        <v>13</v>
      </c>
      <c r="X4" s="10">
        <v>11</v>
      </c>
      <c r="Y4" s="10">
        <v>13</v>
      </c>
      <c r="Z4" s="10">
        <v>16</v>
      </c>
      <c r="AA4" s="10">
        <v>11</v>
      </c>
      <c r="AB4" s="10">
        <v>11</v>
      </c>
      <c r="AC4" s="10">
        <v>8</v>
      </c>
      <c r="AD4" s="10">
        <v>16</v>
      </c>
      <c r="AE4" s="10">
        <v>14</v>
      </c>
      <c r="AF4" s="213">
        <v>25</v>
      </c>
      <c r="AG4" s="11">
        <f t="shared" si="2"/>
        <v>431</v>
      </c>
    </row>
    <row r="5" spans="1:33" ht="18.75" x14ac:dyDescent="0.25">
      <c r="A5" s="12" t="s">
        <v>16</v>
      </c>
      <c r="B5" s="13">
        <v>13</v>
      </c>
      <c r="C5" s="14">
        <v>24</v>
      </c>
      <c r="D5" s="14">
        <v>17</v>
      </c>
      <c r="E5" s="14">
        <v>20</v>
      </c>
      <c r="F5" s="14">
        <v>10</v>
      </c>
      <c r="G5" s="14">
        <v>9</v>
      </c>
      <c r="H5" s="14">
        <v>9</v>
      </c>
      <c r="I5" s="14">
        <v>16</v>
      </c>
      <c r="J5" s="14">
        <v>32</v>
      </c>
      <c r="K5" s="14">
        <v>17</v>
      </c>
      <c r="L5" s="14">
        <v>11</v>
      </c>
      <c r="M5" s="14">
        <v>10</v>
      </c>
      <c r="N5" s="14">
        <v>19</v>
      </c>
      <c r="O5" s="14">
        <v>9</v>
      </c>
      <c r="P5" s="14">
        <v>26</v>
      </c>
      <c r="Q5" s="14">
        <v>21</v>
      </c>
      <c r="R5" s="14">
        <v>19</v>
      </c>
      <c r="S5" s="14">
        <v>22</v>
      </c>
      <c r="T5" s="14">
        <v>16</v>
      </c>
      <c r="U5" s="14">
        <v>10</v>
      </c>
      <c r="V5" s="14">
        <v>8</v>
      </c>
      <c r="W5" s="14">
        <v>16</v>
      </c>
      <c r="X5" s="14">
        <v>25</v>
      </c>
      <c r="Y5" s="14">
        <v>16</v>
      </c>
      <c r="Z5" s="14">
        <v>13</v>
      </c>
      <c r="AA5" s="14">
        <v>13</v>
      </c>
      <c r="AB5" s="14">
        <v>14</v>
      </c>
      <c r="AC5" s="14">
        <v>10</v>
      </c>
      <c r="AD5" s="14">
        <v>17</v>
      </c>
      <c r="AE5" s="14">
        <v>21</v>
      </c>
      <c r="AF5" s="214">
        <v>26</v>
      </c>
      <c r="AG5" s="15">
        <f t="shared" si="2"/>
        <v>509</v>
      </c>
    </row>
    <row r="6" spans="1:33" ht="18.75" x14ac:dyDescent="0.25">
      <c r="A6" s="12" t="s">
        <v>17</v>
      </c>
      <c r="B6" s="13">
        <v>24</v>
      </c>
      <c r="C6" s="14">
        <v>16</v>
      </c>
      <c r="D6" s="14">
        <v>18</v>
      </c>
      <c r="E6" s="14">
        <v>18</v>
      </c>
      <c r="F6" s="14">
        <v>13</v>
      </c>
      <c r="G6" s="14">
        <v>23</v>
      </c>
      <c r="H6" s="14">
        <v>25</v>
      </c>
      <c r="I6" s="14">
        <v>19</v>
      </c>
      <c r="J6" s="14">
        <v>25</v>
      </c>
      <c r="K6" s="14">
        <v>19</v>
      </c>
      <c r="L6" s="14">
        <v>18</v>
      </c>
      <c r="M6" s="14">
        <v>11</v>
      </c>
      <c r="N6" s="14">
        <v>17</v>
      </c>
      <c r="O6" s="14">
        <v>8</v>
      </c>
      <c r="P6" s="14">
        <v>24</v>
      </c>
      <c r="Q6" s="14">
        <v>20</v>
      </c>
      <c r="R6" s="14">
        <v>23</v>
      </c>
      <c r="S6" s="14">
        <v>22</v>
      </c>
      <c r="T6" s="14">
        <v>19</v>
      </c>
      <c r="U6" s="14">
        <v>18</v>
      </c>
      <c r="V6" s="14">
        <v>12</v>
      </c>
      <c r="W6" s="14">
        <v>15</v>
      </c>
      <c r="X6" s="14">
        <v>16</v>
      </c>
      <c r="Y6" s="14">
        <v>20</v>
      </c>
      <c r="Z6" s="14">
        <v>19</v>
      </c>
      <c r="AA6" s="14">
        <v>11</v>
      </c>
      <c r="AB6" s="14">
        <v>15</v>
      </c>
      <c r="AC6" s="14">
        <v>16</v>
      </c>
      <c r="AD6" s="14">
        <v>11</v>
      </c>
      <c r="AE6" s="14">
        <v>22</v>
      </c>
      <c r="AF6" s="214">
        <v>15</v>
      </c>
      <c r="AG6" s="15">
        <f t="shared" si="2"/>
        <v>552</v>
      </c>
    </row>
    <row r="7" spans="1:33" ht="18.75" x14ac:dyDescent="0.25">
      <c r="A7" s="12" t="s">
        <v>18</v>
      </c>
      <c r="B7" s="13">
        <v>25</v>
      </c>
      <c r="C7" s="14">
        <v>17</v>
      </c>
      <c r="D7" s="14">
        <v>24</v>
      </c>
      <c r="E7" s="14">
        <v>20</v>
      </c>
      <c r="F7" s="14">
        <v>20</v>
      </c>
      <c r="G7" s="14">
        <v>17</v>
      </c>
      <c r="H7" s="14">
        <v>15</v>
      </c>
      <c r="I7" s="14">
        <v>21</v>
      </c>
      <c r="J7" s="14">
        <v>20</v>
      </c>
      <c r="K7" s="14">
        <v>23</v>
      </c>
      <c r="L7" s="14">
        <v>11</v>
      </c>
      <c r="M7" s="14">
        <v>22</v>
      </c>
      <c r="N7" s="14">
        <v>24</v>
      </c>
      <c r="O7" s="14">
        <v>10</v>
      </c>
      <c r="P7" s="14">
        <v>26</v>
      </c>
      <c r="Q7" s="14">
        <v>21</v>
      </c>
      <c r="R7" s="14">
        <v>15</v>
      </c>
      <c r="S7" s="14">
        <v>25</v>
      </c>
      <c r="T7" s="14">
        <v>12</v>
      </c>
      <c r="U7" s="14">
        <v>15</v>
      </c>
      <c r="V7" s="14">
        <v>16</v>
      </c>
      <c r="W7" s="14">
        <v>30</v>
      </c>
      <c r="X7" s="14">
        <v>29</v>
      </c>
      <c r="Y7" s="14">
        <v>17</v>
      </c>
      <c r="Z7" s="14">
        <v>14</v>
      </c>
      <c r="AA7" s="14">
        <v>16</v>
      </c>
      <c r="AB7" s="14">
        <v>21</v>
      </c>
      <c r="AC7" s="14">
        <v>22</v>
      </c>
      <c r="AD7" s="14">
        <v>22</v>
      </c>
      <c r="AE7" s="14">
        <v>15</v>
      </c>
      <c r="AF7" s="214">
        <v>26</v>
      </c>
      <c r="AG7" s="15">
        <f t="shared" si="2"/>
        <v>611</v>
      </c>
    </row>
    <row r="8" spans="1:33" ht="18.75" x14ac:dyDescent="0.25">
      <c r="A8" s="12" t="s">
        <v>19</v>
      </c>
      <c r="B8" s="13">
        <v>14</v>
      </c>
      <c r="C8" s="14">
        <v>17</v>
      </c>
      <c r="D8" s="14">
        <v>22</v>
      </c>
      <c r="E8" s="14">
        <v>19</v>
      </c>
      <c r="F8" s="14">
        <v>11</v>
      </c>
      <c r="G8" s="14">
        <v>17</v>
      </c>
      <c r="H8" s="14">
        <v>18</v>
      </c>
      <c r="I8" s="14">
        <v>16</v>
      </c>
      <c r="J8" s="14">
        <v>22</v>
      </c>
      <c r="K8" s="14">
        <v>10</v>
      </c>
      <c r="L8" s="14">
        <v>16</v>
      </c>
      <c r="M8" s="14">
        <v>18</v>
      </c>
      <c r="N8" s="14">
        <v>17</v>
      </c>
      <c r="O8" s="14">
        <v>26</v>
      </c>
      <c r="P8" s="14">
        <v>18</v>
      </c>
      <c r="Q8" s="14">
        <v>25</v>
      </c>
      <c r="R8" s="14">
        <v>24</v>
      </c>
      <c r="S8" s="14">
        <v>10</v>
      </c>
      <c r="T8" s="14">
        <v>13</v>
      </c>
      <c r="U8" s="14">
        <v>13</v>
      </c>
      <c r="V8" s="14">
        <v>16</v>
      </c>
      <c r="W8" s="14">
        <v>22</v>
      </c>
      <c r="X8" s="14">
        <v>20</v>
      </c>
      <c r="Y8" s="14">
        <v>15</v>
      </c>
      <c r="Z8" s="14">
        <v>17</v>
      </c>
      <c r="AA8" s="14">
        <v>9</v>
      </c>
      <c r="AB8" s="14">
        <v>16</v>
      </c>
      <c r="AC8" s="14">
        <v>17</v>
      </c>
      <c r="AD8" s="14">
        <v>23</v>
      </c>
      <c r="AE8" s="14">
        <v>24</v>
      </c>
      <c r="AF8" s="214">
        <v>18</v>
      </c>
      <c r="AG8" s="15">
        <f t="shared" si="2"/>
        <v>543</v>
      </c>
    </row>
    <row r="9" spans="1:33" ht="18.75" x14ac:dyDescent="0.25">
      <c r="A9" s="12" t="s">
        <v>20</v>
      </c>
      <c r="B9" s="13">
        <v>16</v>
      </c>
      <c r="C9" s="14">
        <v>20</v>
      </c>
      <c r="D9" s="14">
        <v>16</v>
      </c>
      <c r="E9" s="14">
        <v>10</v>
      </c>
      <c r="F9" s="14">
        <v>13</v>
      </c>
      <c r="G9" s="14">
        <v>17</v>
      </c>
      <c r="H9" s="14">
        <v>11</v>
      </c>
      <c r="I9" s="14">
        <v>12</v>
      </c>
      <c r="J9" s="14">
        <v>10</v>
      </c>
      <c r="K9" s="14">
        <v>14</v>
      </c>
      <c r="L9" s="14">
        <v>22</v>
      </c>
      <c r="M9" s="14">
        <v>11</v>
      </c>
      <c r="N9" s="14">
        <v>14</v>
      </c>
      <c r="O9" s="14">
        <v>9</v>
      </c>
      <c r="P9" s="14">
        <v>17</v>
      </c>
      <c r="Q9" s="14">
        <v>22</v>
      </c>
      <c r="R9" s="14">
        <v>9</v>
      </c>
      <c r="S9" s="14">
        <v>18</v>
      </c>
      <c r="T9" s="14">
        <v>8</v>
      </c>
      <c r="U9" s="14">
        <v>21</v>
      </c>
      <c r="V9" s="14">
        <v>13</v>
      </c>
      <c r="W9" s="14">
        <v>16</v>
      </c>
      <c r="X9" s="14">
        <v>20</v>
      </c>
      <c r="Y9" s="14">
        <v>22</v>
      </c>
      <c r="Z9" s="14">
        <v>14</v>
      </c>
      <c r="AA9" s="14">
        <v>6</v>
      </c>
      <c r="AB9" s="14">
        <v>17</v>
      </c>
      <c r="AC9" s="14">
        <v>17</v>
      </c>
      <c r="AD9" s="14">
        <v>12</v>
      </c>
      <c r="AE9" s="14">
        <v>21</v>
      </c>
      <c r="AF9" s="214">
        <v>6</v>
      </c>
      <c r="AG9" s="15">
        <f t="shared" si="2"/>
        <v>454</v>
      </c>
    </row>
    <row r="10" spans="1:33" ht="18.75" x14ac:dyDescent="0.25">
      <c r="A10" s="12" t="s">
        <v>21</v>
      </c>
      <c r="B10" s="13">
        <v>18</v>
      </c>
      <c r="C10" s="14">
        <v>17</v>
      </c>
      <c r="D10" s="14">
        <v>17</v>
      </c>
      <c r="E10" s="14">
        <v>15</v>
      </c>
      <c r="F10" s="14">
        <v>12</v>
      </c>
      <c r="G10" s="14">
        <v>9</v>
      </c>
      <c r="H10" s="14">
        <v>17</v>
      </c>
      <c r="I10" s="14">
        <v>21</v>
      </c>
      <c r="J10" s="14">
        <v>26</v>
      </c>
      <c r="K10" s="14">
        <v>18</v>
      </c>
      <c r="L10" s="14">
        <v>15</v>
      </c>
      <c r="M10" s="14">
        <v>16</v>
      </c>
      <c r="N10" s="14">
        <v>16</v>
      </c>
      <c r="O10" s="14">
        <v>13</v>
      </c>
      <c r="P10" s="14">
        <v>12</v>
      </c>
      <c r="Q10" s="14">
        <v>17</v>
      </c>
      <c r="R10" s="14">
        <v>10</v>
      </c>
      <c r="S10" s="14">
        <v>22</v>
      </c>
      <c r="T10" s="14">
        <v>18</v>
      </c>
      <c r="U10" s="14">
        <v>10</v>
      </c>
      <c r="V10" s="14">
        <v>22</v>
      </c>
      <c r="W10" s="14">
        <v>34</v>
      </c>
      <c r="X10" s="14">
        <v>25</v>
      </c>
      <c r="Y10" s="14">
        <v>13</v>
      </c>
      <c r="Z10" s="14">
        <v>15</v>
      </c>
      <c r="AA10" s="14">
        <v>28</v>
      </c>
      <c r="AB10" s="14">
        <v>7</v>
      </c>
      <c r="AC10" s="14">
        <v>11</v>
      </c>
      <c r="AD10" s="14">
        <v>20</v>
      </c>
      <c r="AE10" s="14">
        <v>21</v>
      </c>
      <c r="AF10" s="214">
        <v>16</v>
      </c>
      <c r="AG10" s="15">
        <f t="shared" si="2"/>
        <v>531</v>
      </c>
    </row>
    <row r="11" spans="1:33" ht="18.75" x14ac:dyDescent="0.25">
      <c r="A11" s="12" t="s">
        <v>22</v>
      </c>
      <c r="B11" s="13">
        <v>22</v>
      </c>
      <c r="C11" s="14">
        <v>20</v>
      </c>
      <c r="D11" s="14">
        <v>10</v>
      </c>
      <c r="E11" s="14">
        <v>10</v>
      </c>
      <c r="F11" s="14">
        <v>12</v>
      </c>
      <c r="G11" s="14">
        <v>12</v>
      </c>
      <c r="H11" s="14">
        <v>18</v>
      </c>
      <c r="I11" s="14">
        <v>33</v>
      </c>
      <c r="J11" s="14">
        <v>15</v>
      </c>
      <c r="K11" s="14">
        <v>20</v>
      </c>
      <c r="L11" s="14">
        <v>19</v>
      </c>
      <c r="M11" s="14">
        <v>21</v>
      </c>
      <c r="N11" s="14">
        <v>13</v>
      </c>
      <c r="O11" s="14">
        <v>8</v>
      </c>
      <c r="P11" s="14">
        <v>26</v>
      </c>
      <c r="Q11" s="14">
        <v>25</v>
      </c>
      <c r="R11" s="14">
        <v>10</v>
      </c>
      <c r="S11" s="14">
        <v>19</v>
      </c>
      <c r="T11" s="14">
        <v>14</v>
      </c>
      <c r="U11" s="14">
        <v>13</v>
      </c>
      <c r="V11" s="14">
        <v>17</v>
      </c>
      <c r="W11" s="14">
        <v>12</v>
      </c>
      <c r="X11" s="14">
        <v>22</v>
      </c>
      <c r="Y11" s="14">
        <v>8</v>
      </c>
      <c r="Z11" s="14">
        <v>17</v>
      </c>
      <c r="AA11" s="14">
        <v>19</v>
      </c>
      <c r="AB11" s="14">
        <v>4</v>
      </c>
      <c r="AC11" s="14">
        <v>18</v>
      </c>
      <c r="AD11" s="14">
        <v>18</v>
      </c>
      <c r="AE11" s="14">
        <v>28</v>
      </c>
      <c r="AF11" s="214">
        <v>22</v>
      </c>
      <c r="AG11" s="15">
        <f t="shared" si="2"/>
        <v>525</v>
      </c>
    </row>
    <row r="12" spans="1:33" ht="18.75" x14ac:dyDescent="0.25">
      <c r="A12" s="12" t="s">
        <v>23</v>
      </c>
      <c r="B12" s="13">
        <v>22</v>
      </c>
      <c r="C12" s="14">
        <v>32</v>
      </c>
      <c r="D12" s="14">
        <v>18</v>
      </c>
      <c r="E12" s="14">
        <v>29</v>
      </c>
      <c r="F12" s="14">
        <v>24</v>
      </c>
      <c r="G12" s="14">
        <v>29</v>
      </c>
      <c r="H12" s="14">
        <v>23</v>
      </c>
      <c r="I12" s="14">
        <v>26</v>
      </c>
      <c r="J12" s="14">
        <v>18</v>
      </c>
      <c r="K12" s="14">
        <v>17</v>
      </c>
      <c r="L12" s="14">
        <v>24</v>
      </c>
      <c r="M12" s="14">
        <v>23</v>
      </c>
      <c r="N12" s="14">
        <v>8</v>
      </c>
      <c r="O12" s="14">
        <v>16</v>
      </c>
      <c r="P12" s="14">
        <v>21</v>
      </c>
      <c r="Q12" s="14">
        <v>24</v>
      </c>
      <c r="R12" s="14">
        <v>16</v>
      </c>
      <c r="S12" s="14">
        <v>24</v>
      </c>
      <c r="T12" s="14">
        <v>27</v>
      </c>
      <c r="U12" s="14">
        <v>18</v>
      </c>
      <c r="V12" s="14">
        <v>16</v>
      </c>
      <c r="W12" s="14">
        <v>22</v>
      </c>
      <c r="X12" s="14">
        <v>21</v>
      </c>
      <c r="Y12" s="14">
        <v>17</v>
      </c>
      <c r="Z12" s="14">
        <v>20</v>
      </c>
      <c r="AA12" s="14">
        <v>14</v>
      </c>
      <c r="AB12" s="14">
        <v>15</v>
      </c>
      <c r="AC12" s="14">
        <v>18</v>
      </c>
      <c r="AD12" s="14">
        <v>18</v>
      </c>
      <c r="AE12" s="14">
        <v>1</v>
      </c>
      <c r="AF12" s="214">
        <v>16</v>
      </c>
      <c r="AG12" s="15">
        <f t="shared" si="2"/>
        <v>617</v>
      </c>
    </row>
    <row r="13" spans="1:33" ht="18.75" x14ac:dyDescent="0.25">
      <c r="A13" s="12" t="s">
        <v>24</v>
      </c>
      <c r="B13" s="13">
        <v>19</v>
      </c>
      <c r="C13" s="14">
        <v>29</v>
      </c>
      <c r="D13" s="14">
        <v>31</v>
      </c>
      <c r="E13" s="14">
        <v>17</v>
      </c>
      <c r="F13" s="14">
        <v>17</v>
      </c>
      <c r="G13" s="14">
        <v>10</v>
      </c>
      <c r="H13" s="14">
        <v>18</v>
      </c>
      <c r="I13" s="14">
        <v>31</v>
      </c>
      <c r="J13" s="14">
        <v>23</v>
      </c>
      <c r="K13" s="14">
        <v>23</v>
      </c>
      <c r="L13" s="14">
        <v>24</v>
      </c>
      <c r="M13" s="14">
        <v>13</v>
      </c>
      <c r="N13" s="14">
        <v>20</v>
      </c>
      <c r="O13" s="14">
        <v>17</v>
      </c>
      <c r="P13" s="14">
        <v>20</v>
      </c>
      <c r="Q13" s="14">
        <v>24</v>
      </c>
      <c r="R13" s="14">
        <v>24</v>
      </c>
      <c r="S13" s="14">
        <v>21</v>
      </c>
      <c r="T13" s="14">
        <v>21</v>
      </c>
      <c r="U13" s="14">
        <v>20</v>
      </c>
      <c r="V13" s="14">
        <v>9</v>
      </c>
      <c r="W13" s="14">
        <v>28</v>
      </c>
      <c r="X13" s="14">
        <v>22</v>
      </c>
      <c r="Y13" s="14">
        <v>34</v>
      </c>
      <c r="Z13" s="14">
        <v>21</v>
      </c>
      <c r="AA13" s="14">
        <v>9</v>
      </c>
      <c r="AB13" s="14">
        <v>13</v>
      </c>
      <c r="AC13" s="14">
        <v>19</v>
      </c>
      <c r="AD13" s="14">
        <v>22</v>
      </c>
      <c r="AE13" s="14">
        <v>21</v>
      </c>
      <c r="AF13" s="214">
        <v>27</v>
      </c>
      <c r="AG13" s="15">
        <f t="shared" si="2"/>
        <v>647</v>
      </c>
    </row>
    <row r="14" spans="1:33" ht="18.75" x14ac:dyDescent="0.25">
      <c r="A14" s="12" t="s">
        <v>25</v>
      </c>
      <c r="B14" s="13">
        <v>11</v>
      </c>
      <c r="C14" s="14">
        <v>20</v>
      </c>
      <c r="D14" s="14">
        <v>13</v>
      </c>
      <c r="E14" s="14">
        <v>23</v>
      </c>
      <c r="F14" s="14">
        <v>18</v>
      </c>
      <c r="G14" s="14">
        <v>16</v>
      </c>
      <c r="H14" s="14">
        <v>21</v>
      </c>
      <c r="I14" s="14">
        <v>26</v>
      </c>
      <c r="J14" s="14">
        <v>22</v>
      </c>
      <c r="K14" s="14">
        <v>11</v>
      </c>
      <c r="L14" s="14">
        <v>21</v>
      </c>
      <c r="M14" s="14">
        <v>17</v>
      </c>
      <c r="N14" s="14">
        <v>20</v>
      </c>
      <c r="O14" s="14">
        <v>13</v>
      </c>
      <c r="P14" s="14">
        <v>30</v>
      </c>
      <c r="Q14" s="14">
        <v>20</v>
      </c>
      <c r="R14" s="14">
        <v>14</v>
      </c>
      <c r="S14" s="14">
        <v>12</v>
      </c>
      <c r="T14" s="14">
        <v>18</v>
      </c>
      <c r="U14" s="14">
        <v>8</v>
      </c>
      <c r="V14" s="14">
        <v>9</v>
      </c>
      <c r="W14" s="14">
        <v>11</v>
      </c>
      <c r="X14" s="14">
        <v>23</v>
      </c>
      <c r="Y14" s="14">
        <v>7</v>
      </c>
      <c r="Z14" s="14">
        <v>9</v>
      </c>
      <c r="AA14" s="14">
        <v>16</v>
      </c>
      <c r="AB14" s="14">
        <v>17</v>
      </c>
      <c r="AC14" s="14">
        <v>15</v>
      </c>
      <c r="AD14" s="14">
        <v>25</v>
      </c>
      <c r="AE14" s="14">
        <v>10</v>
      </c>
      <c r="AF14" s="214">
        <v>9</v>
      </c>
      <c r="AG14" s="15">
        <f t="shared" si="2"/>
        <v>505</v>
      </c>
    </row>
    <row r="15" spans="1:33" ht="18.75" x14ac:dyDescent="0.25">
      <c r="A15" s="12" t="s">
        <v>26</v>
      </c>
      <c r="B15" s="13">
        <v>14</v>
      </c>
      <c r="C15" s="14">
        <v>21</v>
      </c>
      <c r="D15" s="14">
        <v>25</v>
      </c>
      <c r="E15" s="14">
        <v>12</v>
      </c>
      <c r="F15" s="14">
        <v>11</v>
      </c>
      <c r="G15" s="14">
        <v>7</v>
      </c>
      <c r="H15" s="14">
        <v>10</v>
      </c>
      <c r="I15" s="14">
        <v>16</v>
      </c>
      <c r="J15" s="14">
        <v>15</v>
      </c>
      <c r="K15" s="14">
        <v>14</v>
      </c>
      <c r="L15" s="14">
        <v>17</v>
      </c>
      <c r="M15" s="14">
        <v>19</v>
      </c>
      <c r="N15" s="14">
        <v>8</v>
      </c>
      <c r="O15" s="14">
        <v>14</v>
      </c>
      <c r="P15" s="14">
        <v>23</v>
      </c>
      <c r="Q15" s="14">
        <v>16</v>
      </c>
      <c r="R15" s="14">
        <v>16</v>
      </c>
      <c r="S15" s="14">
        <v>15</v>
      </c>
      <c r="T15" s="14">
        <v>9</v>
      </c>
      <c r="U15" s="14">
        <v>6</v>
      </c>
      <c r="V15" s="14">
        <v>6</v>
      </c>
      <c r="W15" s="14">
        <v>12</v>
      </c>
      <c r="X15" s="14">
        <v>14</v>
      </c>
      <c r="Y15" s="14">
        <v>11</v>
      </c>
      <c r="Z15" s="14">
        <v>14</v>
      </c>
      <c r="AA15" s="14">
        <v>17</v>
      </c>
      <c r="AB15" s="14">
        <v>6</v>
      </c>
      <c r="AC15" s="14">
        <v>14</v>
      </c>
      <c r="AD15" s="14">
        <v>15</v>
      </c>
      <c r="AE15" s="14">
        <v>15</v>
      </c>
      <c r="AF15" s="214">
        <v>9</v>
      </c>
      <c r="AG15" s="15">
        <f t="shared" si="2"/>
        <v>421</v>
      </c>
    </row>
    <row r="16" spans="1:33" ht="18.75" x14ac:dyDescent="0.25">
      <c r="A16" s="12" t="s">
        <v>27</v>
      </c>
      <c r="B16" s="13">
        <v>11</v>
      </c>
      <c r="C16" s="14">
        <v>16</v>
      </c>
      <c r="D16" s="14">
        <v>11</v>
      </c>
      <c r="E16" s="14">
        <v>17</v>
      </c>
      <c r="F16" s="14">
        <v>7</v>
      </c>
      <c r="G16" s="14">
        <v>9</v>
      </c>
      <c r="H16" s="14">
        <v>11</v>
      </c>
      <c r="I16" s="14">
        <v>14</v>
      </c>
      <c r="J16" s="14">
        <v>18</v>
      </c>
      <c r="K16" s="14">
        <v>19</v>
      </c>
      <c r="L16" s="14">
        <v>18</v>
      </c>
      <c r="M16" s="14">
        <v>9</v>
      </c>
      <c r="N16" s="14">
        <v>15</v>
      </c>
      <c r="O16" s="14">
        <v>11</v>
      </c>
      <c r="P16" s="14">
        <v>15</v>
      </c>
      <c r="Q16" s="14">
        <v>10</v>
      </c>
      <c r="R16" s="14">
        <v>19</v>
      </c>
      <c r="S16" s="14">
        <v>14</v>
      </c>
      <c r="T16" s="14">
        <v>8</v>
      </c>
      <c r="U16" s="14">
        <v>7</v>
      </c>
      <c r="V16" s="14">
        <v>2</v>
      </c>
      <c r="W16" s="14">
        <v>15</v>
      </c>
      <c r="X16" s="14">
        <v>8</v>
      </c>
      <c r="Y16" s="14">
        <v>10</v>
      </c>
      <c r="Z16" s="14">
        <v>10</v>
      </c>
      <c r="AA16" s="14">
        <v>12</v>
      </c>
      <c r="AB16" s="14">
        <v>3</v>
      </c>
      <c r="AC16" s="14">
        <v>11</v>
      </c>
      <c r="AD16" s="14">
        <v>10</v>
      </c>
      <c r="AE16" s="14">
        <v>10</v>
      </c>
      <c r="AF16" s="214">
        <v>12</v>
      </c>
      <c r="AG16" s="15">
        <f t="shared" si="2"/>
        <v>362</v>
      </c>
    </row>
    <row r="17" spans="1:33" ht="18.75" x14ac:dyDescent="0.25">
      <c r="A17" s="12" t="s">
        <v>28</v>
      </c>
      <c r="B17" s="13">
        <v>16</v>
      </c>
      <c r="C17" s="14">
        <v>7</v>
      </c>
      <c r="D17" s="14">
        <v>20</v>
      </c>
      <c r="E17" s="14">
        <v>9</v>
      </c>
      <c r="F17" s="14">
        <v>6</v>
      </c>
      <c r="G17" s="14">
        <v>10</v>
      </c>
      <c r="H17" s="14">
        <v>17</v>
      </c>
      <c r="I17" s="14">
        <v>17</v>
      </c>
      <c r="J17" s="14">
        <v>12</v>
      </c>
      <c r="K17" s="14">
        <v>7</v>
      </c>
      <c r="L17" s="14">
        <v>10</v>
      </c>
      <c r="M17" s="14">
        <v>12</v>
      </c>
      <c r="N17" s="14">
        <v>7</v>
      </c>
      <c r="O17" s="14">
        <v>20</v>
      </c>
      <c r="P17" s="14">
        <v>16</v>
      </c>
      <c r="Q17" s="14">
        <v>9</v>
      </c>
      <c r="R17" s="14">
        <v>9</v>
      </c>
      <c r="S17" s="14">
        <v>11</v>
      </c>
      <c r="T17" s="14">
        <v>12</v>
      </c>
      <c r="U17" s="14">
        <v>10</v>
      </c>
      <c r="V17" s="14">
        <v>12</v>
      </c>
      <c r="W17" s="14">
        <v>14</v>
      </c>
      <c r="X17" s="14">
        <v>7</v>
      </c>
      <c r="Y17" s="14">
        <v>4</v>
      </c>
      <c r="Z17" s="14">
        <v>9</v>
      </c>
      <c r="AA17" s="14">
        <v>8</v>
      </c>
      <c r="AB17" s="14">
        <v>10</v>
      </c>
      <c r="AC17" s="14">
        <v>10</v>
      </c>
      <c r="AD17" s="14">
        <v>8</v>
      </c>
      <c r="AE17" s="14">
        <v>12</v>
      </c>
      <c r="AF17" s="214">
        <v>8</v>
      </c>
      <c r="AG17" s="15">
        <f t="shared" si="2"/>
        <v>339</v>
      </c>
    </row>
    <row r="18" spans="1:33" ht="18.75" x14ac:dyDescent="0.25">
      <c r="A18" s="12" t="s">
        <v>29</v>
      </c>
      <c r="B18" s="13">
        <v>8</v>
      </c>
      <c r="C18" s="14">
        <v>10</v>
      </c>
      <c r="D18" s="14">
        <v>8</v>
      </c>
      <c r="E18" s="14">
        <v>6</v>
      </c>
      <c r="F18" s="14">
        <v>11</v>
      </c>
      <c r="G18" s="14">
        <v>5</v>
      </c>
      <c r="H18" s="14">
        <v>8</v>
      </c>
      <c r="I18" s="14">
        <v>8</v>
      </c>
      <c r="J18" s="14">
        <v>8</v>
      </c>
      <c r="K18" s="14">
        <v>11</v>
      </c>
      <c r="L18" s="14">
        <v>11</v>
      </c>
      <c r="M18" s="14">
        <v>16</v>
      </c>
      <c r="N18" s="14">
        <v>3</v>
      </c>
      <c r="O18" s="14">
        <v>11</v>
      </c>
      <c r="P18" s="14">
        <v>9</v>
      </c>
      <c r="Q18" s="14">
        <v>8</v>
      </c>
      <c r="R18" s="14">
        <v>11</v>
      </c>
      <c r="S18" s="14">
        <v>13</v>
      </c>
      <c r="T18" s="14">
        <v>6</v>
      </c>
      <c r="U18" s="14">
        <v>6</v>
      </c>
      <c r="V18" s="14">
        <v>6</v>
      </c>
      <c r="W18" s="14">
        <v>10</v>
      </c>
      <c r="X18" s="14">
        <v>7</v>
      </c>
      <c r="Y18" s="14">
        <v>12</v>
      </c>
      <c r="Z18" s="14">
        <v>6</v>
      </c>
      <c r="AA18" s="14">
        <v>10</v>
      </c>
      <c r="AB18" s="14">
        <v>8</v>
      </c>
      <c r="AC18" s="14">
        <v>10</v>
      </c>
      <c r="AD18" s="14">
        <v>8</v>
      </c>
      <c r="AE18" s="14">
        <v>11</v>
      </c>
      <c r="AF18" s="214">
        <v>10</v>
      </c>
      <c r="AG18" s="15">
        <f t="shared" si="2"/>
        <v>275</v>
      </c>
    </row>
    <row r="19" spans="1:33" ht="18.75" x14ac:dyDescent="0.25">
      <c r="A19" s="12" t="s">
        <v>30</v>
      </c>
      <c r="B19" s="13">
        <v>8</v>
      </c>
      <c r="C19" s="14">
        <v>7</v>
      </c>
      <c r="D19" s="14">
        <v>4</v>
      </c>
      <c r="E19" s="14">
        <v>9</v>
      </c>
      <c r="F19" s="14">
        <v>7</v>
      </c>
      <c r="G19" s="14">
        <v>9</v>
      </c>
      <c r="H19" s="14">
        <v>4</v>
      </c>
      <c r="I19" s="14">
        <v>7</v>
      </c>
      <c r="J19" s="14">
        <v>7</v>
      </c>
      <c r="K19" s="14">
        <v>4</v>
      </c>
      <c r="L19" s="14">
        <v>10</v>
      </c>
      <c r="M19" s="14">
        <v>4</v>
      </c>
      <c r="N19" s="14">
        <v>9</v>
      </c>
      <c r="O19" s="14">
        <v>5</v>
      </c>
      <c r="P19" s="14">
        <v>6</v>
      </c>
      <c r="Q19" s="14">
        <v>9</v>
      </c>
      <c r="R19" s="14">
        <v>7</v>
      </c>
      <c r="S19" s="14">
        <v>3</v>
      </c>
      <c r="T19" s="14">
        <v>17</v>
      </c>
      <c r="U19" s="14">
        <v>5</v>
      </c>
      <c r="V19" s="14">
        <v>6</v>
      </c>
      <c r="W19" s="14">
        <v>6</v>
      </c>
      <c r="X19" s="14">
        <v>4</v>
      </c>
      <c r="Y19" s="14">
        <v>12</v>
      </c>
      <c r="Z19" s="14">
        <v>4</v>
      </c>
      <c r="AA19" s="14">
        <v>6</v>
      </c>
      <c r="AB19" s="14">
        <v>7</v>
      </c>
      <c r="AC19" s="14">
        <v>7</v>
      </c>
      <c r="AD19" s="14">
        <v>11</v>
      </c>
      <c r="AE19" s="14">
        <v>9</v>
      </c>
      <c r="AF19" s="214">
        <v>7</v>
      </c>
      <c r="AG19" s="15">
        <f t="shared" si="2"/>
        <v>220</v>
      </c>
    </row>
    <row r="20" spans="1:33" ht="18.75" x14ac:dyDescent="0.25">
      <c r="A20" s="12" t="s">
        <v>31</v>
      </c>
      <c r="B20" s="13">
        <v>4</v>
      </c>
      <c r="C20" s="14">
        <v>2</v>
      </c>
      <c r="D20" s="14">
        <v>4</v>
      </c>
      <c r="E20" s="14">
        <v>5</v>
      </c>
      <c r="F20" s="14">
        <v>5</v>
      </c>
      <c r="G20" s="14">
        <v>2</v>
      </c>
      <c r="H20" s="14">
        <v>5</v>
      </c>
      <c r="I20" s="14">
        <v>3</v>
      </c>
      <c r="J20" s="14">
        <v>5</v>
      </c>
      <c r="K20" s="14">
        <v>5</v>
      </c>
      <c r="L20" s="14">
        <v>5</v>
      </c>
      <c r="M20" s="14">
        <v>3</v>
      </c>
      <c r="N20" s="14">
        <v>8</v>
      </c>
      <c r="O20" s="14">
        <v>5</v>
      </c>
      <c r="P20" s="14">
        <v>6</v>
      </c>
      <c r="Q20" s="14">
        <v>7</v>
      </c>
      <c r="R20" s="14">
        <v>3</v>
      </c>
      <c r="S20" s="14">
        <v>2</v>
      </c>
      <c r="T20" s="14">
        <v>4</v>
      </c>
      <c r="U20" s="14">
        <v>4</v>
      </c>
      <c r="V20" s="14">
        <v>5</v>
      </c>
      <c r="W20" s="14">
        <v>2</v>
      </c>
      <c r="X20" s="14">
        <v>5</v>
      </c>
      <c r="Y20" s="14">
        <v>5</v>
      </c>
      <c r="Z20" s="14">
        <v>3</v>
      </c>
      <c r="AA20" s="14">
        <v>10</v>
      </c>
      <c r="AB20" s="14">
        <v>2</v>
      </c>
      <c r="AC20" s="14">
        <v>2</v>
      </c>
      <c r="AD20" s="14">
        <v>1</v>
      </c>
      <c r="AE20" s="14">
        <v>3</v>
      </c>
      <c r="AF20" s="214">
        <v>4</v>
      </c>
      <c r="AG20" s="15">
        <f t="shared" si="2"/>
        <v>129</v>
      </c>
    </row>
    <row r="21" spans="1:33" ht="15.75" customHeight="1" x14ac:dyDescent="0.25">
      <c r="A21" s="12" t="s">
        <v>32</v>
      </c>
      <c r="B21" s="13">
        <v>5</v>
      </c>
      <c r="C21" s="14">
        <v>2</v>
      </c>
      <c r="D21" s="14">
        <v>3</v>
      </c>
      <c r="E21" s="14">
        <v>3</v>
      </c>
      <c r="F21" s="14">
        <v>1</v>
      </c>
      <c r="G21" s="14">
        <v>7</v>
      </c>
      <c r="H21" s="14">
        <v>0</v>
      </c>
      <c r="I21" s="14">
        <v>3</v>
      </c>
      <c r="J21" s="14">
        <v>1</v>
      </c>
      <c r="K21" s="14">
        <v>1</v>
      </c>
      <c r="L21" s="14">
        <v>1</v>
      </c>
      <c r="M21" s="14">
        <v>3</v>
      </c>
      <c r="N21" s="14">
        <v>5</v>
      </c>
      <c r="O21" s="14">
        <v>2</v>
      </c>
      <c r="P21" s="14">
        <v>5</v>
      </c>
      <c r="Q21" s="14">
        <v>5</v>
      </c>
      <c r="R21" s="14">
        <v>3</v>
      </c>
      <c r="S21" s="14">
        <v>3</v>
      </c>
      <c r="T21" s="14">
        <v>5</v>
      </c>
      <c r="U21" s="14">
        <v>6</v>
      </c>
      <c r="V21" s="14">
        <v>4</v>
      </c>
      <c r="W21" s="14">
        <v>2</v>
      </c>
      <c r="X21" s="14">
        <v>2</v>
      </c>
      <c r="Y21" s="14">
        <v>3</v>
      </c>
      <c r="Z21" s="14">
        <v>4</v>
      </c>
      <c r="AA21" s="14">
        <v>3</v>
      </c>
      <c r="AB21" s="14">
        <v>3</v>
      </c>
      <c r="AC21" s="14">
        <v>2</v>
      </c>
      <c r="AD21" s="14">
        <v>4</v>
      </c>
      <c r="AE21" s="14">
        <v>2</v>
      </c>
      <c r="AF21" s="214">
        <v>4</v>
      </c>
      <c r="AG21" s="15">
        <f t="shared" si="2"/>
        <v>97</v>
      </c>
    </row>
    <row r="22" spans="1:33" ht="15.75" customHeight="1" x14ac:dyDescent="0.25">
      <c r="A22" s="12" t="s">
        <v>33</v>
      </c>
      <c r="B22" s="13">
        <v>3</v>
      </c>
      <c r="C22" s="14">
        <v>1</v>
      </c>
      <c r="D22" s="14">
        <v>3</v>
      </c>
      <c r="E22" s="14">
        <v>2</v>
      </c>
      <c r="F22" s="14">
        <v>1</v>
      </c>
      <c r="G22" s="14">
        <v>2</v>
      </c>
      <c r="H22" s="14">
        <v>0</v>
      </c>
      <c r="I22" s="14">
        <v>0</v>
      </c>
      <c r="J22" s="14">
        <v>3</v>
      </c>
      <c r="K22" s="14">
        <v>0</v>
      </c>
      <c r="L22" s="14">
        <v>1</v>
      </c>
      <c r="M22" s="14">
        <v>4</v>
      </c>
      <c r="N22" s="14">
        <v>4</v>
      </c>
      <c r="O22" s="14">
        <v>4</v>
      </c>
      <c r="P22" s="14">
        <v>3</v>
      </c>
      <c r="Q22" s="14">
        <v>2</v>
      </c>
      <c r="R22" s="14">
        <v>0</v>
      </c>
      <c r="S22" s="14">
        <v>2</v>
      </c>
      <c r="T22" s="14">
        <v>3</v>
      </c>
      <c r="U22" s="14">
        <v>3</v>
      </c>
      <c r="V22" s="14">
        <v>2</v>
      </c>
      <c r="W22" s="14">
        <v>0</v>
      </c>
      <c r="X22" s="14">
        <v>2</v>
      </c>
      <c r="Y22" s="14">
        <v>1</v>
      </c>
      <c r="Z22" s="14">
        <v>2</v>
      </c>
      <c r="AA22" s="14">
        <v>3</v>
      </c>
      <c r="AB22" s="14">
        <v>0</v>
      </c>
      <c r="AC22" s="14">
        <v>3</v>
      </c>
      <c r="AD22" s="14">
        <v>3</v>
      </c>
      <c r="AE22" s="14">
        <v>2</v>
      </c>
      <c r="AF22" s="214">
        <v>0</v>
      </c>
      <c r="AG22" s="15">
        <f t="shared" si="2"/>
        <v>59</v>
      </c>
    </row>
    <row r="23" spans="1:33" ht="15.75" customHeight="1" x14ac:dyDescent="0.25">
      <c r="A23" s="12" t="s">
        <v>34</v>
      </c>
      <c r="B23" s="13">
        <v>2</v>
      </c>
      <c r="C23" s="14">
        <v>1</v>
      </c>
      <c r="D23" s="14">
        <v>4</v>
      </c>
      <c r="E23" s="14">
        <v>1</v>
      </c>
      <c r="F23" s="14">
        <v>0</v>
      </c>
      <c r="G23" s="14">
        <v>1</v>
      </c>
      <c r="H23" s="14">
        <v>0</v>
      </c>
      <c r="I23" s="14">
        <v>1</v>
      </c>
      <c r="J23" s="14">
        <v>1</v>
      </c>
      <c r="K23" s="14">
        <v>1</v>
      </c>
      <c r="L23" s="14">
        <v>2</v>
      </c>
      <c r="M23" s="14">
        <v>1</v>
      </c>
      <c r="N23" s="14">
        <v>2</v>
      </c>
      <c r="O23" s="14">
        <v>1</v>
      </c>
      <c r="P23" s="14">
        <v>2</v>
      </c>
      <c r="Q23" s="14">
        <v>3</v>
      </c>
      <c r="R23" s="14">
        <v>0</v>
      </c>
      <c r="S23" s="14">
        <v>0</v>
      </c>
      <c r="T23" s="14">
        <v>5</v>
      </c>
      <c r="U23" s="14">
        <v>2</v>
      </c>
      <c r="V23" s="14">
        <v>3</v>
      </c>
      <c r="W23" s="14">
        <v>4</v>
      </c>
      <c r="X23" s="14">
        <v>1</v>
      </c>
      <c r="Y23" s="14">
        <v>8</v>
      </c>
      <c r="Z23" s="14">
        <v>0</v>
      </c>
      <c r="AA23" s="14">
        <v>1</v>
      </c>
      <c r="AB23" s="14">
        <v>3</v>
      </c>
      <c r="AC23" s="14">
        <v>3</v>
      </c>
      <c r="AD23" s="14">
        <v>3</v>
      </c>
      <c r="AE23" s="14">
        <v>0</v>
      </c>
      <c r="AF23" s="214">
        <v>2</v>
      </c>
      <c r="AG23" s="15">
        <f t="shared" si="2"/>
        <v>58</v>
      </c>
    </row>
    <row r="24" spans="1:33" ht="15.75" customHeight="1" x14ac:dyDescent="0.25">
      <c r="A24" s="12" t="s">
        <v>35</v>
      </c>
      <c r="B24" s="13">
        <v>0</v>
      </c>
      <c r="C24" s="14">
        <v>1</v>
      </c>
      <c r="D24" s="14">
        <v>1</v>
      </c>
      <c r="E24" s="14">
        <v>1</v>
      </c>
      <c r="F24" s="14">
        <v>4</v>
      </c>
      <c r="G24" s="14">
        <v>1</v>
      </c>
      <c r="H24" s="14">
        <v>1</v>
      </c>
      <c r="I24" s="14">
        <v>3</v>
      </c>
      <c r="J24" s="14">
        <v>3</v>
      </c>
      <c r="K24" s="14">
        <v>1</v>
      </c>
      <c r="L24" s="14">
        <v>0</v>
      </c>
      <c r="M24" s="14">
        <v>5</v>
      </c>
      <c r="N24" s="14">
        <v>2</v>
      </c>
      <c r="O24" s="14">
        <v>0</v>
      </c>
      <c r="P24" s="14">
        <v>1</v>
      </c>
      <c r="Q24" s="14">
        <v>1</v>
      </c>
      <c r="R24" s="14">
        <v>0</v>
      </c>
      <c r="S24" s="14">
        <v>1</v>
      </c>
      <c r="T24" s="14">
        <v>1</v>
      </c>
      <c r="U24" s="14">
        <v>1</v>
      </c>
      <c r="V24" s="14">
        <v>1</v>
      </c>
      <c r="W24" s="14">
        <v>2</v>
      </c>
      <c r="X24" s="14">
        <v>1</v>
      </c>
      <c r="Y24" s="14">
        <v>1</v>
      </c>
      <c r="Z24" s="14">
        <v>3</v>
      </c>
      <c r="AA24" s="14">
        <v>0</v>
      </c>
      <c r="AB24" s="14">
        <v>1</v>
      </c>
      <c r="AC24" s="14">
        <v>0</v>
      </c>
      <c r="AD24" s="14">
        <v>3</v>
      </c>
      <c r="AE24" s="14">
        <v>2</v>
      </c>
      <c r="AF24" s="214">
        <v>0</v>
      </c>
      <c r="AG24" s="15">
        <f t="shared" si="2"/>
        <v>42</v>
      </c>
    </row>
    <row r="25" spans="1:33" ht="15.75" customHeight="1" x14ac:dyDescent="0.25">
      <c r="A25" s="12" t="s">
        <v>36</v>
      </c>
      <c r="B25" s="13">
        <v>2</v>
      </c>
      <c r="C25" s="14">
        <v>2</v>
      </c>
      <c r="D25" s="14">
        <v>2</v>
      </c>
      <c r="E25" s="14">
        <v>0</v>
      </c>
      <c r="F25" s="14">
        <v>2</v>
      </c>
      <c r="G25" s="14">
        <v>1</v>
      </c>
      <c r="H25" s="14">
        <v>0</v>
      </c>
      <c r="I25" s="14">
        <v>2</v>
      </c>
      <c r="J25" s="14">
        <v>0</v>
      </c>
      <c r="K25" s="14">
        <v>0</v>
      </c>
      <c r="L25" s="14">
        <v>1</v>
      </c>
      <c r="M25" s="14">
        <v>2</v>
      </c>
      <c r="N25" s="14">
        <v>2</v>
      </c>
      <c r="O25" s="14">
        <v>3</v>
      </c>
      <c r="P25" s="14">
        <v>0</v>
      </c>
      <c r="Q25" s="14">
        <v>1</v>
      </c>
      <c r="R25" s="14">
        <v>0</v>
      </c>
      <c r="S25" s="14">
        <v>0</v>
      </c>
      <c r="T25" s="14">
        <v>1</v>
      </c>
      <c r="U25" s="14">
        <v>2</v>
      </c>
      <c r="V25" s="14">
        <v>0</v>
      </c>
      <c r="W25" s="14">
        <v>1</v>
      </c>
      <c r="X25" s="14">
        <v>1</v>
      </c>
      <c r="Y25" s="14">
        <v>0</v>
      </c>
      <c r="Z25" s="14">
        <v>0</v>
      </c>
      <c r="AA25" s="14">
        <v>2</v>
      </c>
      <c r="AB25" s="14">
        <v>1</v>
      </c>
      <c r="AC25" s="14">
        <v>2</v>
      </c>
      <c r="AD25" s="14">
        <v>0</v>
      </c>
      <c r="AE25" s="14">
        <v>2</v>
      </c>
      <c r="AF25" s="214">
        <v>4</v>
      </c>
      <c r="AG25" s="15">
        <f t="shared" si="2"/>
        <v>36</v>
      </c>
    </row>
    <row r="26" spans="1:33" ht="15.75" customHeight="1" x14ac:dyDescent="0.25">
      <c r="A26" s="12" t="s">
        <v>37</v>
      </c>
      <c r="B26" s="13">
        <v>2</v>
      </c>
      <c r="C26" s="14">
        <v>1</v>
      </c>
      <c r="D26" s="14">
        <v>2</v>
      </c>
      <c r="E26" s="14">
        <v>1</v>
      </c>
      <c r="F26" s="14">
        <v>3</v>
      </c>
      <c r="G26" s="14">
        <v>1</v>
      </c>
      <c r="H26" s="14">
        <v>2</v>
      </c>
      <c r="I26" s="14">
        <v>2</v>
      </c>
      <c r="J26" s="14">
        <v>2</v>
      </c>
      <c r="K26" s="14">
        <v>1</v>
      </c>
      <c r="L26" s="14">
        <v>2</v>
      </c>
      <c r="M26" s="14">
        <v>3</v>
      </c>
      <c r="N26" s="14">
        <v>3</v>
      </c>
      <c r="O26" s="14">
        <v>0</v>
      </c>
      <c r="P26" s="14">
        <v>1</v>
      </c>
      <c r="Q26" s="14">
        <v>1</v>
      </c>
      <c r="R26" s="14">
        <v>0</v>
      </c>
      <c r="S26" s="14">
        <v>2</v>
      </c>
      <c r="T26" s="14">
        <v>1</v>
      </c>
      <c r="U26" s="14">
        <v>1</v>
      </c>
      <c r="V26" s="14">
        <v>1</v>
      </c>
      <c r="W26" s="14">
        <v>0</v>
      </c>
      <c r="X26" s="14">
        <v>0</v>
      </c>
      <c r="Y26" s="14">
        <v>2</v>
      </c>
      <c r="Z26" s="14">
        <v>0</v>
      </c>
      <c r="AA26" s="14">
        <v>2</v>
      </c>
      <c r="AB26" s="14">
        <v>0</v>
      </c>
      <c r="AC26" s="14">
        <v>1</v>
      </c>
      <c r="AD26" s="14">
        <v>2</v>
      </c>
      <c r="AE26" s="14">
        <v>1</v>
      </c>
      <c r="AF26" s="214">
        <v>0</v>
      </c>
      <c r="AG26" s="15">
        <f t="shared" si="2"/>
        <v>40</v>
      </c>
    </row>
    <row r="27" spans="1:33" ht="15.75" customHeight="1" x14ac:dyDescent="0.25">
      <c r="A27" s="16" t="s">
        <v>38</v>
      </c>
      <c r="B27" s="17">
        <v>2</v>
      </c>
      <c r="C27" s="18">
        <v>1</v>
      </c>
      <c r="D27" s="18">
        <v>8</v>
      </c>
      <c r="E27" s="18">
        <v>3</v>
      </c>
      <c r="F27" s="18">
        <v>6</v>
      </c>
      <c r="G27" s="18">
        <v>2</v>
      </c>
      <c r="H27" s="18">
        <v>9</v>
      </c>
      <c r="I27" s="18">
        <v>3</v>
      </c>
      <c r="J27" s="18">
        <v>5</v>
      </c>
      <c r="K27" s="18">
        <v>2</v>
      </c>
      <c r="L27" s="18">
        <v>3</v>
      </c>
      <c r="M27" s="18">
        <v>2</v>
      </c>
      <c r="N27" s="18">
        <v>6</v>
      </c>
      <c r="O27" s="18">
        <v>4</v>
      </c>
      <c r="P27" s="18">
        <v>1</v>
      </c>
      <c r="Q27" s="18">
        <v>0</v>
      </c>
      <c r="R27" s="18">
        <v>2</v>
      </c>
      <c r="S27" s="18">
        <v>3</v>
      </c>
      <c r="T27" s="18">
        <v>5</v>
      </c>
      <c r="U27" s="18">
        <v>1</v>
      </c>
      <c r="V27" s="18">
        <v>0</v>
      </c>
      <c r="W27" s="18">
        <v>2</v>
      </c>
      <c r="X27" s="18">
        <v>4</v>
      </c>
      <c r="Y27" s="18">
        <v>4</v>
      </c>
      <c r="Z27" s="18">
        <v>5</v>
      </c>
      <c r="AA27" s="18">
        <v>2</v>
      </c>
      <c r="AB27" s="18">
        <v>2</v>
      </c>
      <c r="AC27" s="18">
        <v>3</v>
      </c>
      <c r="AD27" s="18">
        <v>5</v>
      </c>
      <c r="AE27" s="18">
        <v>5</v>
      </c>
      <c r="AF27" s="215">
        <v>4</v>
      </c>
      <c r="AG27" s="15">
        <f t="shared" si="2"/>
        <v>104</v>
      </c>
    </row>
    <row r="28" spans="1:33" ht="15.75" customHeight="1" x14ac:dyDescent="0.25">
      <c r="A28" s="19" t="s">
        <v>39</v>
      </c>
      <c r="B28" s="20">
        <f t="shared" ref="B28:AF28" si="3">SUM(B29:B52)</f>
        <v>257</v>
      </c>
      <c r="C28" s="21">
        <f t="shared" si="3"/>
        <v>225</v>
      </c>
      <c r="D28" s="21">
        <f t="shared" si="3"/>
        <v>234</v>
      </c>
      <c r="E28" s="21">
        <f t="shared" si="3"/>
        <v>211</v>
      </c>
      <c r="F28" s="21">
        <f t="shared" si="3"/>
        <v>204</v>
      </c>
      <c r="G28" s="21">
        <f t="shared" si="3"/>
        <v>215</v>
      </c>
      <c r="H28" s="21">
        <f t="shared" si="3"/>
        <v>213</v>
      </c>
      <c r="I28" s="21">
        <f t="shared" si="3"/>
        <v>215</v>
      </c>
      <c r="J28" s="21">
        <f t="shared" si="3"/>
        <v>243</v>
      </c>
      <c r="K28" s="21">
        <f t="shared" si="3"/>
        <v>205</v>
      </c>
      <c r="L28" s="21">
        <f t="shared" si="3"/>
        <v>238</v>
      </c>
      <c r="M28" s="21">
        <f t="shared" si="3"/>
        <v>229</v>
      </c>
      <c r="N28" s="21">
        <f t="shared" si="3"/>
        <v>226</v>
      </c>
      <c r="O28" s="21">
        <f t="shared" si="3"/>
        <v>213</v>
      </c>
      <c r="P28" s="21">
        <f t="shared" si="3"/>
        <v>234</v>
      </c>
      <c r="Q28" s="21">
        <f t="shared" si="3"/>
        <v>251</v>
      </c>
      <c r="R28" s="21">
        <f t="shared" si="3"/>
        <v>224</v>
      </c>
      <c r="S28" s="21">
        <f t="shared" si="3"/>
        <v>230</v>
      </c>
      <c r="T28" s="21">
        <f t="shared" si="3"/>
        <v>240</v>
      </c>
      <c r="U28" s="21">
        <f t="shared" si="3"/>
        <v>208</v>
      </c>
      <c r="V28" s="21">
        <f t="shared" si="3"/>
        <v>184</v>
      </c>
      <c r="W28" s="21">
        <f t="shared" si="3"/>
        <v>215</v>
      </c>
      <c r="X28" s="21">
        <f t="shared" si="3"/>
        <v>216</v>
      </c>
      <c r="Y28" s="21">
        <f t="shared" si="3"/>
        <v>194</v>
      </c>
      <c r="Z28" s="21">
        <f t="shared" si="3"/>
        <v>214</v>
      </c>
      <c r="AA28" s="21">
        <f t="shared" si="3"/>
        <v>206</v>
      </c>
      <c r="AB28" s="21">
        <f t="shared" si="3"/>
        <v>186</v>
      </c>
      <c r="AC28" s="21">
        <f t="shared" si="3"/>
        <v>216</v>
      </c>
      <c r="AD28" s="21">
        <f t="shared" si="3"/>
        <v>213</v>
      </c>
      <c r="AE28" s="21">
        <f t="shared" si="3"/>
        <v>204</v>
      </c>
      <c r="AF28" s="21">
        <f t="shared" si="3"/>
        <v>203</v>
      </c>
      <c r="AG28" s="22">
        <f t="shared" si="2"/>
        <v>6766</v>
      </c>
    </row>
    <row r="29" spans="1:33" ht="15.75" customHeight="1" x14ac:dyDescent="0.25">
      <c r="A29" s="12" t="s">
        <v>15</v>
      </c>
      <c r="B29" s="13">
        <v>6</v>
      </c>
      <c r="C29" s="14">
        <v>2</v>
      </c>
      <c r="D29" s="14">
        <v>15</v>
      </c>
      <c r="E29" s="14">
        <v>4</v>
      </c>
      <c r="F29" s="14">
        <v>5</v>
      </c>
      <c r="G29" s="14">
        <v>3</v>
      </c>
      <c r="H29" s="14">
        <v>10</v>
      </c>
      <c r="I29" s="14">
        <v>5</v>
      </c>
      <c r="J29" s="14">
        <v>10</v>
      </c>
      <c r="K29" s="14">
        <v>8</v>
      </c>
      <c r="L29" s="14">
        <v>8</v>
      </c>
      <c r="M29" s="14">
        <v>3</v>
      </c>
      <c r="N29" s="14">
        <v>6</v>
      </c>
      <c r="O29" s="14">
        <v>5</v>
      </c>
      <c r="P29" s="14">
        <v>2</v>
      </c>
      <c r="Q29" s="14">
        <v>6</v>
      </c>
      <c r="R29" s="14">
        <v>4</v>
      </c>
      <c r="S29" s="14">
        <v>5</v>
      </c>
      <c r="T29" s="14">
        <v>13</v>
      </c>
      <c r="U29" s="14">
        <v>3</v>
      </c>
      <c r="V29" s="14">
        <v>1</v>
      </c>
      <c r="W29" s="14">
        <v>6</v>
      </c>
      <c r="X29" s="14">
        <v>6</v>
      </c>
      <c r="Y29" s="14">
        <v>9</v>
      </c>
      <c r="Z29" s="14">
        <v>7</v>
      </c>
      <c r="AA29" s="14">
        <v>2</v>
      </c>
      <c r="AB29" s="14">
        <v>8</v>
      </c>
      <c r="AC29" s="14">
        <v>4</v>
      </c>
      <c r="AD29" s="14">
        <v>6</v>
      </c>
      <c r="AE29" s="14">
        <v>8</v>
      </c>
      <c r="AF29" s="214">
        <v>10</v>
      </c>
      <c r="AG29" s="15">
        <f t="shared" si="2"/>
        <v>190</v>
      </c>
    </row>
    <row r="30" spans="1:33" ht="15.75" customHeight="1" x14ac:dyDescent="0.25">
      <c r="A30" s="12" t="s">
        <v>16</v>
      </c>
      <c r="B30" s="13">
        <v>11</v>
      </c>
      <c r="C30" s="14">
        <v>14</v>
      </c>
      <c r="D30" s="14">
        <v>13</v>
      </c>
      <c r="E30" s="14">
        <v>11</v>
      </c>
      <c r="F30" s="14">
        <v>14</v>
      </c>
      <c r="G30" s="14">
        <v>11</v>
      </c>
      <c r="H30" s="14">
        <v>3</v>
      </c>
      <c r="I30" s="14">
        <v>7</v>
      </c>
      <c r="J30" s="14">
        <v>11</v>
      </c>
      <c r="K30" s="14">
        <v>15</v>
      </c>
      <c r="L30" s="14">
        <v>9</v>
      </c>
      <c r="M30" s="14">
        <v>10</v>
      </c>
      <c r="N30" s="14">
        <v>12</v>
      </c>
      <c r="O30" s="14">
        <v>11</v>
      </c>
      <c r="P30" s="14">
        <v>12</v>
      </c>
      <c r="Q30" s="14">
        <v>13</v>
      </c>
      <c r="R30" s="14">
        <v>13</v>
      </c>
      <c r="S30" s="14">
        <v>13</v>
      </c>
      <c r="T30" s="14">
        <v>16</v>
      </c>
      <c r="U30" s="14">
        <v>7</v>
      </c>
      <c r="V30" s="14">
        <v>8</v>
      </c>
      <c r="W30" s="14">
        <v>14</v>
      </c>
      <c r="X30" s="14">
        <v>9</v>
      </c>
      <c r="Y30" s="14">
        <v>9</v>
      </c>
      <c r="Z30" s="14">
        <v>14</v>
      </c>
      <c r="AA30" s="14">
        <v>8</v>
      </c>
      <c r="AB30" s="14">
        <v>7</v>
      </c>
      <c r="AC30" s="14">
        <v>9</v>
      </c>
      <c r="AD30" s="14">
        <v>11</v>
      </c>
      <c r="AE30" s="14">
        <v>9</v>
      </c>
      <c r="AF30" s="214">
        <v>8</v>
      </c>
      <c r="AG30" s="15">
        <f t="shared" si="2"/>
        <v>332</v>
      </c>
    </row>
    <row r="31" spans="1:33" ht="15.75" customHeight="1" x14ac:dyDescent="0.25">
      <c r="A31" s="12" t="s">
        <v>17</v>
      </c>
      <c r="B31" s="13">
        <v>17</v>
      </c>
      <c r="C31" s="14">
        <v>11</v>
      </c>
      <c r="D31" s="14">
        <v>8</v>
      </c>
      <c r="E31" s="14">
        <v>13</v>
      </c>
      <c r="F31" s="14">
        <v>11</v>
      </c>
      <c r="G31" s="14">
        <v>7</v>
      </c>
      <c r="H31" s="14">
        <v>8</v>
      </c>
      <c r="I31" s="14">
        <v>8</v>
      </c>
      <c r="J31" s="14">
        <v>12</v>
      </c>
      <c r="K31" s="14">
        <v>15</v>
      </c>
      <c r="L31" s="14">
        <v>12</v>
      </c>
      <c r="M31" s="14">
        <v>8</v>
      </c>
      <c r="N31" s="14">
        <v>24</v>
      </c>
      <c r="O31" s="14">
        <v>8</v>
      </c>
      <c r="P31" s="14">
        <v>11</v>
      </c>
      <c r="Q31" s="14">
        <v>15</v>
      </c>
      <c r="R31" s="14">
        <v>11</v>
      </c>
      <c r="S31" s="14">
        <v>10</v>
      </c>
      <c r="T31" s="14">
        <v>14</v>
      </c>
      <c r="U31" s="14">
        <v>14</v>
      </c>
      <c r="V31" s="14">
        <v>10</v>
      </c>
      <c r="W31" s="14">
        <v>10</v>
      </c>
      <c r="X31" s="14">
        <v>13</v>
      </c>
      <c r="Y31" s="14">
        <v>10</v>
      </c>
      <c r="Z31" s="14">
        <v>11</v>
      </c>
      <c r="AA31" s="14">
        <v>11</v>
      </c>
      <c r="AB31" s="14">
        <v>14</v>
      </c>
      <c r="AC31" s="14">
        <v>9</v>
      </c>
      <c r="AD31" s="14">
        <v>10</v>
      </c>
      <c r="AE31" s="14">
        <v>12</v>
      </c>
      <c r="AF31" s="214">
        <v>8</v>
      </c>
      <c r="AG31" s="15">
        <f t="shared" si="2"/>
        <v>355</v>
      </c>
    </row>
    <row r="32" spans="1:33" ht="15.75" customHeight="1" x14ac:dyDescent="0.25">
      <c r="A32" s="12" t="s">
        <v>18</v>
      </c>
      <c r="B32" s="13">
        <v>18</v>
      </c>
      <c r="C32" s="14">
        <v>10</v>
      </c>
      <c r="D32" s="14">
        <v>7</v>
      </c>
      <c r="E32" s="14">
        <v>6</v>
      </c>
      <c r="F32" s="14">
        <v>6</v>
      </c>
      <c r="G32" s="14">
        <v>18</v>
      </c>
      <c r="H32" s="14">
        <v>11</v>
      </c>
      <c r="I32" s="14">
        <v>11</v>
      </c>
      <c r="J32" s="14">
        <v>10</v>
      </c>
      <c r="K32" s="14">
        <v>11</v>
      </c>
      <c r="L32" s="14">
        <v>6</v>
      </c>
      <c r="M32" s="14">
        <v>9</v>
      </c>
      <c r="N32" s="14">
        <v>4</v>
      </c>
      <c r="O32" s="14">
        <v>11</v>
      </c>
      <c r="P32" s="14">
        <v>8</v>
      </c>
      <c r="Q32" s="14">
        <v>7</v>
      </c>
      <c r="R32" s="14">
        <v>14</v>
      </c>
      <c r="S32" s="14">
        <v>8</v>
      </c>
      <c r="T32" s="14">
        <v>10</v>
      </c>
      <c r="U32" s="14">
        <v>17</v>
      </c>
      <c r="V32" s="14">
        <v>12</v>
      </c>
      <c r="W32" s="14">
        <v>13</v>
      </c>
      <c r="X32" s="14">
        <v>12</v>
      </c>
      <c r="Y32" s="14">
        <v>6</v>
      </c>
      <c r="Z32" s="14">
        <v>11</v>
      </c>
      <c r="AA32" s="14">
        <v>8</v>
      </c>
      <c r="AB32" s="14">
        <v>19</v>
      </c>
      <c r="AC32" s="14">
        <v>9</v>
      </c>
      <c r="AD32" s="14">
        <v>8</v>
      </c>
      <c r="AE32" s="14">
        <v>20</v>
      </c>
      <c r="AF32" s="214">
        <v>15</v>
      </c>
      <c r="AG32" s="15">
        <f t="shared" si="2"/>
        <v>335</v>
      </c>
    </row>
    <row r="33" spans="1:33" ht="15.75" customHeight="1" x14ac:dyDescent="0.25">
      <c r="A33" s="12" t="s">
        <v>19</v>
      </c>
      <c r="B33" s="13">
        <v>17</v>
      </c>
      <c r="C33" s="14">
        <v>9</v>
      </c>
      <c r="D33" s="14">
        <v>11</v>
      </c>
      <c r="E33" s="14">
        <v>12</v>
      </c>
      <c r="F33" s="14">
        <v>7</v>
      </c>
      <c r="G33" s="14">
        <v>12</v>
      </c>
      <c r="H33" s="14">
        <v>5</v>
      </c>
      <c r="I33" s="14">
        <v>10</v>
      </c>
      <c r="J33" s="14">
        <v>14</v>
      </c>
      <c r="K33" s="14">
        <v>11</v>
      </c>
      <c r="L33" s="14">
        <v>15</v>
      </c>
      <c r="M33" s="14">
        <v>7</v>
      </c>
      <c r="N33" s="14">
        <v>7</v>
      </c>
      <c r="O33" s="14">
        <v>10</v>
      </c>
      <c r="P33" s="14">
        <v>3</v>
      </c>
      <c r="Q33" s="14">
        <v>11</v>
      </c>
      <c r="R33" s="14">
        <v>11</v>
      </c>
      <c r="S33" s="14">
        <v>12</v>
      </c>
      <c r="T33" s="14">
        <v>11</v>
      </c>
      <c r="U33" s="14">
        <v>9</v>
      </c>
      <c r="V33" s="14">
        <v>17</v>
      </c>
      <c r="W33" s="14">
        <v>12</v>
      </c>
      <c r="X33" s="14">
        <v>9</v>
      </c>
      <c r="Y33" s="14">
        <v>8</v>
      </c>
      <c r="Z33" s="14">
        <v>10</v>
      </c>
      <c r="AA33" s="14">
        <v>7</v>
      </c>
      <c r="AB33" s="14">
        <v>5</v>
      </c>
      <c r="AC33" s="14">
        <v>14</v>
      </c>
      <c r="AD33" s="14">
        <v>9</v>
      </c>
      <c r="AE33" s="14">
        <v>12</v>
      </c>
      <c r="AF33" s="214">
        <v>5</v>
      </c>
      <c r="AG33" s="15">
        <f t="shared" si="2"/>
        <v>312</v>
      </c>
    </row>
    <row r="34" spans="1:33" ht="15.75" customHeight="1" x14ac:dyDescent="0.25">
      <c r="A34" s="12" t="s">
        <v>20</v>
      </c>
      <c r="B34" s="13">
        <v>16</v>
      </c>
      <c r="C34" s="14">
        <v>11</v>
      </c>
      <c r="D34" s="14">
        <v>9</v>
      </c>
      <c r="E34" s="14">
        <v>6</v>
      </c>
      <c r="F34" s="14">
        <v>8</v>
      </c>
      <c r="G34" s="14">
        <v>11</v>
      </c>
      <c r="H34" s="14">
        <v>10</v>
      </c>
      <c r="I34" s="14">
        <v>7</v>
      </c>
      <c r="J34" s="14">
        <v>7</v>
      </c>
      <c r="K34" s="14">
        <v>7</v>
      </c>
      <c r="L34" s="14">
        <v>8</v>
      </c>
      <c r="M34" s="14">
        <v>9</v>
      </c>
      <c r="N34" s="14">
        <v>5</v>
      </c>
      <c r="O34" s="14">
        <v>10</v>
      </c>
      <c r="P34" s="14">
        <v>4</v>
      </c>
      <c r="Q34" s="14">
        <v>8</v>
      </c>
      <c r="R34" s="14">
        <v>15</v>
      </c>
      <c r="S34" s="14">
        <v>10</v>
      </c>
      <c r="T34" s="14">
        <v>7</v>
      </c>
      <c r="U34" s="14">
        <v>15</v>
      </c>
      <c r="V34" s="14">
        <v>14</v>
      </c>
      <c r="W34" s="14">
        <v>11</v>
      </c>
      <c r="X34" s="14">
        <v>9</v>
      </c>
      <c r="Y34" s="14">
        <v>4</v>
      </c>
      <c r="Z34" s="14">
        <v>8</v>
      </c>
      <c r="AA34" s="14">
        <v>6</v>
      </c>
      <c r="AB34" s="14">
        <v>8</v>
      </c>
      <c r="AC34" s="14">
        <v>13</v>
      </c>
      <c r="AD34" s="14">
        <v>7</v>
      </c>
      <c r="AE34" s="14">
        <v>5</v>
      </c>
      <c r="AF34" s="214">
        <v>5</v>
      </c>
      <c r="AG34" s="15">
        <f t="shared" si="2"/>
        <v>273</v>
      </c>
    </row>
    <row r="35" spans="1:33" ht="15.75" customHeight="1" x14ac:dyDescent="0.25">
      <c r="A35" s="12" t="s">
        <v>21</v>
      </c>
      <c r="B35" s="13">
        <v>11</v>
      </c>
      <c r="C35" s="14">
        <v>9</v>
      </c>
      <c r="D35" s="14">
        <v>9</v>
      </c>
      <c r="E35" s="14">
        <v>10</v>
      </c>
      <c r="F35" s="14">
        <v>13</v>
      </c>
      <c r="G35" s="14">
        <v>16</v>
      </c>
      <c r="H35" s="14">
        <v>9</v>
      </c>
      <c r="I35" s="14">
        <v>10</v>
      </c>
      <c r="J35" s="14">
        <v>9</v>
      </c>
      <c r="K35" s="14">
        <v>9</v>
      </c>
      <c r="L35" s="14">
        <v>10</v>
      </c>
      <c r="M35" s="14">
        <v>14</v>
      </c>
      <c r="N35" s="14">
        <v>7</v>
      </c>
      <c r="O35" s="14">
        <v>12</v>
      </c>
      <c r="P35" s="14">
        <v>9</v>
      </c>
      <c r="Q35" s="14">
        <v>16</v>
      </c>
      <c r="R35" s="14">
        <v>12</v>
      </c>
      <c r="S35" s="14">
        <v>14</v>
      </c>
      <c r="T35" s="14">
        <v>16</v>
      </c>
      <c r="U35" s="14">
        <v>11</v>
      </c>
      <c r="V35" s="14">
        <v>7</v>
      </c>
      <c r="W35" s="14">
        <v>9</v>
      </c>
      <c r="X35" s="14">
        <v>11</v>
      </c>
      <c r="Y35" s="14">
        <v>5</v>
      </c>
      <c r="Z35" s="14">
        <v>16</v>
      </c>
      <c r="AA35" s="14">
        <v>13</v>
      </c>
      <c r="AB35" s="14">
        <v>3</v>
      </c>
      <c r="AC35" s="14">
        <v>7</v>
      </c>
      <c r="AD35" s="14">
        <v>9</v>
      </c>
      <c r="AE35" s="14">
        <v>11</v>
      </c>
      <c r="AF35" s="214">
        <v>11</v>
      </c>
      <c r="AG35" s="15">
        <f t="shared" si="2"/>
        <v>328</v>
      </c>
    </row>
    <row r="36" spans="1:33" ht="15.75" customHeight="1" x14ac:dyDescent="0.25">
      <c r="A36" s="12" t="s">
        <v>22</v>
      </c>
      <c r="B36" s="13">
        <v>15</v>
      </c>
      <c r="C36" s="14">
        <v>12</v>
      </c>
      <c r="D36" s="14">
        <v>9</v>
      </c>
      <c r="E36" s="14">
        <v>8</v>
      </c>
      <c r="F36" s="14">
        <v>7</v>
      </c>
      <c r="G36" s="14">
        <v>8</v>
      </c>
      <c r="H36" s="14">
        <v>12</v>
      </c>
      <c r="I36" s="14">
        <v>6</v>
      </c>
      <c r="J36" s="14">
        <v>14</v>
      </c>
      <c r="K36" s="14">
        <v>7</v>
      </c>
      <c r="L36" s="14">
        <v>15</v>
      </c>
      <c r="M36" s="14">
        <v>12</v>
      </c>
      <c r="N36" s="14">
        <v>13</v>
      </c>
      <c r="O36" s="14">
        <v>11</v>
      </c>
      <c r="P36" s="14">
        <v>5</v>
      </c>
      <c r="Q36" s="14">
        <v>9</v>
      </c>
      <c r="R36" s="14">
        <v>14</v>
      </c>
      <c r="S36" s="14">
        <v>10</v>
      </c>
      <c r="T36" s="14">
        <v>13</v>
      </c>
      <c r="U36" s="14">
        <v>16</v>
      </c>
      <c r="V36" s="14">
        <v>12</v>
      </c>
      <c r="W36" s="14">
        <v>9</v>
      </c>
      <c r="X36" s="14">
        <v>15</v>
      </c>
      <c r="Y36" s="14">
        <v>6</v>
      </c>
      <c r="Z36" s="14">
        <v>17</v>
      </c>
      <c r="AA36" s="14">
        <v>13</v>
      </c>
      <c r="AB36" s="14">
        <v>13</v>
      </c>
      <c r="AC36" s="14">
        <v>12</v>
      </c>
      <c r="AD36" s="14">
        <v>10</v>
      </c>
      <c r="AE36" s="14">
        <v>11</v>
      </c>
      <c r="AF36" s="214">
        <v>9</v>
      </c>
      <c r="AG36" s="15">
        <f t="shared" si="2"/>
        <v>343</v>
      </c>
    </row>
    <row r="37" spans="1:33" ht="15.75" customHeight="1" x14ac:dyDescent="0.25">
      <c r="A37" s="12" t="s">
        <v>23</v>
      </c>
      <c r="B37" s="13">
        <v>9</v>
      </c>
      <c r="C37" s="14">
        <v>12</v>
      </c>
      <c r="D37" s="14">
        <v>16</v>
      </c>
      <c r="E37" s="14">
        <v>10</v>
      </c>
      <c r="F37" s="14">
        <v>14</v>
      </c>
      <c r="G37" s="14">
        <v>16</v>
      </c>
      <c r="H37" s="14">
        <v>11</v>
      </c>
      <c r="I37" s="14">
        <v>11</v>
      </c>
      <c r="J37" s="14">
        <v>15</v>
      </c>
      <c r="K37" s="14">
        <v>6</v>
      </c>
      <c r="L37" s="14">
        <v>14</v>
      </c>
      <c r="M37" s="14">
        <v>10</v>
      </c>
      <c r="N37" s="14">
        <v>22</v>
      </c>
      <c r="O37" s="14">
        <v>19</v>
      </c>
      <c r="P37" s="14">
        <v>17</v>
      </c>
      <c r="Q37" s="14">
        <v>17</v>
      </c>
      <c r="R37" s="14">
        <v>19</v>
      </c>
      <c r="S37" s="14">
        <v>16</v>
      </c>
      <c r="T37" s="14">
        <v>26</v>
      </c>
      <c r="U37" s="14">
        <v>16</v>
      </c>
      <c r="V37" s="14">
        <v>14</v>
      </c>
      <c r="W37" s="14">
        <v>14</v>
      </c>
      <c r="X37" s="14">
        <v>13</v>
      </c>
      <c r="Y37" s="14">
        <v>4</v>
      </c>
      <c r="Z37" s="14">
        <v>13</v>
      </c>
      <c r="AA37" s="14">
        <v>16</v>
      </c>
      <c r="AB37" s="14">
        <v>12</v>
      </c>
      <c r="AC37" s="14">
        <v>9</v>
      </c>
      <c r="AD37" s="14">
        <v>8</v>
      </c>
      <c r="AE37" s="14">
        <v>0</v>
      </c>
      <c r="AF37" s="214">
        <v>14</v>
      </c>
      <c r="AG37" s="15">
        <f t="shared" si="2"/>
        <v>413</v>
      </c>
    </row>
    <row r="38" spans="1:33" ht="15.75" customHeight="1" x14ac:dyDescent="0.25">
      <c r="A38" s="12" t="s">
        <v>24</v>
      </c>
      <c r="B38" s="13">
        <v>16</v>
      </c>
      <c r="C38" s="14">
        <v>16</v>
      </c>
      <c r="D38" s="14">
        <v>11</v>
      </c>
      <c r="E38" s="14">
        <v>9</v>
      </c>
      <c r="F38" s="14">
        <v>8</v>
      </c>
      <c r="G38" s="14">
        <v>16</v>
      </c>
      <c r="H38" s="14">
        <v>11</v>
      </c>
      <c r="I38" s="14">
        <v>7</v>
      </c>
      <c r="J38" s="14">
        <v>12</v>
      </c>
      <c r="K38" s="14">
        <v>10</v>
      </c>
      <c r="L38" s="14">
        <v>10</v>
      </c>
      <c r="M38" s="14">
        <v>18</v>
      </c>
      <c r="N38" s="14">
        <v>10</v>
      </c>
      <c r="O38" s="14">
        <v>16</v>
      </c>
      <c r="P38" s="14">
        <v>16</v>
      </c>
      <c r="Q38" s="14">
        <v>19</v>
      </c>
      <c r="R38" s="14">
        <v>11</v>
      </c>
      <c r="S38" s="14">
        <v>15</v>
      </c>
      <c r="T38" s="14">
        <v>20</v>
      </c>
      <c r="U38" s="14">
        <v>9</v>
      </c>
      <c r="V38" s="14">
        <v>8</v>
      </c>
      <c r="W38" s="14">
        <v>8</v>
      </c>
      <c r="X38" s="14">
        <v>13</v>
      </c>
      <c r="Y38" s="14">
        <v>12</v>
      </c>
      <c r="Z38" s="14">
        <v>6</v>
      </c>
      <c r="AA38" s="14">
        <v>6</v>
      </c>
      <c r="AB38" s="14">
        <v>4</v>
      </c>
      <c r="AC38" s="14">
        <v>16</v>
      </c>
      <c r="AD38" s="14">
        <v>9</v>
      </c>
      <c r="AE38" s="14">
        <v>5</v>
      </c>
      <c r="AF38" s="214">
        <v>13</v>
      </c>
      <c r="AG38" s="15">
        <f t="shared" si="2"/>
        <v>360</v>
      </c>
    </row>
    <row r="39" spans="1:33" ht="15.75" customHeight="1" x14ac:dyDescent="0.25">
      <c r="A39" s="12" t="s">
        <v>25</v>
      </c>
      <c r="B39" s="13">
        <v>18</v>
      </c>
      <c r="C39" s="14">
        <v>11</v>
      </c>
      <c r="D39" s="14">
        <v>11</v>
      </c>
      <c r="E39" s="14">
        <v>17</v>
      </c>
      <c r="F39" s="14">
        <v>20</v>
      </c>
      <c r="G39" s="14">
        <v>13</v>
      </c>
      <c r="H39" s="14">
        <v>15</v>
      </c>
      <c r="I39" s="14">
        <v>15</v>
      </c>
      <c r="J39" s="14">
        <v>16</v>
      </c>
      <c r="K39" s="14">
        <v>13</v>
      </c>
      <c r="L39" s="14">
        <v>18</v>
      </c>
      <c r="M39" s="14">
        <v>19</v>
      </c>
      <c r="N39" s="14">
        <v>18</v>
      </c>
      <c r="O39" s="14">
        <v>12</v>
      </c>
      <c r="P39" s="14">
        <v>22</v>
      </c>
      <c r="Q39" s="14">
        <v>20</v>
      </c>
      <c r="R39" s="14">
        <v>7</v>
      </c>
      <c r="S39" s="14">
        <v>19</v>
      </c>
      <c r="T39" s="14">
        <v>18</v>
      </c>
      <c r="U39" s="14">
        <v>16</v>
      </c>
      <c r="V39" s="14">
        <v>15</v>
      </c>
      <c r="W39" s="14">
        <v>15</v>
      </c>
      <c r="X39" s="14">
        <v>12</v>
      </c>
      <c r="Y39" s="14">
        <v>18</v>
      </c>
      <c r="Z39" s="14">
        <v>13</v>
      </c>
      <c r="AA39" s="14">
        <v>14</v>
      </c>
      <c r="AB39" s="14">
        <v>17</v>
      </c>
      <c r="AC39" s="14">
        <v>16</v>
      </c>
      <c r="AD39" s="14">
        <v>14</v>
      </c>
      <c r="AE39" s="14">
        <v>14</v>
      </c>
      <c r="AF39" s="214">
        <v>7</v>
      </c>
      <c r="AG39" s="15">
        <f t="shared" si="2"/>
        <v>473</v>
      </c>
    </row>
    <row r="40" spans="1:33" ht="15.75" customHeight="1" x14ac:dyDescent="0.25">
      <c r="A40" s="12" t="s">
        <v>26</v>
      </c>
      <c r="B40" s="13">
        <v>17</v>
      </c>
      <c r="C40" s="14">
        <v>16</v>
      </c>
      <c r="D40" s="14">
        <v>22</v>
      </c>
      <c r="E40" s="14">
        <v>17</v>
      </c>
      <c r="F40" s="14">
        <v>10</v>
      </c>
      <c r="G40" s="14">
        <v>13</v>
      </c>
      <c r="H40" s="14">
        <v>21</v>
      </c>
      <c r="I40" s="14">
        <v>16</v>
      </c>
      <c r="J40" s="14">
        <v>21</v>
      </c>
      <c r="K40" s="14">
        <v>19</v>
      </c>
      <c r="L40" s="14">
        <v>18</v>
      </c>
      <c r="M40" s="14">
        <v>13</v>
      </c>
      <c r="N40" s="14">
        <v>17</v>
      </c>
      <c r="O40" s="14">
        <v>16</v>
      </c>
      <c r="P40" s="14">
        <v>22</v>
      </c>
      <c r="Q40" s="14">
        <v>14</v>
      </c>
      <c r="R40" s="14">
        <v>19</v>
      </c>
      <c r="S40" s="14">
        <v>20</v>
      </c>
      <c r="T40" s="14">
        <v>9</v>
      </c>
      <c r="U40" s="14">
        <v>18</v>
      </c>
      <c r="V40" s="14">
        <v>17</v>
      </c>
      <c r="W40" s="14">
        <v>15</v>
      </c>
      <c r="X40" s="14">
        <v>11</v>
      </c>
      <c r="Y40" s="14">
        <v>18</v>
      </c>
      <c r="Z40" s="14">
        <v>19</v>
      </c>
      <c r="AA40" s="14">
        <v>16</v>
      </c>
      <c r="AB40" s="14">
        <v>14</v>
      </c>
      <c r="AC40" s="14">
        <v>21</v>
      </c>
      <c r="AD40" s="14">
        <v>8</v>
      </c>
      <c r="AE40" s="14">
        <v>14</v>
      </c>
      <c r="AF40" s="214">
        <v>15</v>
      </c>
      <c r="AG40" s="15">
        <f t="shared" si="2"/>
        <v>506</v>
      </c>
    </row>
    <row r="41" spans="1:33" ht="15.75" customHeight="1" x14ac:dyDescent="0.25">
      <c r="A41" s="12" t="s">
        <v>27</v>
      </c>
      <c r="B41" s="13">
        <v>18</v>
      </c>
      <c r="C41" s="14">
        <v>19</v>
      </c>
      <c r="D41" s="14">
        <v>10</v>
      </c>
      <c r="E41" s="14">
        <v>18</v>
      </c>
      <c r="F41" s="14">
        <v>18</v>
      </c>
      <c r="G41" s="14">
        <v>11</v>
      </c>
      <c r="H41" s="14">
        <v>22</v>
      </c>
      <c r="I41" s="14">
        <v>16</v>
      </c>
      <c r="J41" s="14">
        <v>16</v>
      </c>
      <c r="K41" s="14">
        <v>14</v>
      </c>
      <c r="L41" s="14">
        <v>13</v>
      </c>
      <c r="M41" s="14">
        <v>17</v>
      </c>
      <c r="N41" s="14">
        <v>6</v>
      </c>
      <c r="O41" s="14">
        <v>13</v>
      </c>
      <c r="P41" s="14">
        <v>21</v>
      </c>
      <c r="Q41" s="14">
        <v>21</v>
      </c>
      <c r="R41" s="14">
        <v>19</v>
      </c>
      <c r="S41" s="14">
        <v>20</v>
      </c>
      <c r="T41" s="14">
        <v>8</v>
      </c>
      <c r="U41" s="14">
        <v>11</v>
      </c>
      <c r="V41" s="14">
        <v>7</v>
      </c>
      <c r="W41" s="14">
        <v>14</v>
      </c>
      <c r="X41" s="14">
        <v>20</v>
      </c>
      <c r="Y41" s="14">
        <v>18</v>
      </c>
      <c r="Z41" s="14">
        <v>21</v>
      </c>
      <c r="AA41" s="14">
        <v>17</v>
      </c>
      <c r="AB41" s="14">
        <v>12</v>
      </c>
      <c r="AC41" s="14">
        <v>12</v>
      </c>
      <c r="AD41" s="14">
        <v>16</v>
      </c>
      <c r="AE41" s="14">
        <v>18</v>
      </c>
      <c r="AF41" s="214">
        <v>14</v>
      </c>
      <c r="AG41" s="15">
        <f t="shared" si="2"/>
        <v>480</v>
      </c>
    </row>
    <row r="42" spans="1:33" ht="15.75" customHeight="1" x14ac:dyDescent="0.25">
      <c r="A42" s="12" t="s">
        <v>28</v>
      </c>
      <c r="B42" s="13">
        <v>10</v>
      </c>
      <c r="C42" s="14">
        <v>15</v>
      </c>
      <c r="D42" s="14">
        <v>17</v>
      </c>
      <c r="E42" s="14">
        <v>19</v>
      </c>
      <c r="F42" s="14">
        <v>14</v>
      </c>
      <c r="G42" s="14">
        <v>11</v>
      </c>
      <c r="H42" s="14">
        <v>18</v>
      </c>
      <c r="I42" s="14">
        <v>19</v>
      </c>
      <c r="J42" s="14">
        <v>15</v>
      </c>
      <c r="K42" s="14">
        <v>13</v>
      </c>
      <c r="L42" s="14">
        <v>15</v>
      </c>
      <c r="M42" s="14">
        <v>12</v>
      </c>
      <c r="N42" s="14">
        <v>12</v>
      </c>
      <c r="O42" s="14">
        <v>15</v>
      </c>
      <c r="P42" s="14">
        <v>21</v>
      </c>
      <c r="Q42" s="14">
        <v>18</v>
      </c>
      <c r="R42" s="14">
        <v>12</v>
      </c>
      <c r="S42" s="14">
        <v>13</v>
      </c>
      <c r="T42" s="14">
        <v>12</v>
      </c>
      <c r="U42" s="14">
        <v>13</v>
      </c>
      <c r="V42" s="14">
        <v>8</v>
      </c>
      <c r="W42" s="14">
        <v>16</v>
      </c>
      <c r="X42" s="14">
        <v>22</v>
      </c>
      <c r="Y42" s="14">
        <v>11</v>
      </c>
      <c r="Z42" s="14">
        <v>20</v>
      </c>
      <c r="AA42" s="14">
        <v>18</v>
      </c>
      <c r="AB42" s="14">
        <v>13</v>
      </c>
      <c r="AC42" s="14">
        <v>20</v>
      </c>
      <c r="AD42" s="14">
        <v>16</v>
      </c>
      <c r="AE42" s="14">
        <v>15</v>
      </c>
      <c r="AF42" s="214">
        <v>11</v>
      </c>
      <c r="AG42" s="15">
        <f t="shared" si="2"/>
        <v>464</v>
      </c>
    </row>
    <row r="43" spans="1:33" ht="15.75" customHeight="1" x14ac:dyDescent="0.25">
      <c r="A43" s="12" t="s">
        <v>29</v>
      </c>
      <c r="B43" s="13">
        <v>6</v>
      </c>
      <c r="C43" s="14">
        <v>18</v>
      </c>
      <c r="D43" s="14">
        <v>17</v>
      </c>
      <c r="E43" s="14">
        <v>10</v>
      </c>
      <c r="F43" s="14">
        <v>15</v>
      </c>
      <c r="G43" s="14">
        <v>13</v>
      </c>
      <c r="H43" s="14">
        <v>21</v>
      </c>
      <c r="I43" s="14">
        <v>16</v>
      </c>
      <c r="J43" s="14">
        <v>22</v>
      </c>
      <c r="K43" s="14">
        <v>12</v>
      </c>
      <c r="L43" s="14">
        <v>23</v>
      </c>
      <c r="M43" s="14">
        <v>8</v>
      </c>
      <c r="N43" s="14">
        <v>12</v>
      </c>
      <c r="O43" s="14">
        <v>7</v>
      </c>
      <c r="P43" s="14">
        <v>14</v>
      </c>
      <c r="Q43" s="14">
        <v>12</v>
      </c>
      <c r="R43" s="14">
        <v>12</v>
      </c>
      <c r="S43" s="14">
        <v>10</v>
      </c>
      <c r="T43" s="14">
        <v>6</v>
      </c>
      <c r="U43" s="14">
        <v>6</v>
      </c>
      <c r="V43" s="14">
        <v>9</v>
      </c>
      <c r="W43" s="14">
        <v>14</v>
      </c>
      <c r="X43" s="14">
        <v>9</v>
      </c>
      <c r="Y43" s="14">
        <v>12</v>
      </c>
      <c r="Z43" s="14">
        <v>6</v>
      </c>
      <c r="AA43" s="14">
        <v>7</v>
      </c>
      <c r="AB43" s="14">
        <v>9</v>
      </c>
      <c r="AC43" s="14">
        <v>12</v>
      </c>
      <c r="AD43" s="14">
        <v>15</v>
      </c>
      <c r="AE43" s="14">
        <v>15</v>
      </c>
      <c r="AF43" s="214">
        <v>14</v>
      </c>
      <c r="AG43" s="15">
        <f t="shared" si="2"/>
        <v>382</v>
      </c>
    </row>
    <row r="44" spans="1:33" ht="15.75" customHeight="1" x14ac:dyDescent="0.25">
      <c r="A44" s="12" t="s">
        <v>30</v>
      </c>
      <c r="B44" s="13">
        <v>13</v>
      </c>
      <c r="C44" s="14">
        <v>7</v>
      </c>
      <c r="D44" s="14">
        <v>11</v>
      </c>
      <c r="E44" s="14">
        <v>15</v>
      </c>
      <c r="F44" s="14">
        <v>9</v>
      </c>
      <c r="G44" s="14">
        <v>8</v>
      </c>
      <c r="H44" s="14">
        <v>12</v>
      </c>
      <c r="I44" s="14">
        <v>9</v>
      </c>
      <c r="J44" s="14">
        <v>11</v>
      </c>
      <c r="K44" s="14">
        <v>14</v>
      </c>
      <c r="L44" s="14">
        <v>18</v>
      </c>
      <c r="M44" s="14">
        <v>5</v>
      </c>
      <c r="N44" s="14">
        <v>11</v>
      </c>
      <c r="O44" s="14">
        <v>7</v>
      </c>
      <c r="P44" s="14">
        <v>8</v>
      </c>
      <c r="Q44" s="14">
        <v>11</v>
      </c>
      <c r="R44" s="14">
        <v>15</v>
      </c>
      <c r="S44" s="14">
        <v>8</v>
      </c>
      <c r="T44" s="14">
        <v>16</v>
      </c>
      <c r="U44" s="14">
        <v>8</v>
      </c>
      <c r="V44" s="14">
        <v>9</v>
      </c>
      <c r="W44" s="14">
        <v>7</v>
      </c>
      <c r="X44" s="14">
        <v>12</v>
      </c>
      <c r="Y44" s="14">
        <v>9</v>
      </c>
      <c r="Z44" s="14">
        <v>11</v>
      </c>
      <c r="AA44" s="14">
        <v>10</v>
      </c>
      <c r="AB44" s="14">
        <v>9</v>
      </c>
      <c r="AC44" s="14">
        <v>4</v>
      </c>
      <c r="AD44" s="14">
        <v>25</v>
      </c>
      <c r="AE44" s="14">
        <v>8</v>
      </c>
      <c r="AF44" s="214">
        <v>12</v>
      </c>
      <c r="AG44" s="15">
        <f t="shared" si="2"/>
        <v>332</v>
      </c>
    </row>
    <row r="45" spans="1:33" ht="15.75" customHeight="1" x14ac:dyDescent="0.25">
      <c r="A45" s="12" t="s">
        <v>31</v>
      </c>
      <c r="B45" s="13">
        <v>9</v>
      </c>
      <c r="C45" s="14">
        <v>10</v>
      </c>
      <c r="D45" s="14">
        <v>12</v>
      </c>
      <c r="E45" s="14">
        <v>7</v>
      </c>
      <c r="F45" s="14">
        <v>3</v>
      </c>
      <c r="G45" s="14">
        <v>6</v>
      </c>
      <c r="H45" s="14">
        <v>4</v>
      </c>
      <c r="I45" s="14">
        <v>13</v>
      </c>
      <c r="J45" s="14">
        <v>6</v>
      </c>
      <c r="K45" s="14">
        <v>8</v>
      </c>
      <c r="L45" s="14">
        <v>6</v>
      </c>
      <c r="M45" s="14">
        <v>9</v>
      </c>
      <c r="N45" s="14">
        <v>13</v>
      </c>
      <c r="O45" s="14">
        <v>9</v>
      </c>
      <c r="P45" s="14">
        <v>7</v>
      </c>
      <c r="Q45" s="14">
        <v>12</v>
      </c>
      <c r="R45" s="14">
        <v>6</v>
      </c>
      <c r="S45" s="14">
        <v>7</v>
      </c>
      <c r="T45" s="14">
        <v>4</v>
      </c>
      <c r="U45" s="14">
        <v>1</v>
      </c>
      <c r="V45" s="14">
        <v>3</v>
      </c>
      <c r="W45" s="14">
        <v>10</v>
      </c>
      <c r="X45" s="14">
        <v>6</v>
      </c>
      <c r="Y45" s="14">
        <v>7</v>
      </c>
      <c r="Z45" s="14">
        <v>1</v>
      </c>
      <c r="AA45" s="14">
        <v>7</v>
      </c>
      <c r="AB45" s="14">
        <v>8</v>
      </c>
      <c r="AC45" s="14">
        <v>12</v>
      </c>
      <c r="AD45" s="14">
        <v>3</v>
      </c>
      <c r="AE45" s="14">
        <v>4</v>
      </c>
      <c r="AF45" s="214">
        <v>8</v>
      </c>
      <c r="AG45" s="15">
        <f t="shared" si="2"/>
        <v>221</v>
      </c>
    </row>
    <row r="46" spans="1:33" ht="15.75" customHeight="1" x14ac:dyDescent="0.25">
      <c r="A46" s="12" t="s">
        <v>32</v>
      </c>
      <c r="B46" s="13">
        <v>9</v>
      </c>
      <c r="C46" s="14">
        <v>6</v>
      </c>
      <c r="D46" s="14">
        <v>11</v>
      </c>
      <c r="E46" s="14">
        <v>14</v>
      </c>
      <c r="F46" s="14">
        <v>4</v>
      </c>
      <c r="G46" s="14">
        <v>9</v>
      </c>
      <c r="H46" s="14">
        <v>3</v>
      </c>
      <c r="I46" s="14">
        <v>9</v>
      </c>
      <c r="J46" s="14">
        <v>18</v>
      </c>
      <c r="K46" s="14">
        <v>7</v>
      </c>
      <c r="L46" s="14">
        <v>12</v>
      </c>
      <c r="M46" s="14">
        <v>10</v>
      </c>
      <c r="N46" s="14">
        <v>6</v>
      </c>
      <c r="O46" s="14">
        <v>8</v>
      </c>
      <c r="P46" s="14">
        <v>10</v>
      </c>
      <c r="Q46" s="14">
        <v>12</v>
      </c>
      <c r="R46" s="14">
        <v>6</v>
      </c>
      <c r="S46" s="14">
        <v>5</v>
      </c>
      <c r="T46" s="14">
        <v>5</v>
      </c>
      <c r="U46" s="14">
        <v>6</v>
      </c>
      <c r="V46" s="14">
        <v>4</v>
      </c>
      <c r="W46" s="14">
        <v>5</v>
      </c>
      <c r="X46" s="14">
        <v>12</v>
      </c>
      <c r="Y46" s="14">
        <v>8</v>
      </c>
      <c r="Z46" s="14">
        <v>10</v>
      </c>
      <c r="AA46" s="14">
        <v>11</v>
      </c>
      <c r="AB46" s="14">
        <v>6</v>
      </c>
      <c r="AC46" s="14">
        <v>8</v>
      </c>
      <c r="AD46" s="14">
        <v>14</v>
      </c>
      <c r="AE46" s="14">
        <v>16</v>
      </c>
      <c r="AF46" s="214">
        <v>7</v>
      </c>
      <c r="AG46" s="15">
        <f t="shared" si="2"/>
        <v>271</v>
      </c>
    </row>
    <row r="47" spans="1:33" ht="15.75" customHeight="1" x14ac:dyDescent="0.25">
      <c r="A47" s="12" t="s">
        <v>33</v>
      </c>
      <c r="B47" s="13">
        <v>11</v>
      </c>
      <c r="C47" s="14">
        <v>9</v>
      </c>
      <c r="D47" s="14">
        <v>4</v>
      </c>
      <c r="E47" s="14">
        <v>3</v>
      </c>
      <c r="F47" s="14">
        <v>7</v>
      </c>
      <c r="G47" s="14">
        <v>6</v>
      </c>
      <c r="H47" s="14">
        <v>0</v>
      </c>
      <c r="I47" s="14">
        <v>10</v>
      </c>
      <c r="J47" s="14">
        <v>0</v>
      </c>
      <c r="K47" s="14">
        <v>4</v>
      </c>
      <c r="L47" s="14">
        <v>6</v>
      </c>
      <c r="M47" s="14">
        <v>14</v>
      </c>
      <c r="N47" s="14">
        <v>6</v>
      </c>
      <c r="O47" s="14">
        <v>8</v>
      </c>
      <c r="P47" s="14">
        <v>11</v>
      </c>
      <c r="Q47" s="14">
        <v>1</v>
      </c>
      <c r="R47" s="14">
        <v>3</v>
      </c>
      <c r="S47" s="14">
        <v>10</v>
      </c>
      <c r="T47" s="14">
        <v>3</v>
      </c>
      <c r="U47" s="14">
        <v>4</v>
      </c>
      <c r="V47" s="14">
        <v>3</v>
      </c>
      <c r="W47" s="14">
        <v>6</v>
      </c>
      <c r="X47" s="14">
        <v>0</v>
      </c>
      <c r="Y47" s="14">
        <v>9</v>
      </c>
      <c r="Z47" s="14">
        <v>0</v>
      </c>
      <c r="AA47" s="14">
        <v>6</v>
      </c>
      <c r="AB47" s="14">
        <v>0</v>
      </c>
      <c r="AC47" s="14">
        <v>3</v>
      </c>
      <c r="AD47" s="14">
        <v>5</v>
      </c>
      <c r="AE47" s="14">
        <v>0</v>
      </c>
      <c r="AF47" s="214">
        <v>9</v>
      </c>
      <c r="AG47" s="15">
        <f t="shared" si="2"/>
        <v>161</v>
      </c>
    </row>
    <row r="48" spans="1:33" ht="15.75" customHeight="1" x14ac:dyDescent="0.25">
      <c r="A48" s="12" t="s">
        <v>34</v>
      </c>
      <c r="B48" s="13">
        <v>4</v>
      </c>
      <c r="C48" s="14">
        <v>8</v>
      </c>
      <c r="D48" s="14">
        <v>5</v>
      </c>
      <c r="E48" s="14">
        <v>0</v>
      </c>
      <c r="F48" s="14">
        <v>2</v>
      </c>
      <c r="G48" s="14">
        <v>4</v>
      </c>
      <c r="H48" s="14">
        <v>0</v>
      </c>
      <c r="I48" s="14">
        <v>1</v>
      </c>
      <c r="J48" s="14">
        <v>0</v>
      </c>
      <c r="K48" s="14">
        <v>0</v>
      </c>
      <c r="L48" s="14">
        <v>0</v>
      </c>
      <c r="M48" s="14">
        <v>6</v>
      </c>
      <c r="N48" s="14">
        <v>5</v>
      </c>
      <c r="O48" s="14">
        <v>2</v>
      </c>
      <c r="P48" s="14">
        <v>7</v>
      </c>
      <c r="Q48" s="14">
        <v>3</v>
      </c>
      <c r="R48" s="14">
        <v>0</v>
      </c>
      <c r="S48" s="14">
        <v>5</v>
      </c>
      <c r="T48" s="14">
        <v>5</v>
      </c>
      <c r="U48" s="14">
        <v>2</v>
      </c>
      <c r="V48" s="14">
        <v>2</v>
      </c>
      <c r="W48" s="14">
        <v>5</v>
      </c>
      <c r="X48" s="14">
        <v>0</v>
      </c>
      <c r="Y48" s="14">
        <v>5</v>
      </c>
      <c r="Z48" s="14">
        <v>0</v>
      </c>
      <c r="AA48" s="14">
        <v>4</v>
      </c>
      <c r="AB48" s="14">
        <v>3</v>
      </c>
      <c r="AC48" s="14">
        <v>0</v>
      </c>
      <c r="AD48" s="14">
        <v>3</v>
      </c>
      <c r="AE48" s="14">
        <v>0</v>
      </c>
      <c r="AF48" s="214">
        <v>4</v>
      </c>
      <c r="AG48" s="15">
        <f t="shared" si="2"/>
        <v>85</v>
      </c>
    </row>
    <row r="49" spans="1:33" ht="15.75" customHeight="1" x14ac:dyDescent="0.25">
      <c r="A49" s="12" t="s">
        <v>35</v>
      </c>
      <c r="B49" s="13">
        <v>1</v>
      </c>
      <c r="C49" s="14">
        <v>0</v>
      </c>
      <c r="D49" s="14">
        <v>0</v>
      </c>
      <c r="E49" s="14">
        <v>0</v>
      </c>
      <c r="F49" s="14">
        <v>2</v>
      </c>
      <c r="G49" s="14">
        <v>1</v>
      </c>
      <c r="H49" s="14">
        <v>1</v>
      </c>
      <c r="I49" s="14">
        <v>1</v>
      </c>
      <c r="J49" s="14">
        <v>0</v>
      </c>
      <c r="K49" s="14">
        <v>2</v>
      </c>
      <c r="L49" s="14">
        <v>0</v>
      </c>
      <c r="M49" s="14">
        <v>6</v>
      </c>
      <c r="N49" s="14">
        <v>2</v>
      </c>
      <c r="O49" s="14">
        <v>0</v>
      </c>
      <c r="P49" s="14">
        <v>3</v>
      </c>
      <c r="Q49" s="14">
        <v>4</v>
      </c>
      <c r="R49" s="14">
        <v>0</v>
      </c>
      <c r="S49" s="14">
        <v>0</v>
      </c>
      <c r="T49" s="14">
        <v>1</v>
      </c>
      <c r="U49" s="14">
        <v>2</v>
      </c>
      <c r="V49" s="14">
        <v>3</v>
      </c>
      <c r="W49" s="14">
        <v>1</v>
      </c>
      <c r="X49" s="14">
        <v>0</v>
      </c>
      <c r="Y49" s="14">
        <v>4</v>
      </c>
      <c r="Z49" s="14">
        <v>0</v>
      </c>
      <c r="AA49" s="14">
        <v>3</v>
      </c>
      <c r="AB49" s="14">
        <v>1</v>
      </c>
      <c r="AC49" s="14">
        <v>3</v>
      </c>
      <c r="AD49" s="14">
        <v>0</v>
      </c>
      <c r="AE49" s="14">
        <v>1</v>
      </c>
      <c r="AF49" s="214">
        <v>0</v>
      </c>
      <c r="AG49" s="15">
        <f t="shared" si="2"/>
        <v>42</v>
      </c>
    </row>
    <row r="50" spans="1:33" ht="15.75" customHeight="1" x14ac:dyDescent="0.25">
      <c r="A50" s="12" t="s">
        <v>36</v>
      </c>
      <c r="B50" s="13">
        <v>0</v>
      </c>
      <c r="C50" s="14">
        <v>0</v>
      </c>
      <c r="D50" s="14">
        <v>3</v>
      </c>
      <c r="E50" s="14">
        <v>0</v>
      </c>
      <c r="F50" s="14">
        <v>3</v>
      </c>
      <c r="G50" s="14">
        <v>0</v>
      </c>
      <c r="H50" s="14">
        <v>0</v>
      </c>
      <c r="I50" s="14">
        <v>2</v>
      </c>
      <c r="J50" s="14">
        <v>0</v>
      </c>
      <c r="K50" s="14">
        <v>0</v>
      </c>
      <c r="L50" s="14">
        <v>1</v>
      </c>
      <c r="M50" s="14">
        <v>3</v>
      </c>
      <c r="N50" s="14">
        <v>2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1</v>
      </c>
      <c r="U50" s="14">
        <v>3</v>
      </c>
      <c r="V50" s="14">
        <v>0</v>
      </c>
      <c r="W50" s="14">
        <v>1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1</v>
      </c>
      <c r="AD50" s="14">
        <v>1</v>
      </c>
      <c r="AE50" s="14">
        <v>1</v>
      </c>
      <c r="AF50" s="214">
        <v>0</v>
      </c>
      <c r="AG50" s="15">
        <f t="shared" si="2"/>
        <v>22</v>
      </c>
    </row>
    <row r="51" spans="1:33" ht="15.75" customHeight="1" x14ac:dyDescent="0.25">
      <c r="A51" s="12" t="s">
        <v>37</v>
      </c>
      <c r="B51" s="13">
        <v>3</v>
      </c>
      <c r="C51" s="14">
        <v>0</v>
      </c>
      <c r="D51" s="14">
        <v>2</v>
      </c>
      <c r="E51" s="14">
        <v>0</v>
      </c>
      <c r="F51" s="14">
        <v>1</v>
      </c>
      <c r="G51" s="14">
        <v>2</v>
      </c>
      <c r="H51" s="14">
        <v>1</v>
      </c>
      <c r="I51" s="14">
        <v>2</v>
      </c>
      <c r="J51" s="14">
        <v>1</v>
      </c>
      <c r="K51" s="14">
        <v>0</v>
      </c>
      <c r="L51" s="14">
        <v>0</v>
      </c>
      <c r="M51" s="14">
        <v>3</v>
      </c>
      <c r="N51" s="14">
        <v>3</v>
      </c>
      <c r="O51" s="14">
        <v>3</v>
      </c>
      <c r="P51" s="14">
        <v>0</v>
      </c>
      <c r="Q51" s="14">
        <v>1</v>
      </c>
      <c r="R51" s="14">
        <v>0</v>
      </c>
      <c r="S51" s="14">
        <v>0</v>
      </c>
      <c r="T51" s="14">
        <v>1</v>
      </c>
      <c r="U51" s="14">
        <v>0</v>
      </c>
      <c r="V51" s="14">
        <v>1</v>
      </c>
      <c r="W51" s="14">
        <v>0</v>
      </c>
      <c r="X51" s="14">
        <v>1</v>
      </c>
      <c r="Y51" s="14">
        <v>1</v>
      </c>
      <c r="Z51" s="14">
        <v>0</v>
      </c>
      <c r="AA51" s="14">
        <v>0</v>
      </c>
      <c r="AB51" s="14">
        <v>1</v>
      </c>
      <c r="AC51" s="14">
        <v>1</v>
      </c>
      <c r="AD51" s="14">
        <v>2</v>
      </c>
      <c r="AE51" s="14">
        <v>4</v>
      </c>
      <c r="AF51" s="214">
        <v>2</v>
      </c>
      <c r="AG51" s="15">
        <f t="shared" si="2"/>
        <v>36</v>
      </c>
    </row>
    <row r="52" spans="1:33" ht="15.75" customHeight="1" x14ac:dyDescent="0.25">
      <c r="A52" s="23" t="s">
        <v>38</v>
      </c>
      <c r="B52" s="24">
        <v>2</v>
      </c>
      <c r="C52" s="25">
        <v>0</v>
      </c>
      <c r="D52" s="25">
        <v>1</v>
      </c>
      <c r="E52" s="25">
        <v>2</v>
      </c>
      <c r="F52" s="25">
        <v>3</v>
      </c>
      <c r="G52" s="25">
        <v>0</v>
      </c>
      <c r="H52" s="25">
        <v>5</v>
      </c>
      <c r="I52" s="25">
        <v>4</v>
      </c>
      <c r="J52" s="25">
        <v>3</v>
      </c>
      <c r="K52" s="25">
        <v>0</v>
      </c>
      <c r="L52" s="25">
        <v>1</v>
      </c>
      <c r="M52" s="25">
        <v>4</v>
      </c>
      <c r="N52" s="25">
        <v>3</v>
      </c>
      <c r="O52" s="25">
        <v>0</v>
      </c>
      <c r="P52" s="25">
        <v>1</v>
      </c>
      <c r="Q52" s="25">
        <v>1</v>
      </c>
      <c r="R52" s="25">
        <v>1</v>
      </c>
      <c r="S52" s="25">
        <v>0</v>
      </c>
      <c r="T52" s="25">
        <v>5</v>
      </c>
      <c r="U52" s="25">
        <v>1</v>
      </c>
      <c r="V52" s="25">
        <v>0</v>
      </c>
      <c r="W52" s="25">
        <v>0</v>
      </c>
      <c r="X52" s="25">
        <v>1</v>
      </c>
      <c r="Y52" s="25">
        <v>1</v>
      </c>
      <c r="Z52" s="25">
        <v>0</v>
      </c>
      <c r="AA52" s="25">
        <v>3</v>
      </c>
      <c r="AB52" s="25">
        <v>0</v>
      </c>
      <c r="AC52" s="25">
        <v>1</v>
      </c>
      <c r="AD52" s="25">
        <v>4</v>
      </c>
      <c r="AE52" s="25">
        <v>1</v>
      </c>
      <c r="AF52" s="216">
        <v>2</v>
      </c>
      <c r="AG52" s="26">
        <f t="shared" si="2"/>
        <v>50</v>
      </c>
    </row>
    <row r="53" spans="1:33" ht="15.75" customHeight="1" x14ac:dyDescent="0.25">
      <c r="A53" s="4" t="s">
        <v>40</v>
      </c>
      <c r="B53" s="5">
        <f t="shared" ref="B53:AF53" si="4">SUM(B54:B77)</f>
        <v>17</v>
      </c>
      <c r="C53" s="6">
        <f t="shared" si="4"/>
        <v>78</v>
      </c>
      <c r="D53" s="6">
        <f t="shared" si="4"/>
        <v>73</v>
      </c>
      <c r="E53" s="6">
        <f t="shared" si="4"/>
        <v>52</v>
      </c>
      <c r="F53" s="6">
        <f t="shared" si="4"/>
        <v>19</v>
      </c>
      <c r="G53" s="6">
        <f t="shared" si="4"/>
        <v>11</v>
      </c>
      <c r="H53" s="6">
        <f t="shared" si="4"/>
        <v>35</v>
      </c>
      <c r="I53" s="6">
        <f t="shared" si="4"/>
        <v>100</v>
      </c>
      <c r="J53" s="6">
        <f t="shared" si="4"/>
        <v>66</v>
      </c>
      <c r="K53" s="6">
        <f t="shared" si="4"/>
        <v>56</v>
      </c>
      <c r="L53" s="6">
        <f t="shared" si="4"/>
        <v>42</v>
      </c>
      <c r="M53" s="6">
        <f t="shared" si="4"/>
        <v>29</v>
      </c>
      <c r="N53" s="6">
        <f t="shared" si="4"/>
        <v>22</v>
      </c>
      <c r="O53" s="6">
        <f t="shared" si="4"/>
        <v>5</v>
      </c>
      <c r="P53" s="6">
        <f t="shared" si="4"/>
        <v>91</v>
      </c>
      <c r="Q53" s="6">
        <f t="shared" si="4"/>
        <v>60</v>
      </c>
      <c r="R53" s="6">
        <f t="shared" si="4"/>
        <v>22</v>
      </c>
      <c r="S53" s="6">
        <f t="shared" si="4"/>
        <v>49</v>
      </c>
      <c r="T53" s="6">
        <f t="shared" si="4"/>
        <v>17</v>
      </c>
      <c r="U53" s="6">
        <f t="shared" si="4"/>
        <v>6</v>
      </c>
      <c r="V53" s="6">
        <f t="shared" si="4"/>
        <v>7</v>
      </c>
      <c r="W53" s="6">
        <f t="shared" si="4"/>
        <v>74</v>
      </c>
      <c r="X53" s="6">
        <f t="shared" si="4"/>
        <v>74</v>
      </c>
      <c r="Y53" s="6">
        <f t="shared" si="4"/>
        <v>61</v>
      </c>
      <c r="Z53" s="6">
        <f t="shared" si="4"/>
        <v>21</v>
      </c>
      <c r="AA53" s="6">
        <f t="shared" si="4"/>
        <v>22</v>
      </c>
      <c r="AB53" s="6">
        <f t="shared" si="4"/>
        <v>10</v>
      </c>
      <c r="AC53" s="6">
        <f t="shared" si="4"/>
        <v>23</v>
      </c>
      <c r="AD53" s="6">
        <f t="shared" si="4"/>
        <v>64</v>
      </c>
      <c r="AE53" s="6">
        <f t="shared" si="4"/>
        <v>68</v>
      </c>
      <c r="AF53" s="6">
        <f t="shared" si="4"/>
        <v>67</v>
      </c>
      <c r="AG53" s="27">
        <f t="shared" si="2"/>
        <v>1341</v>
      </c>
    </row>
    <row r="54" spans="1:33" ht="15.75" customHeight="1" x14ac:dyDescent="0.25">
      <c r="A54" s="8" t="s">
        <v>15</v>
      </c>
      <c r="B54" s="9"/>
      <c r="C54" s="10"/>
      <c r="D54" s="14">
        <v>1</v>
      </c>
      <c r="E54" s="10">
        <v>1</v>
      </c>
      <c r="F54" s="10"/>
      <c r="G54" s="14"/>
      <c r="H54" s="10"/>
      <c r="I54" s="10"/>
      <c r="J54" s="10">
        <v>1</v>
      </c>
      <c r="K54" s="10"/>
      <c r="L54" s="10"/>
      <c r="M54" s="10"/>
      <c r="N54" s="10"/>
      <c r="O54" s="10"/>
      <c r="P54" s="10"/>
      <c r="Q54" s="10">
        <v>1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2</v>
      </c>
      <c r="AF54" s="213">
        <v>1</v>
      </c>
      <c r="AG54" s="11">
        <f t="shared" si="2"/>
        <v>7</v>
      </c>
    </row>
    <row r="55" spans="1:33" ht="15.75" customHeight="1" x14ac:dyDescent="0.25">
      <c r="A55" s="12" t="s">
        <v>16</v>
      </c>
      <c r="B55" s="13">
        <v>1</v>
      </c>
      <c r="C55" s="14"/>
      <c r="D55" s="14">
        <v>3</v>
      </c>
      <c r="E55" s="14">
        <v>1</v>
      </c>
      <c r="F55" s="14">
        <v>1</v>
      </c>
      <c r="G55" s="14"/>
      <c r="H55" s="14"/>
      <c r="I55" s="14">
        <v>2</v>
      </c>
      <c r="J55" s="14">
        <v>1</v>
      </c>
      <c r="K55" s="14">
        <v>2</v>
      </c>
      <c r="L55" s="14">
        <v>1</v>
      </c>
      <c r="M55" s="14"/>
      <c r="N55" s="14"/>
      <c r="O55" s="14">
        <v>1</v>
      </c>
      <c r="P55" s="14">
        <v>1</v>
      </c>
      <c r="Q55" s="14">
        <v>1</v>
      </c>
      <c r="R55" s="14">
        <v>2</v>
      </c>
      <c r="S55" s="14">
        <v>3</v>
      </c>
      <c r="T55" s="14">
        <v>0</v>
      </c>
      <c r="U55" s="14">
        <v>0</v>
      </c>
      <c r="V55" s="14">
        <v>0</v>
      </c>
      <c r="W55" s="14">
        <v>1</v>
      </c>
      <c r="X55" s="14">
        <v>1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2</v>
      </c>
      <c r="AE55" s="14">
        <v>0</v>
      </c>
      <c r="AF55" s="214">
        <v>0</v>
      </c>
      <c r="AG55" s="15">
        <f t="shared" si="2"/>
        <v>24</v>
      </c>
    </row>
    <row r="56" spans="1:33" ht="15.75" customHeight="1" x14ac:dyDescent="0.25">
      <c r="A56" s="12" t="s">
        <v>17</v>
      </c>
      <c r="B56" s="13"/>
      <c r="C56" s="14">
        <v>2</v>
      </c>
      <c r="D56" s="14">
        <v>1</v>
      </c>
      <c r="E56" s="14"/>
      <c r="F56" s="14">
        <v>1</v>
      </c>
      <c r="G56" s="14">
        <v>1</v>
      </c>
      <c r="H56" s="14">
        <v>1</v>
      </c>
      <c r="I56" s="14">
        <v>3</v>
      </c>
      <c r="J56" s="14">
        <v>1</v>
      </c>
      <c r="K56" s="14">
        <v>1</v>
      </c>
      <c r="L56" s="14">
        <v>1</v>
      </c>
      <c r="M56" s="14">
        <v>1</v>
      </c>
      <c r="N56" s="14">
        <v>1</v>
      </c>
      <c r="O56" s="14">
        <v>1</v>
      </c>
      <c r="P56" s="14">
        <v>1</v>
      </c>
      <c r="Q56" s="14">
        <v>1</v>
      </c>
      <c r="R56" s="14">
        <v>0</v>
      </c>
      <c r="S56" s="14">
        <v>0</v>
      </c>
      <c r="T56" s="14">
        <v>2</v>
      </c>
      <c r="U56" s="14">
        <v>0</v>
      </c>
      <c r="V56" s="14">
        <v>0</v>
      </c>
      <c r="W56" s="14">
        <v>0</v>
      </c>
      <c r="X56" s="14">
        <v>3</v>
      </c>
      <c r="Y56" s="14">
        <v>1</v>
      </c>
      <c r="Z56" s="14">
        <v>0</v>
      </c>
      <c r="AA56" s="14">
        <v>0</v>
      </c>
      <c r="AB56" s="14">
        <v>0</v>
      </c>
      <c r="AC56" s="14">
        <v>1</v>
      </c>
      <c r="AD56" s="14">
        <v>0</v>
      </c>
      <c r="AE56" s="14">
        <v>0</v>
      </c>
      <c r="AF56" s="214">
        <v>1</v>
      </c>
      <c r="AG56" s="15">
        <f t="shared" si="2"/>
        <v>25</v>
      </c>
    </row>
    <row r="57" spans="1:33" ht="15.75" customHeight="1" x14ac:dyDescent="0.25">
      <c r="A57" s="12" t="s">
        <v>18</v>
      </c>
      <c r="B57" s="13">
        <v>4</v>
      </c>
      <c r="C57" s="14"/>
      <c r="D57" s="14">
        <v>1</v>
      </c>
      <c r="E57" s="14"/>
      <c r="F57" s="14">
        <v>2</v>
      </c>
      <c r="G57" s="14"/>
      <c r="H57" s="14"/>
      <c r="I57" s="14"/>
      <c r="J57" s="14">
        <v>1</v>
      </c>
      <c r="K57" s="14">
        <v>1</v>
      </c>
      <c r="L57" s="14"/>
      <c r="M57" s="14"/>
      <c r="N57" s="14"/>
      <c r="O57" s="14"/>
      <c r="P57" s="14"/>
      <c r="Q57" s="14">
        <v>1</v>
      </c>
      <c r="R57" s="14">
        <v>1</v>
      </c>
      <c r="S57" s="14">
        <v>0</v>
      </c>
      <c r="T57" s="14">
        <v>1</v>
      </c>
      <c r="U57" s="14">
        <v>0</v>
      </c>
      <c r="V57" s="14">
        <v>1</v>
      </c>
      <c r="W57" s="14">
        <v>1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5</v>
      </c>
      <c r="AF57" s="214">
        <v>0</v>
      </c>
      <c r="AG57" s="15">
        <f t="shared" si="2"/>
        <v>19</v>
      </c>
    </row>
    <row r="58" spans="1:33" ht="15.75" customHeight="1" x14ac:dyDescent="0.25">
      <c r="A58" s="12" t="s">
        <v>19</v>
      </c>
      <c r="B58" s="13">
        <v>1</v>
      </c>
      <c r="C58" s="14">
        <v>4</v>
      </c>
      <c r="D58" s="14"/>
      <c r="E58" s="14"/>
      <c r="F58" s="14">
        <v>4</v>
      </c>
      <c r="G58" s="14"/>
      <c r="H58" s="14">
        <v>1</v>
      </c>
      <c r="I58" s="14">
        <v>2</v>
      </c>
      <c r="J58" s="14">
        <v>1</v>
      </c>
      <c r="K58" s="14">
        <v>4</v>
      </c>
      <c r="L58" s="14">
        <v>1</v>
      </c>
      <c r="M58" s="14">
        <v>3</v>
      </c>
      <c r="N58" s="14">
        <v>1</v>
      </c>
      <c r="O58" s="14"/>
      <c r="P58" s="14">
        <v>1</v>
      </c>
      <c r="Q58" s="14">
        <v>1</v>
      </c>
      <c r="R58" s="14">
        <v>2</v>
      </c>
      <c r="S58" s="14">
        <v>0</v>
      </c>
      <c r="T58" s="14">
        <v>3</v>
      </c>
      <c r="U58" s="14">
        <v>0</v>
      </c>
      <c r="V58" s="14">
        <v>0</v>
      </c>
      <c r="W58" s="14">
        <v>1</v>
      </c>
      <c r="X58" s="14">
        <v>1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214">
        <v>2</v>
      </c>
      <c r="AG58" s="15">
        <f t="shared" si="2"/>
        <v>33</v>
      </c>
    </row>
    <row r="59" spans="1:33" ht="15.75" customHeight="1" x14ac:dyDescent="0.25">
      <c r="A59" s="12" t="s">
        <v>20</v>
      </c>
      <c r="B59" s="13"/>
      <c r="C59" s="14">
        <v>2</v>
      </c>
      <c r="D59" s="14">
        <v>3</v>
      </c>
      <c r="E59" s="14">
        <v>1</v>
      </c>
      <c r="F59" s="14">
        <v>1</v>
      </c>
      <c r="G59" s="14">
        <v>1</v>
      </c>
      <c r="H59" s="14"/>
      <c r="I59" s="14">
        <v>3</v>
      </c>
      <c r="J59" s="14">
        <v>4</v>
      </c>
      <c r="K59" s="14"/>
      <c r="L59" s="14">
        <v>1</v>
      </c>
      <c r="M59" s="14"/>
      <c r="N59" s="14"/>
      <c r="O59" s="14"/>
      <c r="P59" s="14"/>
      <c r="Q59" s="14">
        <v>2</v>
      </c>
      <c r="R59" s="14">
        <v>0</v>
      </c>
      <c r="S59" s="14">
        <v>3</v>
      </c>
      <c r="T59" s="14">
        <v>1</v>
      </c>
      <c r="U59" s="14">
        <v>0</v>
      </c>
      <c r="V59" s="14">
        <v>0</v>
      </c>
      <c r="W59" s="14">
        <v>0</v>
      </c>
      <c r="X59" s="14">
        <v>3</v>
      </c>
      <c r="Y59" s="14">
        <v>1</v>
      </c>
      <c r="Z59" s="14">
        <v>0</v>
      </c>
      <c r="AA59" s="14">
        <v>1</v>
      </c>
      <c r="AB59" s="14">
        <v>0</v>
      </c>
      <c r="AC59" s="14">
        <v>1</v>
      </c>
      <c r="AD59" s="14">
        <v>4</v>
      </c>
      <c r="AE59" s="14">
        <v>2</v>
      </c>
      <c r="AF59" s="214">
        <v>2</v>
      </c>
      <c r="AG59" s="15">
        <f t="shared" si="2"/>
        <v>36</v>
      </c>
    </row>
    <row r="60" spans="1:33" ht="15.75" customHeight="1" x14ac:dyDescent="0.25">
      <c r="A60" s="12" t="s">
        <v>21</v>
      </c>
      <c r="B60" s="13"/>
      <c r="C60" s="14">
        <v>6</v>
      </c>
      <c r="D60" s="14">
        <v>1</v>
      </c>
      <c r="E60" s="14">
        <v>1</v>
      </c>
      <c r="F60" s="14">
        <v>1</v>
      </c>
      <c r="G60" s="14"/>
      <c r="H60" s="14">
        <v>3</v>
      </c>
      <c r="I60" s="14">
        <v>3</v>
      </c>
      <c r="J60" s="14">
        <v>11</v>
      </c>
      <c r="K60" s="14">
        <v>1</v>
      </c>
      <c r="L60" s="14">
        <v>4</v>
      </c>
      <c r="M60" s="14">
        <v>2</v>
      </c>
      <c r="N60" s="14">
        <v>1</v>
      </c>
      <c r="O60" s="14"/>
      <c r="P60" s="14">
        <v>7</v>
      </c>
      <c r="Q60" s="14">
        <v>4</v>
      </c>
      <c r="R60" s="14">
        <v>2</v>
      </c>
      <c r="S60" s="14">
        <v>11</v>
      </c>
      <c r="T60" s="14">
        <v>1</v>
      </c>
      <c r="U60" s="14">
        <v>0</v>
      </c>
      <c r="V60" s="14">
        <v>0</v>
      </c>
      <c r="W60" s="14">
        <v>0</v>
      </c>
      <c r="X60" s="14">
        <v>6</v>
      </c>
      <c r="Y60" s="14">
        <v>0</v>
      </c>
      <c r="Z60" s="14">
        <v>2</v>
      </c>
      <c r="AA60" s="14">
        <v>2</v>
      </c>
      <c r="AB60" s="14">
        <v>0</v>
      </c>
      <c r="AC60" s="14">
        <v>0</v>
      </c>
      <c r="AD60" s="14">
        <v>3</v>
      </c>
      <c r="AE60" s="14">
        <v>2</v>
      </c>
      <c r="AF60" s="214">
        <v>1</v>
      </c>
      <c r="AG60" s="15">
        <f t="shared" si="2"/>
        <v>75</v>
      </c>
    </row>
    <row r="61" spans="1:33" ht="15.75" customHeight="1" x14ac:dyDescent="0.25">
      <c r="A61" s="12" t="s">
        <v>22</v>
      </c>
      <c r="B61" s="13"/>
      <c r="C61" s="14">
        <v>8</v>
      </c>
      <c r="D61" s="14">
        <v>4</v>
      </c>
      <c r="E61" s="14">
        <v>2</v>
      </c>
      <c r="F61" s="14">
        <v>2</v>
      </c>
      <c r="G61" s="14"/>
      <c r="H61" s="14">
        <v>6</v>
      </c>
      <c r="I61" s="14">
        <v>1</v>
      </c>
      <c r="J61" s="14">
        <v>4</v>
      </c>
      <c r="K61" s="14">
        <v>2</v>
      </c>
      <c r="L61" s="14">
        <v>3</v>
      </c>
      <c r="M61" s="14">
        <v>3</v>
      </c>
      <c r="N61" s="14">
        <v>2</v>
      </c>
      <c r="O61" s="14">
        <v>3</v>
      </c>
      <c r="P61" s="14">
        <v>20</v>
      </c>
      <c r="Q61" s="14">
        <v>6</v>
      </c>
      <c r="R61" s="14">
        <v>3</v>
      </c>
      <c r="S61" s="14">
        <v>1</v>
      </c>
      <c r="T61" s="14">
        <v>5</v>
      </c>
      <c r="U61" s="14">
        <v>0</v>
      </c>
      <c r="V61" s="14">
        <v>1</v>
      </c>
      <c r="W61" s="14">
        <v>7</v>
      </c>
      <c r="X61" s="14">
        <v>6</v>
      </c>
      <c r="Y61" s="14">
        <v>13</v>
      </c>
      <c r="Z61" s="14">
        <v>3</v>
      </c>
      <c r="AA61" s="14">
        <v>4</v>
      </c>
      <c r="AB61" s="14">
        <v>4</v>
      </c>
      <c r="AC61" s="14">
        <v>4</v>
      </c>
      <c r="AD61" s="14">
        <v>6</v>
      </c>
      <c r="AE61" s="14">
        <v>7</v>
      </c>
      <c r="AF61" s="214">
        <v>9</v>
      </c>
      <c r="AG61" s="15">
        <f t="shared" si="2"/>
        <v>139</v>
      </c>
    </row>
    <row r="62" spans="1:33" ht="15.75" customHeight="1" x14ac:dyDescent="0.25">
      <c r="A62" s="12" t="s">
        <v>23</v>
      </c>
      <c r="B62" s="13"/>
      <c r="C62" s="14">
        <v>16</v>
      </c>
      <c r="D62" s="14">
        <v>18</v>
      </c>
      <c r="E62" s="14">
        <v>3</v>
      </c>
      <c r="F62" s="14"/>
      <c r="G62" s="14">
        <v>2</v>
      </c>
      <c r="H62" s="14">
        <v>7</v>
      </c>
      <c r="I62" s="14">
        <v>7</v>
      </c>
      <c r="J62" s="14">
        <v>6</v>
      </c>
      <c r="K62" s="14">
        <v>2</v>
      </c>
      <c r="L62" s="14">
        <v>4</v>
      </c>
      <c r="M62" s="14">
        <v>4</v>
      </c>
      <c r="N62" s="14">
        <v>1</v>
      </c>
      <c r="O62" s="14"/>
      <c r="P62" s="14">
        <v>6</v>
      </c>
      <c r="Q62" s="14">
        <v>9</v>
      </c>
      <c r="R62" s="14">
        <v>2</v>
      </c>
      <c r="S62" s="14">
        <v>3</v>
      </c>
      <c r="T62" s="14">
        <v>0</v>
      </c>
      <c r="U62" s="14">
        <v>0</v>
      </c>
      <c r="V62" s="14">
        <v>1</v>
      </c>
      <c r="W62" s="14">
        <v>2</v>
      </c>
      <c r="X62" s="14">
        <v>14</v>
      </c>
      <c r="Y62" s="14">
        <v>0</v>
      </c>
      <c r="Z62" s="14">
        <v>1</v>
      </c>
      <c r="AA62" s="14">
        <v>5</v>
      </c>
      <c r="AB62" s="14">
        <v>0</v>
      </c>
      <c r="AC62" s="14">
        <v>2</v>
      </c>
      <c r="AD62" s="14">
        <v>3</v>
      </c>
      <c r="AE62" s="14">
        <v>0</v>
      </c>
      <c r="AF62" s="214">
        <v>7</v>
      </c>
      <c r="AG62" s="15">
        <f t="shared" si="2"/>
        <v>125</v>
      </c>
    </row>
    <row r="63" spans="1:33" ht="15.75" customHeight="1" x14ac:dyDescent="0.25">
      <c r="A63" s="12" t="s">
        <v>24</v>
      </c>
      <c r="B63" s="13"/>
      <c r="C63" s="14">
        <v>1</v>
      </c>
      <c r="D63" s="14">
        <v>1</v>
      </c>
      <c r="E63" s="14">
        <v>14</v>
      </c>
      <c r="F63" s="14">
        <v>2</v>
      </c>
      <c r="G63" s="14"/>
      <c r="H63" s="14"/>
      <c r="I63" s="14">
        <v>17</v>
      </c>
      <c r="J63" s="14">
        <v>2</v>
      </c>
      <c r="K63" s="14">
        <v>9</v>
      </c>
      <c r="L63" s="14">
        <v>1</v>
      </c>
      <c r="M63" s="14"/>
      <c r="N63" s="14">
        <v>1</v>
      </c>
      <c r="O63" s="14"/>
      <c r="P63" s="14">
        <v>15</v>
      </c>
      <c r="Q63" s="14">
        <v>2</v>
      </c>
      <c r="R63" s="14">
        <v>0</v>
      </c>
      <c r="S63" s="14">
        <v>9</v>
      </c>
      <c r="T63" s="14">
        <v>1</v>
      </c>
      <c r="U63" s="14">
        <v>1</v>
      </c>
      <c r="V63" s="14">
        <v>2</v>
      </c>
      <c r="W63" s="14">
        <v>3</v>
      </c>
      <c r="X63" s="14">
        <v>5</v>
      </c>
      <c r="Y63" s="14">
        <v>10</v>
      </c>
      <c r="Z63" s="14">
        <v>3</v>
      </c>
      <c r="AA63" s="14">
        <v>1</v>
      </c>
      <c r="AB63" s="14">
        <v>3</v>
      </c>
      <c r="AC63" s="14">
        <v>3</v>
      </c>
      <c r="AD63" s="14">
        <v>3</v>
      </c>
      <c r="AE63" s="14">
        <v>24</v>
      </c>
      <c r="AF63" s="214">
        <v>2</v>
      </c>
      <c r="AG63" s="15">
        <f t="shared" si="2"/>
        <v>135</v>
      </c>
    </row>
    <row r="64" spans="1:33" ht="15.75" customHeight="1" x14ac:dyDescent="0.25">
      <c r="A64" s="12" t="s">
        <v>25</v>
      </c>
      <c r="B64" s="13">
        <v>2</v>
      </c>
      <c r="C64" s="14">
        <v>4</v>
      </c>
      <c r="D64" s="14">
        <v>9</v>
      </c>
      <c r="E64" s="14">
        <v>9</v>
      </c>
      <c r="F64" s="14">
        <v>2</v>
      </c>
      <c r="G64" s="14">
        <v>1</v>
      </c>
      <c r="H64" s="14">
        <v>4</v>
      </c>
      <c r="I64" s="14">
        <v>9</v>
      </c>
      <c r="J64" s="14">
        <v>7</v>
      </c>
      <c r="K64" s="14">
        <v>13</v>
      </c>
      <c r="L64" s="14">
        <v>2</v>
      </c>
      <c r="M64" s="14">
        <v>4</v>
      </c>
      <c r="N64" s="14">
        <v>4</v>
      </c>
      <c r="O64" s="14"/>
      <c r="P64" s="14">
        <v>16</v>
      </c>
      <c r="Q64" s="14">
        <v>1</v>
      </c>
      <c r="R64" s="14">
        <v>0</v>
      </c>
      <c r="S64" s="14">
        <v>6</v>
      </c>
      <c r="T64" s="14">
        <v>1</v>
      </c>
      <c r="U64" s="14">
        <v>1</v>
      </c>
      <c r="V64" s="14">
        <v>1</v>
      </c>
      <c r="W64" s="14">
        <v>15</v>
      </c>
      <c r="X64" s="14">
        <v>8</v>
      </c>
      <c r="Y64" s="14">
        <v>25</v>
      </c>
      <c r="Z64" s="14">
        <v>5</v>
      </c>
      <c r="AA64" s="14">
        <v>2</v>
      </c>
      <c r="AB64" s="14">
        <v>0</v>
      </c>
      <c r="AC64" s="14">
        <v>5</v>
      </c>
      <c r="AD64" s="14">
        <v>12</v>
      </c>
      <c r="AE64" s="14">
        <v>19</v>
      </c>
      <c r="AF64" s="214">
        <v>17</v>
      </c>
      <c r="AG64" s="15">
        <f t="shared" si="2"/>
        <v>204</v>
      </c>
    </row>
    <row r="65" spans="1:33" ht="15.75" customHeight="1" x14ac:dyDescent="0.25">
      <c r="A65" s="12" t="s">
        <v>26</v>
      </c>
      <c r="B65" s="13"/>
      <c r="C65" s="14"/>
      <c r="D65" s="14">
        <v>5</v>
      </c>
      <c r="E65" s="14">
        <v>4</v>
      </c>
      <c r="F65" s="14"/>
      <c r="G65" s="14">
        <v>3</v>
      </c>
      <c r="H65" s="14">
        <v>4</v>
      </c>
      <c r="I65" s="14">
        <v>13</v>
      </c>
      <c r="J65" s="14">
        <v>4</v>
      </c>
      <c r="K65" s="14"/>
      <c r="L65" s="14">
        <v>1</v>
      </c>
      <c r="M65" s="14">
        <v>1</v>
      </c>
      <c r="N65" s="14">
        <v>1</v>
      </c>
      <c r="O65" s="14"/>
      <c r="P65" s="14">
        <v>7</v>
      </c>
      <c r="Q65" s="14">
        <v>9</v>
      </c>
      <c r="R65" s="14">
        <v>2</v>
      </c>
      <c r="S65" s="14">
        <v>2</v>
      </c>
      <c r="T65" s="14">
        <v>1</v>
      </c>
      <c r="U65" s="14">
        <v>2</v>
      </c>
      <c r="V65" s="14">
        <v>0</v>
      </c>
      <c r="W65" s="14">
        <v>6</v>
      </c>
      <c r="X65" s="14">
        <v>2</v>
      </c>
      <c r="Y65" s="14">
        <v>6</v>
      </c>
      <c r="Z65" s="14">
        <v>0</v>
      </c>
      <c r="AA65" s="14">
        <v>0</v>
      </c>
      <c r="AB65" s="14">
        <v>1</v>
      </c>
      <c r="AC65" s="14">
        <v>2</v>
      </c>
      <c r="AD65" s="14">
        <v>11</v>
      </c>
      <c r="AE65" s="14">
        <v>1</v>
      </c>
      <c r="AF65" s="214">
        <v>0</v>
      </c>
      <c r="AG65" s="15">
        <f t="shared" si="2"/>
        <v>88</v>
      </c>
    </row>
    <row r="66" spans="1:33" ht="15.75" customHeight="1" x14ac:dyDescent="0.25">
      <c r="A66" s="12" t="s">
        <v>27</v>
      </c>
      <c r="B66" s="13">
        <v>2</v>
      </c>
      <c r="C66" s="14">
        <v>7</v>
      </c>
      <c r="D66" s="14">
        <v>2</v>
      </c>
      <c r="E66" s="14">
        <v>3</v>
      </c>
      <c r="F66" s="14"/>
      <c r="G66" s="14"/>
      <c r="H66" s="14">
        <v>4</v>
      </c>
      <c r="I66" s="14">
        <v>6</v>
      </c>
      <c r="J66" s="14">
        <v>2</v>
      </c>
      <c r="K66" s="14">
        <v>8</v>
      </c>
      <c r="L66" s="14">
        <v>6</v>
      </c>
      <c r="M66" s="14">
        <v>3</v>
      </c>
      <c r="N66" s="14"/>
      <c r="O66" s="14"/>
      <c r="P66" s="14">
        <v>4</v>
      </c>
      <c r="Q66" s="14">
        <v>7</v>
      </c>
      <c r="R66" s="14">
        <v>3</v>
      </c>
      <c r="S66" s="14">
        <v>6</v>
      </c>
      <c r="T66" s="14">
        <v>0</v>
      </c>
      <c r="U66" s="14">
        <v>0</v>
      </c>
      <c r="V66" s="14">
        <v>1</v>
      </c>
      <c r="W66" s="14">
        <v>16</v>
      </c>
      <c r="X66" s="14">
        <v>7</v>
      </c>
      <c r="Y66" s="14">
        <v>3</v>
      </c>
      <c r="Z66" s="14">
        <v>4</v>
      </c>
      <c r="AA66" s="14">
        <v>1</v>
      </c>
      <c r="AB66" s="14">
        <v>0</v>
      </c>
      <c r="AC66" s="14">
        <v>1</v>
      </c>
      <c r="AD66" s="14">
        <v>6</v>
      </c>
      <c r="AE66" s="14">
        <v>2</v>
      </c>
      <c r="AF66" s="214">
        <v>6</v>
      </c>
      <c r="AG66" s="15">
        <f t="shared" si="2"/>
        <v>110</v>
      </c>
    </row>
    <row r="67" spans="1:33" ht="15.75" customHeight="1" x14ac:dyDescent="0.25">
      <c r="A67" s="12" t="s">
        <v>28</v>
      </c>
      <c r="B67" s="13"/>
      <c r="C67" s="14">
        <v>4</v>
      </c>
      <c r="D67" s="14">
        <v>8</v>
      </c>
      <c r="E67" s="14">
        <v>3</v>
      </c>
      <c r="F67" s="14">
        <v>2</v>
      </c>
      <c r="G67" s="14">
        <v>1</v>
      </c>
      <c r="H67" s="14">
        <v>5</v>
      </c>
      <c r="I67" s="14">
        <v>10</v>
      </c>
      <c r="J67" s="14">
        <v>11</v>
      </c>
      <c r="K67" s="14">
        <v>4</v>
      </c>
      <c r="L67" s="14">
        <v>6</v>
      </c>
      <c r="M67" s="14">
        <v>3</v>
      </c>
      <c r="N67" s="14">
        <v>2</v>
      </c>
      <c r="O67" s="14"/>
      <c r="P67" s="14">
        <v>1</v>
      </c>
      <c r="Q67" s="14">
        <v>9</v>
      </c>
      <c r="R67" s="14">
        <v>0</v>
      </c>
      <c r="S67" s="14">
        <v>1</v>
      </c>
      <c r="T67" s="14">
        <v>0</v>
      </c>
      <c r="U67" s="14">
        <v>1</v>
      </c>
      <c r="V67" s="14">
        <v>0</v>
      </c>
      <c r="W67" s="14">
        <v>9</v>
      </c>
      <c r="X67" s="14">
        <v>11</v>
      </c>
      <c r="Y67" s="14">
        <v>2</v>
      </c>
      <c r="Z67" s="14">
        <v>2</v>
      </c>
      <c r="AA67" s="14">
        <v>0</v>
      </c>
      <c r="AB67" s="14">
        <v>2</v>
      </c>
      <c r="AC67" s="14">
        <v>1</v>
      </c>
      <c r="AD67" s="14">
        <v>12</v>
      </c>
      <c r="AE67" s="14">
        <v>1</v>
      </c>
      <c r="AF67" s="214">
        <v>5</v>
      </c>
      <c r="AG67" s="15">
        <f t="shared" si="2"/>
        <v>116</v>
      </c>
    </row>
    <row r="68" spans="1:33" ht="15.75" customHeight="1" x14ac:dyDescent="0.25">
      <c r="A68" s="12" t="s">
        <v>29</v>
      </c>
      <c r="B68" s="13"/>
      <c r="C68" s="14"/>
      <c r="D68" s="14">
        <v>4</v>
      </c>
      <c r="E68" s="14">
        <v>7</v>
      </c>
      <c r="F68" s="14"/>
      <c r="G68" s="14"/>
      <c r="H68" s="14"/>
      <c r="I68" s="14">
        <v>10</v>
      </c>
      <c r="J68" s="14">
        <v>2</v>
      </c>
      <c r="K68" s="14">
        <v>3</v>
      </c>
      <c r="L68" s="14">
        <v>5</v>
      </c>
      <c r="M68" s="14"/>
      <c r="N68" s="14">
        <v>2</v>
      </c>
      <c r="O68" s="14"/>
      <c r="P68" s="14">
        <v>1</v>
      </c>
      <c r="Q68" s="14">
        <v>3</v>
      </c>
      <c r="R68" s="14">
        <v>0</v>
      </c>
      <c r="S68" s="14">
        <v>2</v>
      </c>
      <c r="T68" s="14">
        <v>0</v>
      </c>
      <c r="U68" s="14">
        <v>0</v>
      </c>
      <c r="V68" s="14">
        <v>0</v>
      </c>
      <c r="W68" s="14">
        <v>5</v>
      </c>
      <c r="X68" s="14">
        <v>2</v>
      </c>
      <c r="Y68" s="14">
        <v>0</v>
      </c>
      <c r="Z68" s="14">
        <v>0</v>
      </c>
      <c r="AA68" s="14">
        <v>0</v>
      </c>
      <c r="AB68" s="14">
        <v>0</v>
      </c>
      <c r="AC68" s="14">
        <v>1</v>
      </c>
      <c r="AD68" s="14">
        <v>1</v>
      </c>
      <c r="AE68" s="14">
        <v>0</v>
      </c>
      <c r="AF68" s="214">
        <v>5</v>
      </c>
      <c r="AG68" s="15">
        <f t="shared" si="2"/>
        <v>53</v>
      </c>
    </row>
    <row r="69" spans="1:33" ht="15.75" customHeight="1" x14ac:dyDescent="0.25">
      <c r="A69" s="12" t="s">
        <v>30</v>
      </c>
      <c r="B69" s="13">
        <v>1</v>
      </c>
      <c r="C69" s="14">
        <v>8</v>
      </c>
      <c r="D69" s="14">
        <v>9</v>
      </c>
      <c r="E69" s="14">
        <v>3</v>
      </c>
      <c r="F69" s="14"/>
      <c r="G69" s="14"/>
      <c r="H69" s="14"/>
      <c r="I69" s="14">
        <v>2</v>
      </c>
      <c r="J69" s="14"/>
      <c r="K69" s="14">
        <v>4</v>
      </c>
      <c r="L69" s="14">
        <v>2</v>
      </c>
      <c r="M69" s="14">
        <v>2</v>
      </c>
      <c r="N69" s="14">
        <v>3</v>
      </c>
      <c r="O69" s="14"/>
      <c r="P69" s="14"/>
      <c r="Q69" s="14">
        <v>1</v>
      </c>
      <c r="R69" s="14">
        <v>4</v>
      </c>
      <c r="S69" s="14">
        <v>0</v>
      </c>
      <c r="T69" s="14">
        <v>0</v>
      </c>
      <c r="U69" s="14">
        <v>0</v>
      </c>
      <c r="V69" s="14">
        <v>0</v>
      </c>
      <c r="W69" s="14">
        <v>1</v>
      </c>
      <c r="X69" s="14">
        <v>2</v>
      </c>
      <c r="Y69" s="14">
        <v>0</v>
      </c>
      <c r="Z69" s="14">
        <v>0</v>
      </c>
      <c r="AA69" s="14">
        <v>2</v>
      </c>
      <c r="AB69" s="14">
        <v>0</v>
      </c>
      <c r="AC69" s="14">
        <v>2</v>
      </c>
      <c r="AD69" s="14">
        <v>1</v>
      </c>
      <c r="AE69" s="14">
        <v>0</v>
      </c>
      <c r="AF69" s="214">
        <v>2</v>
      </c>
      <c r="AG69" s="15">
        <f t="shared" si="2"/>
        <v>49</v>
      </c>
    </row>
    <row r="70" spans="1:33" ht="15.75" customHeight="1" x14ac:dyDescent="0.25">
      <c r="A70" s="12" t="s">
        <v>31</v>
      </c>
      <c r="B70" s="9"/>
      <c r="C70" s="10">
        <v>5</v>
      </c>
      <c r="D70" s="14">
        <v>1</v>
      </c>
      <c r="E70" s="10"/>
      <c r="F70" s="10"/>
      <c r="G70" s="14">
        <v>2</v>
      </c>
      <c r="H70" s="10"/>
      <c r="I70" s="14">
        <v>2</v>
      </c>
      <c r="J70" s="10">
        <v>6</v>
      </c>
      <c r="K70" s="10">
        <v>1</v>
      </c>
      <c r="L70" s="10">
        <v>3</v>
      </c>
      <c r="M70" s="10"/>
      <c r="N70" s="10">
        <v>3</v>
      </c>
      <c r="O70" s="10"/>
      <c r="P70" s="10">
        <v>4</v>
      </c>
      <c r="Q70" s="10">
        <v>1</v>
      </c>
      <c r="R70" s="10">
        <v>1</v>
      </c>
      <c r="S70" s="10">
        <v>1</v>
      </c>
      <c r="T70" s="10">
        <v>1</v>
      </c>
      <c r="U70" s="10">
        <v>0</v>
      </c>
      <c r="V70" s="10">
        <v>0</v>
      </c>
      <c r="W70" s="10">
        <v>0</v>
      </c>
      <c r="X70" s="10">
        <v>2</v>
      </c>
      <c r="Y70" s="10">
        <v>0</v>
      </c>
      <c r="Z70" s="10">
        <v>0</v>
      </c>
      <c r="AA70" s="10">
        <v>3</v>
      </c>
      <c r="AB70" s="10">
        <v>0</v>
      </c>
      <c r="AC70" s="10">
        <v>0</v>
      </c>
      <c r="AD70" s="10">
        <v>0</v>
      </c>
      <c r="AE70" s="10">
        <v>0</v>
      </c>
      <c r="AF70" s="213">
        <v>4</v>
      </c>
      <c r="AG70" s="15">
        <f t="shared" si="2"/>
        <v>40</v>
      </c>
    </row>
    <row r="71" spans="1:33" ht="15.75" customHeight="1" x14ac:dyDescent="0.25">
      <c r="A71" s="12" t="s">
        <v>32</v>
      </c>
      <c r="B71" s="9">
        <v>6</v>
      </c>
      <c r="C71" s="10">
        <v>1</v>
      </c>
      <c r="D71" s="14">
        <v>1</v>
      </c>
      <c r="E71" s="10"/>
      <c r="F71" s="10">
        <v>1</v>
      </c>
      <c r="G71" s="14"/>
      <c r="H71" s="10"/>
      <c r="I71" s="14">
        <v>4</v>
      </c>
      <c r="J71" s="10">
        <v>1</v>
      </c>
      <c r="K71" s="10">
        <v>1</v>
      </c>
      <c r="L71" s="10"/>
      <c r="M71" s="10"/>
      <c r="N71" s="10"/>
      <c r="O71" s="10"/>
      <c r="P71" s="10">
        <v>1</v>
      </c>
      <c r="Q71" s="10"/>
      <c r="R71" s="10">
        <v>0</v>
      </c>
      <c r="S71" s="10">
        <v>1</v>
      </c>
      <c r="T71" s="10">
        <v>0</v>
      </c>
      <c r="U71" s="10">
        <v>0</v>
      </c>
      <c r="V71" s="10">
        <v>0</v>
      </c>
      <c r="W71" s="10">
        <v>4</v>
      </c>
      <c r="X71" s="10">
        <v>1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3</v>
      </c>
      <c r="AF71" s="213">
        <v>1</v>
      </c>
      <c r="AG71" s="15">
        <f t="shared" si="2"/>
        <v>26</v>
      </c>
    </row>
    <row r="72" spans="1:33" ht="15.75" customHeight="1" x14ac:dyDescent="0.25">
      <c r="A72" s="12" t="s">
        <v>33</v>
      </c>
      <c r="B72" s="9"/>
      <c r="C72" s="10">
        <v>10</v>
      </c>
      <c r="D72" s="14">
        <v>1</v>
      </c>
      <c r="E72" s="10"/>
      <c r="F72" s="10"/>
      <c r="G72" s="14"/>
      <c r="H72" s="10"/>
      <c r="I72" s="14">
        <v>6</v>
      </c>
      <c r="J72" s="10"/>
      <c r="K72" s="10"/>
      <c r="L72" s="10">
        <v>1</v>
      </c>
      <c r="M72" s="10">
        <v>2</v>
      </c>
      <c r="N72" s="10"/>
      <c r="O72" s="10"/>
      <c r="P72" s="10">
        <v>1</v>
      </c>
      <c r="Q72" s="10">
        <v>1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2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213">
        <v>1</v>
      </c>
      <c r="AG72" s="15">
        <f t="shared" si="2"/>
        <v>25</v>
      </c>
    </row>
    <row r="73" spans="1:33" ht="15.75" customHeight="1" x14ac:dyDescent="0.25">
      <c r="A73" s="12" t="s">
        <v>34</v>
      </c>
      <c r="B73" s="9"/>
      <c r="C73" s="10"/>
      <c r="D73" s="14"/>
      <c r="E73" s="10"/>
      <c r="F73" s="10"/>
      <c r="G73" s="14"/>
      <c r="H73" s="10"/>
      <c r="I73" s="14"/>
      <c r="J73" s="10"/>
      <c r="K73" s="10"/>
      <c r="L73" s="10"/>
      <c r="M73" s="10">
        <v>1</v>
      </c>
      <c r="N73" s="10"/>
      <c r="O73" s="10"/>
      <c r="P73" s="10">
        <v>3</v>
      </c>
      <c r="Q73" s="10"/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1</v>
      </c>
      <c r="AB73" s="10">
        <v>0</v>
      </c>
      <c r="AC73" s="10">
        <v>0</v>
      </c>
      <c r="AD73" s="10">
        <v>0</v>
      </c>
      <c r="AE73" s="10">
        <v>0</v>
      </c>
      <c r="AF73" s="213">
        <v>0</v>
      </c>
      <c r="AG73" s="15">
        <f t="shared" si="2"/>
        <v>5</v>
      </c>
    </row>
    <row r="74" spans="1:33" ht="15.75" customHeight="1" x14ac:dyDescent="0.25">
      <c r="A74" s="12" t="s">
        <v>35</v>
      </c>
      <c r="B74" s="9"/>
      <c r="C74" s="10"/>
      <c r="D74" s="14"/>
      <c r="E74" s="10"/>
      <c r="F74" s="10"/>
      <c r="G74" s="14"/>
      <c r="H74" s="10"/>
      <c r="I74" s="14"/>
      <c r="J74" s="10">
        <v>1</v>
      </c>
      <c r="K74" s="10"/>
      <c r="L74" s="10"/>
      <c r="M74" s="10"/>
      <c r="N74" s="10"/>
      <c r="O74" s="10"/>
      <c r="P74" s="10">
        <v>1</v>
      </c>
      <c r="Q74" s="10"/>
      <c r="R74" s="10">
        <v>0</v>
      </c>
      <c r="S74" s="10">
        <v>0</v>
      </c>
      <c r="T74" s="10">
        <v>0</v>
      </c>
      <c r="U74" s="10">
        <v>1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213">
        <v>0</v>
      </c>
      <c r="AG74" s="15">
        <f t="shared" si="2"/>
        <v>3</v>
      </c>
    </row>
    <row r="75" spans="1:33" ht="15.75" customHeight="1" x14ac:dyDescent="0.25">
      <c r="A75" s="12" t="s">
        <v>36</v>
      </c>
      <c r="B75" s="9"/>
      <c r="C75" s="10"/>
      <c r="D75" s="14"/>
      <c r="E75" s="10"/>
      <c r="F75" s="10"/>
      <c r="G75" s="14"/>
      <c r="H75" s="10"/>
      <c r="I75" s="14"/>
      <c r="J75" s="10"/>
      <c r="K75" s="10"/>
      <c r="L75" s="10"/>
      <c r="M75" s="10"/>
      <c r="N75" s="10"/>
      <c r="O75" s="10"/>
      <c r="P75" s="10"/>
      <c r="Q75" s="10"/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213">
        <v>1</v>
      </c>
      <c r="AG75" s="15">
        <f t="shared" si="2"/>
        <v>1</v>
      </c>
    </row>
    <row r="76" spans="1:33" ht="15.75" customHeight="1" x14ac:dyDescent="0.25">
      <c r="A76" s="12" t="s">
        <v>37</v>
      </c>
      <c r="B76" s="9"/>
      <c r="C76" s="10"/>
      <c r="D76" s="14"/>
      <c r="E76" s="10"/>
      <c r="F76" s="10"/>
      <c r="G76" s="14"/>
      <c r="H76" s="10"/>
      <c r="I76" s="14"/>
      <c r="J76" s="10"/>
      <c r="K76" s="10"/>
      <c r="L76" s="10"/>
      <c r="M76" s="10"/>
      <c r="N76" s="10"/>
      <c r="O76" s="10"/>
      <c r="P76" s="10"/>
      <c r="Q76" s="10"/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213">
        <v>0</v>
      </c>
      <c r="AG76" s="15">
        <f t="shared" si="2"/>
        <v>0</v>
      </c>
    </row>
    <row r="77" spans="1:33" ht="15.75" customHeight="1" x14ac:dyDescent="0.25">
      <c r="A77" s="28" t="s">
        <v>38</v>
      </c>
      <c r="B77" s="29"/>
      <c r="C77" s="30"/>
      <c r="D77" s="25"/>
      <c r="E77" s="30"/>
      <c r="F77" s="30"/>
      <c r="G77" s="25"/>
      <c r="H77" s="30"/>
      <c r="I77" s="25"/>
      <c r="J77" s="30"/>
      <c r="K77" s="30"/>
      <c r="L77" s="30"/>
      <c r="M77" s="30"/>
      <c r="N77" s="30"/>
      <c r="O77" s="30"/>
      <c r="P77" s="30">
        <v>1</v>
      </c>
      <c r="Q77" s="30"/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1</v>
      </c>
      <c r="X77" s="30">
        <v>0</v>
      </c>
      <c r="Y77" s="30">
        <v>0</v>
      </c>
      <c r="Z77" s="30">
        <v>1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217">
        <v>0</v>
      </c>
      <c r="AG77" s="26">
        <f t="shared" si="2"/>
        <v>3</v>
      </c>
    </row>
    <row r="78" spans="1:33" ht="19.5" hidden="1" customHeight="1" x14ac:dyDescent="0.25">
      <c r="A78" s="31" t="s">
        <v>41</v>
      </c>
      <c r="B78" s="32">
        <f t="shared" ref="B78:AF78" si="5">SUM(B79:B80)</f>
        <v>274</v>
      </c>
      <c r="C78" s="33">
        <f t="shared" si="5"/>
        <v>303</v>
      </c>
      <c r="D78" s="33">
        <f t="shared" si="5"/>
        <v>307</v>
      </c>
      <c r="E78" s="34">
        <f t="shared" si="5"/>
        <v>263</v>
      </c>
      <c r="F78" s="34">
        <f t="shared" si="5"/>
        <v>223</v>
      </c>
      <c r="G78" s="34">
        <f t="shared" si="5"/>
        <v>226</v>
      </c>
      <c r="H78" s="34">
        <f t="shared" si="5"/>
        <v>248</v>
      </c>
      <c r="I78" s="34">
        <f t="shared" si="5"/>
        <v>315</v>
      </c>
      <c r="J78" s="34">
        <f t="shared" si="5"/>
        <v>309</v>
      </c>
      <c r="K78" s="34">
        <f t="shared" si="5"/>
        <v>261</v>
      </c>
      <c r="L78" s="34">
        <f t="shared" si="5"/>
        <v>280</v>
      </c>
      <c r="M78" s="34">
        <f t="shared" si="5"/>
        <v>258</v>
      </c>
      <c r="N78" s="34">
        <f t="shared" si="5"/>
        <v>248</v>
      </c>
      <c r="O78" s="34">
        <f t="shared" si="5"/>
        <v>218</v>
      </c>
      <c r="P78" s="34">
        <f t="shared" si="5"/>
        <v>325</v>
      </c>
      <c r="Q78" s="34">
        <f t="shared" si="5"/>
        <v>311</v>
      </c>
      <c r="R78" s="34">
        <f t="shared" si="5"/>
        <v>246</v>
      </c>
      <c r="S78" s="34">
        <f t="shared" si="5"/>
        <v>279</v>
      </c>
      <c r="T78" s="34">
        <f t="shared" si="5"/>
        <v>257</v>
      </c>
      <c r="U78" s="34">
        <f t="shared" si="5"/>
        <v>214</v>
      </c>
      <c r="V78" s="34">
        <f t="shared" si="5"/>
        <v>191</v>
      </c>
      <c r="W78" s="34">
        <f t="shared" si="5"/>
        <v>289</v>
      </c>
      <c r="X78" s="34">
        <f t="shared" si="5"/>
        <v>290</v>
      </c>
      <c r="Y78" s="34">
        <f t="shared" si="5"/>
        <v>255</v>
      </c>
      <c r="Z78" s="34">
        <f t="shared" si="5"/>
        <v>235</v>
      </c>
      <c r="AA78" s="34">
        <f t="shared" si="5"/>
        <v>228</v>
      </c>
      <c r="AB78" s="34">
        <f t="shared" si="5"/>
        <v>196</v>
      </c>
      <c r="AC78" s="34">
        <f t="shared" si="5"/>
        <v>239</v>
      </c>
      <c r="AD78" s="34">
        <f t="shared" si="5"/>
        <v>277</v>
      </c>
      <c r="AE78" s="34">
        <f t="shared" si="5"/>
        <v>272</v>
      </c>
      <c r="AF78" s="218">
        <f t="shared" si="5"/>
        <v>270</v>
      </c>
      <c r="AG78" s="27">
        <f t="shared" si="2"/>
        <v>8107</v>
      </c>
    </row>
    <row r="79" spans="1:33" ht="19.5" hidden="1" customHeight="1" x14ac:dyDescent="0.25">
      <c r="A79" s="35" t="s">
        <v>42</v>
      </c>
      <c r="B79" s="9">
        <f t="shared" ref="B79:AF79" si="6">SUM(B4:B27)-B80</f>
        <v>274</v>
      </c>
      <c r="C79" s="10">
        <f t="shared" si="6"/>
        <v>303</v>
      </c>
      <c r="D79" s="10">
        <f t="shared" si="6"/>
        <v>307</v>
      </c>
      <c r="E79" s="10">
        <f t="shared" si="6"/>
        <v>263</v>
      </c>
      <c r="F79" s="10">
        <f t="shared" si="6"/>
        <v>99</v>
      </c>
      <c r="G79" s="10">
        <f t="shared" si="6"/>
        <v>83</v>
      </c>
      <c r="H79" s="10">
        <f t="shared" si="6"/>
        <v>106</v>
      </c>
      <c r="I79" s="10">
        <f t="shared" si="6"/>
        <v>315</v>
      </c>
      <c r="J79" s="10">
        <f t="shared" si="6"/>
        <v>309</v>
      </c>
      <c r="K79" s="10">
        <f t="shared" si="6"/>
        <v>261</v>
      </c>
      <c r="L79" s="10">
        <f t="shared" si="6"/>
        <v>280</v>
      </c>
      <c r="M79" s="10">
        <f t="shared" si="6"/>
        <v>113</v>
      </c>
      <c r="N79" s="10">
        <f t="shared" si="6"/>
        <v>114</v>
      </c>
      <c r="O79" s="10">
        <f t="shared" si="6"/>
        <v>110</v>
      </c>
      <c r="P79" s="10">
        <f t="shared" si="6"/>
        <v>325</v>
      </c>
      <c r="Q79" s="10">
        <f t="shared" si="6"/>
        <v>311</v>
      </c>
      <c r="R79" s="10">
        <f t="shared" si="6"/>
        <v>108</v>
      </c>
      <c r="S79" s="10">
        <f t="shared" si="6"/>
        <v>102</v>
      </c>
      <c r="T79" s="10">
        <f t="shared" si="6"/>
        <v>116</v>
      </c>
      <c r="U79" s="10">
        <f t="shared" si="6"/>
        <v>82</v>
      </c>
      <c r="V79" s="10">
        <f t="shared" si="6"/>
        <v>66</v>
      </c>
      <c r="W79" s="10">
        <f t="shared" si="6"/>
        <v>289</v>
      </c>
      <c r="X79" s="10">
        <f t="shared" si="6"/>
        <v>290</v>
      </c>
      <c r="Y79" s="10">
        <f t="shared" si="6"/>
        <v>114</v>
      </c>
      <c r="Z79" s="10">
        <f t="shared" si="6"/>
        <v>235</v>
      </c>
      <c r="AA79" s="10">
        <f t="shared" si="6"/>
        <v>101</v>
      </c>
      <c r="AB79" s="10">
        <f t="shared" si="6"/>
        <v>76</v>
      </c>
      <c r="AC79" s="10">
        <f t="shared" si="6"/>
        <v>102</v>
      </c>
      <c r="AD79" s="10">
        <f t="shared" si="6"/>
        <v>277</v>
      </c>
      <c r="AE79" s="10">
        <f t="shared" si="6"/>
        <v>272</v>
      </c>
      <c r="AF79" s="10">
        <f t="shared" si="6"/>
        <v>100</v>
      </c>
      <c r="AG79" s="11">
        <f t="shared" si="2"/>
        <v>5903</v>
      </c>
    </row>
    <row r="80" spans="1:33" ht="19.5" hidden="1" customHeight="1" x14ac:dyDescent="0.25">
      <c r="A80" s="36" t="s">
        <v>43</v>
      </c>
      <c r="B80" s="37"/>
      <c r="C80" s="38"/>
      <c r="D80" s="25">
        <v>0</v>
      </c>
      <c r="E80" s="25">
        <v>0</v>
      </c>
      <c r="F80" s="25">
        <f>SUM(F4:F12)</f>
        <v>124</v>
      </c>
      <c r="G80" s="25">
        <f>SUM(G4:G12)</f>
        <v>143</v>
      </c>
      <c r="H80" s="25">
        <f>SUM(H4:H12)</f>
        <v>142</v>
      </c>
      <c r="I80" s="38"/>
      <c r="J80" s="38"/>
      <c r="K80" s="25">
        <v>0</v>
      </c>
      <c r="L80" s="25">
        <v>0</v>
      </c>
      <c r="M80" s="25">
        <f>SUM(M4:M12)</f>
        <v>145</v>
      </c>
      <c r="N80" s="25">
        <f>SUM(N4:N12)</f>
        <v>134</v>
      </c>
      <c r="O80" s="25">
        <f>SUM(O4:O12)</f>
        <v>108</v>
      </c>
      <c r="P80" s="38"/>
      <c r="Q80" s="38"/>
      <c r="R80" s="25">
        <f>SUM(R4:R12)</f>
        <v>138</v>
      </c>
      <c r="S80" s="25">
        <f>SUM(S4:S12)</f>
        <v>177</v>
      </c>
      <c r="T80" s="25">
        <f>SUM(T4:T12)</f>
        <v>141</v>
      </c>
      <c r="U80" s="25">
        <f>SUM(U4:U12)</f>
        <v>132</v>
      </c>
      <c r="V80" s="25">
        <f>SUM(V4:V12)</f>
        <v>125</v>
      </c>
      <c r="W80" s="38"/>
      <c r="X80" s="38"/>
      <c r="Y80" s="25">
        <f>SUM(Y4:Y12)</f>
        <v>141</v>
      </c>
      <c r="Z80" s="38"/>
      <c r="AA80" s="25">
        <f>SUM(AA4:AA12)</f>
        <v>127</v>
      </c>
      <c r="AB80" s="25">
        <f>SUM(AB4:AB12)</f>
        <v>120</v>
      </c>
      <c r="AC80" s="25">
        <f>SUM(AC4:AC12)</f>
        <v>137</v>
      </c>
      <c r="AD80" s="38"/>
      <c r="AE80" s="38"/>
      <c r="AF80" s="25">
        <f>SUM(AF4:AF12)</f>
        <v>170</v>
      </c>
      <c r="AG80" s="26">
        <f t="shared" si="2"/>
        <v>2204</v>
      </c>
    </row>
    <row r="81" spans="1:35" ht="15.75" customHeight="1" x14ac:dyDescent="0.25">
      <c r="A81" s="31" t="s">
        <v>44</v>
      </c>
      <c r="B81" s="39">
        <f t="shared" ref="B81:AF81" si="7">SUM(B82:B83)</f>
        <v>17</v>
      </c>
      <c r="C81" s="34">
        <f t="shared" si="7"/>
        <v>78</v>
      </c>
      <c r="D81" s="34">
        <f t="shared" si="7"/>
        <v>73</v>
      </c>
      <c r="E81" s="34">
        <f t="shared" si="7"/>
        <v>52</v>
      </c>
      <c r="F81" s="34">
        <f t="shared" si="7"/>
        <v>19</v>
      </c>
      <c r="G81" s="34">
        <f t="shared" si="7"/>
        <v>11</v>
      </c>
      <c r="H81" s="34">
        <f t="shared" si="7"/>
        <v>35</v>
      </c>
      <c r="I81" s="34">
        <f t="shared" si="7"/>
        <v>100</v>
      </c>
      <c r="J81" s="34">
        <f t="shared" si="7"/>
        <v>66</v>
      </c>
      <c r="K81" s="34">
        <f t="shared" si="7"/>
        <v>56</v>
      </c>
      <c r="L81" s="34">
        <f t="shared" si="7"/>
        <v>42</v>
      </c>
      <c r="M81" s="34">
        <f t="shared" si="7"/>
        <v>29</v>
      </c>
      <c r="N81" s="34">
        <f t="shared" si="7"/>
        <v>22</v>
      </c>
      <c r="O81" s="34">
        <f t="shared" si="7"/>
        <v>5</v>
      </c>
      <c r="P81" s="34">
        <f t="shared" si="7"/>
        <v>91</v>
      </c>
      <c r="Q81" s="34">
        <f t="shared" si="7"/>
        <v>60</v>
      </c>
      <c r="R81" s="34">
        <f t="shared" si="7"/>
        <v>22</v>
      </c>
      <c r="S81" s="34">
        <f t="shared" si="7"/>
        <v>49</v>
      </c>
      <c r="T81" s="34">
        <f t="shared" si="7"/>
        <v>17</v>
      </c>
      <c r="U81" s="34">
        <f t="shared" si="7"/>
        <v>6</v>
      </c>
      <c r="V81" s="34">
        <f t="shared" si="7"/>
        <v>7</v>
      </c>
      <c r="W81" s="34">
        <f t="shared" si="7"/>
        <v>74</v>
      </c>
      <c r="X81" s="34">
        <f t="shared" si="7"/>
        <v>74</v>
      </c>
      <c r="Y81" s="34">
        <f t="shared" si="7"/>
        <v>61</v>
      </c>
      <c r="Z81" s="34">
        <f t="shared" si="7"/>
        <v>21</v>
      </c>
      <c r="AA81" s="34">
        <f t="shared" si="7"/>
        <v>22</v>
      </c>
      <c r="AB81" s="34">
        <f t="shared" si="7"/>
        <v>10</v>
      </c>
      <c r="AC81" s="34">
        <f t="shared" si="7"/>
        <v>23</v>
      </c>
      <c r="AD81" s="34">
        <f t="shared" si="7"/>
        <v>64</v>
      </c>
      <c r="AE81" s="34">
        <f t="shared" si="7"/>
        <v>68</v>
      </c>
      <c r="AF81" s="34">
        <f t="shared" si="7"/>
        <v>67</v>
      </c>
      <c r="AG81" s="27">
        <f t="shared" si="2"/>
        <v>1341</v>
      </c>
      <c r="AH81" s="40" t="str">
        <f>IF(AG81&lt;&gt;AG53,"*","")</f>
        <v/>
      </c>
    </row>
    <row r="82" spans="1:35" ht="15.75" customHeight="1" x14ac:dyDescent="0.25">
      <c r="A82" s="35" t="s">
        <v>43</v>
      </c>
      <c r="B82" s="9">
        <f t="shared" ref="B82:AF82" si="8">SUM(B54:B62)</f>
        <v>6</v>
      </c>
      <c r="C82" s="10">
        <f t="shared" si="8"/>
        <v>38</v>
      </c>
      <c r="D82" s="10">
        <f t="shared" si="8"/>
        <v>32</v>
      </c>
      <c r="E82" s="10">
        <f t="shared" si="8"/>
        <v>9</v>
      </c>
      <c r="F82" s="10">
        <f t="shared" si="8"/>
        <v>12</v>
      </c>
      <c r="G82" s="10">
        <f t="shared" si="8"/>
        <v>4</v>
      </c>
      <c r="H82" s="10">
        <f t="shared" si="8"/>
        <v>18</v>
      </c>
      <c r="I82" s="10">
        <f t="shared" si="8"/>
        <v>21</v>
      </c>
      <c r="J82" s="10">
        <f t="shared" si="8"/>
        <v>30</v>
      </c>
      <c r="K82" s="10">
        <f t="shared" si="8"/>
        <v>13</v>
      </c>
      <c r="L82" s="10">
        <f t="shared" si="8"/>
        <v>15</v>
      </c>
      <c r="M82" s="10">
        <f t="shared" si="8"/>
        <v>13</v>
      </c>
      <c r="N82" s="10">
        <f t="shared" si="8"/>
        <v>6</v>
      </c>
      <c r="O82" s="10">
        <f t="shared" si="8"/>
        <v>5</v>
      </c>
      <c r="P82" s="10">
        <f t="shared" si="8"/>
        <v>36</v>
      </c>
      <c r="Q82" s="10">
        <f t="shared" si="8"/>
        <v>26</v>
      </c>
      <c r="R82" s="10">
        <f t="shared" si="8"/>
        <v>12</v>
      </c>
      <c r="S82" s="10">
        <f t="shared" si="8"/>
        <v>21</v>
      </c>
      <c r="T82" s="10">
        <f t="shared" si="8"/>
        <v>13</v>
      </c>
      <c r="U82" s="10">
        <f t="shared" si="8"/>
        <v>0</v>
      </c>
      <c r="V82" s="10">
        <f t="shared" si="8"/>
        <v>3</v>
      </c>
      <c r="W82" s="10">
        <f t="shared" si="8"/>
        <v>12</v>
      </c>
      <c r="X82" s="10">
        <f t="shared" si="8"/>
        <v>34</v>
      </c>
      <c r="Y82" s="10">
        <f t="shared" si="8"/>
        <v>15</v>
      </c>
      <c r="Z82" s="10">
        <f t="shared" si="8"/>
        <v>6</v>
      </c>
      <c r="AA82" s="10">
        <f t="shared" si="8"/>
        <v>12</v>
      </c>
      <c r="AB82" s="10">
        <f t="shared" si="8"/>
        <v>4</v>
      </c>
      <c r="AC82" s="10">
        <f t="shared" si="8"/>
        <v>8</v>
      </c>
      <c r="AD82" s="10">
        <f t="shared" si="8"/>
        <v>18</v>
      </c>
      <c r="AE82" s="10">
        <f t="shared" si="8"/>
        <v>18</v>
      </c>
      <c r="AF82" s="10">
        <f t="shared" si="8"/>
        <v>23</v>
      </c>
      <c r="AG82" s="11">
        <f t="shared" si="2"/>
        <v>483</v>
      </c>
    </row>
    <row r="83" spans="1:35" ht="15.75" customHeight="1" x14ac:dyDescent="0.25">
      <c r="A83" s="36" t="s">
        <v>42</v>
      </c>
      <c r="B83" s="24">
        <f t="shared" ref="B83:AF83" si="9">SUM(B54:B77)-B82</f>
        <v>11</v>
      </c>
      <c r="C83" s="25">
        <f t="shared" si="9"/>
        <v>40</v>
      </c>
      <c r="D83" s="25">
        <f t="shared" si="9"/>
        <v>41</v>
      </c>
      <c r="E83" s="25">
        <f t="shared" si="9"/>
        <v>43</v>
      </c>
      <c r="F83" s="25">
        <f t="shared" si="9"/>
        <v>7</v>
      </c>
      <c r="G83" s="25">
        <f t="shared" si="9"/>
        <v>7</v>
      </c>
      <c r="H83" s="25">
        <f t="shared" si="9"/>
        <v>17</v>
      </c>
      <c r="I83" s="25">
        <f t="shared" si="9"/>
        <v>79</v>
      </c>
      <c r="J83" s="25">
        <f t="shared" si="9"/>
        <v>36</v>
      </c>
      <c r="K83" s="25">
        <f t="shared" si="9"/>
        <v>43</v>
      </c>
      <c r="L83" s="25">
        <f t="shared" si="9"/>
        <v>27</v>
      </c>
      <c r="M83" s="25">
        <f t="shared" si="9"/>
        <v>16</v>
      </c>
      <c r="N83" s="25">
        <f t="shared" si="9"/>
        <v>16</v>
      </c>
      <c r="O83" s="25">
        <f t="shared" si="9"/>
        <v>0</v>
      </c>
      <c r="P83" s="25">
        <f t="shared" si="9"/>
        <v>55</v>
      </c>
      <c r="Q83" s="25">
        <f t="shared" si="9"/>
        <v>34</v>
      </c>
      <c r="R83" s="25">
        <f t="shared" si="9"/>
        <v>10</v>
      </c>
      <c r="S83" s="25">
        <f t="shared" si="9"/>
        <v>28</v>
      </c>
      <c r="T83" s="25">
        <f t="shared" si="9"/>
        <v>4</v>
      </c>
      <c r="U83" s="25">
        <f t="shared" si="9"/>
        <v>6</v>
      </c>
      <c r="V83" s="25">
        <f t="shared" si="9"/>
        <v>4</v>
      </c>
      <c r="W83" s="25">
        <f t="shared" si="9"/>
        <v>62</v>
      </c>
      <c r="X83" s="25">
        <f t="shared" si="9"/>
        <v>40</v>
      </c>
      <c r="Y83" s="25">
        <f t="shared" si="9"/>
        <v>46</v>
      </c>
      <c r="Z83" s="25">
        <f t="shared" si="9"/>
        <v>15</v>
      </c>
      <c r="AA83" s="25">
        <f t="shared" si="9"/>
        <v>10</v>
      </c>
      <c r="AB83" s="25">
        <f t="shared" si="9"/>
        <v>6</v>
      </c>
      <c r="AC83" s="25">
        <f t="shared" si="9"/>
        <v>15</v>
      </c>
      <c r="AD83" s="25">
        <f t="shared" si="9"/>
        <v>46</v>
      </c>
      <c r="AE83" s="25">
        <f t="shared" si="9"/>
        <v>50</v>
      </c>
      <c r="AF83" s="25">
        <f t="shared" si="9"/>
        <v>44</v>
      </c>
      <c r="AG83" s="15">
        <f t="shared" si="2"/>
        <v>858</v>
      </c>
    </row>
    <row r="84" spans="1:35" ht="15.75" customHeight="1" x14ac:dyDescent="0.25">
      <c r="A84" s="41" t="s">
        <v>45</v>
      </c>
      <c r="B84" s="42">
        <f t="shared" ref="B84:AF84" si="10">SUM(B85:B86)</f>
        <v>17</v>
      </c>
      <c r="C84" s="43">
        <f t="shared" si="10"/>
        <v>78</v>
      </c>
      <c r="D84" s="43">
        <f t="shared" si="10"/>
        <v>73</v>
      </c>
      <c r="E84" s="43">
        <f t="shared" si="10"/>
        <v>52</v>
      </c>
      <c r="F84" s="43">
        <f t="shared" si="10"/>
        <v>19</v>
      </c>
      <c r="G84" s="43">
        <f t="shared" si="10"/>
        <v>11</v>
      </c>
      <c r="H84" s="43">
        <f t="shared" si="10"/>
        <v>35</v>
      </c>
      <c r="I84" s="43">
        <f t="shared" si="10"/>
        <v>100</v>
      </c>
      <c r="J84" s="43">
        <f t="shared" si="10"/>
        <v>66</v>
      </c>
      <c r="K84" s="43">
        <f t="shared" si="10"/>
        <v>56</v>
      </c>
      <c r="L84" s="43">
        <f t="shared" si="10"/>
        <v>42</v>
      </c>
      <c r="M84" s="43">
        <f t="shared" si="10"/>
        <v>29</v>
      </c>
      <c r="N84" s="43">
        <f t="shared" si="10"/>
        <v>22</v>
      </c>
      <c r="O84" s="43">
        <f t="shared" si="10"/>
        <v>5</v>
      </c>
      <c r="P84" s="43">
        <f t="shared" si="10"/>
        <v>91</v>
      </c>
      <c r="Q84" s="43">
        <f t="shared" si="10"/>
        <v>60</v>
      </c>
      <c r="R84" s="43">
        <f t="shared" si="10"/>
        <v>22</v>
      </c>
      <c r="S84" s="43">
        <f t="shared" si="10"/>
        <v>49</v>
      </c>
      <c r="T84" s="43">
        <f t="shared" si="10"/>
        <v>17</v>
      </c>
      <c r="U84" s="43">
        <f t="shared" si="10"/>
        <v>6</v>
      </c>
      <c r="V84" s="43">
        <f t="shared" si="10"/>
        <v>7</v>
      </c>
      <c r="W84" s="43">
        <f t="shared" si="10"/>
        <v>74</v>
      </c>
      <c r="X84" s="43">
        <f t="shared" si="10"/>
        <v>74</v>
      </c>
      <c r="Y84" s="43">
        <f t="shared" si="10"/>
        <v>61</v>
      </c>
      <c r="Z84" s="43">
        <f t="shared" si="10"/>
        <v>21</v>
      </c>
      <c r="AA84" s="43">
        <f t="shared" si="10"/>
        <v>22</v>
      </c>
      <c r="AB84" s="43">
        <f t="shared" si="10"/>
        <v>10</v>
      </c>
      <c r="AC84" s="43">
        <f t="shared" si="10"/>
        <v>23</v>
      </c>
      <c r="AD84" s="43">
        <f t="shared" si="10"/>
        <v>64</v>
      </c>
      <c r="AE84" s="43">
        <f t="shared" si="10"/>
        <v>68</v>
      </c>
      <c r="AF84" s="43">
        <f t="shared" si="10"/>
        <v>67</v>
      </c>
      <c r="AG84" s="44">
        <f t="shared" si="2"/>
        <v>1341</v>
      </c>
      <c r="AH84" s="40" t="str">
        <f>IF(AG84&lt;&gt;AG82+AG83,"*","")</f>
        <v/>
      </c>
      <c r="AI84" s="361" t="s">
        <v>46</v>
      </c>
    </row>
    <row r="85" spans="1:35" ht="15.75" customHeight="1" x14ac:dyDescent="0.25">
      <c r="A85" s="45" t="s">
        <v>47</v>
      </c>
      <c r="B85" s="46">
        <v>5</v>
      </c>
      <c r="C85" s="47">
        <v>20</v>
      </c>
      <c r="D85" s="47">
        <v>16</v>
      </c>
      <c r="E85" s="47">
        <v>14</v>
      </c>
      <c r="F85" s="47">
        <v>2</v>
      </c>
      <c r="G85" s="47">
        <v>3</v>
      </c>
      <c r="H85" s="47">
        <v>10</v>
      </c>
      <c r="I85" s="47">
        <v>25</v>
      </c>
      <c r="J85" s="47">
        <v>18</v>
      </c>
      <c r="K85" s="47">
        <v>15</v>
      </c>
      <c r="L85" s="47">
        <v>10</v>
      </c>
      <c r="M85" s="47">
        <v>8</v>
      </c>
      <c r="N85" s="47">
        <v>6</v>
      </c>
      <c r="O85" s="47">
        <v>1</v>
      </c>
      <c r="P85" s="47">
        <v>32</v>
      </c>
      <c r="Q85" s="47">
        <v>23</v>
      </c>
      <c r="R85" s="47">
        <v>7</v>
      </c>
      <c r="S85" s="47">
        <v>14</v>
      </c>
      <c r="T85" s="47">
        <v>4</v>
      </c>
      <c r="U85" s="47">
        <v>1</v>
      </c>
      <c r="V85" s="47">
        <v>3</v>
      </c>
      <c r="W85" s="47">
        <v>35</v>
      </c>
      <c r="X85" s="47">
        <v>24</v>
      </c>
      <c r="Y85" s="47">
        <v>14</v>
      </c>
      <c r="Z85" s="47">
        <v>7</v>
      </c>
      <c r="AA85" s="47">
        <v>4</v>
      </c>
      <c r="AB85" s="47">
        <v>4</v>
      </c>
      <c r="AC85" s="47">
        <v>9</v>
      </c>
      <c r="AD85" s="47">
        <v>19</v>
      </c>
      <c r="AE85" s="47">
        <v>23</v>
      </c>
      <c r="AF85" s="219">
        <v>24</v>
      </c>
      <c r="AG85" s="48">
        <f t="shared" si="2"/>
        <v>400</v>
      </c>
      <c r="AI85" s="362"/>
    </row>
    <row r="86" spans="1:35" ht="15.75" customHeight="1" x14ac:dyDescent="0.25">
      <c r="A86" s="49" t="s">
        <v>48</v>
      </c>
      <c r="B86" s="50">
        <v>12</v>
      </c>
      <c r="C86" s="51">
        <v>58</v>
      </c>
      <c r="D86" s="51">
        <v>57</v>
      </c>
      <c r="E86" s="51">
        <v>38</v>
      </c>
      <c r="F86" s="51">
        <v>17</v>
      </c>
      <c r="G86" s="51">
        <v>8</v>
      </c>
      <c r="H86" s="51">
        <v>25</v>
      </c>
      <c r="I86" s="51">
        <v>75</v>
      </c>
      <c r="J86" s="51">
        <v>48</v>
      </c>
      <c r="K86" s="51">
        <v>41</v>
      </c>
      <c r="L86" s="51">
        <v>32</v>
      </c>
      <c r="M86" s="51">
        <v>21</v>
      </c>
      <c r="N86" s="51">
        <v>16</v>
      </c>
      <c r="O86" s="51">
        <v>4</v>
      </c>
      <c r="P86" s="51">
        <v>59</v>
      </c>
      <c r="Q86" s="51">
        <v>37</v>
      </c>
      <c r="R86" s="51">
        <v>15</v>
      </c>
      <c r="S86" s="51">
        <v>35</v>
      </c>
      <c r="T86" s="51">
        <v>13</v>
      </c>
      <c r="U86" s="51">
        <v>5</v>
      </c>
      <c r="V86" s="51">
        <v>4</v>
      </c>
      <c r="W86" s="51">
        <v>39</v>
      </c>
      <c r="X86" s="51">
        <v>50</v>
      </c>
      <c r="Y86" s="51">
        <v>47</v>
      </c>
      <c r="Z86" s="51">
        <v>14</v>
      </c>
      <c r="AA86" s="51">
        <v>18</v>
      </c>
      <c r="AB86" s="51">
        <v>6</v>
      </c>
      <c r="AC86" s="51">
        <v>14</v>
      </c>
      <c r="AD86" s="51">
        <v>45</v>
      </c>
      <c r="AE86" s="51">
        <v>45</v>
      </c>
      <c r="AF86" s="220">
        <v>43</v>
      </c>
      <c r="AG86" s="52">
        <f t="shared" si="2"/>
        <v>941</v>
      </c>
      <c r="AI86" s="363"/>
    </row>
    <row r="87" spans="1:35" ht="15.75" customHeight="1" x14ac:dyDescent="0.25">
      <c r="A87" s="53" t="s">
        <v>49</v>
      </c>
      <c r="B87" s="54">
        <f t="shared" ref="B87:AF87" si="11">SUM(B88:B92)</f>
        <v>17</v>
      </c>
      <c r="C87" s="55">
        <f t="shared" si="11"/>
        <v>78</v>
      </c>
      <c r="D87" s="55">
        <f t="shared" si="11"/>
        <v>73</v>
      </c>
      <c r="E87" s="55">
        <f t="shared" si="11"/>
        <v>52</v>
      </c>
      <c r="F87" s="55">
        <f t="shared" si="11"/>
        <v>19</v>
      </c>
      <c r="G87" s="55">
        <f t="shared" si="11"/>
        <v>11</v>
      </c>
      <c r="H87" s="55">
        <f t="shared" si="11"/>
        <v>35</v>
      </c>
      <c r="I87" s="55">
        <f t="shared" si="11"/>
        <v>100</v>
      </c>
      <c r="J87" s="55">
        <f t="shared" si="11"/>
        <v>66</v>
      </c>
      <c r="K87" s="55">
        <f t="shared" si="11"/>
        <v>56</v>
      </c>
      <c r="L87" s="55">
        <f t="shared" si="11"/>
        <v>42</v>
      </c>
      <c r="M87" s="55">
        <f t="shared" si="11"/>
        <v>29</v>
      </c>
      <c r="N87" s="55">
        <f t="shared" si="11"/>
        <v>22</v>
      </c>
      <c r="O87" s="55">
        <f t="shared" si="11"/>
        <v>5</v>
      </c>
      <c r="P87" s="55">
        <f t="shared" si="11"/>
        <v>91</v>
      </c>
      <c r="Q87" s="55">
        <f t="shared" si="11"/>
        <v>60</v>
      </c>
      <c r="R87" s="55">
        <f t="shared" si="11"/>
        <v>22</v>
      </c>
      <c r="S87" s="55">
        <f t="shared" si="11"/>
        <v>49</v>
      </c>
      <c r="T87" s="55">
        <f t="shared" si="11"/>
        <v>17</v>
      </c>
      <c r="U87" s="55">
        <f t="shared" si="11"/>
        <v>6</v>
      </c>
      <c r="V87" s="55">
        <f t="shared" si="11"/>
        <v>7</v>
      </c>
      <c r="W87" s="55">
        <f t="shared" si="11"/>
        <v>74</v>
      </c>
      <c r="X87" s="55">
        <f t="shared" si="11"/>
        <v>74</v>
      </c>
      <c r="Y87" s="55">
        <f t="shared" si="11"/>
        <v>61</v>
      </c>
      <c r="Z87" s="55">
        <f t="shared" si="11"/>
        <v>21</v>
      </c>
      <c r="AA87" s="55">
        <f t="shared" si="11"/>
        <v>22</v>
      </c>
      <c r="AB87" s="55">
        <f t="shared" si="11"/>
        <v>10</v>
      </c>
      <c r="AC87" s="55">
        <f t="shared" si="11"/>
        <v>23</v>
      </c>
      <c r="AD87" s="55">
        <f t="shared" si="11"/>
        <v>64</v>
      </c>
      <c r="AE87" s="55">
        <f t="shared" si="11"/>
        <v>68</v>
      </c>
      <c r="AF87" s="55">
        <f t="shared" si="11"/>
        <v>67</v>
      </c>
      <c r="AG87" s="56">
        <f t="shared" si="2"/>
        <v>1341</v>
      </c>
      <c r="AH87" s="57" t="str">
        <f>IF(AG87&lt;&gt;AG84,"*","")</f>
        <v/>
      </c>
    </row>
    <row r="88" spans="1:35" ht="15.75" customHeight="1" x14ac:dyDescent="0.25">
      <c r="A88" s="58" t="s">
        <v>50</v>
      </c>
      <c r="B88" s="29">
        <v>6</v>
      </c>
      <c r="C88" s="30">
        <v>20</v>
      </c>
      <c r="D88" s="30">
        <v>19</v>
      </c>
      <c r="E88" s="30">
        <v>13</v>
      </c>
      <c r="F88" s="30">
        <v>15</v>
      </c>
      <c r="G88" s="30">
        <v>4</v>
      </c>
      <c r="H88" s="30">
        <v>3</v>
      </c>
      <c r="I88" s="30">
        <v>23</v>
      </c>
      <c r="J88" s="30">
        <v>15</v>
      </c>
      <c r="K88" s="30">
        <v>5</v>
      </c>
      <c r="L88" s="30">
        <v>8</v>
      </c>
      <c r="M88" s="30">
        <v>9</v>
      </c>
      <c r="N88" s="30">
        <v>5</v>
      </c>
      <c r="O88" s="30">
        <v>1</v>
      </c>
      <c r="P88" s="30">
        <v>19</v>
      </c>
      <c r="Q88" s="30">
        <v>16</v>
      </c>
      <c r="R88" s="30">
        <v>6</v>
      </c>
      <c r="S88" s="30">
        <v>11</v>
      </c>
      <c r="T88" s="30">
        <v>7</v>
      </c>
      <c r="U88" s="30">
        <v>2</v>
      </c>
      <c r="V88" s="30">
        <v>1</v>
      </c>
      <c r="W88" s="30">
        <v>18</v>
      </c>
      <c r="X88" s="30">
        <v>15</v>
      </c>
      <c r="Y88" s="30">
        <v>20</v>
      </c>
      <c r="Z88" s="30">
        <v>2</v>
      </c>
      <c r="AA88" s="30">
        <v>5</v>
      </c>
      <c r="AB88" s="30">
        <v>2</v>
      </c>
      <c r="AC88" s="30">
        <v>5</v>
      </c>
      <c r="AD88" s="30">
        <v>15</v>
      </c>
      <c r="AE88" s="30">
        <v>31</v>
      </c>
      <c r="AF88" s="217">
        <v>16</v>
      </c>
      <c r="AG88" s="11">
        <f t="shared" si="2"/>
        <v>337</v>
      </c>
    </row>
    <row r="89" spans="1:35" ht="15.75" customHeight="1" x14ac:dyDescent="0.25">
      <c r="A89" s="59" t="s">
        <v>51</v>
      </c>
      <c r="B89" s="24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>
        <v>0</v>
      </c>
      <c r="S89" s="25">
        <v>0</v>
      </c>
      <c r="T89" s="25">
        <v>0</v>
      </c>
      <c r="U89" s="25">
        <v>0</v>
      </c>
      <c r="V89" s="25">
        <v>0</v>
      </c>
      <c r="W89" s="25">
        <v>0</v>
      </c>
      <c r="X89" s="25">
        <v>0</v>
      </c>
      <c r="Y89" s="25">
        <v>0</v>
      </c>
      <c r="Z89" s="25">
        <v>0</v>
      </c>
      <c r="AA89" s="25">
        <v>0</v>
      </c>
      <c r="AB89" s="25">
        <v>0</v>
      </c>
      <c r="AC89" s="25">
        <v>0</v>
      </c>
      <c r="AD89" s="25">
        <v>0</v>
      </c>
      <c r="AE89" s="25">
        <v>0</v>
      </c>
      <c r="AF89" s="216">
        <v>0</v>
      </c>
      <c r="AG89" s="15">
        <f t="shared" si="2"/>
        <v>0</v>
      </c>
    </row>
    <row r="90" spans="1:35" ht="15.75" customHeight="1" x14ac:dyDescent="0.25">
      <c r="A90" s="59" t="s">
        <v>52</v>
      </c>
      <c r="B90" s="24">
        <v>1</v>
      </c>
      <c r="C90" s="25">
        <v>1</v>
      </c>
      <c r="D90" s="25">
        <v>2</v>
      </c>
      <c r="E90" s="25"/>
      <c r="F90" s="25">
        <v>1</v>
      </c>
      <c r="G90" s="25"/>
      <c r="H90" s="25">
        <v>1</v>
      </c>
      <c r="I90" s="25">
        <v>1</v>
      </c>
      <c r="J90" s="25"/>
      <c r="K90" s="25"/>
      <c r="L90" s="25"/>
      <c r="M90" s="25"/>
      <c r="N90" s="25"/>
      <c r="O90" s="25"/>
      <c r="P90" s="25"/>
      <c r="Q90" s="25"/>
      <c r="R90" s="25">
        <v>1</v>
      </c>
      <c r="S90" s="25">
        <v>0</v>
      </c>
      <c r="T90" s="25">
        <v>0</v>
      </c>
      <c r="U90" s="25">
        <v>0</v>
      </c>
      <c r="V90" s="25">
        <v>0</v>
      </c>
      <c r="W90" s="25">
        <v>1</v>
      </c>
      <c r="X90" s="25">
        <v>0</v>
      </c>
      <c r="Y90" s="25">
        <v>0</v>
      </c>
      <c r="Z90" s="25">
        <v>0</v>
      </c>
      <c r="AA90" s="25">
        <v>1</v>
      </c>
      <c r="AB90" s="25">
        <v>1</v>
      </c>
      <c r="AC90" s="25">
        <v>0</v>
      </c>
      <c r="AD90" s="25">
        <v>2</v>
      </c>
      <c r="AE90" s="25">
        <v>2</v>
      </c>
      <c r="AF90" s="216">
        <v>3</v>
      </c>
      <c r="AG90" s="15">
        <f t="shared" si="2"/>
        <v>18</v>
      </c>
    </row>
    <row r="91" spans="1:35" ht="15.75" customHeight="1" x14ac:dyDescent="0.25">
      <c r="A91" s="59" t="s">
        <v>53</v>
      </c>
      <c r="B91" s="24">
        <v>6</v>
      </c>
      <c r="C91" s="25">
        <v>39</v>
      </c>
      <c r="D91" s="25">
        <v>36</v>
      </c>
      <c r="E91" s="25">
        <v>32</v>
      </c>
      <c r="F91" s="25">
        <v>3</v>
      </c>
      <c r="G91" s="25">
        <v>2</v>
      </c>
      <c r="H91" s="25">
        <v>19</v>
      </c>
      <c r="I91" s="25">
        <v>58</v>
      </c>
      <c r="J91" s="25">
        <v>33</v>
      </c>
      <c r="K91" s="25">
        <v>37</v>
      </c>
      <c r="L91" s="25">
        <v>22</v>
      </c>
      <c r="M91" s="25">
        <v>10</v>
      </c>
      <c r="N91" s="25">
        <v>14</v>
      </c>
      <c r="O91" s="25">
        <v>1</v>
      </c>
      <c r="P91" s="25">
        <v>55</v>
      </c>
      <c r="Q91" s="25">
        <v>37</v>
      </c>
      <c r="R91" s="25">
        <v>7</v>
      </c>
      <c r="S91" s="25">
        <v>23</v>
      </c>
      <c r="T91" s="25">
        <v>6</v>
      </c>
      <c r="U91" s="25">
        <v>0</v>
      </c>
      <c r="V91" s="25">
        <v>4</v>
      </c>
      <c r="W91" s="25">
        <v>51</v>
      </c>
      <c r="X91" s="25">
        <v>38</v>
      </c>
      <c r="Y91" s="25">
        <v>28</v>
      </c>
      <c r="Z91" s="25">
        <v>14</v>
      </c>
      <c r="AA91" s="25">
        <v>12</v>
      </c>
      <c r="AB91" s="25">
        <v>5</v>
      </c>
      <c r="AC91" s="25">
        <v>12</v>
      </c>
      <c r="AD91" s="25">
        <v>36</v>
      </c>
      <c r="AE91" s="25">
        <v>26</v>
      </c>
      <c r="AF91" s="216">
        <v>32</v>
      </c>
      <c r="AG91" s="15">
        <f t="shared" si="2"/>
        <v>698</v>
      </c>
    </row>
    <row r="92" spans="1:35" ht="15.75" customHeight="1" x14ac:dyDescent="0.25">
      <c r="A92" s="59" t="s">
        <v>54</v>
      </c>
      <c r="B92" s="24">
        <v>4</v>
      </c>
      <c r="C92" s="25">
        <v>18</v>
      </c>
      <c r="D92" s="25">
        <v>16</v>
      </c>
      <c r="E92" s="25">
        <v>7</v>
      </c>
      <c r="F92" s="25"/>
      <c r="G92" s="25">
        <v>5</v>
      </c>
      <c r="H92" s="25">
        <v>12</v>
      </c>
      <c r="I92" s="25">
        <v>18</v>
      </c>
      <c r="J92" s="25">
        <v>18</v>
      </c>
      <c r="K92" s="25">
        <v>14</v>
      </c>
      <c r="L92" s="25">
        <v>12</v>
      </c>
      <c r="M92" s="25">
        <v>10</v>
      </c>
      <c r="N92" s="25">
        <v>3</v>
      </c>
      <c r="O92" s="25">
        <v>3</v>
      </c>
      <c r="P92" s="25">
        <v>17</v>
      </c>
      <c r="Q92" s="25">
        <v>7</v>
      </c>
      <c r="R92" s="25">
        <v>8</v>
      </c>
      <c r="S92" s="25">
        <v>15</v>
      </c>
      <c r="T92" s="25">
        <v>4</v>
      </c>
      <c r="U92" s="25">
        <v>4</v>
      </c>
      <c r="V92" s="25">
        <v>2</v>
      </c>
      <c r="W92" s="25">
        <v>4</v>
      </c>
      <c r="X92" s="25">
        <v>21</v>
      </c>
      <c r="Y92" s="25">
        <v>13</v>
      </c>
      <c r="Z92" s="25">
        <v>5</v>
      </c>
      <c r="AA92" s="25">
        <v>4</v>
      </c>
      <c r="AB92" s="25">
        <v>2</v>
      </c>
      <c r="AC92" s="25">
        <v>6</v>
      </c>
      <c r="AD92" s="25">
        <v>11</v>
      </c>
      <c r="AE92" s="25">
        <v>9</v>
      </c>
      <c r="AF92" s="216">
        <v>16</v>
      </c>
      <c r="AG92" s="15">
        <f t="shared" si="2"/>
        <v>288</v>
      </c>
    </row>
    <row r="93" spans="1:35" ht="15.75" customHeight="1" x14ac:dyDescent="0.25">
      <c r="A93" s="60" t="s">
        <v>55</v>
      </c>
      <c r="B93" s="61">
        <f t="shared" ref="B93:AF93" si="12">+B94+B100</f>
        <v>257</v>
      </c>
      <c r="C93" s="62">
        <f t="shared" si="12"/>
        <v>225</v>
      </c>
      <c r="D93" s="62">
        <f t="shared" si="12"/>
        <v>234</v>
      </c>
      <c r="E93" s="62">
        <f t="shared" si="12"/>
        <v>211</v>
      </c>
      <c r="F93" s="62">
        <f t="shared" si="12"/>
        <v>204</v>
      </c>
      <c r="G93" s="62">
        <f t="shared" si="12"/>
        <v>215</v>
      </c>
      <c r="H93" s="62">
        <f t="shared" si="12"/>
        <v>213</v>
      </c>
      <c r="I93" s="62">
        <f t="shared" si="12"/>
        <v>215</v>
      </c>
      <c r="J93" s="62">
        <f t="shared" si="12"/>
        <v>243</v>
      </c>
      <c r="K93" s="62">
        <f t="shared" si="12"/>
        <v>205</v>
      </c>
      <c r="L93" s="62">
        <f t="shared" si="12"/>
        <v>238</v>
      </c>
      <c r="M93" s="62">
        <f t="shared" si="12"/>
        <v>229</v>
      </c>
      <c r="N93" s="62">
        <f t="shared" si="12"/>
        <v>226</v>
      </c>
      <c r="O93" s="62">
        <f t="shared" si="12"/>
        <v>213</v>
      </c>
      <c r="P93" s="62">
        <f t="shared" si="12"/>
        <v>234</v>
      </c>
      <c r="Q93" s="62">
        <f t="shared" si="12"/>
        <v>251</v>
      </c>
      <c r="R93" s="62">
        <f t="shared" si="12"/>
        <v>224</v>
      </c>
      <c r="S93" s="62">
        <f t="shared" si="12"/>
        <v>230</v>
      </c>
      <c r="T93" s="62">
        <f t="shared" si="12"/>
        <v>240</v>
      </c>
      <c r="U93" s="62">
        <f t="shared" si="12"/>
        <v>208</v>
      </c>
      <c r="V93" s="62">
        <f t="shared" si="12"/>
        <v>184</v>
      </c>
      <c r="W93" s="62">
        <f t="shared" si="12"/>
        <v>215</v>
      </c>
      <c r="X93" s="62">
        <f t="shared" si="12"/>
        <v>216</v>
      </c>
      <c r="Y93" s="62">
        <f t="shared" si="12"/>
        <v>194</v>
      </c>
      <c r="Z93" s="62">
        <f t="shared" si="12"/>
        <v>214</v>
      </c>
      <c r="AA93" s="62">
        <f t="shared" si="12"/>
        <v>206</v>
      </c>
      <c r="AB93" s="62">
        <f t="shared" si="12"/>
        <v>186</v>
      </c>
      <c r="AC93" s="62">
        <f t="shared" si="12"/>
        <v>216</v>
      </c>
      <c r="AD93" s="62">
        <f t="shared" si="12"/>
        <v>213</v>
      </c>
      <c r="AE93" s="62">
        <f t="shared" si="12"/>
        <v>204</v>
      </c>
      <c r="AF93" s="221">
        <f t="shared" si="12"/>
        <v>203</v>
      </c>
      <c r="AG93" s="22">
        <f t="shared" si="2"/>
        <v>6766</v>
      </c>
      <c r="AH93" s="63" t="str">
        <f>IF(AG93&lt;&gt;AG28,"*","")</f>
        <v/>
      </c>
    </row>
    <row r="94" spans="1:35" ht="15.75" customHeight="1" x14ac:dyDescent="0.25">
      <c r="A94" s="64" t="s">
        <v>56</v>
      </c>
      <c r="B94" s="65">
        <f t="shared" ref="B94:AF94" si="13">SUM(B95:B99)</f>
        <v>88</v>
      </c>
      <c r="C94" s="66">
        <f t="shared" si="13"/>
        <v>66</v>
      </c>
      <c r="D94" s="66">
        <f t="shared" si="13"/>
        <v>67</v>
      </c>
      <c r="E94" s="66">
        <f t="shared" si="13"/>
        <v>53</v>
      </c>
      <c r="F94" s="66">
        <f t="shared" si="13"/>
        <v>58</v>
      </c>
      <c r="G94" s="66">
        <f t="shared" si="13"/>
        <v>64</v>
      </c>
      <c r="H94" s="66">
        <f t="shared" si="13"/>
        <v>71</v>
      </c>
      <c r="I94" s="66">
        <f t="shared" si="13"/>
        <v>67</v>
      </c>
      <c r="J94" s="66">
        <f t="shared" si="13"/>
        <v>67</v>
      </c>
      <c r="K94" s="66">
        <f t="shared" si="13"/>
        <v>51</v>
      </c>
      <c r="L94" s="66">
        <f t="shared" si="13"/>
        <v>70</v>
      </c>
      <c r="M94" s="66">
        <f t="shared" si="13"/>
        <v>58</v>
      </c>
      <c r="N94" s="66">
        <f t="shared" si="13"/>
        <v>57</v>
      </c>
      <c r="O94" s="66">
        <f t="shared" si="13"/>
        <v>67</v>
      </c>
      <c r="P94" s="66">
        <f t="shared" si="13"/>
        <v>70</v>
      </c>
      <c r="Q94" s="66">
        <f t="shared" si="13"/>
        <v>79</v>
      </c>
      <c r="R94" s="66">
        <f t="shared" si="13"/>
        <v>69</v>
      </c>
      <c r="S94" s="66">
        <f t="shared" si="13"/>
        <v>66</v>
      </c>
      <c r="T94" s="66">
        <f t="shared" si="13"/>
        <v>63</v>
      </c>
      <c r="U94" s="66">
        <f t="shared" si="13"/>
        <v>48</v>
      </c>
      <c r="V94" s="66">
        <f t="shared" si="13"/>
        <v>54</v>
      </c>
      <c r="W94" s="66">
        <f t="shared" si="13"/>
        <v>59</v>
      </c>
      <c r="X94" s="66">
        <f t="shared" si="13"/>
        <v>74</v>
      </c>
      <c r="Y94" s="66">
        <f t="shared" si="13"/>
        <v>52</v>
      </c>
      <c r="Z94" s="66">
        <f t="shared" si="13"/>
        <v>61</v>
      </c>
      <c r="AA94" s="66">
        <f t="shared" si="13"/>
        <v>56</v>
      </c>
      <c r="AB94" s="66">
        <f t="shared" si="13"/>
        <v>43</v>
      </c>
      <c r="AC94" s="66">
        <f t="shared" si="13"/>
        <v>59</v>
      </c>
      <c r="AD94" s="66">
        <f t="shared" si="13"/>
        <v>66</v>
      </c>
      <c r="AE94" s="66">
        <f t="shared" si="13"/>
        <v>60</v>
      </c>
      <c r="AF94" s="222">
        <f t="shared" si="13"/>
        <v>59</v>
      </c>
      <c r="AG94" s="15">
        <f t="shared" si="2"/>
        <v>1942</v>
      </c>
    </row>
    <row r="95" spans="1:35" ht="15.75" customHeight="1" x14ac:dyDescent="0.25">
      <c r="A95" s="67" t="s">
        <v>57</v>
      </c>
      <c r="B95" s="13"/>
      <c r="C95" s="14">
        <v>1</v>
      </c>
      <c r="D95" s="14"/>
      <c r="E95" s="14"/>
      <c r="F95" s="14"/>
      <c r="G95" s="14"/>
      <c r="H95" s="14">
        <v>3</v>
      </c>
      <c r="I95" s="14"/>
      <c r="J95" s="14">
        <v>3</v>
      </c>
      <c r="K95" s="14">
        <v>1</v>
      </c>
      <c r="L95" s="14"/>
      <c r="M95" s="14">
        <v>1</v>
      </c>
      <c r="N95" s="14">
        <v>2</v>
      </c>
      <c r="O95" s="14">
        <v>4</v>
      </c>
      <c r="P95" s="14">
        <v>1</v>
      </c>
      <c r="Q95" s="14">
        <v>3</v>
      </c>
      <c r="R95" s="14">
        <v>1</v>
      </c>
      <c r="S95" s="14">
        <v>2</v>
      </c>
      <c r="T95" s="14">
        <v>1</v>
      </c>
      <c r="U95" s="14">
        <v>0</v>
      </c>
      <c r="V95" s="14">
        <v>1</v>
      </c>
      <c r="W95" s="14">
        <v>0</v>
      </c>
      <c r="X95" s="14">
        <v>2</v>
      </c>
      <c r="Y95" s="14">
        <v>1</v>
      </c>
      <c r="Z95" s="14">
        <v>1</v>
      </c>
      <c r="AA95" s="14">
        <v>1</v>
      </c>
      <c r="AB95" s="14">
        <v>1</v>
      </c>
      <c r="AC95" s="14">
        <v>2</v>
      </c>
      <c r="AD95" s="14">
        <v>2</v>
      </c>
      <c r="AE95" s="14">
        <v>0</v>
      </c>
      <c r="AF95" s="214">
        <v>0</v>
      </c>
      <c r="AG95" s="15">
        <f t="shared" si="2"/>
        <v>34</v>
      </c>
    </row>
    <row r="96" spans="1:35" ht="15.75" customHeight="1" x14ac:dyDescent="0.25">
      <c r="A96" s="68" t="s">
        <v>58</v>
      </c>
      <c r="B96" s="13">
        <v>3</v>
      </c>
      <c r="C96" s="14">
        <v>2</v>
      </c>
      <c r="D96" s="14">
        <v>1</v>
      </c>
      <c r="E96" s="14">
        <v>4</v>
      </c>
      <c r="F96" s="14">
        <v>3</v>
      </c>
      <c r="G96" s="14">
        <v>2</v>
      </c>
      <c r="H96" s="14"/>
      <c r="I96" s="14">
        <v>4</v>
      </c>
      <c r="J96" s="14">
        <v>3</v>
      </c>
      <c r="K96" s="14">
        <v>1</v>
      </c>
      <c r="L96" s="14">
        <v>4</v>
      </c>
      <c r="M96" s="14">
        <v>1</v>
      </c>
      <c r="N96" s="14">
        <v>2</v>
      </c>
      <c r="O96" s="14">
        <v>2</v>
      </c>
      <c r="P96" s="14">
        <v>1</v>
      </c>
      <c r="Q96" s="14">
        <v>1</v>
      </c>
      <c r="R96" s="14">
        <v>1</v>
      </c>
      <c r="S96" s="14">
        <v>0</v>
      </c>
      <c r="T96" s="14">
        <v>0</v>
      </c>
      <c r="U96" s="14">
        <v>4</v>
      </c>
      <c r="V96" s="14">
        <v>4</v>
      </c>
      <c r="W96" s="14">
        <v>1</v>
      </c>
      <c r="X96" s="14">
        <v>1</v>
      </c>
      <c r="Y96" s="14">
        <v>4</v>
      </c>
      <c r="Z96" s="14">
        <v>6</v>
      </c>
      <c r="AA96" s="14">
        <v>5</v>
      </c>
      <c r="AB96" s="14">
        <v>3</v>
      </c>
      <c r="AC96" s="14">
        <v>3</v>
      </c>
      <c r="AD96" s="14">
        <v>3</v>
      </c>
      <c r="AE96" s="14">
        <v>2</v>
      </c>
      <c r="AF96" s="214">
        <v>3</v>
      </c>
      <c r="AG96" s="15">
        <f t="shared" si="2"/>
        <v>74</v>
      </c>
    </row>
    <row r="97" spans="1:33" ht="15.75" customHeight="1" x14ac:dyDescent="0.25">
      <c r="A97" s="69" t="s">
        <v>59</v>
      </c>
      <c r="B97" s="13">
        <v>22</v>
      </c>
      <c r="C97" s="14">
        <v>9</v>
      </c>
      <c r="D97" s="14">
        <v>15</v>
      </c>
      <c r="E97" s="14">
        <v>9</v>
      </c>
      <c r="F97" s="14">
        <v>17</v>
      </c>
      <c r="G97" s="14">
        <v>21</v>
      </c>
      <c r="H97" s="14">
        <v>20</v>
      </c>
      <c r="I97" s="14">
        <v>17</v>
      </c>
      <c r="J97" s="14">
        <v>19</v>
      </c>
      <c r="K97" s="14">
        <v>10</v>
      </c>
      <c r="L97" s="14">
        <v>18</v>
      </c>
      <c r="M97" s="14">
        <v>16</v>
      </c>
      <c r="N97" s="14">
        <v>17</v>
      </c>
      <c r="O97" s="14">
        <v>18</v>
      </c>
      <c r="P97" s="14">
        <v>12</v>
      </c>
      <c r="Q97" s="14">
        <v>16</v>
      </c>
      <c r="R97" s="14">
        <v>24</v>
      </c>
      <c r="S97" s="14">
        <v>13</v>
      </c>
      <c r="T97" s="14">
        <v>19</v>
      </c>
      <c r="U97" s="14">
        <v>12</v>
      </c>
      <c r="V97" s="14">
        <v>13</v>
      </c>
      <c r="W97" s="14">
        <v>14</v>
      </c>
      <c r="X97" s="14">
        <v>15</v>
      </c>
      <c r="Y97" s="14">
        <v>13</v>
      </c>
      <c r="Z97" s="14">
        <v>14</v>
      </c>
      <c r="AA97" s="14">
        <v>16</v>
      </c>
      <c r="AB97" s="14">
        <v>14</v>
      </c>
      <c r="AC97" s="14">
        <v>14</v>
      </c>
      <c r="AD97" s="14">
        <v>15</v>
      </c>
      <c r="AE97" s="14">
        <v>17</v>
      </c>
      <c r="AF97" s="214">
        <v>14</v>
      </c>
      <c r="AG97" s="15">
        <f t="shared" si="2"/>
        <v>483</v>
      </c>
    </row>
    <row r="98" spans="1:33" ht="15.75" customHeight="1" x14ac:dyDescent="0.25">
      <c r="A98" s="70" t="s">
        <v>60</v>
      </c>
      <c r="B98" s="13">
        <v>38</v>
      </c>
      <c r="C98" s="14">
        <v>30</v>
      </c>
      <c r="D98" s="14">
        <v>31</v>
      </c>
      <c r="E98" s="14">
        <v>23</v>
      </c>
      <c r="F98" s="14">
        <v>21</v>
      </c>
      <c r="G98" s="14">
        <v>25</v>
      </c>
      <c r="H98" s="14">
        <v>27</v>
      </c>
      <c r="I98" s="14">
        <v>30</v>
      </c>
      <c r="J98" s="14">
        <v>21</v>
      </c>
      <c r="K98" s="14">
        <v>24</v>
      </c>
      <c r="L98" s="14">
        <v>32</v>
      </c>
      <c r="M98" s="14">
        <v>19</v>
      </c>
      <c r="N98" s="14">
        <v>20</v>
      </c>
      <c r="O98" s="14">
        <v>31</v>
      </c>
      <c r="P98" s="14">
        <v>30</v>
      </c>
      <c r="Q98" s="14">
        <v>28</v>
      </c>
      <c r="R98" s="14">
        <v>28</v>
      </c>
      <c r="S98" s="14">
        <v>25</v>
      </c>
      <c r="T98" s="14">
        <v>24</v>
      </c>
      <c r="U98" s="14">
        <v>15</v>
      </c>
      <c r="V98" s="14">
        <v>24</v>
      </c>
      <c r="W98" s="14">
        <v>23</v>
      </c>
      <c r="X98" s="14">
        <v>35</v>
      </c>
      <c r="Y98" s="14">
        <v>22</v>
      </c>
      <c r="Z98" s="14">
        <v>26</v>
      </c>
      <c r="AA98" s="14">
        <v>21</v>
      </c>
      <c r="AB98" s="14">
        <v>17</v>
      </c>
      <c r="AC98" s="14">
        <v>26</v>
      </c>
      <c r="AD98" s="14">
        <v>35</v>
      </c>
      <c r="AE98" s="14">
        <v>19</v>
      </c>
      <c r="AF98" s="214">
        <v>26</v>
      </c>
      <c r="AG98" s="15">
        <f t="shared" si="2"/>
        <v>796</v>
      </c>
    </row>
    <row r="99" spans="1:33" ht="15.75" customHeight="1" x14ac:dyDescent="0.25">
      <c r="A99" s="71" t="s">
        <v>61</v>
      </c>
      <c r="B99" s="13">
        <v>25</v>
      </c>
      <c r="C99" s="14">
        <v>24</v>
      </c>
      <c r="D99" s="14">
        <v>20</v>
      </c>
      <c r="E99" s="14">
        <v>17</v>
      </c>
      <c r="F99" s="14">
        <v>17</v>
      </c>
      <c r="G99" s="14">
        <v>16</v>
      </c>
      <c r="H99" s="14">
        <v>21</v>
      </c>
      <c r="I99" s="14">
        <v>16</v>
      </c>
      <c r="J99" s="14">
        <v>21</v>
      </c>
      <c r="K99" s="14">
        <v>15</v>
      </c>
      <c r="L99" s="14">
        <v>16</v>
      </c>
      <c r="M99" s="14">
        <v>21</v>
      </c>
      <c r="N99" s="14">
        <v>16</v>
      </c>
      <c r="O99" s="14">
        <v>12</v>
      </c>
      <c r="P99" s="14">
        <v>26</v>
      </c>
      <c r="Q99" s="14">
        <v>31</v>
      </c>
      <c r="R99" s="14">
        <v>15</v>
      </c>
      <c r="S99" s="14">
        <v>26</v>
      </c>
      <c r="T99" s="14">
        <v>19</v>
      </c>
      <c r="U99" s="14">
        <v>17</v>
      </c>
      <c r="V99" s="14">
        <v>12</v>
      </c>
      <c r="W99" s="14">
        <v>21</v>
      </c>
      <c r="X99" s="14">
        <v>21</v>
      </c>
      <c r="Y99" s="14">
        <v>12</v>
      </c>
      <c r="Z99" s="14">
        <v>14</v>
      </c>
      <c r="AA99" s="14">
        <v>13</v>
      </c>
      <c r="AB99" s="14">
        <v>8</v>
      </c>
      <c r="AC99" s="14">
        <v>14</v>
      </c>
      <c r="AD99" s="14">
        <v>11</v>
      </c>
      <c r="AE99" s="14">
        <v>22</v>
      </c>
      <c r="AF99" s="214">
        <v>16</v>
      </c>
      <c r="AG99" s="15">
        <f t="shared" si="2"/>
        <v>555</v>
      </c>
    </row>
    <row r="100" spans="1:33" ht="15.75" customHeight="1" x14ac:dyDescent="0.25">
      <c r="A100" s="64" t="s">
        <v>62</v>
      </c>
      <c r="B100" s="65">
        <f t="shared" ref="B100:AF100" si="14">SUM(B101:B115)</f>
        <v>169</v>
      </c>
      <c r="C100" s="66">
        <f t="shared" si="14"/>
        <v>159</v>
      </c>
      <c r="D100" s="66">
        <f t="shared" si="14"/>
        <v>167</v>
      </c>
      <c r="E100" s="66">
        <f t="shared" si="14"/>
        <v>158</v>
      </c>
      <c r="F100" s="66">
        <f t="shared" si="14"/>
        <v>146</v>
      </c>
      <c r="G100" s="66">
        <f t="shared" si="14"/>
        <v>151</v>
      </c>
      <c r="H100" s="66">
        <f t="shared" si="14"/>
        <v>142</v>
      </c>
      <c r="I100" s="66">
        <f t="shared" si="14"/>
        <v>148</v>
      </c>
      <c r="J100" s="66">
        <f t="shared" si="14"/>
        <v>176</v>
      </c>
      <c r="K100" s="66">
        <f t="shared" si="14"/>
        <v>154</v>
      </c>
      <c r="L100" s="66">
        <f t="shared" si="14"/>
        <v>168</v>
      </c>
      <c r="M100" s="66">
        <f t="shared" si="14"/>
        <v>171</v>
      </c>
      <c r="N100" s="66">
        <f t="shared" si="14"/>
        <v>169</v>
      </c>
      <c r="O100" s="66">
        <f t="shared" si="14"/>
        <v>146</v>
      </c>
      <c r="P100" s="66">
        <f t="shared" si="14"/>
        <v>164</v>
      </c>
      <c r="Q100" s="66">
        <f t="shared" si="14"/>
        <v>172</v>
      </c>
      <c r="R100" s="66">
        <f t="shared" si="14"/>
        <v>155</v>
      </c>
      <c r="S100" s="66">
        <f t="shared" si="14"/>
        <v>164</v>
      </c>
      <c r="T100" s="66">
        <f t="shared" si="14"/>
        <v>177</v>
      </c>
      <c r="U100" s="66">
        <f t="shared" si="14"/>
        <v>160</v>
      </c>
      <c r="V100" s="66">
        <f t="shared" si="14"/>
        <v>130</v>
      </c>
      <c r="W100" s="66">
        <f t="shared" si="14"/>
        <v>156</v>
      </c>
      <c r="X100" s="66">
        <f t="shared" si="14"/>
        <v>142</v>
      </c>
      <c r="Y100" s="66">
        <f t="shared" si="14"/>
        <v>142</v>
      </c>
      <c r="Z100" s="66">
        <f t="shared" si="14"/>
        <v>153</v>
      </c>
      <c r="AA100" s="66">
        <f t="shared" si="14"/>
        <v>150</v>
      </c>
      <c r="AB100" s="66">
        <f t="shared" si="14"/>
        <v>143</v>
      </c>
      <c r="AC100" s="66">
        <f t="shared" si="14"/>
        <v>157</v>
      </c>
      <c r="AD100" s="66">
        <f t="shared" si="14"/>
        <v>147</v>
      </c>
      <c r="AE100" s="66">
        <f t="shared" si="14"/>
        <v>144</v>
      </c>
      <c r="AF100" s="222">
        <f t="shared" si="14"/>
        <v>144</v>
      </c>
      <c r="AG100" s="15">
        <f t="shared" si="2"/>
        <v>4824</v>
      </c>
    </row>
    <row r="101" spans="1:33" ht="15.75" customHeight="1" x14ac:dyDescent="0.25">
      <c r="A101" s="71" t="s">
        <v>63</v>
      </c>
      <c r="B101" s="13">
        <v>14</v>
      </c>
      <c r="C101" s="14">
        <v>14</v>
      </c>
      <c r="D101" s="14">
        <v>17</v>
      </c>
      <c r="E101" s="14">
        <v>17</v>
      </c>
      <c r="F101" s="14">
        <v>8</v>
      </c>
      <c r="G101" s="14">
        <v>10</v>
      </c>
      <c r="H101" s="14">
        <v>11</v>
      </c>
      <c r="I101" s="14">
        <v>14</v>
      </c>
      <c r="J101" s="14">
        <v>22</v>
      </c>
      <c r="K101" s="14">
        <v>11</v>
      </c>
      <c r="L101" s="14">
        <v>14</v>
      </c>
      <c r="M101" s="14">
        <v>11</v>
      </c>
      <c r="N101" s="14">
        <v>11</v>
      </c>
      <c r="O101" s="14">
        <v>11</v>
      </c>
      <c r="P101" s="14">
        <v>22</v>
      </c>
      <c r="Q101" s="14">
        <v>24</v>
      </c>
      <c r="R101" s="14">
        <v>19</v>
      </c>
      <c r="S101" s="14">
        <v>8</v>
      </c>
      <c r="T101" s="14">
        <v>15</v>
      </c>
      <c r="U101" s="14">
        <v>21</v>
      </c>
      <c r="V101" s="14">
        <v>9</v>
      </c>
      <c r="W101" s="14">
        <v>19</v>
      </c>
      <c r="X101" s="14">
        <v>11</v>
      </c>
      <c r="Y101" s="14">
        <v>14</v>
      </c>
      <c r="Z101" s="14">
        <v>25</v>
      </c>
      <c r="AA101" s="14">
        <v>11</v>
      </c>
      <c r="AB101" s="14">
        <v>14</v>
      </c>
      <c r="AC101" s="14">
        <v>14</v>
      </c>
      <c r="AD101" s="14">
        <v>16</v>
      </c>
      <c r="AE101" s="14">
        <v>12</v>
      </c>
      <c r="AF101" s="214">
        <v>8</v>
      </c>
      <c r="AG101" s="15">
        <f t="shared" si="2"/>
        <v>447</v>
      </c>
    </row>
    <row r="102" spans="1:33" ht="15.75" customHeight="1" x14ac:dyDescent="0.25">
      <c r="A102" s="71" t="s">
        <v>64</v>
      </c>
      <c r="B102" s="13">
        <v>16</v>
      </c>
      <c r="C102" s="14">
        <v>19</v>
      </c>
      <c r="D102" s="14">
        <v>11</v>
      </c>
      <c r="E102" s="14">
        <v>12</v>
      </c>
      <c r="F102" s="14">
        <v>13</v>
      </c>
      <c r="G102" s="14">
        <v>14</v>
      </c>
      <c r="H102" s="14">
        <v>11</v>
      </c>
      <c r="I102" s="14">
        <v>21</v>
      </c>
      <c r="J102" s="14">
        <v>25</v>
      </c>
      <c r="K102" s="14">
        <v>19</v>
      </c>
      <c r="L102" s="14">
        <v>20</v>
      </c>
      <c r="M102" s="14">
        <v>13</v>
      </c>
      <c r="N102" s="14">
        <v>22</v>
      </c>
      <c r="O102" s="14">
        <v>18</v>
      </c>
      <c r="P102" s="14">
        <v>15</v>
      </c>
      <c r="Q102" s="14">
        <v>18</v>
      </c>
      <c r="R102" s="14">
        <v>14</v>
      </c>
      <c r="S102" s="14">
        <v>13</v>
      </c>
      <c r="T102" s="14">
        <v>18</v>
      </c>
      <c r="U102" s="14">
        <v>10</v>
      </c>
      <c r="V102" s="14">
        <v>13</v>
      </c>
      <c r="W102" s="14">
        <v>11</v>
      </c>
      <c r="X102" s="14">
        <v>13</v>
      </c>
      <c r="Y102" s="14">
        <v>9</v>
      </c>
      <c r="Z102" s="14">
        <v>19</v>
      </c>
      <c r="AA102" s="14">
        <v>16</v>
      </c>
      <c r="AB102" s="14">
        <v>14</v>
      </c>
      <c r="AC102" s="14">
        <v>15</v>
      </c>
      <c r="AD102" s="14">
        <v>16</v>
      </c>
      <c r="AE102" s="14">
        <v>18</v>
      </c>
      <c r="AF102" s="214">
        <v>21</v>
      </c>
      <c r="AG102" s="15">
        <f t="shared" si="2"/>
        <v>487</v>
      </c>
    </row>
    <row r="103" spans="1:33" ht="15.75" customHeight="1" x14ac:dyDescent="0.25">
      <c r="A103" s="67" t="s">
        <v>65</v>
      </c>
      <c r="B103" s="13">
        <v>13</v>
      </c>
      <c r="C103" s="14">
        <v>17</v>
      </c>
      <c r="D103" s="14">
        <v>15</v>
      </c>
      <c r="E103" s="14">
        <v>15</v>
      </c>
      <c r="F103" s="14">
        <v>15</v>
      </c>
      <c r="G103" s="14">
        <v>11</v>
      </c>
      <c r="H103" s="14">
        <v>6</v>
      </c>
      <c r="I103" s="14">
        <v>9</v>
      </c>
      <c r="J103" s="14">
        <v>20</v>
      </c>
      <c r="K103" s="14">
        <v>18</v>
      </c>
      <c r="L103" s="14">
        <v>14</v>
      </c>
      <c r="M103" s="14">
        <v>17</v>
      </c>
      <c r="N103" s="14">
        <v>17</v>
      </c>
      <c r="O103" s="14">
        <v>8</v>
      </c>
      <c r="P103" s="14">
        <v>20</v>
      </c>
      <c r="Q103" s="14">
        <v>14</v>
      </c>
      <c r="R103" s="14">
        <v>17</v>
      </c>
      <c r="S103" s="14">
        <v>13</v>
      </c>
      <c r="T103" s="14">
        <v>16</v>
      </c>
      <c r="U103" s="14">
        <v>19</v>
      </c>
      <c r="V103" s="14">
        <v>13</v>
      </c>
      <c r="W103" s="14">
        <v>16</v>
      </c>
      <c r="X103" s="14">
        <v>14</v>
      </c>
      <c r="Y103" s="14">
        <v>10</v>
      </c>
      <c r="Z103" s="14">
        <v>15</v>
      </c>
      <c r="AA103" s="14">
        <v>6</v>
      </c>
      <c r="AB103" s="14">
        <v>9</v>
      </c>
      <c r="AC103" s="14">
        <v>21</v>
      </c>
      <c r="AD103" s="14">
        <v>12</v>
      </c>
      <c r="AE103" s="14">
        <v>13</v>
      </c>
      <c r="AF103" s="214">
        <v>10</v>
      </c>
      <c r="AG103" s="15">
        <f t="shared" si="2"/>
        <v>433</v>
      </c>
    </row>
    <row r="104" spans="1:33" ht="15.75" customHeight="1" x14ac:dyDescent="0.25">
      <c r="A104" s="67" t="s">
        <v>66</v>
      </c>
      <c r="B104" s="13">
        <v>19</v>
      </c>
      <c r="C104" s="14">
        <v>15</v>
      </c>
      <c r="D104" s="14">
        <v>15</v>
      </c>
      <c r="E104" s="14">
        <v>14</v>
      </c>
      <c r="F104" s="14">
        <v>9</v>
      </c>
      <c r="G104" s="14">
        <v>19</v>
      </c>
      <c r="H104" s="14">
        <v>14</v>
      </c>
      <c r="I104" s="14">
        <v>8</v>
      </c>
      <c r="J104" s="14">
        <v>19</v>
      </c>
      <c r="K104" s="14">
        <v>9</v>
      </c>
      <c r="L104" s="14">
        <v>13</v>
      </c>
      <c r="M104" s="14">
        <v>11</v>
      </c>
      <c r="N104" s="14">
        <v>10</v>
      </c>
      <c r="O104" s="14">
        <v>10</v>
      </c>
      <c r="P104" s="14">
        <v>13</v>
      </c>
      <c r="Q104" s="14">
        <v>12</v>
      </c>
      <c r="R104" s="14">
        <v>10</v>
      </c>
      <c r="S104" s="14">
        <v>20</v>
      </c>
      <c r="T104" s="14">
        <v>17</v>
      </c>
      <c r="U104" s="14">
        <v>12</v>
      </c>
      <c r="V104" s="14">
        <v>14</v>
      </c>
      <c r="W104" s="14">
        <v>13</v>
      </c>
      <c r="X104" s="14">
        <v>11</v>
      </c>
      <c r="Y104" s="14">
        <v>11</v>
      </c>
      <c r="Z104" s="14">
        <v>9</v>
      </c>
      <c r="AA104" s="14">
        <v>17</v>
      </c>
      <c r="AB104" s="14">
        <v>9</v>
      </c>
      <c r="AC104" s="14">
        <v>9</v>
      </c>
      <c r="AD104" s="14">
        <v>12</v>
      </c>
      <c r="AE104" s="14">
        <v>15</v>
      </c>
      <c r="AF104" s="214">
        <v>12</v>
      </c>
      <c r="AG104" s="15">
        <f t="shared" si="2"/>
        <v>401</v>
      </c>
    </row>
    <row r="105" spans="1:33" ht="15.75" customHeight="1" x14ac:dyDescent="0.25">
      <c r="A105" s="67" t="s">
        <v>67</v>
      </c>
      <c r="B105" s="13">
        <v>10</v>
      </c>
      <c r="C105" s="14">
        <v>11</v>
      </c>
      <c r="D105" s="14">
        <v>13</v>
      </c>
      <c r="E105" s="14">
        <v>12</v>
      </c>
      <c r="F105" s="14">
        <v>14</v>
      </c>
      <c r="G105" s="14">
        <v>11</v>
      </c>
      <c r="H105" s="14">
        <v>16</v>
      </c>
      <c r="I105" s="14">
        <v>8</v>
      </c>
      <c r="J105" s="14">
        <v>13</v>
      </c>
      <c r="K105" s="14">
        <v>12</v>
      </c>
      <c r="L105" s="14">
        <v>10</v>
      </c>
      <c r="M105" s="14">
        <v>7</v>
      </c>
      <c r="N105" s="14">
        <v>11</v>
      </c>
      <c r="O105" s="14">
        <v>13</v>
      </c>
      <c r="P105" s="14">
        <v>10</v>
      </c>
      <c r="Q105" s="14">
        <v>18</v>
      </c>
      <c r="R105" s="14">
        <v>10</v>
      </c>
      <c r="S105" s="14">
        <v>15</v>
      </c>
      <c r="T105" s="14">
        <v>11</v>
      </c>
      <c r="U105" s="14">
        <v>11</v>
      </c>
      <c r="V105" s="14">
        <v>11</v>
      </c>
      <c r="W105" s="14">
        <v>6</v>
      </c>
      <c r="X105" s="14">
        <v>6</v>
      </c>
      <c r="Y105" s="14">
        <v>15</v>
      </c>
      <c r="Z105" s="14">
        <v>10</v>
      </c>
      <c r="AA105" s="14">
        <v>9</v>
      </c>
      <c r="AB105" s="14">
        <v>13</v>
      </c>
      <c r="AC105" s="14">
        <v>11</v>
      </c>
      <c r="AD105" s="14">
        <v>17</v>
      </c>
      <c r="AE105" s="14">
        <v>19</v>
      </c>
      <c r="AF105" s="214">
        <v>16</v>
      </c>
      <c r="AG105" s="15">
        <f t="shared" si="2"/>
        <v>369</v>
      </c>
    </row>
    <row r="106" spans="1:33" ht="15.75" customHeight="1" x14ac:dyDescent="0.25">
      <c r="A106" s="67" t="s">
        <v>68</v>
      </c>
      <c r="B106" s="13">
        <v>8</v>
      </c>
      <c r="C106" s="14">
        <v>14</v>
      </c>
      <c r="D106" s="14">
        <v>8</v>
      </c>
      <c r="E106" s="14">
        <v>17</v>
      </c>
      <c r="F106" s="14">
        <v>10</v>
      </c>
      <c r="G106" s="14">
        <v>14</v>
      </c>
      <c r="H106" s="14">
        <v>7</v>
      </c>
      <c r="I106" s="14">
        <v>11</v>
      </c>
      <c r="J106" s="14">
        <v>7</v>
      </c>
      <c r="K106" s="14">
        <v>10</v>
      </c>
      <c r="L106" s="14">
        <v>13</v>
      </c>
      <c r="M106" s="14">
        <v>19</v>
      </c>
      <c r="N106" s="14">
        <v>12</v>
      </c>
      <c r="O106" s="14">
        <v>10</v>
      </c>
      <c r="P106" s="14">
        <v>19</v>
      </c>
      <c r="Q106" s="14">
        <v>11</v>
      </c>
      <c r="R106" s="14">
        <v>13</v>
      </c>
      <c r="S106" s="14">
        <v>13</v>
      </c>
      <c r="T106" s="14">
        <v>16</v>
      </c>
      <c r="U106" s="14">
        <v>7</v>
      </c>
      <c r="V106" s="14">
        <v>9</v>
      </c>
      <c r="W106" s="14">
        <v>17</v>
      </c>
      <c r="X106" s="14">
        <v>14</v>
      </c>
      <c r="Y106" s="14">
        <v>16</v>
      </c>
      <c r="Z106" s="14">
        <v>7</v>
      </c>
      <c r="AA106" s="14">
        <v>9</v>
      </c>
      <c r="AB106" s="14">
        <v>12</v>
      </c>
      <c r="AC106" s="14">
        <v>12</v>
      </c>
      <c r="AD106" s="14">
        <v>7</v>
      </c>
      <c r="AE106" s="14">
        <v>9</v>
      </c>
      <c r="AF106" s="214">
        <v>10</v>
      </c>
      <c r="AG106" s="15">
        <f t="shared" si="2"/>
        <v>361</v>
      </c>
    </row>
    <row r="107" spans="1:33" ht="15.75" customHeight="1" x14ac:dyDescent="0.25">
      <c r="A107" s="67" t="s">
        <v>69</v>
      </c>
      <c r="B107" s="13">
        <v>16</v>
      </c>
      <c r="C107" s="14">
        <v>18</v>
      </c>
      <c r="D107" s="14">
        <v>14</v>
      </c>
      <c r="E107" s="14">
        <v>16</v>
      </c>
      <c r="F107" s="14">
        <v>7</v>
      </c>
      <c r="G107" s="14">
        <v>14</v>
      </c>
      <c r="H107" s="14">
        <v>19</v>
      </c>
      <c r="I107" s="14">
        <v>7</v>
      </c>
      <c r="J107" s="14">
        <v>12</v>
      </c>
      <c r="K107" s="14">
        <v>11</v>
      </c>
      <c r="L107" s="14">
        <v>13</v>
      </c>
      <c r="M107" s="14">
        <v>8</v>
      </c>
      <c r="N107" s="14">
        <v>14</v>
      </c>
      <c r="O107" s="14">
        <v>12</v>
      </c>
      <c r="P107" s="14">
        <v>9</v>
      </c>
      <c r="Q107" s="14">
        <v>4</v>
      </c>
      <c r="R107" s="14">
        <v>8</v>
      </c>
      <c r="S107" s="14">
        <v>13</v>
      </c>
      <c r="T107" s="14">
        <v>10</v>
      </c>
      <c r="U107" s="14">
        <v>9</v>
      </c>
      <c r="V107" s="14">
        <v>11</v>
      </c>
      <c r="W107" s="14">
        <v>11</v>
      </c>
      <c r="X107" s="14">
        <v>11</v>
      </c>
      <c r="Y107" s="14">
        <v>7</v>
      </c>
      <c r="Z107" s="14">
        <v>5</v>
      </c>
      <c r="AA107" s="14">
        <v>9</v>
      </c>
      <c r="AB107" s="14">
        <v>8</v>
      </c>
      <c r="AC107" s="14">
        <v>17</v>
      </c>
      <c r="AD107" s="14">
        <v>16</v>
      </c>
      <c r="AE107" s="14">
        <v>10</v>
      </c>
      <c r="AF107" s="214">
        <v>9</v>
      </c>
      <c r="AG107" s="15">
        <f t="shared" si="2"/>
        <v>348</v>
      </c>
    </row>
    <row r="108" spans="1:33" ht="15.75" customHeight="1" x14ac:dyDescent="0.25">
      <c r="A108" s="67" t="s">
        <v>70</v>
      </c>
      <c r="B108" s="13">
        <v>23</v>
      </c>
      <c r="C108" s="14">
        <v>11</v>
      </c>
      <c r="D108" s="14">
        <v>20</v>
      </c>
      <c r="E108" s="14">
        <v>5</v>
      </c>
      <c r="F108" s="14">
        <v>9</v>
      </c>
      <c r="G108" s="14">
        <v>9</v>
      </c>
      <c r="H108" s="14">
        <v>16</v>
      </c>
      <c r="I108" s="14">
        <v>11</v>
      </c>
      <c r="J108" s="14">
        <v>13</v>
      </c>
      <c r="K108" s="14">
        <v>10</v>
      </c>
      <c r="L108" s="14">
        <v>10</v>
      </c>
      <c r="M108" s="14">
        <v>12</v>
      </c>
      <c r="N108" s="14">
        <v>7</v>
      </c>
      <c r="O108" s="14">
        <v>20</v>
      </c>
      <c r="P108" s="14">
        <v>9</v>
      </c>
      <c r="Q108" s="14">
        <v>18</v>
      </c>
      <c r="R108" s="14">
        <v>15</v>
      </c>
      <c r="S108" s="14">
        <v>11</v>
      </c>
      <c r="T108" s="14">
        <v>21</v>
      </c>
      <c r="U108" s="14">
        <v>13</v>
      </c>
      <c r="V108" s="14">
        <v>8</v>
      </c>
      <c r="W108" s="14">
        <v>16</v>
      </c>
      <c r="X108" s="14">
        <v>17</v>
      </c>
      <c r="Y108" s="14">
        <v>10</v>
      </c>
      <c r="Z108" s="14">
        <v>14</v>
      </c>
      <c r="AA108" s="14">
        <v>16</v>
      </c>
      <c r="AB108" s="14">
        <v>14</v>
      </c>
      <c r="AC108" s="14">
        <v>15</v>
      </c>
      <c r="AD108" s="14">
        <v>11</v>
      </c>
      <c r="AE108" s="14">
        <v>8</v>
      </c>
      <c r="AF108" s="214">
        <v>10</v>
      </c>
      <c r="AG108" s="15">
        <f t="shared" si="2"/>
        <v>402</v>
      </c>
    </row>
    <row r="109" spans="1:33" ht="15.75" customHeight="1" x14ac:dyDescent="0.25">
      <c r="A109" s="67" t="s">
        <v>71</v>
      </c>
      <c r="B109" s="13">
        <v>10</v>
      </c>
      <c r="C109" s="14">
        <v>9</v>
      </c>
      <c r="D109" s="14">
        <v>14</v>
      </c>
      <c r="E109" s="14">
        <v>16</v>
      </c>
      <c r="F109" s="14">
        <v>10</v>
      </c>
      <c r="G109" s="14">
        <v>14</v>
      </c>
      <c r="H109" s="14">
        <v>6</v>
      </c>
      <c r="I109" s="14">
        <v>20</v>
      </c>
      <c r="J109" s="14">
        <v>11</v>
      </c>
      <c r="K109" s="14">
        <v>12</v>
      </c>
      <c r="L109" s="14">
        <v>17</v>
      </c>
      <c r="M109" s="14">
        <v>23</v>
      </c>
      <c r="N109" s="14">
        <v>13</v>
      </c>
      <c r="O109" s="14">
        <v>12</v>
      </c>
      <c r="P109" s="14">
        <v>12</v>
      </c>
      <c r="Q109" s="14">
        <v>20</v>
      </c>
      <c r="R109" s="14">
        <v>9</v>
      </c>
      <c r="S109" s="14">
        <v>11</v>
      </c>
      <c r="T109" s="14">
        <v>16</v>
      </c>
      <c r="U109" s="14">
        <v>14</v>
      </c>
      <c r="V109" s="14">
        <v>9</v>
      </c>
      <c r="W109" s="14">
        <v>10</v>
      </c>
      <c r="X109" s="14">
        <v>11</v>
      </c>
      <c r="Y109" s="14">
        <v>12</v>
      </c>
      <c r="Z109" s="14">
        <v>11</v>
      </c>
      <c r="AA109" s="14">
        <v>17</v>
      </c>
      <c r="AB109" s="14">
        <v>12</v>
      </c>
      <c r="AC109" s="14">
        <v>13</v>
      </c>
      <c r="AD109" s="14">
        <v>7</v>
      </c>
      <c r="AE109" s="14">
        <v>9</v>
      </c>
      <c r="AF109" s="214">
        <v>14</v>
      </c>
      <c r="AG109" s="15">
        <f t="shared" si="2"/>
        <v>394</v>
      </c>
    </row>
    <row r="110" spans="1:33" ht="15.75" customHeight="1" x14ac:dyDescent="0.25">
      <c r="A110" s="67" t="s">
        <v>72</v>
      </c>
      <c r="B110" s="13">
        <v>16</v>
      </c>
      <c r="C110" s="14">
        <v>7</v>
      </c>
      <c r="D110" s="14">
        <v>9</v>
      </c>
      <c r="E110" s="14">
        <v>5</v>
      </c>
      <c r="F110" s="14">
        <v>10</v>
      </c>
      <c r="G110" s="14">
        <v>10</v>
      </c>
      <c r="H110" s="14">
        <v>11</v>
      </c>
      <c r="I110" s="14">
        <v>13</v>
      </c>
      <c r="J110" s="14">
        <v>6</v>
      </c>
      <c r="K110" s="14">
        <v>13</v>
      </c>
      <c r="L110" s="14">
        <v>13</v>
      </c>
      <c r="M110" s="14">
        <v>19</v>
      </c>
      <c r="N110" s="14">
        <v>17</v>
      </c>
      <c r="O110" s="14">
        <v>8</v>
      </c>
      <c r="P110" s="14">
        <v>18</v>
      </c>
      <c r="Q110" s="14">
        <v>6</v>
      </c>
      <c r="R110" s="14">
        <v>14</v>
      </c>
      <c r="S110" s="14">
        <v>16</v>
      </c>
      <c r="T110" s="14">
        <v>11</v>
      </c>
      <c r="U110" s="14">
        <v>11</v>
      </c>
      <c r="V110" s="14">
        <v>13</v>
      </c>
      <c r="W110" s="14">
        <v>11</v>
      </c>
      <c r="X110" s="14">
        <v>5</v>
      </c>
      <c r="Y110" s="14">
        <v>10</v>
      </c>
      <c r="Z110" s="14">
        <v>4</v>
      </c>
      <c r="AA110" s="14">
        <v>9</v>
      </c>
      <c r="AB110" s="14">
        <v>10</v>
      </c>
      <c r="AC110" s="14">
        <v>10</v>
      </c>
      <c r="AD110" s="14">
        <v>9</v>
      </c>
      <c r="AE110" s="14">
        <v>7</v>
      </c>
      <c r="AF110" s="214">
        <v>11</v>
      </c>
      <c r="AG110" s="15">
        <f t="shared" si="2"/>
        <v>332</v>
      </c>
    </row>
    <row r="111" spans="1:33" ht="15.75" customHeight="1" x14ac:dyDescent="0.25">
      <c r="A111" s="67" t="s">
        <v>73</v>
      </c>
      <c r="B111" s="13">
        <v>6</v>
      </c>
      <c r="C111" s="14">
        <v>7</v>
      </c>
      <c r="D111" s="14">
        <v>7</v>
      </c>
      <c r="E111" s="14">
        <v>14</v>
      </c>
      <c r="F111" s="14">
        <v>12</v>
      </c>
      <c r="G111" s="14">
        <v>9</v>
      </c>
      <c r="H111" s="14">
        <v>11</v>
      </c>
      <c r="I111" s="14">
        <v>12</v>
      </c>
      <c r="J111" s="14">
        <v>9</v>
      </c>
      <c r="K111" s="14">
        <v>8</v>
      </c>
      <c r="L111" s="14">
        <v>9</v>
      </c>
      <c r="M111" s="14">
        <v>10</v>
      </c>
      <c r="N111" s="14">
        <v>9</v>
      </c>
      <c r="O111" s="14">
        <v>6</v>
      </c>
      <c r="P111" s="14">
        <v>3</v>
      </c>
      <c r="Q111" s="14">
        <v>7</v>
      </c>
      <c r="R111" s="14">
        <v>11</v>
      </c>
      <c r="S111" s="14">
        <v>8</v>
      </c>
      <c r="T111" s="14">
        <v>9</v>
      </c>
      <c r="U111" s="14">
        <v>6</v>
      </c>
      <c r="V111" s="14">
        <v>4</v>
      </c>
      <c r="W111" s="14">
        <v>7</v>
      </c>
      <c r="X111" s="14">
        <v>5</v>
      </c>
      <c r="Y111" s="14">
        <v>12</v>
      </c>
      <c r="Z111" s="14">
        <v>8</v>
      </c>
      <c r="AA111" s="14">
        <v>11</v>
      </c>
      <c r="AB111" s="14">
        <v>10</v>
      </c>
      <c r="AC111" s="14">
        <v>7</v>
      </c>
      <c r="AD111" s="14">
        <v>13</v>
      </c>
      <c r="AE111" s="14">
        <v>11</v>
      </c>
      <c r="AF111" s="214">
        <v>5</v>
      </c>
      <c r="AG111" s="15">
        <f t="shared" si="2"/>
        <v>266</v>
      </c>
    </row>
    <row r="112" spans="1:33" ht="15.75" customHeight="1" x14ac:dyDescent="0.25">
      <c r="A112" s="67" t="s">
        <v>74</v>
      </c>
      <c r="B112" s="13">
        <v>5</v>
      </c>
      <c r="C112" s="14">
        <v>9</v>
      </c>
      <c r="D112" s="14">
        <v>11</v>
      </c>
      <c r="E112" s="14">
        <v>6</v>
      </c>
      <c r="F112" s="14">
        <v>10</v>
      </c>
      <c r="G112" s="14">
        <v>6</v>
      </c>
      <c r="H112" s="14">
        <v>2</v>
      </c>
      <c r="I112" s="14">
        <v>5</v>
      </c>
      <c r="J112" s="14">
        <v>3</v>
      </c>
      <c r="K112" s="14">
        <v>7</v>
      </c>
      <c r="L112" s="14">
        <v>7</v>
      </c>
      <c r="M112" s="14">
        <v>8</v>
      </c>
      <c r="N112" s="14">
        <v>8</v>
      </c>
      <c r="O112" s="14">
        <v>4</v>
      </c>
      <c r="P112" s="14">
        <v>3</v>
      </c>
      <c r="Q112" s="14">
        <v>6</v>
      </c>
      <c r="R112" s="14">
        <v>3</v>
      </c>
      <c r="S112" s="14">
        <v>8</v>
      </c>
      <c r="T112" s="14">
        <v>4</v>
      </c>
      <c r="U112" s="14">
        <v>10</v>
      </c>
      <c r="V112" s="14">
        <v>7</v>
      </c>
      <c r="W112" s="14">
        <v>4</v>
      </c>
      <c r="X112" s="14">
        <v>11</v>
      </c>
      <c r="Y112" s="14">
        <v>6</v>
      </c>
      <c r="Z112" s="14">
        <v>12</v>
      </c>
      <c r="AA112" s="14">
        <v>7</v>
      </c>
      <c r="AB112" s="14">
        <v>10</v>
      </c>
      <c r="AC112" s="14">
        <v>2</v>
      </c>
      <c r="AD112" s="14">
        <v>5</v>
      </c>
      <c r="AE112" s="14">
        <v>7</v>
      </c>
      <c r="AF112" s="214">
        <v>9</v>
      </c>
      <c r="AG112" s="15">
        <f t="shared" si="2"/>
        <v>205</v>
      </c>
    </row>
    <row r="113" spans="1:33" ht="15.75" customHeight="1" x14ac:dyDescent="0.25">
      <c r="A113" s="67" t="s">
        <v>75</v>
      </c>
      <c r="B113" s="13">
        <v>7</v>
      </c>
      <c r="C113" s="14">
        <v>4</v>
      </c>
      <c r="D113" s="14">
        <v>3</v>
      </c>
      <c r="E113" s="14">
        <v>5</v>
      </c>
      <c r="F113" s="14">
        <v>8</v>
      </c>
      <c r="G113" s="14">
        <v>5</v>
      </c>
      <c r="H113" s="14">
        <v>6</v>
      </c>
      <c r="I113" s="14">
        <v>4</v>
      </c>
      <c r="J113" s="14">
        <v>9</v>
      </c>
      <c r="K113" s="14">
        <v>5</v>
      </c>
      <c r="L113" s="14">
        <v>6</v>
      </c>
      <c r="M113" s="14">
        <v>5</v>
      </c>
      <c r="N113" s="14">
        <v>9</v>
      </c>
      <c r="O113" s="14">
        <v>6</v>
      </c>
      <c r="P113" s="14">
        <v>4</v>
      </c>
      <c r="Q113" s="14">
        <v>8</v>
      </c>
      <c r="R113" s="14">
        <v>2</v>
      </c>
      <c r="S113" s="14">
        <v>5</v>
      </c>
      <c r="T113" s="14">
        <v>7</v>
      </c>
      <c r="U113" s="14">
        <v>9</v>
      </c>
      <c r="V113" s="14">
        <v>5</v>
      </c>
      <c r="W113" s="14">
        <v>5</v>
      </c>
      <c r="X113" s="14">
        <v>5</v>
      </c>
      <c r="Y113" s="14">
        <v>5</v>
      </c>
      <c r="Z113" s="14">
        <v>4</v>
      </c>
      <c r="AA113" s="14">
        <v>5</v>
      </c>
      <c r="AB113" s="14">
        <v>3</v>
      </c>
      <c r="AC113" s="14">
        <v>7</v>
      </c>
      <c r="AD113" s="14">
        <v>5</v>
      </c>
      <c r="AE113" s="14">
        <v>6</v>
      </c>
      <c r="AF113" s="214">
        <v>4</v>
      </c>
      <c r="AG113" s="15">
        <f t="shared" si="2"/>
        <v>171</v>
      </c>
    </row>
    <row r="114" spans="1:33" ht="15.75" customHeight="1" x14ac:dyDescent="0.25">
      <c r="A114" s="67" t="s">
        <v>76</v>
      </c>
      <c r="B114" s="13">
        <v>6</v>
      </c>
      <c r="C114" s="14">
        <v>4</v>
      </c>
      <c r="D114" s="14">
        <v>10</v>
      </c>
      <c r="E114" s="14">
        <v>3</v>
      </c>
      <c r="F114" s="14">
        <v>11</v>
      </c>
      <c r="G114" s="14">
        <v>5</v>
      </c>
      <c r="H114" s="14">
        <v>6</v>
      </c>
      <c r="I114" s="14">
        <v>5</v>
      </c>
      <c r="J114" s="14">
        <v>7</v>
      </c>
      <c r="K114" s="14">
        <v>9</v>
      </c>
      <c r="L114" s="14">
        <v>9</v>
      </c>
      <c r="M114" s="14">
        <v>8</v>
      </c>
      <c r="N114" s="14">
        <v>9</v>
      </c>
      <c r="O114" s="14">
        <v>8</v>
      </c>
      <c r="P114" s="14">
        <v>7</v>
      </c>
      <c r="Q114" s="14">
        <v>6</v>
      </c>
      <c r="R114" s="14">
        <v>10</v>
      </c>
      <c r="S114" s="14">
        <v>10</v>
      </c>
      <c r="T114" s="14">
        <v>6</v>
      </c>
      <c r="U114" s="14">
        <v>8</v>
      </c>
      <c r="V114" s="14">
        <v>4</v>
      </c>
      <c r="W114" s="14">
        <v>10</v>
      </c>
      <c r="X114" s="14">
        <v>8</v>
      </c>
      <c r="Y114" s="14">
        <v>5</v>
      </c>
      <c r="Z114" s="14">
        <v>10</v>
      </c>
      <c r="AA114" s="14">
        <v>8</v>
      </c>
      <c r="AB114" s="14">
        <v>5</v>
      </c>
      <c r="AC114" s="14">
        <v>4</v>
      </c>
      <c r="AD114" s="14">
        <v>1</v>
      </c>
      <c r="AE114" s="14">
        <v>0</v>
      </c>
      <c r="AF114" s="214">
        <v>5</v>
      </c>
      <c r="AG114" s="15">
        <f t="shared" si="2"/>
        <v>207</v>
      </c>
    </row>
    <row r="115" spans="1:33" ht="15.75" customHeight="1" x14ac:dyDescent="0.25">
      <c r="A115" s="72"/>
      <c r="B115" s="37"/>
      <c r="C115" s="38"/>
      <c r="D115" s="38"/>
      <c r="E115" s="38">
        <v>1</v>
      </c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224"/>
      <c r="AG115" s="15">
        <f t="shared" si="2"/>
        <v>1</v>
      </c>
    </row>
    <row r="116" spans="1:33" ht="15.75" customHeight="1" x14ac:dyDescent="0.25">
      <c r="A116" s="60" t="s">
        <v>77</v>
      </c>
      <c r="B116" s="61">
        <f t="shared" ref="B116:AF116" si="15">SUM(B117:B129)</f>
        <v>67</v>
      </c>
      <c r="C116" s="62">
        <f t="shared" si="15"/>
        <v>94</v>
      </c>
      <c r="D116" s="62">
        <f t="shared" si="15"/>
        <v>102</v>
      </c>
      <c r="E116" s="62">
        <f t="shared" si="15"/>
        <v>246</v>
      </c>
      <c r="F116" s="62">
        <f t="shared" si="15"/>
        <v>65</v>
      </c>
      <c r="G116" s="62">
        <f t="shared" si="15"/>
        <v>56</v>
      </c>
      <c r="H116" s="62">
        <f t="shared" si="15"/>
        <v>66</v>
      </c>
      <c r="I116" s="62">
        <f t="shared" si="15"/>
        <v>108</v>
      </c>
      <c r="J116" s="62">
        <f t="shared" si="15"/>
        <v>94</v>
      </c>
      <c r="K116" s="62">
        <f t="shared" si="15"/>
        <v>85</v>
      </c>
      <c r="L116" s="62">
        <f t="shared" si="15"/>
        <v>76</v>
      </c>
      <c r="M116" s="62">
        <f t="shared" si="15"/>
        <v>77</v>
      </c>
      <c r="N116" s="62">
        <f t="shared" si="15"/>
        <v>58</v>
      </c>
      <c r="O116" s="62">
        <f t="shared" si="15"/>
        <v>16</v>
      </c>
      <c r="P116" s="62">
        <f t="shared" si="15"/>
        <v>100</v>
      </c>
      <c r="Q116" s="62">
        <f t="shared" si="15"/>
        <v>93</v>
      </c>
      <c r="R116" s="62">
        <f t="shared" si="15"/>
        <v>73</v>
      </c>
      <c r="S116" s="62">
        <f t="shared" si="15"/>
        <v>89</v>
      </c>
      <c r="T116" s="62">
        <f t="shared" si="15"/>
        <v>76</v>
      </c>
      <c r="U116" s="62">
        <f t="shared" si="15"/>
        <v>55</v>
      </c>
      <c r="V116" s="62">
        <f t="shared" si="15"/>
        <v>31</v>
      </c>
      <c r="W116" s="62">
        <f t="shared" si="15"/>
        <v>91</v>
      </c>
      <c r="X116" s="62">
        <f t="shared" si="15"/>
        <v>67</v>
      </c>
      <c r="Y116" s="62">
        <f t="shared" si="15"/>
        <v>75</v>
      </c>
      <c r="Z116" s="62">
        <f t="shared" si="15"/>
        <v>66</v>
      </c>
      <c r="AA116" s="62">
        <f t="shared" si="15"/>
        <v>67</v>
      </c>
      <c r="AB116" s="62">
        <f t="shared" si="15"/>
        <v>56</v>
      </c>
      <c r="AC116" s="62">
        <f t="shared" si="15"/>
        <v>52</v>
      </c>
      <c r="AD116" s="62">
        <f t="shared" si="15"/>
        <v>105</v>
      </c>
      <c r="AE116" s="62">
        <f t="shared" si="15"/>
        <v>97</v>
      </c>
      <c r="AF116" s="221">
        <f t="shared" si="15"/>
        <v>68</v>
      </c>
      <c r="AG116" s="15">
        <f t="shared" si="2"/>
        <v>2471</v>
      </c>
    </row>
    <row r="117" spans="1:33" ht="15.75" customHeight="1" x14ac:dyDescent="0.25">
      <c r="A117" s="73" t="s">
        <v>78</v>
      </c>
      <c r="B117" s="13">
        <v>51</v>
      </c>
      <c r="C117" s="14">
        <v>73</v>
      </c>
      <c r="D117" s="14">
        <v>81</v>
      </c>
      <c r="E117" s="14">
        <v>50</v>
      </c>
      <c r="F117" s="14">
        <v>51</v>
      </c>
      <c r="G117" s="14">
        <v>47</v>
      </c>
      <c r="H117" s="14">
        <v>56</v>
      </c>
      <c r="I117" s="14">
        <v>85</v>
      </c>
      <c r="J117" s="14">
        <v>65</v>
      </c>
      <c r="K117" s="14">
        <v>65</v>
      </c>
      <c r="L117" s="14">
        <v>66</v>
      </c>
      <c r="M117" s="14">
        <v>61</v>
      </c>
      <c r="N117" s="14">
        <v>48</v>
      </c>
      <c r="O117" s="14">
        <v>11</v>
      </c>
      <c r="P117" s="14">
        <v>69</v>
      </c>
      <c r="Q117" s="14">
        <v>72</v>
      </c>
      <c r="R117" s="14">
        <v>47</v>
      </c>
      <c r="S117" s="14">
        <v>66</v>
      </c>
      <c r="T117" s="14">
        <v>65</v>
      </c>
      <c r="U117" s="14">
        <v>45</v>
      </c>
      <c r="V117" s="14">
        <v>23</v>
      </c>
      <c r="W117" s="14">
        <v>73</v>
      </c>
      <c r="X117" s="14">
        <v>46</v>
      </c>
      <c r="Y117" s="14">
        <v>55</v>
      </c>
      <c r="Z117" s="14">
        <v>52</v>
      </c>
      <c r="AA117" s="14">
        <v>55</v>
      </c>
      <c r="AB117" s="14">
        <v>42</v>
      </c>
      <c r="AC117" s="14">
        <v>38</v>
      </c>
      <c r="AD117" s="14">
        <v>78</v>
      </c>
      <c r="AE117" s="14">
        <v>71</v>
      </c>
      <c r="AF117" s="214">
        <v>54</v>
      </c>
      <c r="AG117" s="15">
        <f t="shared" si="2"/>
        <v>1761</v>
      </c>
    </row>
    <row r="118" spans="1:33" ht="19.5" hidden="1" customHeight="1" x14ac:dyDescent="0.25">
      <c r="A118" s="73" t="s">
        <v>79</v>
      </c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214"/>
      <c r="AG118" s="15">
        <f t="shared" si="2"/>
        <v>0</v>
      </c>
    </row>
    <row r="119" spans="1:33" ht="19.5" hidden="1" customHeight="1" x14ac:dyDescent="0.25">
      <c r="A119" s="73" t="s">
        <v>80</v>
      </c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214"/>
      <c r="AG119" s="15">
        <f t="shared" si="2"/>
        <v>0</v>
      </c>
    </row>
    <row r="120" spans="1:33" ht="19.5" hidden="1" customHeight="1" x14ac:dyDescent="0.25">
      <c r="A120" s="73" t="s">
        <v>81</v>
      </c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214"/>
      <c r="AG120" s="15">
        <f t="shared" si="2"/>
        <v>0</v>
      </c>
    </row>
    <row r="121" spans="1:33" ht="19.5" hidden="1" customHeight="1" x14ac:dyDescent="0.25">
      <c r="A121" s="73" t="s">
        <v>82</v>
      </c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214"/>
      <c r="AG121" s="15">
        <f t="shared" si="2"/>
        <v>0</v>
      </c>
    </row>
    <row r="122" spans="1:33" ht="19.5" hidden="1" customHeight="1" x14ac:dyDescent="0.25">
      <c r="A122" s="73" t="s">
        <v>83</v>
      </c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214"/>
      <c r="AG122" s="15">
        <f t="shared" si="2"/>
        <v>0</v>
      </c>
    </row>
    <row r="123" spans="1:33" ht="19.5" hidden="1" customHeight="1" x14ac:dyDescent="0.25">
      <c r="A123" s="73" t="s">
        <v>84</v>
      </c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214"/>
      <c r="AG123" s="15">
        <f t="shared" si="2"/>
        <v>0</v>
      </c>
    </row>
    <row r="124" spans="1:33" ht="19.5" hidden="1" customHeight="1" x14ac:dyDescent="0.25">
      <c r="A124" s="73" t="s">
        <v>85</v>
      </c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214"/>
      <c r="AG124" s="15">
        <f t="shared" si="2"/>
        <v>0</v>
      </c>
    </row>
    <row r="125" spans="1:33" ht="19.5" hidden="1" customHeight="1" x14ac:dyDescent="0.25">
      <c r="A125" s="12" t="s">
        <v>86</v>
      </c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214"/>
      <c r="AG125" s="15">
        <f t="shared" si="2"/>
        <v>0</v>
      </c>
    </row>
    <row r="126" spans="1:33" ht="19.5" hidden="1" customHeight="1" x14ac:dyDescent="0.25">
      <c r="A126" s="12" t="s">
        <v>87</v>
      </c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214"/>
      <c r="AG126" s="15">
        <f t="shared" si="2"/>
        <v>0</v>
      </c>
    </row>
    <row r="127" spans="1:33" ht="19.5" hidden="1" customHeight="1" x14ac:dyDescent="0.25">
      <c r="A127" s="12" t="s">
        <v>88</v>
      </c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214"/>
      <c r="AG127" s="15">
        <f t="shared" si="2"/>
        <v>0</v>
      </c>
    </row>
    <row r="128" spans="1:33" ht="19.5" hidden="1" customHeight="1" x14ac:dyDescent="0.25">
      <c r="A128" s="73" t="s">
        <v>89</v>
      </c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214"/>
      <c r="AG128" s="15">
        <f t="shared" si="2"/>
        <v>0</v>
      </c>
    </row>
    <row r="129" spans="1:35" ht="15.75" customHeight="1" x14ac:dyDescent="0.25">
      <c r="A129" s="74" t="s">
        <v>90</v>
      </c>
      <c r="B129" s="75">
        <v>16</v>
      </c>
      <c r="C129" s="76">
        <v>21</v>
      </c>
      <c r="D129" s="76">
        <v>21</v>
      </c>
      <c r="E129" s="76">
        <v>196</v>
      </c>
      <c r="F129" s="76">
        <v>14</v>
      </c>
      <c r="G129" s="76">
        <v>9</v>
      </c>
      <c r="H129" s="76">
        <v>10</v>
      </c>
      <c r="I129" s="76">
        <v>23</v>
      </c>
      <c r="J129" s="76">
        <v>29</v>
      </c>
      <c r="K129" s="76">
        <v>20</v>
      </c>
      <c r="L129" s="76">
        <v>10</v>
      </c>
      <c r="M129" s="76">
        <v>16</v>
      </c>
      <c r="N129" s="76">
        <v>10</v>
      </c>
      <c r="O129" s="76">
        <v>5</v>
      </c>
      <c r="P129" s="76">
        <v>31</v>
      </c>
      <c r="Q129" s="76">
        <v>21</v>
      </c>
      <c r="R129" s="76">
        <v>26</v>
      </c>
      <c r="S129" s="76">
        <v>23</v>
      </c>
      <c r="T129" s="76">
        <v>11</v>
      </c>
      <c r="U129" s="76">
        <v>10</v>
      </c>
      <c r="V129" s="76">
        <v>8</v>
      </c>
      <c r="W129" s="76">
        <v>18</v>
      </c>
      <c r="X129" s="76">
        <v>21</v>
      </c>
      <c r="Y129" s="76">
        <v>20</v>
      </c>
      <c r="Z129" s="76">
        <v>14</v>
      </c>
      <c r="AA129" s="76">
        <v>12</v>
      </c>
      <c r="AB129" s="76">
        <v>14</v>
      </c>
      <c r="AC129" s="76">
        <v>14</v>
      </c>
      <c r="AD129" s="76">
        <v>27</v>
      </c>
      <c r="AE129" s="76">
        <v>26</v>
      </c>
      <c r="AF129" s="225">
        <v>14</v>
      </c>
      <c r="AG129" s="15">
        <f t="shared" si="2"/>
        <v>710</v>
      </c>
    </row>
    <row r="130" spans="1:35" ht="15.75" customHeight="1" x14ac:dyDescent="0.25">
      <c r="A130" s="60" t="s">
        <v>91</v>
      </c>
      <c r="B130" s="61">
        <f t="shared" ref="B130:AF130" si="16">SUM(B131:B143)</f>
        <v>257</v>
      </c>
      <c r="C130" s="62">
        <f t="shared" si="16"/>
        <v>225</v>
      </c>
      <c r="D130" s="62">
        <f t="shared" si="16"/>
        <v>234</v>
      </c>
      <c r="E130" s="62">
        <f t="shared" si="16"/>
        <v>211</v>
      </c>
      <c r="F130" s="62">
        <f t="shared" si="16"/>
        <v>204</v>
      </c>
      <c r="G130" s="62">
        <f t="shared" si="16"/>
        <v>215</v>
      </c>
      <c r="H130" s="62">
        <f t="shared" si="16"/>
        <v>213</v>
      </c>
      <c r="I130" s="62">
        <f t="shared" si="16"/>
        <v>215</v>
      </c>
      <c r="J130" s="62">
        <f t="shared" si="16"/>
        <v>243</v>
      </c>
      <c r="K130" s="62">
        <f t="shared" si="16"/>
        <v>205</v>
      </c>
      <c r="L130" s="62">
        <f t="shared" si="16"/>
        <v>238</v>
      </c>
      <c r="M130" s="62">
        <f t="shared" si="16"/>
        <v>229</v>
      </c>
      <c r="N130" s="62">
        <f t="shared" si="16"/>
        <v>226</v>
      </c>
      <c r="O130" s="62">
        <f t="shared" si="16"/>
        <v>213</v>
      </c>
      <c r="P130" s="62">
        <f t="shared" si="16"/>
        <v>234</v>
      </c>
      <c r="Q130" s="62">
        <f t="shared" si="16"/>
        <v>251</v>
      </c>
      <c r="R130" s="62">
        <f t="shared" si="16"/>
        <v>224</v>
      </c>
      <c r="S130" s="62">
        <f t="shared" si="16"/>
        <v>230</v>
      </c>
      <c r="T130" s="62">
        <f t="shared" si="16"/>
        <v>240</v>
      </c>
      <c r="U130" s="62">
        <f t="shared" si="16"/>
        <v>208</v>
      </c>
      <c r="V130" s="62">
        <f t="shared" si="16"/>
        <v>184</v>
      </c>
      <c r="W130" s="62">
        <f t="shared" si="16"/>
        <v>215</v>
      </c>
      <c r="X130" s="62">
        <f t="shared" si="16"/>
        <v>216</v>
      </c>
      <c r="Y130" s="62">
        <f t="shared" si="16"/>
        <v>194</v>
      </c>
      <c r="Z130" s="62">
        <f t="shared" si="16"/>
        <v>214</v>
      </c>
      <c r="AA130" s="62">
        <f t="shared" si="16"/>
        <v>206</v>
      </c>
      <c r="AB130" s="62">
        <f t="shared" si="16"/>
        <v>186</v>
      </c>
      <c r="AC130" s="62">
        <f t="shared" si="16"/>
        <v>216</v>
      </c>
      <c r="AD130" s="62">
        <f t="shared" si="16"/>
        <v>213</v>
      </c>
      <c r="AE130" s="62">
        <f t="shared" si="16"/>
        <v>204</v>
      </c>
      <c r="AF130" s="221">
        <f t="shared" si="16"/>
        <v>203</v>
      </c>
      <c r="AG130" s="22">
        <f t="shared" si="2"/>
        <v>6766</v>
      </c>
      <c r="AH130" s="77" t="str">
        <f>IF(AG130&lt;&gt;AG93,"*","")</f>
        <v/>
      </c>
    </row>
    <row r="131" spans="1:35" ht="15.75" customHeight="1" x14ac:dyDescent="0.25">
      <c r="A131" s="73" t="s">
        <v>78</v>
      </c>
      <c r="B131" s="13">
        <v>49</v>
      </c>
      <c r="C131" s="14">
        <v>54</v>
      </c>
      <c r="D131" s="14">
        <v>60</v>
      </c>
      <c r="E131" s="14">
        <v>40</v>
      </c>
      <c r="F131" s="14">
        <v>47</v>
      </c>
      <c r="G131" s="14">
        <v>46</v>
      </c>
      <c r="H131" s="14">
        <v>49</v>
      </c>
      <c r="I131" s="14">
        <v>52</v>
      </c>
      <c r="J131" s="14">
        <v>47</v>
      </c>
      <c r="K131" s="14">
        <v>56</v>
      </c>
      <c r="L131" s="14">
        <v>56</v>
      </c>
      <c r="M131" s="14">
        <v>51</v>
      </c>
      <c r="N131" s="14">
        <v>44</v>
      </c>
      <c r="O131" s="14">
        <v>11</v>
      </c>
      <c r="P131" s="14">
        <v>48</v>
      </c>
      <c r="Q131" s="14">
        <v>55</v>
      </c>
      <c r="R131" s="14">
        <v>42</v>
      </c>
      <c r="S131" s="14">
        <v>52</v>
      </c>
      <c r="T131" s="14">
        <v>57</v>
      </c>
      <c r="U131" s="14">
        <v>44</v>
      </c>
      <c r="V131" s="14">
        <v>23</v>
      </c>
      <c r="W131" s="14">
        <v>58</v>
      </c>
      <c r="X131" s="14">
        <v>32</v>
      </c>
      <c r="Y131" s="14">
        <v>37</v>
      </c>
      <c r="Z131" s="14">
        <v>46</v>
      </c>
      <c r="AA131" s="14">
        <v>52</v>
      </c>
      <c r="AB131" s="14">
        <v>41</v>
      </c>
      <c r="AC131" s="14">
        <v>34</v>
      </c>
      <c r="AD131" s="14">
        <v>59</v>
      </c>
      <c r="AE131" s="14">
        <v>56</v>
      </c>
      <c r="AF131" s="214">
        <v>42</v>
      </c>
      <c r="AG131" s="15">
        <f t="shared" si="2"/>
        <v>1440</v>
      </c>
    </row>
    <row r="132" spans="1:35" ht="15.75" customHeight="1" x14ac:dyDescent="0.25">
      <c r="A132" s="73" t="s">
        <v>79</v>
      </c>
      <c r="B132" s="13">
        <v>10</v>
      </c>
      <c r="C132" s="14">
        <v>10</v>
      </c>
      <c r="D132" s="14">
        <v>12</v>
      </c>
      <c r="E132" s="14">
        <v>6</v>
      </c>
      <c r="F132" s="14">
        <v>7</v>
      </c>
      <c r="G132" s="14">
        <v>8</v>
      </c>
      <c r="H132" s="14">
        <v>8</v>
      </c>
      <c r="I132" s="14">
        <v>9</v>
      </c>
      <c r="J132" s="14">
        <v>6</v>
      </c>
      <c r="K132" s="14">
        <v>6</v>
      </c>
      <c r="L132" s="14">
        <v>7</v>
      </c>
      <c r="M132" s="14">
        <v>14</v>
      </c>
      <c r="N132" s="14">
        <v>12</v>
      </c>
      <c r="O132" s="14"/>
      <c r="P132" s="14">
        <v>5</v>
      </c>
      <c r="Q132" s="14">
        <v>8</v>
      </c>
      <c r="R132" s="14">
        <v>6</v>
      </c>
      <c r="S132" s="14">
        <v>9</v>
      </c>
      <c r="T132" s="14">
        <v>13</v>
      </c>
      <c r="U132" s="14">
        <v>10</v>
      </c>
      <c r="V132" s="14">
        <v>5</v>
      </c>
      <c r="W132" s="14">
        <v>9</v>
      </c>
      <c r="X132" s="14">
        <v>8</v>
      </c>
      <c r="Y132" s="14">
        <v>5</v>
      </c>
      <c r="Z132" s="14">
        <v>8</v>
      </c>
      <c r="AA132" s="14">
        <v>6</v>
      </c>
      <c r="AB132" s="14">
        <v>5</v>
      </c>
      <c r="AC132" s="14">
        <v>6</v>
      </c>
      <c r="AD132" s="14">
        <v>5</v>
      </c>
      <c r="AE132" s="14">
        <v>7</v>
      </c>
      <c r="AF132" s="214">
        <v>8</v>
      </c>
      <c r="AG132" s="15">
        <f t="shared" si="2"/>
        <v>238</v>
      </c>
    </row>
    <row r="133" spans="1:35" ht="15.75" customHeight="1" x14ac:dyDescent="0.25">
      <c r="A133" s="73" t="s">
        <v>80</v>
      </c>
      <c r="B133" s="13">
        <v>9</v>
      </c>
      <c r="C133" s="14">
        <v>18</v>
      </c>
      <c r="D133" s="14">
        <v>11</v>
      </c>
      <c r="E133" s="14">
        <v>11</v>
      </c>
      <c r="F133" s="14">
        <v>8</v>
      </c>
      <c r="G133" s="14">
        <v>8</v>
      </c>
      <c r="H133" s="14">
        <v>14</v>
      </c>
      <c r="I133" s="14">
        <v>16</v>
      </c>
      <c r="J133" s="14">
        <v>15</v>
      </c>
      <c r="K133" s="14">
        <v>9</v>
      </c>
      <c r="L133" s="14">
        <v>12</v>
      </c>
      <c r="M133" s="14">
        <v>11</v>
      </c>
      <c r="N133" s="14">
        <v>10</v>
      </c>
      <c r="O133" s="14">
        <v>2</v>
      </c>
      <c r="P133" s="14">
        <v>11</v>
      </c>
      <c r="Q133" s="14">
        <v>15</v>
      </c>
      <c r="R133" s="14">
        <v>13</v>
      </c>
      <c r="S133" s="14">
        <v>18</v>
      </c>
      <c r="T133" s="14">
        <v>13</v>
      </c>
      <c r="U133" s="14">
        <v>7</v>
      </c>
      <c r="V133" s="14">
        <v>14</v>
      </c>
      <c r="W133" s="14">
        <v>8</v>
      </c>
      <c r="X133" s="14">
        <v>13</v>
      </c>
      <c r="Y133" s="14">
        <v>7</v>
      </c>
      <c r="Z133" s="14">
        <v>8</v>
      </c>
      <c r="AA133" s="14">
        <v>4</v>
      </c>
      <c r="AB133" s="14">
        <v>10</v>
      </c>
      <c r="AC133" s="14">
        <v>14</v>
      </c>
      <c r="AD133" s="14">
        <v>16</v>
      </c>
      <c r="AE133" s="14">
        <v>13</v>
      </c>
      <c r="AF133" s="214">
        <v>14</v>
      </c>
      <c r="AG133" s="15">
        <f t="shared" si="2"/>
        <v>352</v>
      </c>
    </row>
    <row r="134" spans="1:35" ht="15.75" customHeight="1" x14ac:dyDescent="0.25">
      <c r="A134" s="73" t="s">
        <v>81</v>
      </c>
      <c r="B134" s="13">
        <v>12</v>
      </c>
      <c r="C134" s="14">
        <v>7</v>
      </c>
      <c r="D134" s="14">
        <v>11</v>
      </c>
      <c r="E134" s="14">
        <v>12</v>
      </c>
      <c r="F134" s="14">
        <v>11</v>
      </c>
      <c r="G134" s="14">
        <v>12</v>
      </c>
      <c r="H134" s="14">
        <v>16</v>
      </c>
      <c r="I134" s="14">
        <v>11</v>
      </c>
      <c r="J134" s="14">
        <v>11</v>
      </c>
      <c r="K134" s="14">
        <v>12</v>
      </c>
      <c r="L134" s="14">
        <v>13</v>
      </c>
      <c r="M134" s="14">
        <v>10</v>
      </c>
      <c r="N134" s="14">
        <v>10</v>
      </c>
      <c r="O134" s="14">
        <v>5</v>
      </c>
      <c r="P134" s="14">
        <v>11</v>
      </c>
      <c r="Q134" s="14">
        <v>13</v>
      </c>
      <c r="R134" s="14">
        <v>14</v>
      </c>
      <c r="S134" s="14">
        <v>14</v>
      </c>
      <c r="T134" s="14">
        <v>9</v>
      </c>
      <c r="U134" s="14">
        <v>15</v>
      </c>
      <c r="V134" s="14">
        <v>14</v>
      </c>
      <c r="W134" s="14">
        <v>15</v>
      </c>
      <c r="X134" s="14">
        <v>14</v>
      </c>
      <c r="Y134" s="14">
        <v>9</v>
      </c>
      <c r="Z134" s="14">
        <v>16</v>
      </c>
      <c r="AA134" s="14">
        <v>14</v>
      </c>
      <c r="AB134" s="14">
        <v>8</v>
      </c>
      <c r="AC134" s="14">
        <v>7</v>
      </c>
      <c r="AD134" s="14">
        <v>10</v>
      </c>
      <c r="AE134" s="14">
        <v>7</v>
      </c>
      <c r="AF134" s="214">
        <v>10</v>
      </c>
      <c r="AG134" s="15">
        <f t="shared" si="2"/>
        <v>353</v>
      </c>
    </row>
    <row r="135" spans="1:35" ht="15.75" customHeight="1" x14ac:dyDescent="0.25">
      <c r="A135" s="73" t="s">
        <v>82</v>
      </c>
      <c r="B135" s="13">
        <v>12</v>
      </c>
      <c r="C135" s="14">
        <v>16</v>
      </c>
      <c r="D135" s="14">
        <v>15</v>
      </c>
      <c r="E135" s="14">
        <v>17</v>
      </c>
      <c r="F135" s="14">
        <v>10</v>
      </c>
      <c r="G135" s="14">
        <v>15</v>
      </c>
      <c r="H135" s="14">
        <v>12</v>
      </c>
      <c r="I135" s="14">
        <v>17</v>
      </c>
      <c r="J135" s="14">
        <v>19</v>
      </c>
      <c r="K135" s="14">
        <v>10</v>
      </c>
      <c r="L135" s="14">
        <v>17</v>
      </c>
      <c r="M135" s="14">
        <v>19</v>
      </c>
      <c r="N135" s="14">
        <v>13</v>
      </c>
      <c r="O135" s="14">
        <v>4</v>
      </c>
      <c r="P135" s="14">
        <v>22</v>
      </c>
      <c r="Q135" s="14">
        <v>9</v>
      </c>
      <c r="R135" s="14">
        <v>7</v>
      </c>
      <c r="S135" s="14">
        <v>14</v>
      </c>
      <c r="T135" s="14">
        <v>21</v>
      </c>
      <c r="U135" s="14">
        <v>17</v>
      </c>
      <c r="V135" s="14">
        <v>8</v>
      </c>
      <c r="W135" s="14">
        <v>9</v>
      </c>
      <c r="X135" s="14">
        <v>11</v>
      </c>
      <c r="Y135" s="14">
        <v>13</v>
      </c>
      <c r="Z135" s="14">
        <v>9</v>
      </c>
      <c r="AA135" s="14">
        <v>14</v>
      </c>
      <c r="AB135" s="14">
        <v>10</v>
      </c>
      <c r="AC135" s="14">
        <v>13</v>
      </c>
      <c r="AD135" s="14">
        <v>12</v>
      </c>
      <c r="AE135" s="14">
        <v>6</v>
      </c>
      <c r="AF135" s="214">
        <v>13</v>
      </c>
      <c r="AG135" s="15">
        <f t="shared" si="2"/>
        <v>404</v>
      </c>
    </row>
    <row r="136" spans="1:35" ht="15.75" customHeight="1" x14ac:dyDescent="0.25">
      <c r="A136" s="73" t="s">
        <v>83</v>
      </c>
      <c r="B136" s="13">
        <v>126</v>
      </c>
      <c r="C136" s="14">
        <v>85</v>
      </c>
      <c r="D136" s="14">
        <v>89</v>
      </c>
      <c r="E136" s="14">
        <v>80</v>
      </c>
      <c r="F136" s="14">
        <v>96</v>
      </c>
      <c r="G136" s="14">
        <v>101</v>
      </c>
      <c r="H136" s="14">
        <v>80</v>
      </c>
      <c r="I136" s="14">
        <v>79</v>
      </c>
      <c r="J136" s="14">
        <v>96</v>
      </c>
      <c r="K136" s="14">
        <v>75</v>
      </c>
      <c r="L136" s="14">
        <v>89</v>
      </c>
      <c r="M136" s="14">
        <v>87</v>
      </c>
      <c r="N136" s="14">
        <v>108</v>
      </c>
      <c r="O136" s="14">
        <v>176</v>
      </c>
      <c r="P136" s="14">
        <v>90</v>
      </c>
      <c r="Q136" s="14">
        <v>113</v>
      </c>
      <c r="R136" s="14">
        <v>100</v>
      </c>
      <c r="S136" s="14">
        <v>94</v>
      </c>
      <c r="T136" s="14">
        <v>88</v>
      </c>
      <c r="U136" s="14">
        <v>87</v>
      </c>
      <c r="V136" s="14">
        <v>92</v>
      </c>
      <c r="W136" s="14">
        <v>77</v>
      </c>
      <c r="X136" s="14">
        <v>100</v>
      </c>
      <c r="Y136" s="14">
        <v>84</v>
      </c>
      <c r="Z136" s="14">
        <v>89</v>
      </c>
      <c r="AA136" s="14">
        <v>90</v>
      </c>
      <c r="AB136" s="14">
        <v>89</v>
      </c>
      <c r="AC136" s="14">
        <v>103</v>
      </c>
      <c r="AD136" s="14">
        <v>68</v>
      </c>
      <c r="AE136" s="14">
        <v>76</v>
      </c>
      <c r="AF136" s="214">
        <v>77</v>
      </c>
      <c r="AG136" s="15">
        <f t="shared" si="2"/>
        <v>2884</v>
      </c>
    </row>
    <row r="137" spans="1:35" ht="15.75" customHeight="1" x14ac:dyDescent="0.25">
      <c r="A137" s="73" t="s">
        <v>84</v>
      </c>
      <c r="B137" s="13">
        <v>5</v>
      </c>
      <c r="C137" s="14">
        <v>7</v>
      </c>
      <c r="D137" s="14">
        <v>4</v>
      </c>
      <c r="E137" s="14">
        <v>10</v>
      </c>
      <c r="F137" s="14">
        <v>5</v>
      </c>
      <c r="G137" s="14">
        <v>6</v>
      </c>
      <c r="H137" s="14">
        <v>8</v>
      </c>
      <c r="I137" s="14">
        <v>5</v>
      </c>
      <c r="J137" s="14">
        <v>6</v>
      </c>
      <c r="K137" s="14">
        <v>7</v>
      </c>
      <c r="L137" s="14">
        <v>8</v>
      </c>
      <c r="M137" s="14">
        <v>4</v>
      </c>
      <c r="N137" s="14">
        <v>4</v>
      </c>
      <c r="O137" s="14"/>
      <c r="P137" s="14">
        <v>9</v>
      </c>
      <c r="Q137" s="14">
        <v>8</v>
      </c>
      <c r="R137" s="14">
        <v>5</v>
      </c>
      <c r="S137" s="14">
        <v>6</v>
      </c>
      <c r="T137" s="14">
        <v>3</v>
      </c>
      <c r="U137" s="14">
        <v>4</v>
      </c>
      <c r="V137" s="14">
        <v>11</v>
      </c>
      <c r="W137" s="14">
        <v>3</v>
      </c>
      <c r="X137" s="14">
        <v>9</v>
      </c>
      <c r="Y137" s="14">
        <v>7</v>
      </c>
      <c r="Z137" s="14">
        <v>3</v>
      </c>
      <c r="AA137" s="14">
        <v>5</v>
      </c>
      <c r="AB137" s="14">
        <v>2</v>
      </c>
      <c r="AC137" s="14">
        <v>7</v>
      </c>
      <c r="AD137" s="14">
        <v>6</v>
      </c>
      <c r="AE137" s="14">
        <v>1</v>
      </c>
      <c r="AF137" s="214">
        <v>4</v>
      </c>
      <c r="AG137" s="15">
        <f t="shared" si="2"/>
        <v>172</v>
      </c>
    </row>
    <row r="138" spans="1:35" ht="15.75" customHeight="1" x14ac:dyDescent="0.25">
      <c r="A138" s="73" t="s">
        <v>85</v>
      </c>
      <c r="B138" s="13">
        <v>0</v>
      </c>
      <c r="C138" s="14">
        <v>2</v>
      </c>
      <c r="D138" s="14">
        <v>2</v>
      </c>
      <c r="E138" s="14">
        <v>2</v>
      </c>
      <c r="F138" s="14">
        <v>1</v>
      </c>
      <c r="G138" s="14">
        <v>1</v>
      </c>
      <c r="H138" s="14">
        <v>2</v>
      </c>
      <c r="I138" s="14">
        <v>2</v>
      </c>
      <c r="J138" s="14">
        <v>1</v>
      </c>
      <c r="K138" s="14">
        <v>0</v>
      </c>
      <c r="L138" s="14">
        <v>8</v>
      </c>
      <c r="M138" s="14">
        <v>6</v>
      </c>
      <c r="N138" s="14">
        <v>3</v>
      </c>
      <c r="O138" s="14">
        <v>1</v>
      </c>
      <c r="P138" s="14">
        <v>3</v>
      </c>
      <c r="Q138" s="14">
        <v>4</v>
      </c>
      <c r="R138" s="14">
        <v>2</v>
      </c>
      <c r="S138" s="14">
        <v>1</v>
      </c>
      <c r="T138" s="14">
        <v>1</v>
      </c>
      <c r="U138" s="14">
        <v>0</v>
      </c>
      <c r="V138" s="14">
        <v>0</v>
      </c>
      <c r="W138" s="14">
        <v>7</v>
      </c>
      <c r="X138" s="14">
        <v>0</v>
      </c>
      <c r="Y138" s="14">
        <v>6</v>
      </c>
      <c r="Z138" s="14">
        <v>3</v>
      </c>
      <c r="AA138" s="14">
        <v>2</v>
      </c>
      <c r="AB138" s="14">
        <v>0</v>
      </c>
      <c r="AC138" s="14">
        <v>3</v>
      </c>
      <c r="AD138" s="14">
        <v>2</v>
      </c>
      <c r="AE138" s="14">
        <v>2</v>
      </c>
      <c r="AF138" s="214">
        <v>6</v>
      </c>
      <c r="AG138" s="15">
        <f t="shared" si="2"/>
        <v>73</v>
      </c>
    </row>
    <row r="139" spans="1:35" ht="15.75" customHeight="1" x14ac:dyDescent="0.25">
      <c r="A139" s="12" t="s">
        <v>86</v>
      </c>
      <c r="B139" s="13">
        <v>5</v>
      </c>
      <c r="C139" s="14">
        <v>2</v>
      </c>
      <c r="D139" s="14">
        <v>1</v>
      </c>
      <c r="E139" s="14">
        <v>3</v>
      </c>
      <c r="F139" s="14">
        <v>2</v>
      </c>
      <c r="G139" s="14">
        <v>1</v>
      </c>
      <c r="H139" s="14">
        <v>3</v>
      </c>
      <c r="I139" s="14">
        <v>2</v>
      </c>
      <c r="J139" s="14">
        <v>4</v>
      </c>
      <c r="K139" s="14">
        <v>3</v>
      </c>
      <c r="L139" s="14">
        <v>3</v>
      </c>
      <c r="M139" s="14">
        <v>6</v>
      </c>
      <c r="N139" s="14">
        <v>1</v>
      </c>
      <c r="O139" s="14">
        <v>2</v>
      </c>
      <c r="P139" s="14">
        <v>6</v>
      </c>
      <c r="Q139" s="14">
        <v>6</v>
      </c>
      <c r="R139" s="14">
        <v>3</v>
      </c>
      <c r="S139" s="14">
        <v>1</v>
      </c>
      <c r="T139" s="14">
        <v>2</v>
      </c>
      <c r="U139" s="14">
        <v>5</v>
      </c>
      <c r="V139" s="14">
        <v>4</v>
      </c>
      <c r="W139" s="14">
        <v>0</v>
      </c>
      <c r="X139" s="14">
        <v>0</v>
      </c>
      <c r="Y139" s="14">
        <v>1</v>
      </c>
      <c r="Z139" s="14">
        <v>6</v>
      </c>
      <c r="AA139" s="14">
        <v>0</v>
      </c>
      <c r="AB139" s="14">
        <v>4</v>
      </c>
      <c r="AC139" s="14">
        <v>4</v>
      </c>
      <c r="AD139" s="14">
        <v>4</v>
      </c>
      <c r="AE139" s="14">
        <v>6</v>
      </c>
      <c r="AF139" s="214">
        <v>3</v>
      </c>
      <c r="AG139" s="15">
        <f t="shared" si="2"/>
        <v>93</v>
      </c>
    </row>
    <row r="140" spans="1:35" ht="15.75" customHeight="1" x14ac:dyDescent="0.25">
      <c r="A140" s="12" t="s">
        <v>87</v>
      </c>
      <c r="B140" s="13">
        <v>2</v>
      </c>
      <c r="C140" s="14">
        <v>2</v>
      </c>
      <c r="D140" s="14">
        <v>1</v>
      </c>
      <c r="E140" s="14">
        <v>2</v>
      </c>
      <c r="F140" s="14">
        <v>6</v>
      </c>
      <c r="G140" s="14">
        <v>3</v>
      </c>
      <c r="H140" s="14">
        <v>0</v>
      </c>
      <c r="I140" s="14">
        <v>1</v>
      </c>
      <c r="J140" s="14">
        <v>3</v>
      </c>
      <c r="K140" s="14">
        <v>2</v>
      </c>
      <c r="L140" s="14">
        <v>1</v>
      </c>
      <c r="M140" s="14">
        <v>1</v>
      </c>
      <c r="N140" s="14">
        <v>1</v>
      </c>
      <c r="O140" s="14">
        <v>3</v>
      </c>
      <c r="P140" s="14"/>
      <c r="Q140" s="14">
        <v>3</v>
      </c>
      <c r="R140" s="14">
        <v>2</v>
      </c>
      <c r="S140" s="14">
        <v>0</v>
      </c>
      <c r="T140" s="14">
        <v>1</v>
      </c>
      <c r="U140" s="14">
        <v>1</v>
      </c>
      <c r="V140" s="14">
        <v>0</v>
      </c>
      <c r="W140" s="14">
        <v>2</v>
      </c>
      <c r="X140" s="14">
        <v>4</v>
      </c>
      <c r="Y140" s="14">
        <v>3</v>
      </c>
      <c r="Z140" s="14">
        <v>5</v>
      </c>
      <c r="AA140" s="14">
        <v>1</v>
      </c>
      <c r="AB140" s="14">
        <v>1</v>
      </c>
      <c r="AC140" s="14">
        <v>2</v>
      </c>
      <c r="AD140" s="14">
        <v>4</v>
      </c>
      <c r="AE140" s="14">
        <v>1</v>
      </c>
      <c r="AF140" s="214">
        <v>2</v>
      </c>
      <c r="AG140" s="15">
        <f t="shared" si="2"/>
        <v>60</v>
      </c>
    </row>
    <row r="141" spans="1:35" ht="15.75" customHeight="1" x14ac:dyDescent="0.25">
      <c r="A141" s="12" t="s">
        <v>88</v>
      </c>
      <c r="B141" s="13">
        <v>1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1</v>
      </c>
      <c r="I141" s="14">
        <v>1</v>
      </c>
      <c r="J141" s="14">
        <v>1</v>
      </c>
      <c r="K141" s="14">
        <v>1</v>
      </c>
      <c r="L141" s="14">
        <v>0</v>
      </c>
      <c r="M141" s="14">
        <v>0</v>
      </c>
      <c r="N141" s="14">
        <v>0</v>
      </c>
      <c r="O141" s="14"/>
      <c r="P141" s="14"/>
      <c r="Q141" s="14"/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2</v>
      </c>
      <c r="Z141" s="14">
        <v>0</v>
      </c>
      <c r="AA141" s="14">
        <v>0</v>
      </c>
      <c r="AB141" s="14">
        <v>0</v>
      </c>
      <c r="AC141" s="14">
        <v>1</v>
      </c>
      <c r="AD141" s="14">
        <v>0</v>
      </c>
      <c r="AE141" s="14">
        <v>0</v>
      </c>
      <c r="AF141" s="214">
        <v>1</v>
      </c>
      <c r="AG141" s="15">
        <f t="shared" si="2"/>
        <v>9</v>
      </c>
    </row>
    <row r="142" spans="1:35" ht="15.75" customHeight="1" x14ac:dyDescent="0.25">
      <c r="A142" s="73" t="s">
        <v>89</v>
      </c>
      <c r="B142" s="13">
        <v>13</v>
      </c>
      <c r="C142" s="14">
        <v>6</v>
      </c>
      <c r="D142" s="14">
        <v>9</v>
      </c>
      <c r="E142" s="14">
        <v>13</v>
      </c>
      <c r="F142" s="14">
        <v>4</v>
      </c>
      <c r="G142" s="14">
        <v>6</v>
      </c>
      <c r="H142" s="14">
        <f>6+5</f>
        <v>11</v>
      </c>
      <c r="I142" s="14">
        <v>4</v>
      </c>
      <c r="J142" s="14">
        <v>11</v>
      </c>
      <c r="K142" s="14">
        <v>6</v>
      </c>
      <c r="L142" s="14">
        <v>14</v>
      </c>
      <c r="M142" s="14">
        <v>6</v>
      </c>
      <c r="N142" s="14">
        <v>10</v>
      </c>
      <c r="O142" s="14">
        <v>4</v>
      </c>
      <c r="P142" s="14">
        <v>2</v>
      </c>
      <c r="Q142" s="14">
        <v>7</v>
      </c>
      <c r="R142" s="14">
        <v>6</v>
      </c>
      <c r="S142" s="14">
        <v>7</v>
      </c>
      <c r="T142" s="14">
        <v>11</v>
      </c>
      <c r="U142" s="14">
        <v>9</v>
      </c>
      <c r="V142" s="14">
        <v>6</v>
      </c>
      <c r="W142" s="14">
        <v>13</v>
      </c>
      <c r="X142" s="14">
        <v>11</v>
      </c>
      <c r="Y142" s="14">
        <v>7</v>
      </c>
      <c r="Z142" s="14">
        <v>8</v>
      </c>
      <c r="AA142" s="14">
        <v>9</v>
      </c>
      <c r="AB142" s="14">
        <v>3</v>
      </c>
      <c r="AC142" s="14">
        <v>8</v>
      </c>
      <c r="AD142" s="14">
        <v>8</v>
      </c>
      <c r="AE142" s="14">
        <v>9</v>
      </c>
      <c r="AF142" s="214">
        <v>12</v>
      </c>
      <c r="AG142" s="15">
        <f t="shared" si="2"/>
        <v>253</v>
      </c>
    </row>
    <row r="143" spans="1:35" ht="15.75" customHeight="1" x14ac:dyDescent="0.25">
      <c r="A143" s="74" t="s">
        <v>90</v>
      </c>
      <c r="B143" s="75">
        <v>13</v>
      </c>
      <c r="C143" s="76">
        <v>16</v>
      </c>
      <c r="D143" s="76">
        <v>19</v>
      </c>
      <c r="E143" s="76">
        <v>15</v>
      </c>
      <c r="F143" s="76">
        <v>7</v>
      </c>
      <c r="G143" s="76">
        <v>8</v>
      </c>
      <c r="H143" s="76">
        <v>9</v>
      </c>
      <c r="I143" s="76">
        <v>16</v>
      </c>
      <c r="J143" s="76">
        <v>23</v>
      </c>
      <c r="K143" s="76">
        <v>18</v>
      </c>
      <c r="L143" s="76">
        <v>10</v>
      </c>
      <c r="M143" s="76">
        <v>14</v>
      </c>
      <c r="N143" s="76">
        <v>10</v>
      </c>
      <c r="O143" s="76">
        <v>5</v>
      </c>
      <c r="P143" s="76">
        <v>27</v>
      </c>
      <c r="Q143" s="76">
        <v>10</v>
      </c>
      <c r="R143" s="76">
        <v>24</v>
      </c>
      <c r="S143" s="76">
        <v>14</v>
      </c>
      <c r="T143" s="76">
        <v>21</v>
      </c>
      <c r="U143" s="76">
        <v>9</v>
      </c>
      <c r="V143" s="76">
        <v>7</v>
      </c>
      <c r="W143" s="76">
        <v>14</v>
      </c>
      <c r="X143" s="76">
        <v>14</v>
      </c>
      <c r="Y143" s="76">
        <v>13</v>
      </c>
      <c r="Z143" s="76">
        <v>13</v>
      </c>
      <c r="AA143" s="76">
        <v>9</v>
      </c>
      <c r="AB143" s="76">
        <v>13</v>
      </c>
      <c r="AC143" s="76">
        <v>14</v>
      </c>
      <c r="AD143" s="76">
        <v>19</v>
      </c>
      <c r="AE143" s="76">
        <v>20</v>
      </c>
      <c r="AF143" s="225">
        <v>11</v>
      </c>
      <c r="AG143" s="26">
        <f t="shared" si="2"/>
        <v>435</v>
      </c>
    </row>
    <row r="144" spans="1:35" ht="15.75" customHeight="1" x14ac:dyDescent="0.25">
      <c r="A144" s="41" t="s">
        <v>92</v>
      </c>
      <c r="B144" s="42">
        <f t="shared" ref="B144:AF144" si="17">+B146+B156+B158+B167</f>
        <v>257</v>
      </c>
      <c r="C144" s="43">
        <f t="shared" si="17"/>
        <v>225</v>
      </c>
      <c r="D144" s="43">
        <f t="shared" si="17"/>
        <v>234</v>
      </c>
      <c r="E144" s="43">
        <f t="shared" si="17"/>
        <v>211</v>
      </c>
      <c r="F144" s="43">
        <f t="shared" si="17"/>
        <v>204</v>
      </c>
      <c r="G144" s="43">
        <f t="shared" si="17"/>
        <v>215</v>
      </c>
      <c r="H144" s="43">
        <f t="shared" si="17"/>
        <v>213</v>
      </c>
      <c r="I144" s="43">
        <f t="shared" si="17"/>
        <v>215</v>
      </c>
      <c r="J144" s="43">
        <f t="shared" si="17"/>
        <v>243</v>
      </c>
      <c r="K144" s="43">
        <f t="shared" si="17"/>
        <v>205</v>
      </c>
      <c r="L144" s="43">
        <f t="shared" si="17"/>
        <v>238</v>
      </c>
      <c r="M144" s="43">
        <f t="shared" si="17"/>
        <v>229</v>
      </c>
      <c r="N144" s="43">
        <f t="shared" si="17"/>
        <v>226</v>
      </c>
      <c r="O144" s="43">
        <f t="shared" si="17"/>
        <v>213</v>
      </c>
      <c r="P144" s="43">
        <f t="shared" si="17"/>
        <v>234</v>
      </c>
      <c r="Q144" s="43">
        <f t="shared" si="17"/>
        <v>251</v>
      </c>
      <c r="R144" s="43">
        <f t="shared" si="17"/>
        <v>224</v>
      </c>
      <c r="S144" s="43">
        <f t="shared" si="17"/>
        <v>230</v>
      </c>
      <c r="T144" s="43">
        <f t="shared" si="17"/>
        <v>240</v>
      </c>
      <c r="U144" s="43">
        <f t="shared" si="17"/>
        <v>208</v>
      </c>
      <c r="V144" s="43">
        <f t="shared" si="17"/>
        <v>184</v>
      </c>
      <c r="W144" s="43">
        <f t="shared" si="17"/>
        <v>215</v>
      </c>
      <c r="X144" s="43">
        <f t="shared" si="17"/>
        <v>216</v>
      </c>
      <c r="Y144" s="43">
        <f t="shared" si="17"/>
        <v>194</v>
      </c>
      <c r="Z144" s="43">
        <f t="shared" si="17"/>
        <v>214</v>
      </c>
      <c r="AA144" s="43">
        <f t="shared" si="17"/>
        <v>206</v>
      </c>
      <c r="AB144" s="43">
        <f t="shared" si="17"/>
        <v>186</v>
      </c>
      <c r="AC144" s="43">
        <v>216</v>
      </c>
      <c r="AD144" s="43">
        <f t="shared" si="17"/>
        <v>213</v>
      </c>
      <c r="AE144" s="43">
        <f t="shared" si="17"/>
        <v>204</v>
      </c>
      <c r="AF144" s="43">
        <f t="shared" si="17"/>
        <v>203</v>
      </c>
      <c r="AG144" s="27">
        <f t="shared" si="2"/>
        <v>6766</v>
      </c>
      <c r="AH144" s="78" t="str">
        <f>IF(AG144&lt;&gt;AG93,"*","")</f>
        <v/>
      </c>
      <c r="AI144" s="79" t="s">
        <v>93</v>
      </c>
    </row>
    <row r="145" spans="1:35" ht="15.75" customHeight="1" x14ac:dyDescent="0.25">
      <c r="A145" s="80" t="s">
        <v>44</v>
      </c>
      <c r="B145" s="81">
        <f t="shared" ref="B145:AF145" si="18">+B149+B155+B157+B172</f>
        <v>17</v>
      </c>
      <c r="C145" s="82">
        <f t="shared" si="18"/>
        <v>78</v>
      </c>
      <c r="D145" s="82">
        <f t="shared" si="18"/>
        <v>73</v>
      </c>
      <c r="E145" s="82">
        <f t="shared" si="18"/>
        <v>52</v>
      </c>
      <c r="F145" s="82">
        <f t="shared" si="18"/>
        <v>19</v>
      </c>
      <c r="G145" s="82">
        <f t="shared" si="18"/>
        <v>11</v>
      </c>
      <c r="H145" s="82">
        <f t="shared" si="18"/>
        <v>35</v>
      </c>
      <c r="I145" s="82">
        <f t="shared" si="18"/>
        <v>100</v>
      </c>
      <c r="J145" s="82">
        <f t="shared" si="18"/>
        <v>66</v>
      </c>
      <c r="K145" s="82">
        <f t="shared" si="18"/>
        <v>56</v>
      </c>
      <c r="L145" s="82">
        <f t="shared" si="18"/>
        <v>42</v>
      </c>
      <c r="M145" s="82">
        <f t="shared" si="18"/>
        <v>29</v>
      </c>
      <c r="N145" s="82">
        <f t="shared" si="18"/>
        <v>22</v>
      </c>
      <c r="O145" s="82">
        <f t="shared" si="18"/>
        <v>5</v>
      </c>
      <c r="P145" s="82">
        <f t="shared" si="18"/>
        <v>91</v>
      </c>
      <c r="Q145" s="82">
        <f t="shared" si="18"/>
        <v>60</v>
      </c>
      <c r="R145" s="82">
        <f t="shared" si="18"/>
        <v>22</v>
      </c>
      <c r="S145" s="82">
        <f t="shared" si="18"/>
        <v>49</v>
      </c>
      <c r="T145" s="82">
        <f t="shared" si="18"/>
        <v>17</v>
      </c>
      <c r="U145" s="82">
        <f t="shared" si="18"/>
        <v>6</v>
      </c>
      <c r="V145" s="82">
        <f t="shared" si="18"/>
        <v>7</v>
      </c>
      <c r="W145" s="82">
        <f t="shared" si="18"/>
        <v>74</v>
      </c>
      <c r="X145" s="82">
        <f t="shared" si="18"/>
        <v>74</v>
      </c>
      <c r="Y145" s="82">
        <f t="shared" si="18"/>
        <v>61</v>
      </c>
      <c r="Z145" s="82">
        <f t="shared" si="18"/>
        <v>31</v>
      </c>
      <c r="AA145" s="82">
        <f t="shared" si="18"/>
        <v>22</v>
      </c>
      <c r="AB145" s="82">
        <f t="shared" si="18"/>
        <v>10</v>
      </c>
      <c r="AC145" s="82">
        <f t="shared" si="18"/>
        <v>23</v>
      </c>
      <c r="AD145" s="82">
        <f t="shared" si="18"/>
        <v>64</v>
      </c>
      <c r="AE145" s="82">
        <f t="shared" si="18"/>
        <v>68</v>
      </c>
      <c r="AF145" s="226">
        <f t="shared" si="18"/>
        <v>67</v>
      </c>
      <c r="AG145" s="83">
        <f t="shared" si="2"/>
        <v>1351</v>
      </c>
      <c r="AH145" s="77"/>
    </row>
    <row r="146" spans="1:35" ht="15.75" customHeight="1" x14ac:dyDescent="0.25">
      <c r="A146" s="84" t="s">
        <v>94</v>
      </c>
      <c r="B146" s="85">
        <f t="shared" ref="B146:AG146" si="19">+B148+B154</f>
        <v>0</v>
      </c>
      <c r="C146" s="86">
        <f t="shared" si="19"/>
        <v>0</v>
      </c>
      <c r="D146" s="86">
        <f t="shared" si="19"/>
        <v>0</v>
      </c>
      <c r="E146" s="86">
        <f t="shared" si="19"/>
        <v>0</v>
      </c>
      <c r="F146" s="86">
        <f t="shared" si="19"/>
        <v>0</v>
      </c>
      <c r="G146" s="86">
        <f t="shared" si="19"/>
        <v>0</v>
      </c>
      <c r="H146" s="86">
        <f t="shared" si="19"/>
        <v>0</v>
      </c>
      <c r="I146" s="86">
        <f t="shared" si="19"/>
        <v>0</v>
      </c>
      <c r="J146" s="86">
        <f t="shared" si="19"/>
        <v>0</v>
      </c>
      <c r="K146" s="86">
        <f t="shared" si="19"/>
        <v>0</v>
      </c>
      <c r="L146" s="86">
        <f t="shared" si="19"/>
        <v>0</v>
      </c>
      <c r="M146" s="86">
        <f t="shared" si="19"/>
        <v>0</v>
      </c>
      <c r="N146" s="86">
        <f t="shared" si="19"/>
        <v>0</v>
      </c>
      <c r="O146" s="86">
        <f t="shared" si="19"/>
        <v>0</v>
      </c>
      <c r="P146" s="86">
        <f t="shared" si="19"/>
        <v>0</v>
      </c>
      <c r="Q146" s="86">
        <f t="shared" si="19"/>
        <v>0</v>
      </c>
      <c r="R146" s="86">
        <f t="shared" si="19"/>
        <v>0</v>
      </c>
      <c r="S146" s="86">
        <f t="shared" si="19"/>
        <v>0</v>
      </c>
      <c r="T146" s="86">
        <f t="shared" si="19"/>
        <v>0</v>
      </c>
      <c r="U146" s="86">
        <f t="shared" si="19"/>
        <v>0</v>
      </c>
      <c r="V146" s="86">
        <f t="shared" si="19"/>
        <v>0</v>
      </c>
      <c r="W146" s="86">
        <f t="shared" si="19"/>
        <v>0</v>
      </c>
      <c r="X146" s="86">
        <f t="shared" si="19"/>
        <v>0</v>
      </c>
      <c r="Y146" s="86">
        <f t="shared" si="19"/>
        <v>0</v>
      </c>
      <c r="Z146" s="86">
        <f t="shared" si="19"/>
        <v>0</v>
      </c>
      <c r="AA146" s="86">
        <f t="shared" si="19"/>
        <v>0</v>
      </c>
      <c r="AB146" s="86">
        <f t="shared" si="19"/>
        <v>0</v>
      </c>
      <c r="AC146" s="86">
        <f t="shared" si="19"/>
        <v>0</v>
      </c>
      <c r="AD146" s="86">
        <f t="shared" si="19"/>
        <v>0</v>
      </c>
      <c r="AE146" s="86">
        <f t="shared" si="19"/>
        <v>0</v>
      </c>
      <c r="AF146" s="227">
        <f t="shared" si="19"/>
        <v>0</v>
      </c>
      <c r="AG146" s="87">
        <f t="shared" si="19"/>
        <v>0</v>
      </c>
    </row>
    <row r="147" spans="1:35" ht="15.75" customHeight="1" x14ac:dyDescent="0.25">
      <c r="A147" s="88" t="s">
        <v>95</v>
      </c>
      <c r="B147" s="89">
        <f t="shared" ref="B147:AE147" si="20">+B149+B155</f>
        <v>0</v>
      </c>
      <c r="C147" s="90">
        <f t="shared" si="20"/>
        <v>0</v>
      </c>
      <c r="D147" s="90">
        <f t="shared" si="20"/>
        <v>0</v>
      </c>
      <c r="E147" s="90">
        <f t="shared" si="20"/>
        <v>0</v>
      </c>
      <c r="F147" s="90">
        <f t="shared" si="20"/>
        <v>0</v>
      </c>
      <c r="G147" s="90">
        <f t="shared" si="20"/>
        <v>0</v>
      </c>
      <c r="H147" s="90">
        <f t="shared" si="20"/>
        <v>0</v>
      </c>
      <c r="I147" s="90">
        <f t="shared" si="20"/>
        <v>0</v>
      </c>
      <c r="J147" s="90">
        <f t="shared" si="20"/>
        <v>0</v>
      </c>
      <c r="K147" s="90">
        <f t="shared" si="20"/>
        <v>0</v>
      </c>
      <c r="L147" s="90">
        <f t="shared" si="20"/>
        <v>0</v>
      </c>
      <c r="M147" s="90">
        <f t="shared" si="20"/>
        <v>0</v>
      </c>
      <c r="N147" s="90">
        <f t="shared" si="20"/>
        <v>0</v>
      </c>
      <c r="O147" s="90">
        <f t="shared" si="20"/>
        <v>0</v>
      </c>
      <c r="P147" s="90">
        <f t="shared" si="20"/>
        <v>0</v>
      </c>
      <c r="Q147" s="90">
        <f t="shared" si="20"/>
        <v>0</v>
      </c>
      <c r="R147" s="90">
        <f t="shared" si="20"/>
        <v>0</v>
      </c>
      <c r="S147" s="90">
        <f t="shared" si="20"/>
        <v>0</v>
      </c>
      <c r="T147" s="90">
        <f t="shared" si="20"/>
        <v>0</v>
      </c>
      <c r="U147" s="90">
        <f t="shared" si="20"/>
        <v>0</v>
      </c>
      <c r="V147" s="90">
        <f t="shared" si="20"/>
        <v>0</v>
      </c>
      <c r="W147" s="90">
        <f t="shared" si="20"/>
        <v>0</v>
      </c>
      <c r="X147" s="90">
        <f t="shared" si="20"/>
        <v>0</v>
      </c>
      <c r="Y147" s="90">
        <f t="shared" si="20"/>
        <v>0</v>
      </c>
      <c r="Z147" s="90">
        <f t="shared" si="20"/>
        <v>0</v>
      </c>
      <c r="AA147" s="90">
        <f t="shared" si="20"/>
        <v>0</v>
      </c>
      <c r="AB147" s="90">
        <f t="shared" si="20"/>
        <v>0</v>
      </c>
      <c r="AC147" s="90">
        <f t="shared" si="20"/>
        <v>0</v>
      </c>
      <c r="AD147" s="90">
        <f t="shared" si="20"/>
        <v>0</v>
      </c>
      <c r="AE147" s="90">
        <f t="shared" si="20"/>
        <v>0</v>
      </c>
      <c r="AF147" s="228"/>
      <c r="AG147" s="91">
        <f t="shared" ref="AG147:AG226" si="21">SUM(B147:AF147)</f>
        <v>0</v>
      </c>
    </row>
    <row r="148" spans="1:35" ht="15.75" customHeight="1" x14ac:dyDescent="0.25">
      <c r="A148" s="92" t="s">
        <v>96</v>
      </c>
      <c r="B148" s="93">
        <f t="shared" ref="B148:AF148" si="22">SUM(B150:B153)</f>
        <v>0</v>
      </c>
      <c r="C148" s="94">
        <f t="shared" si="22"/>
        <v>0</v>
      </c>
      <c r="D148" s="94">
        <f t="shared" si="22"/>
        <v>0</v>
      </c>
      <c r="E148" s="94">
        <f t="shared" si="22"/>
        <v>0</v>
      </c>
      <c r="F148" s="94">
        <f t="shared" si="22"/>
        <v>0</v>
      </c>
      <c r="G148" s="94">
        <f t="shared" si="22"/>
        <v>0</v>
      </c>
      <c r="H148" s="94">
        <f t="shared" si="22"/>
        <v>0</v>
      </c>
      <c r="I148" s="94">
        <f t="shared" si="22"/>
        <v>0</v>
      </c>
      <c r="J148" s="94">
        <f t="shared" si="22"/>
        <v>0</v>
      </c>
      <c r="K148" s="94">
        <f t="shared" si="22"/>
        <v>0</v>
      </c>
      <c r="L148" s="94">
        <f t="shared" si="22"/>
        <v>0</v>
      </c>
      <c r="M148" s="94">
        <f t="shared" si="22"/>
        <v>0</v>
      </c>
      <c r="N148" s="94">
        <f t="shared" si="22"/>
        <v>0</v>
      </c>
      <c r="O148" s="94">
        <f t="shared" si="22"/>
        <v>0</v>
      </c>
      <c r="P148" s="94">
        <f t="shared" si="22"/>
        <v>0</v>
      </c>
      <c r="Q148" s="94">
        <f t="shared" si="22"/>
        <v>0</v>
      </c>
      <c r="R148" s="94">
        <f t="shared" si="22"/>
        <v>0</v>
      </c>
      <c r="S148" s="94">
        <f t="shared" si="22"/>
        <v>0</v>
      </c>
      <c r="T148" s="94">
        <f t="shared" si="22"/>
        <v>0</v>
      </c>
      <c r="U148" s="94">
        <f t="shared" si="22"/>
        <v>0</v>
      </c>
      <c r="V148" s="94">
        <f t="shared" si="22"/>
        <v>0</v>
      </c>
      <c r="W148" s="94">
        <f t="shared" si="22"/>
        <v>0</v>
      </c>
      <c r="X148" s="94">
        <f t="shared" si="22"/>
        <v>0</v>
      </c>
      <c r="Y148" s="94">
        <f t="shared" si="22"/>
        <v>0</v>
      </c>
      <c r="Z148" s="94">
        <f t="shared" si="22"/>
        <v>0</v>
      </c>
      <c r="AA148" s="94">
        <f t="shared" si="22"/>
        <v>0</v>
      </c>
      <c r="AB148" s="94">
        <f t="shared" si="22"/>
        <v>0</v>
      </c>
      <c r="AC148" s="94">
        <f t="shared" si="22"/>
        <v>0</v>
      </c>
      <c r="AD148" s="94">
        <f t="shared" si="22"/>
        <v>0</v>
      </c>
      <c r="AE148" s="94">
        <f t="shared" si="22"/>
        <v>0</v>
      </c>
      <c r="AF148" s="229">
        <f t="shared" si="22"/>
        <v>0</v>
      </c>
      <c r="AG148" s="95">
        <f t="shared" si="21"/>
        <v>0</v>
      </c>
    </row>
    <row r="149" spans="1:35" ht="15.75" customHeight="1" x14ac:dyDescent="0.25">
      <c r="A149" s="88" t="s">
        <v>97</v>
      </c>
      <c r="B149" s="89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228"/>
      <c r="AG149" s="91">
        <f t="shared" si="21"/>
        <v>0</v>
      </c>
    </row>
    <row r="150" spans="1:35" ht="15.75" customHeight="1" x14ac:dyDescent="0.25">
      <c r="A150" s="96" t="s">
        <v>98</v>
      </c>
      <c r="B150" s="97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230"/>
      <c r="AG150" s="11">
        <f t="shared" si="21"/>
        <v>0</v>
      </c>
      <c r="AI150" s="99"/>
    </row>
    <row r="151" spans="1:35" ht="15.75" customHeight="1" x14ac:dyDescent="0.25">
      <c r="A151" s="100" t="s">
        <v>99</v>
      </c>
      <c r="B151" s="101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231"/>
      <c r="AG151" s="15">
        <f t="shared" si="21"/>
        <v>0</v>
      </c>
      <c r="AI151" s="99"/>
    </row>
    <row r="152" spans="1:35" ht="15.75" customHeight="1" x14ac:dyDescent="0.25">
      <c r="A152" s="100" t="s">
        <v>100</v>
      </c>
      <c r="B152" s="101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231"/>
      <c r="AG152" s="15">
        <f t="shared" si="21"/>
        <v>0</v>
      </c>
    </row>
    <row r="153" spans="1:35" ht="15.75" customHeight="1" x14ac:dyDescent="0.25">
      <c r="A153" s="103" t="s">
        <v>101</v>
      </c>
      <c r="B153" s="104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232"/>
      <c r="AG153" s="106">
        <f t="shared" si="21"/>
        <v>0</v>
      </c>
    </row>
    <row r="154" spans="1:35" ht="15.75" customHeight="1" x14ac:dyDescent="0.25">
      <c r="A154" s="92" t="s">
        <v>102</v>
      </c>
      <c r="B154" s="93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229"/>
      <c r="AG154" s="95">
        <f t="shared" si="21"/>
        <v>0</v>
      </c>
    </row>
    <row r="155" spans="1:35" ht="15.75" customHeight="1" x14ac:dyDescent="0.25">
      <c r="A155" s="88" t="s">
        <v>103</v>
      </c>
      <c r="B155" s="89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228"/>
      <c r="AG155" s="91">
        <f t="shared" si="21"/>
        <v>0</v>
      </c>
    </row>
    <row r="156" spans="1:35" ht="15.75" customHeight="1" x14ac:dyDescent="0.25">
      <c r="A156" s="107" t="s">
        <v>104</v>
      </c>
      <c r="B156" s="108">
        <v>257</v>
      </c>
      <c r="C156" s="109">
        <v>225</v>
      </c>
      <c r="D156" s="109">
        <v>234</v>
      </c>
      <c r="E156" s="109">
        <v>211</v>
      </c>
      <c r="F156" s="109">
        <v>204</v>
      </c>
      <c r="G156" s="109">
        <v>215</v>
      </c>
      <c r="H156" s="109">
        <v>213</v>
      </c>
      <c r="I156" s="109">
        <v>215</v>
      </c>
      <c r="J156" s="109">
        <v>243</v>
      </c>
      <c r="K156" s="109">
        <v>205</v>
      </c>
      <c r="L156" s="109">
        <v>238</v>
      </c>
      <c r="M156" s="109">
        <v>229</v>
      </c>
      <c r="N156" s="109">
        <v>226</v>
      </c>
      <c r="O156" s="109">
        <v>213</v>
      </c>
      <c r="P156" s="109">
        <v>234</v>
      </c>
      <c r="Q156" s="109">
        <v>251</v>
      </c>
      <c r="R156" s="109">
        <v>224</v>
      </c>
      <c r="S156" s="109">
        <v>230</v>
      </c>
      <c r="T156" s="109">
        <v>240</v>
      </c>
      <c r="U156" s="109">
        <v>208</v>
      </c>
      <c r="V156" s="109">
        <v>184</v>
      </c>
      <c r="W156" s="109">
        <v>215</v>
      </c>
      <c r="X156" s="109">
        <v>216</v>
      </c>
      <c r="Y156" s="109">
        <v>194</v>
      </c>
      <c r="Z156" s="109">
        <v>214</v>
      </c>
      <c r="AA156" s="109">
        <v>206</v>
      </c>
      <c r="AB156" s="109">
        <v>186</v>
      </c>
      <c r="AC156" s="109">
        <v>239</v>
      </c>
      <c r="AD156" s="109">
        <v>213</v>
      </c>
      <c r="AE156" s="109">
        <v>204</v>
      </c>
      <c r="AF156" s="233">
        <v>203</v>
      </c>
      <c r="AG156" s="110">
        <f t="shared" si="21"/>
        <v>6789</v>
      </c>
      <c r="AH156" s="111" t="s">
        <v>105</v>
      </c>
    </row>
    <row r="157" spans="1:35" ht="15.75" customHeight="1" x14ac:dyDescent="0.25">
      <c r="A157" s="74" t="s">
        <v>46</v>
      </c>
      <c r="B157" s="75">
        <v>17</v>
      </c>
      <c r="C157" s="76">
        <v>78</v>
      </c>
      <c r="D157" s="76">
        <v>73</v>
      </c>
      <c r="E157" s="76">
        <v>52</v>
      </c>
      <c r="F157" s="76">
        <v>19</v>
      </c>
      <c r="G157" s="76">
        <v>11</v>
      </c>
      <c r="H157" s="76">
        <v>35</v>
      </c>
      <c r="I157" s="76">
        <v>100</v>
      </c>
      <c r="J157" s="76">
        <v>66</v>
      </c>
      <c r="K157" s="76">
        <v>56</v>
      </c>
      <c r="L157" s="76">
        <v>42</v>
      </c>
      <c r="M157" s="76">
        <v>29</v>
      </c>
      <c r="N157" s="76">
        <v>22</v>
      </c>
      <c r="O157" s="76">
        <v>5</v>
      </c>
      <c r="P157" s="76">
        <v>91</v>
      </c>
      <c r="Q157" s="76">
        <v>60</v>
      </c>
      <c r="R157" s="76">
        <v>22</v>
      </c>
      <c r="S157" s="76">
        <v>49</v>
      </c>
      <c r="T157" s="76">
        <v>17</v>
      </c>
      <c r="U157" s="76">
        <v>6</v>
      </c>
      <c r="V157" s="76">
        <v>7</v>
      </c>
      <c r="W157" s="76">
        <v>74</v>
      </c>
      <c r="X157" s="76">
        <v>74</v>
      </c>
      <c r="Y157" s="76">
        <v>61</v>
      </c>
      <c r="Z157" s="76">
        <v>31</v>
      </c>
      <c r="AA157" s="76">
        <v>22</v>
      </c>
      <c r="AB157" s="76">
        <v>10</v>
      </c>
      <c r="AC157" s="76">
        <v>23</v>
      </c>
      <c r="AD157" s="76">
        <v>64</v>
      </c>
      <c r="AE157" s="76">
        <v>68</v>
      </c>
      <c r="AF157" s="225">
        <v>67</v>
      </c>
      <c r="AG157" s="112">
        <f t="shared" si="21"/>
        <v>1351</v>
      </c>
      <c r="AH157" s="111"/>
    </row>
    <row r="158" spans="1:35" ht="15.75" customHeight="1" x14ac:dyDescent="0.25">
      <c r="A158" s="113" t="s">
        <v>106</v>
      </c>
      <c r="B158" s="114">
        <f t="shared" ref="B158:AF158" si="23">SUM(B159:B166)</f>
        <v>0</v>
      </c>
      <c r="C158" s="115">
        <f t="shared" si="23"/>
        <v>0</v>
      </c>
      <c r="D158" s="115">
        <f t="shared" si="23"/>
        <v>0</v>
      </c>
      <c r="E158" s="115">
        <f t="shared" si="23"/>
        <v>0</v>
      </c>
      <c r="F158" s="115">
        <f t="shared" si="23"/>
        <v>0</v>
      </c>
      <c r="G158" s="115">
        <f t="shared" si="23"/>
        <v>0</v>
      </c>
      <c r="H158" s="115">
        <f t="shared" si="23"/>
        <v>0</v>
      </c>
      <c r="I158" s="115">
        <f t="shared" si="23"/>
        <v>0</v>
      </c>
      <c r="J158" s="115">
        <f t="shared" si="23"/>
        <v>0</v>
      </c>
      <c r="K158" s="115">
        <f t="shared" si="23"/>
        <v>0</v>
      </c>
      <c r="L158" s="115">
        <f t="shared" si="23"/>
        <v>0</v>
      </c>
      <c r="M158" s="115">
        <f t="shared" si="23"/>
        <v>0</v>
      </c>
      <c r="N158" s="115">
        <f t="shared" si="23"/>
        <v>0</v>
      </c>
      <c r="O158" s="115">
        <f t="shared" si="23"/>
        <v>0</v>
      </c>
      <c r="P158" s="115">
        <f t="shared" si="23"/>
        <v>0</v>
      </c>
      <c r="Q158" s="115">
        <f t="shared" si="23"/>
        <v>0</v>
      </c>
      <c r="R158" s="115">
        <f t="shared" si="23"/>
        <v>0</v>
      </c>
      <c r="S158" s="115">
        <f t="shared" si="23"/>
        <v>0</v>
      </c>
      <c r="T158" s="115">
        <f t="shared" si="23"/>
        <v>0</v>
      </c>
      <c r="U158" s="115">
        <f t="shared" si="23"/>
        <v>0</v>
      </c>
      <c r="V158" s="115">
        <f t="shared" si="23"/>
        <v>0</v>
      </c>
      <c r="W158" s="115">
        <f t="shared" si="23"/>
        <v>0</v>
      </c>
      <c r="X158" s="115">
        <f t="shared" si="23"/>
        <v>0</v>
      </c>
      <c r="Y158" s="115">
        <f t="shared" si="23"/>
        <v>0</v>
      </c>
      <c r="Z158" s="115">
        <f t="shared" si="23"/>
        <v>0</v>
      </c>
      <c r="AA158" s="115">
        <f t="shared" si="23"/>
        <v>0</v>
      </c>
      <c r="AB158" s="115">
        <f t="shared" si="23"/>
        <v>0</v>
      </c>
      <c r="AC158" s="115">
        <f t="shared" si="23"/>
        <v>0</v>
      </c>
      <c r="AD158" s="115">
        <f t="shared" si="23"/>
        <v>0</v>
      </c>
      <c r="AE158" s="115">
        <f t="shared" si="23"/>
        <v>0</v>
      </c>
      <c r="AF158" s="234">
        <f t="shared" si="23"/>
        <v>0</v>
      </c>
      <c r="AG158" s="116">
        <f t="shared" si="21"/>
        <v>0</v>
      </c>
    </row>
    <row r="159" spans="1:35" ht="15.75" customHeight="1" x14ac:dyDescent="0.25">
      <c r="A159" s="96" t="s">
        <v>79</v>
      </c>
      <c r="B159" s="97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230"/>
      <c r="AG159" s="11">
        <f t="shared" si="21"/>
        <v>0</v>
      </c>
    </row>
    <row r="160" spans="1:35" ht="15.75" customHeight="1" x14ac:dyDescent="0.25">
      <c r="A160" s="100" t="s">
        <v>80</v>
      </c>
      <c r="B160" s="101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231"/>
      <c r="AG160" s="15">
        <f t="shared" si="21"/>
        <v>0</v>
      </c>
    </row>
    <row r="161" spans="1:34" ht="15.75" customHeight="1" x14ac:dyDescent="0.25">
      <c r="A161" s="100" t="s">
        <v>78</v>
      </c>
      <c r="B161" s="101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231"/>
      <c r="AG161" s="15">
        <f t="shared" si="21"/>
        <v>0</v>
      </c>
    </row>
    <row r="162" spans="1:34" ht="15.75" customHeight="1" x14ac:dyDescent="0.25">
      <c r="A162" s="100" t="s">
        <v>81</v>
      </c>
      <c r="B162" s="101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231"/>
      <c r="AG162" s="15">
        <f t="shared" si="21"/>
        <v>0</v>
      </c>
    </row>
    <row r="163" spans="1:34" ht="15.75" customHeight="1" x14ac:dyDescent="0.25">
      <c r="A163" s="100" t="s">
        <v>82</v>
      </c>
      <c r="B163" s="101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231"/>
      <c r="AG163" s="15">
        <f t="shared" si="21"/>
        <v>0</v>
      </c>
    </row>
    <row r="164" spans="1:34" ht="15.75" customHeight="1" x14ac:dyDescent="0.25">
      <c r="A164" s="100" t="s">
        <v>83</v>
      </c>
      <c r="B164" s="101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231"/>
      <c r="AG164" s="15">
        <f t="shared" si="21"/>
        <v>0</v>
      </c>
    </row>
    <row r="165" spans="1:34" ht="15.75" customHeight="1" x14ac:dyDescent="0.25">
      <c r="A165" s="100" t="s">
        <v>84</v>
      </c>
      <c r="B165" s="101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231"/>
      <c r="AG165" s="15">
        <f t="shared" si="21"/>
        <v>0</v>
      </c>
    </row>
    <row r="166" spans="1:34" ht="15.75" customHeight="1" x14ac:dyDescent="0.25">
      <c r="A166" s="103" t="s">
        <v>85</v>
      </c>
      <c r="B166" s="104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232"/>
      <c r="AG166" s="106">
        <f t="shared" si="21"/>
        <v>0</v>
      </c>
    </row>
    <row r="167" spans="1:34" ht="15.75" customHeight="1" x14ac:dyDescent="0.25">
      <c r="A167" s="107" t="s">
        <v>107</v>
      </c>
      <c r="B167" s="108">
        <f t="shared" ref="B167:AF167" si="24">SUM(B168:B171)</f>
        <v>0</v>
      </c>
      <c r="C167" s="109">
        <f t="shared" si="24"/>
        <v>0</v>
      </c>
      <c r="D167" s="109">
        <f t="shared" si="24"/>
        <v>0</v>
      </c>
      <c r="E167" s="109">
        <f t="shared" si="24"/>
        <v>0</v>
      </c>
      <c r="F167" s="109">
        <f t="shared" si="24"/>
        <v>0</v>
      </c>
      <c r="G167" s="109">
        <f t="shared" si="24"/>
        <v>0</v>
      </c>
      <c r="H167" s="109">
        <f t="shared" si="24"/>
        <v>0</v>
      </c>
      <c r="I167" s="109">
        <f t="shared" si="24"/>
        <v>0</v>
      </c>
      <c r="J167" s="109">
        <f t="shared" si="24"/>
        <v>0</v>
      </c>
      <c r="K167" s="109">
        <f t="shared" si="24"/>
        <v>0</v>
      </c>
      <c r="L167" s="109">
        <f t="shared" si="24"/>
        <v>0</v>
      </c>
      <c r="M167" s="109">
        <f t="shared" si="24"/>
        <v>0</v>
      </c>
      <c r="N167" s="109">
        <f t="shared" si="24"/>
        <v>0</v>
      </c>
      <c r="O167" s="109">
        <f t="shared" si="24"/>
        <v>0</v>
      </c>
      <c r="P167" s="109">
        <f t="shared" si="24"/>
        <v>0</v>
      </c>
      <c r="Q167" s="109">
        <f t="shared" si="24"/>
        <v>0</v>
      </c>
      <c r="R167" s="109">
        <f t="shared" si="24"/>
        <v>0</v>
      </c>
      <c r="S167" s="109">
        <f t="shared" si="24"/>
        <v>0</v>
      </c>
      <c r="T167" s="109">
        <f t="shared" si="24"/>
        <v>0</v>
      </c>
      <c r="U167" s="109">
        <f t="shared" si="24"/>
        <v>0</v>
      </c>
      <c r="V167" s="109">
        <f t="shared" si="24"/>
        <v>0</v>
      </c>
      <c r="W167" s="109">
        <f t="shared" si="24"/>
        <v>0</v>
      </c>
      <c r="X167" s="109">
        <f t="shared" si="24"/>
        <v>0</v>
      </c>
      <c r="Y167" s="109">
        <f t="shared" si="24"/>
        <v>0</v>
      </c>
      <c r="Z167" s="109">
        <f t="shared" si="24"/>
        <v>0</v>
      </c>
      <c r="AA167" s="109">
        <f t="shared" si="24"/>
        <v>0</v>
      </c>
      <c r="AB167" s="109">
        <f t="shared" si="24"/>
        <v>0</v>
      </c>
      <c r="AC167" s="109">
        <f t="shared" si="24"/>
        <v>0</v>
      </c>
      <c r="AD167" s="109">
        <f t="shared" si="24"/>
        <v>0</v>
      </c>
      <c r="AE167" s="109">
        <f t="shared" si="24"/>
        <v>0</v>
      </c>
      <c r="AF167" s="233">
        <f t="shared" si="24"/>
        <v>0</v>
      </c>
      <c r="AG167" s="110">
        <f t="shared" si="21"/>
        <v>0</v>
      </c>
    </row>
    <row r="168" spans="1:34" ht="15.75" customHeight="1" x14ac:dyDescent="0.25">
      <c r="A168" s="117" t="s">
        <v>86</v>
      </c>
      <c r="B168" s="101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231"/>
      <c r="AG168" s="15">
        <f t="shared" si="21"/>
        <v>0</v>
      </c>
    </row>
    <row r="169" spans="1:34" ht="15.75" customHeight="1" x14ac:dyDescent="0.25">
      <c r="A169" s="117" t="s">
        <v>87</v>
      </c>
      <c r="B169" s="101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231"/>
      <c r="AG169" s="15">
        <f t="shared" si="21"/>
        <v>0</v>
      </c>
    </row>
    <row r="170" spans="1:34" ht="15.75" customHeight="1" x14ac:dyDescent="0.25">
      <c r="A170" s="117" t="s">
        <v>88</v>
      </c>
      <c r="B170" s="101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231"/>
      <c r="AG170" s="15">
        <f t="shared" si="21"/>
        <v>0</v>
      </c>
    </row>
    <row r="171" spans="1:34" ht="15.75" customHeight="1" x14ac:dyDescent="0.25">
      <c r="A171" s="118" t="s">
        <v>108</v>
      </c>
      <c r="B171" s="104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232"/>
      <c r="AG171" s="106">
        <f t="shared" si="21"/>
        <v>0</v>
      </c>
    </row>
    <row r="172" spans="1:34" ht="15.75" customHeight="1" x14ac:dyDescent="0.25">
      <c r="A172" s="119" t="s">
        <v>109</v>
      </c>
      <c r="B172" s="120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235"/>
      <c r="AG172" s="122">
        <f t="shared" si="21"/>
        <v>0</v>
      </c>
    </row>
    <row r="173" spans="1:34" ht="15.75" customHeight="1" x14ac:dyDescent="0.25">
      <c r="A173" s="4" t="s">
        <v>110</v>
      </c>
      <c r="B173" s="5">
        <f t="shared" ref="B173:AF173" si="25">SUM(B174:B176)</f>
        <v>1</v>
      </c>
      <c r="C173" s="6">
        <f t="shared" si="25"/>
        <v>0</v>
      </c>
      <c r="D173" s="6">
        <f t="shared" si="25"/>
        <v>3</v>
      </c>
      <c r="E173" s="6">
        <f t="shared" si="25"/>
        <v>0</v>
      </c>
      <c r="F173" s="6">
        <f t="shared" si="25"/>
        <v>1</v>
      </c>
      <c r="G173" s="6">
        <f t="shared" si="25"/>
        <v>3</v>
      </c>
      <c r="H173" s="6">
        <f t="shared" si="25"/>
        <v>1</v>
      </c>
      <c r="I173" s="6">
        <f t="shared" si="25"/>
        <v>2</v>
      </c>
      <c r="J173" s="6">
        <f t="shared" si="25"/>
        <v>1</v>
      </c>
      <c r="K173" s="6">
        <f t="shared" si="25"/>
        <v>0</v>
      </c>
      <c r="L173" s="6">
        <f t="shared" si="25"/>
        <v>2</v>
      </c>
      <c r="M173" s="6">
        <f t="shared" si="25"/>
        <v>2</v>
      </c>
      <c r="N173" s="6">
        <f t="shared" si="25"/>
        <v>3</v>
      </c>
      <c r="O173" s="6">
        <f t="shared" si="25"/>
        <v>0</v>
      </c>
      <c r="P173" s="6">
        <f t="shared" si="25"/>
        <v>1</v>
      </c>
      <c r="Q173" s="6">
        <f t="shared" si="25"/>
        <v>3</v>
      </c>
      <c r="R173" s="6">
        <f t="shared" si="25"/>
        <v>3</v>
      </c>
      <c r="S173" s="6">
        <f t="shared" si="25"/>
        <v>6</v>
      </c>
      <c r="T173" s="6">
        <f t="shared" si="25"/>
        <v>0</v>
      </c>
      <c r="U173" s="6">
        <f t="shared" si="25"/>
        <v>0</v>
      </c>
      <c r="V173" s="6">
        <f t="shared" si="25"/>
        <v>0</v>
      </c>
      <c r="W173" s="6">
        <f t="shared" si="25"/>
        <v>1</v>
      </c>
      <c r="X173" s="6">
        <f t="shared" si="25"/>
        <v>2</v>
      </c>
      <c r="Y173" s="6">
        <f t="shared" si="25"/>
        <v>3</v>
      </c>
      <c r="Z173" s="6">
        <f t="shared" si="25"/>
        <v>2</v>
      </c>
      <c r="AA173" s="6">
        <f t="shared" si="25"/>
        <v>1</v>
      </c>
      <c r="AB173" s="6">
        <f t="shared" si="25"/>
        <v>1</v>
      </c>
      <c r="AC173" s="6">
        <f t="shared" si="25"/>
        <v>0</v>
      </c>
      <c r="AD173" s="6">
        <f t="shared" si="25"/>
        <v>0</v>
      </c>
      <c r="AE173" s="6">
        <f t="shared" si="25"/>
        <v>1</v>
      </c>
      <c r="AF173" s="236">
        <f t="shared" si="25"/>
        <v>1</v>
      </c>
      <c r="AG173" s="7">
        <f t="shared" si="21"/>
        <v>44</v>
      </c>
      <c r="AH173" s="111" t="s">
        <v>111</v>
      </c>
    </row>
    <row r="174" spans="1:34" ht="15.75" customHeight="1" x14ac:dyDescent="0.25">
      <c r="A174" s="123" t="s">
        <v>112</v>
      </c>
      <c r="B174" s="124">
        <v>1</v>
      </c>
      <c r="C174" s="125">
        <v>0</v>
      </c>
      <c r="D174" s="125">
        <v>3</v>
      </c>
      <c r="E174" s="125">
        <v>0</v>
      </c>
      <c r="F174" s="125">
        <v>1</v>
      </c>
      <c r="G174" s="125">
        <v>3</v>
      </c>
      <c r="H174" s="125">
        <v>0</v>
      </c>
      <c r="I174" s="125">
        <v>2</v>
      </c>
      <c r="J174" s="125">
        <v>1</v>
      </c>
      <c r="K174" s="125">
        <v>0</v>
      </c>
      <c r="L174" s="125">
        <v>2</v>
      </c>
      <c r="M174" s="125">
        <v>2</v>
      </c>
      <c r="N174" s="125">
        <v>3</v>
      </c>
      <c r="O174" s="125">
        <v>0</v>
      </c>
      <c r="P174" s="125">
        <v>1</v>
      </c>
      <c r="Q174" s="125">
        <v>3</v>
      </c>
      <c r="R174" s="125">
        <v>3</v>
      </c>
      <c r="S174" s="125">
        <v>6</v>
      </c>
      <c r="T174" s="125">
        <v>0</v>
      </c>
      <c r="U174" s="125">
        <v>0</v>
      </c>
      <c r="V174" s="125">
        <v>0</v>
      </c>
      <c r="W174" s="125">
        <v>1</v>
      </c>
      <c r="X174" s="125">
        <v>2</v>
      </c>
      <c r="Y174" s="125">
        <v>3</v>
      </c>
      <c r="Z174" s="125">
        <v>2</v>
      </c>
      <c r="AA174" s="125">
        <v>1</v>
      </c>
      <c r="AB174" s="125">
        <v>1</v>
      </c>
      <c r="AC174" s="125">
        <v>0</v>
      </c>
      <c r="AD174" s="125">
        <v>0</v>
      </c>
      <c r="AE174" s="125">
        <v>1</v>
      </c>
      <c r="AF174" s="237">
        <v>1</v>
      </c>
      <c r="AG174" s="126">
        <f t="shared" si="21"/>
        <v>43</v>
      </c>
      <c r="AH174" s="111"/>
    </row>
    <row r="175" spans="1:34" ht="15.75" customHeight="1" x14ac:dyDescent="0.25">
      <c r="A175" s="127" t="s">
        <v>113</v>
      </c>
      <c r="B175" s="128">
        <v>0</v>
      </c>
      <c r="C175" s="129">
        <v>0</v>
      </c>
      <c r="D175" s="129">
        <v>0</v>
      </c>
      <c r="E175" s="129">
        <v>0</v>
      </c>
      <c r="F175" s="129">
        <v>0</v>
      </c>
      <c r="G175" s="129">
        <v>0</v>
      </c>
      <c r="H175" s="129">
        <v>1</v>
      </c>
      <c r="I175" s="129">
        <v>0</v>
      </c>
      <c r="J175" s="129">
        <v>0</v>
      </c>
      <c r="K175" s="129">
        <v>0</v>
      </c>
      <c r="L175" s="129">
        <v>0</v>
      </c>
      <c r="M175" s="129">
        <v>0</v>
      </c>
      <c r="N175" s="129">
        <v>0</v>
      </c>
      <c r="O175" s="129">
        <v>0</v>
      </c>
      <c r="P175" s="129">
        <v>0</v>
      </c>
      <c r="Q175" s="129">
        <v>0</v>
      </c>
      <c r="R175" s="129">
        <v>0</v>
      </c>
      <c r="S175" s="129">
        <v>0</v>
      </c>
      <c r="T175" s="129">
        <v>0</v>
      </c>
      <c r="U175" s="129">
        <v>0</v>
      </c>
      <c r="V175" s="129">
        <v>0</v>
      </c>
      <c r="W175" s="129">
        <v>0</v>
      </c>
      <c r="X175" s="129">
        <v>0</v>
      </c>
      <c r="Y175" s="129">
        <v>0</v>
      </c>
      <c r="Z175" s="129">
        <v>0</v>
      </c>
      <c r="AA175" s="129">
        <v>0</v>
      </c>
      <c r="AB175" s="129">
        <v>0</v>
      </c>
      <c r="AC175" s="129">
        <v>0</v>
      </c>
      <c r="AD175" s="129">
        <v>0</v>
      </c>
      <c r="AE175" s="129">
        <v>0</v>
      </c>
      <c r="AF175" s="238">
        <v>0</v>
      </c>
      <c r="AG175" s="130">
        <f t="shared" si="21"/>
        <v>1</v>
      </c>
      <c r="AH175" s="111"/>
    </row>
    <row r="176" spans="1:34" ht="15.75" customHeight="1" x14ac:dyDescent="0.25">
      <c r="A176" s="131" t="s">
        <v>114</v>
      </c>
      <c r="B176" s="132">
        <v>0</v>
      </c>
      <c r="C176" s="133">
        <v>0</v>
      </c>
      <c r="D176" s="133">
        <v>0</v>
      </c>
      <c r="E176" s="133">
        <v>0</v>
      </c>
      <c r="F176" s="133">
        <v>0</v>
      </c>
      <c r="G176" s="133">
        <v>0</v>
      </c>
      <c r="H176" s="133">
        <v>0</v>
      </c>
      <c r="I176" s="133">
        <v>0</v>
      </c>
      <c r="J176" s="133">
        <v>0</v>
      </c>
      <c r="K176" s="133">
        <v>0</v>
      </c>
      <c r="L176" s="133">
        <v>0</v>
      </c>
      <c r="M176" s="133">
        <v>0</v>
      </c>
      <c r="N176" s="133">
        <v>0</v>
      </c>
      <c r="O176" s="133">
        <v>0</v>
      </c>
      <c r="P176" s="133">
        <v>0</v>
      </c>
      <c r="Q176" s="133">
        <v>0</v>
      </c>
      <c r="R176" s="133">
        <v>0</v>
      </c>
      <c r="S176" s="133">
        <v>0</v>
      </c>
      <c r="T176" s="133">
        <v>0</v>
      </c>
      <c r="U176" s="133">
        <v>0</v>
      </c>
      <c r="V176" s="133">
        <v>0</v>
      </c>
      <c r="W176" s="133">
        <v>0</v>
      </c>
      <c r="X176" s="133">
        <v>0</v>
      </c>
      <c r="Y176" s="133">
        <v>0</v>
      </c>
      <c r="Z176" s="133">
        <v>0</v>
      </c>
      <c r="AA176" s="133">
        <v>0</v>
      </c>
      <c r="AB176" s="133">
        <v>0</v>
      </c>
      <c r="AC176" s="133">
        <v>0</v>
      </c>
      <c r="AD176" s="133">
        <v>0</v>
      </c>
      <c r="AE176" s="133">
        <v>0</v>
      </c>
      <c r="AF176" s="239">
        <v>0</v>
      </c>
      <c r="AG176" s="134">
        <f t="shared" si="21"/>
        <v>0</v>
      </c>
      <c r="AH176" s="111"/>
    </row>
    <row r="177" spans="1:35" ht="15.75" customHeight="1" x14ac:dyDescent="0.25">
      <c r="A177" s="53" t="s">
        <v>115</v>
      </c>
      <c r="B177" s="135">
        <f t="shared" ref="B177:AF177" si="26">SUM(B178:B179)</f>
        <v>5</v>
      </c>
      <c r="C177" s="136">
        <f t="shared" si="26"/>
        <v>5</v>
      </c>
      <c r="D177" s="136">
        <f t="shared" si="26"/>
        <v>4</v>
      </c>
      <c r="E177" s="136">
        <f t="shared" si="26"/>
        <v>4</v>
      </c>
      <c r="F177" s="136">
        <f t="shared" si="26"/>
        <v>3</v>
      </c>
      <c r="G177" s="136">
        <f t="shared" si="26"/>
        <v>4</v>
      </c>
      <c r="H177" s="136">
        <f t="shared" si="26"/>
        <v>2</v>
      </c>
      <c r="I177" s="136">
        <f t="shared" si="26"/>
        <v>7</v>
      </c>
      <c r="J177" s="136">
        <f t="shared" si="26"/>
        <v>4</v>
      </c>
      <c r="K177" s="136">
        <f t="shared" si="26"/>
        <v>5</v>
      </c>
      <c r="L177" s="136">
        <f t="shared" si="26"/>
        <v>1</v>
      </c>
      <c r="M177" s="136">
        <f t="shared" si="26"/>
        <v>4</v>
      </c>
      <c r="N177" s="136">
        <f t="shared" si="26"/>
        <v>5</v>
      </c>
      <c r="O177" s="136">
        <f t="shared" si="26"/>
        <v>2</v>
      </c>
      <c r="P177" s="136">
        <f t="shared" si="26"/>
        <v>2</v>
      </c>
      <c r="Q177" s="136">
        <f t="shared" si="26"/>
        <v>2</v>
      </c>
      <c r="R177" s="136">
        <f t="shared" si="26"/>
        <v>2</v>
      </c>
      <c r="S177" s="136">
        <f t="shared" si="26"/>
        <v>5</v>
      </c>
      <c r="T177" s="136">
        <f t="shared" si="26"/>
        <v>2</v>
      </c>
      <c r="U177" s="136">
        <f t="shared" si="26"/>
        <v>0</v>
      </c>
      <c r="V177" s="136">
        <f t="shared" si="26"/>
        <v>4</v>
      </c>
      <c r="W177" s="136">
        <f t="shared" si="26"/>
        <v>5</v>
      </c>
      <c r="X177" s="136">
        <f t="shared" si="26"/>
        <v>4</v>
      </c>
      <c r="Y177" s="136">
        <f t="shared" si="26"/>
        <v>6</v>
      </c>
      <c r="Z177" s="136">
        <f t="shared" si="26"/>
        <v>1</v>
      </c>
      <c r="AA177" s="136">
        <f t="shared" si="26"/>
        <v>6</v>
      </c>
      <c r="AB177" s="136">
        <f t="shared" si="26"/>
        <v>0</v>
      </c>
      <c r="AC177" s="136">
        <f t="shared" si="26"/>
        <v>3</v>
      </c>
      <c r="AD177" s="136">
        <f t="shared" si="26"/>
        <v>3</v>
      </c>
      <c r="AE177" s="136">
        <f t="shared" si="26"/>
        <v>2</v>
      </c>
      <c r="AF177" s="240">
        <f t="shared" si="26"/>
        <v>1</v>
      </c>
      <c r="AG177" s="137">
        <f t="shared" si="21"/>
        <v>103</v>
      </c>
      <c r="AH177" s="111" t="s">
        <v>116</v>
      </c>
    </row>
    <row r="178" spans="1:35" ht="15.75" customHeight="1" x14ac:dyDescent="0.25">
      <c r="A178" s="138" t="s">
        <v>117</v>
      </c>
      <c r="B178" s="139">
        <v>0</v>
      </c>
      <c r="C178" s="140">
        <v>2</v>
      </c>
      <c r="D178" s="140">
        <v>1</v>
      </c>
      <c r="E178" s="140">
        <v>1</v>
      </c>
      <c r="F178" s="140">
        <v>0</v>
      </c>
      <c r="G178" s="140">
        <v>0</v>
      </c>
      <c r="H178" s="140">
        <v>0</v>
      </c>
      <c r="I178" s="140">
        <v>0</v>
      </c>
      <c r="J178" s="140">
        <v>0</v>
      </c>
      <c r="K178" s="140">
        <v>1</v>
      </c>
      <c r="L178" s="140">
        <v>0</v>
      </c>
      <c r="M178" s="140">
        <v>0</v>
      </c>
      <c r="N178" s="140">
        <v>1</v>
      </c>
      <c r="O178" s="140">
        <v>1</v>
      </c>
      <c r="P178" s="140">
        <v>1</v>
      </c>
      <c r="Q178" s="140">
        <v>1</v>
      </c>
      <c r="R178" s="140">
        <v>0</v>
      </c>
      <c r="S178" s="140">
        <v>2</v>
      </c>
      <c r="T178" s="140">
        <v>1</v>
      </c>
      <c r="U178" s="140">
        <v>0</v>
      </c>
      <c r="V178" s="140">
        <v>0</v>
      </c>
      <c r="W178" s="140">
        <v>0</v>
      </c>
      <c r="X178" s="140">
        <v>0</v>
      </c>
      <c r="Y178" s="140">
        <v>0</v>
      </c>
      <c r="Z178" s="140">
        <v>0</v>
      </c>
      <c r="AA178" s="140">
        <v>2</v>
      </c>
      <c r="AB178" s="140">
        <v>0</v>
      </c>
      <c r="AC178" s="140">
        <v>0</v>
      </c>
      <c r="AD178" s="140">
        <v>1</v>
      </c>
      <c r="AE178" s="140">
        <v>0</v>
      </c>
      <c r="AF178" s="241">
        <v>0</v>
      </c>
      <c r="AG178" s="141">
        <f t="shared" si="21"/>
        <v>15</v>
      </c>
      <c r="AH178" s="111" t="s">
        <v>116</v>
      </c>
    </row>
    <row r="179" spans="1:35" ht="15.75" customHeight="1" x14ac:dyDescent="0.25">
      <c r="A179" s="58" t="s">
        <v>118</v>
      </c>
      <c r="B179" s="142">
        <v>5</v>
      </c>
      <c r="C179" s="143">
        <v>3</v>
      </c>
      <c r="D179" s="143">
        <v>3</v>
      </c>
      <c r="E179" s="143">
        <v>3</v>
      </c>
      <c r="F179" s="143">
        <v>3</v>
      </c>
      <c r="G179" s="143">
        <v>4</v>
      </c>
      <c r="H179" s="143">
        <v>2</v>
      </c>
      <c r="I179" s="143">
        <v>7</v>
      </c>
      <c r="J179" s="143">
        <v>4</v>
      </c>
      <c r="K179" s="143">
        <v>4</v>
      </c>
      <c r="L179" s="143">
        <v>1</v>
      </c>
      <c r="M179" s="143">
        <v>4</v>
      </c>
      <c r="N179" s="143">
        <v>4</v>
      </c>
      <c r="O179" s="143">
        <v>1</v>
      </c>
      <c r="P179" s="143">
        <v>1</v>
      </c>
      <c r="Q179" s="143">
        <v>1</v>
      </c>
      <c r="R179" s="143">
        <v>2</v>
      </c>
      <c r="S179" s="143">
        <v>3</v>
      </c>
      <c r="T179" s="143">
        <v>1</v>
      </c>
      <c r="U179" s="143">
        <v>0</v>
      </c>
      <c r="V179" s="143">
        <v>4</v>
      </c>
      <c r="W179" s="143">
        <v>5</v>
      </c>
      <c r="X179" s="143">
        <v>4</v>
      </c>
      <c r="Y179" s="143">
        <v>6</v>
      </c>
      <c r="Z179" s="143">
        <v>1</v>
      </c>
      <c r="AA179" s="143">
        <v>4</v>
      </c>
      <c r="AB179" s="143">
        <v>0</v>
      </c>
      <c r="AC179" s="143">
        <v>3</v>
      </c>
      <c r="AD179" s="143">
        <v>2</v>
      </c>
      <c r="AE179" s="143">
        <v>2</v>
      </c>
      <c r="AF179" s="242">
        <v>1</v>
      </c>
      <c r="AG179" s="144">
        <f t="shared" si="21"/>
        <v>88</v>
      </c>
      <c r="AH179" s="111" t="s">
        <v>116</v>
      </c>
    </row>
    <row r="180" spans="1:35" ht="15.75" customHeight="1" x14ac:dyDescent="0.25">
      <c r="A180" s="145" t="s">
        <v>119</v>
      </c>
      <c r="B180" s="146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243"/>
      <c r="AG180" s="148">
        <f t="shared" si="21"/>
        <v>0</v>
      </c>
    </row>
    <row r="181" spans="1:35" ht="15.75" customHeight="1" x14ac:dyDescent="0.25">
      <c r="A181" s="149" t="s">
        <v>120</v>
      </c>
      <c r="B181" s="150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244"/>
      <c r="AG181" s="152">
        <f t="shared" si="21"/>
        <v>0</v>
      </c>
    </row>
    <row r="182" spans="1:35" ht="15.75" customHeight="1" x14ac:dyDescent="0.25">
      <c r="A182" s="153" t="s">
        <v>121</v>
      </c>
      <c r="B182" s="154">
        <f t="shared" ref="B182:AF182" si="27">SUM(B183:B208)</f>
        <v>116</v>
      </c>
      <c r="C182" s="155">
        <f t="shared" si="27"/>
        <v>107</v>
      </c>
      <c r="D182" s="155">
        <f t="shared" si="27"/>
        <v>99</v>
      </c>
      <c r="E182" s="155">
        <f t="shared" si="27"/>
        <v>116</v>
      </c>
      <c r="F182" s="155">
        <f t="shared" si="27"/>
        <v>89</v>
      </c>
      <c r="G182" s="155">
        <f t="shared" si="27"/>
        <v>106</v>
      </c>
      <c r="H182" s="155">
        <f t="shared" si="27"/>
        <v>108</v>
      </c>
      <c r="I182" s="155">
        <f t="shared" si="27"/>
        <v>102</v>
      </c>
      <c r="J182" s="155">
        <f t="shared" si="27"/>
        <v>140</v>
      </c>
      <c r="K182" s="155">
        <f t="shared" si="27"/>
        <v>114</v>
      </c>
      <c r="L182" s="155">
        <f t="shared" si="27"/>
        <v>126</v>
      </c>
      <c r="M182" s="155">
        <f t="shared" si="27"/>
        <v>95</v>
      </c>
      <c r="N182" s="155">
        <f t="shared" si="27"/>
        <v>95</v>
      </c>
      <c r="O182" s="155">
        <f t="shared" si="27"/>
        <v>128</v>
      </c>
      <c r="P182" s="155">
        <f t="shared" si="27"/>
        <v>116</v>
      </c>
      <c r="Q182" s="155">
        <f t="shared" si="27"/>
        <v>139</v>
      </c>
      <c r="R182" s="155">
        <f t="shared" si="27"/>
        <v>115</v>
      </c>
      <c r="S182" s="155">
        <f t="shared" si="27"/>
        <v>98</v>
      </c>
      <c r="T182" s="155">
        <f t="shared" si="27"/>
        <v>118</v>
      </c>
      <c r="U182" s="155">
        <f t="shared" si="27"/>
        <v>82</v>
      </c>
      <c r="V182" s="155">
        <f t="shared" si="27"/>
        <v>92</v>
      </c>
      <c r="W182" s="155">
        <f t="shared" si="27"/>
        <v>127</v>
      </c>
      <c r="X182" s="155">
        <f t="shared" si="27"/>
        <v>114</v>
      </c>
      <c r="Y182" s="155">
        <f t="shared" si="27"/>
        <v>96</v>
      </c>
      <c r="Z182" s="155">
        <f t="shared" si="27"/>
        <v>109</v>
      </c>
      <c r="AA182" s="155">
        <f t="shared" si="27"/>
        <v>104</v>
      </c>
      <c r="AB182" s="155">
        <f t="shared" si="27"/>
        <v>63</v>
      </c>
      <c r="AC182" s="155">
        <f t="shared" si="27"/>
        <v>95</v>
      </c>
      <c r="AD182" s="155">
        <f t="shared" si="27"/>
        <v>102</v>
      </c>
      <c r="AE182" s="155">
        <f t="shared" si="27"/>
        <v>118</v>
      </c>
      <c r="AF182" s="245">
        <f t="shared" si="27"/>
        <v>101</v>
      </c>
      <c r="AG182" s="91">
        <f t="shared" si="21"/>
        <v>3330</v>
      </c>
      <c r="AH182" s="78"/>
    </row>
    <row r="183" spans="1:35" ht="15.75" customHeight="1" x14ac:dyDescent="0.25">
      <c r="A183" s="156" t="s">
        <v>122</v>
      </c>
      <c r="B183" s="157">
        <v>1</v>
      </c>
      <c r="C183" s="158">
        <v>4</v>
      </c>
      <c r="D183" s="158">
        <v>2</v>
      </c>
      <c r="E183" s="158">
        <v>2</v>
      </c>
      <c r="F183" s="158">
        <v>4</v>
      </c>
      <c r="G183" s="158">
        <v>1</v>
      </c>
      <c r="H183" s="158">
        <v>3</v>
      </c>
      <c r="I183" s="158">
        <v>2</v>
      </c>
      <c r="J183" s="158">
        <v>6</v>
      </c>
      <c r="K183" s="158">
        <v>1</v>
      </c>
      <c r="L183" s="158">
        <v>9</v>
      </c>
      <c r="M183" s="158">
        <v>6</v>
      </c>
      <c r="N183" s="158">
        <v>5</v>
      </c>
      <c r="O183" s="158">
        <v>3</v>
      </c>
      <c r="P183" s="158">
        <v>6</v>
      </c>
      <c r="Q183" s="158">
        <v>8</v>
      </c>
      <c r="R183" s="158">
        <v>3</v>
      </c>
      <c r="S183" s="158">
        <v>3</v>
      </c>
      <c r="T183" s="158">
        <v>10</v>
      </c>
      <c r="U183" s="158">
        <v>2</v>
      </c>
      <c r="V183" s="158">
        <v>7</v>
      </c>
      <c r="W183" s="158">
        <v>5</v>
      </c>
      <c r="X183" s="158">
        <v>3</v>
      </c>
      <c r="Y183" s="158">
        <v>6</v>
      </c>
      <c r="Z183" s="158">
        <v>9</v>
      </c>
      <c r="AA183" s="158">
        <v>3</v>
      </c>
      <c r="AB183" s="158">
        <v>6</v>
      </c>
      <c r="AC183" s="158">
        <v>4</v>
      </c>
      <c r="AD183" s="158">
        <v>3</v>
      </c>
      <c r="AE183" s="158">
        <v>4</v>
      </c>
      <c r="AF183" s="246">
        <v>5</v>
      </c>
      <c r="AG183" s="159">
        <f t="shared" si="21"/>
        <v>136</v>
      </c>
    </row>
    <row r="184" spans="1:35" ht="15.75" customHeight="1" x14ac:dyDescent="0.25">
      <c r="A184" s="160" t="s">
        <v>123</v>
      </c>
      <c r="B184" s="65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222"/>
      <c r="AG184" s="15">
        <f t="shared" si="21"/>
        <v>0</v>
      </c>
    </row>
    <row r="185" spans="1:35" ht="15.75" customHeight="1" x14ac:dyDescent="0.25">
      <c r="A185" s="160" t="s">
        <v>124</v>
      </c>
      <c r="B185" s="65"/>
      <c r="C185" s="66">
        <v>1</v>
      </c>
      <c r="D185" s="66"/>
      <c r="E185" s="66"/>
      <c r="F185" s="66"/>
      <c r="G185" s="66"/>
      <c r="H185" s="66"/>
      <c r="I185" s="66">
        <v>1</v>
      </c>
      <c r="J185" s="66"/>
      <c r="K185" s="66"/>
      <c r="L185" s="66"/>
      <c r="M185" s="66"/>
      <c r="N185" s="66"/>
      <c r="O185" s="66">
        <v>10</v>
      </c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222">
        <v>1</v>
      </c>
      <c r="AG185" s="15">
        <f t="shared" si="21"/>
        <v>13</v>
      </c>
    </row>
    <row r="186" spans="1:35" ht="15.75" customHeight="1" x14ac:dyDescent="0.25">
      <c r="A186" s="160" t="s">
        <v>125</v>
      </c>
      <c r="B186" s="65"/>
      <c r="C186" s="66"/>
      <c r="D186" s="66"/>
      <c r="E186" s="66">
        <v>1</v>
      </c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222"/>
      <c r="AG186" s="15">
        <f t="shared" si="21"/>
        <v>1</v>
      </c>
    </row>
    <row r="187" spans="1:35" ht="15.75" customHeight="1" x14ac:dyDescent="0.25">
      <c r="A187" s="161" t="s">
        <v>126</v>
      </c>
      <c r="B187" s="162">
        <v>110</v>
      </c>
      <c r="C187" s="163">
        <v>101</v>
      </c>
      <c r="D187" s="163">
        <v>92</v>
      </c>
      <c r="E187" s="163">
        <v>93</v>
      </c>
      <c r="F187" s="163">
        <v>83</v>
      </c>
      <c r="G187" s="163">
        <v>101</v>
      </c>
      <c r="H187" s="163">
        <v>101</v>
      </c>
      <c r="I187" s="163">
        <v>96</v>
      </c>
      <c r="J187" s="163">
        <v>127</v>
      </c>
      <c r="K187" s="163">
        <v>109</v>
      </c>
      <c r="L187" s="163">
        <v>105</v>
      </c>
      <c r="M187" s="163">
        <v>83</v>
      </c>
      <c r="N187" s="163">
        <v>87</v>
      </c>
      <c r="O187" s="163">
        <v>111</v>
      </c>
      <c r="P187" s="163">
        <v>105</v>
      </c>
      <c r="Q187" s="163">
        <v>124</v>
      </c>
      <c r="R187" s="163">
        <v>108</v>
      </c>
      <c r="S187" s="163">
        <v>92</v>
      </c>
      <c r="T187" s="163">
        <v>103</v>
      </c>
      <c r="U187" s="163">
        <v>79</v>
      </c>
      <c r="V187" s="163">
        <v>84</v>
      </c>
      <c r="W187" s="163">
        <v>118</v>
      </c>
      <c r="X187" s="163">
        <v>106</v>
      </c>
      <c r="Y187" s="163">
        <v>86</v>
      </c>
      <c r="Z187" s="163">
        <v>94</v>
      </c>
      <c r="AA187" s="163">
        <v>96</v>
      </c>
      <c r="AB187" s="163">
        <v>56</v>
      </c>
      <c r="AC187" s="163">
        <v>83</v>
      </c>
      <c r="AD187" s="163">
        <v>99</v>
      </c>
      <c r="AE187" s="163">
        <v>111</v>
      </c>
      <c r="AF187" s="247">
        <v>92</v>
      </c>
      <c r="AG187" s="164">
        <f t="shared" si="21"/>
        <v>3035</v>
      </c>
      <c r="AH187" s="165"/>
      <c r="AI187" s="165"/>
    </row>
    <row r="188" spans="1:35" ht="15.75" customHeight="1" x14ac:dyDescent="0.25">
      <c r="A188" s="160" t="s">
        <v>127</v>
      </c>
      <c r="B188" s="65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222"/>
      <c r="AG188" s="15">
        <f t="shared" si="21"/>
        <v>0</v>
      </c>
    </row>
    <row r="189" spans="1:35" ht="15.75" customHeight="1" x14ac:dyDescent="0.25">
      <c r="A189" s="160" t="s">
        <v>128</v>
      </c>
      <c r="B189" s="65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>
        <v>1</v>
      </c>
      <c r="AA189" s="66"/>
      <c r="AB189" s="66"/>
      <c r="AC189" s="66"/>
      <c r="AD189" s="66"/>
      <c r="AE189" s="66"/>
      <c r="AF189" s="222"/>
      <c r="AG189" s="15">
        <f t="shared" si="21"/>
        <v>1</v>
      </c>
    </row>
    <row r="190" spans="1:35" ht="15.75" customHeight="1" x14ac:dyDescent="0.25">
      <c r="A190" s="160" t="s">
        <v>129</v>
      </c>
      <c r="B190" s="65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222"/>
      <c r="AG190" s="15">
        <f t="shared" si="21"/>
        <v>0</v>
      </c>
    </row>
    <row r="191" spans="1:35" ht="15.75" customHeight="1" x14ac:dyDescent="0.25">
      <c r="A191" s="160" t="s">
        <v>130</v>
      </c>
      <c r="B191" s="65"/>
      <c r="C191" s="66"/>
      <c r="D191" s="66"/>
      <c r="E191" s="66"/>
      <c r="F191" s="66"/>
      <c r="G191" s="66">
        <v>1</v>
      </c>
      <c r="H191" s="66">
        <v>1</v>
      </c>
      <c r="I191" s="66"/>
      <c r="J191" s="66"/>
      <c r="K191" s="66"/>
      <c r="L191" s="66"/>
      <c r="M191" s="66"/>
      <c r="N191" s="66"/>
      <c r="O191" s="66"/>
      <c r="P191" s="66"/>
      <c r="Q191" s="66"/>
      <c r="R191" s="66">
        <v>1</v>
      </c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>
        <v>3</v>
      </c>
      <c r="AD191" s="66"/>
      <c r="AE191" s="66"/>
      <c r="AF191" s="222"/>
      <c r="AG191" s="15">
        <f t="shared" si="21"/>
        <v>6</v>
      </c>
    </row>
    <row r="192" spans="1:35" ht="15.75" customHeight="1" x14ac:dyDescent="0.25">
      <c r="A192" s="64" t="s">
        <v>131</v>
      </c>
      <c r="B192" s="65"/>
      <c r="C192" s="66">
        <v>1</v>
      </c>
      <c r="D192" s="66">
        <v>2</v>
      </c>
      <c r="E192" s="66">
        <v>5</v>
      </c>
      <c r="F192" s="66">
        <v>1</v>
      </c>
      <c r="G192" s="66"/>
      <c r="H192" s="66"/>
      <c r="I192" s="66">
        <v>1</v>
      </c>
      <c r="J192" s="66">
        <v>4</v>
      </c>
      <c r="K192" s="66">
        <v>1</v>
      </c>
      <c r="L192" s="66">
        <v>8</v>
      </c>
      <c r="M192" s="66">
        <v>2</v>
      </c>
      <c r="N192" s="66"/>
      <c r="O192" s="66"/>
      <c r="P192" s="66">
        <v>2</v>
      </c>
      <c r="Q192" s="66">
        <v>5</v>
      </c>
      <c r="R192" s="66">
        <v>3</v>
      </c>
      <c r="S192" s="66">
        <v>3</v>
      </c>
      <c r="T192" s="66">
        <v>2</v>
      </c>
      <c r="U192" s="66"/>
      <c r="V192" s="66"/>
      <c r="W192" s="66">
        <v>2</v>
      </c>
      <c r="X192" s="66">
        <v>3</v>
      </c>
      <c r="Y192" s="66">
        <v>2</v>
      </c>
      <c r="Z192" s="66">
        <v>2</v>
      </c>
      <c r="AA192" s="66">
        <v>2</v>
      </c>
      <c r="AB192" s="66">
        <v>1</v>
      </c>
      <c r="AC192" s="66"/>
      <c r="AD192" s="66"/>
      <c r="AE192" s="66">
        <v>2</v>
      </c>
      <c r="AF192" s="222">
        <v>2</v>
      </c>
      <c r="AG192" s="15">
        <f t="shared" si="21"/>
        <v>56</v>
      </c>
    </row>
    <row r="193" spans="1:33" ht="15.75" customHeight="1" x14ac:dyDescent="0.25">
      <c r="A193" s="64" t="s">
        <v>132</v>
      </c>
      <c r="B193" s="65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>
        <v>1</v>
      </c>
      <c r="AD193" s="66"/>
      <c r="AE193" s="66"/>
      <c r="AF193" s="222"/>
      <c r="AG193" s="15">
        <f t="shared" si="21"/>
        <v>1</v>
      </c>
    </row>
    <row r="194" spans="1:33" ht="15.75" customHeight="1" x14ac:dyDescent="0.25">
      <c r="A194" s="64" t="s">
        <v>133</v>
      </c>
      <c r="B194" s="65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222"/>
      <c r="AG194" s="15">
        <f t="shared" si="21"/>
        <v>0</v>
      </c>
    </row>
    <row r="195" spans="1:33" ht="15.75" customHeight="1" x14ac:dyDescent="0.25">
      <c r="A195" s="64" t="s">
        <v>134</v>
      </c>
      <c r="B195" s="65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222"/>
      <c r="AG195" s="15">
        <f t="shared" si="21"/>
        <v>0</v>
      </c>
    </row>
    <row r="196" spans="1:33" ht="15.75" customHeight="1" x14ac:dyDescent="0.25">
      <c r="A196" s="166" t="s">
        <v>135</v>
      </c>
      <c r="B196" s="167">
        <v>1</v>
      </c>
      <c r="C196" s="168"/>
      <c r="D196" s="168">
        <v>2</v>
      </c>
      <c r="E196" s="168">
        <v>10</v>
      </c>
      <c r="F196" s="168"/>
      <c r="G196" s="168"/>
      <c r="H196" s="168">
        <v>1</v>
      </c>
      <c r="I196" s="168">
        <v>1</v>
      </c>
      <c r="J196" s="168">
        <v>1</v>
      </c>
      <c r="K196" s="168">
        <v>2</v>
      </c>
      <c r="L196" s="168">
        <v>3</v>
      </c>
      <c r="M196" s="168">
        <v>3</v>
      </c>
      <c r="N196" s="168">
        <v>3</v>
      </c>
      <c r="O196" s="168">
        <v>3</v>
      </c>
      <c r="P196" s="168">
        <v>1</v>
      </c>
      <c r="Q196" s="168">
        <v>2</v>
      </c>
      <c r="R196" s="168"/>
      <c r="S196" s="168"/>
      <c r="T196" s="168">
        <v>1</v>
      </c>
      <c r="U196" s="168">
        <v>1</v>
      </c>
      <c r="V196" s="168"/>
      <c r="W196" s="168">
        <v>2</v>
      </c>
      <c r="X196" s="168">
        <v>1</v>
      </c>
      <c r="Y196" s="168"/>
      <c r="Z196" s="168">
        <v>1</v>
      </c>
      <c r="AA196" s="168">
        <v>1</v>
      </c>
      <c r="AB196" s="168"/>
      <c r="AC196" s="168">
        <v>3</v>
      </c>
      <c r="AD196" s="168"/>
      <c r="AE196" s="168"/>
      <c r="AF196" s="248"/>
      <c r="AG196" s="169">
        <f t="shared" si="21"/>
        <v>43</v>
      </c>
    </row>
    <row r="197" spans="1:33" ht="15.75" customHeight="1" x14ac:dyDescent="0.25">
      <c r="A197" s="170" t="s">
        <v>136</v>
      </c>
      <c r="B197" s="65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>
        <v>1</v>
      </c>
      <c r="W197" s="66"/>
      <c r="X197" s="66"/>
      <c r="Y197" s="66"/>
      <c r="Z197" s="66"/>
      <c r="AA197" s="66"/>
      <c r="AB197" s="66"/>
      <c r="AC197" s="66"/>
      <c r="AD197" s="66"/>
      <c r="AE197" s="66"/>
      <c r="AF197" s="222"/>
      <c r="AG197" s="15">
        <f t="shared" si="21"/>
        <v>1</v>
      </c>
    </row>
    <row r="198" spans="1:33" ht="15.75" customHeight="1" x14ac:dyDescent="0.25">
      <c r="A198" s="170" t="s">
        <v>137</v>
      </c>
      <c r="B198" s="65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222"/>
      <c r="AG198" s="15">
        <f t="shared" si="21"/>
        <v>0</v>
      </c>
    </row>
    <row r="199" spans="1:33" ht="15.75" customHeight="1" x14ac:dyDescent="0.25">
      <c r="A199" s="170" t="s">
        <v>138</v>
      </c>
      <c r="B199" s="65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222"/>
      <c r="AG199" s="15">
        <f t="shared" si="21"/>
        <v>0</v>
      </c>
    </row>
    <row r="200" spans="1:33" ht="15.75" customHeight="1" x14ac:dyDescent="0.25">
      <c r="A200" s="170" t="s">
        <v>139</v>
      </c>
      <c r="B200" s="65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222"/>
      <c r="AG200" s="15">
        <f t="shared" si="21"/>
        <v>0</v>
      </c>
    </row>
    <row r="201" spans="1:33" ht="15.75" customHeight="1" x14ac:dyDescent="0.25">
      <c r="A201" s="170" t="s">
        <v>140</v>
      </c>
      <c r="B201" s="65"/>
      <c r="C201" s="66"/>
      <c r="D201" s="66"/>
      <c r="E201" s="66"/>
      <c r="F201" s="66"/>
      <c r="G201" s="66"/>
      <c r="H201" s="66">
        <v>1</v>
      </c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222"/>
      <c r="AG201" s="15">
        <f t="shared" si="21"/>
        <v>1</v>
      </c>
    </row>
    <row r="202" spans="1:33" ht="15.75" customHeight="1" x14ac:dyDescent="0.25">
      <c r="A202" s="170" t="s">
        <v>141</v>
      </c>
      <c r="B202" s="65">
        <v>1</v>
      </c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222"/>
      <c r="AG202" s="15">
        <f t="shared" si="21"/>
        <v>1</v>
      </c>
    </row>
    <row r="203" spans="1:33" ht="15.75" customHeight="1" x14ac:dyDescent="0.25">
      <c r="A203" s="64" t="s">
        <v>142</v>
      </c>
      <c r="B203" s="65"/>
      <c r="C203" s="66"/>
      <c r="D203" s="66"/>
      <c r="E203" s="66">
        <v>1</v>
      </c>
      <c r="F203" s="66"/>
      <c r="G203" s="66"/>
      <c r="H203" s="66"/>
      <c r="I203" s="66"/>
      <c r="J203" s="66"/>
      <c r="K203" s="66">
        <v>1</v>
      </c>
      <c r="L203" s="66">
        <v>1</v>
      </c>
      <c r="M203" s="66">
        <v>1</v>
      </c>
      <c r="N203" s="66"/>
      <c r="O203" s="66">
        <v>1</v>
      </c>
      <c r="P203" s="66">
        <v>1</v>
      </c>
      <c r="Q203" s="66"/>
      <c r="R203" s="66"/>
      <c r="S203" s="66"/>
      <c r="T203" s="66"/>
      <c r="U203" s="66"/>
      <c r="V203" s="66"/>
      <c r="W203" s="66"/>
      <c r="X203" s="66">
        <v>1</v>
      </c>
      <c r="Y203" s="66"/>
      <c r="Z203" s="66"/>
      <c r="AA203" s="66">
        <v>1</v>
      </c>
      <c r="AB203" s="66"/>
      <c r="AC203" s="66"/>
      <c r="AD203" s="66"/>
      <c r="AE203" s="66"/>
      <c r="AF203" s="222"/>
      <c r="AG203" s="15">
        <f t="shared" si="21"/>
        <v>8</v>
      </c>
    </row>
    <row r="204" spans="1:33" ht="15.75" customHeight="1" x14ac:dyDescent="0.25">
      <c r="A204" s="64" t="s">
        <v>143</v>
      </c>
      <c r="B204" s="65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>
        <v>1</v>
      </c>
      <c r="AA204" s="66"/>
      <c r="AB204" s="66"/>
      <c r="AC204" s="66"/>
      <c r="AD204" s="66"/>
      <c r="AE204" s="66"/>
      <c r="AF204" s="222"/>
      <c r="AG204" s="15">
        <f t="shared" si="21"/>
        <v>1</v>
      </c>
    </row>
    <row r="205" spans="1:33" ht="15.75" customHeight="1" x14ac:dyDescent="0.25">
      <c r="A205" s="64" t="s">
        <v>144</v>
      </c>
      <c r="B205" s="65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>
        <v>2</v>
      </c>
      <c r="Z205" s="66"/>
      <c r="AA205" s="66">
        <v>1</v>
      </c>
      <c r="AB205" s="66"/>
      <c r="AC205" s="66"/>
      <c r="AD205" s="66"/>
      <c r="AE205" s="66"/>
      <c r="AF205" s="222"/>
      <c r="AG205" s="15">
        <f t="shared" si="21"/>
        <v>3</v>
      </c>
    </row>
    <row r="206" spans="1:33" ht="15.75" customHeight="1" x14ac:dyDescent="0.25">
      <c r="A206" s="64" t="s">
        <v>145</v>
      </c>
      <c r="B206" s="171">
        <v>3</v>
      </c>
      <c r="C206" s="172"/>
      <c r="D206" s="172"/>
      <c r="E206" s="172">
        <v>2</v>
      </c>
      <c r="F206" s="172">
        <v>1</v>
      </c>
      <c r="G206" s="172">
        <v>3</v>
      </c>
      <c r="H206" s="172">
        <v>1</v>
      </c>
      <c r="I206" s="172">
        <v>1</v>
      </c>
      <c r="J206" s="172">
        <v>1</v>
      </c>
      <c r="K206" s="172"/>
      <c r="L206" s="172"/>
      <c r="M206" s="172"/>
      <c r="N206" s="172"/>
      <c r="O206" s="172"/>
      <c r="P206" s="172">
        <v>1</v>
      </c>
      <c r="Q206" s="172"/>
      <c r="R206" s="172"/>
      <c r="S206" s="172"/>
      <c r="T206" s="172">
        <v>1</v>
      </c>
      <c r="U206" s="172"/>
      <c r="V206" s="172"/>
      <c r="W206" s="172"/>
      <c r="X206" s="172"/>
      <c r="Y206" s="172"/>
      <c r="Z206" s="172">
        <v>1</v>
      </c>
      <c r="AA206" s="172"/>
      <c r="AB206" s="172"/>
      <c r="AC206" s="172">
        <v>1</v>
      </c>
      <c r="AD206" s="172"/>
      <c r="AE206" s="172"/>
      <c r="AF206" s="249"/>
      <c r="AG206" s="15">
        <f t="shared" si="21"/>
        <v>16</v>
      </c>
    </row>
    <row r="207" spans="1:33" ht="15.75" customHeight="1" x14ac:dyDescent="0.25">
      <c r="A207" s="173" t="s">
        <v>146</v>
      </c>
      <c r="B207" s="171"/>
      <c r="C207" s="172"/>
      <c r="D207" s="172">
        <v>1</v>
      </c>
      <c r="E207" s="172">
        <v>2</v>
      </c>
      <c r="F207" s="172"/>
      <c r="G207" s="172"/>
      <c r="H207" s="172"/>
      <c r="I207" s="172"/>
      <c r="J207" s="172">
        <v>1</v>
      </c>
      <c r="K207" s="172"/>
      <c r="L207" s="172"/>
      <c r="M207" s="172"/>
      <c r="N207" s="172"/>
      <c r="O207" s="172"/>
      <c r="P207" s="172"/>
      <c r="Q207" s="172"/>
      <c r="R207" s="172"/>
      <c r="S207" s="172"/>
      <c r="T207" s="172">
        <v>1</v>
      </c>
      <c r="U207" s="172"/>
      <c r="V207" s="172"/>
      <c r="W207" s="172"/>
      <c r="X207" s="172"/>
      <c r="Y207" s="172"/>
      <c r="Z207" s="172"/>
      <c r="AA207" s="172"/>
      <c r="AB207" s="172"/>
      <c r="AC207" s="172"/>
      <c r="AD207" s="172"/>
      <c r="AE207" s="172">
        <v>1</v>
      </c>
      <c r="AF207" s="249">
        <v>1</v>
      </c>
      <c r="AG207" s="15">
        <f t="shared" si="21"/>
        <v>7</v>
      </c>
    </row>
    <row r="208" spans="1:33" ht="15.75" customHeight="1" x14ac:dyDescent="0.25">
      <c r="A208" s="174" t="s">
        <v>147</v>
      </c>
      <c r="B208" s="171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  <c r="AA208" s="172"/>
      <c r="AB208" s="172"/>
      <c r="AC208" s="172"/>
      <c r="AD208" s="172"/>
      <c r="AE208" s="172"/>
      <c r="AF208" s="249"/>
      <c r="AG208" s="106">
        <f t="shared" si="21"/>
        <v>0</v>
      </c>
    </row>
    <row r="209" spans="1:34" ht="15.75" customHeight="1" x14ac:dyDescent="0.25">
      <c r="A209" s="175" t="s">
        <v>148</v>
      </c>
      <c r="B209" s="176">
        <f t="shared" ref="B209:AF209" si="28">SUM(B210:B214)</f>
        <v>257</v>
      </c>
      <c r="C209" s="177">
        <f t="shared" si="28"/>
        <v>225</v>
      </c>
      <c r="D209" s="177">
        <f t="shared" si="28"/>
        <v>234</v>
      </c>
      <c r="E209" s="177">
        <f t="shared" si="28"/>
        <v>211</v>
      </c>
      <c r="F209" s="177">
        <f t="shared" si="28"/>
        <v>204</v>
      </c>
      <c r="G209" s="177">
        <f t="shared" si="28"/>
        <v>215</v>
      </c>
      <c r="H209" s="177">
        <f t="shared" si="28"/>
        <v>213</v>
      </c>
      <c r="I209" s="177">
        <f t="shared" si="28"/>
        <v>215</v>
      </c>
      <c r="J209" s="177">
        <f t="shared" si="28"/>
        <v>243</v>
      </c>
      <c r="K209" s="177">
        <f t="shared" si="28"/>
        <v>205</v>
      </c>
      <c r="L209" s="177">
        <f t="shared" si="28"/>
        <v>238</v>
      </c>
      <c r="M209" s="177">
        <f t="shared" si="28"/>
        <v>229</v>
      </c>
      <c r="N209" s="177">
        <f t="shared" si="28"/>
        <v>226</v>
      </c>
      <c r="O209" s="177">
        <f t="shared" si="28"/>
        <v>213</v>
      </c>
      <c r="P209" s="177">
        <f t="shared" si="28"/>
        <v>234</v>
      </c>
      <c r="Q209" s="177">
        <f t="shared" si="28"/>
        <v>251</v>
      </c>
      <c r="R209" s="177">
        <f t="shared" si="28"/>
        <v>224</v>
      </c>
      <c r="S209" s="177">
        <f t="shared" si="28"/>
        <v>230</v>
      </c>
      <c r="T209" s="177">
        <f t="shared" si="28"/>
        <v>240</v>
      </c>
      <c r="U209" s="177">
        <f t="shared" si="28"/>
        <v>208</v>
      </c>
      <c r="V209" s="177">
        <f t="shared" si="28"/>
        <v>184</v>
      </c>
      <c r="W209" s="177">
        <f t="shared" si="28"/>
        <v>215</v>
      </c>
      <c r="X209" s="177">
        <f t="shared" si="28"/>
        <v>216</v>
      </c>
      <c r="Y209" s="177">
        <f t="shared" si="28"/>
        <v>194</v>
      </c>
      <c r="Z209" s="177">
        <f t="shared" si="28"/>
        <v>214</v>
      </c>
      <c r="AA209" s="177">
        <f t="shared" si="28"/>
        <v>206</v>
      </c>
      <c r="AB209" s="177">
        <f t="shared" si="28"/>
        <v>186</v>
      </c>
      <c r="AC209" s="177">
        <f t="shared" si="28"/>
        <v>216</v>
      </c>
      <c r="AD209" s="177">
        <f t="shared" si="28"/>
        <v>213</v>
      </c>
      <c r="AE209" s="177">
        <f t="shared" si="28"/>
        <v>204</v>
      </c>
      <c r="AF209" s="250">
        <f t="shared" si="28"/>
        <v>203</v>
      </c>
      <c r="AG209" s="178">
        <f t="shared" si="21"/>
        <v>6766</v>
      </c>
      <c r="AH209" s="40" t="str">
        <f>IF(AG209&lt;&gt;AG93,"X","")</f>
        <v/>
      </c>
    </row>
    <row r="210" spans="1:34" ht="15.75" customHeight="1" x14ac:dyDescent="0.25">
      <c r="A210" s="179" t="s">
        <v>149</v>
      </c>
      <c r="B210" s="180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>
        <v>1</v>
      </c>
      <c r="M210" s="181"/>
      <c r="N210" s="181"/>
      <c r="O210" s="181"/>
      <c r="P210" s="181">
        <v>1</v>
      </c>
      <c r="Q210" s="181"/>
      <c r="R210" s="181">
        <v>1</v>
      </c>
      <c r="S210" s="181">
        <v>0</v>
      </c>
      <c r="T210" s="181">
        <v>0</v>
      </c>
      <c r="U210" s="181">
        <v>0</v>
      </c>
      <c r="V210" s="181">
        <v>0</v>
      </c>
      <c r="W210" s="181">
        <v>0</v>
      </c>
      <c r="X210" s="181"/>
      <c r="Y210" s="181">
        <v>2</v>
      </c>
      <c r="Z210" s="181">
        <v>0</v>
      </c>
      <c r="AA210" s="181">
        <v>0</v>
      </c>
      <c r="AB210" s="181">
        <v>0</v>
      </c>
      <c r="AC210" s="181">
        <v>0</v>
      </c>
      <c r="AD210" s="181">
        <v>0</v>
      </c>
      <c r="AE210" s="181">
        <v>0</v>
      </c>
      <c r="AF210" s="251">
        <v>4</v>
      </c>
      <c r="AG210" s="182">
        <f t="shared" si="21"/>
        <v>9</v>
      </c>
    </row>
    <row r="211" spans="1:34" ht="15.75" customHeight="1" x14ac:dyDescent="0.25">
      <c r="A211" s="183" t="s">
        <v>51</v>
      </c>
      <c r="B211" s="184">
        <v>2</v>
      </c>
      <c r="C211" s="185">
        <v>2</v>
      </c>
      <c r="D211" s="185">
        <v>3</v>
      </c>
      <c r="E211" s="185">
        <v>1</v>
      </c>
      <c r="F211" s="185">
        <v>2</v>
      </c>
      <c r="G211" s="185">
        <v>4</v>
      </c>
      <c r="H211" s="185">
        <v>3</v>
      </c>
      <c r="I211" s="185">
        <v>9</v>
      </c>
      <c r="J211" s="185">
        <v>9</v>
      </c>
      <c r="K211" s="185">
        <v>4</v>
      </c>
      <c r="L211" s="185">
        <v>3</v>
      </c>
      <c r="M211" s="185">
        <v>5</v>
      </c>
      <c r="N211" s="185">
        <v>6</v>
      </c>
      <c r="O211" s="185"/>
      <c r="P211" s="185">
        <v>2</v>
      </c>
      <c r="Q211" s="185">
        <v>5</v>
      </c>
      <c r="R211" s="185">
        <v>4</v>
      </c>
      <c r="S211" s="185">
        <v>5</v>
      </c>
      <c r="T211" s="185">
        <v>2</v>
      </c>
      <c r="U211" s="185">
        <v>3</v>
      </c>
      <c r="V211" s="185">
        <v>5</v>
      </c>
      <c r="W211" s="185">
        <v>2</v>
      </c>
      <c r="X211" s="185">
        <v>6</v>
      </c>
      <c r="Y211" s="185">
        <v>10</v>
      </c>
      <c r="Z211" s="185">
        <v>2</v>
      </c>
      <c r="AA211" s="185">
        <v>0</v>
      </c>
      <c r="AB211" s="185">
        <v>2</v>
      </c>
      <c r="AC211" s="185">
        <v>2</v>
      </c>
      <c r="AD211" s="185">
        <v>3</v>
      </c>
      <c r="AE211" s="185">
        <v>1</v>
      </c>
      <c r="AF211" s="252">
        <v>47</v>
      </c>
      <c r="AG211" s="186">
        <f t="shared" si="21"/>
        <v>154</v>
      </c>
    </row>
    <row r="212" spans="1:34" ht="15.75" customHeight="1" x14ac:dyDescent="0.25">
      <c r="A212" s="183" t="s">
        <v>52</v>
      </c>
      <c r="B212" s="184">
        <v>26</v>
      </c>
      <c r="C212" s="185">
        <v>41</v>
      </c>
      <c r="D212" s="185">
        <v>24</v>
      </c>
      <c r="E212" s="185">
        <v>34</v>
      </c>
      <c r="F212" s="185">
        <v>26</v>
      </c>
      <c r="G212" s="185">
        <v>17</v>
      </c>
      <c r="H212" s="185">
        <v>44</v>
      </c>
      <c r="I212" s="185">
        <v>44</v>
      </c>
      <c r="J212" s="185">
        <v>42</v>
      </c>
      <c r="K212" s="185">
        <v>34</v>
      </c>
      <c r="L212" s="185">
        <v>45</v>
      </c>
      <c r="M212" s="185">
        <v>47</v>
      </c>
      <c r="N212" s="185">
        <v>41</v>
      </c>
      <c r="O212" s="185">
        <v>31</v>
      </c>
      <c r="P212" s="185">
        <v>44</v>
      </c>
      <c r="Q212" s="185">
        <v>60</v>
      </c>
      <c r="R212" s="185">
        <v>41</v>
      </c>
      <c r="S212" s="185">
        <v>40</v>
      </c>
      <c r="T212" s="185">
        <v>37</v>
      </c>
      <c r="U212" s="185">
        <v>31</v>
      </c>
      <c r="V212" s="185">
        <v>33</v>
      </c>
      <c r="W212" s="185">
        <v>49</v>
      </c>
      <c r="X212" s="185">
        <v>52</v>
      </c>
      <c r="Y212" s="185">
        <v>33</v>
      </c>
      <c r="Z212" s="185">
        <v>51</v>
      </c>
      <c r="AA212" s="185">
        <v>44</v>
      </c>
      <c r="AB212" s="185">
        <v>29</v>
      </c>
      <c r="AC212" s="185">
        <v>29</v>
      </c>
      <c r="AD212" s="185">
        <v>34</v>
      </c>
      <c r="AE212" s="185">
        <v>32</v>
      </c>
      <c r="AF212" s="252">
        <v>138</v>
      </c>
      <c r="AG212" s="186">
        <f t="shared" si="21"/>
        <v>1273</v>
      </c>
    </row>
    <row r="213" spans="1:34" ht="15.75" customHeight="1" x14ac:dyDescent="0.25">
      <c r="A213" s="183" t="s">
        <v>53</v>
      </c>
      <c r="B213" s="184">
        <v>180</v>
      </c>
      <c r="C213" s="185">
        <v>172</v>
      </c>
      <c r="D213" s="185">
        <v>196</v>
      </c>
      <c r="E213" s="185">
        <v>166</v>
      </c>
      <c r="F213" s="185">
        <v>165</v>
      </c>
      <c r="G213" s="185">
        <v>153</v>
      </c>
      <c r="H213" s="185">
        <v>139</v>
      </c>
      <c r="I213" s="185">
        <v>151</v>
      </c>
      <c r="J213" s="185">
        <v>172</v>
      </c>
      <c r="K213" s="185">
        <v>154</v>
      </c>
      <c r="L213" s="185">
        <v>163</v>
      </c>
      <c r="M213" s="185">
        <v>140</v>
      </c>
      <c r="N213" s="185">
        <v>164</v>
      </c>
      <c r="O213" s="185">
        <v>138</v>
      </c>
      <c r="P213" s="185">
        <v>173</v>
      </c>
      <c r="Q213" s="185">
        <v>167</v>
      </c>
      <c r="R213" s="185">
        <v>164</v>
      </c>
      <c r="S213" s="185">
        <v>162</v>
      </c>
      <c r="T213" s="185">
        <v>167</v>
      </c>
      <c r="U213" s="185">
        <v>129</v>
      </c>
      <c r="V213" s="185">
        <v>118</v>
      </c>
      <c r="W213" s="185">
        <v>142</v>
      </c>
      <c r="X213" s="185">
        <v>137</v>
      </c>
      <c r="Y213" s="185">
        <v>112</v>
      </c>
      <c r="Z213" s="185">
        <v>149</v>
      </c>
      <c r="AA213" s="185">
        <v>147</v>
      </c>
      <c r="AB213" s="185">
        <v>126</v>
      </c>
      <c r="AC213" s="185">
        <v>136</v>
      </c>
      <c r="AD213" s="185">
        <v>157</v>
      </c>
      <c r="AE213" s="185">
        <v>153</v>
      </c>
      <c r="AF213" s="252">
        <v>14</v>
      </c>
      <c r="AG213" s="186">
        <f t="shared" si="21"/>
        <v>4606</v>
      </c>
    </row>
    <row r="214" spans="1:34" ht="15.75" customHeight="1" x14ac:dyDescent="0.25">
      <c r="A214" s="187" t="s">
        <v>54</v>
      </c>
      <c r="B214" s="188">
        <v>49</v>
      </c>
      <c r="C214" s="189">
        <v>10</v>
      </c>
      <c r="D214" s="189">
        <v>11</v>
      </c>
      <c r="E214" s="189">
        <v>10</v>
      </c>
      <c r="F214" s="189">
        <v>11</v>
      </c>
      <c r="G214" s="189">
        <v>41</v>
      </c>
      <c r="H214" s="189">
        <v>27</v>
      </c>
      <c r="I214" s="189">
        <v>11</v>
      </c>
      <c r="J214" s="189">
        <v>20</v>
      </c>
      <c r="K214" s="189">
        <v>13</v>
      </c>
      <c r="L214" s="189">
        <v>26</v>
      </c>
      <c r="M214" s="189">
        <v>37</v>
      </c>
      <c r="N214" s="189">
        <v>15</v>
      </c>
      <c r="O214" s="189">
        <v>44</v>
      </c>
      <c r="P214" s="189">
        <v>14</v>
      </c>
      <c r="Q214" s="189">
        <v>19</v>
      </c>
      <c r="R214" s="189">
        <v>14</v>
      </c>
      <c r="S214" s="189">
        <v>23</v>
      </c>
      <c r="T214" s="189">
        <v>34</v>
      </c>
      <c r="U214" s="189">
        <v>45</v>
      </c>
      <c r="V214" s="189">
        <v>28</v>
      </c>
      <c r="W214" s="189">
        <v>22</v>
      </c>
      <c r="X214" s="189">
        <v>21</v>
      </c>
      <c r="Y214" s="189">
        <v>37</v>
      </c>
      <c r="Z214" s="189">
        <v>12</v>
      </c>
      <c r="AA214" s="189">
        <v>15</v>
      </c>
      <c r="AB214" s="189">
        <v>29</v>
      </c>
      <c r="AC214" s="189">
        <v>49</v>
      </c>
      <c r="AD214" s="189">
        <v>19</v>
      </c>
      <c r="AE214" s="189">
        <v>18</v>
      </c>
      <c r="AF214" s="253"/>
      <c r="AG214" s="190">
        <f t="shared" si="21"/>
        <v>724</v>
      </c>
    </row>
    <row r="215" spans="1:34" ht="15.75" customHeight="1" x14ac:dyDescent="0.25">
      <c r="A215" s="113" t="s">
        <v>150</v>
      </c>
      <c r="B215" s="114">
        <f t="shared" ref="B215:AF215" si="29">SUM(B216:B218)</f>
        <v>0</v>
      </c>
      <c r="C215" s="115">
        <f t="shared" si="29"/>
        <v>0</v>
      </c>
      <c r="D215" s="115">
        <f t="shared" si="29"/>
        <v>0</v>
      </c>
      <c r="E215" s="115">
        <f t="shared" si="29"/>
        <v>0</v>
      </c>
      <c r="F215" s="115">
        <f t="shared" si="29"/>
        <v>0</v>
      </c>
      <c r="G215" s="115">
        <f t="shared" si="29"/>
        <v>0</v>
      </c>
      <c r="H215" s="115">
        <f t="shared" si="29"/>
        <v>0</v>
      </c>
      <c r="I215" s="115">
        <f t="shared" si="29"/>
        <v>0</v>
      </c>
      <c r="J215" s="115">
        <f t="shared" si="29"/>
        <v>0</v>
      </c>
      <c r="K215" s="115">
        <f t="shared" si="29"/>
        <v>0</v>
      </c>
      <c r="L215" s="115">
        <f t="shared" si="29"/>
        <v>0</v>
      </c>
      <c r="M215" s="115">
        <f t="shared" si="29"/>
        <v>0</v>
      </c>
      <c r="N215" s="115">
        <f t="shared" si="29"/>
        <v>0</v>
      </c>
      <c r="O215" s="115">
        <f t="shared" si="29"/>
        <v>0</v>
      </c>
      <c r="P215" s="115">
        <f t="shared" si="29"/>
        <v>0</v>
      </c>
      <c r="Q215" s="115">
        <f t="shared" si="29"/>
        <v>0</v>
      </c>
      <c r="R215" s="115">
        <f t="shared" si="29"/>
        <v>0</v>
      </c>
      <c r="S215" s="115">
        <f t="shared" si="29"/>
        <v>0</v>
      </c>
      <c r="T215" s="115">
        <f t="shared" si="29"/>
        <v>0</v>
      </c>
      <c r="U215" s="115">
        <f t="shared" si="29"/>
        <v>0</v>
      </c>
      <c r="V215" s="115">
        <f t="shared" si="29"/>
        <v>0</v>
      </c>
      <c r="W215" s="115">
        <f t="shared" si="29"/>
        <v>0</v>
      </c>
      <c r="X215" s="115">
        <f t="shared" si="29"/>
        <v>0</v>
      </c>
      <c r="Y215" s="115">
        <f t="shared" si="29"/>
        <v>0</v>
      </c>
      <c r="Z215" s="115">
        <f t="shared" si="29"/>
        <v>0</v>
      </c>
      <c r="AA215" s="115">
        <f t="shared" si="29"/>
        <v>0</v>
      </c>
      <c r="AB215" s="115">
        <f t="shared" si="29"/>
        <v>0</v>
      </c>
      <c r="AC215" s="115">
        <f t="shared" si="29"/>
        <v>0</v>
      </c>
      <c r="AD215" s="115">
        <f t="shared" si="29"/>
        <v>0</v>
      </c>
      <c r="AE215" s="115">
        <f t="shared" si="29"/>
        <v>0</v>
      </c>
      <c r="AF215" s="234">
        <f t="shared" si="29"/>
        <v>0</v>
      </c>
      <c r="AG215" s="116">
        <f t="shared" si="21"/>
        <v>0</v>
      </c>
    </row>
    <row r="216" spans="1:34" ht="15.75" customHeight="1" x14ac:dyDescent="0.25">
      <c r="A216" s="191" t="s">
        <v>151</v>
      </c>
      <c r="B216" s="192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254"/>
      <c r="AG216" s="194">
        <f t="shared" si="21"/>
        <v>0</v>
      </c>
    </row>
    <row r="217" spans="1:34" ht="15.75" customHeight="1" x14ac:dyDescent="0.25">
      <c r="A217" s="195" t="s">
        <v>152</v>
      </c>
      <c r="B217" s="196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255"/>
      <c r="AG217" s="164">
        <f t="shared" si="21"/>
        <v>0</v>
      </c>
    </row>
    <row r="218" spans="1:34" ht="15.75" customHeight="1" x14ac:dyDescent="0.25">
      <c r="A218" s="195" t="s">
        <v>153</v>
      </c>
      <c r="B218" s="196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255"/>
      <c r="AG218" s="164">
        <f t="shared" si="21"/>
        <v>0</v>
      </c>
    </row>
    <row r="219" spans="1:34" ht="15.75" customHeight="1" x14ac:dyDescent="0.25">
      <c r="A219" s="88" t="s">
        <v>154</v>
      </c>
      <c r="B219" s="89">
        <f t="shared" ref="B219:AF219" si="30">SUM(B220:B222)</f>
        <v>0</v>
      </c>
      <c r="C219" s="90">
        <f t="shared" si="30"/>
        <v>0</v>
      </c>
      <c r="D219" s="90">
        <f t="shared" si="30"/>
        <v>0</v>
      </c>
      <c r="E219" s="90">
        <f t="shared" si="30"/>
        <v>0</v>
      </c>
      <c r="F219" s="90">
        <f t="shared" si="30"/>
        <v>0</v>
      </c>
      <c r="G219" s="90">
        <f t="shared" si="30"/>
        <v>0</v>
      </c>
      <c r="H219" s="90">
        <f t="shared" si="30"/>
        <v>0</v>
      </c>
      <c r="I219" s="90">
        <f t="shared" si="30"/>
        <v>0</v>
      </c>
      <c r="J219" s="90">
        <f t="shared" si="30"/>
        <v>0</v>
      </c>
      <c r="K219" s="90">
        <f t="shared" si="30"/>
        <v>0</v>
      </c>
      <c r="L219" s="90">
        <f t="shared" si="30"/>
        <v>0</v>
      </c>
      <c r="M219" s="90">
        <f t="shared" si="30"/>
        <v>0</v>
      </c>
      <c r="N219" s="90">
        <f t="shared" si="30"/>
        <v>0</v>
      </c>
      <c r="O219" s="90">
        <f t="shared" si="30"/>
        <v>0</v>
      </c>
      <c r="P219" s="90">
        <f t="shared" si="30"/>
        <v>0</v>
      </c>
      <c r="Q219" s="90">
        <f t="shared" si="30"/>
        <v>0</v>
      </c>
      <c r="R219" s="90">
        <f t="shared" si="30"/>
        <v>0</v>
      </c>
      <c r="S219" s="90">
        <f t="shared" si="30"/>
        <v>0</v>
      </c>
      <c r="T219" s="90">
        <f t="shared" si="30"/>
        <v>0</v>
      </c>
      <c r="U219" s="90">
        <f t="shared" si="30"/>
        <v>0</v>
      </c>
      <c r="V219" s="90">
        <f t="shared" si="30"/>
        <v>0</v>
      </c>
      <c r="W219" s="90">
        <f t="shared" si="30"/>
        <v>0</v>
      </c>
      <c r="X219" s="90">
        <f t="shared" si="30"/>
        <v>0</v>
      </c>
      <c r="Y219" s="90">
        <f t="shared" si="30"/>
        <v>0</v>
      </c>
      <c r="Z219" s="90">
        <f t="shared" si="30"/>
        <v>0</v>
      </c>
      <c r="AA219" s="90">
        <f t="shared" si="30"/>
        <v>0</v>
      </c>
      <c r="AB219" s="90">
        <f t="shared" si="30"/>
        <v>0</v>
      </c>
      <c r="AC219" s="90">
        <f t="shared" si="30"/>
        <v>0</v>
      </c>
      <c r="AD219" s="90">
        <f t="shared" si="30"/>
        <v>0</v>
      </c>
      <c r="AE219" s="90">
        <f t="shared" si="30"/>
        <v>0</v>
      </c>
      <c r="AF219" s="90">
        <f t="shared" si="30"/>
        <v>0</v>
      </c>
      <c r="AG219" s="91">
        <f t="shared" si="21"/>
        <v>0</v>
      </c>
    </row>
    <row r="220" spans="1:34" ht="15.75" customHeight="1" x14ac:dyDescent="0.25">
      <c r="A220" s="198" t="s">
        <v>155</v>
      </c>
      <c r="B220" s="199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1">
        <f t="shared" si="21"/>
        <v>0</v>
      </c>
    </row>
    <row r="221" spans="1:34" ht="15.75" customHeight="1" x14ac:dyDescent="0.25">
      <c r="A221" s="202" t="s">
        <v>156</v>
      </c>
      <c r="B221" s="120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2">
        <f t="shared" si="21"/>
        <v>0</v>
      </c>
    </row>
    <row r="222" spans="1:34" ht="15.75" customHeight="1" x14ac:dyDescent="0.25">
      <c r="A222" s="74" t="s">
        <v>157</v>
      </c>
      <c r="B222" s="75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112">
        <f t="shared" si="21"/>
        <v>0</v>
      </c>
    </row>
    <row r="223" spans="1:34" ht="15.75" customHeight="1" x14ac:dyDescent="0.25">
      <c r="A223" s="203" t="s">
        <v>158</v>
      </c>
      <c r="B223" s="85">
        <f t="shared" ref="B223:AF223" si="31">SUM(B224:B226)</f>
        <v>0</v>
      </c>
      <c r="C223" s="86">
        <f t="shared" si="31"/>
        <v>0</v>
      </c>
      <c r="D223" s="86">
        <f t="shared" si="31"/>
        <v>0</v>
      </c>
      <c r="E223" s="86">
        <f t="shared" si="31"/>
        <v>0</v>
      </c>
      <c r="F223" s="86">
        <f t="shared" si="31"/>
        <v>0</v>
      </c>
      <c r="G223" s="86">
        <f t="shared" si="31"/>
        <v>0</v>
      </c>
      <c r="H223" s="86">
        <f t="shared" si="31"/>
        <v>0</v>
      </c>
      <c r="I223" s="86">
        <f t="shared" si="31"/>
        <v>0</v>
      </c>
      <c r="J223" s="86">
        <f t="shared" si="31"/>
        <v>0</v>
      </c>
      <c r="K223" s="86">
        <f t="shared" si="31"/>
        <v>0</v>
      </c>
      <c r="L223" s="86">
        <f t="shared" si="31"/>
        <v>0</v>
      </c>
      <c r="M223" s="86">
        <f t="shared" si="31"/>
        <v>0</v>
      </c>
      <c r="N223" s="86">
        <f t="shared" si="31"/>
        <v>0</v>
      </c>
      <c r="O223" s="86">
        <f t="shared" si="31"/>
        <v>0</v>
      </c>
      <c r="P223" s="86">
        <f t="shared" si="31"/>
        <v>0</v>
      </c>
      <c r="Q223" s="86">
        <f t="shared" si="31"/>
        <v>0</v>
      </c>
      <c r="R223" s="86">
        <f t="shared" si="31"/>
        <v>0</v>
      </c>
      <c r="S223" s="86">
        <f t="shared" si="31"/>
        <v>0</v>
      </c>
      <c r="T223" s="86">
        <f t="shared" si="31"/>
        <v>0</v>
      </c>
      <c r="U223" s="86">
        <f t="shared" si="31"/>
        <v>0</v>
      </c>
      <c r="V223" s="86">
        <f t="shared" si="31"/>
        <v>0</v>
      </c>
      <c r="W223" s="86">
        <f t="shared" si="31"/>
        <v>0</v>
      </c>
      <c r="X223" s="86">
        <f t="shared" si="31"/>
        <v>0</v>
      </c>
      <c r="Y223" s="86">
        <f t="shared" si="31"/>
        <v>0</v>
      </c>
      <c r="Z223" s="86">
        <f t="shared" si="31"/>
        <v>0</v>
      </c>
      <c r="AA223" s="86">
        <f t="shared" si="31"/>
        <v>0</v>
      </c>
      <c r="AB223" s="86">
        <f t="shared" si="31"/>
        <v>0</v>
      </c>
      <c r="AC223" s="86">
        <f t="shared" si="31"/>
        <v>0</v>
      </c>
      <c r="AD223" s="86">
        <f t="shared" si="31"/>
        <v>0</v>
      </c>
      <c r="AE223" s="86">
        <f t="shared" si="31"/>
        <v>0</v>
      </c>
      <c r="AF223" s="86">
        <f t="shared" si="31"/>
        <v>0</v>
      </c>
      <c r="AG223" s="110">
        <f t="shared" si="21"/>
        <v>0</v>
      </c>
      <c r="AH223" s="364" t="s">
        <v>159</v>
      </c>
    </row>
    <row r="224" spans="1:34" ht="15.75" customHeight="1" x14ac:dyDescent="0.25">
      <c r="A224" s="204" t="s">
        <v>160</v>
      </c>
      <c r="B224" s="205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5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56"/>
      <c r="AA224" s="206"/>
      <c r="AB224" s="206"/>
      <c r="AC224" s="206"/>
      <c r="AD224" s="206"/>
      <c r="AE224" s="206"/>
      <c r="AF224" s="257"/>
      <c r="AG224" s="207">
        <f t="shared" si="21"/>
        <v>0</v>
      </c>
      <c r="AH224" s="365"/>
    </row>
    <row r="225" spans="1:34" ht="15.75" customHeight="1" x14ac:dyDescent="0.25">
      <c r="A225" s="204" t="s">
        <v>161</v>
      </c>
      <c r="B225" s="205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5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56"/>
      <c r="AA225" s="206"/>
      <c r="AB225" s="206"/>
      <c r="AC225" s="206"/>
      <c r="AD225" s="206"/>
      <c r="AE225" s="206"/>
      <c r="AF225" s="257"/>
      <c r="AG225" s="207">
        <f t="shared" si="21"/>
        <v>0</v>
      </c>
      <c r="AH225" s="365"/>
    </row>
    <row r="226" spans="1:34" ht="15.75" customHeight="1" x14ac:dyDescent="0.25">
      <c r="A226" s="208" t="s">
        <v>162</v>
      </c>
      <c r="B226" s="209"/>
      <c r="C226" s="210"/>
      <c r="D226" s="210"/>
      <c r="E226" s="210"/>
      <c r="F226" s="210"/>
      <c r="G226" s="210"/>
      <c r="H226" s="210"/>
      <c r="I226" s="210"/>
      <c r="J226" s="210"/>
      <c r="K226" s="211"/>
      <c r="L226" s="211"/>
      <c r="M226" s="211"/>
      <c r="N226" s="258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60"/>
      <c r="AG226" s="106">
        <f t="shared" si="21"/>
        <v>0</v>
      </c>
      <c r="AH226" s="366"/>
    </row>
    <row r="227" spans="1:34" ht="15.75" customHeight="1" x14ac:dyDescent="0.25"/>
    <row r="228" spans="1:34" ht="15.75" customHeight="1" x14ac:dyDescent="0.25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</row>
    <row r="229" spans="1:34" ht="15.75" customHeight="1" x14ac:dyDescent="0.25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</row>
    <row r="230" spans="1:34" ht="15.75" customHeight="1" x14ac:dyDescent="0.25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</row>
    <row r="231" spans="1:34" ht="15.75" customHeight="1" x14ac:dyDescent="0.25"/>
    <row r="232" spans="1:34" ht="15.75" customHeight="1" x14ac:dyDescent="0.25"/>
    <row r="233" spans="1:34" ht="15.75" customHeight="1" x14ac:dyDescent="0.25"/>
    <row r="234" spans="1:34" ht="15.75" customHeight="1" x14ac:dyDescent="0.25"/>
    <row r="235" spans="1:34" ht="15.75" customHeight="1" x14ac:dyDescent="0.25"/>
    <row r="236" spans="1:34" ht="15.75" customHeight="1" x14ac:dyDescent="0.25"/>
    <row r="237" spans="1:34" ht="15.75" customHeight="1" x14ac:dyDescent="0.25"/>
    <row r="238" spans="1:34" ht="15.75" customHeight="1" x14ac:dyDescent="0.25"/>
    <row r="239" spans="1:34" ht="15.75" customHeight="1" x14ac:dyDescent="0.25"/>
    <row r="240" spans="1:3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9.5" customHeight="1" x14ac:dyDescent="0.25"/>
    <row r="258" ht="15.75" customHeight="1" x14ac:dyDescent="0.25"/>
    <row r="259" ht="18.75" customHeight="1" x14ac:dyDescent="0.25"/>
    <row r="260" ht="15.75" customHeight="1" x14ac:dyDescent="0.25"/>
    <row r="261" ht="15.75" customHeight="1" x14ac:dyDescent="0.25"/>
    <row r="262" ht="18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G1"/>
    <mergeCell ref="AI84:AI86"/>
    <mergeCell ref="AH223:AH226"/>
  </mergeCells>
  <conditionalFormatting sqref="B29:AF52">
    <cfRule type="cellIs" dxfId="66" priority="5" operator="lessThan">
      <formula>0</formula>
    </cfRule>
  </conditionalFormatting>
  <conditionalFormatting sqref="D54:D77">
    <cfRule type="cellIs" dxfId="65" priority="9" operator="lessThan">
      <formula>0</formula>
    </cfRule>
  </conditionalFormatting>
  <conditionalFormatting sqref="G54:G77">
    <cfRule type="cellIs" dxfId="64" priority="10" operator="lessThan">
      <formula>0</formula>
    </cfRule>
  </conditionalFormatting>
  <conditionalFormatting sqref="AH81">
    <cfRule type="cellIs" dxfId="63" priority="7" operator="equal">
      <formula>"*"</formula>
    </cfRule>
  </conditionalFormatting>
  <conditionalFormatting sqref="AH84 AH87">
    <cfRule type="cellIs" dxfId="62" priority="6" operator="equal">
      <formula>"*"</formula>
    </cfRule>
  </conditionalFormatting>
  <conditionalFormatting sqref="AH93">
    <cfRule type="cellIs" dxfId="61" priority="1" operator="equal">
      <formula>"*"</formula>
    </cfRule>
  </conditionalFormatting>
  <conditionalFormatting sqref="AH130">
    <cfRule type="cellIs" dxfId="60" priority="3" operator="equal">
      <formula>"*"</formula>
    </cfRule>
  </conditionalFormatting>
  <conditionalFormatting sqref="AH144:AH145">
    <cfRule type="cellIs" dxfId="59" priority="2" operator="equal">
      <formula>"*"</formula>
    </cfRule>
  </conditionalFormatting>
  <conditionalFormatting sqref="AH182">
    <cfRule type="cellIs" dxfId="58" priority="4" operator="equal">
      <formula>"*"</formula>
    </cfRule>
  </conditionalFormatting>
  <conditionalFormatting sqref="AH209">
    <cfRule type="cellIs" dxfId="57" priority="8" operator="equal">
      <formula>"X"</formula>
    </cfRule>
  </conditionalFormatting>
  <dataValidations count="1">
    <dataValidation type="decimal" allowBlank="1" showInputMessage="1" showErrorMessage="1" prompt="ERROR - Por favor ingrese solo Números" sqref="A98:A99 A101:A115" xr:uid="{00000000-0002-0000-0600-000000000000}">
      <formula1>0</formula1>
      <formula2>1000000000</formula2>
    </dataValidation>
  </dataValidation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AI1000"/>
  <sheetViews>
    <sheetView zoomScale="90" zoomScaleNormal="90" workbookViewId="0">
      <pane xSplit="15" ySplit="3" topLeftCell="P138" activePane="bottomRight" state="frozen"/>
      <selection activeCell="A192" sqref="A192:XFD192"/>
      <selection pane="topRight" activeCell="A192" sqref="A192:XFD192"/>
      <selection pane="bottomLeft" activeCell="A192" sqref="A192:XFD192"/>
      <selection pane="bottomRight" activeCell="A192" sqref="A192:XFD192"/>
    </sheetView>
  </sheetViews>
  <sheetFormatPr baseColWidth="10" defaultColWidth="14.42578125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  <col min="35" max="35" width="10.7109375" customWidth="1"/>
  </cols>
  <sheetData>
    <row r="1" spans="1:33" ht="21.75" thickBot="1" x14ac:dyDescent="0.3">
      <c r="A1" s="358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60"/>
    </row>
    <row r="2" spans="1:33" ht="29.25" thickBot="1" x14ac:dyDescent="0.3">
      <c r="A2" s="1" t="s">
        <v>0</v>
      </c>
      <c r="B2" s="2">
        <v>1</v>
      </c>
      <c r="C2" s="212">
        <f t="shared" ref="C2:AA2" si="0">+B2+1</f>
        <v>2</v>
      </c>
      <c r="D2" s="212">
        <f t="shared" si="0"/>
        <v>3</v>
      </c>
      <c r="E2" s="212">
        <f t="shared" si="0"/>
        <v>4</v>
      </c>
      <c r="F2" s="212">
        <f t="shared" si="0"/>
        <v>5</v>
      </c>
      <c r="G2" s="212">
        <f t="shared" si="0"/>
        <v>6</v>
      </c>
      <c r="H2" s="212">
        <f t="shared" si="0"/>
        <v>7</v>
      </c>
      <c r="I2" s="212">
        <f t="shared" si="0"/>
        <v>8</v>
      </c>
      <c r="J2" s="212">
        <f t="shared" si="0"/>
        <v>9</v>
      </c>
      <c r="K2" s="212">
        <f t="shared" si="0"/>
        <v>10</v>
      </c>
      <c r="L2" s="212">
        <f t="shared" si="0"/>
        <v>11</v>
      </c>
      <c r="M2" s="212">
        <f t="shared" si="0"/>
        <v>12</v>
      </c>
      <c r="N2" s="212">
        <f t="shared" si="0"/>
        <v>13</v>
      </c>
      <c r="O2" s="212">
        <f t="shared" si="0"/>
        <v>14</v>
      </c>
      <c r="P2" s="212">
        <f t="shared" si="0"/>
        <v>15</v>
      </c>
      <c r="Q2" s="212">
        <f t="shared" si="0"/>
        <v>16</v>
      </c>
      <c r="R2" s="212">
        <f t="shared" si="0"/>
        <v>17</v>
      </c>
      <c r="S2" s="212">
        <f t="shared" si="0"/>
        <v>18</v>
      </c>
      <c r="T2" s="212">
        <f t="shared" si="0"/>
        <v>19</v>
      </c>
      <c r="U2" s="212">
        <f t="shared" si="0"/>
        <v>20</v>
      </c>
      <c r="V2" s="212">
        <f t="shared" si="0"/>
        <v>21</v>
      </c>
      <c r="W2" s="212">
        <f t="shared" si="0"/>
        <v>22</v>
      </c>
      <c r="X2" s="212">
        <f t="shared" si="0"/>
        <v>23</v>
      </c>
      <c r="Y2" s="212">
        <f t="shared" si="0"/>
        <v>24</v>
      </c>
      <c r="Z2" s="212">
        <f t="shared" si="0"/>
        <v>25</v>
      </c>
      <c r="AA2" s="212">
        <f t="shared" si="0"/>
        <v>26</v>
      </c>
      <c r="AB2" s="212">
        <v>27</v>
      </c>
      <c r="AC2" s="212">
        <f>+AB2+1</f>
        <v>28</v>
      </c>
      <c r="AD2" s="212">
        <v>29</v>
      </c>
      <c r="AE2" s="212">
        <v>30</v>
      </c>
      <c r="AF2" s="212">
        <v>31</v>
      </c>
      <c r="AG2" s="3" t="s">
        <v>13</v>
      </c>
    </row>
    <row r="3" spans="1:33" ht="19.5" thickBot="1" x14ac:dyDescent="0.3">
      <c r="A3" s="4" t="s">
        <v>14</v>
      </c>
      <c r="B3" s="5">
        <f t="shared" ref="B3:AF3" si="1">SUM(B4:B27)</f>
        <v>233</v>
      </c>
      <c r="C3" s="6">
        <f t="shared" si="1"/>
        <v>210</v>
      </c>
      <c r="D3" s="6">
        <f t="shared" si="1"/>
        <v>201</v>
      </c>
      <c r="E3" s="6">
        <f t="shared" si="1"/>
        <v>196</v>
      </c>
      <c r="F3" s="6">
        <f t="shared" si="1"/>
        <v>284</v>
      </c>
      <c r="G3" s="6">
        <f t="shared" si="1"/>
        <v>271</v>
      </c>
      <c r="H3" s="6">
        <f t="shared" si="1"/>
        <v>222</v>
      </c>
      <c r="I3" s="6">
        <f t="shared" si="1"/>
        <v>163</v>
      </c>
      <c r="J3" s="6">
        <f t="shared" si="1"/>
        <v>199</v>
      </c>
      <c r="K3" s="6">
        <f t="shared" si="1"/>
        <v>141</v>
      </c>
      <c r="L3" s="6">
        <f t="shared" si="1"/>
        <v>162</v>
      </c>
      <c r="M3" s="6">
        <f t="shared" si="1"/>
        <v>249</v>
      </c>
      <c r="N3" s="6">
        <f t="shared" si="1"/>
        <v>187</v>
      </c>
      <c r="O3" s="6">
        <f t="shared" si="1"/>
        <v>208</v>
      </c>
      <c r="P3" s="6">
        <f t="shared" si="1"/>
        <v>196</v>
      </c>
      <c r="Q3" s="6">
        <f t="shared" si="1"/>
        <v>195</v>
      </c>
      <c r="R3" s="6">
        <f t="shared" si="1"/>
        <v>169</v>
      </c>
      <c r="S3" s="6">
        <f t="shared" si="1"/>
        <v>149</v>
      </c>
      <c r="T3" s="6">
        <f t="shared" si="1"/>
        <v>233</v>
      </c>
      <c r="U3" s="6">
        <f t="shared" si="1"/>
        <v>215</v>
      </c>
      <c r="V3" s="6">
        <f t="shared" si="1"/>
        <v>185</v>
      </c>
      <c r="W3" s="6">
        <f t="shared" si="1"/>
        <v>180</v>
      </c>
      <c r="X3" s="6">
        <f t="shared" si="1"/>
        <v>201</v>
      </c>
      <c r="Y3" s="6">
        <f t="shared" si="1"/>
        <v>138</v>
      </c>
      <c r="Z3" s="6">
        <f t="shared" si="1"/>
        <v>156</v>
      </c>
      <c r="AA3" s="6">
        <f t="shared" si="1"/>
        <v>170</v>
      </c>
      <c r="AB3" s="6">
        <f t="shared" si="1"/>
        <v>225</v>
      </c>
      <c r="AC3" s="6">
        <f t="shared" si="1"/>
        <v>163</v>
      </c>
      <c r="AD3" s="6">
        <f t="shared" si="1"/>
        <v>180</v>
      </c>
      <c r="AE3" s="6">
        <f t="shared" si="1"/>
        <v>173</v>
      </c>
      <c r="AF3" s="6">
        <f t="shared" si="1"/>
        <v>0</v>
      </c>
      <c r="AG3" s="7">
        <f t="shared" ref="AG3:AG145" si="2">SUM(B3:AF3)</f>
        <v>5854</v>
      </c>
    </row>
    <row r="4" spans="1:33" ht="18.75" x14ac:dyDescent="0.25">
      <c r="A4" s="8" t="s">
        <v>15</v>
      </c>
      <c r="B4" s="9">
        <v>8</v>
      </c>
      <c r="C4" s="10">
        <v>14</v>
      </c>
      <c r="D4" s="10">
        <v>17</v>
      </c>
      <c r="E4" s="10">
        <v>5</v>
      </c>
      <c r="F4" s="10">
        <v>26</v>
      </c>
      <c r="G4" s="10">
        <v>22</v>
      </c>
      <c r="H4" s="10">
        <v>8</v>
      </c>
      <c r="I4" s="10">
        <v>5</v>
      </c>
      <c r="J4" s="10">
        <v>4</v>
      </c>
      <c r="K4" s="10">
        <v>7</v>
      </c>
      <c r="L4" s="10">
        <v>5</v>
      </c>
      <c r="M4" s="10">
        <v>9</v>
      </c>
      <c r="N4" s="10">
        <v>6</v>
      </c>
      <c r="O4" s="10">
        <v>9</v>
      </c>
      <c r="P4" s="10">
        <v>11</v>
      </c>
      <c r="Q4" s="10">
        <v>11</v>
      </c>
      <c r="R4" s="10">
        <v>6</v>
      </c>
      <c r="S4" s="10">
        <v>3</v>
      </c>
      <c r="T4" s="10">
        <v>16</v>
      </c>
      <c r="U4" s="10">
        <v>11</v>
      </c>
      <c r="V4" s="10">
        <v>8</v>
      </c>
      <c r="W4" s="10">
        <v>12</v>
      </c>
      <c r="X4" s="10">
        <v>10</v>
      </c>
      <c r="Y4" s="10">
        <v>5</v>
      </c>
      <c r="Z4" s="10">
        <v>4</v>
      </c>
      <c r="AA4" s="10">
        <v>4</v>
      </c>
      <c r="AB4" s="10">
        <v>7</v>
      </c>
      <c r="AC4" s="10">
        <v>7</v>
      </c>
      <c r="AD4" s="10">
        <v>12</v>
      </c>
      <c r="AE4" s="10">
        <v>6</v>
      </c>
      <c r="AF4" s="213"/>
      <c r="AG4" s="11">
        <f t="shared" si="2"/>
        <v>278</v>
      </c>
    </row>
    <row r="5" spans="1:33" ht="18.75" x14ac:dyDescent="0.25">
      <c r="A5" s="12" t="s">
        <v>16</v>
      </c>
      <c r="B5" s="13">
        <v>22</v>
      </c>
      <c r="C5" s="14">
        <v>18</v>
      </c>
      <c r="D5" s="14">
        <v>15</v>
      </c>
      <c r="E5" s="14">
        <v>9</v>
      </c>
      <c r="F5" s="14">
        <v>19</v>
      </c>
      <c r="G5" s="14">
        <v>10</v>
      </c>
      <c r="H5" s="14">
        <v>13</v>
      </c>
      <c r="I5" s="14">
        <v>9</v>
      </c>
      <c r="J5" s="14">
        <v>13</v>
      </c>
      <c r="K5" s="14">
        <v>14</v>
      </c>
      <c r="L5" s="14">
        <v>9</v>
      </c>
      <c r="M5" s="14">
        <v>21</v>
      </c>
      <c r="N5" s="14">
        <v>8</v>
      </c>
      <c r="O5" s="14">
        <v>12</v>
      </c>
      <c r="P5" s="14">
        <v>13</v>
      </c>
      <c r="Q5" s="14">
        <v>8</v>
      </c>
      <c r="R5" s="14">
        <v>17</v>
      </c>
      <c r="S5" s="14">
        <v>13</v>
      </c>
      <c r="T5" s="14">
        <v>14</v>
      </c>
      <c r="U5" s="14">
        <v>10</v>
      </c>
      <c r="V5" s="14">
        <v>8</v>
      </c>
      <c r="W5" s="14">
        <v>12</v>
      </c>
      <c r="X5" s="14">
        <v>8</v>
      </c>
      <c r="Y5" s="14">
        <v>13</v>
      </c>
      <c r="Z5" s="14">
        <v>6</v>
      </c>
      <c r="AA5" s="14">
        <v>6</v>
      </c>
      <c r="AB5" s="14">
        <v>13</v>
      </c>
      <c r="AC5" s="14">
        <v>7</v>
      </c>
      <c r="AD5" s="14">
        <v>6</v>
      </c>
      <c r="AE5" s="14">
        <v>9</v>
      </c>
      <c r="AF5" s="214"/>
      <c r="AG5" s="15">
        <f t="shared" si="2"/>
        <v>355</v>
      </c>
    </row>
    <row r="6" spans="1:33" ht="18.75" x14ac:dyDescent="0.25">
      <c r="A6" s="12" t="s">
        <v>17</v>
      </c>
      <c r="B6" s="13">
        <v>11</v>
      </c>
      <c r="C6" s="14">
        <v>18</v>
      </c>
      <c r="D6" s="14">
        <v>12</v>
      </c>
      <c r="E6" s="14">
        <v>8</v>
      </c>
      <c r="F6" s="14">
        <v>21</v>
      </c>
      <c r="G6" s="14">
        <v>25</v>
      </c>
      <c r="H6" s="14">
        <v>18</v>
      </c>
      <c r="I6" s="14">
        <v>10</v>
      </c>
      <c r="J6" s="14">
        <v>14</v>
      </c>
      <c r="K6" s="14">
        <v>21</v>
      </c>
      <c r="L6" s="14">
        <v>7</v>
      </c>
      <c r="M6" s="14">
        <v>16</v>
      </c>
      <c r="N6" s="14">
        <v>9</v>
      </c>
      <c r="O6" s="14">
        <v>11</v>
      </c>
      <c r="P6" s="14">
        <v>18</v>
      </c>
      <c r="Q6" s="14">
        <v>14</v>
      </c>
      <c r="R6" s="14">
        <v>14</v>
      </c>
      <c r="S6" s="14">
        <v>9</v>
      </c>
      <c r="T6" s="14">
        <v>14</v>
      </c>
      <c r="U6" s="14">
        <v>17</v>
      </c>
      <c r="V6" s="14">
        <v>14</v>
      </c>
      <c r="W6" s="14">
        <v>14</v>
      </c>
      <c r="X6" s="14">
        <v>22</v>
      </c>
      <c r="Y6" s="14">
        <v>12</v>
      </c>
      <c r="Z6" s="14">
        <v>8</v>
      </c>
      <c r="AA6" s="14">
        <v>9</v>
      </c>
      <c r="AB6" s="14">
        <v>16</v>
      </c>
      <c r="AC6" s="14">
        <v>13</v>
      </c>
      <c r="AD6" s="14">
        <v>9</v>
      </c>
      <c r="AE6" s="14">
        <v>13</v>
      </c>
      <c r="AF6" s="214"/>
      <c r="AG6" s="15">
        <f t="shared" si="2"/>
        <v>417</v>
      </c>
    </row>
    <row r="7" spans="1:33" ht="18.75" x14ac:dyDescent="0.25">
      <c r="A7" s="12" t="s">
        <v>18</v>
      </c>
      <c r="B7" s="13">
        <v>11</v>
      </c>
      <c r="C7" s="14">
        <v>14</v>
      </c>
      <c r="D7" s="14">
        <v>24</v>
      </c>
      <c r="E7" s="14">
        <v>12</v>
      </c>
      <c r="F7" s="14">
        <v>23</v>
      </c>
      <c r="G7" s="14">
        <v>13</v>
      </c>
      <c r="H7" s="14">
        <v>23</v>
      </c>
      <c r="I7" s="14">
        <v>16</v>
      </c>
      <c r="J7" s="14">
        <v>15</v>
      </c>
      <c r="K7" s="14">
        <v>12</v>
      </c>
      <c r="L7" s="14">
        <v>13</v>
      </c>
      <c r="M7" s="14">
        <v>19</v>
      </c>
      <c r="N7" s="14">
        <v>15</v>
      </c>
      <c r="O7" s="14">
        <v>16</v>
      </c>
      <c r="P7" s="14">
        <v>24</v>
      </c>
      <c r="Q7" s="14">
        <v>15</v>
      </c>
      <c r="R7" s="14">
        <v>10</v>
      </c>
      <c r="S7" s="14">
        <v>10</v>
      </c>
      <c r="T7" s="14">
        <v>13</v>
      </c>
      <c r="U7" s="14">
        <v>11</v>
      </c>
      <c r="V7" s="14">
        <v>20</v>
      </c>
      <c r="W7" s="14">
        <v>13</v>
      </c>
      <c r="X7" s="14">
        <v>11</v>
      </c>
      <c r="Y7" s="14">
        <v>11</v>
      </c>
      <c r="Z7" s="14">
        <v>7</v>
      </c>
      <c r="AA7" s="14">
        <v>14</v>
      </c>
      <c r="AB7" s="14">
        <v>12</v>
      </c>
      <c r="AC7" s="14">
        <v>12</v>
      </c>
      <c r="AD7" s="14">
        <v>16</v>
      </c>
      <c r="AE7" s="14">
        <v>11</v>
      </c>
      <c r="AF7" s="214"/>
      <c r="AG7" s="15">
        <f t="shared" si="2"/>
        <v>436</v>
      </c>
    </row>
    <row r="8" spans="1:33" ht="18.75" x14ac:dyDescent="0.25">
      <c r="A8" s="12" t="s">
        <v>19</v>
      </c>
      <c r="B8" s="13">
        <v>23</v>
      </c>
      <c r="C8" s="14">
        <v>11</v>
      </c>
      <c r="D8" s="14">
        <v>11</v>
      </c>
      <c r="E8" s="14">
        <v>20</v>
      </c>
      <c r="F8" s="14">
        <v>10</v>
      </c>
      <c r="G8" s="14">
        <v>19</v>
      </c>
      <c r="H8" s="14">
        <v>10</v>
      </c>
      <c r="I8" s="14">
        <v>11</v>
      </c>
      <c r="J8" s="14">
        <v>19</v>
      </c>
      <c r="K8" s="14">
        <v>10</v>
      </c>
      <c r="L8" s="14">
        <v>18</v>
      </c>
      <c r="M8" s="14">
        <v>19</v>
      </c>
      <c r="N8" s="14">
        <v>9</v>
      </c>
      <c r="O8" s="14">
        <v>17</v>
      </c>
      <c r="P8" s="14">
        <v>12</v>
      </c>
      <c r="Q8" s="14">
        <v>6</v>
      </c>
      <c r="R8" s="14">
        <v>9</v>
      </c>
      <c r="S8" s="14">
        <v>11</v>
      </c>
      <c r="T8" s="14">
        <v>8</v>
      </c>
      <c r="U8" s="14">
        <v>17</v>
      </c>
      <c r="V8" s="14">
        <v>15</v>
      </c>
      <c r="W8" s="14">
        <v>8</v>
      </c>
      <c r="X8" s="14">
        <v>11</v>
      </c>
      <c r="Y8" s="14">
        <v>11</v>
      </c>
      <c r="Z8" s="14">
        <v>14</v>
      </c>
      <c r="AA8" s="14">
        <v>14</v>
      </c>
      <c r="AB8" s="14">
        <v>12</v>
      </c>
      <c r="AC8" s="14">
        <v>9</v>
      </c>
      <c r="AD8" s="14">
        <v>8</v>
      </c>
      <c r="AE8" s="14">
        <v>9</v>
      </c>
      <c r="AF8" s="214"/>
      <c r="AG8" s="15">
        <f t="shared" si="2"/>
        <v>381</v>
      </c>
    </row>
    <row r="9" spans="1:33" ht="18.75" x14ac:dyDescent="0.25">
      <c r="A9" s="12" t="s">
        <v>20</v>
      </c>
      <c r="B9" s="13">
        <v>13</v>
      </c>
      <c r="C9" s="14">
        <v>7</v>
      </c>
      <c r="D9" s="14">
        <v>7</v>
      </c>
      <c r="E9" s="14">
        <v>10</v>
      </c>
      <c r="F9" s="14">
        <v>20</v>
      </c>
      <c r="G9" s="14">
        <v>6</v>
      </c>
      <c r="H9" s="14">
        <v>12</v>
      </c>
      <c r="I9" s="14">
        <v>6</v>
      </c>
      <c r="J9" s="14">
        <v>10</v>
      </c>
      <c r="K9" s="14">
        <v>5</v>
      </c>
      <c r="L9" s="14">
        <v>12</v>
      </c>
      <c r="M9" s="14">
        <v>21</v>
      </c>
      <c r="N9" s="14">
        <v>10</v>
      </c>
      <c r="O9" s="14">
        <v>8</v>
      </c>
      <c r="P9" s="14">
        <v>16</v>
      </c>
      <c r="Q9" s="14">
        <v>5</v>
      </c>
      <c r="R9" s="14">
        <v>11</v>
      </c>
      <c r="S9" s="14">
        <v>9</v>
      </c>
      <c r="T9" s="14">
        <v>15</v>
      </c>
      <c r="U9" s="14">
        <v>11</v>
      </c>
      <c r="V9" s="14">
        <v>8</v>
      </c>
      <c r="W9" s="14">
        <v>9</v>
      </c>
      <c r="X9" s="14">
        <v>7</v>
      </c>
      <c r="Y9" s="14">
        <v>7</v>
      </c>
      <c r="Z9" s="14">
        <v>22</v>
      </c>
      <c r="AA9" s="14">
        <v>19</v>
      </c>
      <c r="AB9" s="14">
        <v>17</v>
      </c>
      <c r="AC9" s="14">
        <v>8</v>
      </c>
      <c r="AD9" s="14">
        <v>10</v>
      </c>
      <c r="AE9" s="14">
        <v>8</v>
      </c>
      <c r="AF9" s="214"/>
      <c r="AG9" s="15">
        <f t="shared" si="2"/>
        <v>329</v>
      </c>
    </row>
    <row r="10" spans="1:33" ht="18.75" x14ac:dyDescent="0.25">
      <c r="A10" s="12" t="s">
        <v>21</v>
      </c>
      <c r="B10" s="13">
        <v>11</v>
      </c>
      <c r="C10" s="14">
        <v>13</v>
      </c>
      <c r="D10" s="14">
        <v>9</v>
      </c>
      <c r="E10" s="14">
        <v>17</v>
      </c>
      <c r="F10" s="14">
        <v>13</v>
      </c>
      <c r="G10" s="14">
        <v>22</v>
      </c>
      <c r="H10" s="14">
        <v>12</v>
      </c>
      <c r="I10" s="14">
        <v>9</v>
      </c>
      <c r="J10" s="14">
        <v>12</v>
      </c>
      <c r="K10" s="14">
        <v>6</v>
      </c>
      <c r="L10" s="14">
        <v>13</v>
      </c>
      <c r="M10" s="14">
        <v>13</v>
      </c>
      <c r="N10" s="14">
        <v>15</v>
      </c>
      <c r="O10" s="14">
        <v>13</v>
      </c>
      <c r="P10" s="14">
        <v>7</v>
      </c>
      <c r="Q10" s="14">
        <v>8</v>
      </c>
      <c r="R10" s="14">
        <v>9</v>
      </c>
      <c r="S10" s="14">
        <v>10</v>
      </c>
      <c r="T10" s="14">
        <v>13</v>
      </c>
      <c r="U10" s="14">
        <v>12</v>
      </c>
      <c r="V10" s="14">
        <v>12</v>
      </c>
      <c r="W10" s="14">
        <v>7</v>
      </c>
      <c r="X10" s="14">
        <v>15</v>
      </c>
      <c r="Y10" s="14">
        <v>10</v>
      </c>
      <c r="Z10" s="14">
        <v>7</v>
      </c>
      <c r="AA10" s="14">
        <v>8</v>
      </c>
      <c r="AB10" s="14">
        <v>20</v>
      </c>
      <c r="AC10" s="14">
        <v>16</v>
      </c>
      <c r="AD10" s="14">
        <v>14</v>
      </c>
      <c r="AE10" s="14">
        <v>12</v>
      </c>
      <c r="AF10" s="214"/>
      <c r="AG10" s="15">
        <f t="shared" si="2"/>
        <v>358</v>
      </c>
    </row>
    <row r="11" spans="1:33" ht="18.75" x14ac:dyDescent="0.25">
      <c r="A11" s="12" t="s">
        <v>22</v>
      </c>
      <c r="B11" s="13">
        <v>14</v>
      </c>
      <c r="C11" s="14">
        <v>19</v>
      </c>
      <c r="D11" s="14">
        <v>23</v>
      </c>
      <c r="E11" s="14">
        <v>11</v>
      </c>
      <c r="F11" s="14">
        <v>18</v>
      </c>
      <c r="G11" s="14">
        <v>22</v>
      </c>
      <c r="H11" s="14">
        <v>16</v>
      </c>
      <c r="I11" s="14">
        <v>10</v>
      </c>
      <c r="J11" s="14">
        <v>19</v>
      </c>
      <c r="K11" s="14">
        <v>8</v>
      </c>
      <c r="L11" s="14">
        <v>12</v>
      </c>
      <c r="M11" s="14">
        <v>13</v>
      </c>
      <c r="N11" s="14">
        <v>14</v>
      </c>
      <c r="O11" s="14">
        <v>20</v>
      </c>
      <c r="P11" s="14">
        <v>12</v>
      </c>
      <c r="Q11" s="14">
        <v>20</v>
      </c>
      <c r="R11" s="14">
        <v>11</v>
      </c>
      <c r="S11" s="14">
        <v>12</v>
      </c>
      <c r="T11" s="14">
        <v>11</v>
      </c>
      <c r="U11" s="14">
        <v>19</v>
      </c>
      <c r="V11" s="14">
        <v>21</v>
      </c>
      <c r="W11" s="14">
        <v>9</v>
      </c>
      <c r="X11" s="14">
        <v>21</v>
      </c>
      <c r="Y11" s="14">
        <v>7</v>
      </c>
      <c r="Z11" s="14">
        <v>13</v>
      </c>
      <c r="AA11" s="14">
        <v>16</v>
      </c>
      <c r="AB11" s="14">
        <v>20</v>
      </c>
      <c r="AC11" s="14">
        <v>12</v>
      </c>
      <c r="AD11" s="14">
        <v>8</v>
      </c>
      <c r="AE11" s="14">
        <v>16</v>
      </c>
      <c r="AF11" s="214"/>
      <c r="AG11" s="15">
        <f t="shared" si="2"/>
        <v>447</v>
      </c>
    </row>
    <row r="12" spans="1:33" ht="18.75" x14ac:dyDescent="0.25">
      <c r="A12" s="12" t="s">
        <v>23</v>
      </c>
      <c r="B12" s="13">
        <v>18</v>
      </c>
      <c r="C12" s="14">
        <v>18</v>
      </c>
      <c r="D12" s="14">
        <v>12</v>
      </c>
      <c r="E12" s="14">
        <v>15</v>
      </c>
      <c r="F12" s="14">
        <v>13</v>
      </c>
      <c r="G12" s="14">
        <v>18</v>
      </c>
      <c r="H12" s="14">
        <v>18</v>
      </c>
      <c r="I12" s="14">
        <v>5</v>
      </c>
      <c r="J12" s="14">
        <v>14</v>
      </c>
      <c r="K12" s="14">
        <v>7</v>
      </c>
      <c r="L12" s="14">
        <v>10</v>
      </c>
      <c r="M12" s="14">
        <v>30</v>
      </c>
      <c r="N12" s="14">
        <v>17</v>
      </c>
      <c r="O12" s="14">
        <v>14</v>
      </c>
      <c r="P12" s="14">
        <v>8</v>
      </c>
      <c r="Q12" s="14">
        <v>12</v>
      </c>
      <c r="R12" s="14">
        <v>11</v>
      </c>
      <c r="S12" s="14">
        <v>8</v>
      </c>
      <c r="T12" s="14">
        <v>18</v>
      </c>
      <c r="U12" s="14">
        <v>21</v>
      </c>
      <c r="V12" s="14">
        <v>9</v>
      </c>
      <c r="W12" s="14">
        <v>14</v>
      </c>
      <c r="X12" s="14">
        <v>14</v>
      </c>
      <c r="Y12" s="14">
        <v>9</v>
      </c>
      <c r="Z12" s="14">
        <v>10</v>
      </c>
      <c r="AA12" s="14">
        <v>15</v>
      </c>
      <c r="AB12" s="14">
        <v>16</v>
      </c>
      <c r="AC12" s="14">
        <v>13</v>
      </c>
      <c r="AD12" s="14">
        <v>15</v>
      </c>
      <c r="AE12" s="14">
        <v>10</v>
      </c>
      <c r="AF12" s="214"/>
      <c r="AG12" s="15">
        <f t="shared" si="2"/>
        <v>412</v>
      </c>
    </row>
    <row r="13" spans="1:33" ht="18.75" x14ac:dyDescent="0.25">
      <c r="A13" s="12" t="s">
        <v>24</v>
      </c>
      <c r="B13" s="13">
        <v>22</v>
      </c>
      <c r="C13" s="14">
        <v>11</v>
      </c>
      <c r="D13" s="14">
        <v>6</v>
      </c>
      <c r="E13" s="14">
        <v>14</v>
      </c>
      <c r="F13" s="14">
        <v>20</v>
      </c>
      <c r="G13" s="14">
        <v>21</v>
      </c>
      <c r="H13" s="14">
        <v>17</v>
      </c>
      <c r="I13" s="14">
        <v>12</v>
      </c>
      <c r="J13" s="14">
        <v>13</v>
      </c>
      <c r="K13" s="14">
        <v>5</v>
      </c>
      <c r="L13" s="14">
        <v>18</v>
      </c>
      <c r="M13" s="14">
        <v>23</v>
      </c>
      <c r="N13" s="14">
        <v>21</v>
      </c>
      <c r="O13" s="14">
        <v>17</v>
      </c>
      <c r="P13" s="14">
        <v>11</v>
      </c>
      <c r="Q13" s="14">
        <v>25</v>
      </c>
      <c r="R13" s="14">
        <v>5</v>
      </c>
      <c r="S13" s="14">
        <v>7</v>
      </c>
      <c r="T13" s="14">
        <v>17</v>
      </c>
      <c r="U13" s="14">
        <v>24</v>
      </c>
      <c r="V13" s="14">
        <v>10</v>
      </c>
      <c r="W13" s="14">
        <v>15</v>
      </c>
      <c r="X13" s="14">
        <v>13</v>
      </c>
      <c r="Y13" s="14">
        <v>13</v>
      </c>
      <c r="Z13" s="14">
        <v>9</v>
      </c>
      <c r="AA13" s="14">
        <v>19</v>
      </c>
      <c r="AB13" s="14">
        <v>14</v>
      </c>
      <c r="AC13" s="14">
        <v>8</v>
      </c>
      <c r="AD13" s="14">
        <v>21</v>
      </c>
      <c r="AE13" s="14">
        <v>14</v>
      </c>
      <c r="AF13" s="214"/>
      <c r="AG13" s="15">
        <f t="shared" si="2"/>
        <v>445</v>
      </c>
    </row>
    <row r="14" spans="1:33" ht="18.75" x14ac:dyDescent="0.25">
      <c r="A14" s="12" t="s">
        <v>25</v>
      </c>
      <c r="B14" s="13">
        <v>13</v>
      </c>
      <c r="C14" s="14">
        <v>15</v>
      </c>
      <c r="D14" s="14">
        <v>10</v>
      </c>
      <c r="E14" s="14">
        <v>14</v>
      </c>
      <c r="F14" s="14">
        <v>16</v>
      </c>
      <c r="G14" s="14">
        <v>20</v>
      </c>
      <c r="H14" s="14">
        <v>14</v>
      </c>
      <c r="I14" s="14">
        <v>9</v>
      </c>
      <c r="J14" s="14">
        <v>7</v>
      </c>
      <c r="K14" s="14">
        <v>10</v>
      </c>
      <c r="L14" s="14">
        <v>10</v>
      </c>
      <c r="M14" s="14">
        <v>15</v>
      </c>
      <c r="N14" s="14">
        <v>11</v>
      </c>
      <c r="O14" s="14">
        <v>15</v>
      </c>
      <c r="P14" s="14">
        <v>16</v>
      </c>
      <c r="Q14" s="14">
        <v>11</v>
      </c>
      <c r="R14" s="14">
        <v>10</v>
      </c>
      <c r="S14" s="14">
        <v>8</v>
      </c>
      <c r="T14" s="14">
        <v>11</v>
      </c>
      <c r="U14" s="14">
        <v>8</v>
      </c>
      <c r="V14" s="14">
        <v>12</v>
      </c>
      <c r="W14" s="14">
        <v>19</v>
      </c>
      <c r="X14" s="14">
        <v>11</v>
      </c>
      <c r="Y14" s="14">
        <v>8</v>
      </c>
      <c r="Z14" s="14">
        <v>6</v>
      </c>
      <c r="AA14" s="14">
        <v>9</v>
      </c>
      <c r="AB14" s="14">
        <v>13</v>
      </c>
      <c r="AC14" s="14">
        <v>8</v>
      </c>
      <c r="AD14" s="14">
        <v>11</v>
      </c>
      <c r="AE14" s="14">
        <v>10</v>
      </c>
      <c r="AF14" s="214"/>
      <c r="AG14" s="15">
        <f t="shared" si="2"/>
        <v>350</v>
      </c>
    </row>
    <row r="15" spans="1:33" ht="18.75" x14ac:dyDescent="0.25">
      <c r="A15" s="12" t="s">
        <v>26</v>
      </c>
      <c r="B15" s="13">
        <v>9</v>
      </c>
      <c r="C15" s="14">
        <v>10</v>
      </c>
      <c r="D15" s="14">
        <v>5</v>
      </c>
      <c r="E15" s="14">
        <v>5</v>
      </c>
      <c r="F15" s="14">
        <v>22</v>
      </c>
      <c r="G15" s="14">
        <v>23</v>
      </c>
      <c r="H15" s="14">
        <v>10</v>
      </c>
      <c r="I15" s="14">
        <v>13</v>
      </c>
      <c r="J15" s="14">
        <v>14</v>
      </c>
      <c r="K15" s="14">
        <v>4</v>
      </c>
      <c r="L15" s="14">
        <v>3</v>
      </c>
      <c r="M15" s="14">
        <v>10</v>
      </c>
      <c r="N15" s="14">
        <v>7</v>
      </c>
      <c r="O15" s="14">
        <v>13</v>
      </c>
      <c r="P15" s="14">
        <v>14</v>
      </c>
      <c r="Q15" s="14">
        <v>13</v>
      </c>
      <c r="R15" s="14">
        <v>9</v>
      </c>
      <c r="S15" s="14">
        <v>7</v>
      </c>
      <c r="T15" s="14">
        <v>23</v>
      </c>
      <c r="U15" s="14">
        <v>9</v>
      </c>
      <c r="V15" s="14">
        <v>10</v>
      </c>
      <c r="W15" s="14">
        <v>10</v>
      </c>
      <c r="X15" s="14">
        <v>8</v>
      </c>
      <c r="Y15" s="14">
        <v>4</v>
      </c>
      <c r="Z15" s="14">
        <v>8</v>
      </c>
      <c r="AA15" s="14">
        <v>7</v>
      </c>
      <c r="AB15" s="14">
        <v>10</v>
      </c>
      <c r="AC15" s="14">
        <v>14</v>
      </c>
      <c r="AD15" s="14">
        <v>8</v>
      </c>
      <c r="AE15" s="14">
        <v>11</v>
      </c>
      <c r="AF15" s="214"/>
      <c r="AG15" s="15">
        <f t="shared" si="2"/>
        <v>313</v>
      </c>
    </row>
    <row r="16" spans="1:33" ht="18.75" x14ac:dyDescent="0.25">
      <c r="A16" s="12" t="s">
        <v>27</v>
      </c>
      <c r="B16" s="13">
        <v>11</v>
      </c>
      <c r="C16" s="14">
        <v>4</v>
      </c>
      <c r="D16" s="14">
        <v>13</v>
      </c>
      <c r="E16" s="14">
        <v>9</v>
      </c>
      <c r="F16" s="14">
        <v>15</v>
      </c>
      <c r="G16" s="14">
        <v>9</v>
      </c>
      <c r="H16" s="14">
        <v>13</v>
      </c>
      <c r="I16" s="14">
        <v>5</v>
      </c>
      <c r="J16" s="14">
        <v>9</v>
      </c>
      <c r="K16" s="14">
        <v>9</v>
      </c>
      <c r="L16" s="14">
        <v>4</v>
      </c>
      <c r="M16" s="14">
        <v>10</v>
      </c>
      <c r="N16" s="14">
        <v>10</v>
      </c>
      <c r="O16" s="14">
        <v>16</v>
      </c>
      <c r="P16" s="14">
        <v>6</v>
      </c>
      <c r="Q16" s="14">
        <v>8</v>
      </c>
      <c r="R16" s="14">
        <v>9</v>
      </c>
      <c r="S16" s="14">
        <v>8</v>
      </c>
      <c r="T16" s="14">
        <v>19</v>
      </c>
      <c r="U16" s="14">
        <v>7</v>
      </c>
      <c r="V16" s="14">
        <v>7</v>
      </c>
      <c r="W16" s="14">
        <v>5</v>
      </c>
      <c r="X16" s="14">
        <v>11</v>
      </c>
      <c r="Y16" s="14">
        <v>4</v>
      </c>
      <c r="Z16" s="14">
        <v>11</v>
      </c>
      <c r="AA16" s="14">
        <v>7</v>
      </c>
      <c r="AB16" s="14">
        <v>16</v>
      </c>
      <c r="AC16" s="14">
        <v>13</v>
      </c>
      <c r="AD16" s="14">
        <v>9</v>
      </c>
      <c r="AE16" s="14">
        <v>7</v>
      </c>
      <c r="AF16" s="214"/>
      <c r="AG16" s="15">
        <f t="shared" si="2"/>
        <v>284</v>
      </c>
    </row>
    <row r="17" spans="1:33" ht="18.75" x14ac:dyDescent="0.25">
      <c r="A17" s="12" t="s">
        <v>28</v>
      </c>
      <c r="B17" s="13">
        <v>12</v>
      </c>
      <c r="C17" s="14">
        <v>9</v>
      </c>
      <c r="D17" s="14">
        <v>10</v>
      </c>
      <c r="E17" s="14">
        <v>14</v>
      </c>
      <c r="F17" s="14">
        <v>8</v>
      </c>
      <c r="G17" s="14">
        <v>9</v>
      </c>
      <c r="H17" s="14">
        <v>11</v>
      </c>
      <c r="I17" s="14">
        <v>10</v>
      </c>
      <c r="J17" s="14">
        <v>6</v>
      </c>
      <c r="K17" s="14">
        <v>6</v>
      </c>
      <c r="L17" s="14">
        <v>11</v>
      </c>
      <c r="M17" s="14">
        <v>4</v>
      </c>
      <c r="N17" s="14">
        <v>15</v>
      </c>
      <c r="O17" s="14">
        <v>6</v>
      </c>
      <c r="P17" s="14">
        <v>5</v>
      </c>
      <c r="Q17" s="14">
        <v>7</v>
      </c>
      <c r="R17" s="14">
        <v>5</v>
      </c>
      <c r="S17" s="14">
        <v>4</v>
      </c>
      <c r="T17" s="14">
        <v>11</v>
      </c>
      <c r="U17" s="14">
        <v>7</v>
      </c>
      <c r="V17" s="14">
        <v>12</v>
      </c>
      <c r="W17" s="14">
        <v>6</v>
      </c>
      <c r="X17" s="14">
        <v>6</v>
      </c>
      <c r="Y17" s="14">
        <v>5</v>
      </c>
      <c r="Z17" s="14">
        <v>8</v>
      </c>
      <c r="AA17" s="14">
        <v>7</v>
      </c>
      <c r="AB17" s="14">
        <v>13</v>
      </c>
      <c r="AC17" s="14">
        <v>4</v>
      </c>
      <c r="AD17" s="14">
        <v>8</v>
      </c>
      <c r="AE17" s="14">
        <v>7</v>
      </c>
      <c r="AF17" s="214"/>
      <c r="AG17" s="15">
        <f t="shared" si="2"/>
        <v>246</v>
      </c>
    </row>
    <row r="18" spans="1:33" ht="18.75" x14ac:dyDescent="0.25">
      <c r="A18" s="12" t="s">
        <v>29</v>
      </c>
      <c r="B18" s="13">
        <v>4</v>
      </c>
      <c r="C18" s="14">
        <v>5</v>
      </c>
      <c r="D18" s="14">
        <v>6</v>
      </c>
      <c r="E18" s="14">
        <v>8</v>
      </c>
      <c r="F18" s="14">
        <v>5</v>
      </c>
      <c r="G18" s="14">
        <v>8</v>
      </c>
      <c r="H18" s="14">
        <v>7</v>
      </c>
      <c r="I18" s="14">
        <v>9</v>
      </c>
      <c r="J18" s="14">
        <v>5</v>
      </c>
      <c r="K18" s="14">
        <v>2</v>
      </c>
      <c r="L18" s="14">
        <v>2</v>
      </c>
      <c r="M18" s="14">
        <v>7</v>
      </c>
      <c r="N18" s="14">
        <v>7</v>
      </c>
      <c r="O18" s="14">
        <v>3</v>
      </c>
      <c r="P18" s="14">
        <v>4</v>
      </c>
      <c r="Q18" s="14">
        <v>9</v>
      </c>
      <c r="R18" s="14">
        <v>6</v>
      </c>
      <c r="S18" s="14">
        <v>10</v>
      </c>
      <c r="T18" s="14">
        <v>11</v>
      </c>
      <c r="U18" s="14">
        <v>4</v>
      </c>
      <c r="V18" s="14">
        <v>8</v>
      </c>
      <c r="W18" s="14">
        <v>6</v>
      </c>
      <c r="X18" s="14">
        <v>7</v>
      </c>
      <c r="Y18" s="14">
        <v>7</v>
      </c>
      <c r="Z18" s="14">
        <v>7</v>
      </c>
      <c r="AA18" s="14">
        <v>1</v>
      </c>
      <c r="AB18" s="14">
        <v>4</v>
      </c>
      <c r="AC18" s="14">
        <v>7</v>
      </c>
      <c r="AD18" s="14">
        <v>7</v>
      </c>
      <c r="AE18" s="14">
        <v>8</v>
      </c>
      <c r="AF18" s="214"/>
      <c r="AG18" s="15">
        <f t="shared" si="2"/>
        <v>184</v>
      </c>
    </row>
    <row r="19" spans="1:33" ht="18.75" x14ac:dyDescent="0.25">
      <c r="A19" s="12" t="s">
        <v>30</v>
      </c>
      <c r="B19" s="13">
        <v>9</v>
      </c>
      <c r="C19" s="14">
        <v>7</v>
      </c>
      <c r="D19" s="14">
        <v>3</v>
      </c>
      <c r="E19" s="14">
        <v>4</v>
      </c>
      <c r="F19" s="14">
        <v>8</v>
      </c>
      <c r="G19" s="14">
        <v>4</v>
      </c>
      <c r="H19" s="14">
        <v>8</v>
      </c>
      <c r="I19" s="14">
        <v>4</v>
      </c>
      <c r="J19" s="14">
        <v>8</v>
      </c>
      <c r="K19" s="14">
        <v>2</v>
      </c>
      <c r="L19" s="14">
        <v>7</v>
      </c>
      <c r="M19" s="14">
        <v>7</v>
      </c>
      <c r="N19" s="14">
        <v>2</v>
      </c>
      <c r="O19" s="14">
        <v>3</v>
      </c>
      <c r="P19" s="14">
        <v>6</v>
      </c>
      <c r="Q19" s="14">
        <v>6</v>
      </c>
      <c r="R19" s="14">
        <v>8</v>
      </c>
      <c r="S19" s="14">
        <v>2</v>
      </c>
      <c r="T19" s="14">
        <v>4</v>
      </c>
      <c r="U19" s="14">
        <v>4</v>
      </c>
      <c r="V19" s="14">
        <v>3</v>
      </c>
      <c r="W19" s="14">
        <v>8</v>
      </c>
      <c r="X19" s="14">
        <v>4</v>
      </c>
      <c r="Y19" s="14">
        <v>3</v>
      </c>
      <c r="Z19" s="14">
        <v>2</v>
      </c>
      <c r="AA19" s="14">
        <v>4</v>
      </c>
      <c r="AB19" s="14">
        <v>6</v>
      </c>
      <c r="AC19" s="14">
        <v>4</v>
      </c>
      <c r="AD19" s="14">
        <v>6</v>
      </c>
      <c r="AE19" s="14">
        <v>4</v>
      </c>
      <c r="AF19" s="214"/>
      <c r="AG19" s="15">
        <f t="shared" si="2"/>
        <v>150</v>
      </c>
    </row>
    <row r="20" spans="1:33" ht="18.75" x14ac:dyDescent="0.25">
      <c r="A20" s="12" t="s">
        <v>31</v>
      </c>
      <c r="B20" s="13">
        <v>1</v>
      </c>
      <c r="C20" s="14">
        <v>3</v>
      </c>
      <c r="D20" s="14">
        <v>5</v>
      </c>
      <c r="E20" s="14">
        <v>4</v>
      </c>
      <c r="F20" s="14">
        <v>6</v>
      </c>
      <c r="G20" s="14">
        <v>1</v>
      </c>
      <c r="H20" s="14">
        <v>2</v>
      </c>
      <c r="I20" s="14">
        <v>3</v>
      </c>
      <c r="J20" s="14">
        <v>3</v>
      </c>
      <c r="K20" s="14">
        <v>5</v>
      </c>
      <c r="L20" s="14">
        <v>2</v>
      </c>
      <c r="M20" s="14">
        <v>3</v>
      </c>
      <c r="N20" s="14">
        <v>3</v>
      </c>
      <c r="O20" s="14">
        <v>2</v>
      </c>
      <c r="P20" s="14">
        <v>4</v>
      </c>
      <c r="Q20" s="14">
        <v>4</v>
      </c>
      <c r="R20" s="14">
        <v>3</v>
      </c>
      <c r="S20" s="14">
        <v>4</v>
      </c>
      <c r="T20" s="14">
        <v>3</v>
      </c>
      <c r="U20" s="14">
        <v>2</v>
      </c>
      <c r="V20" s="14">
        <v>4</v>
      </c>
      <c r="W20" s="14">
        <v>5</v>
      </c>
      <c r="X20" s="14">
        <v>4</v>
      </c>
      <c r="Y20" s="14">
        <v>2</v>
      </c>
      <c r="Z20" s="14">
        <v>6</v>
      </c>
      <c r="AA20" s="14">
        <v>0</v>
      </c>
      <c r="AB20" s="14">
        <v>2</v>
      </c>
      <c r="AC20" s="14">
        <v>3</v>
      </c>
      <c r="AD20" s="14">
        <v>0</v>
      </c>
      <c r="AE20" s="14">
        <v>4</v>
      </c>
      <c r="AF20" s="214"/>
      <c r="AG20" s="15">
        <f t="shared" si="2"/>
        <v>93</v>
      </c>
    </row>
    <row r="21" spans="1:33" ht="15.75" customHeight="1" x14ac:dyDescent="0.25">
      <c r="A21" s="12" t="s">
        <v>32</v>
      </c>
      <c r="B21" s="13">
        <v>3</v>
      </c>
      <c r="C21" s="14">
        <v>5</v>
      </c>
      <c r="D21" s="14">
        <v>2</v>
      </c>
      <c r="E21" s="14">
        <v>5</v>
      </c>
      <c r="F21" s="14">
        <v>10</v>
      </c>
      <c r="G21" s="14">
        <v>3</v>
      </c>
      <c r="H21" s="14">
        <v>1</v>
      </c>
      <c r="I21" s="14">
        <v>2</v>
      </c>
      <c r="J21" s="14">
        <v>7</v>
      </c>
      <c r="K21" s="14">
        <v>0</v>
      </c>
      <c r="L21" s="14">
        <v>2</v>
      </c>
      <c r="M21" s="14">
        <v>3</v>
      </c>
      <c r="N21" s="14">
        <v>2</v>
      </c>
      <c r="O21" s="14">
        <v>1</v>
      </c>
      <c r="P21" s="14">
        <v>2</v>
      </c>
      <c r="Q21" s="14">
        <v>1</v>
      </c>
      <c r="R21" s="14">
        <v>5</v>
      </c>
      <c r="S21" s="14">
        <v>3</v>
      </c>
      <c r="T21" s="14">
        <v>1</v>
      </c>
      <c r="U21" s="14">
        <v>5</v>
      </c>
      <c r="V21" s="14">
        <v>2</v>
      </c>
      <c r="W21" s="14">
        <v>2</v>
      </c>
      <c r="X21" s="14">
        <v>4</v>
      </c>
      <c r="Y21" s="14">
        <v>3</v>
      </c>
      <c r="Z21" s="14">
        <v>2</v>
      </c>
      <c r="AA21" s="14">
        <v>4</v>
      </c>
      <c r="AB21" s="14">
        <v>4</v>
      </c>
      <c r="AC21" s="14">
        <v>2</v>
      </c>
      <c r="AD21" s="14">
        <v>1</v>
      </c>
      <c r="AE21" s="14">
        <v>2</v>
      </c>
      <c r="AF21" s="214"/>
      <c r="AG21" s="15">
        <f t="shared" si="2"/>
        <v>89</v>
      </c>
    </row>
    <row r="22" spans="1:33" ht="15.75" customHeight="1" x14ac:dyDescent="0.25">
      <c r="A22" s="12" t="s">
        <v>33</v>
      </c>
      <c r="B22" s="13">
        <v>3</v>
      </c>
      <c r="C22" s="14">
        <v>1</v>
      </c>
      <c r="D22" s="14">
        <v>5</v>
      </c>
      <c r="E22" s="14">
        <v>2</v>
      </c>
      <c r="F22" s="14">
        <v>2</v>
      </c>
      <c r="G22" s="14">
        <v>4</v>
      </c>
      <c r="H22" s="14">
        <v>1</v>
      </c>
      <c r="I22" s="14">
        <v>3</v>
      </c>
      <c r="J22" s="14">
        <v>2</v>
      </c>
      <c r="K22" s="14">
        <v>2</v>
      </c>
      <c r="L22" s="14">
        <v>2</v>
      </c>
      <c r="M22" s="14">
        <v>2</v>
      </c>
      <c r="N22" s="14">
        <v>0</v>
      </c>
      <c r="O22" s="14">
        <v>1</v>
      </c>
      <c r="P22" s="14">
        <v>1</v>
      </c>
      <c r="Q22" s="14">
        <v>3</v>
      </c>
      <c r="R22" s="14">
        <v>3</v>
      </c>
      <c r="S22" s="14">
        <v>1</v>
      </c>
      <c r="T22" s="14">
        <v>4</v>
      </c>
      <c r="U22" s="14">
        <v>3</v>
      </c>
      <c r="V22" s="14">
        <v>0</v>
      </c>
      <c r="W22" s="14">
        <v>2</v>
      </c>
      <c r="X22" s="14">
        <v>6</v>
      </c>
      <c r="Y22" s="14">
        <v>1</v>
      </c>
      <c r="Z22" s="14">
        <v>1</v>
      </c>
      <c r="AA22" s="14">
        <v>1</v>
      </c>
      <c r="AB22" s="14">
        <v>1</v>
      </c>
      <c r="AC22" s="14">
        <v>1</v>
      </c>
      <c r="AD22" s="14">
        <v>2</v>
      </c>
      <c r="AE22" s="14">
        <v>4</v>
      </c>
      <c r="AF22" s="214"/>
      <c r="AG22" s="15">
        <f t="shared" si="2"/>
        <v>64</v>
      </c>
    </row>
    <row r="23" spans="1:33" ht="15.75" customHeight="1" x14ac:dyDescent="0.25">
      <c r="A23" s="12" t="s">
        <v>34</v>
      </c>
      <c r="B23" s="13">
        <v>3</v>
      </c>
      <c r="C23" s="14">
        <v>2</v>
      </c>
      <c r="D23" s="14">
        <v>1</v>
      </c>
      <c r="E23" s="14">
        <v>2</v>
      </c>
      <c r="F23" s="14">
        <v>1</v>
      </c>
      <c r="G23" s="14">
        <v>1</v>
      </c>
      <c r="H23" s="14">
        <v>3</v>
      </c>
      <c r="I23" s="14">
        <v>3</v>
      </c>
      <c r="J23" s="14">
        <v>2</v>
      </c>
      <c r="K23" s="14">
        <v>4</v>
      </c>
      <c r="L23" s="14">
        <v>0</v>
      </c>
      <c r="M23" s="14">
        <v>1</v>
      </c>
      <c r="N23" s="14">
        <v>0</v>
      </c>
      <c r="O23" s="14">
        <v>0</v>
      </c>
      <c r="P23" s="14">
        <v>0</v>
      </c>
      <c r="Q23" s="14">
        <v>4</v>
      </c>
      <c r="R23" s="14">
        <v>3</v>
      </c>
      <c r="S23" s="14">
        <v>3</v>
      </c>
      <c r="T23" s="14">
        <v>2</v>
      </c>
      <c r="U23" s="14">
        <v>2</v>
      </c>
      <c r="V23" s="14">
        <v>1</v>
      </c>
      <c r="W23" s="14">
        <v>1</v>
      </c>
      <c r="X23" s="14">
        <v>0</v>
      </c>
      <c r="Y23" s="14">
        <v>0</v>
      </c>
      <c r="Z23" s="14">
        <v>0</v>
      </c>
      <c r="AA23" s="14">
        <v>1</v>
      </c>
      <c r="AB23" s="14">
        <v>3</v>
      </c>
      <c r="AC23" s="14">
        <v>2</v>
      </c>
      <c r="AD23" s="14">
        <v>0</v>
      </c>
      <c r="AE23" s="14">
        <v>1</v>
      </c>
      <c r="AF23" s="214"/>
      <c r="AG23" s="15">
        <f t="shared" si="2"/>
        <v>46</v>
      </c>
    </row>
    <row r="24" spans="1:33" ht="15.75" customHeight="1" x14ac:dyDescent="0.25">
      <c r="A24" s="12" t="s">
        <v>35</v>
      </c>
      <c r="B24" s="13">
        <v>5</v>
      </c>
      <c r="C24" s="14">
        <v>2</v>
      </c>
      <c r="D24" s="14">
        <v>2</v>
      </c>
      <c r="E24" s="14">
        <v>0</v>
      </c>
      <c r="F24" s="14">
        <v>1</v>
      </c>
      <c r="G24" s="14">
        <v>0</v>
      </c>
      <c r="H24" s="14">
        <v>2</v>
      </c>
      <c r="I24" s="14">
        <v>2</v>
      </c>
      <c r="J24" s="14">
        <v>2</v>
      </c>
      <c r="K24" s="14">
        <v>0</v>
      </c>
      <c r="L24" s="14">
        <v>0</v>
      </c>
      <c r="M24" s="14">
        <v>0</v>
      </c>
      <c r="N24" s="14">
        <v>2</v>
      </c>
      <c r="O24" s="14">
        <v>3</v>
      </c>
      <c r="P24" s="14">
        <v>0</v>
      </c>
      <c r="Q24" s="14">
        <v>0</v>
      </c>
      <c r="R24" s="14">
        <v>1</v>
      </c>
      <c r="S24" s="14">
        <v>0</v>
      </c>
      <c r="T24" s="14">
        <v>2</v>
      </c>
      <c r="U24" s="14">
        <v>3</v>
      </c>
      <c r="V24" s="14">
        <v>0</v>
      </c>
      <c r="W24" s="14">
        <v>0</v>
      </c>
      <c r="X24" s="14">
        <v>1</v>
      </c>
      <c r="Y24" s="14">
        <v>2</v>
      </c>
      <c r="Z24" s="14">
        <v>1</v>
      </c>
      <c r="AA24" s="14">
        <v>1</v>
      </c>
      <c r="AB24" s="14">
        <v>0</v>
      </c>
      <c r="AC24" s="14">
        <v>0</v>
      </c>
      <c r="AD24" s="14">
        <v>2</v>
      </c>
      <c r="AE24" s="14">
        <v>2</v>
      </c>
      <c r="AF24" s="214"/>
      <c r="AG24" s="15">
        <f t="shared" si="2"/>
        <v>36</v>
      </c>
    </row>
    <row r="25" spans="1:33" ht="15.75" customHeight="1" x14ac:dyDescent="0.25">
      <c r="A25" s="12" t="s">
        <v>36</v>
      </c>
      <c r="B25" s="13">
        <v>3</v>
      </c>
      <c r="C25" s="14">
        <v>1</v>
      </c>
      <c r="D25" s="14">
        <v>0</v>
      </c>
      <c r="E25" s="14">
        <v>2</v>
      </c>
      <c r="F25" s="14">
        <v>0</v>
      </c>
      <c r="G25" s="14">
        <v>1</v>
      </c>
      <c r="H25" s="14">
        <v>1</v>
      </c>
      <c r="I25" s="14">
        <v>1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5</v>
      </c>
      <c r="P25" s="14">
        <v>1</v>
      </c>
      <c r="Q25" s="14">
        <v>1</v>
      </c>
      <c r="R25" s="14">
        <v>2</v>
      </c>
      <c r="S25" s="14">
        <v>2</v>
      </c>
      <c r="T25" s="14">
        <v>0</v>
      </c>
      <c r="U25" s="14">
        <v>1</v>
      </c>
      <c r="V25" s="14">
        <v>0</v>
      </c>
      <c r="W25" s="14">
        <v>0</v>
      </c>
      <c r="X25" s="14">
        <v>3</v>
      </c>
      <c r="Y25" s="14">
        <v>0</v>
      </c>
      <c r="Z25" s="14">
        <v>0</v>
      </c>
      <c r="AA25" s="14">
        <v>1</v>
      </c>
      <c r="AB25" s="14">
        <v>2</v>
      </c>
      <c r="AC25" s="14">
        <v>0</v>
      </c>
      <c r="AD25" s="14">
        <v>2</v>
      </c>
      <c r="AE25" s="14">
        <v>2</v>
      </c>
      <c r="AF25" s="214"/>
      <c r="AG25" s="15">
        <f t="shared" si="2"/>
        <v>31</v>
      </c>
    </row>
    <row r="26" spans="1:33" ht="15.75" customHeight="1" x14ac:dyDescent="0.25">
      <c r="A26" s="12" t="s">
        <v>37</v>
      </c>
      <c r="B26" s="13">
        <v>0</v>
      </c>
      <c r="C26" s="14">
        <v>2</v>
      </c>
      <c r="D26" s="14">
        <v>2</v>
      </c>
      <c r="E26" s="14">
        <v>3</v>
      </c>
      <c r="F26" s="14">
        <v>2</v>
      </c>
      <c r="G26" s="14">
        <v>5</v>
      </c>
      <c r="H26" s="14">
        <v>0</v>
      </c>
      <c r="I26" s="14">
        <v>4</v>
      </c>
      <c r="J26" s="14">
        <v>0</v>
      </c>
      <c r="K26" s="14">
        <v>0</v>
      </c>
      <c r="L26" s="14">
        <v>0</v>
      </c>
      <c r="M26" s="14">
        <v>1</v>
      </c>
      <c r="N26" s="14">
        <v>1</v>
      </c>
      <c r="O26" s="14">
        <v>1</v>
      </c>
      <c r="P26" s="14">
        <v>3</v>
      </c>
      <c r="Q26" s="14">
        <v>1</v>
      </c>
      <c r="R26" s="14">
        <v>1</v>
      </c>
      <c r="S26" s="14">
        <v>2</v>
      </c>
      <c r="T26" s="14">
        <v>0</v>
      </c>
      <c r="U26" s="14">
        <v>3</v>
      </c>
      <c r="V26" s="14">
        <v>1</v>
      </c>
      <c r="W26" s="14">
        <v>2</v>
      </c>
      <c r="X26" s="14">
        <v>1</v>
      </c>
      <c r="Y26" s="14">
        <v>0</v>
      </c>
      <c r="Z26" s="14">
        <v>3</v>
      </c>
      <c r="AA26" s="14">
        <v>3</v>
      </c>
      <c r="AB26" s="14">
        <v>2</v>
      </c>
      <c r="AC26" s="14">
        <v>0</v>
      </c>
      <c r="AD26" s="14">
        <v>2</v>
      </c>
      <c r="AE26" s="14">
        <v>1</v>
      </c>
      <c r="AF26" s="214"/>
      <c r="AG26" s="15">
        <f t="shared" si="2"/>
        <v>46</v>
      </c>
    </row>
    <row r="27" spans="1:33" ht="15.75" customHeight="1" thickBot="1" x14ac:dyDescent="0.3">
      <c r="A27" s="16" t="s">
        <v>38</v>
      </c>
      <c r="B27" s="17">
        <v>4</v>
      </c>
      <c r="C27" s="18">
        <v>1</v>
      </c>
      <c r="D27" s="18">
        <v>1</v>
      </c>
      <c r="E27" s="18">
        <v>3</v>
      </c>
      <c r="F27" s="18">
        <v>5</v>
      </c>
      <c r="G27" s="18">
        <v>5</v>
      </c>
      <c r="H27" s="18">
        <v>2</v>
      </c>
      <c r="I27" s="18">
        <v>2</v>
      </c>
      <c r="J27" s="18">
        <v>1</v>
      </c>
      <c r="K27" s="18">
        <v>2</v>
      </c>
      <c r="L27" s="18">
        <v>2</v>
      </c>
      <c r="M27" s="18">
        <v>2</v>
      </c>
      <c r="N27" s="18">
        <v>3</v>
      </c>
      <c r="O27" s="18">
        <v>2</v>
      </c>
      <c r="P27" s="18">
        <v>2</v>
      </c>
      <c r="Q27" s="18">
        <v>3</v>
      </c>
      <c r="R27" s="18">
        <v>1</v>
      </c>
      <c r="S27" s="18">
        <v>3</v>
      </c>
      <c r="T27" s="18">
        <v>3</v>
      </c>
      <c r="U27" s="18">
        <v>4</v>
      </c>
      <c r="V27" s="18">
        <v>0</v>
      </c>
      <c r="W27" s="18">
        <v>1</v>
      </c>
      <c r="X27" s="18">
        <v>3</v>
      </c>
      <c r="Y27" s="18">
        <v>1</v>
      </c>
      <c r="Z27" s="18">
        <v>1</v>
      </c>
      <c r="AA27" s="18">
        <v>0</v>
      </c>
      <c r="AB27" s="18">
        <v>2</v>
      </c>
      <c r="AC27" s="18">
        <v>0</v>
      </c>
      <c r="AD27" s="18">
        <v>3</v>
      </c>
      <c r="AE27" s="18">
        <v>2</v>
      </c>
      <c r="AF27" s="215"/>
      <c r="AG27" s="15">
        <f t="shared" si="2"/>
        <v>64</v>
      </c>
    </row>
    <row r="28" spans="1:33" ht="15.75" customHeight="1" x14ac:dyDescent="0.25">
      <c r="A28" s="19" t="s">
        <v>39</v>
      </c>
      <c r="B28" s="20">
        <f t="shared" ref="B28:AF28" si="3">SUM(B29:B52)</f>
        <v>203</v>
      </c>
      <c r="C28" s="21">
        <f t="shared" si="3"/>
        <v>167</v>
      </c>
      <c r="D28" s="21">
        <f t="shared" si="3"/>
        <v>189</v>
      </c>
      <c r="E28" s="21">
        <f t="shared" si="3"/>
        <v>195</v>
      </c>
      <c r="F28" s="21">
        <f t="shared" si="3"/>
        <v>214</v>
      </c>
      <c r="G28" s="21">
        <f t="shared" si="3"/>
        <v>224</v>
      </c>
      <c r="H28" s="21">
        <f t="shared" si="3"/>
        <v>188</v>
      </c>
      <c r="I28" s="21">
        <f t="shared" si="3"/>
        <v>158</v>
      </c>
      <c r="J28" s="21">
        <f t="shared" si="3"/>
        <v>187</v>
      </c>
      <c r="K28" s="21">
        <f t="shared" si="3"/>
        <v>139</v>
      </c>
      <c r="L28" s="21">
        <f t="shared" si="3"/>
        <v>158</v>
      </c>
      <c r="M28" s="21">
        <f t="shared" si="3"/>
        <v>204</v>
      </c>
      <c r="N28" s="21">
        <f t="shared" si="3"/>
        <v>182</v>
      </c>
      <c r="O28" s="21">
        <f t="shared" si="3"/>
        <v>187</v>
      </c>
      <c r="P28" s="21">
        <f t="shared" si="3"/>
        <v>189</v>
      </c>
      <c r="Q28" s="21">
        <f t="shared" si="3"/>
        <v>180</v>
      </c>
      <c r="R28" s="21">
        <f t="shared" si="3"/>
        <v>169</v>
      </c>
      <c r="S28" s="21">
        <f t="shared" si="3"/>
        <v>149</v>
      </c>
      <c r="T28" s="21">
        <f t="shared" si="3"/>
        <v>213</v>
      </c>
      <c r="U28" s="21">
        <f t="shared" si="3"/>
        <v>186</v>
      </c>
      <c r="V28" s="21">
        <f t="shared" si="3"/>
        <v>182</v>
      </c>
      <c r="W28" s="21">
        <f t="shared" si="3"/>
        <v>173</v>
      </c>
      <c r="X28" s="21">
        <f t="shared" si="3"/>
        <v>175</v>
      </c>
      <c r="Y28" s="21">
        <f t="shared" si="3"/>
        <v>132</v>
      </c>
      <c r="Z28" s="21">
        <f t="shared" si="3"/>
        <v>154</v>
      </c>
      <c r="AA28" s="21">
        <f t="shared" si="3"/>
        <v>164</v>
      </c>
      <c r="AB28" s="21">
        <f t="shared" si="3"/>
        <v>181</v>
      </c>
      <c r="AC28" s="21">
        <f t="shared" si="3"/>
        <v>142</v>
      </c>
      <c r="AD28" s="21">
        <f t="shared" si="3"/>
        <v>161</v>
      </c>
      <c r="AE28" s="21">
        <f t="shared" si="3"/>
        <v>165</v>
      </c>
      <c r="AF28" s="21">
        <f t="shared" si="3"/>
        <v>0</v>
      </c>
      <c r="AG28" s="22">
        <f t="shared" si="2"/>
        <v>5310</v>
      </c>
    </row>
    <row r="29" spans="1:33" ht="15.75" customHeight="1" x14ac:dyDescent="0.25">
      <c r="A29" s="12" t="s">
        <v>15</v>
      </c>
      <c r="B29" s="13">
        <v>1</v>
      </c>
      <c r="C29" s="14">
        <v>4</v>
      </c>
      <c r="D29" s="14">
        <v>8</v>
      </c>
      <c r="E29" s="14">
        <v>4</v>
      </c>
      <c r="F29" s="14">
        <v>5</v>
      </c>
      <c r="G29" s="14">
        <v>9</v>
      </c>
      <c r="H29" s="14">
        <v>7</v>
      </c>
      <c r="I29" s="14">
        <v>1</v>
      </c>
      <c r="J29" s="14">
        <v>2</v>
      </c>
      <c r="K29" s="14">
        <v>11</v>
      </c>
      <c r="L29" s="14">
        <v>3</v>
      </c>
      <c r="M29" s="14">
        <v>8</v>
      </c>
      <c r="N29" s="14">
        <v>2</v>
      </c>
      <c r="O29" s="14">
        <v>7</v>
      </c>
      <c r="P29" s="14">
        <v>5</v>
      </c>
      <c r="Q29" s="14">
        <v>7</v>
      </c>
      <c r="R29" s="14">
        <v>3</v>
      </c>
      <c r="S29" s="14">
        <v>2</v>
      </c>
      <c r="T29" s="14">
        <v>8</v>
      </c>
      <c r="U29" s="14">
        <v>10</v>
      </c>
      <c r="V29" s="14">
        <v>5</v>
      </c>
      <c r="W29" s="14">
        <v>7</v>
      </c>
      <c r="X29" s="14">
        <v>3</v>
      </c>
      <c r="Y29" s="14">
        <v>5</v>
      </c>
      <c r="Z29" s="14">
        <v>0</v>
      </c>
      <c r="AA29" s="14">
        <v>3</v>
      </c>
      <c r="AB29" s="14">
        <v>5</v>
      </c>
      <c r="AC29" s="14">
        <v>1</v>
      </c>
      <c r="AD29" s="14">
        <v>10</v>
      </c>
      <c r="AE29" s="14">
        <v>4</v>
      </c>
      <c r="AF29" s="214"/>
      <c r="AG29" s="15">
        <f t="shared" si="2"/>
        <v>150</v>
      </c>
    </row>
    <row r="30" spans="1:33" ht="15.75" customHeight="1" x14ac:dyDescent="0.25">
      <c r="A30" s="12" t="s">
        <v>16</v>
      </c>
      <c r="B30" s="13">
        <v>8</v>
      </c>
      <c r="C30" s="14">
        <v>8</v>
      </c>
      <c r="D30" s="14">
        <v>6</v>
      </c>
      <c r="E30" s="14">
        <v>7</v>
      </c>
      <c r="F30" s="14">
        <v>3</v>
      </c>
      <c r="G30" s="14">
        <v>8</v>
      </c>
      <c r="H30" s="14">
        <v>5</v>
      </c>
      <c r="I30" s="14">
        <v>8</v>
      </c>
      <c r="J30" s="14">
        <v>9</v>
      </c>
      <c r="K30" s="14">
        <v>1</v>
      </c>
      <c r="L30" s="14">
        <v>6</v>
      </c>
      <c r="M30" s="14">
        <v>12</v>
      </c>
      <c r="N30" s="14">
        <v>8</v>
      </c>
      <c r="O30" s="14">
        <v>9</v>
      </c>
      <c r="P30" s="14">
        <v>18</v>
      </c>
      <c r="Q30" s="14">
        <v>5</v>
      </c>
      <c r="R30" s="14">
        <v>7</v>
      </c>
      <c r="S30" s="14">
        <v>7</v>
      </c>
      <c r="T30" s="14">
        <v>8</v>
      </c>
      <c r="U30" s="14">
        <v>10</v>
      </c>
      <c r="V30" s="14">
        <v>5</v>
      </c>
      <c r="W30" s="14">
        <v>11</v>
      </c>
      <c r="X30" s="14">
        <v>11</v>
      </c>
      <c r="Y30" s="14">
        <v>12</v>
      </c>
      <c r="Z30" s="14">
        <v>9</v>
      </c>
      <c r="AA30" s="14">
        <v>6</v>
      </c>
      <c r="AB30" s="14">
        <v>9</v>
      </c>
      <c r="AC30" s="14">
        <v>4</v>
      </c>
      <c r="AD30" s="14">
        <v>9</v>
      </c>
      <c r="AE30" s="14">
        <v>8</v>
      </c>
      <c r="AF30" s="214"/>
      <c r="AG30" s="15">
        <f t="shared" si="2"/>
        <v>237</v>
      </c>
    </row>
    <row r="31" spans="1:33" ht="15.75" customHeight="1" x14ac:dyDescent="0.25">
      <c r="A31" s="12" t="s">
        <v>17</v>
      </c>
      <c r="B31" s="13">
        <v>5</v>
      </c>
      <c r="C31" s="14">
        <v>4</v>
      </c>
      <c r="D31" s="14">
        <v>16</v>
      </c>
      <c r="E31" s="14">
        <v>11</v>
      </c>
      <c r="F31" s="14">
        <v>5</v>
      </c>
      <c r="G31" s="14">
        <v>9</v>
      </c>
      <c r="H31" s="14">
        <v>9</v>
      </c>
      <c r="I31" s="14">
        <v>8</v>
      </c>
      <c r="J31" s="14">
        <v>11</v>
      </c>
      <c r="K31" s="14">
        <v>23</v>
      </c>
      <c r="L31" s="14">
        <v>11</v>
      </c>
      <c r="M31" s="14">
        <v>11</v>
      </c>
      <c r="N31" s="14">
        <v>9</v>
      </c>
      <c r="O31" s="14">
        <v>3</v>
      </c>
      <c r="P31" s="14">
        <v>12</v>
      </c>
      <c r="Q31" s="14">
        <v>9</v>
      </c>
      <c r="R31" s="14">
        <v>16</v>
      </c>
      <c r="S31" s="14">
        <v>11</v>
      </c>
      <c r="T31" s="14">
        <v>13</v>
      </c>
      <c r="U31" s="14">
        <v>8</v>
      </c>
      <c r="V31" s="14">
        <v>15</v>
      </c>
      <c r="W31" s="14">
        <v>12</v>
      </c>
      <c r="X31" s="14">
        <v>6</v>
      </c>
      <c r="Y31" s="14">
        <v>12</v>
      </c>
      <c r="Z31" s="14">
        <v>7</v>
      </c>
      <c r="AA31" s="14">
        <v>6</v>
      </c>
      <c r="AB31" s="14">
        <v>10</v>
      </c>
      <c r="AC31" s="14">
        <v>8</v>
      </c>
      <c r="AD31" s="14">
        <v>4</v>
      </c>
      <c r="AE31" s="14">
        <v>7</v>
      </c>
      <c r="AF31" s="214"/>
      <c r="AG31" s="15">
        <f t="shared" si="2"/>
        <v>291</v>
      </c>
    </row>
    <row r="32" spans="1:33" ht="15.75" customHeight="1" x14ac:dyDescent="0.25">
      <c r="A32" s="12" t="s">
        <v>18</v>
      </c>
      <c r="B32" s="13">
        <v>7</v>
      </c>
      <c r="C32" s="14">
        <v>4</v>
      </c>
      <c r="D32" s="14">
        <v>15</v>
      </c>
      <c r="E32" s="14">
        <v>12</v>
      </c>
      <c r="F32" s="14">
        <v>5</v>
      </c>
      <c r="G32" s="14">
        <v>15</v>
      </c>
      <c r="H32" s="14">
        <v>6</v>
      </c>
      <c r="I32" s="14">
        <v>9</v>
      </c>
      <c r="J32" s="14">
        <v>8</v>
      </c>
      <c r="K32" s="14">
        <v>15</v>
      </c>
      <c r="L32" s="14">
        <v>2</v>
      </c>
      <c r="M32" s="14">
        <v>8</v>
      </c>
      <c r="N32" s="14">
        <v>10</v>
      </c>
      <c r="O32" s="14">
        <v>11</v>
      </c>
      <c r="P32" s="14">
        <v>18</v>
      </c>
      <c r="Q32" s="14">
        <v>9</v>
      </c>
      <c r="R32" s="14">
        <v>14</v>
      </c>
      <c r="S32" s="14">
        <v>11</v>
      </c>
      <c r="T32" s="14">
        <v>13</v>
      </c>
      <c r="U32" s="14">
        <v>8</v>
      </c>
      <c r="V32" s="14">
        <v>16</v>
      </c>
      <c r="W32" s="14">
        <v>11</v>
      </c>
      <c r="X32" s="14">
        <v>9</v>
      </c>
      <c r="Y32" s="14">
        <v>10</v>
      </c>
      <c r="Z32" s="14">
        <v>9</v>
      </c>
      <c r="AA32" s="14">
        <v>13</v>
      </c>
      <c r="AB32" s="14">
        <v>11</v>
      </c>
      <c r="AC32" s="14">
        <v>4</v>
      </c>
      <c r="AD32" s="14">
        <v>5</v>
      </c>
      <c r="AE32" s="14">
        <v>4</v>
      </c>
      <c r="AF32" s="214"/>
      <c r="AG32" s="15">
        <f t="shared" si="2"/>
        <v>292</v>
      </c>
    </row>
    <row r="33" spans="1:33" ht="15.75" customHeight="1" x14ac:dyDescent="0.25">
      <c r="A33" s="12" t="s">
        <v>19</v>
      </c>
      <c r="B33" s="13">
        <v>13</v>
      </c>
      <c r="C33" s="14">
        <v>5</v>
      </c>
      <c r="D33" s="14">
        <v>10</v>
      </c>
      <c r="E33" s="14">
        <v>11</v>
      </c>
      <c r="F33" s="14">
        <v>2</v>
      </c>
      <c r="G33" s="14">
        <v>7</v>
      </c>
      <c r="H33" s="14">
        <v>6</v>
      </c>
      <c r="I33" s="14">
        <v>8</v>
      </c>
      <c r="J33" s="14">
        <v>7</v>
      </c>
      <c r="K33" s="14">
        <v>8</v>
      </c>
      <c r="L33" s="14">
        <v>9</v>
      </c>
      <c r="M33" s="14">
        <v>7</v>
      </c>
      <c r="N33" s="14">
        <v>8</v>
      </c>
      <c r="O33" s="14">
        <v>4</v>
      </c>
      <c r="P33" s="14">
        <v>7</v>
      </c>
      <c r="Q33" s="14">
        <v>10</v>
      </c>
      <c r="R33" s="14">
        <v>7</v>
      </c>
      <c r="S33" s="14">
        <v>9</v>
      </c>
      <c r="T33" s="14">
        <v>11</v>
      </c>
      <c r="U33" s="14">
        <v>9</v>
      </c>
      <c r="V33" s="14">
        <v>20</v>
      </c>
      <c r="W33" s="14">
        <v>13</v>
      </c>
      <c r="X33" s="14">
        <v>8</v>
      </c>
      <c r="Y33" s="14">
        <v>10</v>
      </c>
      <c r="Z33" s="14">
        <v>9</v>
      </c>
      <c r="AA33" s="14">
        <v>10</v>
      </c>
      <c r="AB33" s="14">
        <v>7</v>
      </c>
      <c r="AC33" s="14">
        <v>5</v>
      </c>
      <c r="AD33" s="14">
        <v>7</v>
      </c>
      <c r="AE33" s="14">
        <v>14</v>
      </c>
      <c r="AF33" s="214"/>
      <c r="AG33" s="15">
        <f t="shared" si="2"/>
        <v>261</v>
      </c>
    </row>
    <row r="34" spans="1:33" ht="15.75" customHeight="1" x14ac:dyDescent="0.25">
      <c r="A34" s="12" t="s">
        <v>20</v>
      </c>
      <c r="B34" s="13">
        <v>9</v>
      </c>
      <c r="C34" s="14">
        <v>5</v>
      </c>
      <c r="D34" s="14">
        <v>12</v>
      </c>
      <c r="E34" s="14">
        <v>9</v>
      </c>
      <c r="F34" s="14">
        <v>8</v>
      </c>
      <c r="G34" s="14">
        <v>4</v>
      </c>
      <c r="H34" s="14">
        <v>3</v>
      </c>
      <c r="I34" s="14">
        <v>10</v>
      </c>
      <c r="J34" s="14">
        <v>8</v>
      </c>
      <c r="K34" s="14">
        <v>6</v>
      </c>
      <c r="L34" s="14">
        <v>11</v>
      </c>
      <c r="M34" s="14">
        <v>8</v>
      </c>
      <c r="N34" s="14">
        <v>8</v>
      </c>
      <c r="O34" s="14">
        <v>6</v>
      </c>
      <c r="P34" s="14">
        <v>5</v>
      </c>
      <c r="Q34" s="14">
        <v>5</v>
      </c>
      <c r="R34" s="14">
        <v>11</v>
      </c>
      <c r="S34" s="14">
        <v>11</v>
      </c>
      <c r="T34" s="14">
        <v>6</v>
      </c>
      <c r="U34" s="14">
        <v>4</v>
      </c>
      <c r="V34" s="14">
        <v>8</v>
      </c>
      <c r="W34" s="14">
        <v>6</v>
      </c>
      <c r="X34" s="14">
        <v>5</v>
      </c>
      <c r="Y34" s="14">
        <v>7</v>
      </c>
      <c r="Z34" s="14">
        <v>10</v>
      </c>
      <c r="AA34" s="14">
        <v>6</v>
      </c>
      <c r="AB34" s="14">
        <v>4</v>
      </c>
      <c r="AC34" s="14">
        <v>10</v>
      </c>
      <c r="AD34" s="14">
        <v>8</v>
      </c>
      <c r="AE34" s="14">
        <v>8</v>
      </c>
      <c r="AF34" s="214"/>
      <c r="AG34" s="15">
        <f t="shared" si="2"/>
        <v>221</v>
      </c>
    </row>
    <row r="35" spans="1:33" ht="15.75" customHeight="1" x14ac:dyDescent="0.25">
      <c r="A35" s="12" t="s">
        <v>21</v>
      </c>
      <c r="B35" s="13">
        <v>15</v>
      </c>
      <c r="C35" s="14">
        <v>7</v>
      </c>
      <c r="D35" s="14">
        <v>4</v>
      </c>
      <c r="E35" s="14">
        <v>12</v>
      </c>
      <c r="F35" s="14">
        <v>14</v>
      </c>
      <c r="G35" s="14">
        <v>12</v>
      </c>
      <c r="H35" s="14">
        <v>14</v>
      </c>
      <c r="I35" s="14">
        <v>10</v>
      </c>
      <c r="J35" s="14">
        <v>13</v>
      </c>
      <c r="K35" s="14">
        <v>6</v>
      </c>
      <c r="L35" s="14">
        <v>15</v>
      </c>
      <c r="M35" s="14">
        <v>10</v>
      </c>
      <c r="N35" s="14">
        <v>10</v>
      </c>
      <c r="O35" s="14">
        <v>9</v>
      </c>
      <c r="P35" s="14">
        <v>12</v>
      </c>
      <c r="Q35" s="14">
        <v>12</v>
      </c>
      <c r="R35" s="14">
        <v>15</v>
      </c>
      <c r="S35" s="14">
        <v>10</v>
      </c>
      <c r="T35" s="14">
        <v>8</v>
      </c>
      <c r="U35" s="14">
        <v>11</v>
      </c>
      <c r="V35" s="14">
        <v>7</v>
      </c>
      <c r="W35" s="14">
        <v>9</v>
      </c>
      <c r="X35" s="14">
        <v>9</v>
      </c>
      <c r="Y35" s="14">
        <v>10</v>
      </c>
      <c r="Z35" s="14">
        <v>8</v>
      </c>
      <c r="AA35" s="14">
        <v>8</v>
      </c>
      <c r="AB35" s="14">
        <v>8</v>
      </c>
      <c r="AC35" s="14">
        <v>6</v>
      </c>
      <c r="AD35" s="14">
        <v>8</v>
      </c>
      <c r="AE35" s="14">
        <v>7</v>
      </c>
      <c r="AF35" s="214"/>
      <c r="AG35" s="15">
        <f t="shared" si="2"/>
        <v>299</v>
      </c>
    </row>
    <row r="36" spans="1:33" ht="15.75" customHeight="1" x14ac:dyDescent="0.25">
      <c r="A36" s="12" t="s">
        <v>22</v>
      </c>
      <c r="B36" s="13">
        <v>9</v>
      </c>
      <c r="C36" s="14">
        <v>10</v>
      </c>
      <c r="D36" s="14">
        <v>8</v>
      </c>
      <c r="E36" s="14">
        <v>12</v>
      </c>
      <c r="F36" s="14">
        <v>15</v>
      </c>
      <c r="G36" s="14">
        <v>11</v>
      </c>
      <c r="H36" s="14">
        <v>4</v>
      </c>
      <c r="I36" s="14">
        <v>11</v>
      </c>
      <c r="J36" s="14">
        <v>10</v>
      </c>
      <c r="K36" s="14">
        <v>10</v>
      </c>
      <c r="L36" s="14">
        <v>10</v>
      </c>
      <c r="M36" s="14">
        <v>11</v>
      </c>
      <c r="N36" s="14">
        <v>13</v>
      </c>
      <c r="O36" s="14">
        <v>6</v>
      </c>
      <c r="P36" s="14">
        <v>6</v>
      </c>
      <c r="Q36" s="14">
        <v>12</v>
      </c>
      <c r="R36" s="14">
        <v>8</v>
      </c>
      <c r="S36" s="14">
        <v>7</v>
      </c>
      <c r="T36" s="14">
        <v>7</v>
      </c>
      <c r="U36" s="14">
        <v>8</v>
      </c>
      <c r="V36" s="14">
        <v>18</v>
      </c>
      <c r="W36" s="14">
        <v>10</v>
      </c>
      <c r="X36" s="14">
        <v>10</v>
      </c>
      <c r="Y36" s="14">
        <v>7</v>
      </c>
      <c r="Z36" s="14">
        <v>13</v>
      </c>
      <c r="AA36" s="14">
        <v>9</v>
      </c>
      <c r="AB36" s="14">
        <v>4</v>
      </c>
      <c r="AC36" s="14">
        <v>7</v>
      </c>
      <c r="AD36" s="14">
        <v>8</v>
      </c>
      <c r="AE36" s="14">
        <v>11</v>
      </c>
      <c r="AF36" s="214"/>
      <c r="AG36" s="15">
        <f t="shared" si="2"/>
        <v>285</v>
      </c>
    </row>
    <row r="37" spans="1:33" ht="15.75" customHeight="1" x14ac:dyDescent="0.25">
      <c r="A37" s="12" t="s">
        <v>23</v>
      </c>
      <c r="B37" s="13">
        <v>17</v>
      </c>
      <c r="C37" s="14">
        <v>10</v>
      </c>
      <c r="D37" s="14">
        <v>17</v>
      </c>
      <c r="E37" s="14">
        <v>15</v>
      </c>
      <c r="F37" s="14">
        <v>5</v>
      </c>
      <c r="G37" s="14">
        <v>7</v>
      </c>
      <c r="H37" s="14">
        <v>10</v>
      </c>
      <c r="I37" s="14">
        <v>13</v>
      </c>
      <c r="J37" s="14">
        <v>14</v>
      </c>
      <c r="K37" s="14">
        <v>6</v>
      </c>
      <c r="L37" s="14">
        <v>15</v>
      </c>
      <c r="M37" s="14">
        <v>12</v>
      </c>
      <c r="N37" s="14">
        <v>13</v>
      </c>
      <c r="O37" s="14">
        <v>11</v>
      </c>
      <c r="P37" s="14">
        <v>19</v>
      </c>
      <c r="Q37" s="14">
        <v>5</v>
      </c>
      <c r="R37" s="14">
        <v>11</v>
      </c>
      <c r="S37" s="14">
        <v>14</v>
      </c>
      <c r="T37" s="14">
        <v>10</v>
      </c>
      <c r="U37" s="14">
        <v>8</v>
      </c>
      <c r="V37" s="14">
        <v>12</v>
      </c>
      <c r="W37" s="14">
        <v>5</v>
      </c>
      <c r="X37" s="14">
        <v>9</v>
      </c>
      <c r="Y37" s="14">
        <v>8</v>
      </c>
      <c r="Z37" s="14">
        <v>12</v>
      </c>
      <c r="AA37" s="14">
        <v>14</v>
      </c>
      <c r="AB37" s="14">
        <v>6</v>
      </c>
      <c r="AC37" s="14">
        <v>7</v>
      </c>
      <c r="AD37" s="14">
        <v>5</v>
      </c>
      <c r="AE37" s="14">
        <v>4</v>
      </c>
      <c r="AF37" s="214"/>
      <c r="AG37" s="15">
        <f t="shared" si="2"/>
        <v>314</v>
      </c>
    </row>
    <row r="38" spans="1:33" ht="15.75" customHeight="1" x14ac:dyDescent="0.25">
      <c r="A38" s="12" t="s">
        <v>24</v>
      </c>
      <c r="B38" s="13">
        <v>5</v>
      </c>
      <c r="C38" s="14">
        <v>12</v>
      </c>
      <c r="D38" s="14">
        <v>14</v>
      </c>
      <c r="E38" s="14">
        <v>17</v>
      </c>
      <c r="F38" s="14">
        <v>13</v>
      </c>
      <c r="G38" s="14">
        <v>8</v>
      </c>
      <c r="H38" s="14">
        <v>14</v>
      </c>
      <c r="I38" s="14">
        <v>5</v>
      </c>
      <c r="J38" s="14">
        <v>10</v>
      </c>
      <c r="K38" s="14">
        <v>7</v>
      </c>
      <c r="L38" s="14">
        <v>19</v>
      </c>
      <c r="M38" s="14">
        <v>9</v>
      </c>
      <c r="N38" s="14">
        <v>13</v>
      </c>
      <c r="O38" s="14">
        <v>13</v>
      </c>
      <c r="P38" s="14">
        <v>7</v>
      </c>
      <c r="Q38" s="14">
        <v>8</v>
      </c>
      <c r="R38" s="14">
        <v>8</v>
      </c>
      <c r="S38" s="14">
        <v>7</v>
      </c>
      <c r="T38" s="14">
        <v>9</v>
      </c>
      <c r="U38" s="14">
        <v>11</v>
      </c>
      <c r="V38" s="14">
        <v>13</v>
      </c>
      <c r="W38" s="14">
        <v>2</v>
      </c>
      <c r="X38" s="14">
        <v>8</v>
      </c>
      <c r="Y38" s="14">
        <v>12</v>
      </c>
      <c r="Z38" s="14">
        <v>15</v>
      </c>
      <c r="AA38" s="14">
        <v>10</v>
      </c>
      <c r="AB38" s="14">
        <v>10</v>
      </c>
      <c r="AC38" s="14">
        <v>10</v>
      </c>
      <c r="AD38" s="14">
        <v>8</v>
      </c>
      <c r="AE38" s="14">
        <v>6</v>
      </c>
      <c r="AF38" s="214"/>
      <c r="AG38" s="15">
        <f t="shared" si="2"/>
        <v>303</v>
      </c>
    </row>
    <row r="39" spans="1:33" ht="15.75" customHeight="1" x14ac:dyDescent="0.25">
      <c r="A39" s="12" t="s">
        <v>25</v>
      </c>
      <c r="B39" s="13">
        <v>11</v>
      </c>
      <c r="C39" s="14">
        <v>12</v>
      </c>
      <c r="D39" s="14">
        <v>12</v>
      </c>
      <c r="E39" s="14">
        <v>17</v>
      </c>
      <c r="F39" s="14">
        <v>18</v>
      </c>
      <c r="G39" s="14">
        <v>24</v>
      </c>
      <c r="H39" s="14">
        <v>18</v>
      </c>
      <c r="I39" s="14">
        <v>14</v>
      </c>
      <c r="J39" s="14">
        <v>19</v>
      </c>
      <c r="K39" s="14">
        <v>7</v>
      </c>
      <c r="L39" s="14">
        <v>19</v>
      </c>
      <c r="M39" s="14">
        <v>24</v>
      </c>
      <c r="N39" s="14">
        <v>23</v>
      </c>
      <c r="O39" s="14">
        <v>19</v>
      </c>
      <c r="P39" s="14">
        <v>19</v>
      </c>
      <c r="Q39" s="14">
        <v>18</v>
      </c>
      <c r="R39" s="14">
        <v>8</v>
      </c>
      <c r="S39" s="14">
        <v>8</v>
      </c>
      <c r="T39" s="14">
        <v>22</v>
      </c>
      <c r="U39" s="14">
        <v>15</v>
      </c>
      <c r="V39" s="14">
        <v>11</v>
      </c>
      <c r="W39" s="14">
        <v>18</v>
      </c>
      <c r="X39" s="14">
        <v>10</v>
      </c>
      <c r="Y39" s="14">
        <v>8</v>
      </c>
      <c r="Z39" s="14">
        <v>10</v>
      </c>
      <c r="AA39" s="14">
        <v>14</v>
      </c>
      <c r="AB39" s="14">
        <v>8</v>
      </c>
      <c r="AC39" s="14">
        <v>14</v>
      </c>
      <c r="AD39" s="14">
        <v>13</v>
      </c>
      <c r="AE39" s="14">
        <v>15</v>
      </c>
      <c r="AF39" s="214"/>
      <c r="AG39" s="15">
        <f t="shared" si="2"/>
        <v>448</v>
      </c>
    </row>
    <row r="40" spans="1:33" ht="15.75" customHeight="1" x14ac:dyDescent="0.25">
      <c r="A40" s="12" t="s">
        <v>26</v>
      </c>
      <c r="B40" s="13">
        <v>13</v>
      </c>
      <c r="C40" s="14">
        <v>13</v>
      </c>
      <c r="D40" s="14">
        <v>12</v>
      </c>
      <c r="E40" s="14">
        <v>10</v>
      </c>
      <c r="F40" s="14">
        <v>22</v>
      </c>
      <c r="G40" s="14">
        <v>25</v>
      </c>
      <c r="H40" s="14">
        <v>21</v>
      </c>
      <c r="I40" s="14">
        <v>12</v>
      </c>
      <c r="J40" s="14">
        <v>13</v>
      </c>
      <c r="K40" s="14">
        <v>6</v>
      </c>
      <c r="L40" s="14">
        <v>5</v>
      </c>
      <c r="M40" s="14">
        <v>25</v>
      </c>
      <c r="N40" s="14">
        <v>17</v>
      </c>
      <c r="O40" s="14">
        <v>23</v>
      </c>
      <c r="P40" s="14">
        <v>21</v>
      </c>
      <c r="Q40" s="14">
        <v>14</v>
      </c>
      <c r="R40" s="14">
        <v>7</v>
      </c>
      <c r="S40" s="14">
        <v>5</v>
      </c>
      <c r="T40" s="14">
        <v>15</v>
      </c>
      <c r="U40" s="14">
        <v>24</v>
      </c>
      <c r="V40" s="14">
        <v>10</v>
      </c>
      <c r="W40" s="14">
        <v>19</v>
      </c>
      <c r="X40" s="14">
        <v>16</v>
      </c>
      <c r="Y40" s="14">
        <v>4</v>
      </c>
      <c r="Z40" s="14">
        <v>9</v>
      </c>
      <c r="AA40" s="14">
        <v>16</v>
      </c>
      <c r="AB40" s="14">
        <v>12</v>
      </c>
      <c r="AC40" s="14">
        <v>18</v>
      </c>
      <c r="AD40" s="14">
        <v>18</v>
      </c>
      <c r="AE40" s="14">
        <v>16</v>
      </c>
      <c r="AF40" s="214"/>
      <c r="AG40" s="15">
        <f t="shared" si="2"/>
        <v>441</v>
      </c>
    </row>
    <row r="41" spans="1:33" ht="15.75" customHeight="1" x14ac:dyDescent="0.25">
      <c r="A41" s="12" t="s">
        <v>27</v>
      </c>
      <c r="B41" s="13">
        <v>14</v>
      </c>
      <c r="C41" s="14">
        <v>16</v>
      </c>
      <c r="D41" s="14">
        <v>4</v>
      </c>
      <c r="E41" s="14">
        <v>9</v>
      </c>
      <c r="F41" s="14">
        <v>22</v>
      </c>
      <c r="G41" s="14">
        <v>25</v>
      </c>
      <c r="H41" s="14">
        <v>20</v>
      </c>
      <c r="I41" s="14">
        <v>3</v>
      </c>
      <c r="J41" s="14">
        <v>16</v>
      </c>
      <c r="K41" s="14">
        <v>4</v>
      </c>
      <c r="L41" s="14">
        <v>4</v>
      </c>
      <c r="M41" s="14">
        <v>17</v>
      </c>
      <c r="N41" s="14">
        <v>10</v>
      </c>
      <c r="O41" s="14">
        <v>20</v>
      </c>
      <c r="P41" s="14">
        <v>10</v>
      </c>
      <c r="Q41" s="14">
        <v>14</v>
      </c>
      <c r="R41" s="14">
        <v>5</v>
      </c>
      <c r="S41" s="14">
        <v>12</v>
      </c>
      <c r="T41" s="14">
        <v>20</v>
      </c>
      <c r="U41" s="14">
        <v>20</v>
      </c>
      <c r="V41" s="14">
        <v>7</v>
      </c>
      <c r="W41" s="14">
        <v>17</v>
      </c>
      <c r="X41" s="14">
        <v>16</v>
      </c>
      <c r="Y41" s="14">
        <v>4</v>
      </c>
      <c r="Z41" s="14">
        <v>8</v>
      </c>
      <c r="AA41" s="14">
        <v>12</v>
      </c>
      <c r="AB41" s="14">
        <v>16</v>
      </c>
      <c r="AC41" s="14">
        <v>20</v>
      </c>
      <c r="AD41" s="14">
        <v>14</v>
      </c>
      <c r="AE41" s="14">
        <v>13</v>
      </c>
      <c r="AF41" s="214"/>
      <c r="AG41" s="15">
        <f t="shared" si="2"/>
        <v>392</v>
      </c>
    </row>
    <row r="42" spans="1:33" ht="15.75" customHeight="1" x14ac:dyDescent="0.25">
      <c r="A42" s="12" t="s">
        <v>28</v>
      </c>
      <c r="B42" s="13">
        <v>19</v>
      </c>
      <c r="C42" s="14">
        <v>11</v>
      </c>
      <c r="D42" s="14">
        <v>9</v>
      </c>
      <c r="E42" s="14">
        <v>15</v>
      </c>
      <c r="F42" s="14">
        <v>25</v>
      </c>
      <c r="G42" s="14">
        <v>20</v>
      </c>
      <c r="H42" s="14">
        <v>14</v>
      </c>
      <c r="I42" s="14">
        <v>10</v>
      </c>
      <c r="J42" s="14">
        <v>12</v>
      </c>
      <c r="K42" s="14">
        <v>12</v>
      </c>
      <c r="L42" s="14">
        <v>6</v>
      </c>
      <c r="M42" s="14">
        <v>16</v>
      </c>
      <c r="N42" s="14">
        <v>13</v>
      </c>
      <c r="O42" s="14">
        <v>14</v>
      </c>
      <c r="P42" s="14">
        <v>8</v>
      </c>
      <c r="Q42" s="14">
        <v>14</v>
      </c>
      <c r="R42" s="14">
        <v>12</v>
      </c>
      <c r="S42" s="14">
        <v>5</v>
      </c>
      <c r="T42" s="14">
        <v>19</v>
      </c>
      <c r="U42" s="14">
        <v>11</v>
      </c>
      <c r="V42" s="14">
        <v>11</v>
      </c>
      <c r="W42" s="14">
        <v>5</v>
      </c>
      <c r="X42" s="14">
        <v>15</v>
      </c>
      <c r="Y42" s="14">
        <v>4</v>
      </c>
      <c r="Z42" s="14">
        <v>8</v>
      </c>
      <c r="AA42" s="14">
        <v>8</v>
      </c>
      <c r="AB42" s="14">
        <v>13</v>
      </c>
      <c r="AC42" s="14">
        <v>8</v>
      </c>
      <c r="AD42" s="14">
        <v>20</v>
      </c>
      <c r="AE42" s="14">
        <v>12</v>
      </c>
      <c r="AF42" s="214"/>
      <c r="AG42" s="15">
        <f t="shared" si="2"/>
        <v>369</v>
      </c>
    </row>
    <row r="43" spans="1:33" ht="15.75" customHeight="1" x14ac:dyDescent="0.25">
      <c r="A43" s="12" t="s">
        <v>29</v>
      </c>
      <c r="B43" s="13">
        <v>23</v>
      </c>
      <c r="C43" s="14">
        <v>16</v>
      </c>
      <c r="D43" s="14">
        <v>14</v>
      </c>
      <c r="E43" s="14">
        <v>3</v>
      </c>
      <c r="F43" s="14">
        <v>11</v>
      </c>
      <c r="G43" s="14">
        <v>20</v>
      </c>
      <c r="H43" s="14">
        <v>18</v>
      </c>
      <c r="I43" s="14">
        <v>9</v>
      </c>
      <c r="J43" s="14">
        <v>8</v>
      </c>
      <c r="K43" s="14">
        <v>2</v>
      </c>
      <c r="L43" s="14">
        <v>7</v>
      </c>
      <c r="M43" s="14">
        <v>5</v>
      </c>
      <c r="N43" s="14">
        <v>9</v>
      </c>
      <c r="O43" s="14">
        <v>12</v>
      </c>
      <c r="P43" s="14">
        <v>5</v>
      </c>
      <c r="Q43" s="14">
        <v>13</v>
      </c>
      <c r="R43" s="14">
        <v>8</v>
      </c>
      <c r="S43" s="14">
        <v>10</v>
      </c>
      <c r="T43" s="14">
        <v>11</v>
      </c>
      <c r="U43" s="14">
        <v>5</v>
      </c>
      <c r="V43" s="14">
        <v>9</v>
      </c>
      <c r="W43" s="14">
        <v>6</v>
      </c>
      <c r="X43" s="14">
        <v>9</v>
      </c>
      <c r="Y43" s="14">
        <v>7</v>
      </c>
      <c r="Z43" s="14">
        <v>8</v>
      </c>
      <c r="AA43" s="14">
        <v>9</v>
      </c>
      <c r="AB43" s="14">
        <v>24</v>
      </c>
      <c r="AC43" s="14">
        <v>4</v>
      </c>
      <c r="AD43" s="14">
        <v>8</v>
      </c>
      <c r="AE43" s="14">
        <v>14</v>
      </c>
      <c r="AF43" s="214"/>
      <c r="AG43" s="15">
        <f t="shared" si="2"/>
        <v>307</v>
      </c>
    </row>
    <row r="44" spans="1:33" ht="15.75" customHeight="1" x14ac:dyDescent="0.25">
      <c r="A44" s="12" t="s">
        <v>30</v>
      </c>
      <c r="B44" s="13">
        <v>10</v>
      </c>
      <c r="C44" s="14">
        <v>10</v>
      </c>
      <c r="D44" s="14">
        <v>8</v>
      </c>
      <c r="E44" s="14">
        <v>9</v>
      </c>
      <c r="F44" s="14">
        <v>5</v>
      </c>
      <c r="G44" s="14">
        <v>2</v>
      </c>
      <c r="H44" s="14">
        <v>4</v>
      </c>
      <c r="I44" s="14">
        <v>7</v>
      </c>
      <c r="J44" s="14">
        <v>5</v>
      </c>
      <c r="K44" s="14">
        <v>2</v>
      </c>
      <c r="L44" s="14">
        <v>4</v>
      </c>
      <c r="M44" s="14">
        <v>6</v>
      </c>
      <c r="N44" s="14">
        <v>6</v>
      </c>
      <c r="O44" s="14">
        <v>4</v>
      </c>
      <c r="P44" s="14">
        <v>17</v>
      </c>
      <c r="Q44" s="14">
        <v>10</v>
      </c>
      <c r="R44" s="14">
        <v>7</v>
      </c>
      <c r="S44" s="14">
        <v>2</v>
      </c>
      <c r="T44" s="14">
        <v>12</v>
      </c>
      <c r="U44" s="14">
        <v>4</v>
      </c>
      <c r="V44" s="14">
        <v>6</v>
      </c>
      <c r="W44" s="14">
        <v>8</v>
      </c>
      <c r="X44" s="14">
        <v>4</v>
      </c>
      <c r="Y44" s="14">
        <v>3</v>
      </c>
      <c r="Z44" s="14">
        <v>4</v>
      </c>
      <c r="AA44" s="14">
        <v>7</v>
      </c>
      <c r="AB44" s="14">
        <v>12</v>
      </c>
      <c r="AC44" s="14">
        <v>6</v>
      </c>
      <c r="AD44" s="14">
        <v>16</v>
      </c>
      <c r="AE44" s="14">
        <v>2</v>
      </c>
      <c r="AF44" s="214"/>
      <c r="AG44" s="15">
        <f t="shared" si="2"/>
        <v>202</v>
      </c>
    </row>
    <row r="45" spans="1:33" ht="15.75" customHeight="1" x14ac:dyDescent="0.25">
      <c r="A45" s="12" t="s">
        <v>31</v>
      </c>
      <c r="B45" s="13">
        <v>1</v>
      </c>
      <c r="C45" s="14">
        <v>6</v>
      </c>
      <c r="D45" s="14">
        <v>6</v>
      </c>
      <c r="E45" s="14">
        <v>7</v>
      </c>
      <c r="F45" s="14">
        <v>11</v>
      </c>
      <c r="G45" s="14">
        <v>4</v>
      </c>
      <c r="H45" s="14">
        <v>13</v>
      </c>
      <c r="I45" s="14">
        <v>3</v>
      </c>
      <c r="J45" s="14">
        <v>6</v>
      </c>
      <c r="K45" s="14">
        <v>4</v>
      </c>
      <c r="L45" s="14">
        <v>2</v>
      </c>
      <c r="M45" s="14">
        <v>7</v>
      </c>
      <c r="N45" s="14">
        <v>2</v>
      </c>
      <c r="O45" s="14">
        <v>4</v>
      </c>
      <c r="P45" s="14">
        <v>0</v>
      </c>
      <c r="Q45" s="14">
        <v>2</v>
      </c>
      <c r="R45" s="14">
        <v>17</v>
      </c>
      <c r="S45" s="14">
        <v>5</v>
      </c>
      <c r="T45" s="14">
        <v>5</v>
      </c>
      <c r="U45" s="14">
        <v>3</v>
      </c>
      <c r="V45" s="14">
        <v>1</v>
      </c>
      <c r="W45" s="14">
        <v>2</v>
      </c>
      <c r="X45" s="14">
        <v>6</v>
      </c>
      <c r="Y45" s="14">
        <v>2</v>
      </c>
      <c r="Z45" s="14">
        <v>3</v>
      </c>
      <c r="AA45" s="14">
        <v>2</v>
      </c>
      <c r="AB45" s="14">
        <v>8</v>
      </c>
      <c r="AC45" s="14">
        <v>4</v>
      </c>
      <c r="AD45" s="14">
        <v>0</v>
      </c>
      <c r="AE45" s="14">
        <v>4</v>
      </c>
      <c r="AF45" s="214"/>
      <c r="AG45" s="15">
        <f t="shared" si="2"/>
        <v>140</v>
      </c>
    </row>
    <row r="46" spans="1:33" ht="15.75" customHeight="1" x14ac:dyDescent="0.25">
      <c r="A46" s="12" t="s">
        <v>32</v>
      </c>
      <c r="B46" s="13">
        <v>19</v>
      </c>
      <c r="C46" s="14">
        <v>6</v>
      </c>
      <c r="D46" s="14">
        <v>12</v>
      </c>
      <c r="E46" s="14">
        <v>3</v>
      </c>
      <c r="F46" s="14">
        <v>6</v>
      </c>
      <c r="G46" s="14">
        <v>8</v>
      </c>
      <c r="H46" s="14">
        <v>1</v>
      </c>
      <c r="I46" s="14">
        <v>2</v>
      </c>
      <c r="J46" s="14">
        <v>6</v>
      </c>
      <c r="K46" s="14">
        <v>6</v>
      </c>
      <c r="L46" s="14">
        <v>2</v>
      </c>
      <c r="M46" s="14">
        <v>4</v>
      </c>
      <c r="N46" s="14">
        <v>0</v>
      </c>
      <c r="O46" s="14">
        <v>2</v>
      </c>
      <c r="P46" s="14">
        <v>0</v>
      </c>
      <c r="Q46" s="14">
        <v>4</v>
      </c>
      <c r="R46" s="14">
        <v>0</v>
      </c>
      <c r="S46" s="14">
        <v>2</v>
      </c>
      <c r="T46" s="14">
        <v>5</v>
      </c>
      <c r="U46" s="14">
        <v>13</v>
      </c>
      <c r="V46" s="14">
        <v>3</v>
      </c>
      <c r="W46" s="14">
        <v>10</v>
      </c>
      <c r="X46" s="14">
        <v>4</v>
      </c>
      <c r="Y46" s="14">
        <v>3</v>
      </c>
      <c r="Z46" s="14">
        <v>2</v>
      </c>
      <c r="AA46" s="14">
        <v>2</v>
      </c>
      <c r="AB46" s="14">
        <v>5</v>
      </c>
      <c r="AC46" s="14">
        <v>2</v>
      </c>
      <c r="AD46" s="14">
        <v>0</v>
      </c>
      <c r="AE46" s="14">
        <v>4</v>
      </c>
      <c r="AF46" s="214"/>
      <c r="AG46" s="15">
        <f t="shared" si="2"/>
        <v>136</v>
      </c>
    </row>
    <row r="47" spans="1:33" ht="15.75" customHeight="1" x14ac:dyDescent="0.25">
      <c r="A47" s="12" t="s">
        <v>33</v>
      </c>
      <c r="B47" s="13">
        <v>0</v>
      </c>
      <c r="C47" s="14">
        <v>0</v>
      </c>
      <c r="D47" s="14">
        <v>0</v>
      </c>
      <c r="E47" s="14">
        <v>3</v>
      </c>
      <c r="F47" s="14">
        <v>8</v>
      </c>
      <c r="G47" s="14">
        <v>0</v>
      </c>
      <c r="H47" s="14">
        <v>0</v>
      </c>
      <c r="I47" s="14">
        <v>3</v>
      </c>
      <c r="J47" s="14">
        <v>3</v>
      </c>
      <c r="K47" s="14">
        <v>0</v>
      </c>
      <c r="L47" s="14">
        <v>3</v>
      </c>
      <c r="M47" s="14">
        <v>1</v>
      </c>
      <c r="N47" s="14">
        <v>8</v>
      </c>
      <c r="O47" s="14">
        <v>1</v>
      </c>
      <c r="P47" s="14">
        <v>0</v>
      </c>
      <c r="Q47" s="14">
        <v>2</v>
      </c>
      <c r="R47" s="14">
        <v>0</v>
      </c>
      <c r="S47" s="14">
        <v>2</v>
      </c>
      <c r="T47" s="14">
        <v>4</v>
      </c>
      <c r="U47" s="14">
        <v>0</v>
      </c>
      <c r="V47" s="14">
        <v>3</v>
      </c>
      <c r="W47" s="14">
        <v>0</v>
      </c>
      <c r="X47" s="14">
        <v>4</v>
      </c>
      <c r="Y47" s="14">
        <v>1</v>
      </c>
      <c r="Z47" s="14">
        <v>3</v>
      </c>
      <c r="AA47" s="14">
        <v>2</v>
      </c>
      <c r="AB47" s="14">
        <v>2</v>
      </c>
      <c r="AC47" s="14">
        <v>2</v>
      </c>
      <c r="AD47" s="14">
        <v>0</v>
      </c>
      <c r="AE47" s="14">
        <v>3</v>
      </c>
      <c r="AF47" s="214"/>
      <c r="AG47" s="15">
        <f t="shared" si="2"/>
        <v>58</v>
      </c>
    </row>
    <row r="48" spans="1:33" ht="15.75" customHeight="1" x14ac:dyDescent="0.25">
      <c r="A48" s="12" t="s">
        <v>34</v>
      </c>
      <c r="B48" s="13">
        <v>0</v>
      </c>
      <c r="C48" s="14">
        <v>5</v>
      </c>
      <c r="D48" s="14">
        <v>0</v>
      </c>
      <c r="E48" s="14">
        <v>3</v>
      </c>
      <c r="F48" s="14">
        <v>8</v>
      </c>
      <c r="G48" s="14">
        <v>0</v>
      </c>
      <c r="H48" s="14">
        <v>0</v>
      </c>
      <c r="I48" s="14">
        <v>2</v>
      </c>
      <c r="J48" s="14">
        <v>3</v>
      </c>
      <c r="K48" s="14">
        <v>0</v>
      </c>
      <c r="L48" s="14">
        <v>3</v>
      </c>
      <c r="M48" s="14">
        <v>1</v>
      </c>
      <c r="N48" s="14">
        <v>0</v>
      </c>
      <c r="O48" s="14">
        <v>0</v>
      </c>
      <c r="P48" s="14">
        <v>0</v>
      </c>
      <c r="Q48" s="14">
        <v>3</v>
      </c>
      <c r="R48" s="14">
        <v>0</v>
      </c>
      <c r="S48" s="14">
        <v>1</v>
      </c>
      <c r="T48" s="14">
        <v>4</v>
      </c>
      <c r="U48" s="14">
        <v>0</v>
      </c>
      <c r="V48" s="14">
        <v>0</v>
      </c>
      <c r="W48" s="14">
        <v>0</v>
      </c>
      <c r="X48" s="14">
        <v>6</v>
      </c>
      <c r="Y48" s="14">
        <v>0</v>
      </c>
      <c r="Z48" s="14">
        <v>2</v>
      </c>
      <c r="AA48" s="14">
        <v>1</v>
      </c>
      <c r="AB48" s="14">
        <v>2</v>
      </c>
      <c r="AC48" s="14">
        <v>2</v>
      </c>
      <c r="AD48" s="14">
        <v>0</v>
      </c>
      <c r="AE48" s="14">
        <v>2</v>
      </c>
      <c r="AF48" s="214"/>
      <c r="AG48" s="15">
        <f t="shared" si="2"/>
        <v>48</v>
      </c>
    </row>
    <row r="49" spans="1:33" ht="15.75" customHeight="1" x14ac:dyDescent="0.25">
      <c r="A49" s="12" t="s">
        <v>35</v>
      </c>
      <c r="B49" s="13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10</v>
      </c>
      <c r="J49" s="14">
        <v>1</v>
      </c>
      <c r="K49" s="14">
        <v>1</v>
      </c>
      <c r="L49" s="14">
        <v>0</v>
      </c>
      <c r="M49" s="14">
        <v>1</v>
      </c>
      <c r="N49" s="14">
        <v>0</v>
      </c>
      <c r="O49" s="14">
        <v>0</v>
      </c>
      <c r="P49" s="14">
        <v>0</v>
      </c>
      <c r="Q49" s="14">
        <v>2</v>
      </c>
      <c r="R49" s="14">
        <v>0</v>
      </c>
      <c r="S49" s="14">
        <v>2</v>
      </c>
      <c r="T49" s="14">
        <v>1</v>
      </c>
      <c r="U49" s="14">
        <v>0</v>
      </c>
      <c r="V49" s="14">
        <v>2</v>
      </c>
      <c r="W49" s="14">
        <v>0</v>
      </c>
      <c r="X49" s="14">
        <v>1</v>
      </c>
      <c r="Y49" s="14">
        <v>2</v>
      </c>
      <c r="Z49" s="14">
        <v>1</v>
      </c>
      <c r="AA49" s="14">
        <v>1</v>
      </c>
      <c r="AB49" s="14">
        <v>1</v>
      </c>
      <c r="AC49" s="14">
        <v>0</v>
      </c>
      <c r="AD49" s="14">
        <v>0</v>
      </c>
      <c r="AE49" s="14">
        <v>2</v>
      </c>
      <c r="AF49" s="214"/>
      <c r="AG49" s="15">
        <f t="shared" si="2"/>
        <v>28</v>
      </c>
    </row>
    <row r="50" spans="1:33" ht="15.75" customHeight="1" x14ac:dyDescent="0.25">
      <c r="A50" s="12" t="s">
        <v>36</v>
      </c>
      <c r="B50" s="13">
        <v>2</v>
      </c>
      <c r="C50" s="14">
        <v>0</v>
      </c>
      <c r="D50" s="14">
        <v>0</v>
      </c>
      <c r="E50" s="14">
        <v>2</v>
      </c>
      <c r="F50" s="14">
        <v>1</v>
      </c>
      <c r="G50" s="14">
        <v>1</v>
      </c>
      <c r="H50" s="14">
        <v>0</v>
      </c>
      <c r="I50" s="14">
        <v>0</v>
      </c>
      <c r="J50" s="14">
        <v>3</v>
      </c>
      <c r="K50" s="14">
        <v>1</v>
      </c>
      <c r="L50" s="14">
        <v>0</v>
      </c>
      <c r="M50" s="14">
        <v>0</v>
      </c>
      <c r="N50" s="14">
        <v>0</v>
      </c>
      <c r="O50" s="14">
        <v>5</v>
      </c>
      <c r="P50" s="14">
        <v>0</v>
      </c>
      <c r="Q50" s="14">
        <v>0</v>
      </c>
      <c r="R50" s="14">
        <v>3</v>
      </c>
      <c r="S50" s="14">
        <v>0</v>
      </c>
      <c r="T50" s="14">
        <v>1</v>
      </c>
      <c r="U50" s="14">
        <v>0</v>
      </c>
      <c r="V50" s="14">
        <v>0</v>
      </c>
      <c r="W50" s="14">
        <v>0</v>
      </c>
      <c r="X50" s="14">
        <v>2</v>
      </c>
      <c r="Y50" s="14">
        <v>0</v>
      </c>
      <c r="Z50" s="14">
        <v>0</v>
      </c>
      <c r="AA50" s="14">
        <v>1</v>
      </c>
      <c r="AB50" s="14">
        <v>0</v>
      </c>
      <c r="AC50" s="14">
        <v>0</v>
      </c>
      <c r="AD50" s="14">
        <v>0</v>
      </c>
      <c r="AE50" s="14">
        <v>3</v>
      </c>
      <c r="AF50" s="214"/>
      <c r="AG50" s="15">
        <f t="shared" si="2"/>
        <v>25</v>
      </c>
    </row>
    <row r="51" spans="1:33" ht="15.75" customHeight="1" x14ac:dyDescent="0.25">
      <c r="A51" s="12" t="s">
        <v>37</v>
      </c>
      <c r="B51" s="13">
        <v>0</v>
      </c>
      <c r="C51" s="14">
        <v>2</v>
      </c>
      <c r="D51" s="14">
        <v>1</v>
      </c>
      <c r="E51" s="14">
        <v>3</v>
      </c>
      <c r="F51" s="14">
        <v>0</v>
      </c>
      <c r="G51" s="14">
        <v>0</v>
      </c>
      <c r="H51" s="14">
        <v>1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3</v>
      </c>
      <c r="P51" s="14">
        <v>0</v>
      </c>
      <c r="Q51" s="14">
        <v>1</v>
      </c>
      <c r="R51" s="14">
        <v>1</v>
      </c>
      <c r="S51" s="14">
        <v>3</v>
      </c>
      <c r="T51" s="14">
        <v>0</v>
      </c>
      <c r="U51" s="14">
        <v>2</v>
      </c>
      <c r="V51" s="14">
        <v>0</v>
      </c>
      <c r="W51" s="14">
        <v>0</v>
      </c>
      <c r="X51" s="14">
        <v>4</v>
      </c>
      <c r="Y51" s="14">
        <v>0</v>
      </c>
      <c r="Z51" s="14">
        <v>0</v>
      </c>
      <c r="AA51" s="14">
        <v>2</v>
      </c>
      <c r="AB51" s="14">
        <v>3</v>
      </c>
      <c r="AC51" s="14">
        <v>0</v>
      </c>
      <c r="AD51" s="14">
        <v>0</v>
      </c>
      <c r="AE51" s="14">
        <v>1</v>
      </c>
      <c r="AF51" s="214"/>
      <c r="AG51" s="15">
        <f t="shared" si="2"/>
        <v>27</v>
      </c>
    </row>
    <row r="52" spans="1:33" ht="15.75" customHeight="1" thickBot="1" x14ac:dyDescent="0.3">
      <c r="A52" s="23" t="s">
        <v>38</v>
      </c>
      <c r="B52" s="24">
        <v>2</v>
      </c>
      <c r="C52" s="25">
        <v>1</v>
      </c>
      <c r="D52" s="25">
        <v>1</v>
      </c>
      <c r="E52" s="25">
        <v>1</v>
      </c>
      <c r="F52" s="25">
        <v>2</v>
      </c>
      <c r="G52" s="25">
        <v>5</v>
      </c>
      <c r="H52" s="25">
        <v>0</v>
      </c>
      <c r="I52" s="25">
        <v>0</v>
      </c>
      <c r="J52" s="25">
        <v>0</v>
      </c>
      <c r="K52" s="25">
        <v>1</v>
      </c>
      <c r="L52" s="25">
        <v>2</v>
      </c>
      <c r="M52" s="25">
        <v>1</v>
      </c>
      <c r="N52" s="25">
        <v>0</v>
      </c>
      <c r="O52" s="25">
        <v>1</v>
      </c>
      <c r="P52" s="25">
        <v>0</v>
      </c>
      <c r="Q52" s="25">
        <v>1</v>
      </c>
      <c r="R52" s="25">
        <v>1</v>
      </c>
      <c r="S52" s="25">
        <v>3</v>
      </c>
      <c r="T52" s="25">
        <v>1</v>
      </c>
      <c r="U52" s="25">
        <v>2</v>
      </c>
      <c r="V52" s="25">
        <v>0</v>
      </c>
      <c r="W52" s="25">
        <v>2</v>
      </c>
      <c r="X52" s="25">
        <v>0</v>
      </c>
      <c r="Y52" s="25">
        <v>1</v>
      </c>
      <c r="Z52" s="25">
        <v>4</v>
      </c>
      <c r="AA52" s="25">
        <v>2</v>
      </c>
      <c r="AB52" s="25">
        <v>1</v>
      </c>
      <c r="AC52" s="25">
        <v>0</v>
      </c>
      <c r="AD52" s="25">
        <v>0</v>
      </c>
      <c r="AE52" s="25">
        <v>1</v>
      </c>
      <c r="AF52" s="216"/>
      <c r="AG52" s="26">
        <f t="shared" si="2"/>
        <v>36</v>
      </c>
    </row>
    <row r="53" spans="1:33" ht="15.75" customHeight="1" thickBot="1" x14ac:dyDescent="0.3">
      <c r="A53" s="4" t="s">
        <v>40</v>
      </c>
      <c r="B53" s="5">
        <f t="shared" ref="B53:AF53" si="4">SUM(B54:B77)</f>
        <v>30</v>
      </c>
      <c r="C53" s="6">
        <f t="shared" si="4"/>
        <v>43</v>
      </c>
      <c r="D53" s="6">
        <f t="shared" si="4"/>
        <v>12</v>
      </c>
      <c r="E53" s="6">
        <f t="shared" si="4"/>
        <v>1</v>
      </c>
      <c r="F53" s="6">
        <f t="shared" si="4"/>
        <v>70</v>
      </c>
      <c r="G53" s="6">
        <f t="shared" si="4"/>
        <v>47</v>
      </c>
      <c r="H53" s="6">
        <f t="shared" si="4"/>
        <v>34</v>
      </c>
      <c r="I53" s="6">
        <f t="shared" si="4"/>
        <v>5</v>
      </c>
      <c r="J53" s="6">
        <f t="shared" si="4"/>
        <v>12</v>
      </c>
      <c r="K53" s="6">
        <f t="shared" si="4"/>
        <v>2</v>
      </c>
      <c r="L53" s="6">
        <f t="shared" si="4"/>
        <v>4</v>
      </c>
      <c r="M53" s="6">
        <f t="shared" si="4"/>
        <v>45</v>
      </c>
      <c r="N53" s="6">
        <f t="shared" si="4"/>
        <v>5</v>
      </c>
      <c r="O53" s="6">
        <f t="shared" si="4"/>
        <v>21</v>
      </c>
      <c r="P53" s="6">
        <f t="shared" si="4"/>
        <v>7</v>
      </c>
      <c r="Q53" s="6">
        <f t="shared" si="4"/>
        <v>15</v>
      </c>
      <c r="R53" s="6">
        <f t="shared" si="4"/>
        <v>0</v>
      </c>
      <c r="S53" s="6">
        <f t="shared" si="4"/>
        <v>0</v>
      </c>
      <c r="T53" s="6">
        <f t="shared" si="4"/>
        <v>20</v>
      </c>
      <c r="U53" s="6">
        <f t="shared" si="4"/>
        <v>29</v>
      </c>
      <c r="V53" s="6">
        <f t="shared" si="4"/>
        <v>3</v>
      </c>
      <c r="W53" s="6">
        <f t="shared" si="4"/>
        <v>7</v>
      </c>
      <c r="X53" s="6">
        <f t="shared" si="4"/>
        <v>26</v>
      </c>
      <c r="Y53" s="6">
        <f t="shared" si="4"/>
        <v>6</v>
      </c>
      <c r="Z53" s="6">
        <f t="shared" si="4"/>
        <v>2</v>
      </c>
      <c r="AA53" s="6">
        <f t="shared" si="4"/>
        <v>6</v>
      </c>
      <c r="AB53" s="6">
        <f t="shared" si="4"/>
        <v>44</v>
      </c>
      <c r="AC53" s="6">
        <f t="shared" si="4"/>
        <v>21</v>
      </c>
      <c r="AD53" s="6">
        <f t="shared" si="4"/>
        <v>19</v>
      </c>
      <c r="AE53" s="6">
        <f t="shared" si="4"/>
        <v>8</v>
      </c>
      <c r="AF53" s="6">
        <f t="shared" si="4"/>
        <v>0</v>
      </c>
      <c r="AG53" s="27">
        <f t="shared" si="2"/>
        <v>544</v>
      </c>
    </row>
    <row r="54" spans="1:33" ht="15.75" customHeight="1" x14ac:dyDescent="0.25">
      <c r="A54" s="8" t="s">
        <v>15</v>
      </c>
      <c r="B54" s="9">
        <v>0</v>
      </c>
      <c r="C54" s="10">
        <v>0</v>
      </c>
      <c r="D54" s="14">
        <v>1</v>
      </c>
      <c r="E54" s="10">
        <v>0</v>
      </c>
      <c r="F54" s="10">
        <v>1</v>
      </c>
      <c r="G54" s="14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213"/>
      <c r="AG54" s="11">
        <f t="shared" si="2"/>
        <v>2</v>
      </c>
    </row>
    <row r="55" spans="1:33" ht="15.75" customHeight="1" x14ac:dyDescent="0.25">
      <c r="A55" s="12" t="s">
        <v>16</v>
      </c>
      <c r="B55" s="13">
        <v>0</v>
      </c>
      <c r="C55" s="14">
        <v>1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1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2</v>
      </c>
      <c r="U55" s="14">
        <v>0</v>
      </c>
      <c r="V55" s="14">
        <v>0</v>
      </c>
      <c r="W55" s="14">
        <v>0</v>
      </c>
      <c r="X55" s="14">
        <v>0</v>
      </c>
      <c r="Y55" s="14">
        <v>1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214"/>
      <c r="AG55" s="15">
        <f t="shared" si="2"/>
        <v>5</v>
      </c>
    </row>
    <row r="56" spans="1:33" ht="15.75" customHeight="1" x14ac:dyDescent="0.25">
      <c r="A56" s="12" t="s">
        <v>17</v>
      </c>
      <c r="B56" s="13">
        <v>0</v>
      </c>
      <c r="C56" s="14">
        <v>0</v>
      </c>
      <c r="D56" s="14">
        <v>1</v>
      </c>
      <c r="E56" s="14">
        <v>0</v>
      </c>
      <c r="F56" s="14">
        <v>1</v>
      </c>
      <c r="G56" s="14">
        <v>2</v>
      </c>
      <c r="H56" s="14">
        <v>1</v>
      </c>
      <c r="I56" s="14">
        <v>0</v>
      </c>
      <c r="J56" s="14">
        <v>0</v>
      </c>
      <c r="K56" s="14">
        <v>2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3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1</v>
      </c>
      <c r="AC56" s="14">
        <v>0</v>
      </c>
      <c r="AD56" s="14">
        <v>1</v>
      </c>
      <c r="AE56" s="14">
        <v>0</v>
      </c>
      <c r="AF56" s="214"/>
      <c r="AG56" s="15">
        <f t="shared" si="2"/>
        <v>12</v>
      </c>
    </row>
    <row r="57" spans="1:33" ht="15.75" customHeight="1" x14ac:dyDescent="0.25">
      <c r="A57" s="12" t="s">
        <v>18</v>
      </c>
      <c r="B57" s="13">
        <v>0</v>
      </c>
      <c r="C57" s="14">
        <v>0</v>
      </c>
      <c r="D57" s="14">
        <v>0</v>
      </c>
      <c r="E57" s="14">
        <v>0</v>
      </c>
      <c r="F57" s="14">
        <v>3</v>
      </c>
      <c r="G57" s="14">
        <v>1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1</v>
      </c>
      <c r="P57" s="14">
        <v>0</v>
      </c>
      <c r="Q57" s="14">
        <v>1</v>
      </c>
      <c r="R57" s="14">
        <v>0</v>
      </c>
      <c r="S57" s="14">
        <v>0</v>
      </c>
      <c r="T57" s="14">
        <v>0</v>
      </c>
      <c r="U57" s="14">
        <v>0</v>
      </c>
      <c r="V57" s="14">
        <v>1</v>
      </c>
      <c r="W57" s="14">
        <v>0</v>
      </c>
      <c r="X57" s="14">
        <v>1</v>
      </c>
      <c r="Y57" s="14">
        <v>1</v>
      </c>
      <c r="Z57" s="14">
        <v>0</v>
      </c>
      <c r="AA57" s="14">
        <v>1</v>
      </c>
      <c r="AB57" s="14">
        <v>1</v>
      </c>
      <c r="AC57" s="14">
        <v>1</v>
      </c>
      <c r="AD57" s="14">
        <v>0</v>
      </c>
      <c r="AE57" s="14">
        <v>0</v>
      </c>
      <c r="AF57" s="214"/>
      <c r="AG57" s="15">
        <f t="shared" si="2"/>
        <v>12</v>
      </c>
    </row>
    <row r="58" spans="1:33" ht="15.75" customHeight="1" x14ac:dyDescent="0.25">
      <c r="A58" s="12" t="s">
        <v>19</v>
      </c>
      <c r="B58" s="13">
        <v>2</v>
      </c>
      <c r="C58" s="14">
        <v>1</v>
      </c>
      <c r="D58" s="14">
        <v>0</v>
      </c>
      <c r="E58" s="14">
        <v>0</v>
      </c>
      <c r="F58" s="14">
        <v>3</v>
      </c>
      <c r="G58" s="14">
        <v>0</v>
      </c>
      <c r="H58" s="14">
        <v>3</v>
      </c>
      <c r="I58" s="14">
        <v>0</v>
      </c>
      <c r="J58" s="14">
        <v>1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1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1</v>
      </c>
      <c r="X58" s="14">
        <v>0</v>
      </c>
      <c r="Y58" s="14">
        <v>1</v>
      </c>
      <c r="Z58" s="14">
        <v>0</v>
      </c>
      <c r="AA58" s="14">
        <v>1</v>
      </c>
      <c r="AB58" s="14">
        <v>1</v>
      </c>
      <c r="AC58" s="14">
        <v>0</v>
      </c>
      <c r="AD58" s="14">
        <v>0</v>
      </c>
      <c r="AE58" s="14">
        <v>0</v>
      </c>
      <c r="AF58" s="214"/>
      <c r="AG58" s="15">
        <f t="shared" si="2"/>
        <v>15</v>
      </c>
    </row>
    <row r="59" spans="1:33" ht="15.75" customHeight="1" x14ac:dyDescent="0.25">
      <c r="A59" s="12" t="s">
        <v>20</v>
      </c>
      <c r="B59" s="13">
        <v>0</v>
      </c>
      <c r="C59" s="14">
        <v>0</v>
      </c>
      <c r="D59" s="14">
        <v>0</v>
      </c>
      <c r="E59" s="14">
        <v>0</v>
      </c>
      <c r="F59" s="14">
        <v>12</v>
      </c>
      <c r="G59" s="14">
        <v>0</v>
      </c>
      <c r="H59" s="14">
        <v>3</v>
      </c>
      <c r="I59" s="14">
        <v>0</v>
      </c>
      <c r="J59" s="14">
        <v>0</v>
      </c>
      <c r="K59" s="14">
        <v>0</v>
      </c>
      <c r="L59" s="14">
        <v>0</v>
      </c>
      <c r="M59" s="14">
        <v>2</v>
      </c>
      <c r="N59" s="14">
        <v>0</v>
      </c>
      <c r="O59" s="14">
        <v>1</v>
      </c>
      <c r="P59" s="14">
        <v>1</v>
      </c>
      <c r="Q59" s="14">
        <v>2</v>
      </c>
      <c r="R59" s="14">
        <v>0</v>
      </c>
      <c r="S59" s="14">
        <v>0</v>
      </c>
      <c r="T59" s="14">
        <v>1</v>
      </c>
      <c r="U59" s="14">
        <v>2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1</v>
      </c>
      <c r="AB59" s="14">
        <v>0</v>
      </c>
      <c r="AC59" s="14">
        <v>1</v>
      </c>
      <c r="AD59" s="14">
        <v>0</v>
      </c>
      <c r="AE59" s="14">
        <v>1</v>
      </c>
      <c r="AF59" s="214"/>
      <c r="AG59" s="15">
        <f t="shared" si="2"/>
        <v>27</v>
      </c>
    </row>
    <row r="60" spans="1:33" ht="15.75" customHeight="1" x14ac:dyDescent="0.25">
      <c r="A60" s="12" t="s">
        <v>21</v>
      </c>
      <c r="B60" s="13">
        <v>8</v>
      </c>
      <c r="C60" s="14">
        <v>4</v>
      </c>
      <c r="D60" s="14">
        <v>0</v>
      </c>
      <c r="E60" s="14">
        <v>0</v>
      </c>
      <c r="F60" s="14">
        <v>4</v>
      </c>
      <c r="G60" s="14">
        <v>5</v>
      </c>
      <c r="H60" s="14">
        <v>3</v>
      </c>
      <c r="I60" s="14">
        <v>2</v>
      </c>
      <c r="J60" s="14">
        <v>1</v>
      </c>
      <c r="K60" s="14">
        <v>0</v>
      </c>
      <c r="L60" s="14">
        <v>0</v>
      </c>
      <c r="M60" s="14">
        <v>5</v>
      </c>
      <c r="N60" s="14">
        <v>0</v>
      </c>
      <c r="O60" s="14">
        <v>0</v>
      </c>
      <c r="P60" s="14">
        <v>1</v>
      </c>
      <c r="Q60" s="14">
        <v>0</v>
      </c>
      <c r="R60" s="14">
        <v>0</v>
      </c>
      <c r="S60" s="14">
        <v>0</v>
      </c>
      <c r="T60" s="14">
        <v>0</v>
      </c>
      <c r="U60" s="14">
        <v>5</v>
      </c>
      <c r="V60" s="14">
        <v>0</v>
      </c>
      <c r="W60" s="14">
        <v>1</v>
      </c>
      <c r="X60" s="14">
        <v>1</v>
      </c>
      <c r="Y60" s="14">
        <v>0</v>
      </c>
      <c r="Z60" s="14">
        <v>0</v>
      </c>
      <c r="AA60" s="14">
        <v>0</v>
      </c>
      <c r="AB60" s="14">
        <v>0</v>
      </c>
      <c r="AC60" s="14">
        <v>4</v>
      </c>
      <c r="AD60" s="14">
        <v>1</v>
      </c>
      <c r="AE60" s="14">
        <v>0</v>
      </c>
      <c r="AF60" s="214"/>
      <c r="AG60" s="15">
        <f t="shared" si="2"/>
        <v>45</v>
      </c>
    </row>
    <row r="61" spans="1:33" ht="15.75" customHeight="1" x14ac:dyDescent="0.25">
      <c r="A61" s="12" t="s">
        <v>22</v>
      </c>
      <c r="B61" s="13">
        <v>5</v>
      </c>
      <c r="C61" s="14">
        <v>10</v>
      </c>
      <c r="D61" s="14">
        <v>4</v>
      </c>
      <c r="E61" s="14">
        <v>0</v>
      </c>
      <c r="F61" s="14">
        <v>14</v>
      </c>
      <c r="G61" s="14">
        <v>3</v>
      </c>
      <c r="H61" s="14">
        <v>2</v>
      </c>
      <c r="I61" s="14">
        <v>0</v>
      </c>
      <c r="J61" s="14">
        <v>0</v>
      </c>
      <c r="K61" s="14">
        <v>0</v>
      </c>
      <c r="L61" s="14">
        <v>2</v>
      </c>
      <c r="M61" s="14">
        <v>0</v>
      </c>
      <c r="N61" s="14">
        <v>1</v>
      </c>
      <c r="O61" s="14">
        <v>1</v>
      </c>
      <c r="P61" s="14">
        <v>1</v>
      </c>
      <c r="Q61" s="14">
        <v>1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1</v>
      </c>
      <c r="AD61" s="14">
        <v>0</v>
      </c>
      <c r="AE61" s="14">
        <v>0</v>
      </c>
      <c r="AF61" s="214"/>
      <c r="AG61" s="15">
        <f t="shared" si="2"/>
        <v>45</v>
      </c>
    </row>
    <row r="62" spans="1:33" ht="15.75" customHeight="1" x14ac:dyDescent="0.25">
      <c r="A62" s="12" t="s">
        <v>23</v>
      </c>
      <c r="B62" s="13">
        <v>1</v>
      </c>
      <c r="C62" s="14">
        <v>4</v>
      </c>
      <c r="D62" s="14">
        <v>0</v>
      </c>
      <c r="E62" s="14">
        <v>0</v>
      </c>
      <c r="F62" s="14">
        <v>1</v>
      </c>
      <c r="G62" s="14">
        <v>1</v>
      </c>
      <c r="H62" s="14">
        <v>3</v>
      </c>
      <c r="I62" s="14">
        <v>0</v>
      </c>
      <c r="J62" s="14">
        <v>1</v>
      </c>
      <c r="K62" s="14">
        <v>0</v>
      </c>
      <c r="L62" s="14">
        <v>1</v>
      </c>
      <c r="M62" s="14">
        <v>7</v>
      </c>
      <c r="N62" s="14">
        <v>0</v>
      </c>
      <c r="O62" s="14">
        <v>2</v>
      </c>
      <c r="P62" s="14">
        <v>2</v>
      </c>
      <c r="Q62" s="14">
        <v>0</v>
      </c>
      <c r="R62" s="14">
        <v>0</v>
      </c>
      <c r="S62" s="14">
        <v>0</v>
      </c>
      <c r="T62" s="14">
        <v>1</v>
      </c>
      <c r="U62" s="14">
        <v>0</v>
      </c>
      <c r="V62" s="14">
        <v>0</v>
      </c>
      <c r="W62" s="14">
        <v>2</v>
      </c>
      <c r="X62" s="14">
        <v>3</v>
      </c>
      <c r="Y62" s="14">
        <v>1</v>
      </c>
      <c r="Z62" s="14">
        <v>0</v>
      </c>
      <c r="AA62" s="14">
        <v>2</v>
      </c>
      <c r="AB62" s="14">
        <v>1</v>
      </c>
      <c r="AC62" s="14">
        <v>0</v>
      </c>
      <c r="AD62" s="14">
        <v>2</v>
      </c>
      <c r="AE62" s="14">
        <v>0</v>
      </c>
      <c r="AF62" s="214"/>
      <c r="AG62" s="15">
        <f t="shared" si="2"/>
        <v>35</v>
      </c>
    </row>
    <row r="63" spans="1:33" ht="15.75" customHeight="1" x14ac:dyDescent="0.25">
      <c r="A63" s="12" t="s">
        <v>24</v>
      </c>
      <c r="B63" s="13">
        <v>1</v>
      </c>
      <c r="C63" s="14">
        <v>8</v>
      </c>
      <c r="D63" s="14">
        <v>4</v>
      </c>
      <c r="E63" s="14">
        <v>0</v>
      </c>
      <c r="F63" s="14">
        <v>4</v>
      </c>
      <c r="G63" s="14">
        <v>3</v>
      </c>
      <c r="H63" s="14">
        <v>6</v>
      </c>
      <c r="I63" s="14">
        <v>0</v>
      </c>
      <c r="J63" s="14">
        <v>5</v>
      </c>
      <c r="K63" s="14">
        <v>0</v>
      </c>
      <c r="L63" s="14">
        <v>0</v>
      </c>
      <c r="M63" s="14">
        <v>5</v>
      </c>
      <c r="N63" s="14">
        <v>1</v>
      </c>
      <c r="O63" s="14">
        <v>4</v>
      </c>
      <c r="P63" s="14">
        <v>0</v>
      </c>
      <c r="Q63" s="14">
        <v>3</v>
      </c>
      <c r="R63" s="14">
        <v>0</v>
      </c>
      <c r="S63" s="14">
        <v>0</v>
      </c>
      <c r="T63" s="14">
        <v>1</v>
      </c>
      <c r="U63" s="14">
        <v>10</v>
      </c>
      <c r="V63" s="14">
        <v>0</v>
      </c>
      <c r="W63" s="14">
        <v>0</v>
      </c>
      <c r="X63" s="14">
        <v>9</v>
      </c>
      <c r="Y63" s="14">
        <v>1</v>
      </c>
      <c r="Z63" s="14">
        <v>2</v>
      </c>
      <c r="AA63" s="14">
        <v>0</v>
      </c>
      <c r="AB63" s="14">
        <v>4</v>
      </c>
      <c r="AC63" s="14">
        <v>3</v>
      </c>
      <c r="AD63" s="14">
        <v>3</v>
      </c>
      <c r="AE63" s="14">
        <v>0</v>
      </c>
      <c r="AF63" s="214"/>
      <c r="AG63" s="15">
        <f t="shared" si="2"/>
        <v>77</v>
      </c>
    </row>
    <row r="64" spans="1:33" ht="15.75" customHeight="1" x14ac:dyDescent="0.25">
      <c r="A64" s="12" t="s">
        <v>25</v>
      </c>
      <c r="B64" s="13">
        <v>2</v>
      </c>
      <c r="C64" s="14">
        <v>4</v>
      </c>
      <c r="D64" s="14">
        <v>0</v>
      </c>
      <c r="E64" s="14">
        <v>0</v>
      </c>
      <c r="F64" s="14">
        <v>13</v>
      </c>
      <c r="G64" s="14">
        <v>15</v>
      </c>
      <c r="H64" s="14">
        <v>8</v>
      </c>
      <c r="I64" s="14">
        <v>1</v>
      </c>
      <c r="J64" s="14">
        <v>0</v>
      </c>
      <c r="K64" s="14">
        <v>0</v>
      </c>
      <c r="L64" s="14">
        <v>0</v>
      </c>
      <c r="M64" s="14">
        <v>20</v>
      </c>
      <c r="N64" s="14">
        <v>2</v>
      </c>
      <c r="O64" s="14">
        <v>6</v>
      </c>
      <c r="P64" s="14">
        <v>0</v>
      </c>
      <c r="Q64" s="14">
        <v>0</v>
      </c>
      <c r="R64" s="14">
        <v>0</v>
      </c>
      <c r="S64" s="14">
        <v>0</v>
      </c>
      <c r="T64" s="14">
        <v>11</v>
      </c>
      <c r="U64" s="14">
        <v>2</v>
      </c>
      <c r="V64" s="14">
        <v>2</v>
      </c>
      <c r="W64" s="14">
        <v>2</v>
      </c>
      <c r="X64" s="14">
        <v>4</v>
      </c>
      <c r="Y64" s="14">
        <v>0</v>
      </c>
      <c r="Z64" s="14">
        <v>0</v>
      </c>
      <c r="AA64" s="14">
        <v>0</v>
      </c>
      <c r="AB64" s="14">
        <v>1</v>
      </c>
      <c r="AC64" s="14">
        <v>4</v>
      </c>
      <c r="AD64" s="14">
        <v>5</v>
      </c>
      <c r="AE64" s="14">
        <v>2</v>
      </c>
      <c r="AF64" s="214"/>
      <c r="AG64" s="15">
        <f t="shared" si="2"/>
        <v>104</v>
      </c>
    </row>
    <row r="65" spans="1:33" ht="15.75" customHeight="1" x14ac:dyDescent="0.25">
      <c r="A65" s="12" t="s">
        <v>26</v>
      </c>
      <c r="B65" s="13">
        <v>1</v>
      </c>
      <c r="C65" s="14">
        <v>3</v>
      </c>
      <c r="D65" s="14">
        <v>1</v>
      </c>
      <c r="E65" s="14">
        <v>0</v>
      </c>
      <c r="F65" s="14">
        <v>3</v>
      </c>
      <c r="G65" s="14">
        <v>6</v>
      </c>
      <c r="H65" s="14">
        <v>3</v>
      </c>
      <c r="I65" s="14">
        <v>1</v>
      </c>
      <c r="J65" s="14">
        <v>3</v>
      </c>
      <c r="K65" s="14">
        <v>0</v>
      </c>
      <c r="L65" s="14">
        <v>1</v>
      </c>
      <c r="M65" s="14">
        <v>5</v>
      </c>
      <c r="N65" s="14">
        <v>0</v>
      </c>
      <c r="O65" s="14">
        <v>3</v>
      </c>
      <c r="P65" s="14">
        <v>0</v>
      </c>
      <c r="Q65" s="14">
        <v>1</v>
      </c>
      <c r="R65" s="14">
        <v>0</v>
      </c>
      <c r="S65" s="14">
        <v>0</v>
      </c>
      <c r="T65" s="14">
        <v>1</v>
      </c>
      <c r="U65" s="14">
        <v>6</v>
      </c>
      <c r="V65" s="14">
        <v>0</v>
      </c>
      <c r="W65" s="14">
        <v>0</v>
      </c>
      <c r="X65" s="14">
        <v>5</v>
      </c>
      <c r="Y65" s="14">
        <v>0</v>
      </c>
      <c r="Z65" s="14">
        <v>0</v>
      </c>
      <c r="AA65" s="14">
        <v>1</v>
      </c>
      <c r="AB65" s="14">
        <v>6</v>
      </c>
      <c r="AC65" s="14">
        <v>7</v>
      </c>
      <c r="AD65" s="14">
        <v>2</v>
      </c>
      <c r="AE65" s="14">
        <v>2</v>
      </c>
      <c r="AF65" s="214"/>
      <c r="AG65" s="15">
        <f t="shared" si="2"/>
        <v>61</v>
      </c>
    </row>
    <row r="66" spans="1:33" ht="15.75" customHeight="1" x14ac:dyDescent="0.25">
      <c r="A66" s="12" t="s">
        <v>27</v>
      </c>
      <c r="B66" s="13">
        <v>2</v>
      </c>
      <c r="C66" s="14">
        <v>5</v>
      </c>
      <c r="D66" s="14">
        <v>0</v>
      </c>
      <c r="E66" s="14">
        <v>0</v>
      </c>
      <c r="F66" s="14">
        <v>1</v>
      </c>
      <c r="G66" s="14">
        <v>6</v>
      </c>
      <c r="H66" s="14">
        <v>1</v>
      </c>
      <c r="I66" s="14">
        <v>0</v>
      </c>
      <c r="J66" s="14">
        <v>1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3</v>
      </c>
      <c r="R66" s="14">
        <v>0</v>
      </c>
      <c r="S66" s="14">
        <v>0</v>
      </c>
      <c r="T66" s="14">
        <v>0</v>
      </c>
      <c r="U66" s="14">
        <v>4</v>
      </c>
      <c r="V66" s="14">
        <v>0</v>
      </c>
      <c r="W66" s="14">
        <v>1</v>
      </c>
      <c r="X66" s="14">
        <v>2</v>
      </c>
      <c r="Y66" s="14">
        <v>0</v>
      </c>
      <c r="Z66" s="14">
        <v>0</v>
      </c>
      <c r="AA66" s="14">
        <v>0</v>
      </c>
      <c r="AB66" s="14">
        <v>16</v>
      </c>
      <c r="AC66" s="14">
        <v>0</v>
      </c>
      <c r="AD66" s="14">
        <v>1</v>
      </c>
      <c r="AE66" s="14">
        <v>1</v>
      </c>
      <c r="AF66" s="214"/>
      <c r="AG66" s="15">
        <f t="shared" si="2"/>
        <v>44</v>
      </c>
    </row>
    <row r="67" spans="1:33" ht="15.75" customHeight="1" x14ac:dyDescent="0.25">
      <c r="A67" s="12" t="s">
        <v>28</v>
      </c>
      <c r="B67" s="13">
        <v>5</v>
      </c>
      <c r="C67" s="14">
        <v>1</v>
      </c>
      <c r="D67" s="14">
        <v>0</v>
      </c>
      <c r="E67" s="14">
        <v>0</v>
      </c>
      <c r="F67" s="14">
        <v>5</v>
      </c>
      <c r="G67" s="14">
        <v>1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1</v>
      </c>
      <c r="N67" s="14">
        <v>0</v>
      </c>
      <c r="O67" s="14">
        <v>2</v>
      </c>
      <c r="P67" s="14">
        <v>0</v>
      </c>
      <c r="Q67" s="14">
        <v>0</v>
      </c>
      <c r="R67" s="14">
        <v>0</v>
      </c>
      <c r="S67" s="14">
        <v>0</v>
      </c>
      <c r="T67" s="14">
        <v>2</v>
      </c>
      <c r="U67" s="14">
        <v>0</v>
      </c>
      <c r="V67" s="14">
        <v>0</v>
      </c>
      <c r="W67" s="14">
        <v>0</v>
      </c>
      <c r="X67" s="14">
        <v>0</v>
      </c>
      <c r="Y67" s="14">
        <v>1</v>
      </c>
      <c r="Z67" s="14">
        <v>0</v>
      </c>
      <c r="AA67" s="14">
        <v>0</v>
      </c>
      <c r="AB67" s="14">
        <v>8</v>
      </c>
      <c r="AC67" s="14">
        <v>0</v>
      </c>
      <c r="AD67" s="14">
        <v>4</v>
      </c>
      <c r="AE67" s="14">
        <v>2</v>
      </c>
      <c r="AF67" s="214"/>
      <c r="AG67" s="15">
        <f t="shared" si="2"/>
        <v>32</v>
      </c>
    </row>
    <row r="68" spans="1:33" ht="15.75" customHeight="1" x14ac:dyDescent="0.25">
      <c r="A68" s="12" t="s">
        <v>29</v>
      </c>
      <c r="B68" s="13">
        <v>1</v>
      </c>
      <c r="C68" s="14">
        <v>1</v>
      </c>
      <c r="D68" s="14">
        <v>0</v>
      </c>
      <c r="E68" s="14">
        <v>0</v>
      </c>
      <c r="F68" s="14">
        <v>1</v>
      </c>
      <c r="G68" s="14">
        <v>3</v>
      </c>
      <c r="H68" s="14">
        <v>1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5</v>
      </c>
      <c r="AC68" s="14">
        <v>0</v>
      </c>
      <c r="AD68" s="14">
        <v>0</v>
      </c>
      <c r="AE68" s="14">
        <v>0</v>
      </c>
      <c r="AF68" s="214"/>
      <c r="AG68" s="15">
        <f t="shared" si="2"/>
        <v>12</v>
      </c>
    </row>
    <row r="69" spans="1:33" ht="15.75" customHeight="1" x14ac:dyDescent="0.25">
      <c r="A69" s="12" t="s">
        <v>30</v>
      </c>
      <c r="B69" s="13">
        <v>1</v>
      </c>
      <c r="C69" s="14">
        <v>0</v>
      </c>
      <c r="D69" s="14">
        <v>1</v>
      </c>
      <c r="E69" s="14">
        <v>0</v>
      </c>
      <c r="F69" s="14">
        <v>2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1</v>
      </c>
      <c r="P69" s="14">
        <v>0</v>
      </c>
      <c r="Q69" s="14">
        <v>1</v>
      </c>
      <c r="R69" s="14">
        <v>0</v>
      </c>
      <c r="S69" s="14">
        <v>0</v>
      </c>
      <c r="T69" s="14">
        <v>1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214"/>
      <c r="AG69" s="15">
        <f t="shared" si="2"/>
        <v>7</v>
      </c>
    </row>
    <row r="70" spans="1:33" ht="15.75" customHeight="1" x14ac:dyDescent="0.25">
      <c r="A70" s="12" t="s">
        <v>31</v>
      </c>
      <c r="B70" s="9">
        <v>0</v>
      </c>
      <c r="C70" s="10">
        <v>0</v>
      </c>
      <c r="D70" s="14">
        <v>0</v>
      </c>
      <c r="E70" s="10">
        <v>0</v>
      </c>
      <c r="F70" s="10">
        <v>0</v>
      </c>
      <c r="G70" s="14">
        <v>0</v>
      </c>
      <c r="H70" s="10">
        <v>0</v>
      </c>
      <c r="I70" s="14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213"/>
      <c r="AG70" s="15">
        <f t="shared" si="2"/>
        <v>0</v>
      </c>
    </row>
    <row r="71" spans="1:33" ht="15.75" customHeight="1" x14ac:dyDescent="0.25">
      <c r="A71" s="12" t="s">
        <v>32</v>
      </c>
      <c r="B71" s="9">
        <v>0</v>
      </c>
      <c r="C71" s="10">
        <v>0</v>
      </c>
      <c r="D71" s="14">
        <v>0</v>
      </c>
      <c r="E71" s="10">
        <v>0</v>
      </c>
      <c r="F71" s="10">
        <v>1</v>
      </c>
      <c r="G71" s="14">
        <v>0</v>
      </c>
      <c r="H71" s="10">
        <v>0</v>
      </c>
      <c r="I71" s="14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213"/>
      <c r="AG71" s="15">
        <f t="shared" si="2"/>
        <v>1</v>
      </c>
    </row>
    <row r="72" spans="1:33" ht="15.75" customHeight="1" x14ac:dyDescent="0.25">
      <c r="A72" s="12" t="s">
        <v>33</v>
      </c>
      <c r="B72" s="9">
        <v>0</v>
      </c>
      <c r="C72" s="10">
        <v>1</v>
      </c>
      <c r="D72" s="14">
        <v>0</v>
      </c>
      <c r="E72" s="10">
        <v>0</v>
      </c>
      <c r="F72" s="10">
        <v>1</v>
      </c>
      <c r="G72" s="14">
        <v>0</v>
      </c>
      <c r="H72" s="10">
        <v>0</v>
      </c>
      <c r="I72" s="14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213"/>
      <c r="AG72" s="15">
        <f t="shared" si="2"/>
        <v>2</v>
      </c>
    </row>
    <row r="73" spans="1:33" ht="15.75" customHeight="1" x14ac:dyDescent="0.25">
      <c r="A73" s="12" t="s">
        <v>34</v>
      </c>
      <c r="B73" s="9">
        <v>0</v>
      </c>
      <c r="C73" s="10">
        <v>0</v>
      </c>
      <c r="D73" s="14">
        <v>0</v>
      </c>
      <c r="E73" s="10">
        <v>1</v>
      </c>
      <c r="F73" s="10">
        <v>0</v>
      </c>
      <c r="G73" s="14">
        <v>0</v>
      </c>
      <c r="H73" s="10">
        <v>0</v>
      </c>
      <c r="I73" s="14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213"/>
      <c r="AG73" s="15">
        <f t="shared" si="2"/>
        <v>1</v>
      </c>
    </row>
    <row r="74" spans="1:33" ht="15.75" customHeight="1" x14ac:dyDescent="0.25">
      <c r="A74" s="12" t="s">
        <v>35</v>
      </c>
      <c r="B74" s="9">
        <v>0</v>
      </c>
      <c r="C74" s="10">
        <v>0</v>
      </c>
      <c r="D74" s="14">
        <v>0</v>
      </c>
      <c r="E74" s="10">
        <v>0</v>
      </c>
      <c r="F74" s="10">
        <v>0</v>
      </c>
      <c r="G74" s="14">
        <v>0</v>
      </c>
      <c r="H74" s="10">
        <v>0</v>
      </c>
      <c r="I74" s="14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213"/>
      <c r="AG74" s="15">
        <f t="shared" si="2"/>
        <v>0</v>
      </c>
    </row>
    <row r="75" spans="1:33" ht="15.75" customHeight="1" x14ac:dyDescent="0.25">
      <c r="A75" s="12" t="s">
        <v>36</v>
      </c>
      <c r="B75" s="9">
        <v>0</v>
      </c>
      <c r="C75" s="10">
        <v>0</v>
      </c>
      <c r="D75" s="14">
        <v>0</v>
      </c>
      <c r="E75" s="10">
        <v>0</v>
      </c>
      <c r="F75" s="10">
        <v>0</v>
      </c>
      <c r="G75" s="14">
        <v>0</v>
      </c>
      <c r="H75" s="10">
        <v>0</v>
      </c>
      <c r="I75" s="14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213"/>
      <c r="AG75" s="15">
        <f t="shared" si="2"/>
        <v>0</v>
      </c>
    </row>
    <row r="76" spans="1:33" ht="15.75" customHeight="1" x14ac:dyDescent="0.25">
      <c r="A76" s="12" t="s">
        <v>37</v>
      </c>
      <c r="B76" s="9">
        <v>1</v>
      </c>
      <c r="C76" s="10">
        <v>0</v>
      </c>
      <c r="D76" s="14">
        <v>0</v>
      </c>
      <c r="E76" s="10">
        <v>0</v>
      </c>
      <c r="F76" s="10">
        <v>0</v>
      </c>
      <c r="G76" s="14">
        <v>1</v>
      </c>
      <c r="H76" s="10">
        <v>0</v>
      </c>
      <c r="I76" s="14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1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1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213"/>
      <c r="AG76" s="15">
        <f t="shared" si="2"/>
        <v>4</v>
      </c>
    </row>
    <row r="77" spans="1:33" ht="15.75" customHeight="1" thickBot="1" x14ac:dyDescent="0.3">
      <c r="A77" s="28" t="s">
        <v>38</v>
      </c>
      <c r="B77" s="29">
        <v>0</v>
      </c>
      <c r="C77" s="30">
        <v>0</v>
      </c>
      <c r="D77" s="25">
        <v>0</v>
      </c>
      <c r="E77" s="30">
        <v>0</v>
      </c>
      <c r="F77" s="30">
        <v>0</v>
      </c>
      <c r="G77" s="25">
        <v>0</v>
      </c>
      <c r="H77" s="30">
        <v>0</v>
      </c>
      <c r="I77" s="25">
        <v>1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217"/>
      <c r="AG77" s="26">
        <f t="shared" si="2"/>
        <v>1</v>
      </c>
    </row>
    <row r="78" spans="1:33" ht="19.5" hidden="1" customHeight="1" x14ac:dyDescent="0.25">
      <c r="A78" s="31" t="s">
        <v>41</v>
      </c>
      <c r="B78" s="32">
        <f t="shared" ref="B78:AF78" si="5">SUM(B79:B80)</f>
        <v>233</v>
      </c>
      <c r="C78" s="33">
        <f t="shared" si="5"/>
        <v>210</v>
      </c>
      <c r="D78" s="33">
        <f t="shared" si="5"/>
        <v>201</v>
      </c>
      <c r="E78" s="34">
        <f t="shared" si="5"/>
        <v>196</v>
      </c>
      <c r="F78" s="34">
        <f t="shared" si="5"/>
        <v>284</v>
      </c>
      <c r="G78" s="34">
        <f t="shared" si="5"/>
        <v>271</v>
      </c>
      <c r="H78" s="34">
        <f t="shared" si="5"/>
        <v>222</v>
      </c>
      <c r="I78" s="34">
        <f t="shared" si="5"/>
        <v>163</v>
      </c>
      <c r="J78" s="34">
        <f t="shared" si="5"/>
        <v>199</v>
      </c>
      <c r="K78" s="34">
        <f t="shared" si="5"/>
        <v>141</v>
      </c>
      <c r="L78" s="34">
        <f t="shared" si="5"/>
        <v>162</v>
      </c>
      <c r="M78" s="34">
        <f t="shared" si="5"/>
        <v>249</v>
      </c>
      <c r="N78" s="34">
        <f t="shared" si="5"/>
        <v>187</v>
      </c>
      <c r="O78" s="34">
        <f t="shared" si="5"/>
        <v>208</v>
      </c>
      <c r="P78" s="34">
        <f t="shared" si="5"/>
        <v>196</v>
      </c>
      <c r="Q78" s="34">
        <f t="shared" si="5"/>
        <v>195</v>
      </c>
      <c r="R78" s="34">
        <f t="shared" si="5"/>
        <v>169</v>
      </c>
      <c r="S78" s="34">
        <f t="shared" si="5"/>
        <v>149</v>
      </c>
      <c r="T78" s="34">
        <f t="shared" si="5"/>
        <v>233</v>
      </c>
      <c r="U78" s="34">
        <f t="shared" si="5"/>
        <v>215</v>
      </c>
      <c r="V78" s="34">
        <f t="shared" si="5"/>
        <v>185</v>
      </c>
      <c r="W78" s="34">
        <f t="shared" si="5"/>
        <v>180</v>
      </c>
      <c r="X78" s="34">
        <f t="shared" si="5"/>
        <v>201</v>
      </c>
      <c r="Y78" s="34">
        <f t="shared" si="5"/>
        <v>138</v>
      </c>
      <c r="Z78" s="34">
        <f t="shared" si="5"/>
        <v>156</v>
      </c>
      <c r="AA78" s="34">
        <f t="shared" si="5"/>
        <v>170</v>
      </c>
      <c r="AB78" s="34">
        <f t="shared" si="5"/>
        <v>225</v>
      </c>
      <c r="AC78" s="34">
        <f t="shared" si="5"/>
        <v>163</v>
      </c>
      <c r="AD78" s="34">
        <f t="shared" si="5"/>
        <v>180</v>
      </c>
      <c r="AE78" s="34">
        <f t="shared" si="5"/>
        <v>173</v>
      </c>
      <c r="AF78" s="218">
        <f t="shared" si="5"/>
        <v>0</v>
      </c>
      <c r="AG78" s="27">
        <f t="shared" si="2"/>
        <v>5854</v>
      </c>
    </row>
    <row r="79" spans="1:33" ht="19.5" hidden="1" customHeight="1" x14ac:dyDescent="0.25">
      <c r="A79" s="35" t="s">
        <v>42</v>
      </c>
      <c r="B79" s="9">
        <f t="shared" ref="B79:AF79" si="6">SUM(B4:B27)-B80</f>
        <v>233</v>
      </c>
      <c r="C79" s="10">
        <f t="shared" si="6"/>
        <v>210</v>
      </c>
      <c r="D79" s="10">
        <f t="shared" si="6"/>
        <v>201</v>
      </c>
      <c r="E79" s="10">
        <f t="shared" si="6"/>
        <v>196</v>
      </c>
      <c r="F79" s="10">
        <f t="shared" si="6"/>
        <v>121</v>
      </c>
      <c r="G79" s="10">
        <f t="shared" si="6"/>
        <v>114</v>
      </c>
      <c r="H79" s="10">
        <f t="shared" si="6"/>
        <v>92</v>
      </c>
      <c r="I79" s="10">
        <f t="shared" si="6"/>
        <v>163</v>
      </c>
      <c r="J79" s="10">
        <f t="shared" si="6"/>
        <v>199</v>
      </c>
      <c r="K79" s="10">
        <f t="shared" si="6"/>
        <v>141</v>
      </c>
      <c r="L79" s="10">
        <f t="shared" si="6"/>
        <v>162</v>
      </c>
      <c r="M79" s="10">
        <f t="shared" si="6"/>
        <v>88</v>
      </c>
      <c r="N79" s="10">
        <f t="shared" si="6"/>
        <v>84</v>
      </c>
      <c r="O79" s="10">
        <f t="shared" si="6"/>
        <v>88</v>
      </c>
      <c r="P79" s="10">
        <f t="shared" si="6"/>
        <v>196</v>
      </c>
      <c r="Q79" s="10">
        <f t="shared" si="6"/>
        <v>195</v>
      </c>
      <c r="R79" s="10">
        <f t="shared" si="6"/>
        <v>71</v>
      </c>
      <c r="S79" s="10">
        <f t="shared" si="6"/>
        <v>64</v>
      </c>
      <c r="T79" s="10">
        <f t="shared" si="6"/>
        <v>111</v>
      </c>
      <c r="U79" s="10">
        <f t="shared" si="6"/>
        <v>86</v>
      </c>
      <c r="V79" s="10">
        <f t="shared" si="6"/>
        <v>70</v>
      </c>
      <c r="W79" s="10">
        <f t="shared" si="6"/>
        <v>180</v>
      </c>
      <c r="X79" s="10">
        <f t="shared" si="6"/>
        <v>201</v>
      </c>
      <c r="Y79" s="10">
        <f t="shared" si="6"/>
        <v>53</v>
      </c>
      <c r="Z79" s="10">
        <f t="shared" si="6"/>
        <v>156</v>
      </c>
      <c r="AA79" s="10">
        <f t="shared" si="6"/>
        <v>65</v>
      </c>
      <c r="AB79" s="10">
        <f t="shared" si="6"/>
        <v>92</v>
      </c>
      <c r="AC79" s="10">
        <f t="shared" si="6"/>
        <v>66</v>
      </c>
      <c r="AD79" s="10">
        <f t="shared" si="6"/>
        <v>180</v>
      </c>
      <c r="AE79" s="10">
        <f t="shared" si="6"/>
        <v>173</v>
      </c>
      <c r="AF79" s="10">
        <f t="shared" si="6"/>
        <v>0</v>
      </c>
      <c r="AG79" s="11">
        <f t="shared" si="2"/>
        <v>4051</v>
      </c>
    </row>
    <row r="80" spans="1:33" ht="19.5" hidden="1" customHeight="1" x14ac:dyDescent="0.25">
      <c r="A80" s="36" t="s">
        <v>43</v>
      </c>
      <c r="B80" s="37"/>
      <c r="C80" s="38"/>
      <c r="D80" s="25">
        <v>0</v>
      </c>
      <c r="E80" s="25">
        <v>0</v>
      </c>
      <c r="F80" s="25">
        <f>SUM(F4:F12)</f>
        <v>163</v>
      </c>
      <c r="G80" s="25">
        <f>SUM(G4:G12)</f>
        <v>157</v>
      </c>
      <c r="H80" s="25">
        <f>SUM(H4:H12)</f>
        <v>130</v>
      </c>
      <c r="I80" s="38"/>
      <c r="J80" s="38"/>
      <c r="K80" s="25">
        <v>0</v>
      </c>
      <c r="L80" s="25">
        <v>0</v>
      </c>
      <c r="M80" s="25">
        <f>SUM(M4:M12)</f>
        <v>161</v>
      </c>
      <c r="N80" s="25">
        <f>SUM(N4:N12)</f>
        <v>103</v>
      </c>
      <c r="O80" s="25">
        <f>SUM(O4:O12)</f>
        <v>120</v>
      </c>
      <c r="P80" s="38"/>
      <c r="Q80" s="38"/>
      <c r="R80" s="25">
        <f>SUM(R4:R12)</f>
        <v>98</v>
      </c>
      <c r="S80" s="25">
        <f>SUM(S4:S12)</f>
        <v>85</v>
      </c>
      <c r="T80" s="25">
        <f>SUM(T4:T12)</f>
        <v>122</v>
      </c>
      <c r="U80" s="25">
        <f>SUM(U4:U12)</f>
        <v>129</v>
      </c>
      <c r="V80" s="25">
        <f>SUM(V4:V12)</f>
        <v>115</v>
      </c>
      <c r="W80" s="38"/>
      <c r="X80" s="38"/>
      <c r="Y80" s="25">
        <f>SUM(Y4:Y12)</f>
        <v>85</v>
      </c>
      <c r="Z80" s="38"/>
      <c r="AA80" s="25">
        <f>SUM(AA4:AA12)</f>
        <v>105</v>
      </c>
      <c r="AB80" s="25">
        <f>SUM(AB4:AB12)</f>
        <v>133</v>
      </c>
      <c r="AC80" s="25">
        <f>SUM(AC4:AC12)</f>
        <v>97</v>
      </c>
      <c r="AD80" s="38"/>
      <c r="AE80" s="38"/>
      <c r="AF80" s="25">
        <f>SUM(AF4:AF12)</f>
        <v>0</v>
      </c>
      <c r="AG80" s="26">
        <f t="shared" si="2"/>
        <v>1803</v>
      </c>
    </row>
    <row r="81" spans="1:35" ht="15.75" customHeight="1" thickBot="1" x14ac:dyDescent="0.3">
      <c r="A81" s="31" t="s">
        <v>44</v>
      </c>
      <c r="B81" s="39">
        <f t="shared" ref="B81:AF81" si="7">SUM(B82:B83)</f>
        <v>30</v>
      </c>
      <c r="C81" s="34">
        <f t="shared" si="7"/>
        <v>43</v>
      </c>
      <c r="D81" s="34">
        <f t="shared" si="7"/>
        <v>12</v>
      </c>
      <c r="E81" s="34">
        <f t="shared" si="7"/>
        <v>1</v>
      </c>
      <c r="F81" s="34">
        <f t="shared" si="7"/>
        <v>70</v>
      </c>
      <c r="G81" s="34">
        <f t="shared" si="7"/>
        <v>47</v>
      </c>
      <c r="H81" s="34">
        <f t="shared" si="7"/>
        <v>34</v>
      </c>
      <c r="I81" s="34">
        <f t="shared" si="7"/>
        <v>5</v>
      </c>
      <c r="J81" s="34">
        <f t="shared" si="7"/>
        <v>12</v>
      </c>
      <c r="K81" s="34">
        <f t="shared" si="7"/>
        <v>2</v>
      </c>
      <c r="L81" s="34">
        <f t="shared" si="7"/>
        <v>4</v>
      </c>
      <c r="M81" s="34">
        <f t="shared" si="7"/>
        <v>45</v>
      </c>
      <c r="N81" s="34">
        <f t="shared" si="7"/>
        <v>5</v>
      </c>
      <c r="O81" s="34">
        <f t="shared" si="7"/>
        <v>21</v>
      </c>
      <c r="P81" s="34">
        <f t="shared" si="7"/>
        <v>7</v>
      </c>
      <c r="Q81" s="34">
        <f t="shared" si="7"/>
        <v>15</v>
      </c>
      <c r="R81" s="34">
        <f t="shared" si="7"/>
        <v>0</v>
      </c>
      <c r="S81" s="34">
        <f t="shared" si="7"/>
        <v>0</v>
      </c>
      <c r="T81" s="34">
        <f t="shared" si="7"/>
        <v>20</v>
      </c>
      <c r="U81" s="34">
        <f t="shared" si="7"/>
        <v>29</v>
      </c>
      <c r="V81" s="34">
        <f t="shared" si="7"/>
        <v>3</v>
      </c>
      <c r="W81" s="34">
        <f t="shared" si="7"/>
        <v>7</v>
      </c>
      <c r="X81" s="34">
        <f t="shared" si="7"/>
        <v>26</v>
      </c>
      <c r="Y81" s="34">
        <f t="shared" si="7"/>
        <v>6</v>
      </c>
      <c r="Z81" s="34">
        <f t="shared" si="7"/>
        <v>2</v>
      </c>
      <c r="AA81" s="34">
        <f t="shared" si="7"/>
        <v>6</v>
      </c>
      <c r="AB81" s="34">
        <f t="shared" si="7"/>
        <v>44</v>
      </c>
      <c r="AC81" s="34">
        <f t="shared" si="7"/>
        <v>21</v>
      </c>
      <c r="AD81" s="34">
        <f t="shared" si="7"/>
        <v>19</v>
      </c>
      <c r="AE81" s="34">
        <f t="shared" si="7"/>
        <v>8</v>
      </c>
      <c r="AF81" s="34">
        <f t="shared" si="7"/>
        <v>0</v>
      </c>
      <c r="AG81" s="27">
        <f t="shared" si="2"/>
        <v>544</v>
      </c>
      <c r="AH81" s="40" t="str">
        <f>IF(AG81&lt;&gt;AG53,"*","")</f>
        <v/>
      </c>
    </row>
    <row r="82" spans="1:35" ht="15.75" customHeight="1" x14ac:dyDescent="0.25">
      <c r="A82" s="35" t="s">
        <v>43</v>
      </c>
      <c r="B82" s="9">
        <f t="shared" ref="B82:AF82" si="8">SUM(B54:B62)</f>
        <v>16</v>
      </c>
      <c r="C82" s="10">
        <f t="shared" si="8"/>
        <v>20</v>
      </c>
      <c r="D82" s="10">
        <f t="shared" si="8"/>
        <v>6</v>
      </c>
      <c r="E82" s="10">
        <f t="shared" si="8"/>
        <v>0</v>
      </c>
      <c r="F82" s="10">
        <f t="shared" si="8"/>
        <v>39</v>
      </c>
      <c r="G82" s="10">
        <f t="shared" si="8"/>
        <v>12</v>
      </c>
      <c r="H82" s="10">
        <f t="shared" si="8"/>
        <v>15</v>
      </c>
      <c r="I82" s="10">
        <f t="shared" si="8"/>
        <v>2</v>
      </c>
      <c r="J82" s="10">
        <f t="shared" si="8"/>
        <v>3</v>
      </c>
      <c r="K82" s="10">
        <f t="shared" si="8"/>
        <v>2</v>
      </c>
      <c r="L82" s="10">
        <f t="shared" si="8"/>
        <v>3</v>
      </c>
      <c r="M82" s="10">
        <f t="shared" si="8"/>
        <v>14</v>
      </c>
      <c r="N82" s="10">
        <f t="shared" si="8"/>
        <v>2</v>
      </c>
      <c r="O82" s="10">
        <f t="shared" si="8"/>
        <v>5</v>
      </c>
      <c r="P82" s="10">
        <f t="shared" si="8"/>
        <v>6</v>
      </c>
      <c r="Q82" s="10">
        <f t="shared" si="8"/>
        <v>7</v>
      </c>
      <c r="R82" s="10">
        <f t="shared" si="8"/>
        <v>0</v>
      </c>
      <c r="S82" s="10">
        <f t="shared" si="8"/>
        <v>0</v>
      </c>
      <c r="T82" s="10">
        <f t="shared" si="8"/>
        <v>4</v>
      </c>
      <c r="U82" s="10">
        <f t="shared" si="8"/>
        <v>7</v>
      </c>
      <c r="V82" s="10">
        <f t="shared" si="8"/>
        <v>1</v>
      </c>
      <c r="W82" s="10">
        <f t="shared" si="8"/>
        <v>4</v>
      </c>
      <c r="X82" s="10">
        <f t="shared" si="8"/>
        <v>5</v>
      </c>
      <c r="Y82" s="10">
        <f t="shared" si="8"/>
        <v>4</v>
      </c>
      <c r="Z82" s="10">
        <f t="shared" si="8"/>
        <v>0</v>
      </c>
      <c r="AA82" s="10">
        <f t="shared" si="8"/>
        <v>5</v>
      </c>
      <c r="AB82" s="10">
        <f t="shared" si="8"/>
        <v>4</v>
      </c>
      <c r="AC82" s="10">
        <f t="shared" si="8"/>
        <v>7</v>
      </c>
      <c r="AD82" s="10">
        <f t="shared" si="8"/>
        <v>4</v>
      </c>
      <c r="AE82" s="10">
        <f t="shared" si="8"/>
        <v>1</v>
      </c>
      <c r="AF82" s="10">
        <f t="shared" si="8"/>
        <v>0</v>
      </c>
      <c r="AG82" s="11">
        <f t="shared" si="2"/>
        <v>198</v>
      </c>
    </row>
    <row r="83" spans="1:35" ht="15.75" customHeight="1" thickBot="1" x14ac:dyDescent="0.3">
      <c r="A83" s="36" t="s">
        <v>42</v>
      </c>
      <c r="B83" s="24">
        <f t="shared" ref="B83:AF83" si="9">SUM(B54:B77)-B82</f>
        <v>14</v>
      </c>
      <c r="C83" s="25">
        <f t="shared" si="9"/>
        <v>23</v>
      </c>
      <c r="D83" s="25">
        <f t="shared" si="9"/>
        <v>6</v>
      </c>
      <c r="E83" s="25">
        <f t="shared" si="9"/>
        <v>1</v>
      </c>
      <c r="F83" s="25">
        <f t="shared" si="9"/>
        <v>31</v>
      </c>
      <c r="G83" s="25">
        <f t="shared" si="9"/>
        <v>35</v>
      </c>
      <c r="H83" s="25">
        <f t="shared" si="9"/>
        <v>19</v>
      </c>
      <c r="I83" s="25">
        <f t="shared" si="9"/>
        <v>3</v>
      </c>
      <c r="J83" s="25">
        <f t="shared" si="9"/>
        <v>9</v>
      </c>
      <c r="K83" s="25">
        <f t="shared" si="9"/>
        <v>0</v>
      </c>
      <c r="L83" s="25">
        <f t="shared" si="9"/>
        <v>1</v>
      </c>
      <c r="M83" s="25">
        <f t="shared" si="9"/>
        <v>31</v>
      </c>
      <c r="N83" s="25">
        <f t="shared" si="9"/>
        <v>3</v>
      </c>
      <c r="O83" s="25">
        <f t="shared" si="9"/>
        <v>16</v>
      </c>
      <c r="P83" s="25">
        <f t="shared" si="9"/>
        <v>1</v>
      </c>
      <c r="Q83" s="25">
        <f t="shared" si="9"/>
        <v>8</v>
      </c>
      <c r="R83" s="25">
        <f t="shared" si="9"/>
        <v>0</v>
      </c>
      <c r="S83" s="25">
        <f t="shared" si="9"/>
        <v>0</v>
      </c>
      <c r="T83" s="25">
        <f t="shared" si="9"/>
        <v>16</v>
      </c>
      <c r="U83" s="25">
        <f t="shared" si="9"/>
        <v>22</v>
      </c>
      <c r="V83" s="25">
        <f t="shared" si="9"/>
        <v>2</v>
      </c>
      <c r="W83" s="25">
        <f t="shared" si="9"/>
        <v>3</v>
      </c>
      <c r="X83" s="25">
        <f t="shared" si="9"/>
        <v>21</v>
      </c>
      <c r="Y83" s="25">
        <f t="shared" si="9"/>
        <v>2</v>
      </c>
      <c r="Z83" s="25">
        <f t="shared" si="9"/>
        <v>2</v>
      </c>
      <c r="AA83" s="25">
        <f t="shared" si="9"/>
        <v>1</v>
      </c>
      <c r="AB83" s="25">
        <f t="shared" si="9"/>
        <v>40</v>
      </c>
      <c r="AC83" s="25">
        <f t="shared" si="9"/>
        <v>14</v>
      </c>
      <c r="AD83" s="25">
        <f t="shared" si="9"/>
        <v>15</v>
      </c>
      <c r="AE83" s="25">
        <f t="shared" si="9"/>
        <v>7</v>
      </c>
      <c r="AF83" s="25">
        <f t="shared" si="9"/>
        <v>0</v>
      </c>
      <c r="AG83" s="15">
        <f t="shared" si="2"/>
        <v>346</v>
      </c>
    </row>
    <row r="84" spans="1:35" ht="15.75" customHeight="1" thickBot="1" x14ac:dyDescent="0.3">
      <c r="A84" s="41" t="s">
        <v>45</v>
      </c>
      <c r="B84" s="42">
        <f t="shared" ref="B84:AF84" si="10">SUM(B85:B86)</f>
        <v>30</v>
      </c>
      <c r="C84" s="43">
        <f t="shared" si="10"/>
        <v>43</v>
      </c>
      <c r="D84" s="43">
        <f t="shared" si="10"/>
        <v>12</v>
      </c>
      <c r="E84" s="43">
        <f t="shared" si="10"/>
        <v>1</v>
      </c>
      <c r="F84" s="43">
        <f t="shared" si="10"/>
        <v>70</v>
      </c>
      <c r="G84" s="43">
        <f t="shared" si="10"/>
        <v>47</v>
      </c>
      <c r="H84" s="43">
        <f t="shared" si="10"/>
        <v>34</v>
      </c>
      <c r="I84" s="43">
        <f t="shared" si="10"/>
        <v>5</v>
      </c>
      <c r="J84" s="43">
        <f t="shared" si="10"/>
        <v>12</v>
      </c>
      <c r="K84" s="43">
        <f t="shared" si="10"/>
        <v>2</v>
      </c>
      <c r="L84" s="43">
        <f t="shared" si="10"/>
        <v>4</v>
      </c>
      <c r="M84" s="43">
        <f t="shared" si="10"/>
        <v>45</v>
      </c>
      <c r="N84" s="43">
        <f t="shared" si="10"/>
        <v>5</v>
      </c>
      <c r="O84" s="43">
        <f t="shared" si="10"/>
        <v>21</v>
      </c>
      <c r="P84" s="43">
        <f t="shared" si="10"/>
        <v>7</v>
      </c>
      <c r="Q84" s="43">
        <f t="shared" si="10"/>
        <v>15</v>
      </c>
      <c r="R84" s="43">
        <f t="shared" si="10"/>
        <v>0</v>
      </c>
      <c r="S84" s="43">
        <f t="shared" si="10"/>
        <v>0</v>
      </c>
      <c r="T84" s="43">
        <f t="shared" si="10"/>
        <v>20</v>
      </c>
      <c r="U84" s="43">
        <f t="shared" si="10"/>
        <v>29</v>
      </c>
      <c r="V84" s="43">
        <f t="shared" si="10"/>
        <v>3</v>
      </c>
      <c r="W84" s="43">
        <f t="shared" si="10"/>
        <v>7</v>
      </c>
      <c r="X84" s="43">
        <f t="shared" si="10"/>
        <v>26</v>
      </c>
      <c r="Y84" s="43">
        <f t="shared" si="10"/>
        <v>6</v>
      </c>
      <c r="Z84" s="43">
        <f t="shared" si="10"/>
        <v>2</v>
      </c>
      <c r="AA84" s="43">
        <f t="shared" si="10"/>
        <v>6</v>
      </c>
      <c r="AB84" s="43">
        <f t="shared" si="10"/>
        <v>44</v>
      </c>
      <c r="AC84" s="43">
        <f t="shared" si="10"/>
        <v>21</v>
      </c>
      <c r="AD84" s="43">
        <f t="shared" si="10"/>
        <v>19</v>
      </c>
      <c r="AE84" s="43">
        <f t="shared" si="10"/>
        <v>8</v>
      </c>
      <c r="AF84" s="43">
        <f t="shared" si="10"/>
        <v>0</v>
      </c>
      <c r="AG84" s="44">
        <f t="shared" si="2"/>
        <v>544</v>
      </c>
      <c r="AH84" s="40" t="str">
        <f>IF(AG84&lt;&gt;AG82+AG83,"*","")</f>
        <v/>
      </c>
      <c r="AI84" s="361" t="s">
        <v>46</v>
      </c>
    </row>
    <row r="85" spans="1:35" ht="15.75" customHeight="1" x14ac:dyDescent="0.25">
      <c r="A85" s="45" t="s">
        <v>47</v>
      </c>
      <c r="B85" s="46">
        <v>4</v>
      </c>
      <c r="C85" s="47">
        <v>16</v>
      </c>
      <c r="D85" s="47">
        <v>1</v>
      </c>
      <c r="E85" s="47">
        <v>1</v>
      </c>
      <c r="F85" s="47">
        <v>15</v>
      </c>
      <c r="G85" s="47">
        <v>7</v>
      </c>
      <c r="H85" s="47">
        <v>7</v>
      </c>
      <c r="I85" s="47">
        <v>0</v>
      </c>
      <c r="J85" s="47">
        <v>1</v>
      </c>
      <c r="K85" s="47">
        <v>0</v>
      </c>
      <c r="L85" s="47">
        <v>0</v>
      </c>
      <c r="M85" s="47">
        <v>7</v>
      </c>
      <c r="N85" s="47">
        <v>2</v>
      </c>
      <c r="O85" s="47">
        <v>3</v>
      </c>
      <c r="P85" s="47">
        <v>1</v>
      </c>
      <c r="Q85" s="47">
        <v>3</v>
      </c>
      <c r="R85" s="47">
        <v>0</v>
      </c>
      <c r="S85" s="47">
        <v>0</v>
      </c>
      <c r="T85" s="47">
        <v>1</v>
      </c>
      <c r="U85" s="47">
        <v>4</v>
      </c>
      <c r="V85" s="47">
        <v>1</v>
      </c>
      <c r="W85" s="47">
        <v>3</v>
      </c>
      <c r="X85" s="47">
        <v>2</v>
      </c>
      <c r="Y85" s="47">
        <v>3</v>
      </c>
      <c r="Z85" s="47">
        <v>0</v>
      </c>
      <c r="AA85" s="47">
        <v>0</v>
      </c>
      <c r="AB85" s="47">
        <v>7</v>
      </c>
      <c r="AC85" s="47">
        <v>0</v>
      </c>
      <c r="AD85" s="47">
        <v>3</v>
      </c>
      <c r="AE85" s="47">
        <v>2</v>
      </c>
      <c r="AF85" s="219"/>
      <c r="AG85" s="48">
        <f t="shared" si="2"/>
        <v>94</v>
      </c>
      <c r="AI85" s="362"/>
    </row>
    <row r="86" spans="1:35" ht="15.75" customHeight="1" thickBot="1" x14ac:dyDescent="0.3">
      <c r="A86" s="49" t="s">
        <v>48</v>
      </c>
      <c r="B86" s="50">
        <v>26</v>
      </c>
      <c r="C86" s="51">
        <v>27</v>
      </c>
      <c r="D86" s="51">
        <v>11</v>
      </c>
      <c r="E86" s="51">
        <v>0</v>
      </c>
      <c r="F86" s="51">
        <v>55</v>
      </c>
      <c r="G86" s="51">
        <v>40</v>
      </c>
      <c r="H86" s="51">
        <v>27</v>
      </c>
      <c r="I86" s="51">
        <v>5</v>
      </c>
      <c r="J86" s="51">
        <v>11</v>
      </c>
      <c r="K86" s="51">
        <v>2</v>
      </c>
      <c r="L86" s="51">
        <v>4</v>
      </c>
      <c r="M86" s="51">
        <v>38</v>
      </c>
      <c r="N86" s="51">
        <v>3</v>
      </c>
      <c r="O86" s="51">
        <v>18</v>
      </c>
      <c r="P86" s="51">
        <v>6</v>
      </c>
      <c r="Q86" s="51">
        <v>12</v>
      </c>
      <c r="R86" s="51">
        <v>0</v>
      </c>
      <c r="S86" s="51">
        <v>0</v>
      </c>
      <c r="T86" s="51">
        <v>19</v>
      </c>
      <c r="U86" s="51">
        <v>25</v>
      </c>
      <c r="V86" s="51">
        <v>2</v>
      </c>
      <c r="W86" s="51">
        <v>4</v>
      </c>
      <c r="X86" s="51">
        <v>24</v>
      </c>
      <c r="Y86" s="51">
        <v>3</v>
      </c>
      <c r="Z86" s="51">
        <v>2</v>
      </c>
      <c r="AA86" s="51">
        <v>6</v>
      </c>
      <c r="AB86" s="51">
        <v>37</v>
      </c>
      <c r="AC86" s="51">
        <v>21</v>
      </c>
      <c r="AD86" s="51">
        <v>16</v>
      </c>
      <c r="AE86" s="51">
        <v>6</v>
      </c>
      <c r="AF86" s="220"/>
      <c r="AG86" s="52">
        <f t="shared" si="2"/>
        <v>450</v>
      </c>
      <c r="AI86" s="363"/>
    </row>
    <row r="87" spans="1:35" ht="15.75" customHeight="1" thickBot="1" x14ac:dyDescent="0.3">
      <c r="A87" s="53" t="s">
        <v>49</v>
      </c>
      <c r="B87" s="54">
        <f t="shared" ref="B87:AF87" si="11">SUM(B88:B92)</f>
        <v>30</v>
      </c>
      <c r="C87" s="55">
        <f t="shared" si="11"/>
        <v>43</v>
      </c>
      <c r="D87" s="55">
        <f t="shared" si="11"/>
        <v>12</v>
      </c>
      <c r="E87" s="55">
        <f t="shared" si="11"/>
        <v>1</v>
      </c>
      <c r="F87" s="55">
        <f t="shared" si="11"/>
        <v>70</v>
      </c>
      <c r="G87" s="55">
        <f t="shared" si="11"/>
        <v>47</v>
      </c>
      <c r="H87" s="55">
        <f t="shared" si="11"/>
        <v>34</v>
      </c>
      <c r="I87" s="55">
        <f t="shared" si="11"/>
        <v>5</v>
      </c>
      <c r="J87" s="55">
        <f t="shared" si="11"/>
        <v>12</v>
      </c>
      <c r="K87" s="55">
        <f t="shared" si="11"/>
        <v>2</v>
      </c>
      <c r="L87" s="55">
        <f t="shared" si="11"/>
        <v>4</v>
      </c>
      <c r="M87" s="55">
        <f t="shared" si="11"/>
        <v>45</v>
      </c>
      <c r="N87" s="55">
        <f t="shared" si="11"/>
        <v>5</v>
      </c>
      <c r="O87" s="55">
        <f t="shared" si="11"/>
        <v>21</v>
      </c>
      <c r="P87" s="55">
        <f t="shared" si="11"/>
        <v>7</v>
      </c>
      <c r="Q87" s="55">
        <f t="shared" si="11"/>
        <v>15</v>
      </c>
      <c r="R87" s="55">
        <f t="shared" si="11"/>
        <v>0</v>
      </c>
      <c r="S87" s="55">
        <f t="shared" si="11"/>
        <v>0</v>
      </c>
      <c r="T87" s="55">
        <f t="shared" si="11"/>
        <v>20</v>
      </c>
      <c r="U87" s="55">
        <f t="shared" si="11"/>
        <v>29</v>
      </c>
      <c r="V87" s="55">
        <f t="shared" si="11"/>
        <v>3</v>
      </c>
      <c r="W87" s="55">
        <f t="shared" si="11"/>
        <v>7</v>
      </c>
      <c r="X87" s="55">
        <f t="shared" si="11"/>
        <v>26</v>
      </c>
      <c r="Y87" s="55">
        <f t="shared" si="11"/>
        <v>6</v>
      </c>
      <c r="Z87" s="55">
        <f t="shared" si="11"/>
        <v>2</v>
      </c>
      <c r="AA87" s="55">
        <f t="shared" si="11"/>
        <v>6</v>
      </c>
      <c r="AB87" s="55">
        <f t="shared" si="11"/>
        <v>44</v>
      </c>
      <c r="AC87" s="55">
        <f t="shared" si="11"/>
        <v>21</v>
      </c>
      <c r="AD87" s="55">
        <f t="shared" si="11"/>
        <v>19</v>
      </c>
      <c r="AE87" s="55">
        <f t="shared" si="11"/>
        <v>8</v>
      </c>
      <c r="AF87" s="55">
        <f t="shared" si="11"/>
        <v>0</v>
      </c>
      <c r="AG87" s="56">
        <f t="shared" si="2"/>
        <v>544</v>
      </c>
      <c r="AH87" s="57" t="str">
        <f>IF(AG87&lt;&gt;AG84,"*","")</f>
        <v/>
      </c>
    </row>
    <row r="88" spans="1:35" ht="15.75" customHeight="1" x14ac:dyDescent="0.25">
      <c r="A88" s="58" t="s">
        <v>50</v>
      </c>
      <c r="B88" s="29">
        <v>9</v>
      </c>
      <c r="C88" s="30">
        <v>3</v>
      </c>
      <c r="D88" s="30">
        <v>3</v>
      </c>
      <c r="E88" s="30">
        <v>0</v>
      </c>
      <c r="F88" s="30">
        <v>12</v>
      </c>
      <c r="G88" s="30">
        <v>10</v>
      </c>
      <c r="H88" s="30">
        <v>2</v>
      </c>
      <c r="I88" s="30">
        <v>2</v>
      </c>
      <c r="J88" s="30">
        <v>2</v>
      </c>
      <c r="K88" s="30">
        <v>2</v>
      </c>
      <c r="L88" s="30">
        <v>2</v>
      </c>
      <c r="M88" s="30">
        <v>12</v>
      </c>
      <c r="N88" s="30">
        <v>4</v>
      </c>
      <c r="O88" s="30">
        <v>3</v>
      </c>
      <c r="P88" s="30">
        <v>2</v>
      </c>
      <c r="Q88" s="30">
        <v>4</v>
      </c>
      <c r="R88" s="30">
        <v>0</v>
      </c>
      <c r="S88" s="30">
        <v>0</v>
      </c>
      <c r="T88" s="30">
        <v>6</v>
      </c>
      <c r="U88" s="30">
        <v>6</v>
      </c>
      <c r="V88" s="30">
        <v>2</v>
      </c>
      <c r="W88" s="30">
        <v>1</v>
      </c>
      <c r="X88" s="30">
        <v>6</v>
      </c>
      <c r="Y88" s="30">
        <v>6</v>
      </c>
      <c r="Z88" s="30">
        <v>2</v>
      </c>
      <c r="AA88" s="30">
        <v>3</v>
      </c>
      <c r="AB88" s="30">
        <v>5</v>
      </c>
      <c r="AC88" s="30">
        <v>2</v>
      </c>
      <c r="AD88" s="30">
        <v>4</v>
      </c>
      <c r="AE88" s="30">
        <v>0</v>
      </c>
      <c r="AF88" s="217"/>
      <c r="AG88" s="11">
        <f t="shared" si="2"/>
        <v>115</v>
      </c>
    </row>
    <row r="89" spans="1:35" ht="15.75" customHeight="1" x14ac:dyDescent="0.25">
      <c r="A89" s="59" t="s">
        <v>51</v>
      </c>
      <c r="B89" s="24">
        <v>0</v>
      </c>
      <c r="C89" s="25">
        <v>0</v>
      </c>
      <c r="D89" s="25">
        <v>0</v>
      </c>
      <c r="E89" s="25">
        <v>0</v>
      </c>
      <c r="F89" s="25">
        <v>0</v>
      </c>
      <c r="G89" s="25">
        <v>0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5">
        <v>0</v>
      </c>
      <c r="W89" s="25">
        <v>0</v>
      </c>
      <c r="X89" s="25">
        <v>0</v>
      </c>
      <c r="Y89" s="25">
        <v>0</v>
      </c>
      <c r="Z89" s="25">
        <v>0</v>
      </c>
      <c r="AA89" s="25">
        <v>0</v>
      </c>
      <c r="AB89" s="25">
        <v>0</v>
      </c>
      <c r="AC89" s="25">
        <v>0</v>
      </c>
      <c r="AD89" s="25">
        <v>0</v>
      </c>
      <c r="AE89" s="25">
        <v>0</v>
      </c>
      <c r="AF89" s="216"/>
      <c r="AG89" s="15">
        <f t="shared" si="2"/>
        <v>0</v>
      </c>
    </row>
    <row r="90" spans="1:35" ht="15.75" customHeight="1" x14ac:dyDescent="0.25">
      <c r="A90" s="59" t="s">
        <v>52</v>
      </c>
      <c r="B90" s="24">
        <v>1</v>
      </c>
      <c r="C90" s="25">
        <v>1</v>
      </c>
      <c r="D90" s="25">
        <v>0</v>
      </c>
      <c r="E90" s="25">
        <v>0</v>
      </c>
      <c r="F90" s="25">
        <v>1</v>
      </c>
      <c r="G90" s="25">
        <v>0</v>
      </c>
      <c r="H90" s="25">
        <v>0</v>
      </c>
      <c r="I90" s="25">
        <v>1</v>
      </c>
      <c r="J90" s="25">
        <v>0</v>
      </c>
      <c r="K90" s="25">
        <v>0</v>
      </c>
      <c r="L90" s="25">
        <v>0</v>
      </c>
      <c r="M90" s="25">
        <v>1</v>
      </c>
      <c r="N90" s="25">
        <v>0</v>
      </c>
      <c r="O90" s="25">
        <v>0</v>
      </c>
      <c r="P90" s="25">
        <v>1</v>
      </c>
      <c r="Q90" s="25">
        <v>0</v>
      </c>
      <c r="R90" s="25">
        <v>0</v>
      </c>
      <c r="S90" s="25">
        <v>0</v>
      </c>
      <c r="T90" s="25">
        <v>0</v>
      </c>
      <c r="U90" s="25">
        <v>1</v>
      </c>
      <c r="V90" s="25">
        <v>0</v>
      </c>
      <c r="W90" s="25">
        <v>0</v>
      </c>
      <c r="X90" s="25">
        <v>1</v>
      </c>
      <c r="Y90" s="25">
        <v>0</v>
      </c>
      <c r="Z90" s="25">
        <v>0</v>
      </c>
      <c r="AA90" s="25">
        <v>0</v>
      </c>
      <c r="AB90" s="25">
        <v>1</v>
      </c>
      <c r="AC90" s="25">
        <v>0</v>
      </c>
      <c r="AD90" s="25">
        <v>0</v>
      </c>
      <c r="AE90" s="25">
        <v>0</v>
      </c>
      <c r="AF90" s="216"/>
      <c r="AG90" s="15">
        <f t="shared" si="2"/>
        <v>9</v>
      </c>
    </row>
    <row r="91" spans="1:35" ht="15.75" customHeight="1" x14ac:dyDescent="0.25">
      <c r="A91" s="59" t="s">
        <v>53</v>
      </c>
      <c r="B91" s="24">
        <v>11</v>
      </c>
      <c r="C91" s="25">
        <v>31</v>
      </c>
      <c r="D91" s="25">
        <v>2</v>
      </c>
      <c r="E91" s="25">
        <v>1</v>
      </c>
      <c r="F91" s="25">
        <v>49</v>
      </c>
      <c r="G91" s="25">
        <v>28</v>
      </c>
      <c r="H91" s="25">
        <v>27</v>
      </c>
      <c r="I91" s="25">
        <v>1</v>
      </c>
      <c r="J91" s="25">
        <v>5</v>
      </c>
      <c r="K91" s="25">
        <v>0</v>
      </c>
      <c r="L91" s="25">
        <v>1</v>
      </c>
      <c r="M91" s="25">
        <v>18</v>
      </c>
      <c r="N91" s="25">
        <v>1</v>
      </c>
      <c r="O91" s="25">
        <v>11</v>
      </c>
      <c r="P91" s="25">
        <v>2</v>
      </c>
      <c r="Q91" s="25">
        <v>7</v>
      </c>
      <c r="R91" s="25">
        <v>0</v>
      </c>
      <c r="S91" s="25">
        <v>0</v>
      </c>
      <c r="T91" s="25">
        <v>11</v>
      </c>
      <c r="U91" s="25">
        <v>12</v>
      </c>
      <c r="V91" s="25">
        <v>1</v>
      </c>
      <c r="W91" s="25">
        <v>1</v>
      </c>
      <c r="X91" s="25">
        <v>13</v>
      </c>
      <c r="Y91" s="25">
        <v>0</v>
      </c>
      <c r="Z91" s="25">
        <v>0</v>
      </c>
      <c r="AA91" s="25">
        <v>2</v>
      </c>
      <c r="AB91" s="25">
        <v>26</v>
      </c>
      <c r="AC91" s="25">
        <v>9</v>
      </c>
      <c r="AD91" s="25">
        <v>6</v>
      </c>
      <c r="AE91" s="25">
        <v>4</v>
      </c>
      <c r="AF91" s="216"/>
      <c r="AG91" s="15">
        <f t="shared" si="2"/>
        <v>280</v>
      </c>
    </row>
    <row r="92" spans="1:35" ht="15.75" customHeight="1" thickBot="1" x14ac:dyDescent="0.3">
      <c r="A92" s="59" t="s">
        <v>54</v>
      </c>
      <c r="B92" s="24">
        <v>9</v>
      </c>
      <c r="C92" s="25">
        <v>8</v>
      </c>
      <c r="D92" s="25">
        <v>7</v>
      </c>
      <c r="E92" s="25">
        <v>0</v>
      </c>
      <c r="F92" s="25">
        <v>8</v>
      </c>
      <c r="G92" s="25">
        <v>9</v>
      </c>
      <c r="H92" s="25">
        <v>5</v>
      </c>
      <c r="I92" s="25">
        <v>1</v>
      </c>
      <c r="J92" s="25">
        <v>5</v>
      </c>
      <c r="K92" s="25">
        <v>0</v>
      </c>
      <c r="L92" s="25">
        <v>1</v>
      </c>
      <c r="M92" s="25">
        <v>14</v>
      </c>
      <c r="N92" s="25">
        <v>0</v>
      </c>
      <c r="O92" s="25">
        <v>7</v>
      </c>
      <c r="P92" s="25">
        <v>2</v>
      </c>
      <c r="Q92" s="25">
        <v>4</v>
      </c>
      <c r="R92" s="25">
        <v>0</v>
      </c>
      <c r="S92" s="25">
        <v>0</v>
      </c>
      <c r="T92" s="25">
        <v>3</v>
      </c>
      <c r="U92" s="25">
        <v>10</v>
      </c>
      <c r="V92" s="25">
        <v>0</v>
      </c>
      <c r="W92" s="25">
        <v>5</v>
      </c>
      <c r="X92" s="25">
        <v>6</v>
      </c>
      <c r="Y92" s="25">
        <v>0</v>
      </c>
      <c r="Z92" s="25">
        <v>0</v>
      </c>
      <c r="AA92" s="25">
        <v>1</v>
      </c>
      <c r="AB92" s="25">
        <v>12</v>
      </c>
      <c r="AC92" s="25">
        <v>10</v>
      </c>
      <c r="AD92" s="25">
        <v>9</v>
      </c>
      <c r="AE92" s="25">
        <v>4</v>
      </c>
      <c r="AF92" s="216"/>
      <c r="AG92" s="15">
        <f t="shared" si="2"/>
        <v>140</v>
      </c>
    </row>
    <row r="93" spans="1:35" ht="15.75" customHeight="1" x14ac:dyDescent="0.25">
      <c r="A93" s="60" t="s">
        <v>55</v>
      </c>
      <c r="B93" s="61">
        <f t="shared" ref="B93:AF93" si="12">+B94+B100</f>
        <v>203</v>
      </c>
      <c r="C93" s="62">
        <f t="shared" si="12"/>
        <v>167</v>
      </c>
      <c r="D93" s="62">
        <f t="shared" si="12"/>
        <v>189</v>
      </c>
      <c r="E93" s="62">
        <f t="shared" si="12"/>
        <v>195</v>
      </c>
      <c r="F93" s="62">
        <f t="shared" si="12"/>
        <v>214</v>
      </c>
      <c r="G93" s="62">
        <f t="shared" si="12"/>
        <v>224</v>
      </c>
      <c r="H93" s="62">
        <f t="shared" si="12"/>
        <v>188</v>
      </c>
      <c r="I93" s="62">
        <f t="shared" si="12"/>
        <v>158</v>
      </c>
      <c r="J93" s="62">
        <f t="shared" si="12"/>
        <v>187</v>
      </c>
      <c r="K93" s="62">
        <f t="shared" si="12"/>
        <v>139</v>
      </c>
      <c r="L93" s="62">
        <f t="shared" si="12"/>
        <v>158</v>
      </c>
      <c r="M93" s="62">
        <f t="shared" si="12"/>
        <v>204</v>
      </c>
      <c r="N93" s="62">
        <f t="shared" si="12"/>
        <v>182</v>
      </c>
      <c r="O93" s="62">
        <f t="shared" si="12"/>
        <v>187</v>
      </c>
      <c r="P93" s="62">
        <f t="shared" si="12"/>
        <v>189</v>
      </c>
      <c r="Q93" s="62">
        <f t="shared" si="12"/>
        <v>180</v>
      </c>
      <c r="R93" s="62">
        <f t="shared" si="12"/>
        <v>169</v>
      </c>
      <c r="S93" s="62">
        <f t="shared" si="12"/>
        <v>149</v>
      </c>
      <c r="T93" s="62">
        <f t="shared" si="12"/>
        <v>213</v>
      </c>
      <c r="U93" s="62">
        <f t="shared" si="12"/>
        <v>186</v>
      </c>
      <c r="V93" s="62">
        <f t="shared" si="12"/>
        <v>182</v>
      </c>
      <c r="W93" s="62">
        <f t="shared" si="12"/>
        <v>173</v>
      </c>
      <c r="X93" s="62">
        <f t="shared" si="12"/>
        <v>175</v>
      </c>
      <c r="Y93" s="62">
        <f t="shared" si="12"/>
        <v>132</v>
      </c>
      <c r="Z93" s="62">
        <f t="shared" si="12"/>
        <v>154</v>
      </c>
      <c r="AA93" s="62">
        <f t="shared" si="12"/>
        <v>164</v>
      </c>
      <c r="AB93" s="62">
        <f t="shared" si="12"/>
        <v>181</v>
      </c>
      <c r="AC93" s="62">
        <f t="shared" si="12"/>
        <v>142</v>
      </c>
      <c r="AD93" s="62">
        <f t="shared" si="12"/>
        <v>161</v>
      </c>
      <c r="AE93" s="62">
        <f t="shared" si="12"/>
        <v>165</v>
      </c>
      <c r="AF93" s="221">
        <f t="shared" si="12"/>
        <v>0</v>
      </c>
      <c r="AG93" s="22">
        <f t="shared" si="2"/>
        <v>5310</v>
      </c>
      <c r="AH93" s="63" t="str">
        <f>IF(AG93&lt;&gt;AG28,"*","")</f>
        <v/>
      </c>
    </row>
    <row r="94" spans="1:35" ht="15.75" customHeight="1" x14ac:dyDescent="0.25">
      <c r="A94" s="64" t="s">
        <v>56</v>
      </c>
      <c r="B94" s="65">
        <f t="shared" ref="B94:AF94" si="13">SUM(B95:B99)</f>
        <v>54</v>
      </c>
      <c r="C94" s="66">
        <f t="shared" si="13"/>
        <v>32</v>
      </c>
      <c r="D94" s="66">
        <f t="shared" si="13"/>
        <v>33</v>
      </c>
      <c r="E94" s="66">
        <f t="shared" si="13"/>
        <v>56</v>
      </c>
      <c r="F94" s="66">
        <f t="shared" si="13"/>
        <v>54</v>
      </c>
      <c r="G94" s="66">
        <f t="shared" si="13"/>
        <v>46</v>
      </c>
      <c r="H94" s="66">
        <f t="shared" si="13"/>
        <v>34</v>
      </c>
      <c r="I94" s="66">
        <f t="shared" si="13"/>
        <v>29</v>
      </c>
      <c r="J94" s="66">
        <f t="shared" si="13"/>
        <v>31</v>
      </c>
      <c r="K94" s="66">
        <f t="shared" si="13"/>
        <v>28</v>
      </c>
      <c r="L94" s="66">
        <f t="shared" si="13"/>
        <v>27</v>
      </c>
      <c r="M94" s="66">
        <f t="shared" si="13"/>
        <v>49</v>
      </c>
      <c r="N94" s="66">
        <f t="shared" si="13"/>
        <v>42</v>
      </c>
      <c r="O94" s="66">
        <f t="shared" si="13"/>
        <v>33</v>
      </c>
      <c r="P94" s="66">
        <f t="shared" si="13"/>
        <v>36</v>
      </c>
      <c r="Q94" s="66">
        <f t="shared" si="13"/>
        <v>29</v>
      </c>
      <c r="R94" s="66">
        <f t="shared" si="13"/>
        <v>32</v>
      </c>
      <c r="S94" s="66">
        <f t="shared" si="13"/>
        <v>30</v>
      </c>
      <c r="T94" s="66">
        <f t="shared" si="13"/>
        <v>49</v>
      </c>
      <c r="U94" s="66">
        <f t="shared" si="13"/>
        <v>22</v>
      </c>
      <c r="V94" s="66">
        <f t="shared" si="13"/>
        <v>35</v>
      </c>
      <c r="W94" s="66">
        <f t="shared" si="13"/>
        <v>32</v>
      </c>
      <c r="X94" s="66">
        <f t="shared" si="13"/>
        <v>22</v>
      </c>
      <c r="Y94" s="66">
        <f t="shared" si="13"/>
        <v>19</v>
      </c>
      <c r="Z94" s="66">
        <f t="shared" si="13"/>
        <v>22</v>
      </c>
      <c r="AA94" s="66">
        <f t="shared" si="13"/>
        <v>29</v>
      </c>
      <c r="AB94" s="66">
        <f t="shared" si="13"/>
        <v>24</v>
      </c>
      <c r="AC94" s="66">
        <f t="shared" si="13"/>
        <v>23</v>
      </c>
      <c r="AD94" s="66">
        <f t="shared" si="13"/>
        <v>19</v>
      </c>
      <c r="AE94" s="66">
        <f t="shared" si="13"/>
        <v>12</v>
      </c>
      <c r="AF94" s="222">
        <f t="shared" si="13"/>
        <v>0</v>
      </c>
      <c r="AG94" s="15">
        <f t="shared" si="2"/>
        <v>983</v>
      </c>
    </row>
    <row r="95" spans="1:35" ht="15.75" customHeight="1" x14ac:dyDescent="0.25">
      <c r="A95" s="67" t="s">
        <v>57</v>
      </c>
      <c r="B95" s="13">
        <v>4</v>
      </c>
      <c r="C95" s="14">
        <v>0</v>
      </c>
      <c r="D95" s="14">
        <v>1</v>
      </c>
      <c r="E95" s="14">
        <v>6</v>
      </c>
      <c r="F95" s="14">
        <v>0</v>
      </c>
      <c r="G95" s="14">
        <v>0</v>
      </c>
      <c r="H95" s="14">
        <v>2</v>
      </c>
      <c r="I95" s="14">
        <v>2</v>
      </c>
      <c r="J95" s="14">
        <v>1</v>
      </c>
      <c r="K95" s="14">
        <v>1</v>
      </c>
      <c r="L95" s="14">
        <v>1</v>
      </c>
      <c r="M95" s="14">
        <v>1</v>
      </c>
      <c r="N95" s="14">
        <v>2</v>
      </c>
      <c r="O95" s="14">
        <v>1</v>
      </c>
      <c r="P95" s="14">
        <v>1</v>
      </c>
      <c r="Q95" s="14">
        <v>2</v>
      </c>
      <c r="R95" s="14">
        <v>1</v>
      </c>
      <c r="S95" s="14">
        <v>0</v>
      </c>
      <c r="T95" s="14">
        <v>0</v>
      </c>
      <c r="U95" s="14">
        <v>0</v>
      </c>
      <c r="V95" s="14">
        <v>0</v>
      </c>
      <c r="W95" s="14">
        <v>3</v>
      </c>
      <c r="X95" s="14">
        <v>1</v>
      </c>
      <c r="Y95" s="14">
        <v>1</v>
      </c>
      <c r="Z95" s="14">
        <v>1</v>
      </c>
      <c r="AA95" s="14">
        <v>0</v>
      </c>
      <c r="AB95" s="14">
        <v>1</v>
      </c>
      <c r="AC95" s="14">
        <v>2</v>
      </c>
      <c r="AD95" s="14">
        <v>0</v>
      </c>
      <c r="AE95" s="14">
        <v>0</v>
      </c>
      <c r="AF95" s="214"/>
      <c r="AG95" s="15">
        <f t="shared" si="2"/>
        <v>35</v>
      </c>
    </row>
    <row r="96" spans="1:35" ht="15.75" customHeight="1" x14ac:dyDescent="0.25">
      <c r="A96" s="68" t="s">
        <v>58</v>
      </c>
      <c r="B96" s="13">
        <v>4</v>
      </c>
      <c r="C96" s="14">
        <v>1</v>
      </c>
      <c r="D96" s="14">
        <v>4</v>
      </c>
      <c r="E96" s="14">
        <v>5</v>
      </c>
      <c r="F96" s="14">
        <v>1</v>
      </c>
      <c r="G96" s="14">
        <v>1</v>
      </c>
      <c r="H96" s="14">
        <v>3</v>
      </c>
      <c r="I96" s="14">
        <v>1</v>
      </c>
      <c r="J96" s="14">
        <v>3</v>
      </c>
      <c r="K96" s="14">
        <v>2</v>
      </c>
      <c r="L96" s="14">
        <v>2</v>
      </c>
      <c r="M96" s="14">
        <v>1</v>
      </c>
      <c r="N96" s="14">
        <v>1</v>
      </c>
      <c r="O96" s="14">
        <v>0</v>
      </c>
      <c r="P96" s="14">
        <v>0</v>
      </c>
      <c r="Q96" s="14">
        <v>2</v>
      </c>
      <c r="R96" s="14">
        <v>1</v>
      </c>
      <c r="S96" s="223">
        <v>3</v>
      </c>
      <c r="T96" s="14">
        <v>2</v>
      </c>
      <c r="U96" s="14">
        <v>1</v>
      </c>
      <c r="V96" s="14">
        <v>4</v>
      </c>
      <c r="W96" s="14">
        <v>2</v>
      </c>
      <c r="X96" s="14">
        <v>0</v>
      </c>
      <c r="Y96" s="14">
        <v>1</v>
      </c>
      <c r="Z96" s="14">
        <v>1</v>
      </c>
      <c r="AA96" s="14">
        <v>2</v>
      </c>
      <c r="AB96" s="14">
        <v>2</v>
      </c>
      <c r="AC96" s="14">
        <v>0</v>
      </c>
      <c r="AD96" s="14">
        <v>0</v>
      </c>
      <c r="AE96" s="14">
        <v>2</v>
      </c>
      <c r="AF96" s="214"/>
      <c r="AG96" s="15">
        <f t="shared" si="2"/>
        <v>52</v>
      </c>
    </row>
    <row r="97" spans="1:33" ht="15.75" customHeight="1" x14ac:dyDescent="0.25">
      <c r="A97" s="69" t="s">
        <v>59</v>
      </c>
      <c r="B97" s="13">
        <v>15</v>
      </c>
      <c r="C97" s="14">
        <v>10</v>
      </c>
      <c r="D97" s="14">
        <v>11</v>
      </c>
      <c r="E97" s="14">
        <v>14</v>
      </c>
      <c r="F97" s="14">
        <v>16</v>
      </c>
      <c r="G97" s="14">
        <v>15</v>
      </c>
      <c r="H97" s="14">
        <v>6</v>
      </c>
      <c r="I97" s="14">
        <v>4</v>
      </c>
      <c r="J97" s="14">
        <v>9</v>
      </c>
      <c r="K97" s="14">
        <v>6</v>
      </c>
      <c r="L97" s="14">
        <v>5</v>
      </c>
      <c r="M97" s="14">
        <v>4</v>
      </c>
      <c r="N97" s="14">
        <v>4</v>
      </c>
      <c r="O97" s="14">
        <v>10</v>
      </c>
      <c r="P97" s="14">
        <v>3</v>
      </c>
      <c r="Q97" s="14">
        <v>3</v>
      </c>
      <c r="R97" s="14">
        <v>6</v>
      </c>
      <c r="S97" s="14">
        <v>7</v>
      </c>
      <c r="T97" s="14">
        <v>4</v>
      </c>
      <c r="U97" s="14">
        <v>2</v>
      </c>
      <c r="V97" s="14">
        <v>9</v>
      </c>
      <c r="W97" s="14">
        <v>5</v>
      </c>
      <c r="X97" s="14">
        <v>3</v>
      </c>
      <c r="Y97" s="14">
        <v>4</v>
      </c>
      <c r="Z97" s="14">
        <v>3</v>
      </c>
      <c r="AA97" s="14">
        <v>7</v>
      </c>
      <c r="AB97" s="14">
        <v>6</v>
      </c>
      <c r="AC97" s="14">
        <v>5</v>
      </c>
      <c r="AD97" s="14">
        <v>6</v>
      </c>
      <c r="AE97" s="14">
        <v>2</v>
      </c>
      <c r="AF97" s="214"/>
      <c r="AG97" s="15">
        <f t="shared" si="2"/>
        <v>204</v>
      </c>
    </row>
    <row r="98" spans="1:33" ht="15.75" customHeight="1" x14ac:dyDescent="0.25">
      <c r="A98" s="70" t="s">
        <v>60</v>
      </c>
      <c r="B98" s="13">
        <v>18</v>
      </c>
      <c r="C98" s="14">
        <v>10</v>
      </c>
      <c r="D98" s="14">
        <v>8</v>
      </c>
      <c r="E98" s="14">
        <v>16</v>
      </c>
      <c r="F98" s="14">
        <v>24</v>
      </c>
      <c r="G98" s="14">
        <v>17</v>
      </c>
      <c r="H98" s="14">
        <v>12</v>
      </c>
      <c r="I98" s="14">
        <v>12</v>
      </c>
      <c r="J98" s="14">
        <v>10</v>
      </c>
      <c r="K98" s="14">
        <v>9</v>
      </c>
      <c r="L98" s="14">
        <v>11</v>
      </c>
      <c r="M98" s="14">
        <v>24</v>
      </c>
      <c r="N98" s="14">
        <v>22</v>
      </c>
      <c r="O98" s="14">
        <v>11</v>
      </c>
      <c r="P98" s="14">
        <v>18</v>
      </c>
      <c r="Q98" s="14">
        <v>16</v>
      </c>
      <c r="R98" s="14">
        <v>14</v>
      </c>
      <c r="S98" s="14">
        <v>12</v>
      </c>
      <c r="T98" s="14">
        <v>23</v>
      </c>
      <c r="U98" s="14">
        <v>13</v>
      </c>
      <c r="V98" s="14">
        <v>12</v>
      </c>
      <c r="W98" s="14">
        <v>11</v>
      </c>
      <c r="X98" s="14">
        <v>12</v>
      </c>
      <c r="Y98" s="14">
        <v>9</v>
      </c>
      <c r="Z98" s="14">
        <v>11</v>
      </c>
      <c r="AA98" s="14">
        <v>10</v>
      </c>
      <c r="AB98" s="14">
        <v>7</v>
      </c>
      <c r="AC98" s="14">
        <v>10</v>
      </c>
      <c r="AD98" s="14">
        <v>9</v>
      </c>
      <c r="AE98" s="14">
        <v>6</v>
      </c>
      <c r="AF98" s="214"/>
      <c r="AG98" s="15">
        <f t="shared" si="2"/>
        <v>397</v>
      </c>
    </row>
    <row r="99" spans="1:33" ht="15.75" customHeight="1" x14ac:dyDescent="0.25">
      <c r="A99" s="71" t="s">
        <v>61</v>
      </c>
      <c r="B99" s="13">
        <v>13</v>
      </c>
      <c r="C99" s="14">
        <v>11</v>
      </c>
      <c r="D99" s="14">
        <v>9</v>
      </c>
      <c r="E99" s="14">
        <v>15</v>
      </c>
      <c r="F99" s="14">
        <v>13</v>
      </c>
      <c r="G99" s="14">
        <v>13</v>
      </c>
      <c r="H99" s="14">
        <v>11</v>
      </c>
      <c r="I99" s="14">
        <v>10</v>
      </c>
      <c r="J99" s="14">
        <v>8</v>
      </c>
      <c r="K99" s="14">
        <v>10</v>
      </c>
      <c r="L99" s="14">
        <v>8</v>
      </c>
      <c r="M99" s="14">
        <v>19</v>
      </c>
      <c r="N99" s="14">
        <v>13</v>
      </c>
      <c r="O99" s="14">
        <v>11</v>
      </c>
      <c r="P99" s="14">
        <v>14</v>
      </c>
      <c r="Q99" s="14">
        <v>6</v>
      </c>
      <c r="R99" s="14">
        <v>10</v>
      </c>
      <c r="S99" s="14">
        <v>8</v>
      </c>
      <c r="T99" s="14">
        <v>20</v>
      </c>
      <c r="U99" s="14">
        <v>6</v>
      </c>
      <c r="V99" s="14">
        <v>10</v>
      </c>
      <c r="W99" s="14">
        <v>11</v>
      </c>
      <c r="X99" s="14">
        <v>6</v>
      </c>
      <c r="Y99" s="14">
        <v>4</v>
      </c>
      <c r="Z99" s="14">
        <v>6</v>
      </c>
      <c r="AA99" s="14">
        <v>10</v>
      </c>
      <c r="AB99" s="14">
        <v>8</v>
      </c>
      <c r="AC99" s="14">
        <v>6</v>
      </c>
      <c r="AD99" s="14">
        <v>4</v>
      </c>
      <c r="AE99" s="14">
        <v>2</v>
      </c>
      <c r="AF99" s="214"/>
      <c r="AG99" s="15">
        <f t="shared" si="2"/>
        <v>295</v>
      </c>
    </row>
    <row r="100" spans="1:33" ht="15.75" customHeight="1" x14ac:dyDescent="0.25">
      <c r="A100" s="64" t="s">
        <v>62</v>
      </c>
      <c r="B100" s="65">
        <f t="shared" ref="B100:AF100" si="14">SUM(B101:B115)</f>
        <v>149</v>
      </c>
      <c r="C100" s="66">
        <f t="shared" si="14"/>
        <v>135</v>
      </c>
      <c r="D100" s="66">
        <f t="shared" si="14"/>
        <v>156</v>
      </c>
      <c r="E100" s="66">
        <f t="shared" si="14"/>
        <v>139</v>
      </c>
      <c r="F100" s="66">
        <f t="shared" si="14"/>
        <v>160</v>
      </c>
      <c r="G100" s="66">
        <f t="shared" si="14"/>
        <v>178</v>
      </c>
      <c r="H100" s="66">
        <f t="shared" si="14"/>
        <v>154</v>
      </c>
      <c r="I100" s="66">
        <f t="shared" si="14"/>
        <v>129</v>
      </c>
      <c r="J100" s="66">
        <f t="shared" si="14"/>
        <v>156</v>
      </c>
      <c r="K100" s="66">
        <f t="shared" si="14"/>
        <v>111</v>
      </c>
      <c r="L100" s="66">
        <f t="shared" si="14"/>
        <v>131</v>
      </c>
      <c r="M100" s="66">
        <f t="shared" si="14"/>
        <v>155</v>
      </c>
      <c r="N100" s="66">
        <f t="shared" si="14"/>
        <v>140</v>
      </c>
      <c r="O100" s="66">
        <f t="shared" si="14"/>
        <v>154</v>
      </c>
      <c r="P100" s="66">
        <f t="shared" si="14"/>
        <v>153</v>
      </c>
      <c r="Q100" s="66">
        <f t="shared" si="14"/>
        <v>151</v>
      </c>
      <c r="R100" s="66">
        <f t="shared" si="14"/>
        <v>137</v>
      </c>
      <c r="S100" s="66">
        <f t="shared" si="14"/>
        <v>119</v>
      </c>
      <c r="T100" s="66">
        <f t="shared" si="14"/>
        <v>164</v>
      </c>
      <c r="U100" s="66">
        <f t="shared" si="14"/>
        <v>164</v>
      </c>
      <c r="V100" s="66">
        <f t="shared" si="14"/>
        <v>147</v>
      </c>
      <c r="W100" s="66">
        <f t="shared" si="14"/>
        <v>141</v>
      </c>
      <c r="X100" s="66">
        <f t="shared" si="14"/>
        <v>153</v>
      </c>
      <c r="Y100" s="66">
        <f t="shared" si="14"/>
        <v>113</v>
      </c>
      <c r="Z100" s="66">
        <f t="shared" si="14"/>
        <v>132</v>
      </c>
      <c r="AA100" s="66">
        <f t="shared" si="14"/>
        <v>135</v>
      </c>
      <c r="AB100" s="66">
        <f t="shared" si="14"/>
        <v>157</v>
      </c>
      <c r="AC100" s="66">
        <f t="shared" si="14"/>
        <v>119</v>
      </c>
      <c r="AD100" s="66">
        <f t="shared" si="14"/>
        <v>142</v>
      </c>
      <c r="AE100" s="66">
        <f t="shared" si="14"/>
        <v>153</v>
      </c>
      <c r="AF100" s="222">
        <f t="shared" si="14"/>
        <v>0</v>
      </c>
      <c r="AG100" s="15">
        <f t="shared" si="2"/>
        <v>4327</v>
      </c>
    </row>
    <row r="101" spans="1:33" ht="15.75" customHeight="1" x14ac:dyDescent="0.25">
      <c r="A101" s="71" t="s">
        <v>63</v>
      </c>
      <c r="B101" s="13">
        <v>23</v>
      </c>
      <c r="C101" s="14">
        <v>8</v>
      </c>
      <c r="D101" s="14">
        <v>11</v>
      </c>
      <c r="E101" s="14">
        <v>12</v>
      </c>
      <c r="F101" s="14">
        <v>21</v>
      </c>
      <c r="G101" s="14">
        <v>16</v>
      </c>
      <c r="H101" s="14">
        <v>18</v>
      </c>
      <c r="I101" s="14">
        <v>14</v>
      </c>
      <c r="J101" s="14">
        <v>10</v>
      </c>
      <c r="K101" s="14">
        <v>8</v>
      </c>
      <c r="L101" s="14">
        <v>10</v>
      </c>
      <c r="M101" s="14">
        <v>13</v>
      </c>
      <c r="N101" s="14">
        <v>16</v>
      </c>
      <c r="O101" s="14">
        <v>19</v>
      </c>
      <c r="P101" s="14">
        <v>10</v>
      </c>
      <c r="Q101" s="14">
        <v>13</v>
      </c>
      <c r="R101" s="14">
        <v>16</v>
      </c>
      <c r="S101" s="14">
        <v>14</v>
      </c>
      <c r="T101" s="14">
        <v>16</v>
      </c>
      <c r="U101" s="14">
        <v>13</v>
      </c>
      <c r="V101" s="14">
        <v>9</v>
      </c>
      <c r="W101" s="14">
        <v>6</v>
      </c>
      <c r="X101" s="14">
        <v>16</v>
      </c>
      <c r="Y101" s="14">
        <v>7</v>
      </c>
      <c r="Z101" s="14">
        <v>5</v>
      </c>
      <c r="AA101" s="14">
        <v>8</v>
      </c>
      <c r="AB101" s="14">
        <v>11</v>
      </c>
      <c r="AC101" s="14">
        <v>10</v>
      </c>
      <c r="AD101" s="14">
        <v>10</v>
      </c>
      <c r="AE101" s="14">
        <v>7</v>
      </c>
      <c r="AF101" s="214"/>
      <c r="AG101" s="15">
        <f t="shared" si="2"/>
        <v>370</v>
      </c>
    </row>
    <row r="102" spans="1:33" ht="15.75" customHeight="1" x14ac:dyDescent="0.25">
      <c r="A102" s="71" t="s">
        <v>64</v>
      </c>
      <c r="B102" s="13">
        <v>12</v>
      </c>
      <c r="C102" s="14">
        <v>9</v>
      </c>
      <c r="D102" s="14">
        <v>9</v>
      </c>
      <c r="E102" s="14">
        <v>12</v>
      </c>
      <c r="F102" s="14">
        <v>17</v>
      </c>
      <c r="G102" s="14">
        <v>25</v>
      </c>
      <c r="H102" s="14">
        <v>15</v>
      </c>
      <c r="I102" s="14">
        <v>10</v>
      </c>
      <c r="J102" s="14">
        <v>12</v>
      </c>
      <c r="K102" s="14">
        <v>8</v>
      </c>
      <c r="L102" s="14">
        <v>15</v>
      </c>
      <c r="M102" s="14">
        <v>21</v>
      </c>
      <c r="N102" s="14">
        <v>23</v>
      </c>
      <c r="O102" s="14">
        <v>14</v>
      </c>
      <c r="P102" s="14">
        <v>16</v>
      </c>
      <c r="Q102" s="14">
        <v>10</v>
      </c>
      <c r="R102" s="14">
        <v>7</v>
      </c>
      <c r="S102" s="14">
        <v>7</v>
      </c>
      <c r="T102" s="14">
        <v>22</v>
      </c>
      <c r="U102" s="14">
        <v>17</v>
      </c>
      <c r="V102" s="14">
        <v>6</v>
      </c>
      <c r="W102" s="14">
        <v>16</v>
      </c>
      <c r="X102" s="14">
        <v>21</v>
      </c>
      <c r="Y102" s="14">
        <v>7</v>
      </c>
      <c r="Z102" s="14">
        <v>9</v>
      </c>
      <c r="AA102" s="14">
        <v>18</v>
      </c>
      <c r="AB102" s="14">
        <v>10</v>
      </c>
      <c r="AC102" s="14">
        <v>9</v>
      </c>
      <c r="AD102" s="14">
        <v>5</v>
      </c>
      <c r="AE102" s="14">
        <v>15</v>
      </c>
      <c r="AF102" s="214"/>
      <c r="AG102" s="15">
        <f t="shared" si="2"/>
        <v>397</v>
      </c>
    </row>
    <row r="103" spans="1:33" ht="15.75" customHeight="1" x14ac:dyDescent="0.25">
      <c r="A103" s="67" t="s">
        <v>65</v>
      </c>
      <c r="B103" s="13">
        <v>12</v>
      </c>
      <c r="C103" s="14">
        <v>11</v>
      </c>
      <c r="D103" s="14">
        <v>13</v>
      </c>
      <c r="E103" s="14">
        <v>14</v>
      </c>
      <c r="F103" s="14">
        <v>15</v>
      </c>
      <c r="G103" s="14">
        <v>16</v>
      </c>
      <c r="H103" s="14">
        <v>21</v>
      </c>
      <c r="I103" s="14">
        <v>13</v>
      </c>
      <c r="J103" s="14">
        <v>17</v>
      </c>
      <c r="K103" s="14">
        <v>11</v>
      </c>
      <c r="L103" s="14">
        <v>11</v>
      </c>
      <c r="M103" s="14">
        <v>13</v>
      </c>
      <c r="N103" s="14">
        <v>13</v>
      </c>
      <c r="O103" s="14">
        <v>13</v>
      </c>
      <c r="P103" s="14">
        <v>10</v>
      </c>
      <c r="Q103" s="14">
        <v>12</v>
      </c>
      <c r="R103" s="14">
        <v>18</v>
      </c>
      <c r="S103" s="14">
        <v>6</v>
      </c>
      <c r="T103" s="14">
        <v>16</v>
      </c>
      <c r="U103" s="14">
        <v>15</v>
      </c>
      <c r="V103" s="14">
        <v>19</v>
      </c>
      <c r="W103" s="14">
        <v>6</v>
      </c>
      <c r="X103" s="14">
        <v>13</v>
      </c>
      <c r="Y103" s="14">
        <v>8</v>
      </c>
      <c r="Z103" s="14">
        <v>14</v>
      </c>
      <c r="AA103" s="14">
        <v>12</v>
      </c>
      <c r="AB103" s="14">
        <v>12</v>
      </c>
      <c r="AC103" s="14">
        <v>17</v>
      </c>
      <c r="AD103" s="14">
        <v>12</v>
      </c>
      <c r="AE103" s="14">
        <v>18</v>
      </c>
      <c r="AF103" s="214"/>
      <c r="AG103" s="15">
        <f t="shared" si="2"/>
        <v>401</v>
      </c>
    </row>
    <row r="104" spans="1:33" ht="15.75" customHeight="1" x14ac:dyDescent="0.25">
      <c r="A104" s="67" t="s">
        <v>66</v>
      </c>
      <c r="B104" s="13">
        <v>13</v>
      </c>
      <c r="C104" s="14">
        <v>12</v>
      </c>
      <c r="D104" s="14">
        <v>15</v>
      </c>
      <c r="E104" s="14">
        <v>12</v>
      </c>
      <c r="F104" s="14">
        <v>13</v>
      </c>
      <c r="G104" s="14">
        <v>16</v>
      </c>
      <c r="H104" s="14">
        <v>10</v>
      </c>
      <c r="I104" s="14">
        <v>15</v>
      </c>
      <c r="J104" s="14">
        <v>11</v>
      </c>
      <c r="K104" s="14">
        <v>13</v>
      </c>
      <c r="L104" s="14">
        <v>18</v>
      </c>
      <c r="M104" s="14">
        <v>8</v>
      </c>
      <c r="N104" s="14">
        <v>11</v>
      </c>
      <c r="O104" s="14">
        <v>19</v>
      </c>
      <c r="P104" s="14">
        <v>9</v>
      </c>
      <c r="Q104" s="14">
        <v>16</v>
      </c>
      <c r="R104" s="14">
        <v>14</v>
      </c>
      <c r="S104" s="14">
        <v>14</v>
      </c>
      <c r="T104" s="14">
        <v>13</v>
      </c>
      <c r="U104" s="14">
        <v>15</v>
      </c>
      <c r="V104" s="14">
        <v>11</v>
      </c>
      <c r="W104" s="14">
        <v>16</v>
      </c>
      <c r="X104" s="14">
        <v>10</v>
      </c>
      <c r="Y104" s="14">
        <v>9</v>
      </c>
      <c r="Z104" s="14">
        <v>12</v>
      </c>
      <c r="AA104" s="14">
        <v>6</v>
      </c>
      <c r="AB104" s="14">
        <v>15</v>
      </c>
      <c r="AC104" s="14">
        <v>12</v>
      </c>
      <c r="AD104" s="14">
        <v>13</v>
      </c>
      <c r="AE104" s="14">
        <v>9</v>
      </c>
      <c r="AF104" s="214"/>
      <c r="AG104" s="15">
        <f t="shared" si="2"/>
        <v>380</v>
      </c>
    </row>
    <row r="105" spans="1:33" ht="15.75" customHeight="1" x14ac:dyDescent="0.25">
      <c r="A105" s="67" t="s">
        <v>67</v>
      </c>
      <c r="B105" s="13">
        <v>13</v>
      </c>
      <c r="C105" s="14">
        <v>10</v>
      </c>
      <c r="D105" s="14">
        <v>12</v>
      </c>
      <c r="E105" s="14">
        <v>14</v>
      </c>
      <c r="F105" s="14">
        <v>12</v>
      </c>
      <c r="G105" s="14">
        <v>18</v>
      </c>
      <c r="H105" s="14">
        <v>14</v>
      </c>
      <c r="I105" s="14">
        <v>12</v>
      </c>
      <c r="J105" s="14">
        <v>14</v>
      </c>
      <c r="K105" s="14">
        <v>11</v>
      </c>
      <c r="L105" s="14">
        <v>10</v>
      </c>
      <c r="M105" s="14">
        <v>12</v>
      </c>
      <c r="N105" s="14">
        <v>8</v>
      </c>
      <c r="O105" s="14">
        <v>5</v>
      </c>
      <c r="P105" s="14">
        <v>10</v>
      </c>
      <c r="Q105" s="14">
        <v>5</v>
      </c>
      <c r="R105" s="14">
        <v>10</v>
      </c>
      <c r="S105" s="14">
        <v>11</v>
      </c>
      <c r="T105" s="14">
        <v>11</v>
      </c>
      <c r="U105" s="14">
        <v>11</v>
      </c>
      <c r="V105" s="14">
        <v>18</v>
      </c>
      <c r="W105" s="14">
        <v>13</v>
      </c>
      <c r="X105" s="14">
        <v>11</v>
      </c>
      <c r="Y105" s="14">
        <v>8</v>
      </c>
      <c r="Z105" s="14">
        <v>15</v>
      </c>
      <c r="AA105" s="14">
        <v>7</v>
      </c>
      <c r="AB105" s="14">
        <v>10</v>
      </c>
      <c r="AC105" s="14">
        <v>9</v>
      </c>
      <c r="AD105" s="14">
        <v>17</v>
      </c>
      <c r="AE105" s="14">
        <v>12</v>
      </c>
      <c r="AF105" s="214"/>
      <c r="AG105" s="15">
        <f t="shared" si="2"/>
        <v>343</v>
      </c>
    </row>
    <row r="106" spans="1:33" ht="15.75" customHeight="1" x14ac:dyDescent="0.25">
      <c r="A106" s="67" t="s">
        <v>68</v>
      </c>
      <c r="B106" s="13">
        <v>12</v>
      </c>
      <c r="C106" s="14">
        <v>17</v>
      </c>
      <c r="D106" s="14">
        <v>6</v>
      </c>
      <c r="E106" s="14">
        <v>7</v>
      </c>
      <c r="F106" s="14">
        <v>10</v>
      </c>
      <c r="G106" s="14">
        <v>9</v>
      </c>
      <c r="H106" s="14">
        <v>15</v>
      </c>
      <c r="I106" s="14">
        <v>14</v>
      </c>
      <c r="J106" s="14">
        <v>11</v>
      </c>
      <c r="K106" s="14">
        <v>9</v>
      </c>
      <c r="L106" s="14">
        <v>12</v>
      </c>
      <c r="M106" s="14">
        <v>10</v>
      </c>
      <c r="N106" s="14">
        <v>10</v>
      </c>
      <c r="O106" s="14">
        <v>18</v>
      </c>
      <c r="P106" s="14">
        <v>14</v>
      </c>
      <c r="Q106" s="14">
        <v>9</v>
      </c>
      <c r="R106" s="14">
        <v>7</v>
      </c>
      <c r="S106" s="14">
        <v>7</v>
      </c>
      <c r="T106" s="14">
        <v>10</v>
      </c>
      <c r="U106" s="14">
        <v>13</v>
      </c>
      <c r="V106" s="14">
        <v>5</v>
      </c>
      <c r="W106" s="14">
        <v>11</v>
      </c>
      <c r="X106" s="14">
        <v>5</v>
      </c>
      <c r="Y106" s="14">
        <v>9</v>
      </c>
      <c r="Z106" s="14">
        <v>9</v>
      </c>
      <c r="AA106" s="14">
        <v>15</v>
      </c>
      <c r="AB106" s="14">
        <v>15</v>
      </c>
      <c r="AC106" s="14">
        <v>4</v>
      </c>
      <c r="AD106" s="14">
        <v>16</v>
      </c>
      <c r="AE106" s="14">
        <v>6</v>
      </c>
      <c r="AF106" s="214"/>
      <c r="AG106" s="15">
        <f t="shared" si="2"/>
        <v>315</v>
      </c>
    </row>
    <row r="107" spans="1:33" ht="15.75" customHeight="1" x14ac:dyDescent="0.25">
      <c r="A107" s="67" t="s">
        <v>69</v>
      </c>
      <c r="B107" s="13">
        <v>9</v>
      </c>
      <c r="C107" s="14">
        <v>10</v>
      </c>
      <c r="D107" s="14">
        <v>16</v>
      </c>
      <c r="E107" s="14">
        <v>19</v>
      </c>
      <c r="F107" s="14">
        <v>8</v>
      </c>
      <c r="G107" s="14">
        <v>13</v>
      </c>
      <c r="H107" s="14">
        <v>3</v>
      </c>
      <c r="I107" s="14">
        <v>6</v>
      </c>
      <c r="J107" s="14">
        <v>11</v>
      </c>
      <c r="K107" s="14">
        <v>6</v>
      </c>
      <c r="L107" s="14">
        <v>6</v>
      </c>
      <c r="M107" s="14">
        <v>10</v>
      </c>
      <c r="N107" s="14">
        <v>13</v>
      </c>
      <c r="O107" s="14">
        <v>13</v>
      </c>
      <c r="P107" s="14">
        <v>20</v>
      </c>
      <c r="Q107" s="14">
        <v>10</v>
      </c>
      <c r="R107" s="14">
        <v>8</v>
      </c>
      <c r="S107" s="14">
        <v>13</v>
      </c>
      <c r="T107" s="14">
        <v>18</v>
      </c>
      <c r="U107" s="14">
        <v>5</v>
      </c>
      <c r="V107" s="14">
        <v>11</v>
      </c>
      <c r="W107" s="14">
        <v>12</v>
      </c>
      <c r="X107" s="14">
        <v>14</v>
      </c>
      <c r="Y107" s="14">
        <v>9</v>
      </c>
      <c r="Z107" s="14">
        <v>9</v>
      </c>
      <c r="AA107" s="14">
        <v>12</v>
      </c>
      <c r="AB107" s="14">
        <v>9</v>
      </c>
      <c r="AC107" s="14">
        <v>17</v>
      </c>
      <c r="AD107" s="14">
        <v>10</v>
      </c>
      <c r="AE107" s="14">
        <v>9</v>
      </c>
      <c r="AF107" s="214"/>
      <c r="AG107" s="15">
        <f t="shared" si="2"/>
        <v>329</v>
      </c>
    </row>
    <row r="108" spans="1:33" ht="15.75" customHeight="1" x14ac:dyDescent="0.25">
      <c r="A108" s="67" t="s">
        <v>70</v>
      </c>
      <c r="B108" s="13">
        <v>12</v>
      </c>
      <c r="C108" s="14">
        <v>13</v>
      </c>
      <c r="D108" s="14">
        <v>19</v>
      </c>
      <c r="E108" s="14">
        <v>7</v>
      </c>
      <c r="F108" s="14">
        <v>20</v>
      </c>
      <c r="G108" s="14">
        <v>17</v>
      </c>
      <c r="H108" s="14">
        <v>9</v>
      </c>
      <c r="I108" s="14">
        <v>12</v>
      </c>
      <c r="J108" s="14">
        <v>14</v>
      </c>
      <c r="K108" s="14">
        <v>7</v>
      </c>
      <c r="L108" s="14">
        <v>8</v>
      </c>
      <c r="M108" s="14">
        <v>18</v>
      </c>
      <c r="N108" s="14">
        <v>14</v>
      </c>
      <c r="O108" s="14">
        <v>5</v>
      </c>
      <c r="P108" s="14">
        <v>11</v>
      </c>
      <c r="Q108" s="14">
        <v>16</v>
      </c>
      <c r="R108" s="14">
        <v>14</v>
      </c>
      <c r="S108" s="14">
        <v>16</v>
      </c>
      <c r="T108" s="14">
        <v>14</v>
      </c>
      <c r="U108" s="14">
        <v>19</v>
      </c>
      <c r="V108" s="14">
        <v>8</v>
      </c>
      <c r="W108" s="14">
        <v>14</v>
      </c>
      <c r="X108" s="14">
        <v>11</v>
      </c>
      <c r="Y108" s="14">
        <v>9</v>
      </c>
      <c r="Z108" s="14">
        <v>8</v>
      </c>
      <c r="AA108" s="14">
        <v>10</v>
      </c>
      <c r="AB108" s="14">
        <v>13</v>
      </c>
      <c r="AC108" s="14">
        <v>8</v>
      </c>
      <c r="AD108" s="14">
        <v>8</v>
      </c>
      <c r="AE108" s="14">
        <v>16</v>
      </c>
      <c r="AF108" s="214"/>
      <c r="AG108" s="15">
        <f t="shared" si="2"/>
        <v>370</v>
      </c>
    </row>
    <row r="109" spans="1:33" ht="15.75" customHeight="1" x14ac:dyDescent="0.25">
      <c r="A109" s="67" t="s">
        <v>71</v>
      </c>
      <c r="B109" s="13">
        <v>8</v>
      </c>
      <c r="C109" s="14">
        <v>5</v>
      </c>
      <c r="D109" s="14">
        <v>19</v>
      </c>
      <c r="E109" s="14">
        <v>8</v>
      </c>
      <c r="F109" s="14">
        <v>8</v>
      </c>
      <c r="G109" s="14">
        <v>17</v>
      </c>
      <c r="H109" s="14">
        <v>13</v>
      </c>
      <c r="I109" s="14">
        <v>5</v>
      </c>
      <c r="J109" s="14">
        <v>13</v>
      </c>
      <c r="K109" s="14">
        <v>7</v>
      </c>
      <c r="L109" s="14">
        <v>10</v>
      </c>
      <c r="M109" s="14">
        <v>10</v>
      </c>
      <c r="N109" s="14">
        <v>6</v>
      </c>
      <c r="O109" s="14">
        <v>6</v>
      </c>
      <c r="P109" s="14">
        <v>13</v>
      </c>
      <c r="Q109" s="14">
        <v>10</v>
      </c>
      <c r="R109" s="14">
        <v>14</v>
      </c>
      <c r="S109" s="14">
        <v>10</v>
      </c>
      <c r="T109" s="14">
        <v>8</v>
      </c>
      <c r="U109" s="14">
        <v>20</v>
      </c>
      <c r="V109" s="14">
        <v>14</v>
      </c>
      <c r="W109" s="14">
        <v>13</v>
      </c>
      <c r="X109" s="14">
        <v>17</v>
      </c>
      <c r="Y109" s="14">
        <v>11</v>
      </c>
      <c r="Z109" s="14">
        <v>11</v>
      </c>
      <c r="AA109" s="14">
        <v>6</v>
      </c>
      <c r="AB109" s="14">
        <v>11</v>
      </c>
      <c r="AC109" s="14">
        <v>6</v>
      </c>
      <c r="AD109" s="14">
        <v>17</v>
      </c>
      <c r="AE109" s="14">
        <v>14</v>
      </c>
      <c r="AF109" s="214"/>
      <c r="AG109" s="15">
        <f t="shared" si="2"/>
        <v>330</v>
      </c>
    </row>
    <row r="110" spans="1:33" ht="15.75" customHeight="1" x14ac:dyDescent="0.25">
      <c r="A110" s="67" t="s">
        <v>72</v>
      </c>
      <c r="B110" s="13">
        <v>10</v>
      </c>
      <c r="C110" s="14">
        <v>7</v>
      </c>
      <c r="D110" s="14">
        <v>7</v>
      </c>
      <c r="E110" s="14">
        <v>7</v>
      </c>
      <c r="F110" s="14">
        <v>13</v>
      </c>
      <c r="G110" s="14">
        <v>9</v>
      </c>
      <c r="H110" s="14">
        <v>10</v>
      </c>
      <c r="I110" s="14">
        <v>6</v>
      </c>
      <c r="J110" s="14">
        <v>8</v>
      </c>
      <c r="K110" s="14">
        <v>6</v>
      </c>
      <c r="L110" s="14">
        <v>10</v>
      </c>
      <c r="M110" s="14">
        <v>12</v>
      </c>
      <c r="N110" s="14">
        <v>4</v>
      </c>
      <c r="O110" s="14">
        <v>12</v>
      </c>
      <c r="P110" s="14">
        <v>14</v>
      </c>
      <c r="Q110" s="14">
        <v>14</v>
      </c>
      <c r="R110" s="14">
        <v>8</v>
      </c>
      <c r="S110" s="14">
        <v>2</v>
      </c>
      <c r="T110" s="14">
        <v>13</v>
      </c>
      <c r="U110" s="14">
        <v>8</v>
      </c>
      <c r="V110" s="14">
        <v>12</v>
      </c>
      <c r="W110" s="14">
        <v>14</v>
      </c>
      <c r="X110" s="14">
        <v>9</v>
      </c>
      <c r="Y110" s="14">
        <v>8</v>
      </c>
      <c r="Z110" s="14">
        <v>5</v>
      </c>
      <c r="AA110" s="14">
        <v>14</v>
      </c>
      <c r="AB110" s="14">
        <v>15</v>
      </c>
      <c r="AC110" s="14">
        <v>13</v>
      </c>
      <c r="AD110" s="14">
        <v>11</v>
      </c>
      <c r="AE110" s="14">
        <v>10</v>
      </c>
      <c r="AF110" s="214"/>
      <c r="AG110" s="15">
        <f t="shared" si="2"/>
        <v>291</v>
      </c>
    </row>
    <row r="111" spans="1:33" ht="15.75" customHeight="1" x14ac:dyDescent="0.25">
      <c r="A111" s="67" t="s">
        <v>73</v>
      </c>
      <c r="B111" s="13">
        <v>9</v>
      </c>
      <c r="C111" s="14">
        <v>11</v>
      </c>
      <c r="D111" s="14">
        <v>5</v>
      </c>
      <c r="E111" s="14">
        <v>11</v>
      </c>
      <c r="F111" s="14">
        <v>7</v>
      </c>
      <c r="G111" s="14">
        <v>9</v>
      </c>
      <c r="H111" s="14">
        <v>8</v>
      </c>
      <c r="I111" s="14">
        <v>4</v>
      </c>
      <c r="J111" s="14">
        <v>8</v>
      </c>
      <c r="K111" s="14">
        <v>9</v>
      </c>
      <c r="L111" s="14">
        <v>5</v>
      </c>
      <c r="M111" s="14">
        <v>6</v>
      </c>
      <c r="N111" s="14">
        <v>9</v>
      </c>
      <c r="O111" s="14">
        <v>7</v>
      </c>
      <c r="P111" s="14">
        <v>6</v>
      </c>
      <c r="Q111" s="14">
        <v>11</v>
      </c>
      <c r="R111" s="14">
        <v>8</v>
      </c>
      <c r="S111" s="14">
        <v>4</v>
      </c>
      <c r="T111" s="14">
        <v>9</v>
      </c>
      <c r="U111" s="14">
        <v>6</v>
      </c>
      <c r="V111" s="14">
        <v>13</v>
      </c>
      <c r="W111" s="14">
        <v>3</v>
      </c>
      <c r="X111" s="14">
        <v>8</v>
      </c>
      <c r="Y111" s="14">
        <v>10</v>
      </c>
      <c r="Z111" s="14">
        <v>10</v>
      </c>
      <c r="AA111" s="14">
        <v>10</v>
      </c>
      <c r="AB111" s="14">
        <v>11</v>
      </c>
      <c r="AC111" s="14">
        <v>3</v>
      </c>
      <c r="AD111" s="14">
        <v>4</v>
      </c>
      <c r="AE111" s="14">
        <v>9</v>
      </c>
      <c r="AF111" s="214"/>
      <c r="AG111" s="15">
        <f t="shared" si="2"/>
        <v>233</v>
      </c>
    </row>
    <row r="112" spans="1:33" ht="15.75" customHeight="1" x14ac:dyDescent="0.25">
      <c r="A112" s="67" t="s">
        <v>74</v>
      </c>
      <c r="B112" s="13">
        <v>5</v>
      </c>
      <c r="C112" s="14">
        <v>6</v>
      </c>
      <c r="D112" s="14">
        <v>7</v>
      </c>
      <c r="E112" s="14">
        <v>4</v>
      </c>
      <c r="F112" s="14">
        <v>6</v>
      </c>
      <c r="G112" s="14">
        <v>7</v>
      </c>
      <c r="H112" s="14">
        <v>4</v>
      </c>
      <c r="I112" s="14">
        <v>8</v>
      </c>
      <c r="J112" s="14">
        <v>11</v>
      </c>
      <c r="K112" s="14">
        <v>7</v>
      </c>
      <c r="L112" s="14">
        <v>5</v>
      </c>
      <c r="M112" s="14">
        <v>7</v>
      </c>
      <c r="N112" s="14">
        <v>4</v>
      </c>
      <c r="O112" s="14">
        <v>3</v>
      </c>
      <c r="P112" s="14">
        <v>6</v>
      </c>
      <c r="Q112" s="14">
        <v>11</v>
      </c>
      <c r="R112" s="14">
        <v>2</v>
      </c>
      <c r="S112" s="14">
        <v>4</v>
      </c>
      <c r="T112" s="14">
        <v>1</v>
      </c>
      <c r="U112" s="14">
        <v>7</v>
      </c>
      <c r="V112" s="14">
        <v>6</v>
      </c>
      <c r="W112" s="14">
        <v>5</v>
      </c>
      <c r="X112" s="14">
        <v>6</v>
      </c>
      <c r="Y112" s="14">
        <v>7</v>
      </c>
      <c r="Z112" s="14">
        <v>7</v>
      </c>
      <c r="AA112" s="14">
        <v>3</v>
      </c>
      <c r="AB112" s="14">
        <v>5</v>
      </c>
      <c r="AC112" s="14">
        <v>2</v>
      </c>
      <c r="AD112" s="14">
        <v>4</v>
      </c>
      <c r="AE112" s="14">
        <v>8</v>
      </c>
      <c r="AF112" s="214"/>
      <c r="AG112" s="15">
        <f t="shared" si="2"/>
        <v>168</v>
      </c>
    </row>
    <row r="113" spans="1:33" ht="15.75" customHeight="1" x14ac:dyDescent="0.25">
      <c r="A113" s="67" t="s">
        <v>75</v>
      </c>
      <c r="B113" s="13">
        <v>1</v>
      </c>
      <c r="C113" s="14">
        <v>9</v>
      </c>
      <c r="D113" s="14">
        <v>6</v>
      </c>
      <c r="E113" s="14">
        <v>6</v>
      </c>
      <c r="F113" s="14">
        <v>7</v>
      </c>
      <c r="G113" s="14">
        <v>5</v>
      </c>
      <c r="H113" s="14">
        <v>4</v>
      </c>
      <c r="I113" s="14">
        <v>9</v>
      </c>
      <c r="J113" s="14">
        <v>4</v>
      </c>
      <c r="K113" s="14">
        <v>3</v>
      </c>
      <c r="L113" s="14">
        <v>6</v>
      </c>
      <c r="M113" s="14">
        <v>8</v>
      </c>
      <c r="N113" s="14">
        <v>4</v>
      </c>
      <c r="O113" s="14">
        <v>11</v>
      </c>
      <c r="P113" s="14">
        <v>5</v>
      </c>
      <c r="Q113" s="14">
        <v>5</v>
      </c>
      <c r="R113" s="14">
        <v>9</v>
      </c>
      <c r="S113" s="14">
        <v>3</v>
      </c>
      <c r="T113" s="14">
        <v>8</v>
      </c>
      <c r="U113" s="14">
        <v>7</v>
      </c>
      <c r="V113" s="14">
        <v>7</v>
      </c>
      <c r="W113" s="14">
        <v>5</v>
      </c>
      <c r="X113" s="14">
        <v>8</v>
      </c>
      <c r="Y113" s="14">
        <v>4</v>
      </c>
      <c r="Z113" s="14">
        <v>8</v>
      </c>
      <c r="AA113" s="14">
        <v>8</v>
      </c>
      <c r="AB113" s="14">
        <v>13</v>
      </c>
      <c r="AC113" s="14">
        <v>5</v>
      </c>
      <c r="AD113" s="14">
        <v>5</v>
      </c>
      <c r="AE113" s="14">
        <v>10</v>
      </c>
      <c r="AF113" s="214"/>
      <c r="AG113" s="15">
        <f t="shared" si="2"/>
        <v>193</v>
      </c>
    </row>
    <row r="114" spans="1:33" ht="15.75" customHeight="1" x14ac:dyDescent="0.25">
      <c r="A114" s="67" t="s">
        <v>76</v>
      </c>
      <c r="B114" s="13">
        <v>10</v>
      </c>
      <c r="C114" s="14">
        <v>7</v>
      </c>
      <c r="D114" s="14">
        <v>11</v>
      </c>
      <c r="E114" s="14">
        <v>6</v>
      </c>
      <c r="F114" s="14">
        <v>3</v>
      </c>
      <c r="G114" s="14">
        <v>1</v>
      </c>
      <c r="H114" s="14">
        <v>10</v>
      </c>
      <c r="I114" s="14">
        <v>1</v>
      </c>
      <c r="J114" s="14">
        <v>12</v>
      </c>
      <c r="K114" s="14">
        <v>6</v>
      </c>
      <c r="L114" s="14">
        <v>5</v>
      </c>
      <c r="M114" s="14">
        <v>7</v>
      </c>
      <c r="N114" s="14">
        <v>5</v>
      </c>
      <c r="O114" s="14">
        <v>9</v>
      </c>
      <c r="P114" s="14">
        <v>9</v>
      </c>
      <c r="Q114" s="14">
        <v>9</v>
      </c>
      <c r="R114" s="14">
        <v>2</v>
      </c>
      <c r="S114" s="14">
        <v>8</v>
      </c>
      <c r="T114" s="14">
        <v>5</v>
      </c>
      <c r="U114" s="14">
        <v>8</v>
      </c>
      <c r="V114" s="14">
        <v>8</v>
      </c>
      <c r="W114" s="14">
        <v>7</v>
      </c>
      <c r="X114" s="14">
        <v>4</v>
      </c>
      <c r="Y114" s="14">
        <v>7</v>
      </c>
      <c r="Z114" s="14">
        <v>10</v>
      </c>
      <c r="AA114" s="14">
        <v>6</v>
      </c>
      <c r="AB114" s="14">
        <v>7</v>
      </c>
      <c r="AC114" s="14">
        <v>4</v>
      </c>
      <c r="AD114" s="14">
        <v>10</v>
      </c>
      <c r="AE114" s="14">
        <v>10</v>
      </c>
      <c r="AF114" s="214"/>
      <c r="AG114" s="15">
        <f t="shared" si="2"/>
        <v>207</v>
      </c>
    </row>
    <row r="115" spans="1:33" ht="15.75" customHeight="1" thickBot="1" x14ac:dyDescent="0.3">
      <c r="A115" s="72"/>
      <c r="B115" s="37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224"/>
      <c r="AG115" s="15">
        <f t="shared" si="2"/>
        <v>0</v>
      </c>
    </row>
    <row r="116" spans="1:33" ht="15.75" customHeight="1" x14ac:dyDescent="0.25">
      <c r="A116" s="60" t="s">
        <v>77</v>
      </c>
      <c r="B116" s="61">
        <f t="shared" ref="B116:AF116" si="15">SUM(B117:B129)</f>
        <v>70</v>
      </c>
      <c r="C116" s="62">
        <f t="shared" si="15"/>
        <v>60</v>
      </c>
      <c r="D116" s="62">
        <f t="shared" si="15"/>
        <v>61</v>
      </c>
      <c r="E116" s="62">
        <f t="shared" si="15"/>
        <v>75</v>
      </c>
      <c r="F116" s="62">
        <f t="shared" si="15"/>
        <v>77</v>
      </c>
      <c r="G116" s="62">
        <f t="shared" si="15"/>
        <v>85</v>
      </c>
      <c r="H116" s="62">
        <f t="shared" si="15"/>
        <v>72</v>
      </c>
      <c r="I116" s="62">
        <f t="shared" si="15"/>
        <v>42</v>
      </c>
      <c r="J116" s="62">
        <f t="shared" si="15"/>
        <v>79</v>
      </c>
      <c r="K116" s="62">
        <f t="shared" si="15"/>
        <v>41</v>
      </c>
      <c r="L116" s="62">
        <f t="shared" si="15"/>
        <v>53</v>
      </c>
      <c r="M116" s="62">
        <f t="shared" si="15"/>
        <v>74</v>
      </c>
      <c r="N116" s="62">
        <f t="shared" si="15"/>
        <v>60</v>
      </c>
      <c r="O116" s="62">
        <f t="shared" si="15"/>
        <v>57</v>
      </c>
      <c r="P116" s="62">
        <f t="shared" si="15"/>
        <v>54</v>
      </c>
      <c r="Q116" s="62">
        <f t="shared" si="15"/>
        <v>70</v>
      </c>
      <c r="R116" s="62">
        <f t="shared" si="15"/>
        <v>46</v>
      </c>
      <c r="S116" s="62">
        <f t="shared" si="15"/>
        <v>35</v>
      </c>
      <c r="T116" s="62">
        <f t="shared" si="15"/>
        <v>87</v>
      </c>
      <c r="U116" s="62">
        <f t="shared" si="15"/>
        <v>70</v>
      </c>
      <c r="V116" s="62">
        <f t="shared" si="15"/>
        <v>64</v>
      </c>
      <c r="W116" s="62">
        <f t="shared" si="15"/>
        <v>65</v>
      </c>
      <c r="X116" s="62">
        <f t="shared" si="15"/>
        <v>49</v>
      </c>
      <c r="Y116" s="62">
        <f t="shared" si="15"/>
        <v>32</v>
      </c>
      <c r="Z116" s="62">
        <f t="shared" si="15"/>
        <v>23</v>
      </c>
      <c r="AA116" s="62">
        <f t="shared" si="15"/>
        <v>31</v>
      </c>
      <c r="AB116" s="62">
        <f t="shared" si="15"/>
        <v>69</v>
      </c>
      <c r="AC116" s="62">
        <f t="shared" si="15"/>
        <v>50</v>
      </c>
      <c r="AD116" s="62">
        <f t="shared" si="15"/>
        <v>47</v>
      </c>
      <c r="AE116" s="62">
        <f t="shared" si="15"/>
        <v>63</v>
      </c>
      <c r="AF116" s="221">
        <f t="shared" si="15"/>
        <v>0</v>
      </c>
      <c r="AG116" s="15">
        <f t="shared" si="2"/>
        <v>1761</v>
      </c>
    </row>
    <row r="117" spans="1:33" ht="15.75" customHeight="1" x14ac:dyDescent="0.25">
      <c r="A117" s="73" t="s">
        <v>78</v>
      </c>
      <c r="B117" s="13">
        <v>49</v>
      </c>
      <c r="C117" s="14">
        <v>43</v>
      </c>
      <c r="D117" s="14">
        <v>50</v>
      </c>
      <c r="E117" s="14">
        <v>47</v>
      </c>
      <c r="F117" s="14">
        <v>64</v>
      </c>
      <c r="G117" s="14">
        <v>72</v>
      </c>
      <c r="H117" s="14">
        <v>54</v>
      </c>
      <c r="I117" s="14">
        <v>32</v>
      </c>
      <c r="J117" s="14">
        <v>66</v>
      </c>
      <c r="K117" s="14">
        <v>32</v>
      </c>
      <c r="L117" s="14">
        <v>40</v>
      </c>
      <c r="M117" s="14">
        <v>66</v>
      </c>
      <c r="N117" s="14">
        <v>44</v>
      </c>
      <c r="O117" s="14">
        <v>44</v>
      </c>
      <c r="P117" s="14">
        <v>46</v>
      </c>
      <c r="Q117" s="14">
        <v>52</v>
      </c>
      <c r="R117" s="14">
        <v>41</v>
      </c>
      <c r="S117" s="14">
        <v>25</v>
      </c>
      <c r="T117" s="14">
        <v>66</v>
      </c>
      <c r="U117" s="14">
        <v>57</v>
      </c>
      <c r="V117" s="14">
        <v>46</v>
      </c>
      <c r="W117" s="14">
        <v>57</v>
      </c>
      <c r="X117" s="14">
        <v>34</v>
      </c>
      <c r="Y117" s="14">
        <v>28</v>
      </c>
      <c r="Z117" s="14">
        <v>17</v>
      </c>
      <c r="AA117" s="14">
        <v>21</v>
      </c>
      <c r="AB117" s="14">
        <v>53</v>
      </c>
      <c r="AC117" s="14">
        <v>43</v>
      </c>
      <c r="AD117" s="14">
        <v>38</v>
      </c>
      <c r="AE117" s="14">
        <v>48</v>
      </c>
      <c r="AF117" s="214"/>
      <c r="AG117" s="15">
        <f t="shared" si="2"/>
        <v>1375</v>
      </c>
    </row>
    <row r="118" spans="1:33" ht="19.5" hidden="1" customHeight="1" x14ac:dyDescent="0.25">
      <c r="A118" s="73" t="s">
        <v>79</v>
      </c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214"/>
      <c r="AG118" s="15">
        <f t="shared" si="2"/>
        <v>0</v>
      </c>
    </row>
    <row r="119" spans="1:33" ht="19.5" hidden="1" customHeight="1" x14ac:dyDescent="0.25">
      <c r="A119" s="73" t="s">
        <v>80</v>
      </c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214"/>
      <c r="AG119" s="15">
        <f t="shared" si="2"/>
        <v>0</v>
      </c>
    </row>
    <row r="120" spans="1:33" ht="19.5" hidden="1" customHeight="1" x14ac:dyDescent="0.25">
      <c r="A120" s="73" t="s">
        <v>81</v>
      </c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214"/>
      <c r="AG120" s="15">
        <f t="shared" si="2"/>
        <v>0</v>
      </c>
    </row>
    <row r="121" spans="1:33" ht="19.5" hidden="1" customHeight="1" x14ac:dyDescent="0.25">
      <c r="A121" s="73" t="s">
        <v>82</v>
      </c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214"/>
      <c r="AG121" s="15">
        <f t="shared" si="2"/>
        <v>0</v>
      </c>
    </row>
    <row r="122" spans="1:33" ht="19.5" hidden="1" customHeight="1" x14ac:dyDescent="0.25">
      <c r="A122" s="73" t="s">
        <v>83</v>
      </c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214"/>
      <c r="AG122" s="15">
        <f t="shared" si="2"/>
        <v>0</v>
      </c>
    </row>
    <row r="123" spans="1:33" ht="19.5" hidden="1" customHeight="1" x14ac:dyDescent="0.25">
      <c r="A123" s="73" t="s">
        <v>84</v>
      </c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214"/>
      <c r="AG123" s="15">
        <f t="shared" si="2"/>
        <v>0</v>
      </c>
    </row>
    <row r="124" spans="1:33" ht="19.5" hidden="1" customHeight="1" x14ac:dyDescent="0.25">
      <c r="A124" s="73" t="s">
        <v>85</v>
      </c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214"/>
      <c r="AG124" s="15">
        <f t="shared" si="2"/>
        <v>0</v>
      </c>
    </row>
    <row r="125" spans="1:33" ht="19.5" hidden="1" customHeight="1" x14ac:dyDescent="0.25">
      <c r="A125" s="12" t="s">
        <v>86</v>
      </c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214"/>
      <c r="AG125" s="15">
        <f t="shared" si="2"/>
        <v>0</v>
      </c>
    </row>
    <row r="126" spans="1:33" ht="19.5" hidden="1" customHeight="1" x14ac:dyDescent="0.25">
      <c r="A126" s="12" t="s">
        <v>87</v>
      </c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214"/>
      <c r="AG126" s="15">
        <f t="shared" si="2"/>
        <v>0</v>
      </c>
    </row>
    <row r="127" spans="1:33" ht="19.5" hidden="1" customHeight="1" x14ac:dyDescent="0.25">
      <c r="A127" s="12" t="s">
        <v>88</v>
      </c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214"/>
      <c r="AG127" s="15">
        <f t="shared" si="2"/>
        <v>0</v>
      </c>
    </row>
    <row r="128" spans="1:33" ht="19.5" hidden="1" customHeight="1" x14ac:dyDescent="0.25">
      <c r="A128" s="73" t="s">
        <v>89</v>
      </c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214"/>
      <c r="AG128" s="15">
        <f t="shared" si="2"/>
        <v>0</v>
      </c>
    </row>
    <row r="129" spans="1:35" ht="15.75" customHeight="1" thickBot="1" x14ac:dyDescent="0.3">
      <c r="A129" s="74" t="s">
        <v>90</v>
      </c>
      <c r="B129" s="75">
        <v>21</v>
      </c>
      <c r="C129" s="76">
        <v>17</v>
      </c>
      <c r="D129" s="76">
        <v>11</v>
      </c>
      <c r="E129" s="76">
        <v>28</v>
      </c>
      <c r="F129" s="76">
        <v>13</v>
      </c>
      <c r="G129" s="76">
        <v>13</v>
      </c>
      <c r="H129" s="76">
        <v>18</v>
      </c>
      <c r="I129" s="76">
        <v>10</v>
      </c>
      <c r="J129" s="76">
        <v>13</v>
      </c>
      <c r="K129" s="76">
        <v>9</v>
      </c>
      <c r="L129" s="76">
        <v>13</v>
      </c>
      <c r="M129" s="76">
        <v>8</v>
      </c>
      <c r="N129" s="76">
        <v>16</v>
      </c>
      <c r="O129" s="76">
        <v>13</v>
      </c>
      <c r="P129" s="76">
        <v>8</v>
      </c>
      <c r="Q129" s="76">
        <v>18</v>
      </c>
      <c r="R129" s="76">
        <v>5</v>
      </c>
      <c r="S129" s="76">
        <v>10</v>
      </c>
      <c r="T129" s="76">
        <v>21</v>
      </c>
      <c r="U129" s="76">
        <v>13</v>
      </c>
      <c r="V129" s="76">
        <v>18</v>
      </c>
      <c r="W129" s="76">
        <v>8</v>
      </c>
      <c r="X129" s="76">
        <v>15</v>
      </c>
      <c r="Y129" s="76">
        <v>4</v>
      </c>
      <c r="Z129" s="76">
        <v>6</v>
      </c>
      <c r="AA129" s="76">
        <v>10</v>
      </c>
      <c r="AB129" s="76">
        <v>16</v>
      </c>
      <c r="AC129" s="76">
        <v>7</v>
      </c>
      <c r="AD129" s="76">
        <v>9</v>
      </c>
      <c r="AE129" s="76">
        <v>15</v>
      </c>
      <c r="AF129" s="225"/>
      <c r="AG129" s="15">
        <f t="shared" si="2"/>
        <v>386</v>
      </c>
    </row>
    <row r="130" spans="1:35" ht="15.75" customHeight="1" x14ac:dyDescent="0.25">
      <c r="A130" s="60" t="s">
        <v>91</v>
      </c>
      <c r="B130" s="61">
        <f t="shared" ref="B130:AF130" si="16">SUM(B131:B143)</f>
        <v>203</v>
      </c>
      <c r="C130" s="62">
        <f t="shared" si="16"/>
        <v>167</v>
      </c>
      <c r="D130" s="62">
        <f t="shared" si="16"/>
        <v>189</v>
      </c>
      <c r="E130" s="62">
        <f t="shared" si="16"/>
        <v>195</v>
      </c>
      <c r="F130" s="62">
        <f t="shared" si="16"/>
        <v>214</v>
      </c>
      <c r="G130" s="62">
        <f t="shared" si="16"/>
        <v>224</v>
      </c>
      <c r="H130" s="62">
        <f t="shared" si="16"/>
        <v>188</v>
      </c>
      <c r="I130" s="62">
        <f t="shared" si="16"/>
        <v>158</v>
      </c>
      <c r="J130" s="62">
        <f t="shared" si="16"/>
        <v>187</v>
      </c>
      <c r="K130" s="62">
        <f t="shared" si="16"/>
        <v>139</v>
      </c>
      <c r="L130" s="62">
        <f t="shared" si="16"/>
        <v>158</v>
      </c>
      <c r="M130" s="62">
        <f t="shared" si="16"/>
        <v>204</v>
      </c>
      <c r="N130" s="62">
        <f t="shared" si="16"/>
        <v>182</v>
      </c>
      <c r="O130" s="62">
        <f t="shared" si="16"/>
        <v>187</v>
      </c>
      <c r="P130" s="62">
        <f t="shared" si="16"/>
        <v>189</v>
      </c>
      <c r="Q130" s="62">
        <f t="shared" si="16"/>
        <v>180</v>
      </c>
      <c r="R130" s="62">
        <f t="shared" si="16"/>
        <v>169</v>
      </c>
      <c r="S130" s="62">
        <f t="shared" si="16"/>
        <v>149</v>
      </c>
      <c r="T130" s="62">
        <f t="shared" si="16"/>
        <v>213</v>
      </c>
      <c r="U130" s="62">
        <f t="shared" si="16"/>
        <v>186</v>
      </c>
      <c r="V130" s="62">
        <f t="shared" si="16"/>
        <v>182</v>
      </c>
      <c r="W130" s="62">
        <f t="shared" si="16"/>
        <v>173</v>
      </c>
      <c r="X130" s="62">
        <f t="shared" si="16"/>
        <v>175</v>
      </c>
      <c r="Y130" s="62">
        <f t="shared" si="16"/>
        <v>132</v>
      </c>
      <c r="Z130" s="62">
        <f t="shared" si="16"/>
        <v>154</v>
      </c>
      <c r="AA130" s="62">
        <f t="shared" si="16"/>
        <v>164</v>
      </c>
      <c r="AB130" s="62">
        <f t="shared" si="16"/>
        <v>181</v>
      </c>
      <c r="AC130" s="62">
        <f t="shared" si="16"/>
        <v>142</v>
      </c>
      <c r="AD130" s="62">
        <f t="shared" si="16"/>
        <v>161</v>
      </c>
      <c r="AE130" s="62">
        <f t="shared" si="16"/>
        <v>165</v>
      </c>
      <c r="AF130" s="221">
        <f t="shared" si="16"/>
        <v>0</v>
      </c>
      <c r="AG130" s="22">
        <f t="shared" si="2"/>
        <v>5310</v>
      </c>
      <c r="AH130" s="77" t="str">
        <f>IF(AG130&lt;&gt;AG93,"*","")</f>
        <v/>
      </c>
    </row>
    <row r="131" spans="1:35" ht="15.75" customHeight="1" x14ac:dyDescent="0.25">
      <c r="A131" s="73" t="s">
        <v>78</v>
      </c>
      <c r="B131" s="13">
        <v>41</v>
      </c>
      <c r="C131" s="14">
        <v>38</v>
      </c>
      <c r="D131" s="14">
        <v>49</v>
      </c>
      <c r="E131" s="14">
        <v>47</v>
      </c>
      <c r="F131" s="14">
        <v>47</v>
      </c>
      <c r="G131" s="14">
        <v>58</v>
      </c>
      <c r="H131" s="14">
        <v>48</v>
      </c>
      <c r="I131" s="14">
        <v>31</v>
      </c>
      <c r="J131" s="14">
        <v>64</v>
      </c>
      <c r="K131" s="14">
        <v>31</v>
      </c>
      <c r="L131" s="14">
        <v>38</v>
      </c>
      <c r="M131" s="14">
        <v>49</v>
      </c>
      <c r="N131" s="14">
        <v>43</v>
      </c>
      <c r="O131" s="14">
        <v>37</v>
      </c>
      <c r="P131" s="14">
        <v>45</v>
      </c>
      <c r="Q131" s="14">
        <v>47</v>
      </c>
      <c r="R131" s="14">
        <v>41</v>
      </c>
      <c r="S131" s="14">
        <v>25</v>
      </c>
      <c r="T131" s="14">
        <v>59</v>
      </c>
      <c r="U131" s="14">
        <v>49</v>
      </c>
      <c r="V131" s="14">
        <v>46</v>
      </c>
      <c r="W131" s="14">
        <v>54</v>
      </c>
      <c r="X131" s="14">
        <v>31</v>
      </c>
      <c r="Y131" s="14">
        <v>25</v>
      </c>
      <c r="Z131" s="14">
        <v>17</v>
      </c>
      <c r="AA131" s="14">
        <v>20</v>
      </c>
      <c r="AB131" s="14">
        <v>42</v>
      </c>
      <c r="AC131" s="14">
        <v>33</v>
      </c>
      <c r="AD131" s="14">
        <v>35</v>
      </c>
      <c r="AE131" s="14">
        <v>45</v>
      </c>
      <c r="AF131" s="214"/>
      <c r="AG131" s="15">
        <f t="shared" si="2"/>
        <v>1235</v>
      </c>
    </row>
    <row r="132" spans="1:35" ht="15.75" customHeight="1" x14ac:dyDescent="0.25">
      <c r="A132" s="73" t="s">
        <v>79</v>
      </c>
      <c r="B132" s="13">
        <v>13</v>
      </c>
      <c r="C132" s="14">
        <v>8</v>
      </c>
      <c r="D132" s="14">
        <v>7</v>
      </c>
      <c r="E132" s="14">
        <v>6</v>
      </c>
      <c r="F132" s="14">
        <v>18</v>
      </c>
      <c r="G132" s="14">
        <v>13</v>
      </c>
      <c r="H132" s="14">
        <v>6</v>
      </c>
      <c r="I132" s="14">
        <v>7</v>
      </c>
      <c r="J132" s="14">
        <v>8</v>
      </c>
      <c r="K132" s="14">
        <v>6</v>
      </c>
      <c r="L132" s="14">
        <v>5</v>
      </c>
      <c r="M132" s="14">
        <v>14</v>
      </c>
      <c r="N132" s="14">
        <v>1</v>
      </c>
      <c r="O132" s="14">
        <v>7</v>
      </c>
      <c r="P132" s="14">
        <v>5</v>
      </c>
      <c r="Q132" s="14">
        <v>6</v>
      </c>
      <c r="R132" s="14">
        <v>5</v>
      </c>
      <c r="S132" s="14">
        <v>5</v>
      </c>
      <c r="T132" s="14">
        <v>9</v>
      </c>
      <c r="U132" s="14">
        <v>8</v>
      </c>
      <c r="V132" s="14">
        <v>7</v>
      </c>
      <c r="W132" s="14">
        <v>10</v>
      </c>
      <c r="X132" s="14">
        <v>5</v>
      </c>
      <c r="Y132" s="14">
        <v>4</v>
      </c>
      <c r="Z132" s="14">
        <v>2</v>
      </c>
      <c r="AA132" s="14">
        <v>7</v>
      </c>
      <c r="AB132" s="14">
        <v>5</v>
      </c>
      <c r="AC132" s="14">
        <v>5</v>
      </c>
      <c r="AD132" s="14">
        <v>7</v>
      </c>
      <c r="AE132" s="14">
        <v>8</v>
      </c>
      <c r="AF132" s="214"/>
      <c r="AG132" s="15">
        <f t="shared" si="2"/>
        <v>217</v>
      </c>
    </row>
    <row r="133" spans="1:35" ht="15.75" customHeight="1" x14ac:dyDescent="0.25">
      <c r="A133" s="73" t="s">
        <v>80</v>
      </c>
      <c r="B133" s="13">
        <v>9</v>
      </c>
      <c r="C133" s="14">
        <v>13</v>
      </c>
      <c r="D133" s="14">
        <v>7</v>
      </c>
      <c r="E133" s="14">
        <v>10</v>
      </c>
      <c r="F133" s="14">
        <v>8</v>
      </c>
      <c r="G133" s="14">
        <v>14</v>
      </c>
      <c r="H133" s="14">
        <v>13</v>
      </c>
      <c r="I133" s="14">
        <v>10</v>
      </c>
      <c r="J133" s="14">
        <v>6</v>
      </c>
      <c r="K133" s="14">
        <v>6</v>
      </c>
      <c r="L133" s="14">
        <v>4</v>
      </c>
      <c r="M133" s="14">
        <v>11</v>
      </c>
      <c r="N133" s="14">
        <v>9</v>
      </c>
      <c r="O133" s="14">
        <v>7</v>
      </c>
      <c r="P133" s="14">
        <v>15</v>
      </c>
      <c r="Q133" s="14">
        <v>9</v>
      </c>
      <c r="R133" s="14">
        <v>6</v>
      </c>
      <c r="S133" s="14">
        <v>9</v>
      </c>
      <c r="T133" s="14">
        <v>11</v>
      </c>
      <c r="U133" s="14">
        <v>12</v>
      </c>
      <c r="V133" s="14">
        <v>9</v>
      </c>
      <c r="W133" s="14">
        <v>6</v>
      </c>
      <c r="X133" s="14">
        <v>8</v>
      </c>
      <c r="Y133" s="14">
        <v>3</v>
      </c>
      <c r="Z133" s="14">
        <v>3</v>
      </c>
      <c r="AA133" s="14">
        <v>6</v>
      </c>
      <c r="AB133" s="14">
        <v>4</v>
      </c>
      <c r="AC133" s="14">
        <v>9</v>
      </c>
      <c r="AD133" s="14">
        <v>8</v>
      </c>
      <c r="AE133" s="14">
        <v>3</v>
      </c>
      <c r="AF133" s="214"/>
      <c r="AG133" s="15">
        <f t="shared" si="2"/>
        <v>248</v>
      </c>
    </row>
    <row r="134" spans="1:35" ht="15.75" customHeight="1" x14ac:dyDescent="0.25">
      <c r="A134" s="73" t="s">
        <v>81</v>
      </c>
      <c r="B134" s="13">
        <v>13</v>
      </c>
      <c r="C134" s="14">
        <v>7</v>
      </c>
      <c r="D134" s="14">
        <v>10</v>
      </c>
      <c r="E134" s="14">
        <v>9</v>
      </c>
      <c r="F134" s="14">
        <v>11</v>
      </c>
      <c r="G134" s="14">
        <v>15</v>
      </c>
      <c r="H134" s="14">
        <v>7</v>
      </c>
      <c r="I134" s="14">
        <v>9</v>
      </c>
      <c r="J134" s="14">
        <v>9</v>
      </c>
      <c r="K134" s="14">
        <v>8</v>
      </c>
      <c r="L134" s="14">
        <v>7</v>
      </c>
      <c r="M134" s="14">
        <v>5</v>
      </c>
      <c r="N134" s="14">
        <v>6</v>
      </c>
      <c r="O134" s="14">
        <v>6</v>
      </c>
      <c r="P134" s="14">
        <v>5</v>
      </c>
      <c r="Q134" s="14">
        <v>10</v>
      </c>
      <c r="R134" s="14">
        <v>7</v>
      </c>
      <c r="S134" s="14">
        <v>7</v>
      </c>
      <c r="T134" s="14">
        <v>8</v>
      </c>
      <c r="U134" s="14">
        <v>8</v>
      </c>
      <c r="V134" s="14">
        <v>16</v>
      </c>
      <c r="W134" s="14">
        <v>9</v>
      </c>
      <c r="X134" s="14">
        <v>5</v>
      </c>
      <c r="Y134" s="14">
        <v>7</v>
      </c>
      <c r="Z134" s="14">
        <v>4</v>
      </c>
      <c r="AA134" s="14">
        <v>6</v>
      </c>
      <c r="AB134" s="14">
        <v>15</v>
      </c>
      <c r="AC134" s="14">
        <v>10</v>
      </c>
      <c r="AD134" s="14">
        <v>6</v>
      </c>
      <c r="AE134" s="14">
        <v>6</v>
      </c>
      <c r="AF134" s="214"/>
      <c r="AG134" s="15">
        <f t="shared" si="2"/>
        <v>251</v>
      </c>
    </row>
    <row r="135" spans="1:35" ht="15.75" customHeight="1" x14ac:dyDescent="0.25">
      <c r="A135" s="73" t="s">
        <v>82</v>
      </c>
      <c r="B135" s="13">
        <v>15</v>
      </c>
      <c r="C135" s="14">
        <v>8</v>
      </c>
      <c r="D135" s="14">
        <v>9</v>
      </c>
      <c r="E135" s="14">
        <v>10</v>
      </c>
      <c r="F135" s="14">
        <v>16</v>
      </c>
      <c r="G135" s="14">
        <v>17</v>
      </c>
      <c r="H135" s="14">
        <v>12</v>
      </c>
      <c r="I135" s="14">
        <v>16</v>
      </c>
      <c r="J135" s="14">
        <v>9</v>
      </c>
      <c r="K135" s="14">
        <v>7</v>
      </c>
      <c r="L135" s="14">
        <v>14</v>
      </c>
      <c r="M135" s="14">
        <v>16</v>
      </c>
      <c r="N135" s="14">
        <v>7</v>
      </c>
      <c r="O135" s="14">
        <v>8</v>
      </c>
      <c r="P135" s="14">
        <v>12</v>
      </c>
      <c r="Q135" s="14">
        <v>5</v>
      </c>
      <c r="R135" s="14">
        <v>9</v>
      </c>
      <c r="S135" s="14">
        <v>9</v>
      </c>
      <c r="T135" s="14">
        <v>12</v>
      </c>
      <c r="U135" s="14">
        <v>10</v>
      </c>
      <c r="V135" s="14">
        <v>5</v>
      </c>
      <c r="W135" s="14">
        <v>13</v>
      </c>
      <c r="X135" s="14">
        <v>12</v>
      </c>
      <c r="Y135" s="14">
        <v>6</v>
      </c>
      <c r="Z135" s="14">
        <v>1</v>
      </c>
      <c r="AA135" s="14">
        <v>15</v>
      </c>
      <c r="AB135" s="14">
        <v>6</v>
      </c>
      <c r="AC135" s="14">
        <v>10</v>
      </c>
      <c r="AD135" s="14">
        <v>12</v>
      </c>
      <c r="AE135" s="14">
        <v>9</v>
      </c>
      <c r="AF135" s="214"/>
      <c r="AG135" s="15">
        <f t="shared" si="2"/>
        <v>310</v>
      </c>
    </row>
    <row r="136" spans="1:35" ht="15.75" customHeight="1" x14ac:dyDescent="0.25">
      <c r="A136" s="73" t="s">
        <v>83</v>
      </c>
      <c r="B136" s="13">
        <v>72</v>
      </c>
      <c r="C136" s="14">
        <v>63</v>
      </c>
      <c r="D136" s="14">
        <v>84</v>
      </c>
      <c r="E136" s="14">
        <v>63</v>
      </c>
      <c r="F136" s="14">
        <v>75</v>
      </c>
      <c r="G136" s="14">
        <v>75</v>
      </c>
      <c r="H136" s="14">
        <v>71</v>
      </c>
      <c r="I136" s="14">
        <v>59</v>
      </c>
      <c r="J136" s="14">
        <v>66</v>
      </c>
      <c r="K136" s="14">
        <v>65</v>
      </c>
      <c r="L136" s="14">
        <v>68</v>
      </c>
      <c r="M136" s="14">
        <v>83</v>
      </c>
      <c r="N136" s="14">
        <v>77</v>
      </c>
      <c r="O136" s="14">
        <v>83</v>
      </c>
      <c r="P136" s="14">
        <v>69</v>
      </c>
      <c r="Q136" s="14">
        <v>63</v>
      </c>
      <c r="R136" s="14">
        <v>86</v>
      </c>
      <c r="S136" s="14">
        <v>68</v>
      </c>
      <c r="T136" s="14">
        <v>68</v>
      </c>
      <c r="U136" s="14">
        <v>69</v>
      </c>
      <c r="V136" s="14">
        <v>67</v>
      </c>
      <c r="W136" s="14">
        <v>57</v>
      </c>
      <c r="X136" s="14">
        <v>85</v>
      </c>
      <c r="Y136" s="14">
        <v>76</v>
      </c>
      <c r="Z136" s="14">
        <v>108</v>
      </c>
      <c r="AA136" s="14">
        <v>92</v>
      </c>
      <c r="AB136" s="14">
        <v>77</v>
      </c>
      <c r="AC136" s="14">
        <v>55</v>
      </c>
      <c r="AD136" s="14">
        <v>72</v>
      </c>
      <c r="AE136" s="14">
        <v>69</v>
      </c>
      <c r="AF136" s="214"/>
      <c r="AG136" s="15">
        <f t="shared" si="2"/>
        <v>2185</v>
      </c>
    </row>
    <row r="137" spans="1:35" ht="15.75" customHeight="1" x14ac:dyDescent="0.25">
      <c r="A137" s="73" t="s">
        <v>84</v>
      </c>
      <c r="B137" s="13">
        <v>5</v>
      </c>
      <c r="C137" s="14">
        <v>4</v>
      </c>
      <c r="D137" s="14">
        <v>2</v>
      </c>
      <c r="E137" s="14">
        <v>2</v>
      </c>
      <c r="F137" s="14">
        <v>9</v>
      </c>
      <c r="G137" s="14">
        <v>9</v>
      </c>
      <c r="H137" s="14">
        <v>3</v>
      </c>
      <c r="I137" s="14">
        <v>3</v>
      </c>
      <c r="J137" s="14">
        <v>0</v>
      </c>
      <c r="K137" s="14">
        <v>0</v>
      </c>
      <c r="L137" s="14">
        <v>2</v>
      </c>
      <c r="M137" s="14">
        <v>6</v>
      </c>
      <c r="N137" s="14">
        <v>4</v>
      </c>
      <c r="O137" s="14">
        <v>6</v>
      </c>
      <c r="P137" s="14">
        <v>10</v>
      </c>
      <c r="Q137" s="14">
        <v>3</v>
      </c>
      <c r="R137" s="14">
        <v>5</v>
      </c>
      <c r="S137" s="14">
        <v>3</v>
      </c>
      <c r="T137" s="14">
        <v>3</v>
      </c>
      <c r="U137" s="14">
        <v>3</v>
      </c>
      <c r="V137" s="14">
        <v>4</v>
      </c>
      <c r="W137" s="14">
        <v>2</v>
      </c>
      <c r="X137" s="14">
        <v>3</v>
      </c>
      <c r="Y137" s="14">
        <v>1</v>
      </c>
      <c r="Z137" s="14">
        <v>1</v>
      </c>
      <c r="AA137" s="14">
        <v>2</v>
      </c>
      <c r="AB137" s="14">
        <v>2</v>
      </c>
      <c r="AC137" s="14">
        <v>1</v>
      </c>
      <c r="AD137" s="14">
        <v>4</v>
      </c>
      <c r="AE137" s="14">
        <v>2</v>
      </c>
      <c r="AF137" s="214"/>
      <c r="AG137" s="15">
        <f t="shared" si="2"/>
        <v>104</v>
      </c>
    </row>
    <row r="138" spans="1:35" ht="15.75" customHeight="1" x14ac:dyDescent="0.25">
      <c r="A138" s="73" t="s">
        <v>85</v>
      </c>
      <c r="B138" s="13">
        <v>2</v>
      </c>
      <c r="C138" s="14">
        <v>1</v>
      </c>
      <c r="D138" s="14">
        <v>1</v>
      </c>
      <c r="E138" s="14">
        <v>2</v>
      </c>
      <c r="F138" s="14">
        <v>4</v>
      </c>
      <c r="G138" s="14">
        <v>4</v>
      </c>
      <c r="H138" s="14">
        <v>1</v>
      </c>
      <c r="I138" s="14">
        <v>2</v>
      </c>
      <c r="J138" s="14">
        <v>1</v>
      </c>
      <c r="K138" s="14">
        <v>1</v>
      </c>
      <c r="L138" s="14">
        <v>2</v>
      </c>
      <c r="M138" s="14">
        <v>3</v>
      </c>
      <c r="N138" s="14">
        <v>3</v>
      </c>
      <c r="O138" s="14">
        <v>4</v>
      </c>
      <c r="P138" s="14">
        <v>4</v>
      </c>
      <c r="Q138" s="14">
        <v>3</v>
      </c>
      <c r="R138" s="14">
        <v>2</v>
      </c>
      <c r="S138" s="14">
        <v>4</v>
      </c>
      <c r="T138" s="14">
        <v>4</v>
      </c>
      <c r="U138" s="14">
        <v>2</v>
      </c>
      <c r="V138" s="14">
        <v>0</v>
      </c>
      <c r="W138" s="14">
        <v>1</v>
      </c>
      <c r="X138" s="14">
        <v>1</v>
      </c>
      <c r="Y138" s="14">
        <v>0</v>
      </c>
      <c r="Z138" s="14">
        <v>0</v>
      </c>
      <c r="AA138" s="14">
        <v>1</v>
      </c>
      <c r="AB138" s="14">
        <v>1</v>
      </c>
      <c r="AC138" s="14">
        <v>0</v>
      </c>
      <c r="AD138" s="14">
        <v>0</v>
      </c>
      <c r="AE138" s="14">
        <v>0</v>
      </c>
      <c r="AF138" s="214"/>
      <c r="AG138" s="15">
        <f t="shared" si="2"/>
        <v>54</v>
      </c>
    </row>
    <row r="139" spans="1:35" ht="15.75" customHeight="1" x14ac:dyDescent="0.25">
      <c r="A139" s="12" t="s">
        <v>86</v>
      </c>
      <c r="B139" s="13">
        <v>5</v>
      </c>
      <c r="C139" s="14">
        <v>3</v>
      </c>
      <c r="D139" s="14">
        <v>5</v>
      </c>
      <c r="E139" s="14">
        <v>4</v>
      </c>
      <c r="F139" s="14">
        <v>3</v>
      </c>
      <c r="G139" s="14">
        <v>1</v>
      </c>
      <c r="H139" s="14">
        <v>1</v>
      </c>
      <c r="I139" s="14">
        <v>2</v>
      </c>
      <c r="J139" s="14">
        <v>4</v>
      </c>
      <c r="K139" s="14">
        <v>2</v>
      </c>
      <c r="L139" s="14">
        <v>0</v>
      </c>
      <c r="M139" s="14">
        <v>3</v>
      </c>
      <c r="N139" s="14">
        <v>2</v>
      </c>
      <c r="O139" s="14">
        <v>5</v>
      </c>
      <c r="P139" s="14">
        <v>4</v>
      </c>
      <c r="Q139" s="14">
        <v>6</v>
      </c>
      <c r="R139" s="14">
        <v>0</v>
      </c>
      <c r="S139" s="14">
        <v>3</v>
      </c>
      <c r="T139" s="14">
        <v>0</v>
      </c>
      <c r="U139" s="14">
        <v>4</v>
      </c>
      <c r="V139" s="14">
        <v>2</v>
      </c>
      <c r="W139" s="14">
        <v>1</v>
      </c>
      <c r="X139" s="14">
        <v>3</v>
      </c>
      <c r="Y139" s="14">
        <v>1</v>
      </c>
      <c r="Z139" s="14">
        <v>3</v>
      </c>
      <c r="AA139" s="14">
        <v>0</v>
      </c>
      <c r="AB139" s="14">
        <v>3</v>
      </c>
      <c r="AC139" s="14">
        <v>0</v>
      </c>
      <c r="AD139" s="14">
        <v>2</v>
      </c>
      <c r="AE139" s="14">
        <v>1</v>
      </c>
      <c r="AF139" s="214"/>
      <c r="AG139" s="15">
        <f t="shared" si="2"/>
        <v>73</v>
      </c>
    </row>
    <row r="140" spans="1:35" ht="15.75" customHeight="1" x14ac:dyDescent="0.25">
      <c r="A140" s="12" t="s">
        <v>87</v>
      </c>
      <c r="B140" s="13">
        <v>2</v>
      </c>
      <c r="C140" s="14">
        <v>2</v>
      </c>
      <c r="D140" s="14">
        <v>0</v>
      </c>
      <c r="E140" s="14">
        <v>2</v>
      </c>
      <c r="F140" s="14">
        <v>3</v>
      </c>
      <c r="G140" s="14">
        <v>0</v>
      </c>
      <c r="H140" s="14">
        <v>5</v>
      </c>
      <c r="I140" s="14">
        <v>1</v>
      </c>
      <c r="J140" s="14">
        <v>3</v>
      </c>
      <c r="K140" s="14">
        <v>0</v>
      </c>
      <c r="L140" s="14">
        <v>1</v>
      </c>
      <c r="M140" s="14">
        <v>0</v>
      </c>
      <c r="N140" s="14">
        <v>1</v>
      </c>
      <c r="O140" s="14">
        <v>0</v>
      </c>
      <c r="P140" s="14">
        <v>2</v>
      </c>
      <c r="Q140" s="14">
        <v>3</v>
      </c>
      <c r="R140" s="14">
        <v>2</v>
      </c>
      <c r="S140" s="14">
        <v>1</v>
      </c>
      <c r="T140" s="14">
        <v>4</v>
      </c>
      <c r="U140" s="14">
        <v>0</v>
      </c>
      <c r="V140" s="14">
        <v>0</v>
      </c>
      <c r="W140" s="14">
        <v>4</v>
      </c>
      <c r="X140" s="14">
        <v>1</v>
      </c>
      <c r="Y140" s="14">
        <v>0</v>
      </c>
      <c r="Z140" s="14">
        <v>1</v>
      </c>
      <c r="AA140" s="14">
        <v>2</v>
      </c>
      <c r="AB140" s="14">
        <v>0</v>
      </c>
      <c r="AC140" s="14">
        <v>2</v>
      </c>
      <c r="AD140" s="14">
        <v>0</v>
      </c>
      <c r="AE140" s="14">
        <v>1</v>
      </c>
      <c r="AF140" s="214"/>
      <c r="AG140" s="15">
        <f t="shared" si="2"/>
        <v>43</v>
      </c>
    </row>
    <row r="141" spans="1:35" ht="15.75" customHeight="1" x14ac:dyDescent="0.25">
      <c r="A141" s="12" t="s">
        <v>88</v>
      </c>
      <c r="B141" s="13">
        <v>0</v>
      </c>
      <c r="C141" s="14">
        <v>0</v>
      </c>
      <c r="D141" s="14">
        <v>0</v>
      </c>
      <c r="E141" s="14">
        <v>1</v>
      </c>
      <c r="F141" s="14">
        <v>0</v>
      </c>
      <c r="G141" s="14">
        <v>1</v>
      </c>
      <c r="H141" s="14">
        <v>0</v>
      </c>
      <c r="I141" s="14">
        <v>0</v>
      </c>
      <c r="J141" s="14">
        <v>1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1</v>
      </c>
      <c r="Q141" s="14">
        <v>0</v>
      </c>
      <c r="R141" s="14">
        <v>0</v>
      </c>
      <c r="S141" s="14">
        <v>0</v>
      </c>
      <c r="T141" s="14">
        <v>1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2</v>
      </c>
      <c r="AF141" s="214"/>
      <c r="AG141" s="15">
        <f t="shared" si="2"/>
        <v>7</v>
      </c>
    </row>
    <row r="142" spans="1:35" ht="15.75" customHeight="1" x14ac:dyDescent="0.25">
      <c r="A142" s="73" t="s">
        <v>89</v>
      </c>
      <c r="B142" s="13">
        <v>7</v>
      </c>
      <c r="C142" s="14">
        <v>7</v>
      </c>
      <c r="D142" s="14">
        <v>4</v>
      </c>
      <c r="E142" s="14">
        <v>11</v>
      </c>
      <c r="F142" s="14">
        <v>10</v>
      </c>
      <c r="G142" s="14">
        <v>8</v>
      </c>
      <c r="H142" s="14">
        <v>5</v>
      </c>
      <c r="I142" s="14">
        <v>9</v>
      </c>
      <c r="J142" s="14">
        <v>3</v>
      </c>
      <c r="K142" s="14">
        <v>4</v>
      </c>
      <c r="L142" s="14">
        <v>4</v>
      </c>
      <c r="M142" s="14">
        <v>7</v>
      </c>
      <c r="N142" s="14">
        <v>14</v>
      </c>
      <c r="O142" s="14">
        <v>12</v>
      </c>
      <c r="P142" s="14">
        <v>9</v>
      </c>
      <c r="Q142" s="14">
        <v>7</v>
      </c>
      <c r="R142" s="14">
        <v>1</v>
      </c>
      <c r="S142" s="14">
        <v>5</v>
      </c>
      <c r="T142" s="14">
        <v>17</v>
      </c>
      <c r="U142" s="14">
        <v>10</v>
      </c>
      <c r="V142" s="14">
        <v>8</v>
      </c>
      <c r="W142" s="14">
        <v>9</v>
      </c>
      <c r="X142" s="14">
        <v>10</v>
      </c>
      <c r="Y142" s="14">
        <v>5</v>
      </c>
      <c r="Z142" s="14">
        <v>8</v>
      </c>
      <c r="AA142" s="14">
        <v>3</v>
      </c>
      <c r="AB142" s="14">
        <v>14</v>
      </c>
      <c r="AC142" s="14">
        <v>10</v>
      </c>
      <c r="AD142" s="14">
        <v>7</v>
      </c>
      <c r="AE142" s="14">
        <v>5</v>
      </c>
      <c r="AF142" s="214"/>
      <c r="AG142" s="15">
        <f t="shared" si="2"/>
        <v>233</v>
      </c>
    </row>
    <row r="143" spans="1:35" ht="15.75" customHeight="1" thickBot="1" x14ac:dyDescent="0.3">
      <c r="A143" s="74" t="s">
        <v>90</v>
      </c>
      <c r="B143" s="75">
        <v>19</v>
      </c>
      <c r="C143" s="76">
        <v>13</v>
      </c>
      <c r="D143" s="76">
        <v>11</v>
      </c>
      <c r="E143" s="76">
        <v>28</v>
      </c>
      <c r="F143" s="76">
        <v>10</v>
      </c>
      <c r="G143" s="76">
        <v>9</v>
      </c>
      <c r="H143" s="76">
        <v>16</v>
      </c>
      <c r="I143" s="76">
        <v>9</v>
      </c>
      <c r="J143" s="76">
        <v>13</v>
      </c>
      <c r="K143" s="76">
        <v>9</v>
      </c>
      <c r="L143" s="76">
        <v>13</v>
      </c>
      <c r="M143" s="76">
        <v>7</v>
      </c>
      <c r="N143" s="76">
        <v>15</v>
      </c>
      <c r="O143" s="76">
        <v>12</v>
      </c>
      <c r="P143" s="76">
        <v>8</v>
      </c>
      <c r="Q143" s="76">
        <v>18</v>
      </c>
      <c r="R143" s="76">
        <v>5</v>
      </c>
      <c r="S143" s="76">
        <v>10</v>
      </c>
      <c r="T143" s="76">
        <v>17</v>
      </c>
      <c r="U143" s="76">
        <v>11</v>
      </c>
      <c r="V143" s="76">
        <v>18</v>
      </c>
      <c r="W143" s="76">
        <v>7</v>
      </c>
      <c r="X143" s="76">
        <v>11</v>
      </c>
      <c r="Y143" s="76">
        <v>4</v>
      </c>
      <c r="Z143" s="76">
        <v>6</v>
      </c>
      <c r="AA143" s="76">
        <v>10</v>
      </c>
      <c r="AB143" s="76">
        <v>12</v>
      </c>
      <c r="AC143" s="76">
        <v>7</v>
      </c>
      <c r="AD143" s="76">
        <v>8</v>
      </c>
      <c r="AE143" s="76">
        <v>14</v>
      </c>
      <c r="AF143" s="225"/>
      <c r="AG143" s="26">
        <f t="shared" si="2"/>
        <v>350</v>
      </c>
    </row>
    <row r="144" spans="1:35" ht="15.75" customHeight="1" thickBot="1" x14ac:dyDescent="0.3">
      <c r="A144" s="41" t="s">
        <v>92</v>
      </c>
      <c r="B144" s="42">
        <f t="shared" ref="B144:AF144" si="17">+B146+B156+B158+B167</f>
        <v>203</v>
      </c>
      <c r="C144" s="43">
        <f t="shared" si="17"/>
        <v>167</v>
      </c>
      <c r="D144" s="43">
        <f t="shared" si="17"/>
        <v>189</v>
      </c>
      <c r="E144" s="43">
        <f t="shared" si="17"/>
        <v>195</v>
      </c>
      <c r="F144" s="43">
        <f t="shared" si="17"/>
        <v>214</v>
      </c>
      <c r="G144" s="43">
        <f t="shared" si="17"/>
        <v>224</v>
      </c>
      <c r="H144" s="43">
        <f t="shared" si="17"/>
        <v>188</v>
      </c>
      <c r="I144" s="43">
        <f t="shared" si="17"/>
        <v>158</v>
      </c>
      <c r="J144" s="43">
        <f t="shared" si="17"/>
        <v>187</v>
      </c>
      <c r="K144" s="43">
        <f t="shared" si="17"/>
        <v>139</v>
      </c>
      <c r="L144" s="43">
        <f t="shared" si="17"/>
        <v>158</v>
      </c>
      <c r="M144" s="43">
        <f t="shared" si="17"/>
        <v>204</v>
      </c>
      <c r="N144" s="43">
        <f t="shared" si="17"/>
        <v>182</v>
      </c>
      <c r="O144" s="43">
        <f t="shared" si="17"/>
        <v>187</v>
      </c>
      <c r="P144" s="43">
        <f t="shared" si="17"/>
        <v>189</v>
      </c>
      <c r="Q144" s="43">
        <f t="shared" si="17"/>
        <v>180</v>
      </c>
      <c r="R144" s="43">
        <f t="shared" si="17"/>
        <v>169</v>
      </c>
      <c r="S144" s="43">
        <f t="shared" si="17"/>
        <v>149</v>
      </c>
      <c r="T144" s="43">
        <f t="shared" si="17"/>
        <v>213</v>
      </c>
      <c r="U144" s="43">
        <f t="shared" si="17"/>
        <v>186</v>
      </c>
      <c r="V144" s="43">
        <f t="shared" si="17"/>
        <v>182</v>
      </c>
      <c r="W144" s="43">
        <f t="shared" si="17"/>
        <v>173</v>
      </c>
      <c r="X144" s="43">
        <f t="shared" si="17"/>
        <v>175</v>
      </c>
      <c r="Y144" s="43">
        <f t="shared" si="17"/>
        <v>132</v>
      </c>
      <c r="Z144" s="43">
        <f t="shared" si="17"/>
        <v>154</v>
      </c>
      <c r="AA144" s="43">
        <f t="shared" si="17"/>
        <v>164</v>
      </c>
      <c r="AB144" s="43">
        <f t="shared" si="17"/>
        <v>181</v>
      </c>
      <c r="AC144" s="43">
        <f t="shared" si="17"/>
        <v>142</v>
      </c>
      <c r="AD144" s="43">
        <f t="shared" si="17"/>
        <v>161</v>
      </c>
      <c r="AE144" s="43">
        <f t="shared" si="17"/>
        <v>165</v>
      </c>
      <c r="AF144" s="43">
        <f t="shared" si="17"/>
        <v>0</v>
      </c>
      <c r="AG144" s="27">
        <f t="shared" si="2"/>
        <v>5310</v>
      </c>
      <c r="AH144" s="78" t="str">
        <f>IF(AG144&lt;&gt;AG93,"*","")</f>
        <v/>
      </c>
      <c r="AI144" s="79" t="s">
        <v>93</v>
      </c>
    </row>
    <row r="145" spans="1:35" ht="15.75" customHeight="1" thickBot="1" x14ac:dyDescent="0.3">
      <c r="A145" s="80" t="s">
        <v>44</v>
      </c>
      <c r="B145" s="81">
        <f t="shared" ref="B145:AF145" si="18">+B149+B155+B157+B172</f>
        <v>30</v>
      </c>
      <c r="C145" s="82">
        <f t="shared" si="18"/>
        <v>43</v>
      </c>
      <c r="D145" s="82">
        <f t="shared" si="18"/>
        <v>12</v>
      </c>
      <c r="E145" s="82">
        <f t="shared" si="18"/>
        <v>1</v>
      </c>
      <c r="F145" s="82">
        <f t="shared" si="18"/>
        <v>70</v>
      </c>
      <c r="G145" s="82">
        <f t="shared" si="18"/>
        <v>47</v>
      </c>
      <c r="H145" s="82">
        <f t="shared" si="18"/>
        <v>34</v>
      </c>
      <c r="I145" s="82">
        <f t="shared" si="18"/>
        <v>5</v>
      </c>
      <c r="J145" s="82">
        <f t="shared" si="18"/>
        <v>12</v>
      </c>
      <c r="K145" s="82">
        <f t="shared" si="18"/>
        <v>2</v>
      </c>
      <c r="L145" s="82">
        <f t="shared" si="18"/>
        <v>4</v>
      </c>
      <c r="M145" s="82">
        <f t="shared" si="18"/>
        <v>45</v>
      </c>
      <c r="N145" s="82">
        <f t="shared" si="18"/>
        <v>5</v>
      </c>
      <c r="O145" s="82">
        <f t="shared" si="18"/>
        <v>21</v>
      </c>
      <c r="P145" s="82">
        <f t="shared" si="18"/>
        <v>7</v>
      </c>
      <c r="Q145" s="82">
        <f t="shared" si="18"/>
        <v>15</v>
      </c>
      <c r="R145" s="82">
        <f t="shared" si="18"/>
        <v>0</v>
      </c>
      <c r="S145" s="82">
        <f t="shared" si="18"/>
        <v>0</v>
      </c>
      <c r="T145" s="82">
        <f t="shared" si="18"/>
        <v>20</v>
      </c>
      <c r="U145" s="82">
        <f t="shared" si="18"/>
        <v>29</v>
      </c>
      <c r="V145" s="82">
        <f t="shared" si="18"/>
        <v>3</v>
      </c>
      <c r="W145" s="82">
        <f t="shared" si="18"/>
        <v>7</v>
      </c>
      <c r="X145" s="82">
        <f t="shared" si="18"/>
        <v>26</v>
      </c>
      <c r="Y145" s="82">
        <f t="shared" si="18"/>
        <v>6</v>
      </c>
      <c r="Z145" s="82">
        <f t="shared" si="18"/>
        <v>2</v>
      </c>
      <c r="AA145" s="82">
        <f t="shared" si="18"/>
        <v>6</v>
      </c>
      <c r="AB145" s="82">
        <f t="shared" si="18"/>
        <v>44</v>
      </c>
      <c r="AC145" s="82">
        <f t="shared" si="18"/>
        <v>21</v>
      </c>
      <c r="AD145" s="82">
        <f t="shared" si="18"/>
        <v>19</v>
      </c>
      <c r="AE145" s="82">
        <f t="shared" si="18"/>
        <v>8</v>
      </c>
      <c r="AF145" s="226">
        <f t="shared" si="18"/>
        <v>0</v>
      </c>
      <c r="AG145" s="83">
        <f t="shared" si="2"/>
        <v>544</v>
      </c>
      <c r="AH145" s="77"/>
    </row>
    <row r="146" spans="1:35" ht="15.75" customHeight="1" thickBot="1" x14ac:dyDescent="0.3">
      <c r="A146" s="84" t="s">
        <v>94</v>
      </c>
      <c r="B146" s="85">
        <f t="shared" ref="B146:AG147" si="19">+B148+B154</f>
        <v>0</v>
      </c>
      <c r="C146" s="86">
        <f t="shared" si="19"/>
        <v>0</v>
      </c>
      <c r="D146" s="86">
        <f t="shared" si="19"/>
        <v>0</v>
      </c>
      <c r="E146" s="86">
        <f t="shared" si="19"/>
        <v>0</v>
      </c>
      <c r="F146" s="86">
        <f t="shared" si="19"/>
        <v>0</v>
      </c>
      <c r="G146" s="86">
        <f t="shared" si="19"/>
        <v>0</v>
      </c>
      <c r="H146" s="86">
        <f t="shared" si="19"/>
        <v>0</v>
      </c>
      <c r="I146" s="86">
        <f t="shared" si="19"/>
        <v>0</v>
      </c>
      <c r="J146" s="86">
        <f t="shared" si="19"/>
        <v>0</v>
      </c>
      <c r="K146" s="86">
        <f t="shared" si="19"/>
        <v>0</v>
      </c>
      <c r="L146" s="86">
        <f t="shared" si="19"/>
        <v>0</v>
      </c>
      <c r="M146" s="86">
        <f t="shared" si="19"/>
        <v>0</v>
      </c>
      <c r="N146" s="86">
        <f t="shared" si="19"/>
        <v>0</v>
      </c>
      <c r="O146" s="86">
        <f t="shared" si="19"/>
        <v>0</v>
      </c>
      <c r="P146" s="86">
        <f t="shared" si="19"/>
        <v>0</v>
      </c>
      <c r="Q146" s="86">
        <f t="shared" si="19"/>
        <v>0</v>
      </c>
      <c r="R146" s="86">
        <f t="shared" si="19"/>
        <v>0</v>
      </c>
      <c r="S146" s="86">
        <f t="shared" si="19"/>
        <v>0</v>
      </c>
      <c r="T146" s="86">
        <f t="shared" si="19"/>
        <v>0</v>
      </c>
      <c r="U146" s="86">
        <f t="shared" si="19"/>
        <v>0</v>
      </c>
      <c r="V146" s="86">
        <f t="shared" si="19"/>
        <v>0</v>
      </c>
      <c r="W146" s="86">
        <f t="shared" si="19"/>
        <v>0</v>
      </c>
      <c r="X146" s="86">
        <f t="shared" si="19"/>
        <v>0</v>
      </c>
      <c r="Y146" s="86">
        <f t="shared" si="19"/>
        <v>0</v>
      </c>
      <c r="Z146" s="86">
        <f t="shared" si="19"/>
        <v>0</v>
      </c>
      <c r="AA146" s="86">
        <f t="shared" si="19"/>
        <v>0</v>
      </c>
      <c r="AB146" s="86">
        <f t="shared" si="19"/>
        <v>0</v>
      </c>
      <c r="AC146" s="86">
        <f t="shared" si="19"/>
        <v>0</v>
      </c>
      <c r="AD146" s="86">
        <f t="shared" si="19"/>
        <v>0</v>
      </c>
      <c r="AE146" s="86">
        <f t="shared" si="19"/>
        <v>0</v>
      </c>
      <c r="AF146" s="227">
        <f t="shared" si="19"/>
        <v>0</v>
      </c>
      <c r="AG146" s="87">
        <f t="shared" si="19"/>
        <v>0</v>
      </c>
    </row>
    <row r="147" spans="1:35" ht="15.75" customHeight="1" thickBot="1" x14ac:dyDescent="0.3">
      <c r="A147" s="88" t="s">
        <v>95</v>
      </c>
      <c r="B147" s="89">
        <f t="shared" si="19"/>
        <v>0</v>
      </c>
      <c r="C147" s="90">
        <f t="shared" si="19"/>
        <v>0</v>
      </c>
      <c r="D147" s="90">
        <f t="shared" si="19"/>
        <v>0</v>
      </c>
      <c r="E147" s="90">
        <f t="shared" si="19"/>
        <v>0</v>
      </c>
      <c r="F147" s="90">
        <f t="shared" si="19"/>
        <v>0</v>
      </c>
      <c r="G147" s="90">
        <f t="shared" si="19"/>
        <v>0</v>
      </c>
      <c r="H147" s="90">
        <f t="shared" si="19"/>
        <v>0</v>
      </c>
      <c r="I147" s="90">
        <f t="shared" si="19"/>
        <v>0</v>
      </c>
      <c r="J147" s="90">
        <f t="shared" si="19"/>
        <v>0</v>
      </c>
      <c r="K147" s="90">
        <f t="shared" si="19"/>
        <v>0</v>
      </c>
      <c r="L147" s="90">
        <f t="shared" si="19"/>
        <v>0</v>
      </c>
      <c r="M147" s="90">
        <f t="shared" si="19"/>
        <v>0</v>
      </c>
      <c r="N147" s="90">
        <f t="shared" si="19"/>
        <v>0</v>
      </c>
      <c r="O147" s="90">
        <f t="shared" si="19"/>
        <v>0</v>
      </c>
      <c r="P147" s="90">
        <f t="shared" si="19"/>
        <v>0</v>
      </c>
      <c r="Q147" s="90">
        <f t="shared" si="19"/>
        <v>0</v>
      </c>
      <c r="R147" s="90">
        <f t="shared" si="19"/>
        <v>0</v>
      </c>
      <c r="S147" s="90">
        <f t="shared" si="19"/>
        <v>0</v>
      </c>
      <c r="T147" s="90">
        <f t="shared" si="19"/>
        <v>0</v>
      </c>
      <c r="U147" s="90">
        <f t="shared" si="19"/>
        <v>0</v>
      </c>
      <c r="V147" s="90">
        <f t="shared" si="19"/>
        <v>0</v>
      </c>
      <c r="W147" s="90">
        <f t="shared" si="19"/>
        <v>0</v>
      </c>
      <c r="X147" s="90">
        <f t="shared" si="19"/>
        <v>0</v>
      </c>
      <c r="Y147" s="90">
        <f t="shared" si="19"/>
        <v>0</v>
      </c>
      <c r="Z147" s="90">
        <f t="shared" si="19"/>
        <v>0</v>
      </c>
      <c r="AA147" s="90">
        <f t="shared" si="19"/>
        <v>0</v>
      </c>
      <c r="AB147" s="90">
        <f t="shared" si="19"/>
        <v>0</v>
      </c>
      <c r="AC147" s="90">
        <f t="shared" si="19"/>
        <v>0</v>
      </c>
      <c r="AD147" s="90">
        <f t="shared" si="19"/>
        <v>0</v>
      </c>
      <c r="AE147" s="90">
        <f t="shared" si="19"/>
        <v>0</v>
      </c>
      <c r="AF147" s="228"/>
      <c r="AG147" s="91">
        <f t="shared" ref="AG147:AG226" si="20">SUM(B147:AF147)</f>
        <v>0</v>
      </c>
    </row>
    <row r="148" spans="1:35" ht="15.75" customHeight="1" thickBot="1" x14ac:dyDescent="0.3">
      <c r="A148" s="92" t="s">
        <v>96</v>
      </c>
      <c r="B148" s="93">
        <f t="shared" ref="B148:AF148" si="21">SUM(B150:B153)</f>
        <v>0</v>
      </c>
      <c r="C148" s="94">
        <f t="shared" si="21"/>
        <v>0</v>
      </c>
      <c r="D148" s="94">
        <f t="shared" si="21"/>
        <v>0</v>
      </c>
      <c r="E148" s="94">
        <f t="shared" si="21"/>
        <v>0</v>
      </c>
      <c r="F148" s="94">
        <f t="shared" si="21"/>
        <v>0</v>
      </c>
      <c r="G148" s="94">
        <f t="shared" si="21"/>
        <v>0</v>
      </c>
      <c r="H148" s="94">
        <f t="shared" si="21"/>
        <v>0</v>
      </c>
      <c r="I148" s="94">
        <f t="shared" si="21"/>
        <v>0</v>
      </c>
      <c r="J148" s="94">
        <f t="shared" si="21"/>
        <v>0</v>
      </c>
      <c r="K148" s="94">
        <f t="shared" si="21"/>
        <v>0</v>
      </c>
      <c r="L148" s="94">
        <f t="shared" si="21"/>
        <v>0</v>
      </c>
      <c r="M148" s="94">
        <f t="shared" si="21"/>
        <v>0</v>
      </c>
      <c r="N148" s="94">
        <f t="shared" si="21"/>
        <v>0</v>
      </c>
      <c r="O148" s="94">
        <f t="shared" si="21"/>
        <v>0</v>
      </c>
      <c r="P148" s="94">
        <f t="shared" si="21"/>
        <v>0</v>
      </c>
      <c r="Q148" s="94">
        <f t="shared" si="21"/>
        <v>0</v>
      </c>
      <c r="R148" s="94">
        <f t="shared" si="21"/>
        <v>0</v>
      </c>
      <c r="S148" s="94">
        <f t="shared" si="21"/>
        <v>0</v>
      </c>
      <c r="T148" s="94">
        <f t="shared" si="21"/>
        <v>0</v>
      </c>
      <c r="U148" s="94">
        <f t="shared" si="21"/>
        <v>0</v>
      </c>
      <c r="V148" s="94">
        <f t="shared" si="21"/>
        <v>0</v>
      </c>
      <c r="W148" s="94">
        <f t="shared" si="21"/>
        <v>0</v>
      </c>
      <c r="X148" s="94">
        <f t="shared" si="21"/>
        <v>0</v>
      </c>
      <c r="Y148" s="94">
        <f t="shared" si="21"/>
        <v>0</v>
      </c>
      <c r="Z148" s="94">
        <f t="shared" si="21"/>
        <v>0</v>
      </c>
      <c r="AA148" s="94">
        <f t="shared" si="21"/>
        <v>0</v>
      </c>
      <c r="AB148" s="94">
        <f t="shared" si="21"/>
        <v>0</v>
      </c>
      <c r="AC148" s="94">
        <f t="shared" si="21"/>
        <v>0</v>
      </c>
      <c r="AD148" s="94">
        <f t="shared" si="21"/>
        <v>0</v>
      </c>
      <c r="AE148" s="94">
        <f t="shared" si="21"/>
        <v>0</v>
      </c>
      <c r="AF148" s="229">
        <f t="shared" si="21"/>
        <v>0</v>
      </c>
      <c r="AG148" s="95">
        <f t="shared" si="20"/>
        <v>0</v>
      </c>
    </row>
    <row r="149" spans="1:35" ht="15.75" customHeight="1" thickBot="1" x14ac:dyDescent="0.3">
      <c r="A149" s="88" t="s">
        <v>97</v>
      </c>
      <c r="B149" s="89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228"/>
      <c r="AG149" s="91">
        <f t="shared" si="20"/>
        <v>0</v>
      </c>
    </row>
    <row r="150" spans="1:35" ht="15.75" customHeight="1" x14ac:dyDescent="0.25">
      <c r="A150" s="96" t="s">
        <v>98</v>
      </c>
      <c r="B150" s="97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230"/>
      <c r="AG150" s="11">
        <f t="shared" si="20"/>
        <v>0</v>
      </c>
      <c r="AI150" s="99"/>
    </row>
    <row r="151" spans="1:35" ht="15.75" customHeight="1" x14ac:dyDescent="0.25">
      <c r="A151" s="100" t="s">
        <v>99</v>
      </c>
      <c r="B151" s="101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231"/>
      <c r="AG151" s="15">
        <f t="shared" si="20"/>
        <v>0</v>
      </c>
      <c r="AI151" s="99"/>
    </row>
    <row r="152" spans="1:35" ht="15.75" customHeight="1" x14ac:dyDescent="0.25">
      <c r="A152" s="100" t="s">
        <v>100</v>
      </c>
      <c r="B152" s="101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231"/>
      <c r="AG152" s="15">
        <f t="shared" si="20"/>
        <v>0</v>
      </c>
    </row>
    <row r="153" spans="1:35" ht="15.75" customHeight="1" thickBot="1" x14ac:dyDescent="0.3">
      <c r="A153" s="103" t="s">
        <v>101</v>
      </c>
      <c r="B153" s="104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232"/>
      <c r="AG153" s="106">
        <f t="shared" si="20"/>
        <v>0</v>
      </c>
    </row>
    <row r="154" spans="1:35" ht="15.75" customHeight="1" thickBot="1" x14ac:dyDescent="0.3">
      <c r="A154" s="92" t="s">
        <v>102</v>
      </c>
      <c r="B154" s="93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229"/>
      <c r="AG154" s="95">
        <f t="shared" si="20"/>
        <v>0</v>
      </c>
    </row>
    <row r="155" spans="1:35" ht="15.75" customHeight="1" thickBot="1" x14ac:dyDescent="0.3">
      <c r="A155" s="88" t="s">
        <v>103</v>
      </c>
      <c r="B155" s="89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228"/>
      <c r="AG155" s="91">
        <f t="shared" si="20"/>
        <v>0</v>
      </c>
    </row>
    <row r="156" spans="1:35" ht="15.75" customHeight="1" x14ac:dyDescent="0.25">
      <c r="A156" s="107" t="s">
        <v>104</v>
      </c>
      <c r="B156" s="108">
        <v>203</v>
      </c>
      <c r="C156" s="109">
        <v>167</v>
      </c>
      <c r="D156" s="109">
        <v>189</v>
      </c>
      <c r="E156" s="109">
        <v>195</v>
      </c>
      <c r="F156" s="109">
        <v>214</v>
      </c>
      <c r="G156" s="109">
        <v>224</v>
      </c>
      <c r="H156" s="109">
        <v>188</v>
      </c>
      <c r="I156" s="109">
        <v>158</v>
      </c>
      <c r="J156" s="109">
        <v>187</v>
      </c>
      <c r="K156" s="109">
        <v>139</v>
      </c>
      <c r="L156" s="109">
        <v>158</v>
      </c>
      <c r="M156" s="109">
        <v>204</v>
      </c>
      <c r="N156" s="109">
        <v>182</v>
      </c>
      <c r="O156" s="109">
        <v>187</v>
      </c>
      <c r="P156" s="109">
        <v>189</v>
      </c>
      <c r="Q156" s="109">
        <v>180</v>
      </c>
      <c r="R156" s="109">
        <v>169</v>
      </c>
      <c r="S156" s="109">
        <v>149</v>
      </c>
      <c r="T156" s="109">
        <v>213</v>
      </c>
      <c r="U156" s="109">
        <v>186</v>
      </c>
      <c r="V156" s="109">
        <v>182</v>
      </c>
      <c r="W156" s="109">
        <v>173</v>
      </c>
      <c r="X156" s="109">
        <v>175</v>
      </c>
      <c r="Y156" s="109">
        <v>132</v>
      </c>
      <c r="Z156" s="109">
        <v>154</v>
      </c>
      <c r="AA156" s="109">
        <v>164</v>
      </c>
      <c r="AB156" s="109">
        <v>181</v>
      </c>
      <c r="AC156" s="109">
        <v>142</v>
      </c>
      <c r="AD156" s="109">
        <v>161</v>
      </c>
      <c r="AE156" s="109">
        <v>165</v>
      </c>
      <c r="AF156" s="233"/>
      <c r="AG156" s="110">
        <f t="shared" si="20"/>
        <v>5310</v>
      </c>
      <c r="AH156" s="111" t="s">
        <v>105</v>
      </c>
    </row>
    <row r="157" spans="1:35" ht="15.75" customHeight="1" thickBot="1" x14ac:dyDescent="0.3">
      <c r="A157" s="74" t="s">
        <v>46</v>
      </c>
      <c r="B157" s="75">
        <v>30</v>
      </c>
      <c r="C157" s="76">
        <v>43</v>
      </c>
      <c r="D157" s="76">
        <v>12</v>
      </c>
      <c r="E157" s="76">
        <v>1</v>
      </c>
      <c r="F157" s="76">
        <v>70</v>
      </c>
      <c r="G157" s="76">
        <v>47</v>
      </c>
      <c r="H157" s="76">
        <v>34</v>
      </c>
      <c r="I157" s="76">
        <v>5</v>
      </c>
      <c r="J157" s="76">
        <v>12</v>
      </c>
      <c r="K157" s="76">
        <v>2</v>
      </c>
      <c r="L157" s="76">
        <v>4</v>
      </c>
      <c r="M157" s="76">
        <v>45</v>
      </c>
      <c r="N157" s="76">
        <v>5</v>
      </c>
      <c r="O157" s="76">
        <v>21</v>
      </c>
      <c r="P157" s="76">
        <v>7</v>
      </c>
      <c r="Q157" s="76">
        <v>15</v>
      </c>
      <c r="R157" s="76">
        <v>0</v>
      </c>
      <c r="S157" s="76"/>
      <c r="T157" s="76">
        <v>20</v>
      </c>
      <c r="U157" s="76">
        <v>29</v>
      </c>
      <c r="V157" s="76">
        <v>3</v>
      </c>
      <c r="W157" s="76">
        <v>7</v>
      </c>
      <c r="X157" s="76">
        <v>26</v>
      </c>
      <c r="Y157" s="76">
        <v>6</v>
      </c>
      <c r="Z157" s="76">
        <v>2</v>
      </c>
      <c r="AA157" s="76">
        <v>6</v>
      </c>
      <c r="AB157" s="76">
        <v>44</v>
      </c>
      <c r="AC157" s="76">
        <v>21</v>
      </c>
      <c r="AD157" s="76">
        <v>19</v>
      </c>
      <c r="AE157" s="76">
        <v>8</v>
      </c>
      <c r="AF157" s="225"/>
      <c r="AG157" s="112">
        <f t="shared" si="20"/>
        <v>544</v>
      </c>
      <c r="AH157" s="111"/>
    </row>
    <row r="158" spans="1:35" ht="15.75" customHeight="1" thickBot="1" x14ac:dyDescent="0.3">
      <c r="A158" s="113" t="s">
        <v>106</v>
      </c>
      <c r="B158" s="114">
        <f t="shared" ref="B158:AF158" si="22">SUM(B159:B166)</f>
        <v>0</v>
      </c>
      <c r="C158" s="115">
        <f t="shared" si="22"/>
        <v>0</v>
      </c>
      <c r="D158" s="115">
        <f t="shared" si="22"/>
        <v>0</v>
      </c>
      <c r="E158" s="115">
        <f t="shared" si="22"/>
        <v>0</v>
      </c>
      <c r="F158" s="115">
        <f t="shared" si="22"/>
        <v>0</v>
      </c>
      <c r="G158" s="115">
        <f t="shared" si="22"/>
        <v>0</v>
      </c>
      <c r="H158" s="115">
        <f t="shared" si="22"/>
        <v>0</v>
      </c>
      <c r="I158" s="115">
        <f t="shared" si="22"/>
        <v>0</v>
      </c>
      <c r="J158" s="115">
        <f t="shared" si="22"/>
        <v>0</v>
      </c>
      <c r="K158" s="115">
        <f t="shared" si="22"/>
        <v>0</v>
      </c>
      <c r="L158" s="115">
        <f t="shared" si="22"/>
        <v>0</v>
      </c>
      <c r="M158" s="115">
        <f t="shared" si="22"/>
        <v>0</v>
      </c>
      <c r="N158" s="115">
        <f t="shared" si="22"/>
        <v>0</v>
      </c>
      <c r="O158" s="115">
        <f t="shared" si="22"/>
        <v>0</v>
      </c>
      <c r="P158" s="115">
        <f t="shared" si="22"/>
        <v>0</v>
      </c>
      <c r="Q158" s="115">
        <f t="shared" si="22"/>
        <v>0</v>
      </c>
      <c r="R158" s="115">
        <f t="shared" si="22"/>
        <v>0</v>
      </c>
      <c r="S158" s="115">
        <f t="shared" si="22"/>
        <v>0</v>
      </c>
      <c r="T158" s="115">
        <f t="shared" si="22"/>
        <v>0</v>
      </c>
      <c r="U158" s="115">
        <f t="shared" si="22"/>
        <v>0</v>
      </c>
      <c r="V158" s="115">
        <f t="shared" si="22"/>
        <v>0</v>
      </c>
      <c r="W158" s="115">
        <f t="shared" si="22"/>
        <v>0</v>
      </c>
      <c r="X158" s="115">
        <f t="shared" si="22"/>
        <v>0</v>
      </c>
      <c r="Y158" s="115">
        <f t="shared" si="22"/>
        <v>0</v>
      </c>
      <c r="Z158" s="115">
        <f t="shared" si="22"/>
        <v>0</v>
      </c>
      <c r="AA158" s="115">
        <f t="shared" si="22"/>
        <v>0</v>
      </c>
      <c r="AB158" s="115">
        <f t="shared" si="22"/>
        <v>0</v>
      </c>
      <c r="AC158" s="115">
        <f t="shared" si="22"/>
        <v>0</v>
      </c>
      <c r="AD158" s="115">
        <f t="shared" si="22"/>
        <v>0</v>
      </c>
      <c r="AE158" s="115">
        <f t="shared" si="22"/>
        <v>0</v>
      </c>
      <c r="AF158" s="234">
        <f t="shared" si="22"/>
        <v>0</v>
      </c>
      <c r="AG158" s="116">
        <f t="shared" si="20"/>
        <v>0</v>
      </c>
    </row>
    <row r="159" spans="1:35" ht="15.75" customHeight="1" x14ac:dyDescent="0.25">
      <c r="A159" s="96" t="s">
        <v>79</v>
      </c>
      <c r="B159" s="97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230"/>
      <c r="AG159" s="11">
        <f t="shared" si="20"/>
        <v>0</v>
      </c>
    </row>
    <row r="160" spans="1:35" ht="15.75" customHeight="1" x14ac:dyDescent="0.25">
      <c r="A160" s="100" t="s">
        <v>80</v>
      </c>
      <c r="B160" s="101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231"/>
      <c r="AG160" s="15">
        <f t="shared" si="20"/>
        <v>0</v>
      </c>
    </row>
    <row r="161" spans="1:34" ht="15.75" customHeight="1" x14ac:dyDescent="0.25">
      <c r="A161" s="100" t="s">
        <v>78</v>
      </c>
      <c r="B161" s="101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231"/>
      <c r="AG161" s="15">
        <f t="shared" si="20"/>
        <v>0</v>
      </c>
    </row>
    <row r="162" spans="1:34" ht="15.75" customHeight="1" x14ac:dyDescent="0.25">
      <c r="A162" s="100" t="s">
        <v>81</v>
      </c>
      <c r="B162" s="101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231"/>
      <c r="AG162" s="15">
        <f t="shared" si="20"/>
        <v>0</v>
      </c>
    </row>
    <row r="163" spans="1:34" ht="15.75" customHeight="1" x14ac:dyDescent="0.25">
      <c r="A163" s="100" t="s">
        <v>82</v>
      </c>
      <c r="B163" s="101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231"/>
      <c r="AG163" s="15">
        <f t="shared" si="20"/>
        <v>0</v>
      </c>
    </row>
    <row r="164" spans="1:34" ht="15.75" customHeight="1" x14ac:dyDescent="0.25">
      <c r="A164" s="100" t="s">
        <v>83</v>
      </c>
      <c r="B164" s="101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231"/>
      <c r="AG164" s="15">
        <f t="shared" si="20"/>
        <v>0</v>
      </c>
    </row>
    <row r="165" spans="1:34" ht="15.75" customHeight="1" x14ac:dyDescent="0.25">
      <c r="A165" s="100" t="s">
        <v>84</v>
      </c>
      <c r="B165" s="101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231"/>
      <c r="AG165" s="15">
        <f t="shared" si="20"/>
        <v>0</v>
      </c>
    </row>
    <row r="166" spans="1:34" ht="15.75" customHeight="1" thickBot="1" x14ac:dyDescent="0.3">
      <c r="A166" s="103" t="s">
        <v>85</v>
      </c>
      <c r="B166" s="104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232"/>
      <c r="AG166" s="106">
        <f t="shared" si="20"/>
        <v>0</v>
      </c>
    </row>
    <row r="167" spans="1:34" ht="15.75" customHeight="1" x14ac:dyDescent="0.25">
      <c r="A167" s="107" t="s">
        <v>107</v>
      </c>
      <c r="B167" s="108">
        <f t="shared" ref="B167:AF167" si="23">SUM(B168:B171)</f>
        <v>0</v>
      </c>
      <c r="C167" s="109">
        <f t="shared" si="23"/>
        <v>0</v>
      </c>
      <c r="D167" s="109">
        <f t="shared" si="23"/>
        <v>0</v>
      </c>
      <c r="E167" s="109">
        <f t="shared" si="23"/>
        <v>0</v>
      </c>
      <c r="F167" s="109">
        <f t="shared" si="23"/>
        <v>0</v>
      </c>
      <c r="G167" s="109">
        <f t="shared" si="23"/>
        <v>0</v>
      </c>
      <c r="H167" s="109">
        <f t="shared" si="23"/>
        <v>0</v>
      </c>
      <c r="I167" s="109">
        <f t="shared" si="23"/>
        <v>0</v>
      </c>
      <c r="J167" s="109">
        <f t="shared" si="23"/>
        <v>0</v>
      </c>
      <c r="K167" s="109">
        <f t="shared" si="23"/>
        <v>0</v>
      </c>
      <c r="L167" s="109">
        <f t="shared" si="23"/>
        <v>0</v>
      </c>
      <c r="M167" s="109">
        <f t="shared" si="23"/>
        <v>0</v>
      </c>
      <c r="N167" s="109">
        <f t="shared" si="23"/>
        <v>0</v>
      </c>
      <c r="O167" s="109">
        <f t="shared" si="23"/>
        <v>0</v>
      </c>
      <c r="P167" s="109">
        <f t="shared" si="23"/>
        <v>0</v>
      </c>
      <c r="Q167" s="109">
        <f t="shared" si="23"/>
        <v>0</v>
      </c>
      <c r="R167" s="109">
        <f t="shared" si="23"/>
        <v>0</v>
      </c>
      <c r="S167" s="109">
        <f t="shared" si="23"/>
        <v>0</v>
      </c>
      <c r="T167" s="109">
        <f t="shared" si="23"/>
        <v>0</v>
      </c>
      <c r="U167" s="109">
        <f t="shared" si="23"/>
        <v>0</v>
      </c>
      <c r="V167" s="109">
        <f t="shared" si="23"/>
        <v>0</v>
      </c>
      <c r="W167" s="109">
        <f t="shared" si="23"/>
        <v>0</v>
      </c>
      <c r="X167" s="109">
        <f t="shared" si="23"/>
        <v>0</v>
      </c>
      <c r="Y167" s="109">
        <f t="shared" si="23"/>
        <v>0</v>
      </c>
      <c r="Z167" s="109">
        <f t="shared" si="23"/>
        <v>0</v>
      </c>
      <c r="AA167" s="109">
        <f t="shared" si="23"/>
        <v>0</v>
      </c>
      <c r="AB167" s="109">
        <f t="shared" si="23"/>
        <v>0</v>
      </c>
      <c r="AC167" s="109">
        <f t="shared" si="23"/>
        <v>0</v>
      </c>
      <c r="AD167" s="109">
        <f t="shared" si="23"/>
        <v>0</v>
      </c>
      <c r="AE167" s="109">
        <f t="shared" si="23"/>
        <v>0</v>
      </c>
      <c r="AF167" s="233">
        <f t="shared" si="23"/>
        <v>0</v>
      </c>
      <c r="AG167" s="110">
        <f t="shared" si="20"/>
        <v>0</v>
      </c>
    </row>
    <row r="168" spans="1:34" ht="15.75" customHeight="1" x14ac:dyDescent="0.25">
      <c r="A168" s="117" t="s">
        <v>86</v>
      </c>
      <c r="B168" s="101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231"/>
      <c r="AG168" s="15">
        <f t="shared" si="20"/>
        <v>0</v>
      </c>
    </row>
    <row r="169" spans="1:34" ht="15.75" customHeight="1" x14ac:dyDescent="0.25">
      <c r="A169" s="117" t="s">
        <v>87</v>
      </c>
      <c r="B169" s="101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231"/>
      <c r="AG169" s="15">
        <f t="shared" si="20"/>
        <v>0</v>
      </c>
    </row>
    <row r="170" spans="1:34" ht="15.75" customHeight="1" x14ac:dyDescent="0.25">
      <c r="A170" s="117" t="s">
        <v>88</v>
      </c>
      <c r="B170" s="101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231"/>
      <c r="AG170" s="15">
        <f t="shared" si="20"/>
        <v>0</v>
      </c>
    </row>
    <row r="171" spans="1:34" ht="15.75" customHeight="1" thickBot="1" x14ac:dyDescent="0.3">
      <c r="A171" s="118" t="s">
        <v>108</v>
      </c>
      <c r="B171" s="104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232"/>
      <c r="AG171" s="106">
        <f t="shared" si="20"/>
        <v>0</v>
      </c>
    </row>
    <row r="172" spans="1:34" ht="15.75" customHeight="1" thickBot="1" x14ac:dyDescent="0.3">
      <c r="A172" s="119" t="s">
        <v>109</v>
      </c>
      <c r="B172" s="120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235"/>
      <c r="AG172" s="122">
        <f t="shared" si="20"/>
        <v>0</v>
      </c>
    </row>
    <row r="173" spans="1:34" ht="15.75" customHeight="1" thickBot="1" x14ac:dyDescent="0.3">
      <c r="A173" s="4" t="s">
        <v>110</v>
      </c>
      <c r="B173" s="5">
        <f t="shared" ref="B173:AF173" si="24">SUM(B174:B176)</f>
        <v>1</v>
      </c>
      <c r="C173" s="6">
        <f t="shared" si="24"/>
        <v>1</v>
      </c>
      <c r="D173" s="6">
        <f t="shared" si="24"/>
        <v>0</v>
      </c>
      <c r="E173" s="6">
        <f t="shared" si="24"/>
        <v>1</v>
      </c>
      <c r="F173" s="6">
        <f t="shared" si="24"/>
        <v>0</v>
      </c>
      <c r="G173" s="6">
        <f t="shared" si="24"/>
        <v>0</v>
      </c>
      <c r="H173" s="6">
        <f t="shared" si="24"/>
        <v>1</v>
      </c>
      <c r="I173" s="6">
        <f t="shared" si="24"/>
        <v>0</v>
      </c>
      <c r="J173" s="6">
        <f t="shared" si="24"/>
        <v>0</v>
      </c>
      <c r="K173" s="6">
        <f t="shared" si="24"/>
        <v>2</v>
      </c>
      <c r="L173" s="6">
        <f t="shared" si="24"/>
        <v>0</v>
      </c>
      <c r="M173" s="6">
        <f t="shared" si="24"/>
        <v>0</v>
      </c>
      <c r="N173" s="6">
        <f t="shared" si="24"/>
        <v>2</v>
      </c>
      <c r="O173" s="6">
        <f t="shared" si="24"/>
        <v>2</v>
      </c>
      <c r="P173" s="6">
        <f t="shared" si="24"/>
        <v>3</v>
      </c>
      <c r="Q173" s="6">
        <f t="shared" si="24"/>
        <v>1</v>
      </c>
      <c r="R173" s="6">
        <f t="shared" si="24"/>
        <v>2</v>
      </c>
      <c r="S173" s="6">
        <f t="shared" si="24"/>
        <v>0</v>
      </c>
      <c r="T173" s="6">
        <f t="shared" si="24"/>
        <v>2</v>
      </c>
      <c r="U173" s="6">
        <f t="shared" si="24"/>
        <v>1</v>
      </c>
      <c r="V173" s="6">
        <f t="shared" si="24"/>
        <v>2</v>
      </c>
      <c r="W173" s="6">
        <f t="shared" si="24"/>
        <v>1</v>
      </c>
      <c r="X173" s="6">
        <f t="shared" si="24"/>
        <v>1</v>
      </c>
      <c r="Y173" s="6">
        <f t="shared" si="24"/>
        <v>1</v>
      </c>
      <c r="Z173" s="6">
        <f t="shared" si="24"/>
        <v>0</v>
      </c>
      <c r="AA173" s="6">
        <f t="shared" si="24"/>
        <v>0</v>
      </c>
      <c r="AB173" s="6">
        <f t="shared" si="24"/>
        <v>3</v>
      </c>
      <c r="AC173" s="6">
        <f t="shared" si="24"/>
        <v>1</v>
      </c>
      <c r="AD173" s="6">
        <f t="shared" si="24"/>
        <v>1</v>
      </c>
      <c r="AE173" s="6">
        <f t="shared" si="24"/>
        <v>3</v>
      </c>
      <c r="AF173" s="236">
        <f t="shared" si="24"/>
        <v>0</v>
      </c>
      <c r="AG173" s="7">
        <f t="shared" si="20"/>
        <v>32</v>
      </c>
      <c r="AH173" s="111" t="s">
        <v>111</v>
      </c>
    </row>
    <row r="174" spans="1:34" ht="15.75" customHeight="1" x14ac:dyDescent="0.25">
      <c r="A174" s="123" t="s">
        <v>112</v>
      </c>
      <c r="B174" s="124">
        <v>1</v>
      </c>
      <c r="C174" s="125">
        <v>0</v>
      </c>
      <c r="D174" s="125">
        <v>0</v>
      </c>
      <c r="E174" s="125">
        <v>1</v>
      </c>
      <c r="F174" s="125">
        <v>0</v>
      </c>
      <c r="G174" s="125">
        <v>0</v>
      </c>
      <c r="H174" s="125">
        <v>1</v>
      </c>
      <c r="I174" s="125">
        <v>0</v>
      </c>
      <c r="J174" s="125">
        <v>0</v>
      </c>
      <c r="K174" s="125">
        <v>0</v>
      </c>
      <c r="L174" s="125">
        <v>0</v>
      </c>
      <c r="M174" s="125">
        <v>0</v>
      </c>
      <c r="N174" s="125">
        <v>2</v>
      </c>
      <c r="O174" s="125">
        <v>2</v>
      </c>
      <c r="P174" s="125">
        <v>3</v>
      </c>
      <c r="Q174" s="125">
        <v>1</v>
      </c>
      <c r="R174" s="125">
        <v>2</v>
      </c>
      <c r="S174" s="125">
        <v>0</v>
      </c>
      <c r="T174" s="125">
        <v>2</v>
      </c>
      <c r="U174" s="125">
        <v>1</v>
      </c>
      <c r="V174" s="125">
        <v>2</v>
      </c>
      <c r="W174" s="125">
        <v>1</v>
      </c>
      <c r="X174" s="125">
        <v>1</v>
      </c>
      <c r="Y174" s="125">
        <v>1</v>
      </c>
      <c r="Z174" s="125">
        <v>0</v>
      </c>
      <c r="AA174" s="125">
        <v>0</v>
      </c>
      <c r="AB174" s="125">
        <v>2</v>
      </c>
      <c r="AC174" s="125">
        <v>1</v>
      </c>
      <c r="AD174" s="125">
        <v>0</v>
      </c>
      <c r="AE174" s="125">
        <v>3</v>
      </c>
      <c r="AF174" s="237"/>
      <c r="AG174" s="126">
        <f t="shared" si="20"/>
        <v>27</v>
      </c>
      <c r="AH174" s="111"/>
    </row>
    <row r="175" spans="1:34" ht="15.75" customHeight="1" x14ac:dyDescent="0.25">
      <c r="A175" s="127" t="s">
        <v>113</v>
      </c>
      <c r="B175" s="128">
        <v>0</v>
      </c>
      <c r="C175" s="129">
        <v>1</v>
      </c>
      <c r="D175" s="129">
        <v>0</v>
      </c>
      <c r="E175" s="129">
        <v>0</v>
      </c>
      <c r="F175" s="129">
        <v>0</v>
      </c>
      <c r="G175" s="129">
        <v>0</v>
      </c>
      <c r="H175" s="129">
        <v>0</v>
      </c>
      <c r="I175" s="129">
        <v>0</v>
      </c>
      <c r="J175" s="129">
        <v>0</v>
      </c>
      <c r="K175" s="129">
        <v>2</v>
      </c>
      <c r="L175" s="129">
        <v>0</v>
      </c>
      <c r="M175" s="129">
        <v>0</v>
      </c>
      <c r="N175" s="129">
        <v>0</v>
      </c>
      <c r="O175" s="129">
        <v>0</v>
      </c>
      <c r="P175" s="129">
        <v>0</v>
      </c>
      <c r="Q175" s="129">
        <v>0</v>
      </c>
      <c r="R175" s="129">
        <v>0</v>
      </c>
      <c r="S175" s="129">
        <v>0</v>
      </c>
      <c r="T175" s="129">
        <v>0</v>
      </c>
      <c r="U175" s="129">
        <v>0</v>
      </c>
      <c r="V175" s="129">
        <v>0</v>
      </c>
      <c r="W175" s="129">
        <v>0</v>
      </c>
      <c r="X175" s="129">
        <v>0</v>
      </c>
      <c r="Y175" s="129">
        <v>0</v>
      </c>
      <c r="Z175" s="129">
        <v>0</v>
      </c>
      <c r="AA175" s="129">
        <v>0</v>
      </c>
      <c r="AB175" s="129">
        <v>1</v>
      </c>
      <c r="AC175" s="129">
        <v>0</v>
      </c>
      <c r="AD175" s="129">
        <v>1</v>
      </c>
      <c r="AE175" s="129">
        <v>0</v>
      </c>
      <c r="AF175" s="238"/>
      <c r="AG175" s="130">
        <f t="shared" si="20"/>
        <v>5</v>
      </c>
      <c r="AH175" s="111"/>
    </row>
    <row r="176" spans="1:34" ht="15.75" customHeight="1" thickBot="1" x14ac:dyDescent="0.3">
      <c r="A176" s="131" t="s">
        <v>114</v>
      </c>
      <c r="B176" s="132">
        <v>0</v>
      </c>
      <c r="C176" s="133">
        <v>0</v>
      </c>
      <c r="D176" s="133">
        <v>0</v>
      </c>
      <c r="E176" s="133">
        <v>0</v>
      </c>
      <c r="F176" s="133">
        <v>0</v>
      </c>
      <c r="G176" s="133">
        <v>0</v>
      </c>
      <c r="H176" s="133">
        <v>0</v>
      </c>
      <c r="I176" s="133">
        <v>0</v>
      </c>
      <c r="J176" s="133">
        <v>0</v>
      </c>
      <c r="K176" s="133">
        <v>0</v>
      </c>
      <c r="L176" s="133">
        <v>0</v>
      </c>
      <c r="M176" s="133">
        <v>0</v>
      </c>
      <c r="N176" s="133">
        <v>0</v>
      </c>
      <c r="O176" s="133">
        <v>0</v>
      </c>
      <c r="P176" s="133">
        <v>0</v>
      </c>
      <c r="Q176" s="133">
        <v>0</v>
      </c>
      <c r="R176" s="133">
        <v>0</v>
      </c>
      <c r="S176" s="133">
        <v>0</v>
      </c>
      <c r="T176" s="133">
        <v>0</v>
      </c>
      <c r="U176" s="133">
        <v>0</v>
      </c>
      <c r="V176" s="133">
        <v>0</v>
      </c>
      <c r="W176" s="133">
        <v>0</v>
      </c>
      <c r="X176" s="133">
        <v>0</v>
      </c>
      <c r="Y176" s="133">
        <v>0</v>
      </c>
      <c r="Z176" s="133">
        <v>0</v>
      </c>
      <c r="AA176" s="133">
        <v>0</v>
      </c>
      <c r="AB176" s="133">
        <v>0</v>
      </c>
      <c r="AC176" s="133">
        <v>0</v>
      </c>
      <c r="AD176" s="133">
        <v>0</v>
      </c>
      <c r="AE176" s="133">
        <v>0</v>
      </c>
      <c r="AF176" s="239"/>
      <c r="AG176" s="134">
        <f t="shared" si="20"/>
        <v>0</v>
      </c>
      <c r="AH176" s="111"/>
    </row>
    <row r="177" spans="1:35" ht="15.75" customHeight="1" thickBot="1" x14ac:dyDescent="0.3">
      <c r="A177" s="53" t="s">
        <v>115</v>
      </c>
      <c r="B177" s="135">
        <f t="shared" ref="B177:AF177" si="25">SUM(B178:B179)</f>
        <v>5</v>
      </c>
      <c r="C177" s="136">
        <f t="shared" si="25"/>
        <v>3</v>
      </c>
      <c r="D177" s="136">
        <f t="shared" si="25"/>
        <v>1</v>
      </c>
      <c r="E177" s="136">
        <f t="shared" si="25"/>
        <v>6</v>
      </c>
      <c r="F177" s="136">
        <f t="shared" si="25"/>
        <v>5</v>
      </c>
      <c r="G177" s="136">
        <f t="shared" si="25"/>
        <v>2</v>
      </c>
      <c r="H177" s="136">
        <f t="shared" si="25"/>
        <v>6</v>
      </c>
      <c r="I177" s="136">
        <f t="shared" si="25"/>
        <v>3</v>
      </c>
      <c r="J177" s="136">
        <f t="shared" si="25"/>
        <v>6</v>
      </c>
      <c r="K177" s="136">
        <f t="shared" si="25"/>
        <v>2</v>
      </c>
      <c r="L177" s="136">
        <f t="shared" si="25"/>
        <v>4</v>
      </c>
      <c r="M177" s="136">
        <f t="shared" si="25"/>
        <v>3</v>
      </c>
      <c r="N177" s="136">
        <f t="shared" si="25"/>
        <v>5</v>
      </c>
      <c r="O177" s="136">
        <f t="shared" si="25"/>
        <v>7</v>
      </c>
      <c r="P177" s="136">
        <f t="shared" si="25"/>
        <v>7</v>
      </c>
      <c r="Q177" s="136">
        <f t="shared" si="25"/>
        <v>3</v>
      </c>
      <c r="R177" s="136">
        <f t="shared" si="25"/>
        <v>4</v>
      </c>
      <c r="S177" s="136">
        <f t="shared" si="25"/>
        <v>4</v>
      </c>
      <c r="T177" s="136">
        <f t="shared" si="25"/>
        <v>7</v>
      </c>
      <c r="U177" s="136">
        <f t="shared" si="25"/>
        <v>3</v>
      </c>
      <c r="V177" s="136">
        <f t="shared" si="25"/>
        <v>5</v>
      </c>
      <c r="W177" s="136">
        <f t="shared" si="25"/>
        <v>2</v>
      </c>
      <c r="X177" s="136">
        <f t="shared" si="25"/>
        <v>1</v>
      </c>
      <c r="Y177" s="136">
        <f t="shared" si="25"/>
        <v>2</v>
      </c>
      <c r="Z177" s="136">
        <f t="shared" si="25"/>
        <v>3</v>
      </c>
      <c r="AA177" s="136">
        <f t="shared" si="25"/>
        <v>3</v>
      </c>
      <c r="AB177" s="136">
        <f t="shared" si="25"/>
        <v>2</v>
      </c>
      <c r="AC177" s="136">
        <f t="shared" si="25"/>
        <v>7</v>
      </c>
      <c r="AD177" s="136">
        <f t="shared" si="25"/>
        <v>5</v>
      </c>
      <c r="AE177" s="136">
        <f t="shared" si="25"/>
        <v>4</v>
      </c>
      <c r="AF177" s="240">
        <f t="shared" si="25"/>
        <v>0</v>
      </c>
      <c r="AG177" s="137">
        <f t="shared" si="20"/>
        <v>120</v>
      </c>
      <c r="AH177" s="111" t="s">
        <v>116</v>
      </c>
    </row>
    <row r="178" spans="1:35" ht="15.75" customHeight="1" x14ac:dyDescent="0.25">
      <c r="A178" s="138" t="s">
        <v>117</v>
      </c>
      <c r="B178" s="139">
        <v>1</v>
      </c>
      <c r="C178" s="140">
        <v>0</v>
      </c>
      <c r="D178" s="140">
        <v>0</v>
      </c>
      <c r="E178" s="140">
        <v>3</v>
      </c>
      <c r="F178" s="140">
        <v>1</v>
      </c>
      <c r="G178" s="140">
        <v>1</v>
      </c>
      <c r="H178" s="140">
        <v>1</v>
      </c>
      <c r="I178" s="140">
        <v>0</v>
      </c>
      <c r="J178" s="140">
        <v>0</v>
      </c>
      <c r="K178" s="140">
        <v>0</v>
      </c>
      <c r="L178" s="140">
        <v>1</v>
      </c>
      <c r="M178" s="140">
        <v>1</v>
      </c>
      <c r="N178" s="140">
        <v>1</v>
      </c>
      <c r="O178" s="140">
        <v>1</v>
      </c>
      <c r="P178" s="140">
        <v>0</v>
      </c>
      <c r="Q178" s="140">
        <v>1</v>
      </c>
      <c r="R178" s="140">
        <v>0</v>
      </c>
      <c r="S178" s="140">
        <v>1</v>
      </c>
      <c r="T178" s="140">
        <v>0</v>
      </c>
      <c r="U178" s="140">
        <v>0</v>
      </c>
      <c r="V178" s="140">
        <v>2</v>
      </c>
      <c r="W178" s="140">
        <v>0</v>
      </c>
      <c r="X178" s="140">
        <v>0</v>
      </c>
      <c r="Y178" s="140">
        <v>0</v>
      </c>
      <c r="Z178" s="140">
        <v>1</v>
      </c>
      <c r="AA178" s="140">
        <v>0</v>
      </c>
      <c r="AB178" s="140">
        <v>0</v>
      </c>
      <c r="AC178" s="140">
        <v>1</v>
      </c>
      <c r="AD178" s="140">
        <v>0</v>
      </c>
      <c r="AE178" s="140">
        <v>1</v>
      </c>
      <c r="AF178" s="241"/>
      <c r="AG178" s="141">
        <f t="shared" si="20"/>
        <v>18</v>
      </c>
      <c r="AH178" s="111" t="s">
        <v>116</v>
      </c>
    </row>
    <row r="179" spans="1:35" ht="15.75" customHeight="1" thickBot="1" x14ac:dyDescent="0.3">
      <c r="A179" s="58" t="s">
        <v>118</v>
      </c>
      <c r="B179" s="142">
        <v>4</v>
      </c>
      <c r="C179" s="143">
        <v>3</v>
      </c>
      <c r="D179" s="143">
        <v>1</v>
      </c>
      <c r="E179" s="143">
        <v>3</v>
      </c>
      <c r="F179" s="143">
        <v>4</v>
      </c>
      <c r="G179" s="143">
        <v>1</v>
      </c>
      <c r="H179" s="143">
        <v>5</v>
      </c>
      <c r="I179" s="143">
        <v>3</v>
      </c>
      <c r="J179" s="143">
        <v>6</v>
      </c>
      <c r="K179" s="143">
        <v>2</v>
      </c>
      <c r="L179" s="143">
        <v>3</v>
      </c>
      <c r="M179" s="143">
        <v>2</v>
      </c>
      <c r="N179" s="143">
        <v>4</v>
      </c>
      <c r="O179" s="143">
        <v>6</v>
      </c>
      <c r="P179" s="143">
        <v>7</v>
      </c>
      <c r="Q179" s="143">
        <v>2</v>
      </c>
      <c r="R179" s="143">
        <v>4</v>
      </c>
      <c r="S179" s="143">
        <v>3</v>
      </c>
      <c r="T179" s="143">
        <v>7</v>
      </c>
      <c r="U179" s="143">
        <v>3</v>
      </c>
      <c r="V179" s="143">
        <v>3</v>
      </c>
      <c r="W179" s="143">
        <v>2</v>
      </c>
      <c r="X179" s="143">
        <v>1</v>
      </c>
      <c r="Y179" s="143">
        <v>2</v>
      </c>
      <c r="Z179" s="143">
        <v>2</v>
      </c>
      <c r="AA179" s="143">
        <v>3</v>
      </c>
      <c r="AB179" s="143">
        <v>2</v>
      </c>
      <c r="AC179" s="143">
        <v>6</v>
      </c>
      <c r="AD179" s="143">
        <v>5</v>
      </c>
      <c r="AE179" s="143">
        <v>3</v>
      </c>
      <c r="AF179" s="242"/>
      <c r="AG179" s="144">
        <f t="shared" si="20"/>
        <v>102</v>
      </c>
      <c r="AH179" s="111" t="s">
        <v>116</v>
      </c>
    </row>
    <row r="180" spans="1:35" ht="15.75" customHeight="1" x14ac:dyDescent="0.25">
      <c r="A180" s="145" t="s">
        <v>119</v>
      </c>
      <c r="B180" s="146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243"/>
      <c r="AG180" s="148">
        <f t="shared" si="20"/>
        <v>0</v>
      </c>
    </row>
    <row r="181" spans="1:35" ht="15.75" customHeight="1" thickBot="1" x14ac:dyDescent="0.3">
      <c r="A181" s="149" t="s">
        <v>120</v>
      </c>
      <c r="B181" s="150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244"/>
      <c r="AG181" s="152">
        <f t="shared" si="20"/>
        <v>0</v>
      </c>
    </row>
    <row r="182" spans="1:35" ht="15.75" customHeight="1" thickBot="1" x14ac:dyDescent="0.3">
      <c r="A182" s="153" t="s">
        <v>121</v>
      </c>
      <c r="B182" s="154">
        <f t="shared" ref="B182:AF182" si="26">SUM(B183:B208)</f>
        <v>104</v>
      </c>
      <c r="C182" s="155">
        <f t="shared" si="26"/>
        <v>70</v>
      </c>
      <c r="D182" s="155">
        <f t="shared" si="26"/>
        <v>82</v>
      </c>
      <c r="E182" s="155">
        <f t="shared" si="26"/>
        <v>99</v>
      </c>
      <c r="F182" s="155">
        <f t="shared" si="26"/>
        <v>84</v>
      </c>
      <c r="G182" s="155">
        <f t="shared" si="26"/>
        <v>85</v>
      </c>
      <c r="H182" s="155">
        <f t="shared" si="26"/>
        <v>83</v>
      </c>
      <c r="I182" s="155">
        <f t="shared" si="26"/>
        <v>53</v>
      </c>
      <c r="J182" s="155">
        <f t="shared" si="26"/>
        <v>81</v>
      </c>
      <c r="K182" s="155">
        <f t="shared" si="26"/>
        <v>49</v>
      </c>
      <c r="L182" s="155">
        <f t="shared" si="26"/>
        <v>73</v>
      </c>
      <c r="M182" s="155">
        <f t="shared" si="26"/>
        <v>89</v>
      </c>
      <c r="N182" s="155">
        <f t="shared" si="26"/>
        <v>77</v>
      </c>
      <c r="O182" s="155">
        <f t="shared" si="26"/>
        <v>65</v>
      </c>
      <c r="P182" s="155">
        <f t="shared" si="26"/>
        <v>86</v>
      </c>
      <c r="Q182" s="155">
        <f t="shared" si="26"/>
        <v>55</v>
      </c>
      <c r="R182" s="155">
        <f t="shared" si="26"/>
        <v>64</v>
      </c>
      <c r="S182" s="155">
        <f t="shared" si="26"/>
        <v>60</v>
      </c>
      <c r="T182" s="155">
        <f t="shared" si="26"/>
        <v>82</v>
      </c>
      <c r="U182" s="155">
        <f t="shared" si="26"/>
        <v>66</v>
      </c>
      <c r="V182" s="155">
        <f t="shared" si="26"/>
        <v>51</v>
      </c>
      <c r="W182" s="155">
        <f t="shared" si="26"/>
        <v>70</v>
      </c>
      <c r="X182" s="155">
        <f t="shared" si="26"/>
        <v>60</v>
      </c>
      <c r="Y182" s="155">
        <f t="shared" si="26"/>
        <v>30</v>
      </c>
      <c r="Z182" s="155">
        <f t="shared" si="26"/>
        <v>49</v>
      </c>
      <c r="AA182" s="155">
        <f t="shared" si="26"/>
        <v>45</v>
      </c>
      <c r="AB182" s="155">
        <f t="shared" si="26"/>
        <v>52</v>
      </c>
      <c r="AC182" s="155">
        <f t="shared" si="26"/>
        <v>44</v>
      </c>
      <c r="AD182" s="155">
        <f t="shared" si="26"/>
        <v>52</v>
      </c>
      <c r="AE182" s="155">
        <f t="shared" si="26"/>
        <v>42</v>
      </c>
      <c r="AF182" s="245">
        <f t="shared" si="26"/>
        <v>0</v>
      </c>
      <c r="AG182" s="91">
        <f t="shared" si="20"/>
        <v>2002</v>
      </c>
      <c r="AH182" s="78"/>
    </row>
    <row r="183" spans="1:35" ht="15.75" customHeight="1" x14ac:dyDescent="0.25">
      <c r="A183" s="156" t="s">
        <v>122</v>
      </c>
      <c r="B183" s="157">
        <v>5</v>
      </c>
      <c r="C183" s="158">
        <v>7</v>
      </c>
      <c r="D183" s="158">
        <v>4</v>
      </c>
      <c r="E183" s="158">
        <v>4</v>
      </c>
      <c r="F183" s="158">
        <v>5</v>
      </c>
      <c r="G183" s="158">
        <v>2</v>
      </c>
      <c r="H183" s="158">
        <v>3</v>
      </c>
      <c r="I183" s="158">
        <v>8</v>
      </c>
      <c r="J183" s="158">
        <v>2</v>
      </c>
      <c r="K183" s="158">
        <v>5</v>
      </c>
      <c r="L183" s="158">
        <v>1</v>
      </c>
      <c r="M183" s="158">
        <v>3</v>
      </c>
      <c r="N183" s="158">
        <v>1</v>
      </c>
      <c r="O183" s="158">
        <v>7</v>
      </c>
      <c r="P183" s="158">
        <v>2</v>
      </c>
      <c r="Q183" s="158">
        <v>7</v>
      </c>
      <c r="R183" s="158">
        <v>8</v>
      </c>
      <c r="S183" s="158">
        <v>5</v>
      </c>
      <c r="T183" s="158">
        <v>4</v>
      </c>
      <c r="U183" s="158">
        <v>9</v>
      </c>
      <c r="V183" s="158">
        <v>3</v>
      </c>
      <c r="W183" s="158">
        <v>5</v>
      </c>
      <c r="X183" s="158">
        <v>6</v>
      </c>
      <c r="Y183" s="158">
        <v>1</v>
      </c>
      <c r="Z183" s="158">
        <v>5</v>
      </c>
      <c r="AA183" s="158">
        <v>4</v>
      </c>
      <c r="AB183" s="158">
        <v>3</v>
      </c>
      <c r="AC183" s="158">
        <v>4</v>
      </c>
      <c r="AD183" s="158">
        <v>5</v>
      </c>
      <c r="AE183" s="158">
        <v>8</v>
      </c>
      <c r="AF183" s="246"/>
      <c r="AG183" s="159">
        <f t="shared" si="20"/>
        <v>136</v>
      </c>
    </row>
    <row r="184" spans="1:35" ht="15.75" customHeight="1" x14ac:dyDescent="0.25">
      <c r="A184" s="160" t="s">
        <v>123</v>
      </c>
      <c r="B184" s="65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222"/>
      <c r="AG184" s="15">
        <f t="shared" si="20"/>
        <v>0</v>
      </c>
    </row>
    <row r="185" spans="1:35" ht="15.75" customHeight="1" x14ac:dyDescent="0.25">
      <c r="A185" s="160" t="s">
        <v>124</v>
      </c>
      <c r="B185" s="65"/>
      <c r="C185" s="66"/>
      <c r="D185" s="66"/>
      <c r="E185" s="66"/>
      <c r="F185" s="66"/>
      <c r="G185" s="66">
        <v>2</v>
      </c>
      <c r="H185" s="66">
        <v>2</v>
      </c>
      <c r="I185" s="66">
        <v>2</v>
      </c>
      <c r="J185" s="66"/>
      <c r="K185" s="66"/>
      <c r="L185" s="66">
        <v>4</v>
      </c>
      <c r="M185" s="66"/>
      <c r="N185" s="66"/>
      <c r="O185" s="66">
        <v>3</v>
      </c>
      <c r="P185" s="66">
        <v>1</v>
      </c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222"/>
      <c r="AG185" s="15">
        <f t="shared" si="20"/>
        <v>14</v>
      </c>
    </row>
    <row r="186" spans="1:35" ht="15.75" customHeight="1" x14ac:dyDescent="0.25">
      <c r="A186" s="160" t="s">
        <v>125</v>
      </c>
      <c r="B186" s="65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>
        <v>1</v>
      </c>
      <c r="R186" s="66"/>
      <c r="S186" s="66">
        <v>1</v>
      </c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222"/>
      <c r="AG186" s="15">
        <f t="shared" si="20"/>
        <v>2</v>
      </c>
    </row>
    <row r="187" spans="1:35" ht="15.75" customHeight="1" x14ac:dyDescent="0.25">
      <c r="A187" s="161" t="s">
        <v>126</v>
      </c>
      <c r="B187" s="162">
        <v>92</v>
      </c>
      <c r="C187" s="163">
        <v>60</v>
      </c>
      <c r="D187" s="163">
        <v>73</v>
      </c>
      <c r="E187" s="163">
        <v>94</v>
      </c>
      <c r="F187" s="163">
        <v>77</v>
      </c>
      <c r="G187" s="163">
        <v>73</v>
      </c>
      <c r="H187" s="163">
        <v>68</v>
      </c>
      <c r="I187" s="163">
        <v>39</v>
      </c>
      <c r="J187" s="163">
        <v>73</v>
      </c>
      <c r="K187" s="163">
        <v>44</v>
      </c>
      <c r="L187" s="163">
        <v>63</v>
      </c>
      <c r="M187" s="163">
        <v>78</v>
      </c>
      <c r="N187" s="163">
        <v>68</v>
      </c>
      <c r="O187" s="163">
        <v>50</v>
      </c>
      <c r="P187" s="163">
        <v>76</v>
      </c>
      <c r="Q187" s="163">
        <v>43</v>
      </c>
      <c r="R187" s="163">
        <v>55</v>
      </c>
      <c r="S187" s="163">
        <v>52</v>
      </c>
      <c r="T187" s="163">
        <v>75</v>
      </c>
      <c r="U187" s="163">
        <v>55</v>
      </c>
      <c r="V187" s="163">
        <v>48</v>
      </c>
      <c r="W187" s="163">
        <v>59</v>
      </c>
      <c r="X187" s="163">
        <v>49</v>
      </c>
      <c r="Y187" s="163">
        <v>27</v>
      </c>
      <c r="Z187" s="163">
        <v>42</v>
      </c>
      <c r="AA187" s="163">
        <v>41</v>
      </c>
      <c r="AB187" s="163">
        <v>46</v>
      </c>
      <c r="AC187" s="163">
        <v>37</v>
      </c>
      <c r="AD187" s="163">
        <v>44</v>
      </c>
      <c r="AE187" s="163">
        <v>30</v>
      </c>
      <c r="AF187" s="247"/>
      <c r="AG187" s="164">
        <f t="shared" si="20"/>
        <v>1731</v>
      </c>
      <c r="AH187" s="165"/>
      <c r="AI187" s="165"/>
    </row>
    <row r="188" spans="1:35" ht="15.75" customHeight="1" x14ac:dyDescent="0.25">
      <c r="A188" s="160" t="s">
        <v>127</v>
      </c>
      <c r="B188" s="65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222"/>
      <c r="AG188" s="15">
        <f t="shared" si="20"/>
        <v>0</v>
      </c>
    </row>
    <row r="189" spans="1:35" ht="15.75" customHeight="1" x14ac:dyDescent="0.25">
      <c r="A189" s="160" t="s">
        <v>128</v>
      </c>
      <c r="B189" s="65"/>
      <c r="C189" s="66"/>
      <c r="D189" s="66"/>
      <c r="E189" s="66"/>
      <c r="F189" s="66"/>
      <c r="G189" s="66"/>
      <c r="H189" s="66"/>
      <c r="I189" s="66"/>
      <c r="J189" s="66"/>
      <c r="K189" s="66"/>
      <c r="L189" s="66">
        <v>1</v>
      </c>
      <c r="M189" s="66">
        <v>1</v>
      </c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222"/>
      <c r="AG189" s="15">
        <f t="shared" si="20"/>
        <v>2</v>
      </c>
    </row>
    <row r="190" spans="1:35" ht="15.75" customHeight="1" x14ac:dyDescent="0.25">
      <c r="A190" s="160" t="s">
        <v>129</v>
      </c>
      <c r="B190" s="65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222"/>
      <c r="AG190" s="15">
        <f t="shared" si="20"/>
        <v>0</v>
      </c>
    </row>
    <row r="191" spans="1:35" ht="15.75" customHeight="1" x14ac:dyDescent="0.25">
      <c r="A191" s="160" t="s">
        <v>130</v>
      </c>
      <c r="B191" s="65"/>
      <c r="C191" s="66"/>
      <c r="D191" s="66"/>
      <c r="E191" s="66"/>
      <c r="F191" s="66"/>
      <c r="G191" s="66"/>
      <c r="H191" s="66">
        <v>1</v>
      </c>
      <c r="I191" s="66"/>
      <c r="J191" s="66">
        <v>1</v>
      </c>
      <c r="K191" s="66"/>
      <c r="L191" s="66"/>
      <c r="M191" s="66">
        <v>3</v>
      </c>
      <c r="N191" s="66">
        <v>4</v>
      </c>
      <c r="O191" s="66"/>
      <c r="P191" s="66">
        <v>2</v>
      </c>
      <c r="Q191" s="66"/>
      <c r="R191" s="66"/>
      <c r="S191" s="66"/>
      <c r="T191" s="66">
        <v>1</v>
      </c>
      <c r="U191" s="66"/>
      <c r="V191" s="66"/>
      <c r="W191" s="66"/>
      <c r="X191" s="66">
        <v>1</v>
      </c>
      <c r="Y191" s="66"/>
      <c r="Z191" s="66"/>
      <c r="AA191" s="66"/>
      <c r="AB191" s="66"/>
      <c r="AC191" s="66"/>
      <c r="AD191" s="66"/>
      <c r="AE191" s="66"/>
      <c r="AF191" s="222"/>
      <c r="AG191" s="15">
        <f t="shared" si="20"/>
        <v>13</v>
      </c>
    </row>
    <row r="192" spans="1:35" ht="15.75" customHeight="1" x14ac:dyDescent="0.25">
      <c r="A192" s="64" t="s">
        <v>131</v>
      </c>
      <c r="B192" s="65">
        <v>1</v>
      </c>
      <c r="C192" s="66">
        <v>3</v>
      </c>
      <c r="D192" s="66"/>
      <c r="E192" s="66"/>
      <c r="F192" s="66"/>
      <c r="G192" s="66">
        <v>2</v>
      </c>
      <c r="H192" s="66">
        <v>2</v>
      </c>
      <c r="I192" s="66">
        <v>2</v>
      </c>
      <c r="J192" s="66">
        <v>3</v>
      </c>
      <c r="K192" s="66"/>
      <c r="L192" s="66"/>
      <c r="M192" s="66">
        <v>3</v>
      </c>
      <c r="N192" s="66"/>
      <c r="O192" s="66">
        <v>3</v>
      </c>
      <c r="P192" s="66">
        <v>4</v>
      </c>
      <c r="Q192" s="66">
        <v>2</v>
      </c>
      <c r="R192" s="66">
        <v>1</v>
      </c>
      <c r="S192" s="66"/>
      <c r="T192" s="66">
        <v>1</v>
      </c>
      <c r="U192" s="66">
        <v>1</v>
      </c>
      <c r="V192" s="66"/>
      <c r="W192" s="66">
        <v>1</v>
      </c>
      <c r="X192" s="66">
        <v>2</v>
      </c>
      <c r="Y192" s="66"/>
      <c r="Z192" s="66"/>
      <c r="AA192" s="66"/>
      <c r="AB192" s="66"/>
      <c r="AC192" s="66">
        <v>1</v>
      </c>
      <c r="AD192" s="66"/>
      <c r="AE192" s="66"/>
      <c r="AF192" s="222"/>
      <c r="AG192" s="15">
        <f t="shared" si="20"/>
        <v>32</v>
      </c>
    </row>
    <row r="193" spans="1:33" ht="15.75" customHeight="1" x14ac:dyDescent="0.25">
      <c r="A193" s="64" t="s">
        <v>132</v>
      </c>
      <c r="B193" s="65">
        <v>2</v>
      </c>
      <c r="C193" s="66"/>
      <c r="D193" s="66"/>
      <c r="E193" s="66"/>
      <c r="F193" s="66">
        <v>2</v>
      </c>
      <c r="G193" s="66">
        <v>3</v>
      </c>
      <c r="H193" s="66">
        <v>4</v>
      </c>
      <c r="I193" s="66">
        <v>2</v>
      </c>
      <c r="J193" s="66"/>
      <c r="K193" s="66"/>
      <c r="L193" s="66"/>
      <c r="M193" s="66">
        <v>1</v>
      </c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222"/>
      <c r="AG193" s="15">
        <f t="shared" si="20"/>
        <v>14</v>
      </c>
    </row>
    <row r="194" spans="1:33" ht="15.75" customHeight="1" x14ac:dyDescent="0.25">
      <c r="A194" s="64" t="s">
        <v>133</v>
      </c>
      <c r="B194" s="65"/>
      <c r="C194" s="66"/>
      <c r="D194" s="66"/>
      <c r="E194" s="66"/>
      <c r="F194" s="66"/>
      <c r="G194" s="66"/>
      <c r="H194" s="66">
        <v>1</v>
      </c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222"/>
      <c r="AG194" s="15">
        <f t="shared" si="20"/>
        <v>1</v>
      </c>
    </row>
    <row r="195" spans="1:33" ht="15.75" customHeight="1" x14ac:dyDescent="0.25">
      <c r="A195" s="64" t="s">
        <v>134</v>
      </c>
      <c r="B195" s="65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222"/>
      <c r="AG195" s="15">
        <f t="shared" si="20"/>
        <v>0</v>
      </c>
    </row>
    <row r="196" spans="1:33" ht="15.75" customHeight="1" x14ac:dyDescent="0.25">
      <c r="A196" s="166" t="s">
        <v>135</v>
      </c>
      <c r="B196" s="167">
        <v>2</v>
      </c>
      <c r="C196" s="168"/>
      <c r="D196" s="168">
        <v>4</v>
      </c>
      <c r="E196" s="168">
        <v>1</v>
      </c>
      <c r="F196" s="168"/>
      <c r="G196" s="168"/>
      <c r="H196" s="168">
        <v>1</v>
      </c>
      <c r="I196" s="168"/>
      <c r="J196" s="168">
        <v>1</v>
      </c>
      <c r="K196" s="168"/>
      <c r="L196" s="168">
        <v>4</v>
      </c>
      <c r="M196" s="168"/>
      <c r="N196" s="168"/>
      <c r="O196" s="168">
        <v>1</v>
      </c>
      <c r="P196" s="168"/>
      <c r="Q196" s="168">
        <v>2</v>
      </c>
      <c r="R196" s="168"/>
      <c r="S196" s="168">
        <v>1</v>
      </c>
      <c r="T196" s="168"/>
      <c r="U196" s="168"/>
      <c r="V196" s="168"/>
      <c r="W196" s="168">
        <v>2</v>
      </c>
      <c r="X196" s="168">
        <v>2</v>
      </c>
      <c r="Y196" s="168">
        <v>1</v>
      </c>
      <c r="Z196" s="168"/>
      <c r="AA196" s="168"/>
      <c r="AB196" s="168">
        <v>3</v>
      </c>
      <c r="AC196" s="168"/>
      <c r="AD196" s="168">
        <v>3</v>
      </c>
      <c r="AE196" s="168">
        <v>4</v>
      </c>
      <c r="AF196" s="248"/>
      <c r="AG196" s="169">
        <f t="shared" si="20"/>
        <v>32</v>
      </c>
    </row>
    <row r="197" spans="1:33" ht="15.75" customHeight="1" x14ac:dyDescent="0.25">
      <c r="A197" s="170" t="s">
        <v>136</v>
      </c>
      <c r="B197" s="65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222"/>
      <c r="AG197" s="15">
        <f t="shared" si="20"/>
        <v>0</v>
      </c>
    </row>
    <row r="198" spans="1:33" ht="15.75" customHeight="1" x14ac:dyDescent="0.25">
      <c r="A198" s="170" t="s">
        <v>137</v>
      </c>
      <c r="B198" s="65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222"/>
      <c r="AG198" s="15">
        <f t="shared" si="20"/>
        <v>0</v>
      </c>
    </row>
    <row r="199" spans="1:33" ht="15.75" customHeight="1" x14ac:dyDescent="0.25">
      <c r="A199" s="170" t="s">
        <v>138</v>
      </c>
      <c r="B199" s="65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222"/>
      <c r="AG199" s="15">
        <f t="shared" si="20"/>
        <v>0</v>
      </c>
    </row>
    <row r="200" spans="1:33" ht="15.75" customHeight="1" x14ac:dyDescent="0.25">
      <c r="A200" s="170" t="s">
        <v>139</v>
      </c>
      <c r="B200" s="65">
        <v>1</v>
      </c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>
        <v>1</v>
      </c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>
        <v>1</v>
      </c>
      <c r="AA200" s="66"/>
      <c r="AB200" s="66"/>
      <c r="AC200" s="66"/>
      <c r="AD200" s="66"/>
      <c r="AE200" s="66"/>
      <c r="AF200" s="222"/>
      <c r="AG200" s="15">
        <f t="shared" si="20"/>
        <v>3</v>
      </c>
    </row>
    <row r="201" spans="1:33" ht="15.75" customHeight="1" x14ac:dyDescent="0.25">
      <c r="A201" s="170" t="s">
        <v>140</v>
      </c>
      <c r="B201" s="65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222"/>
      <c r="AG201" s="15">
        <f t="shared" si="20"/>
        <v>0</v>
      </c>
    </row>
    <row r="202" spans="1:33" ht="15.75" customHeight="1" x14ac:dyDescent="0.25">
      <c r="A202" s="170" t="s">
        <v>141</v>
      </c>
      <c r="B202" s="65"/>
      <c r="C202" s="66"/>
      <c r="D202" s="66"/>
      <c r="E202" s="66"/>
      <c r="F202" s="66"/>
      <c r="G202" s="66">
        <v>2</v>
      </c>
      <c r="H202" s="66"/>
      <c r="I202" s="66"/>
      <c r="J202" s="66"/>
      <c r="K202" s="66"/>
      <c r="L202" s="66"/>
      <c r="M202" s="66"/>
      <c r="N202" s="66">
        <v>1</v>
      </c>
      <c r="O202" s="66"/>
      <c r="P202" s="66"/>
      <c r="Q202" s="66"/>
      <c r="R202" s="66"/>
      <c r="S202" s="66"/>
      <c r="T202" s="66">
        <v>1</v>
      </c>
      <c r="U202" s="66">
        <v>1</v>
      </c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222"/>
      <c r="AG202" s="15">
        <f t="shared" si="20"/>
        <v>5</v>
      </c>
    </row>
    <row r="203" spans="1:33" ht="15.75" customHeight="1" x14ac:dyDescent="0.25">
      <c r="A203" s="64" t="s">
        <v>142</v>
      </c>
      <c r="B203" s="65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>
        <v>1</v>
      </c>
      <c r="AA203" s="66"/>
      <c r="AB203" s="66"/>
      <c r="AC203" s="66"/>
      <c r="AD203" s="66"/>
      <c r="AE203" s="66"/>
      <c r="AF203" s="222"/>
      <c r="AG203" s="15">
        <f t="shared" si="20"/>
        <v>1</v>
      </c>
    </row>
    <row r="204" spans="1:33" ht="15.75" customHeight="1" x14ac:dyDescent="0.25">
      <c r="A204" s="64" t="s">
        <v>143</v>
      </c>
      <c r="B204" s="65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222"/>
      <c r="AG204" s="15">
        <f t="shared" si="20"/>
        <v>0</v>
      </c>
    </row>
    <row r="205" spans="1:33" ht="15.75" customHeight="1" x14ac:dyDescent="0.25">
      <c r="A205" s="64" t="s">
        <v>144</v>
      </c>
      <c r="B205" s="65"/>
      <c r="C205" s="66"/>
      <c r="D205" s="66"/>
      <c r="E205" s="66"/>
      <c r="F205" s="66"/>
      <c r="G205" s="66"/>
      <c r="H205" s="66"/>
      <c r="I205" s="66"/>
      <c r="J205" s="66">
        <v>1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222"/>
      <c r="AG205" s="15">
        <f t="shared" si="20"/>
        <v>1</v>
      </c>
    </row>
    <row r="206" spans="1:33" ht="15.75" customHeight="1" x14ac:dyDescent="0.25">
      <c r="A206" s="64" t="s">
        <v>145</v>
      </c>
      <c r="B206" s="171"/>
      <c r="C206" s="172"/>
      <c r="D206" s="172">
        <v>1</v>
      </c>
      <c r="E206" s="172"/>
      <c r="F206" s="172"/>
      <c r="G206" s="172">
        <v>1</v>
      </c>
      <c r="H206" s="172">
        <v>1</v>
      </c>
      <c r="I206" s="172"/>
      <c r="J206" s="172"/>
      <c r="K206" s="172"/>
      <c r="L206" s="172"/>
      <c r="M206" s="172"/>
      <c r="N206" s="172">
        <v>1</v>
      </c>
      <c r="O206" s="172"/>
      <c r="P206" s="172"/>
      <c r="Q206" s="172"/>
      <c r="R206" s="172"/>
      <c r="S206" s="172">
        <v>1</v>
      </c>
      <c r="T206" s="172"/>
      <c r="U206" s="172"/>
      <c r="V206" s="172"/>
      <c r="W206" s="172">
        <v>2</v>
      </c>
      <c r="X206" s="172"/>
      <c r="Y206" s="172">
        <v>1</v>
      </c>
      <c r="Z206" s="172"/>
      <c r="AA206" s="172"/>
      <c r="AB206" s="172"/>
      <c r="AC206" s="172">
        <v>2</v>
      </c>
      <c r="AD206" s="172"/>
      <c r="AE206" s="172"/>
      <c r="AF206" s="249"/>
      <c r="AG206" s="15">
        <f t="shared" si="20"/>
        <v>10</v>
      </c>
    </row>
    <row r="207" spans="1:33" ht="15.75" customHeight="1" x14ac:dyDescent="0.25">
      <c r="A207" s="173" t="s">
        <v>146</v>
      </c>
      <c r="B207" s="171">
        <v>1</v>
      </c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>
        <v>2</v>
      </c>
      <c r="O207" s="172"/>
      <c r="P207" s="172">
        <v>1</v>
      </c>
      <c r="Q207" s="172"/>
      <c r="R207" s="172"/>
      <c r="S207" s="172"/>
      <c r="T207" s="172"/>
      <c r="U207" s="172"/>
      <c r="V207" s="172"/>
      <c r="W207" s="172">
        <v>1</v>
      </c>
      <c r="X207" s="172"/>
      <c r="Y207" s="172"/>
      <c r="Z207" s="172"/>
      <c r="AA207" s="172"/>
      <c r="AB207" s="172"/>
      <c r="AC207" s="172"/>
      <c r="AD207" s="172"/>
      <c r="AE207" s="172"/>
      <c r="AF207" s="249"/>
      <c r="AG207" s="15">
        <f t="shared" si="20"/>
        <v>5</v>
      </c>
    </row>
    <row r="208" spans="1:33" ht="15.75" customHeight="1" thickBot="1" x14ac:dyDescent="0.3">
      <c r="A208" s="174" t="s">
        <v>147</v>
      </c>
      <c r="B208" s="171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  <c r="AA208" s="172"/>
      <c r="AB208" s="172"/>
      <c r="AC208" s="172"/>
      <c r="AD208" s="172"/>
      <c r="AE208" s="172"/>
      <c r="AF208" s="249"/>
      <c r="AG208" s="106">
        <f t="shared" si="20"/>
        <v>0</v>
      </c>
    </row>
    <row r="209" spans="1:34" ht="15.75" customHeight="1" thickBot="1" x14ac:dyDescent="0.3">
      <c r="A209" s="175" t="s">
        <v>148</v>
      </c>
      <c r="B209" s="176">
        <f t="shared" ref="B209:AF209" si="27">SUM(B210:B214)</f>
        <v>203</v>
      </c>
      <c r="C209" s="177">
        <f t="shared" si="27"/>
        <v>167</v>
      </c>
      <c r="D209" s="177">
        <f t="shared" si="27"/>
        <v>189</v>
      </c>
      <c r="E209" s="177">
        <f t="shared" si="27"/>
        <v>195</v>
      </c>
      <c r="F209" s="177">
        <f t="shared" si="27"/>
        <v>214</v>
      </c>
      <c r="G209" s="177">
        <f t="shared" si="27"/>
        <v>224</v>
      </c>
      <c r="H209" s="177">
        <f t="shared" si="27"/>
        <v>188</v>
      </c>
      <c r="I209" s="177">
        <f t="shared" si="27"/>
        <v>158</v>
      </c>
      <c r="J209" s="177">
        <f t="shared" si="27"/>
        <v>187</v>
      </c>
      <c r="K209" s="177">
        <f t="shared" si="27"/>
        <v>139</v>
      </c>
      <c r="L209" s="177">
        <f t="shared" si="27"/>
        <v>158</v>
      </c>
      <c r="M209" s="177">
        <f t="shared" si="27"/>
        <v>204</v>
      </c>
      <c r="N209" s="177">
        <f t="shared" si="27"/>
        <v>182</v>
      </c>
      <c r="O209" s="177">
        <f t="shared" si="27"/>
        <v>187</v>
      </c>
      <c r="P209" s="177">
        <f t="shared" si="27"/>
        <v>189</v>
      </c>
      <c r="Q209" s="177">
        <f t="shared" si="27"/>
        <v>180</v>
      </c>
      <c r="R209" s="177">
        <f t="shared" si="27"/>
        <v>169</v>
      </c>
      <c r="S209" s="177">
        <f t="shared" si="27"/>
        <v>149</v>
      </c>
      <c r="T209" s="177">
        <f t="shared" si="27"/>
        <v>213</v>
      </c>
      <c r="U209" s="177">
        <f t="shared" si="27"/>
        <v>186</v>
      </c>
      <c r="V209" s="177">
        <f t="shared" si="27"/>
        <v>182</v>
      </c>
      <c r="W209" s="177">
        <f t="shared" si="27"/>
        <v>173</v>
      </c>
      <c r="X209" s="177">
        <f t="shared" si="27"/>
        <v>175</v>
      </c>
      <c r="Y209" s="177">
        <f t="shared" si="27"/>
        <v>132</v>
      </c>
      <c r="Z209" s="177">
        <f t="shared" si="27"/>
        <v>154</v>
      </c>
      <c r="AA209" s="177">
        <f t="shared" si="27"/>
        <v>164</v>
      </c>
      <c r="AB209" s="177">
        <f t="shared" si="27"/>
        <v>181</v>
      </c>
      <c r="AC209" s="177">
        <f t="shared" si="27"/>
        <v>142</v>
      </c>
      <c r="AD209" s="177">
        <f t="shared" si="27"/>
        <v>161</v>
      </c>
      <c r="AE209" s="177">
        <f t="shared" si="27"/>
        <v>165</v>
      </c>
      <c r="AF209" s="250">
        <f t="shared" si="27"/>
        <v>0</v>
      </c>
      <c r="AG209" s="178">
        <f t="shared" si="20"/>
        <v>5310</v>
      </c>
      <c r="AH209" s="40" t="str">
        <f>IF(AG209&lt;&gt;AG93,"X","")</f>
        <v/>
      </c>
    </row>
    <row r="210" spans="1:34" ht="15.75" customHeight="1" x14ac:dyDescent="0.25">
      <c r="A210" s="179" t="s">
        <v>149</v>
      </c>
      <c r="B210" s="180">
        <v>0</v>
      </c>
      <c r="C210" s="181">
        <v>0</v>
      </c>
      <c r="D210" s="181">
        <v>0</v>
      </c>
      <c r="E210" s="181">
        <v>0</v>
      </c>
      <c r="F210" s="181">
        <v>1</v>
      </c>
      <c r="G210" s="181">
        <v>0</v>
      </c>
      <c r="H210" s="181">
        <v>0</v>
      </c>
      <c r="I210" s="181">
        <v>0</v>
      </c>
      <c r="J210" s="181">
        <v>0</v>
      </c>
      <c r="K210" s="181">
        <v>0</v>
      </c>
      <c r="L210" s="181">
        <v>1</v>
      </c>
      <c r="M210" s="181">
        <v>0</v>
      </c>
      <c r="N210" s="181">
        <v>1</v>
      </c>
      <c r="O210" s="181">
        <v>0</v>
      </c>
      <c r="P210" s="181"/>
      <c r="Q210" s="181">
        <v>0</v>
      </c>
      <c r="R210" s="181">
        <v>0</v>
      </c>
      <c r="S210" s="181">
        <v>0</v>
      </c>
      <c r="T210" s="181">
        <v>0</v>
      </c>
      <c r="U210" s="181">
        <v>0</v>
      </c>
      <c r="V210" s="181">
        <v>1</v>
      </c>
      <c r="W210" s="181">
        <v>0</v>
      </c>
      <c r="X210" s="181">
        <v>0</v>
      </c>
      <c r="Y210" s="181">
        <v>0</v>
      </c>
      <c r="Z210" s="181">
        <v>0</v>
      </c>
      <c r="AA210" s="181">
        <v>0</v>
      </c>
      <c r="AB210" s="181">
        <v>1</v>
      </c>
      <c r="AC210" s="181">
        <v>0</v>
      </c>
      <c r="AD210" s="181">
        <v>0</v>
      </c>
      <c r="AE210" s="181">
        <v>0</v>
      </c>
      <c r="AF210" s="251"/>
      <c r="AG210" s="182">
        <f t="shared" si="20"/>
        <v>5</v>
      </c>
    </row>
    <row r="211" spans="1:34" ht="15.75" customHeight="1" x14ac:dyDescent="0.25">
      <c r="A211" s="183" t="s">
        <v>51</v>
      </c>
      <c r="B211" s="184">
        <v>1</v>
      </c>
      <c r="C211" s="185">
        <v>5</v>
      </c>
      <c r="D211" s="185">
        <v>4</v>
      </c>
      <c r="E211" s="185">
        <v>7</v>
      </c>
      <c r="F211" s="185">
        <v>3</v>
      </c>
      <c r="G211" s="185">
        <v>1</v>
      </c>
      <c r="H211" s="185">
        <v>1</v>
      </c>
      <c r="I211" s="185">
        <v>3</v>
      </c>
      <c r="J211" s="185">
        <v>8</v>
      </c>
      <c r="K211" s="185">
        <v>2</v>
      </c>
      <c r="L211" s="185">
        <v>3</v>
      </c>
      <c r="M211" s="185">
        <v>7</v>
      </c>
      <c r="N211" s="185">
        <v>2</v>
      </c>
      <c r="O211" s="185">
        <v>6</v>
      </c>
      <c r="P211" s="185">
        <v>3</v>
      </c>
      <c r="Q211" s="185">
        <v>5</v>
      </c>
      <c r="R211" s="185">
        <v>3</v>
      </c>
      <c r="S211" s="185">
        <v>8</v>
      </c>
      <c r="T211" s="185">
        <v>1</v>
      </c>
      <c r="U211" s="185">
        <v>6</v>
      </c>
      <c r="V211" s="185">
        <v>7</v>
      </c>
      <c r="W211" s="185">
        <v>7</v>
      </c>
      <c r="X211" s="185">
        <v>2</v>
      </c>
      <c r="Y211" s="185">
        <v>0</v>
      </c>
      <c r="Z211" s="185">
        <v>7</v>
      </c>
      <c r="AA211" s="185">
        <v>2</v>
      </c>
      <c r="AB211" s="185">
        <v>1</v>
      </c>
      <c r="AC211" s="185">
        <v>1</v>
      </c>
      <c r="AD211" s="185">
        <v>3</v>
      </c>
      <c r="AE211" s="185">
        <v>3</v>
      </c>
      <c r="AF211" s="252"/>
      <c r="AG211" s="186">
        <f t="shared" si="20"/>
        <v>112</v>
      </c>
    </row>
    <row r="212" spans="1:34" ht="15.75" customHeight="1" x14ac:dyDescent="0.25">
      <c r="A212" s="183" t="s">
        <v>52</v>
      </c>
      <c r="B212" s="184">
        <v>32</v>
      </c>
      <c r="C212" s="185">
        <v>42</v>
      </c>
      <c r="D212" s="185">
        <v>35</v>
      </c>
      <c r="E212" s="185">
        <v>28</v>
      </c>
      <c r="F212" s="185">
        <v>42</v>
      </c>
      <c r="G212" s="185">
        <v>37</v>
      </c>
      <c r="H212" s="185">
        <v>41</v>
      </c>
      <c r="I212" s="185">
        <v>29</v>
      </c>
      <c r="J212" s="185">
        <v>33</v>
      </c>
      <c r="K212" s="185">
        <v>20</v>
      </c>
      <c r="L212" s="185">
        <v>25</v>
      </c>
      <c r="M212" s="185">
        <v>47</v>
      </c>
      <c r="N212" s="185">
        <v>19</v>
      </c>
      <c r="O212" s="185">
        <v>39</v>
      </c>
      <c r="P212" s="185">
        <v>32</v>
      </c>
      <c r="Q212" s="185">
        <v>33</v>
      </c>
      <c r="R212" s="185">
        <v>31</v>
      </c>
      <c r="S212" s="185">
        <v>27</v>
      </c>
      <c r="T212" s="185">
        <v>37</v>
      </c>
      <c r="U212" s="185">
        <v>42</v>
      </c>
      <c r="V212" s="185">
        <v>37</v>
      </c>
      <c r="W212" s="185">
        <v>29</v>
      </c>
      <c r="X212" s="185">
        <v>33</v>
      </c>
      <c r="Y212" s="185">
        <v>20</v>
      </c>
      <c r="Z212" s="185">
        <v>33</v>
      </c>
      <c r="AA212" s="185">
        <v>23</v>
      </c>
      <c r="AB212" s="185">
        <v>38</v>
      </c>
      <c r="AC212" s="185">
        <v>35</v>
      </c>
      <c r="AD212" s="185">
        <v>31</v>
      </c>
      <c r="AE212" s="185">
        <v>38</v>
      </c>
      <c r="AF212" s="252"/>
      <c r="AG212" s="186">
        <f t="shared" si="20"/>
        <v>988</v>
      </c>
    </row>
    <row r="213" spans="1:34" ht="15.75" customHeight="1" x14ac:dyDescent="0.25">
      <c r="A213" s="183" t="s">
        <v>53</v>
      </c>
      <c r="B213" s="184">
        <v>151</v>
      </c>
      <c r="C213" s="185">
        <v>102</v>
      </c>
      <c r="D213" s="185">
        <v>117</v>
      </c>
      <c r="E213" s="185">
        <v>128</v>
      </c>
      <c r="F213" s="185">
        <v>157</v>
      </c>
      <c r="G213" s="185">
        <v>173</v>
      </c>
      <c r="H213" s="185">
        <v>133</v>
      </c>
      <c r="I213" s="185">
        <v>104</v>
      </c>
      <c r="J213" s="185">
        <v>126</v>
      </c>
      <c r="K213" s="185">
        <v>79</v>
      </c>
      <c r="L213" s="185">
        <v>99</v>
      </c>
      <c r="M213" s="185">
        <v>137</v>
      </c>
      <c r="N213" s="185">
        <v>133</v>
      </c>
      <c r="O213" s="185">
        <v>115</v>
      </c>
      <c r="P213" s="185">
        <v>118</v>
      </c>
      <c r="Q213" s="185">
        <v>109</v>
      </c>
      <c r="R213" s="185">
        <v>90</v>
      </c>
      <c r="S213" s="185">
        <v>85</v>
      </c>
      <c r="T213" s="185">
        <v>148</v>
      </c>
      <c r="U213" s="185">
        <v>100</v>
      </c>
      <c r="V213" s="185">
        <v>113</v>
      </c>
      <c r="W213" s="185">
        <v>100</v>
      </c>
      <c r="X213" s="185">
        <v>105</v>
      </c>
      <c r="Y213" s="185">
        <v>89</v>
      </c>
      <c r="Z213" s="185">
        <v>92</v>
      </c>
      <c r="AA213" s="185">
        <v>94</v>
      </c>
      <c r="AB213" s="185">
        <v>117</v>
      </c>
      <c r="AC213" s="185">
        <v>78</v>
      </c>
      <c r="AD213" s="185">
        <v>94</v>
      </c>
      <c r="AE213" s="185">
        <v>97</v>
      </c>
      <c r="AF213" s="252"/>
      <c r="AG213" s="186">
        <f t="shared" si="20"/>
        <v>3383</v>
      </c>
    </row>
    <row r="214" spans="1:34" ht="15.75" customHeight="1" thickBot="1" x14ac:dyDescent="0.3">
      <c r="A214" s="187" t="s">
        <v>54</v>
      </c>
      <c r="B214" s="188">
        <v>19</v>
      </c>
      <c r="C214" s="189">
        <v>18</v>
      </c>
      <c r="D214" s="189">
        <v>33</v>
      </c>
      <c r="E214" s="189">
        <v>32</v>
      </c>
      <c r="F214" s="189">
        <v>11</v>
      </c>
      <c r="G214" s="189">
        <v>13</v>
      </c>
      <c r="H214" s="189">
        <v>13</v>
      </c>
      <c r="I214" s="189">
        <v>22</v>
      </c>
      <c r="J214" s="189">
        <v>20</v>
      </c>
      <c r="K214" s="189">
        <v>38</v>
      </c>
      <c r="L214" s="189">
        <v>30</v>
      </c>
      <c r="M214" s="189">
        <v>13</v>
      </c>
      <c r="N214" s="189">
        <v>27</v>
      </c>
      <c r="O214" s="189">
        <v>27</v>
      </c>
      <c r="P214" s="189">
        <v>36</v>
      </c>
      <c r="Q214" s="189">
        <v>33</v>
      </c>
      <c r="R214" s="189">
        <v>45</v>
      </c>
      <c r="S214" s="189">
        <v>29</v>
      </c>
      <c r="T214" s="189">
        <v>27</v>
      </c>
      <c r="U214" s="189">
        <v>38</v>
      </c>
      <c r="V214" s="189">
        <v>24</v>
      </c>
      <c r="W214" s="189">
        <v>37</v>
      </c>
      <c r="X214" s="189">
        <v>35</v>
      </c>
      <c r="Y214" s="189">
        <v>23</v>
      </c>
      <c r="Z214" s="189">
        <v>22</v>
      </c>
      <c r="AA214" s="189">
        <v>45</v>
      </c>
      <c r="AB214" s="189">
        <v>24</v>
      </c>
      <c r="AC214" s="189">
        <v>28</v>
      </c>
      <c r="AD214" s="189">
        <v>33</v>
      </c>
      <c r="AE214" s="189">
        <v>27</v>
      </c>
      <c r="AF214" s="253"/>
      <c r="AG214" s="190">
        <f t="shared" si="20"/>
        <v>822</v>
      </c>
    </row>
    <row r="215" spans="1:34" ht="15.75" customHeight="1" thickBot="1" x14ac:dyDescent="0.3">
      <c r="A215" s="113" t="s">
        <v>150</v>
      </c>
      <c r="B215" s="114">
        <f t="shared" ref="B215:AF215" si="28">SUM(B216:B218)</f>
        <v>0</v>
      </c>
      <c r="C215" s="115">
        <f t="shared" si="28"/>
        <v>0</v>
      </c>
      <c r="D215" s="115">
        <f t="shared" si="28"/>
        <v>0</v>
      </c>
      <c r="E215" s="115">
        <f t="shared" si="28"/>
        <v>0</v>
      </c>
      <c r="F215" s="115">
        <f t="shared" si="28"/>
        <v>0</v>
      </c>
      <c r="G215" s="115">
        <f t="shared" si="28"/>
        <v>0</v>
      </c>
      <c r="H215" s="115">
        <f t="shared" si="28"/>
        <v>0</v>
      </c>
      <c r="I215" s="115">
        <f t="shared" si="28"/>
        <v>0</v>
      </c>
      <c r="J215" s="115">
        <f t="shared" si="28"/>
        <v>0</v>
      </c>
      <c r="K215" s="115">
        <f t="shared" si="28"/>
        <v>0</v>
      </c>
      <c r="L215" s="115">
        <f t="shared" si="28"/>
        <v>0</v>
      </c>
      <c r="M215" s="115">
        <f t="shared" si="28"/>
        <v>0</v>
      </c>
      <c r="N215" s="115">
        <f t="shared" si="28"/>
        <v>0</v>
      </c>
      <c r="O215" s="115">
        <f t="shared" si="28"/>
        <v>0</v>
      </c>
      <c r="P215" s="115">
        <f t="shared" si="28"/>
        <v>0</v>
      </c>
      <c r="Q215" s="115">
        <f t="shared" si="28"/>
        <v>0</v>
      </c>
      <c r="R215" s="115">
        <f t="shared" si="28"/>
        <v>0</v>
      </c>
      <c r="S215" s="115">
        <f t="shared" si="28"/>
        <v>0</v>
      </c>
      <c r="T215" s="115">
        <f t="shared" si="28"/>
        <v>0</v>
      </c>
      <c r="U215" s="115">
        <f t="shared" si="28"/>
        <v>0</v>
      </c>
      <c r="V215" s="115">
        <f t="shared" si="28"/>
        <v>0</v>
      </c>
      <c r="W215" s="115">
        <f t="shared" si="28"/>
        <v>0</v>
      </c>
      <c r="X215" s="115">
        <f t="shared" si="28"/>
        <v>0</v>
      </c>
      <c r="Y215" s="115">
        <f t="shared" si="28"/>
        <v>0</v>
      </c>
      <c r="Z215" s="115">
        <f t="shared" si="28"/>
        <v>0</v>
      </c>
      <c r="AA215" s="115">
        <f t="shared" si="28"/>
        <v>0</v>
      </c>
      <c r="AB215" s="115">
        <f t="shared" si="28"/>
        <v>0</v>
      </c>
      <c r="AC215" s="115">
        <f t="shared" si="28"/>
        <v>0</v>
      </c>
      <c r="AD215" s="115">
        <f t="shared" si="28"/>
        <v>0</v>
      </c>
      <c r="AE215" s="115">
        <f t="shared" si="28"/>
        <v>0</v>
      </c>
      <c r="AF215" s="234">
        <f t="shared" si="28"/>
        <v>0</v>
      </c>
      <c r="AG215" s="116">
        <f t="shared" si="20"/>
        <v>0</v>
      </c>
    </row>
    <row r="216" spans="1:34" ht="15.75" customHeight="1" x14ac:dyDescent="0.25">
      <c r="A216" s="191" t="s">
        <v>151</v>
      </c>
      <c r="B216" s="192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254"/>
      <c r="AG216" s="194">
        <f t="shared" si="20"/>
        <v>0</v>
      </c>
    </row>
    <row r="217" spans="1:34" ht="15.75" customHeight="1" x14ac:dyDescent="0.25">
      <c r="A217" s="195" t="s">
        <v>152</v>
      </c>
      <c r="B217" s="196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255"/>
      <c r="AG217" s="164">
        <f t="shared" si="20"/>
        <v>0</v>
      </c>
    </row>
    <row r="218" spans="1:34" ht="15.75" customHeight="1" thickBot="1" x14ac:dyDescent="0.3">
      <c r="A218" s="195" t="s">
        <v>153</v>
      </c>
      <c r="B218" s="196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255"/>
      <c r="AG218" s="164">
        <f t="shared" si="20"/>
        <v>0</v>
      </c>
    </row>
    <row r="219" spans="1:34" ht="15.75" customHeight="1" thickBot="1" x14ac:dyDescent="0.3">
      <c r="A219" s="88" t="s">
        <v>154</v>
      </c>
      <c r="B219" s="89">
        <f t="shared" ref="B219:AF219" si="29">SUM(B220:B222)</f>
        <v>0</v>
      </c>
      <c r="C219" s="90">
        <f t="shared" si="29"/>
        <v>0</v>
      </c>
      <c r="D219" s="90">
        <f t="shared" si="29"/>
        <v>0</v>
      </c>
      <c r="E219" s="90">
        <f t="shared" si="29"/>
        <v>0</v>
      </c>
      <c r="F219" s="90">
        <f t="shared" si="29"/>
        <v>0</v>
      </c>
      <c r="G219" s="90">
        <f t="shared" si="29"/>
        <v>0</v>
      </c>
      <c r="H219" s="90">
        <f t="shared" si="29"/>
        <v>0</v>
      </c>
      <c r="I219" s="90">
        <f t="shared" si="29"/>
        <v>0</v>
      </c>
      <c r="J219" s="90">
        <f t="shared" si="29"/>
        <v>0</v>
      </c>
      <c r="K219" s="90">
        <f t="shared" si="29"/>
        <v>0</v>
      </c>
      <c r="L219" s="90">
        <f t="shared" si="29"/>
        <v>0</v>
      </c>
      <c r="M219" s="90">
        <f t="shared" si="29"/>
        <v>0</v>
      </c>
      <c r="N219" s="90">
        <f t="shared" si="29"/>
        <v>0</v>
      </c>
      <c r="O219" s="90">
        <f t="shared" si="29"/>
        <v>0</v>
      </c>
      <c r="P219" s="90">
        <f t="shared" si="29"/>
        <v>0</v>
      </c>
      <c r="Q219" s="90">
        <f t="shared" si="29"/>
        <v>0</v>
      </c>
      <c r="R219" s="90">
        <f t="shared" si="29"/>
        <v>0</v>
      </c>
      <c r="S219" s="90">
        <f t="shared" si="29"/>
        <v>0</v>
      </c>
      <c r="T219" s="90">
        <f t="shared" si="29"/>
        <v>0</v>
      </c>
      <c r="U219" s="90">
        <f t="shared" si="29"/>
        <v>0</v>
      </c>
      <c r="V219" s="90">
        <f t="shared" si="29"/>
        <v>0</v>
      </c>
      <c r="W219" s="90">
        <f t="shared" si="29"/>
        <v>0</v>
      </c>
      <c r="X219" s="90">
        <f t="shared" si="29"/>
        <v>0</v>
      </c>
      <c r="Y219" s="90">
        <f t="shared" si="29"/>
        <v>0</v>
      </c>
      <c r="Z219" s="90">
        <f t="shared" si="29"/>
        <v>0</v>
      </c>
      <c r="AA219" s="90">
        <f t="shared" si="29"/>
        <v>0</v>
      </c>
      <c r="AB219" s="90">
        <f t="shared" si="29"/>
        <v>0</v>
      </c>
      <c r="AC219" s="90">
        <f t="shared" si="29"/>
        <v>0</v>
      </c>
      <c r="AD219" s="90">
        <f t="shared" si="29"/>
        <v>0</v>
      </c>
      <c r="AE219" s="90">
        <f t="shared" si="29"/>
        <v>0</v>
      </c>
      <c r="AF219" s="90">
        <f t="shared" si="29"/>
        <v>0</v>
      </c>
      <c r="AG219" s="91">
        <f t="shared" si="20"/>
        <v>0</v>
      </c>
    </row>
    <row r="220" spans="1:34" ht="15.75" customHeight="1" x14ac:dyDescent="0.25">
      <c r="A220" s="198" t="s">
        <v>155</v>
      </c>
      <c r="B220" s="199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1">
        <f t="shared" si="20"/>
        <v>0</v>
      </c>
    </row>
    <row r="221" spans="1:34" ht="15.75" customHeight="1" x14ac:dyDescent="0.25">
      <c r="A221" s="202" t="s">
        <v>156</v>
      </c>
      <c r="B221" s="120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2">
        <f t="shared" si="20"/>
        <v>0</v>
      </c>
    </row>
    <row r="222" spans="1:34" ht="15.75" customHeight="1" thickBot="1" x14ac:dyDescent="0.3">
      <c r="A222" s="74" t="s">
        <v>157</v>
      </c>
      <c r="B222" s="75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112">
        <f t="shared" si="20"/>
        <v>0</v>
      </c>
    </row>
    <row r="223" spans="1:34" ht="15.75" customHeight="1" x14ac:dyDescent="0.25">
      <c r="A223" s="203" t="s">
        <v>158</v>
      </c>
      <c r="B223" s="85">
        <f t="shared" ref="B223:AF223" si="30">SUM(B224:B226)</f>
        <v>3</v>
      </c>
      <c r="C223" s="86">
        <f t="shared" si="30"/>
        <v>4</v>
      </c>
      <c r="D223" s="86">
        <f t="shared" si="30"/>
        <v>3</v>
      </c>
      <c r="E223" s="86">
        <f t="shared" si="30"/>
        <v>3</v>
      </c>
      <c r="F223" s="86">
        <f t="shared" si="30"/>
        <v>5</v>
      </c>
      <c r="G223" s="86">
        <f t="shared" si="30"/>
        <v>4</v>
      </c>
      <c r="H223" s="86">
        <f t="shared" si="30"/>
        <v>3</v>
      </c>
      <c r="I223" s="86">
        <f t="shared" si="30"/>
        <v>3</v>
      </c>
      <c r="J223" s="86">
        <f t="shared" si="30"/>
        <v>4</v>
      </c>
      <c r="K223" s="86">
        <f t="shared" si="30"/>
        <v>1</v>
      </c>
      <c r="L223" s="86">
        <f t="shared" si="30"/>
        <v>3</v>
      </c>
      <c r="M223" s="86">
        <f t="shared" si="30"/>
        <v>5</v>
      </c>
      <c r="N223" s="86">
        <f t="shared" si="30"/>
        <v>1</v>
      </c>
      <c r="O223" s="86">
        <f t="shared" si="30"/>
        <v>3</v>
      </c>
      <c r="P223" s="86">
        <f t="shared" si="30"/>
        <v>2</v>
      </c>
      <c r="Q223" s="86">
        <f t="shared" si="30"/>
        <v>2</v>
      </c>
      <c r="R223" s="86">
        <f t="shared" si="30"/>
        <v>2</v>
      </c>
      <c r="S223" s="86">
        <f t="shared" si="30"/>
        <v>0</v>
      </c>
      <c r="T223" s="86">
        <f t="shared" si="30"/>
        <v>2</v>
      </c>
      <c r="U223" s="86">
        <f t="shared" si="30"/>
        <v>4</v>
      </c>
      <c r="V223" s="86">
        <f t="shared" si="30"/>
        <v>4</v>
      </c>
      <c r="W223" s="86">
        <f t="shared" si="30"/>
        <v>8</v>
      </c>
      <c r="X223" s="86">
        <f t="shared" si="30"/>
        <v>4</v>
      </c>
      <c r="Y223" s="86">
        <f t="shared" si="30"/>
        <v>2</v>
      </c>
      <c r="Z223" s="86">
        <f t="shared" si="30"/>
        <v>2</v>
      </c>
      <c r="AA223" s="86">
        <f t="shared" si="30"/>
        <v>0</v>
      </c>
      <c r="AB223" s="86">
        <f t="shared" si="30"/>
        <v>5</v>
      </c>
      <c r="AC223" s="86">
        <f t="shared" si="30"/>
        <v>4</v>
      </c>
      <c r="AD223" s="86">
        <f t="shared" si="30"/>
        <v>3</v>
      </c>
      <c r="AE223" s="86">
        <f t="shared" si="30"/>
        <v>2</v>
      </c>
      <c r="AF223" s="86">
        <f t="shared" si="30"/>
        <v>0</v>
      </c>
      <c r="AG223" s="110">
        <f t="shared" si="20"/>
        <v>91</v>
      </c>
      <c r="AH223" s="364" t="s">
        <v>159</v>
      </c>
    </row>
    <row r="224" spans="1:34" ht="15.75" customHeight="1" x14ac:dyDescent="0.25">
      <c r="A224" s="204" t="s">
        <v>160</v>
      </c>
      <c r="B224" s="205">
        <v>1</v>
      </c>
      <c r="C224" s="206">
        <v>1</v>
      </c>
      <c r="D224" s="206">
        <v>2</v>
      </c>
      <c r="E224" s="206">
        <v>1</v>
      </c>
      <c r="F224" s="206">
        <v>1</v>
      </c>
      <c r="G224" s="206">
        <v>2</v>
      </c>
      <c r="H224" s="206">
        <v>1</v>
      </c>
      <c r="I224" s="206">
        <v>1</v>
      </c>
      <c r="J224" s="206">
        <v>2</v>
      </c>
      <c r="K224" s="206">
        <v>0</v>
      </c>
      <c r="L224" s="206">
        <v>0</v>
      </c>
      <c r="M224" s="206">
        <v>3</v>
      </c>
      <c r="N224" s="205">
        <v>0</v>
      </c>
      <c r="O224" s="206">
        <v>1</v>
      </c>
      <c r="P224" s="206">
        <v>1</v>
      </c>
      <c r="Q224" s="206">
        <v>0</v>
      </c>
      <c r="R224" s="206">
        <v>2</v>
      </c>
      <c r="S224" s="206">
        <v>0</v>
      </c>
      <c r="T224" s="206">
        <v>0</v>
      </c>
      <c r="U224" s="206">
        <v>2</v>
      </c>
      <c r="V224" s="206">
        <v>2</v>
      </c>
      <c r="W224" s="206">
        <v>4</v>
      </c>
      <c r="X224" s="206">
        <v>2</v>
      </c>
      <c r="Y224" s="206">
        <v>1</v>
      </c>
      <c r="Z224" s="256">
        <v>1</v>
      </c>
      <c r="AA224" s="206">
        <v>0</v>
      </c>
      <c r="AB224" s="206">
        <v>2</v>
      </c>
      <c r="AC224" s="206">
        <v>2</v>
      </c>
      <c r="AD224" s="206">
        <v>1</v>
      </c>
      <c r="AE224" s="206">
        <v>1</v>
      </c>
      <c r="AF224" s="257"/>
      <c r="AG224" s="207">
        <f t="shared" si="20"/>
        <v>37</v>
      </c>
      <c r="AH224" s="365"/>
    </row>
    <row r="225" spans="1:34" ht="15.75" customHeight="1" x14ac:dyDescent="0.25">
      <c r="A225" s="204" t="s">
        <v>161</v>
      </c>
      <c r="B225" s="205">
        <v>2</v>
      </c>
      <c r="C225" s="206">
        <v>3</v>
      </c>
      <c r="D225" s="206">
        <v>1</v>
      </c>
      <c r="E225" s="206">
        <v>2</v>
      </c>
      <c r="F225" s="206">
        <v>4</v>
      </c>
      <c r="G225" s="206">
        <v>2</v>
      </c>
      <c r="H225" s="206">
        <v>2</v>
      </c>
      <c r="I225" s="206">
        <v>2</v>
      </c>
      <c r="J225" s="206">
        <v>2</v>
      </c>
      <c r="K225" s="206">
        <v>1</v>
      </c>
      <c r="L225" s="206">
        <v>3</v>
      </c>
      <c r="M225" s="206">
        <v>2</v>
      </c>
      <c r="N225" s="205">
        <v>1</v>
      </c>
      <c r="O225" s="206">
        <v>2</v>
      </c>
      <c r="P225" s="206">
        <v>1</v>
      </c>
      <c r="Q225" s="206">
        <v>2</v>
      </c>
      <c r="R225" s="206">
        <v>0</v>
      </c>
      <c r="S225" s="206">
        <v>0</v>
      </c>
      <c r="T225" s="206">
        <v>2</v>
      </c>
      <c r="U225" s="206">
        <v>2</v>
      </c>
      <c r="V225" s="206">
        <v>2</v>
      </c>
      <c r="W225" s="206">
        <v>4</v>
      </c>
      <c r="X225" s="206">
        <v>2</v>
      </c>
      <c r="Y225" s="206">
        <v>1</v>
      </c>
      <c r="Z225" s="256">
        <v>1</v>
      </c>
      <c r="AA225" s="206">
        <v>0</v>
      </c>
      <c r="AB225" s="206">
        <v>3</v>
      </c>
      <c r="AC225" s="206">
        <v>2</v>
      </c>
      <c r="AD225" s="206">
        <v>2</v>
      </c>
      <c r="AE225" s="206">
        <v>1</v>
      </c>
      <c r="AF225" s="257"/>
      <c r="AG225" s="207">
        <f t="shared" si="20"/>
        <v>54</v>
      </c>
      <c r="AH225" s="365"/>
    </row>
    <row r="226" spans="1:34" ht="15.75" customHeight="1" thickBot="1" x14ac:dyDescent="0.3">
      <c r="A226" s="208" t="s">
        <v>162</v>
      </c>
      <c r="B226" s="209"/>
      <c r="C226" s="210"/>
      <c r="D226" s="210"/>
      <c r="E226" s="210"/>
      <c r="F226" s="210"/>
      <c r="G226" s="210"/>
      <c r="H226" s="210"/>
      <c r="I226" s="210"/>
      <c r="J226" s="210"/>
      <c r="K226" s="211"/>
      <c r="L226" s="211"/>
      <c r="M226" s="211"/>
      <c r="N226" s="258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60"/>
      <c r="AG226" s="106">
        <f t="shared" si="20"/>
        <v>0</v>
      </c>
      <c r="AH226" s="366"/>
    </row>
    <row r="227" spans="1:34" ht="15.75" customHeight="1" x14ac:dyDescent="0.25"/>
    <row r="228" spans="1:34" ht="15.75" customHeight="1" x14ac:dyDescent="0.25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</row>
    <row r="229" spans="1:34" ht="15.75" customHeight="1" x14ac:dyDescent="0.25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</row>
    <row r="230" spans="1:34" ht="15.75" customHeight="1" x14ac:dyDescent="0.25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</row>
    <row r="231" spans="1:34" ht="15.75" customHeight="1" x14ac:dyDescent="0.25"/>
    <row r="232" spans="1:34" ht="15.75" customHeight="1" x14ac:dyDescent="0.25"/>
    <row r="233" spans="1:34" ht="15.75" customHeight="1" x14ac:dyDescent="0.25"/>
    <row r="234" spans="1:34" ht="15.75" customHeight="1" x14ac:dyDescent="0.25"/>
    <row r="235" spans="1:34" ht="15.75" customHeight="1" x14ac:dyDescent="0.25"/>
    <row r="236" spans="1:34" ht="15.75" customHeight="1" x14ac:dyDescent="0.25"/>
    <row r="237" spans="1:34" ht="15.75" customHeight="1" x14ac:dyDescent="0.25"/>
    <row r="238" spans="1:34" ht="15.75" customHeight="1" x14ac:dyDescent="0.25"/>
    <row r="239" spans="1:34" ht="15.75" customHeight="1" x14ac:dyDescent="0.25"/>
    <row r="240" spans="1:3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9.5" customHeight="1" x14ac:dyDescent="0.25"/>
    <row r="258" ht="15.75" customHeight="1" x14ac:dyDescent="0.25"/>
    <row r="259" ht="18.75" customHeight="1" x14ac:dyDescent="0.25"/>
    <row r="260" ht="15.75" customHeight="1" x14ac:dyDescent="0.25"/>
    <row r="261" ht="15.75" customHeight="1" x14ac:dyDescent="0.25"/>
    <row r="262" ht="18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G1"/>
    <mergeCell ref="AI84:AI86"/>
    <mergeCell ref="AH223:AH226"/>
  </mergeCells>
  <conditionalFormatting sqref="B29:AF52">
    <cfRule type="cellIs" dxfId="56" priority="5" operator="lessThan">
      <formula>0</formula>
    </cfRule>
  </conditionalFormatting>
  <conditionalFormatting sqref="D54:D77">
    <cfRule type="cellIs" dxfId="55" priority="9" operator="lessThan">
      <formula>0</formula>
    </cfRule>
  </conditionalFormatting>
  <conditionalFormatting sqref="G54:G77">
    <cfRule type="cellIs" dxfId="54" priority="10" operator="lessThan">
      <formula>0</formula>
    </cfRule>
  </conditionalFormatting>
  <conditionalFormatting sqref="AH81">
    <cfRule type="cellIs" dxfId="53" priority="7" operator="equal">
      <formula>"*"</formula>
    </cfRule>
  </conditionalFormatting>
  <conditionalFormatting sqref="AH84 AH87">
    <cfRule type="cellIs" dxfId="52" priority="6" operator="equal">
      <formula>"*"</formula>
    </cfRule>
  </conditionalFormatting>
  <conditionalFormatting sqref="AH93">
    <cfRule type="cellIs" dxfId="51" priority="1" operator="equal">
      <formula>"*"</formula>
    </cfRule>
  </conditionalFormatting>
  <conditionalFormatting sqref="AH130">
    <cfRule type="cellIs" dxfId="50" priority="3" operator="equal">
      <formula>"*"</formula>
    </cfRule>
  </conditionalFormatting>
  <conditionalFormatting sqref="AH144:AH145">
    <cfRule type="cellIs" dxfId="49" priority="2" operator="equal">
      <formula>"*"</formula>
    </cfRule>
  </conditionalFormatting>
  <conditionalFormatting sqref="AH182">
    <cfRule type="cellIs" dxfId="48" priority="4" operator="equal">
      <formula>"*"</formula>
    </cfRule>
  </conditionalFormatting>
  <conditionalFormatting sqref="AH209">
    <cfRule type="cellIs" dxfId="47" priority="8" operator="equal">
      <formula>"X"</formula>
    </cfRule>
  </conditionalFormatting>
  <dataValidations count="1">
    <dataValidation type="decimal" allowBlank="1" showInputMessage="1" showErrorMessage="1" prompt="ERROR - Por favor ingrese solo Números" sqref="A98:A99 A101:A115" xr:uid="{00000000-0002-0000-0700-000000000000}">
      <formula1>0</formula1>
      <formula2>1000000000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AI1000"/>
  <sheetViews>
    <sheetView zoomScale="80" zoomScaleNormal="80" workbookViewId="0">
      <pane ySplit="3" topLeftCell="A139" activePane="bottomLeft" state="frozen"/>
      <selection activeCell="A192" sqref="A192:XFD192"/>
      <selection pane="bottomLeft" activeCell="A192" sqref="A192:XFD192"/>
    </sheetView>
  </sheetViews>
  <sheetFormatPr baseColWidth="10" defaultColWidth="14.42578125" defaultRowHeight="15" x14ac:dyDescent="0.25"/>
  <cols>
    <col min="1" max="1" width="34.7109375" customWidth="1"/>
    <col min="2" max="13" width="8.28515625" customWidth="1"/>
    <col min="14" max="14" width="10.140625" customWidth="1"/>
    <col min="15" max="16" width="8.28515625" customWidth="1"/>
    <col min="17" max="17" width="8.140625" customWidth="1"/>
    <col min="18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  <col min="35" max="35" width="10.7109375" customWidth="1"/>
  </cols>
  <sheetData>
    <row r="1" spans="1:33" ht="21.75" thickBot="1" x14ac:dyDescent="0.3">
      <c r="A1" s="358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60"/>
    </row>
    <row r="2" spans="1:33" ht="29.25" thickBot="1" x14ac:dyDescent="0.3">
      <c r="A2" s="1" t="s">
        <v>0</v>
      </c>
      <c r="B2" s="2">
        <v>1</v>
      </c>
      <c r="C2" s="212">
        <f t="shared" ref="C2:AA2" si="0">+B2+1</f>
        <v>2</v>
      </c>
      <c r="D2" s="212">
        <f t="shared" si="0"/>
        <v>3</v>
      </c>
      <c r="E2" s="212">
        <f t="shared" si="0"/>
        <v>4</v>
      </c>
      <c r="F2" s="212">
        <f t="shared" si="0"/>
        <v>5</v>
      </c>
      <c r="G2" s="212">
        <f t="shared" si="0"/>
        <v>6</v>
      </c>
      <c r="H2" s="212">
        <f t="shared" si="0"/>
        <v>7</v>
      </c>
      <c r="I2" s="212">
        <f t="shared" si="0"/>
        <v>8</v>
      </c>
      <c r="J2" s="212">
        <f t="shared" si="0"/>
        <v>9</v>
      </c>
      <c r="K2" s="212">
        <f t="shared" si="0"/>
        <v>10</v>
      </c>
      <c r="L2" s="212">
        <f t="shared" si="0"/>
        <v>11</v>
      </c>
      <c r="M2" s="212">
        <f t="shared" si="0"/>
        <v>12</v>
      </c>
      <c r="N2" s="212">
        <f t="shared" si="0"/>
        <v>13</v>
      </c>
      <c r="O2" s="212">
        <f t="shared" si="0"/>
        <v>14</v>
      </c>
      <c r="P2" s="212">
        <f t="shared" si="0"/>
        <v>15</v>
      </c>
      <c r="Q2" s="212">
        <f t="shared" si="0"/>
        <v>16</v>
      </c>
      <c r="R2" s="212">
        <f t="shared" si="0"/>
        <v>17</v>
      </c>
      <c r="S2" s="212">
        <f t="shared" si="0"/>
        <v>18</v>
      </c>
      <c r="T2" s="212">
        <f t="shared" si="0"/>
        <v>19</v>
      </c>
      <c r="U2" s="212">
        <f t="shared" si="0"/>
        <v>20</v>
      </c>
      <c r="V2" s="212">
        <f t="shared" si="0"/>
        <v>21</v>
      </c>
      <c r="W2" s="212">
        <f t="shared" si="0"/>
        <v>22</v>
      </c>
      <c r="X2" s="212">
        <f t="shared" si="0"/>
        <v>23</v>
      </c>
      <c r="Y2" s="212">
        <f t="shared" si="0"/>
        <v>24</v>
      </c>
      <c r="Z2" s="212">
        <f t="shared" si="0"/>
        <v>25</v>
      </c>
      <c r="AA2" s="212">
        <f t="shared" si="0"/>
        <v>26</v>
      </c>
      <c r="AB2" s="212">
        <v>27</v>
      </c>
      <c r="AC2" s="212">
        <f>+AB2+1</f>
        <v>28</v>
      </c>
      <c r="AD2" s="212">
        <v>29</v>
      </c>
      <c r="AE2" s="212">
        <v>30</v>
      </c>
      <c r="AF2" s="212">
        <v>31</v>
      </c>
      <c r="AG2" s="3" t="s">
        <v>13</v>
      </c>
    </row>
    <row r="3" spans="1:33" ht="19.5" thickBot="1" x14ac:dyDescent="0.3">
      <c r="A3" s="4" t="s">
        <v>14</v>
      </c>
      <c r="B3" s="5">
        <f t="shared" ref="B3:AF3" si="1">SUM(B4:B27)</f>
        <v>181</v>
      </c>
      <c r="C3" s="6">
        <f t="shared" si="1"/>
        <v>149</v>
      </c>
      <c r="D3" s="6">
        <f t="shared" si="1"/>
        <v>201</v>
      </c>
      <c r="E3" s="6">
        <f t="shared" si="1"/>
        <v>147</v>
      </c>
      <c r="F3" s="6">
        <f t="shared" si="1"/>
        <v>155</v>
      </c>
      <c r="G3" s="6">
        <f t="shared" si="1"/>
        <v>181</v>
      </c>
      <c r="H3" s="6">
        <f t="shared" si="1"/>
        <v>143</v>
      </c>
      <c r="I3" s="6">
        <f t="shared" si="1"/>
        <v>164</v>
      </c>
      <c r="J3" s="6">
        <f t="shared" si="1"/>
        <v>170</v>
      </c>
      <c r="K3" s="6">
        <f t="shared" si="1"/>
        <v>197</v>
      </c>
      <c r="L3" s="6">
        <f t="shared" si="1"/>
        <v>159</v>
      </c>
      <c r="M3" s="6">
        <f t="shared" si="1"/>
        <v>173</v>
      </c>
      <c r="N3" s="6">
        <f t="shared" si="1"/>
        <v>161</v>
      </c>
      <c r="O3" s="6">
        <f t="shared" si="1"/>
        <v>152</v>
      </c>
      <c r="P3" s="6">
        <f t="shared" si="1"/>
        <v>174</v>
      </c>
      <c r="Q3" s="6">
        <f t="shared" si="1"/>
        <v>142</v>
      </c>
      <c r="R3" s="6">
        <f t="shared" si="1"/>
        <v>242</v>
      </c>
      <c r="S3" s="6">
        <f t="shared" si="1"/>
        <v>200</v>
      </c>
      <c r="T3" s="6">
        <f t="shared" si="1"/>
        <v>202</v>
      </c>
      <c r="U3" s="6">
        <f t="shared" si="1"/>
        <v>191</v>
      </c>
      <c r="V3" s="6">
        <f t="shared" si="1"/>
        <v>188</v>
      </c>
      <c r="W3" s="6">
        <f t="shared" si="1"/>
        <v>165</v>
      </c>
      <c r="X3" s="6">
        <f t="shared" si="1"/>
        <v>172</v>
      </c>
      <c r="Y3" s="6">
        <f t="shared" si="1"/>
        <v>202</v>
      </c>
      <c r="Z3" s="6">
        <f t="shared" si="1"/>
        <v>201</v>
      </c>
      <c r="AA3" s="6">
        <f t="shared" si="1"/>
        <v>179</v>
      </c>
      <c r="AB3" s="6">
        <f t="shared" si="1"/>
        <v>213</v>
      </c>
      <c r="AC3" s="6">
        <f t="shared" si="1"/>
        <v>193</v>
      </c>
      <c r="AD3" s="6">
        <f t="shared" si="1"/>
        <v>153</v>
      </c>
      <c r="AE3" s="6">
        <f t="shared" si="1"/>
        <v>190</v>
      </c>
      <c r="AF3" s="6">
        <f t="shared" si="1"/>
        <v>259</v>
      </c>
      <c r="AG3" s="7">
        <f t="shared" ref="AG3:AG145" si="2">SUM(B3:AF3)</f>
        <v>5599</v>
      </c>
    </row>
    <row r="4" spans="1:33" ht="18.75" x14ac:dyDescent="0.25">
      <c r="A4" s="8" t="s">
        <v>15</v>
      </c>
      <c r="B4" s="9">
        <v>9</v>
      </c>
      <c r="C4" s="10">
        <v>5</v>
      </c>
      <c r="D4" s="10">
        <v>9</v>
      </c>
      <c r="E4" s="10">
        <v>6</v>
      </c>
      <c r="F4" s="10">
        <v>5</v>
      </c>
      <c r="G4" s="10">
        <v>8</v>
      </c>
      <c r="H4" s="10">
        <v>6</v>
      </c>
      <c r="I4" s="10">
        <v>10</v>
      </c>
      <c r="J4" s="10">
        <v>3</v>
      </c>
      <c r="K4" s="10">
        <v>5</v>
      </c>
      <c r="L4" s="10">
        <v>5</v>
      </c>
      <c r="M4" s="10">
        <v>10</v>
      </c>
      <c r="N4" s="10">
        <v>9</v>
      </c>
      <c r="O4" s="10">
        <v>8</v>
      </c>
      <c r="P4" s="10">
        <v>4</v>
      </c>
      <c r="Q4" s="10">
        <v>4</v>
      </c>
      <c r="R4" s="10">
        <v>12</v>
      </c>
      <c r="S4" s="10">
        <v>17</v>
      </c>
      <c r="T4" s="10">
        <v>6</v>
      </c>
      <c r="U4" s="10">
        <v>12</v>
      </c>
      <c r="V4" s="10">
        <v>9</v>
      </c>
      <c r="W4" s="10">
        <v>9</v>
      </c>
      <c r="X4" s="10">
        <v>5</v>
      </c>
      <c r="Y4" s="10">
        <v>6</v>
      </c>
      <c r="Z4" s="10">
        <v>8</v>
      </c>
      <c r="AA4" s="10">
        <v>9</v>
      </c>
      <c r="AB4" s="10">
        <v>10</v>
      </c>
      <c r="AC4" s="10">
        <v>11</v>
      </c>
      <c r="AD4" s="10">
        <v>8</v>
      </c>
      <c r="AE4" s="10">
        <v>5</v>
      </c>
      <c r="AF4" s="213">
        <v>16</v>
      </c>
      <c r="AG4" s="11">
        <f t="shared" si="2"/>
        <v>249</v>
      </c>
    </row>
    <row r="5" spans="1:33" ht="18.75" x14ac:dyDescent="0.25">
      <c r="A5" s="12" t="s">
        <v>16</v>
      </c>
      <c r="B5" s="13">
        <v>10</v>
      </c>
      <c r="C5" s="14">
        <v>7</v>
      </c>
      <c r="D5" s="14">
        <v>7</v>
      </c>
      <c r="E5" s="14">
        <v>7</v>
      </c>
      <c r="F5" s="14">
        <v>9</v>
      </c>
      <c r="G5" s="14">
        <v>7</v>
      </c>
      <c r="H5" s="14">
        <v>13</v>
      </c>
      <c r="I5" s="14">
        <v>6</v>
      </c>
      <c r="J5" s="14">
        <v>6</v>
      </c>
      <c r="K5" s="14">
        <v>8</v>
      </c>
      <c r="L5" s="14">
        <v>6</v>
      </c>
      <c r="M5" s="14">
        <v>9</v>
      </c>
      <c r="N5" s="14">
        <v>6</v>
      </c>
      <c r="O5" s="14">
        <v>6</v>
      </c>
      <c r="P5" s="14">
        <v>15</v>
      </c>
      <c r="Q5" s="14">
        <v>9</v>
      </c>
      <c r="R5" s="14">
        <v>18</v>
      </c>
      <c r="S5" s="14">
        <v>10</v>
      </c>
      <c r="T5" s="14">
        <v>17</v>
      </c>
      <c r="U5" s="14">
        <v>19</v>
      </c>
      <c r="V5" s="14">
        <v>19</v>
      </c>
      <c r="W5" s="14">
        <v>13</v>
      </c>
      <c r="X5" s="14">
        <v>7</v>
      </c>
      <c r="Y5" s="14">
        <v>10</v>
      </c>
      <c r="Z5" s="14">
        <v>12</v>
      </c>
      <c r="AA5" s="14">
        <v>8</v>
      </c>
      <c r="AB5" s="14">
        <v>13</v>
      </c>
      <c r="AC5" s="14">
        <v>14</v>
      </c>
      <c r="AD5" s="14">
        <v>5</v>
      </c>
      <c r="AE5" s="14">
        <v>5</v>
      </c>
      <c r="AF5" s="214">
        <v>18</v>
      </c>
      <c r="AG5" s="15">
        <f t="shared" si="2"/>
        <v>319</v>
      </c>
    </row>
    <row r="6" spans="1:33" ht="18.75" x14ac:dyDescent="0.25">
      <c r="A6" s="12" t="s">
        <v>17</v>
      </c>
      <c r="B6" s="13">
        <v>16</v>
      </c>
      <c r="C6" s="14">
        <v>8</v>
      </c>
      <c r="D6" s="14">
        <v>8</v>
      </c>
      <c r="E6" s="14">
        <v>10</v>
      </c>
      <c r="F6" s="14">
        <v>8</v>
      </c>
      <c r="G6" s="14">
        <v>16</v>
      </c>
      <c r="H6" s="14">
        <v>13</v>
      </c>
      <c r="I6" s="14">
        <v>8</v>
      </c>
      <c r="J6" s="14">
        <v>10</v>
      </c>
      <c r="K6" s="14">
        <v>8</v>
      </c>
      <c r="L6" s="14">
        <v>8</v>
      </c>
      <c r="M6" s="14">
        <v>11</v>
      </c>
      <c r="N6" s="14">
        <v>11</v>
      </c>
      <c r="O6" s="14">
        <v>11</v>
      </c>
      <c r="P6" s="14">
        <v>14</v>
      </c>
      <c r="Q6" s="14">
        <v>9</v>
      </c>
      <c r="R6" s="14">
        <v>23</v>
      </c>
      <c r="S6" s="14">
        <v>17</v>
      </c>
      <c r="T6" s="14">
        <v>22</v>
      </c>
      <c r="U6" s="14">
        <v>15</v>
      </c>
      <c r="V6" s="14">
        <v>12</v>
      </c>
      <c r="W6" s="14">
        <v>14</v>
      </c>
      <c r="X6" s="14">
        <v>9</v>
      </c>
      <c r="Y6" s="14">
        <v>11</v>
      </c>
      <c r="Z6" s="14">
        <v>9</v>
      </c>
      <c r="AA6" s="14">
        <v>15</v>
      </c>
      <c r="AB6" s="14">
        <v>13</v>
      </c>
      <c r="AC6" s="14">
        <v>9</v>
      </c>
      <c r="AD6" s="14">
        <v>10</v>
      </c>
      <c r="AE6" s="14">
        <v>10</v>
      </c>
      <c r="AF6" s="214">
        <v>18</v>
      </c>
      <c r="AG6" s="15">
        <f t="shared" si="2"/>
        <v>376</v>
      </c>
    </row>
    <row r="7" spans="1:33" ht="18.75" x14ac:dyDescent="0.25">
      <c r="A7" s="12" t="s">
        <v>18</v>
      </c>
      <c r="B7" s="13">
        <v>20</v>
      </c>
      <c r="C7" s="14">
        <v>12</v>
      </c>
      <c r="D7" s="14">
        <v>9</v>
      </c>
      <c r="E7" s="14">
        <v>12</v>
      </c>
      <c r="F7" s="14">
        <v>12</v>
      </c>
      <c r="G7" s="14">
        <v>10</v>
      </c>
      <c r="H7" s="14">
        <v>8</v>
      </c>
      <c r="I7" s="14">
        <v>12</v>
      </c>
      <c r="J7" s="14">
        <v>14</v>
      </c>
      <c r="K7" s="14">
        <v>12</v>
      </c>
      <c r="L7" s="14">
        <v>9</v>
      </c>
      <c r="M7" s="14">
        <v>8</v>
      </c>
      <c r="N7" s="14">
        <v>10</v>
      </c>
      <c r="O7" s="14">
        <v>7</v>
      </c>
      <c r="P7" s="14">
        <v>14</v>
      </c>
      <c r="Q7" s="14">
        <v>16</v>
      </c>
      <c r="R7" s="14">
        <v>14</v>
      </c>
      <c r="S7" s="14">
        <v>10</v>
      </c>
      <c r="T7" s="14">
        <v>4</v>
      </c>
      <c r="U7" s="14">
        <v>15</v>
      </c>
      <c r="V7" s="14">
        <v>17</v>
      </c>
      <c r="W7" s="14">
        <v>8</v>
      </c>
      <c r="X7" s="14">
        <v>16</v>
      </c>
      <c r="Y7" s="14">
        <v>16</v>
      </c>
      <c r="Z7" s="14">
        <v>9</v>
      </c>
      <c r="AA7" s="14">
        <v>12</v>
      </c>
      <c r="AB7" s="14">
        <v>17</v>
      </c>
      <c r="AC7" s="14">
        <v>7</v>
      </c>
      <c r="AD7" s="14">
        <v>12</v>
      </c>
      <c r="AE7" s="14">
        <v>17</v>
      </c>
      <c r="AF7" s="214">
        <v>14</v>
      </c>
      <c r="AG7" s="15">
        <f t="shared" si="2"/>
        <v>373</v>
      </c>
    </row>
    <row r="8" spans="1:33" ht="18.75" x14ac:dyDescent="0.25">
      <c r="A8" s="12" t="s">
        <v>19</v>
      </c>
      <c r="B8" s="13">
        <v>11</v>
      </c>
      <c r="C8" s="14">
        <v>8</v>
      </c>
      <c r="D8" s="14">
        <v>13</v>
      </c>
      <c r="E8" s="14">
        <v>14</v>
      </c>
      <c r="F8" s="14">
        <v>10</v>
      </c>
      <c r="G8" s="14">
        <v>10</v>
      </c>
      <c r="H8" s="14">
        <v>7</v>
      </c>
      <c r="I8" s="14">
        <v>11</v>
      </c>
      <c r="J8" s="14">
        <v>14</v>
      </c>
      <c r="K8" s="14">
        <v>11</v>
      </c>
      <c r="L8" s="14">
        <v>15</v>
      </c>
      <c r="M8" s="14">
        <v>10</v>
      </c>
      <c r="N8" s="14">
        <v>9</v>
      </c>
      <c r="O8" s="14">
        <v>11</v>
      </c>
      <c r="P8" s="14">
        <v>11</v>
      </c>
      <c r="Q8" s="14">
        <v>9</v>
      </c>
      <c r="R8" s="14">
        <v>14</v>
      </c>
      <c r="S8" s="14">
        <v>11</v>
      </c>
      <c r="T8" s="14">
        <v>14</v>
      </c>
      <c r="U8" s="14">
        <v>14</v>
      </c>
      <c r="V8" s="14">
        <v>16</v>
      </c>
      <c r="W8" s="14">
        <v>10</v>
      </c>
      <c r="X8" s="14">
        <v>11</v>
      </c>
      <c r="Y8" s="14">
        <v>13</v>
      </c>
      <c r="Z8" s="14">
        <v>19</v>
      </c>
      <c r="AA8" s="14">
        <v>9</v>
      </c>
      <c r="AB8" s="14">
        <v>15</v>
      </c>
      <c r="AC8" s="14">
        <v>3</v>
      </c>
      <c r="AD8" s="14">
        <v>7</v>
      </c>
      <c r="AE8" s="14">
        <v>16</v>
      </c>
      <c r="AF8" s="214">
        <v>19</v>
      </c>
      <c r="AG8" s="15">
        <f t="shared" si="2"/>
        <v>365</v>
      </c>
    </row>
    <row r="9" spans="1:33" ht="18.75" x14ac:dyDescent="0.25">
      <c r="A9" s="12" t="s">
        <v>20</v>
      </c>
      <c r="B9" s="13">
        <v>9</v>
      </c>
      <c r="C9" s="14">
        <v>6</v>
      </c>
      <c r="D9" s="14">
        <v>15</v>
      </c>
      <c r="E9" s="14">
        <v>7</v>
      </c>
      <c r="F9" s="14">
        <v>9</v>
      </c>
      <c r="G9" s="14">
        <v>11</v>
      </c>
      <c r="H9" s="14">
        <v>9</v>
      </c>
      <c r="I9" s="14">
        <v>16</v>
      </c>
      <c r="J9" s="14">
        <v>17</v>
      </c>
      <c r="K9" s="14">
        <v>16</v>
      </c>
      <c r="L9" s="14">
        <v>4</v>
      </c>
      <c r="M9" s="14">
        <v>8</v>
      </c>
      <c r="N9" s="14">
        <v>10</v>
      </c>
      <c r="O9" s="14">
        <v>4</v>
      </c>
      <c r="P9" s="14">
        <v>7</v>
      </c>
      <c r="Q9" s="14">
        <v>6</v>
      </c>
      <c r="R9" s="14">
        <v>13</v>
      </c>
      <c r="S9" s="14">
        <v>11</v>
      </c>
      <c r="T9" s="14">
        <v>9</v>
      </c>
      <c r="U9" s="14">
        <v>11</v>
      </c>
      <c r="V9" s="14">
        <v>12</v>
      </c>
      <c r="W9" s="14">
        <v>11</v>
      </c>
      <c r="X9" s="14">
        <v>18</v>
      </c>
      <c r="Y9" s="14">
        <v>16</v>
      </c>
      <c r="Z9" s="14">
        <v>15</v>
      </c>
      <c r="AA9" s="14">
        <v>8</v>
      </c>
      <c r="AB9" s="14">
        <v>13</v>
      </c>
      <c r="AC9" s="14">
        <v>12</v>
      </c>
      <c r="AD9" s="14">
        <v>8</v>
      </c>
      <c r="AE9" s="14">
        <v>12</v>
      </c>
      <c r="AF9" s="214">
        <v>11</v>
      </c>
      <c r="AG9" s="15">
        <f t="shared" si="2"/>
        <v>334</v>
      </c>
    </row>
    <row r="10" spans="1:33" ht="18.75" x14ac:dyDescent="0.25">
      <c r="A10" s="12" t="s">
        <v>21</v>
      </c>
      <c r="B10" s="13">
        <v>13</v>
      </c>
      <c r="C10" s="14">
        <v>9</v>
      </c>
      <c r="D10" s="14">
        <v>11</v>
      </c>
      <c r="E10" s="14">
        <v>6</v>
      </c>
      <c r="F10" s="14">
        <v>11</v>
      </c>
      <c r="G10" s="14">
        <v>9</v>
      </c>
      <c r="H10" s="14">
        <v>9</v>
      </c>
      <c r="I10" s="14">
        <v>8</v>
      </c>
      <c r="J10" s="14">
        <v>15</v>
      </c>
      <c r="K10" s="14">
        <v>11</v>
      </c>
      <c r="L10" s="14">
        <v>14</v>
      </c>
      <c r="M10" s="14">
        <v>9</v>
      </c>
      <c r="N10" s="14">
        <v>8</v>
      </c>
      <c r="O10" s="14">
        <v>6</v>
      </c>
      <c r="P10" s="14">
        <v>10</v>
      </c>
      <c r="Q10" s="14">
        <v>6</v>
      </c>
      <c r="R10" s="14">
        <v>18</v>
      </c>
      <c r="S10" s="14">
        <v>10</v>
      </c>
      <c r="T10" s="14">
        <v>10</v>
      </c>
      <c r="U10" s="14">
        <v>9</v>
      </c>
      <c r="V10" s="14">
        <v>11</v>
      </c>
      <c r="W10" s="14">
        <v>11</v>
      </c>
      <c r="X10" s="14">
        <v>7</v>
      </c>
      <c r="Y10" s="14">
        <v>15</v>
      </c>
      <c r="Z10" s="14">
        <v>22</v>
      </c>
      <c r="AA10" s="14">
        <v>5</v>
      </c>
      <c r="AB10" s="14">
        <v>8</v>
      </c>
      <c r="AC10" s="14">
        <v>17</v>
      </c>
      <c r="AD10" s="14">
        <v>11</v>
      </c>
      <c r="AE10" s="14">
        <v>10</v>
      </c>
      <c r="AF10" s="214">
        <v>14</v>
      </c>
      <c r="AG10" s="15">
        <f t="shared" si="2"/>
        <v>333</v>
      </c>
    </row>
    <row r="11" spans="1:33" ht="18.75" x14ac:dyDescent="0.25">
      <c r="A11" s="12" t="s">
        <v>22</v>
      </c>
      <c r="B11" s="13">
        <v>13</v>
      </c>
      <c r="C11" s="14">
        <v>16</v>
      </c>
      <c r="D11" s="14">
        <v>11</v>
      </c>
      <c r="E11" s="14">
        <v>8</v>
      </c>
      <c r="F11" s="14">
        <v>8</v>
      </c>
      <c r="G11" s="14">
        <v>12</v>
      </c>
      <c r="H11" s="14">
        <v>4</v>
      </c>
      <c r="I11" s="14">
        <v>18</v>
      </c>
      <c r="J11" s="14">
        <v>11</v>
      </c>
      <c r="K11" s="14">
        <v>18</v>
      </c>
      <c r="L11" s="14">
        <v>18</v>
      </c>
      <c r="M11" s="14">
        <v>13</v>
      </c>
      <c r="N11" s="14">
        <v>11</v>
      </c>
      <c r="O11" s="14">
        <v>11</v>
      </c>
      <c r="P11" s="14">
        <v>15</v>
      </c>
      <c r="Q11" s="14">
        <v>15</v>
      </c>
      <c r="R11" s="14">
        <v>18</v>
      </c>
      <c r="S11" s="14">
        <v>14</v>
      </c>
      <c r="T11" s="14">
        <v>14</v>
      </c>
      <c r="U11" s="14">
        <v>13</v>
      </c>
      <c r="V11" s="14">
        <v>14</v>
      </c>
      <c r="W11" s="14">
        <v>8</v>
      </c>
      <c r="X11" s="14">
        <v>17</v>
      </c>
      <c r="Y11" s="14">
        <v>21</v>
      </c>
      <c r="Z11" s="14">
        <v>10</v>
      </c>
      <c r="AA11" s="14">
        <v>17</v>
      </c>
      <c r="AB11" s="14">
        <v>14</v>
      </c>
      <c r="AC11" s="14">
        <v>18</v>
      </c>
      <c r="AD11" s="14">
        <v>12</v>
      </c>
      <c r="AE11" s="14">
        <v>12</v>
      </c>
      <c r="AF11" s="214">
        <v>22</v>
      </c>
      <c r="AG11" s="15">
        <f t="shared" si="2"/>
        <v>426</v>
      </c>
    </row>
    <row r="12" spans="1:33" ht="18.75" x14ac:dyDescent="0.25">
      <c r="A12" s="12" t="s">
        <v>23</v>
      </c>
      <c r="B12" s="13">
        <v>14</v>
      </c>
      <c r="C12" s="14">
        <v>9</v>
      </c>
      <c r="D12" s="14">
        <v>26</v>
      </c>
      <c r="E12" s="14">
        <v>17</v>
      </c>
      <c r="F12" s="14">
        <v>11</v>
      </c>
      <c r="G12" s="14">
        <v>8</v>
      </c>
      <c r="H12" s="14">
        <v>10</v>
      </c>
      <c r="I12" s="14">
        <v>9</v>
      </c>
      <c r="J12" s="14">
        <v>11</v>
      </c>
      <c r="K12" s="14">
        <v>16</v>
      </c>
      <c r="L12" s="14">
        <v>9</v>
      </c>
      <c r="M12" s="14">
        <v>11</v>
      </c>
      <c r="N12" s="14">
        <v>15</v>
      </c>
      <c r="O12" s="14">
        <v>17</v>
      </c>
      <c r="P12" s="14">
        <v>19</v>
      </c>
      <c r="Q12" s="14">
        <v>6</v>
      </c>
      <c r="R12" s="14">
        <v>20</v>
      </c>
      <c r="S12" s="14">
        <v>22</v>
      </c>
      <c r="T12" s="14">
        <v>16</v>
      </c>
      <c r="U12" s="14">
        <v>15</v>
      </c>
      <c r="V12" s="14">
        <v>12</v>
      </c>
      <c r="W12" s="14">
        <v>13</v>
      </c>
      <c r="X12" s="14">
        <v>17</v>
      </c>
      <c r="Y12" s="14">
        <v>15</v>
      </c>
      <c r="Z12" s="14">
        <v>17</v>
      </c>
      <c r="AA12" s="14">
        <v>23</v>
      </c>
      <c r="AB12" s="14">
        <v>18</v>
      </c>
      <c r="AC12" s="14">
        <v>18</v>
      </c>
      <c r="AD12" s="14">
        <v>14</v>
      </c>
      <c r="AE12" s="14">
        <v>12</v>
      </c>
      <c r="AF12" s="214">
        <v>19</v>
      </c>
      <c r="AG12" s="15">
        <f t="shared" si="2"/>
        <v>459</v>
      </c>
    </row>
    <row r="13" spans="1:33" ht="18.75" x14ac:dyDescent="0.25">
      <c r="A13" s="12" t="s">
        <v>24</v>
      </c>
      <c r="B13" s="13">
        <v>10</v>
      </c>
      <c r="C13" s="14">
        <v>15</v>
      </c>
      <c r="D13" s="14">
        <v>11</v>
      </c>
      <c r="E13" s="14">
        <v>10</v>
      </c>
      <c r="F13" s="14">
        <v>14</v>
      </c>
      <c r="G13" s="14">
        <v>15</v>
      </c>
      <c r="H13" s="14">
        <v>12</v>
      </c>
      <c r="I13" s="14">
        <v>11</v>
      </c>
      <c r="J13" s="14">
        <v>14</v>
      </c>
      <c r="K13" s="14">
        <v>24</v>
      </c>
      <c r="L13" s="14">
        <v>7</v>
      </c>
      <c r="M13" s="14">
        <v>16</v>
      </c>
      <c r="N13" s="14">
        <v>15</v>
      </c>
      <c r="O13" s="14">
        <v>14</v>
      </c>
      <c r="P13" s="14">
        <v>10</v>
      </c>
      <c r="Q13" s="14">
        <v>9</v>
      </c>
      <c r="R13" s="14">
        <v>19</v>
      </c>
      <c r="S13" s="14">
        <v>17</v>
      </c>
      <c r="T13" s="14">
        <v>19</v>
      </c>
      <c r="U13" s="14">
        <v>15</v>
      </c>
      <c r="V13" s="14">
        <v>12</v>
      </c>
      <c r="W13" s="14">
        <v>10</v>
      </c>
      <c r="X13" s="14">
        <v>11</v>
      </c>
      <c r="Y13" s="14">
        <v>13</v>
      </c>
      <c r="Z13" s="14">
        <v>25</v>
      </c>
      <c r="AA13" s="14">
        <v>13</v>
      </c>
      <c r="AB13" s="14">
        <v>17</v>
      </c>
      <c r="AC13" s="14">
        <v>10</v>
      </c>
      <c r="AD13" s="14">
        <v>10</v>
      </c>
      <c r="AE13" s="14">
        <v>14</v>
      </c>
      <c r="AF13" s="214">
        <v>15</v>
      </c>
      <c r="AG13" s="15">
        <f t="shared" si="2"/>
        <v>427</v>
      </c>
    </row>
    <row r="14" spans="1:33" ht="18.75" x14ac:dyDescent="0.25">
      <c r="A14" s="12" t="s">
        <v>25</v>
      </c>
      <c r="B14" s="13">
        <v>9</v>
      </c>
      <c r="C14" s="14">
        <v>5</v>
      </c>
      <c r="D14" s="14">
        <v>19</v>
      </c>
      <c r="E14" s="14">
        <v>9</v>
      </c>
      <c r="F14" s="14">
        <v>11</v>
      </c>
      <c r="G14" s="14">
        <v>12</v>
      </c>
      <c r="H14" s="14">
        <v>7</v>
      </c>
      <c r="I14" s="14">
        <v>8</v>
      </c>
      <c r="J14" s="14">
        <v>9</v>
      </c>
      <c r="K14" s="14">
        <v>19</v>
      </c>
      <c r="L14" s="14">
        <v>16</v>
      </c>
      <c r="M14" s="14">
        <v>14</v>
      </c>
      <c r="N14" s="14">
        <v>13</v>
      </c>
      <c r="O14" s="14">
        <v>8</v>
      </c>
      <c r="P14" s="14">
        <v>5</v>
      </c>
      <c r="Q14" s="14">
        <v>9</v>
      </c>
      <c r="R14" s="14">
        <v>8</v>
      </c>
      <c r="S14" s="14">
        <v>9</v>
      </c>
      <c r="T14" s="14">
        <v>14</v>
      </c>
      <c r="U14" s="14">
        <v>9</v>
      </c>
      <c r="V14" s="14">
        <v>7</v>
      </c>
      <c r="W14" s="14">
        <v>15</v>
      </c>
      <c r="X14" s="14">
        <v>9</v>
      </c>
      <c r="Y14" s="14">
        <v>16</v>
      </c>
      <c r="Z14" s="14">
        <v>8</v>
      </c>
      <c r="AA14" s="14">
        <v>9</v>
      </c>
      <c r="AB14" s="14">
        <v>13</v>
      </c>
      <c r="AC14" s="14">
        <v>18</v>
      </c>
      <c r="AD14" s="14">
        <v>4</v>
      </c>
      <c r="AE14" s="14">
        <v>15</v>
      </c>
      <c r="AF14" s="214">
        <v>19</v>
      </c>
      <c r="AG14" s="15">
        <f t="shared" si="2"/>
        <v>346</v>
      </c>
    </row>
    <row r="15" spans="1:33" ht="18.75" x14ac:dyDescent="0.25">
      <c r="A15" s="12" t="s">
        <v>26</v>
      </c>
      <c r="B15" s="13">
        <v>10</v>
      </c>
      <c r="C15" s="14">
        <v>10</v>
      </c>
      <c r="D15" s="14">
        <v>7</v>
      </c>
      <c r="E15" s="14">
        <v>9</v>
      </c>
      <c r="F15" s="14">
        <v>8</v>
      </c>
      <c r="G15" s="14">
        <v>16</v>
      </c>
      <c r="H15" s="14">
        <v>7</v>
      </c>
      <c r="I15" s="14">
        <v>3</v>
      </c>
      <c r="J15" s="14">
        <v>6</v>
      </c>
      <c r="K15" s="14">
        <v>8</v>
      </c>
      <c r="L15" s="14">
        <v>7</v>
      </c>
      <c r="M15" s="14">
        <v>6</v>
      </c>
      <c r="N15" s="14">
        <v>7</v>
      </c>
      <c r="O15" s="14">
        <v>13</v>
      </c>
      <c r="P15" s="14">
        <v>7</v>
      </c>
      <c r="Q15" s="14">
        <v>9</v>
      </c>
      <c r="R15" s="14">
        <v>13</v>
      </c>
      <c r="S15" s="14">
        <v>11</v>
      </c>
      <c r="T15" s="14">
        <v>12</v>
      </c>
      <c r="U15" s="14">
        <v>10</v>
      </c>
      <c r="V15" s="14">
        <v>8</v>
      </c>
      <c r="W15" s="14">
        <v>2</v>
      </c>
      <c r="X15" s="14">
        <v>12</v>
      </c>
      <c r="Y15" s="14">
        <v>13</v>
      </c>
      <c r="Z15" s="14">
        <v>11</v>
      </c>
      <c r="AA15" s="14">
        <v>10</v>
      </c>
      <c r="AB15" s="14">
        <v>8</v>
      </c>
      <c r="AC15" s="14">
        <v>12</v>
      </c>
      <c r="AD15" s="14">
        <v>7</v>
      </c>
      <c r="AE15" s="14">
        <v>8</v>
      </c>
      <c r="AF15" s="214">
        <v>19</v>
      </c>
      <c r="AG15" s="15">
        <f t="shared" si="2"/>
        <v>289</v>
      </c>
    </row>
    <row r="16" spans="1:33" ht="18.75" x14ac:dyDescent="0.25">
      <c r="A16" s="12" t="s">
        <v>27</v>
      </c>
      <c r="B16" s="13">
        <v>9</v>
      </c>
      <c r="C16" s="14">
        <v>10</v>
      </c>
      <c r="D16" s="14">
        <v>10</v>
      </c>
      <c r="E16" s="14">
        <v>5</v>
      </c>
      <c r="F16" s="14">
        <v>6</v>
      </c>
      <c r="G16" s="14">
        <v>14</v>
      </c>
      <c r="H16" s="14">
        <v>6</v>
      </c>
      <c r="I16" s="14">
        <v>12</v>
      </c>
      <c r="J16" s="14">
        <v>7</v>
      </c>
      <c r="K16" s="14">
        <v>11</v>
      </c>
      <c r="L16" s="14">
        <v>10</v>
      </c>
      <c r="M16" s="14">
        <v>10</v>
      </c>
      <c r="N16" s="14">
        <v>9</v>
      </c>
      <c r="O16" s="14">
        <v>10</v>
      </c>
      <c r="P16" s="14">
        <v>9</v>
      </c>
      <c r="Q16" s="14">
        <v>5</v>
      </c>
      <c r="R16" s="14">
        <v>14</v>
      </c>
      <c r="S16" s="14">
        <v>10</v>
      </c>
      <c r="T16" s="14">
        <v>7</v>
      </c>
      <c r="U16" s="14">
        <v>7</v>
      </c>
      <c r="V16" s="14">
        <v>11</v>
      </c>
      <c r="W16" s="14">
        <v>12</v>
      </c>
      <c r="X16" s="14">
        <v>8</v>
      </c>
      <c r="Y16" s="14">
        <v>9</v>
      </c>
      <c r="Z16" s="14">
        <v>6</v>
      </c>
      <c r="AA16" s="14">
        <v>13</v>
      </c>
      <c r="AB16" s="14">
        <v>21</v>
      </c>
      <c r="AC16" s="14">
        <v>5</v>
      </c>
      <c r="AD16" s="14">
        <v>11</v>
      </c>
      <c r="AE16" s="14">
        <v>14</v>
      </c>
      <c r="AF16" s="214">
        <v>13</v>
      </c>
      <c r="AG16" s="15">
        <f t="shared" si="2"/>
        <v>304</v>
      </c>
    </row>
    <row r="17" spans="1:33" ht="18.75" x14ac:dyDescent="0.25">
      <c r="A17" s="12" t="s">
        <v>28</v>
      </c>
      <c r="B17" s="13">
        <v>3</v>
      </c>
      <c r="C17" s="14">
        <v>8</v>
      </c>
      <c r="D17" s="14">
        <v>8</v>
      </c>
      <c r="E17" s="14">
        <v>6</v>
      </c>
      <c r="F17" s="14">
        <v>6</v>
      </c>
      <c r="G17" s="14">
        <v>6</v>
      </c>
      <c r="H17" s="14">
        <v>7</v>
      </c>
      <c r="I17" s="14">
        <v>2</v>
      </c>
      <c r="J17" s="14">
        <v>11</v>
      </c>
      <c r="K17" s="14">
        <v>6</v>
      </c>
      <c r="L17" s="14">
        <v>4</v>
      </c>
      <c r="M17" s="14">
        <v>14</v>
      </c>
      <c r="N17" s="14">
        <v>5</v>
      </c>
      <c r="O17" s="14">
        <v>6</v>
      </c>
      <c r="P17" s="14">
        <v>9</v>
      </c>
      <c r="Q17" s="14">
        <v>7</v>
      </c>
      <c r="R17" s="14">
        <v>12</v>
      </c>
      <c r="S17" s="14">
        <v>5</v>
      </c>
      <c r="T17" s="14">
        <v>11</v>
      </c>
      <c r="U17" s="14">
        <v>7</v>
      </c>
      <c r="V17" s="14">
        <v>9</v>
      </c>
      <c r="W17" s="14">
        <v>9</v>
      </c>
      <c r="X17" s="14">
        <v>6</v>
      </c>
      <c r="Y17" s="14">
        <v>9</v>
      </c>
      <c r="Z17" s="14">
        <v>3</v>
      </c>
      <c r="AA17" s="14">
        <v>7</v>
      </c>
      <c r="AB17" s="14">
        <v>7</v>
      </c>
      <c r="AC17" s="14">
        <v>8</v>
      </c>
      <c r="AD17" s="14">
        <v>9</v>
      </c>
      <c r="AE17" s="14">
        <v>8</v>
      </c>
      <c r="AF17" s="214">
        <v>13</v>
      </c>
      <c r="AG17" s="15">
        <f t="shared" si="2"/>
        <v>231</v>
      </c>
    </row>
    <row r="18" spans="1:33" ht="18.75" x14ac:dyDescent="0.25">
      <c r="A18" s="12" t="s">
        <v>29</v>
      </c>
      <c r="B18" s="13">
        <v>5</v>
      </c>
      <c r="C18" s="14">
        <v>5</v>
      </c>
      <c r="D18" s="14">
        <v>9</v>
      </c>
      <c r="E18" s="14">
        <v>4</v>
      </c>
      <c r="F18" s="14">
        <v>10</v>
      </c>
      <c r="G18" s="14">
        <v>3</v>
      </c>
      <c r="H18" s="14">
        <v>7</v>
      </c>
      <c r="I18" s="14">
        <v>8</v>
      </c>
      <c r="J18" s="14">
        <v>2</v>
      </c>
      <c r="K18" s="14">
        <v>10</v>
      </c>
      <c r="L18" s="14">
        <v>8</v>
      </c>
      <c r="M18" s="14">
        <v>6</v>
      </c>
      <c r="N18" s="14">
        <v>8</v>
      </c>
      <c r="O18" s="14">
        <v>2</v>
      </c>
      <c r="P18" s="14">
        <v>8</v>
      </c>
      <c r="Q18" s="14">
        <v>4</v>
      </c>
      <c r="R18" s="14">
        <v>6</v>
      </c>
      <c r="S18" s="14">
        <v>7</v>
      </c>
      <c r="T18" s="14">
        <v>3</v>
      </c>
      <c r="U18" s="14">
        <v>5</v>
      </c>
      <c r="V18" s="14">
        <v>5</v>
      </c>
      <c r="W18" s="14">
        <v>2</v>
      </c>
      <c r="X18" s="14">
        <v>6</v>
      </c>
      <c r="Y18" s="14">
        <v>7</v>
      </c>
      <c r="Z18" s="14">
        <v>4</v>
      </c>
      <c r="AA18" s="14">
        <v>8</v>
      </c>
      <c r="AB18" s="14">
        <v>5</v>
      </c>
      <c r="AC18" s="14">
        <v>7</v>
      </c>
      <c r="AD18" s="14">
        <v>11</v>
      </c>
      <c r="AE18" s="14">
        <v>12</v>
      </c>
      <c r="AF18" s="214">
        <v>7</v>
      </c>
      <c r="AG18" s="15">
        <f t="shared" si="2"/>
        <v>194</v>
      </c>
    </row>
    <row r="19" spans="1:33" ht="18.75" x14ac:dyDescent="0.25">
      <c r="A19" s="12" t="s">
        <v>30</v>
      </c>
      <c r="B19" s="13">
        <v>4</v>
      </c>
      <c r="C19" s="14">
        <v>2</v>
      </c>
      <c r="D19" s="14">
        <v>11</v>
      </c>
      <c r="E19" s="14">
        <v>5</v>
      </c>
      <c r="F19" s="14">
        <v>4</v>
      </c>
      <c r="G19" s="14">
        <v>8</v>
      </c>
      <c r="H19" s="14">
        <v>2</v>
      </c>
      <c r="I19" s="14">
        <v>6</v>
      </c>
      <c r="J19" s="14">
        <v>3</v>
      </c>
      <c r="K19" s="14">
        <v>2</v>
      </c>
      <c r="L19" s="14">
        <v>6</v>
      </c>
      <c r="M19" s="14">
        <v>6</v>
      </c>
      <c r="N19" s="14">
        <v>5</v>
      </c>
      <c r="O19" s="14">
        <v>0</v>
      </c>
      <c r="P19" s="14">
        <v>5</v>
      </c>
      <c r="Q19" s="14">
        <v>4</v>
      </c>
      <c r="R19" s="14">
        <v>5</v>
      </c>
      <c r="S19" s="14">
        <v>4</v>
      </c>
      <c r="T19" s="14">
        <v>9</v>
      </c>
      <c r="U19" s="14">
        <v>3</v>
      </c>
      <c r="V19" s="14">
        <v>1</v>
      </c>
      <c r="W19" s="14">
        <v>4</v>
      </c>
      <c r="X19" s="14">
        <v>5</v>
      </c>
      <c r="Y19" s="14">
        <v>1</v>
      </c>
      <c r="Z19" s="14">
        <v>5</v>
      </c>
      <c r="AA19" s="14">
        <v>2</v>
      </c>
      <c r="AB19" s="14">
        <v>4</v>
      </c>
      <c r="AC19" s="14">
        <v>5</v>
      </c>
      <c r="AD19" s="14">
        <v>4</v>
      </c>
      <c r="AE19" s="14">
        <v>1</v>
      </c>
      <c r="AF19" s="214">
        <v>6</v>
      </c>
      <c r="AG19" s="15">
        <f t="shared" si="2"/>
        <v>132</v>
      </c>
    </row>
    <row r="20" spans="1:33" ht="18.75" x14ac:dyDescent="0.25">
      <c r="A20" s="12" t="s">
        <v>31</v>
      </c>
      <c r="B20" s="13">
        <v>3</v>
      </c>
      <c r="C20" s="14">
        <v>5</v>
      </c>
      <c r="D20" s="14">
        <v>6</v>
      </c>
      <c r="E20" s="14">
        <v>4</v>
      </c>
      <c r="F20" s="14">
        <v>4</v>
      </c>
      <c r="G20" s="14">
        <v>4</v>
      </c>
      <c r="H20" s="14">
        <v>1</v>
      </c>
      <c r="I20" s="14">
        <v>5</v>
      </c>
      <c r="J20" s="14">
        <v>4</v>
      </c>
      <c r="K20" s="14">
        <v>4</v>
      </c>
      <c r="L20" s="14">
        <v>2</v>
      </c>
      <c r="M20" s="14">
        <v>3</v>
      </c>
      <c r="N20" s="14">
        <v>0</v>
      </c>
      <c r="O20" s="14">
        <v>5</v>
      </c>
      <c r="P20" s="14">
        <v>1</v>
      </c>
      <c r="Q20" s="14">
        <v>3</v>
      </c>
      <c r="R20" s="14">
        <v>3</v>
      </c>
      <c r="S20" s="14">
        <v>3</v>
      </c>
      <c r="T20" s="14">
        <v>7</v>
      </c>
      <c r="U20" s="14">
        <v>1</v>
      </c>
      <c r="V20" s="14">
        <v>2</v>
      </c>
      <c r="W20" s="14">
        <v>7</v>
      </c>
      <c r="X20" s="14">
        <v>2</v>
      </c>
      <c r="Y20" s="14">
        <v>3</v>
      </c>
      <c r="Z20" s="14">
        <v>4</v>
      </c>
      <c r="AA20" s="14">
        <v>2</v>
      </c>
      <c r="AB20" s="14">
        <v>4</v>
      </c>
      <c r="AC20" s="14">
        <v>3</v>
      </c>
      <c r="AD20" s="14">
        <v>2</v>
      </c>
      <c r="AE20" s="14">
        <v>7</v>
      </c>
      <c r="AF20" s="214">
        <v>6</v>
      </c>
      <c r="AG20" s="15">
        <f t="shared" si="2"/>
        <v>110</v>
      </c>
    </row>
    <row r="21" spans="1:33" ht="15.75" customHeight="1" x14ac:dyDescent="0.25">
      <c r="A21" s="12" t="s">
        <v>32</v>
      </c>
      <c r="B21" s="13">
        <v>4</v>
      </c>
      <c r="C21" s="14">
        <v>1</v>
      </c>
      <c r="D21" s="14">
        <v>2</v>
      </c>
      <c r="E21" s="14">
        <v>3</v>
      </c>
      <c r="F21" s="14">
        <v>4</v>
      </c>
      <c r="G21" s="14">
        <v>0</v>
      </c>
      <c r="H21" s="14">
        <v>1</v>
      </c>
      <c r="I21" s="14">
        <v>4</v>
      </c>
      <c r="J21" s="14">
        <v>4</v>
      </c>
      <c r="K21" s="14">
        <v>2</v>
      </c>
      <c r="L21" s="14">
        <v>3</v>
      </c>
      <c r="M21" s="14">
        <v>5</v>
      </c>
      <c r="N21" s="14">
        <v>4</v>
      </c>
      <c r="O21" s="14">
        <v>2</v>
      </c>
      <c r="P21" s="14">
        <v>4</v>
      </c>
      <c r="Q21" s="14">
        <v>4</v>
      </c>
      <c r="R21" s="14">
        <v>3</v>
      </c>
      <c r="S21" s="14">
        <v>2</v>
      </c>
      <c r="T21" s="14">
        <v>3</v>
      </c>
      <c r="U21" s="14">
        <v>1</v>
      </c>
      <c r="V21" s="14">
        <v>4</v>
      </c>
      <c r="W21" s="14">
        <v>0</v>
      </c>
      <c r="X21" s="14">
        <v>2</v>
      </c>
      <c r="Y21" s="14">
        <v>2</v>
      </c>
      <c r="Z21" s="14">
        <v>3</v>
      </c>
      <c r="AA21" s="14">
        <v>1</v>
      </c>
      <c r="AB21" s="14">
        <v>3</v>
      </c>
      <c r="AC21" s="14">
        <v>7</v>
      </c>
      <c r="AD21" s="14">
        <v>2</v>
      </c>
      <c r="AE21" s="14">
        <v>2</v>
      </c>
      <c r="AF21" s="214">
        <v>2</v>
      </c>
      <c r="AG21" s="15">
        <f t="shared" si="2"/>
        <v>84</v>
      </c>
    </row>
    <row r="22" spans="1:33" ht="15.75" customHeight="1" x14ac:dyDescent="0.25">
      <c r="A22" s="12" t="s">
        <v>33</v>
      </c>
      <c r="B22" s="13">
        <v>2</v>
      </c>
      <c r="C22" s="14">
        <v>1</v>
      </c>
      <c r="D22" s="14">
        <v>3</v>
      </c>
      <c r="E22" s="14">
        <v>2</v>
      </c>
      <c r="F22" s="14">
        <v>0</v>
      </c>
      <c r="G22" s="14">
        <v>1</v>
      </c>
      <c r="H22" s="14">
        <v>1</v>
      </c>
      <c r="I22" s="14">
        <v>1</v>
      </c>
      <c r="J22" s="14">
        <v>1</v>
      </c>
      <c r="K22" s="14">
        <v>2</v>
      </c>
      <c r="L22" s="14">
        <v>2</v>
      </c>
      <c r="M22" s="14">
        <v>0</v>
      </c>
      <c r="N22" s="14">
        <v>0</v>
      </c>
      <c r="O22" s="14">
        <v>3</v>
      </c>
      <c r="P22" s="14">
        <v>0</v>
      </c>
      <c r="Q22" s="14">
        <v>1</v>
      </c>
      <c r="R22" s="14">
        <v>1</v>
      </c>
      <c r="S22" s="14">
        <v>2</v>
      </c>
      <c r="T22" s="14">
        <v>0</v>
      </c>
      <c r="U22" s="14">
        <v>1</v>
      </c>
      <c r="V22" s="14">
        <v>3</v>
      </c>
      <c r="W22" s="14">
        <v>1</v>
      </c>
      <c r="X22" s="14">
        <v>1</v>
      </c>
      <c r="Y22" s="14">
        <v>0</v>
      </c>
      <c r="Z22" s="14">
        <v>4</v>
      </c>
      <c r="AA22" s="14">
        <v>1</v>
      </c>
      <c r="AB22" s="14">
        <v>4</v>
      </c>
      <c r="AC22" s="14">
        <v>2</v>
      </c>
      <c r="AD22" s="14">
        <v>1</v>
      </c>
      <c r="AE22" s="14">
        <v>1</v>
      </c>
      <c r="AF22" s="214">
        <v>1</v>
      </c>
      <c r="AG22" s="15">
        <f t="shared" si="2"/>
        <v>43</v>
      </c>
    </row>
    <row r="23" spans="1:33" ht="15.75" customHeight="1" x14ac:dyDescent="0.25">
      <c r="A23" s="12" t="s">
        <v>34</v>
      </c>
      <c r="B23" s="13">
        <v>0</v>
      </c>
      <c r="C23" s="14">
        <v>2</v>
      </c>
      <c r="D23" s="14">
        <v>1</v>
      </c>
      <c r="E23" s="14">
        <v>2</v>
      </c>
      <c r="F23" s="14">
        <v>0</v>
      </c>
      <c r="G23" s="14">
        <v>1</v>
      </c>
      <c r="H23" s="14">
        <v>2</v>
      </c>
      <c r="I23" s="14">
        <v>0</v>
      </c>
      <c r="J23" s="14">
        <v>2</v>
      </c>
      <c r="K23" s="14">
        <v>0</v>
      </c>
      <c r="L23" s="14">
        <v>2</v>
      </c>
      <c r="M23" s="14">
        <v>0</v>
      </c>
      <c r="N23" s="14">
        <v>1</v>
      </c>
      <c r="O23" s="14">
        <v>2</v>
      </c>
      <c r="P23" s="14">
        <v>2</v>
      </c>
      <c r="Q23" s="14">
        <v>2</v>
      </c>
      <c r="R23" s="14">
        <v>1</v>
      </c>
      <c r="S23" s="14">
        <v>0</v>
      </c>
      <c r="T23" s="14">
        <v>2</v>
      </c>
      <c r="U23" s="14">
        <v>2</v>
      </c>
      <c r="V23" s="14">
        <v>1</v>
      </c>
      <c r="W23" s="14">
        <v>1</v>
      </c>
      <c r="X23" s="14">
        <v>0</v>
      </c>
      <c r="Y23" s="14">
        <v>0</v>
      </c>
      <c r="Z23" s="14">
        <v>2</v>
      </c>
      <c r="AA23" s="14">
        <v>0</v>
      </c>
      <c r="AB23" s="14">
        <v>2</v>
      </c>
      <c r="AC23" s="14">
        <v>2</v>
      </c>
      <c r="AD23" s="14">
        <v>1</v>
      </c>
      <c r="AE23" s="14">
        <v>1</v>
      </c>
      <c r="AF23" s="214">
        <v>0</v>
      </c>
      <c r="AG23" s="15">
        <f t="shared" si="2"/>
        <v>34</v>
      </c>
    </row>
    <row r="24" spans="1:33" ht="15.75" customHeight="1" x14ac:dyDescent="0.25">
      <c r="A24" s="12" t="s">
        <v>35</v>
      </c>
      <c r="B24" s="13">
        <v>5</v>
      </c>
      <c r="C24" s="14">
        <v>2</v>
      </c>
      <c r="D24" s="14">
        <v>2</v>
      </c>
      <c r="E24" s="14">
        <v>0</v>
      </c>
      <c r="F24" s="14">
        <v>1</v>
      </c>
      <c r="G24" s="14">
        <v>2</v>
      </c>
      <c r="H24" s="14">
        <v>0</v>
      </c>
      <c r="I24" s="14">
        <v>0</v>
      </c>
      <c r="J24" s="14">
        <v>2</v>
      </c>
      <c r="K24" s="14">
        <v>1</v>
      </c>
      <c r="L24" s="14">
        <v>0</v>
      </c>
      <c r="M24" s="14">
        <v>2</v>
      </c>
      <c r="N24" s="14">
        <v>1</v>
      </c>
      <c r="O24" s="14">
        <v>1</v>
      </c>
      <c r="P24" s="14">
        <v>2</v>
      </c>
      <c r="Q24" s="14">
        <v>2</v>
      </c>
      <c r="R24" s="14">
        <v>0</v>
      </c>
      <c r="S24" s="14">
        <v>2</v>
      </c>
      <c r="T24" s="14">
        <v>0</v>
      </c>
      <c r="U24" s="14">
        <v>0</v>
      </c>
      <c r="V24" s="14">
        <v>0</v>
      </c>
      <c r="W24" s="14">
        <v>1</v>
      </c>
      <c r="X24" s="14">
        <v>1</v>
      </c>
      <c r="Y24" s="14">
        <v>0</v>
      </c>
      <c r="Z24" s="14">
        <v>0</v>
      </c>
      <c r="AA24" s="14">
        <v>0</v>
      </c>
      <c r="AB24" s="14">
        <v>0</v>
      </c>
      <c r="AC24" s="14">
        <v>1</v>
      </c>
      <c r="AD24" s="14">
        <v>1</v>
      </c>
      <c r="AE24" s="14">
        <v>1</v>
      </c>
      <c r="AF24" s="214">
        <v>3</v>
      </c>
      <c r="AG24" s="15">
        <f t="shared" si="2"/>
        <v>33</v>
      </c>
    </row>
    <row r="25" spans="1:33" ht="15.75" customHeight="1" x14ac:dyDescent="0.25">
      <c r="A25" s="12" t="s">
        <v>36</v>
      </c>
      <c r="B25" s="13">
        <v>1</v>
      </c>
      <c r="C25" s="14">
        <v>1</v>
      </c>
      <c r="D25" s="14">
        <v>1</v>
      </c>
      <c r="E25" s="14">
        <v>0</v>
      </c>
      <c r="F25" s="14">
        <v>0</v>
      </c>
      <c r="G25" s="14">
        <v>0</v>
      </c>
      <c r="H25" s="14">
        <v>6</v>
      </c>
      <c r="I25" s="14">
        <v>3</v>
      </c>
      <c r="J25" s="14">
        <v>2</v>
      </c>
      <c r="K25" s="14">
        <v>1</v>
      </c>
      <c r="L25" s="14">
        <v>1</v>
      </c>
      <c r="M25" s="14">
        <v>0</v>
      </c>
      <c r="N25" s="14">
        <v>1</v>
      </c>
      <c r="O25" s="14">
        <v>1</v>
      </c>
      <c r="P25" s="14">
        <v>0</v>
      </c>
      <c r="Q25" s="14">
        <v>1</v>
      </c>
      <c r="R25" s="14">
        <v>0</v>
      </c>
      <c r="S25" s="14">
        <v>1</v>
      </c>
      <c r="T25" s="14">
        <v>0</v>
      </c>
      <c r="U25" s="14">
        <v>0</v>
      </c>
      <c r="V25" s="14">
        <v>1</v>
      </c>
      <c r="W25" s="14">
        <v>0</v>
      </c>
      <c r="X25" s="14">
        <v>1</v>
      </c>
      <c r="Y25" s="14">
        <v>2</v>
      </c>
      <c r="Z25" s="14">
        <v>1</v>
      </c>
      <c r="AA25" s="14">
        <v>3</v>
      </c>
      <c r="AB25" s="14">
        <v>1</v>
      </c>
      <c r="AC25" s="14">
        <v>2</v>
      </c>
      <c r="AD25" s="14">
        <v>1</v>
      </c>
      <c r="AE25" s="14">
        <v>3</v>
      </c>
      <c r="AF25" s="214">
        <v>0</v>
      </c>
      <c r="AG25" s="15">
        <f t="shared" si="2"/>
        <v>35</v>
      </c>
    </row>
    <row r="26" spans="1:33" ht="15.75" customHeight="1" x14ac:dyDescent="0.25">
      <c r="A26" s="12" t="s">
        <v>37</v>
      </c>
      <c r="B26" s="13">
        <v>0</v>
      </c>
      <c r="C26" s="14">
        <v>1</v>
      </c>
      <c r="D26" s="14">
        <v>0</v>
      </c>
      <c r="E26" s="14">
        <v>1</v>
      </c>
      <c r="F26" s="14">
        <v>1</v>
      </c>
      <c r="G26" s="14">
        <v>3</v>
      </c>
      <c r="H26" s="14">
        <v>1</v>
      </c>
      <c r="I26" s="14">
        <v>2</v>
      </c>
      <c r="J26" s="14">
        <v>0</v>
      </c>
      <c r="K26" s="14">
        <v>2</v>
      </c>
      <c r="L26" s="14">
        <v>2</v>
      </c>
      <c r="M26" s="14">
        <v>2</v>
      </c>
      <c r="N26" s="14">
        <v>0</v>
      </c>
      <c r="O26" s="14">
        <v>0</v>
      </c>
      <c r="P26" s="14">
        <v>0</v>
      </c>
      <c r="Q26" s="14">
        <v>0</v>
      </c>
      <c r="R26" s="14">
        <v>5</v>
      </c>
      <c r="S26" s="14">
        <v>3</v>
      </c>
      <c r="T26" s="14">
        <v>1</v>
      </c>
      <c r="U26" s="14">
        <v>2</v>
      </c>
      <c r="V26" s="14">
        <v>1</v>
      </c>
      <c r="W26" s="14">
        <v>2</v>
      </c>
      <c r="X26" s="14">
        <v>0</v>
      </c>
      <c r="Y26" s="14">
        <v>3</v>
      </c>
      <c r="Z26" s="14">
        <v>2</v>
      </c>
      <c r="AA26" s="14">
        <v>2</v>
      </c>
      <c r="AB26" s="14">
        <v>1</v>
      </c>
      <c r="AC26" s="14">
        <v>1</v>
      </c>
      <c r="AD26" s="14">
        <v>1</v>
      </c>
      <c r="AE26" s="14">
        <v>0</v>
      </c>
      <c r="AF26" s="214">
        <v>2</v>
      </c>
      <c r="AG26" s="15">
        <f t="shared" si="2"/>
        <v>41</v>
      </c>
    </row>
    <row r="27" spans="1:33" ht="15.75" customHeight="1" thickBot="1" x14ac:dyDescent="0.3">
      <c r="A27" s="16" t="s">
        <v>38</v>
      </c>
      <c r="B27" s="17">
        <v>1</v>
      </c>
      <c r="C27" s="18">
        <v>1</v>
      </c>
      <c r="D27" s="18">
        <v>2</v>
      </c>
      <c r="E27" s="18">
        <v>0</v>
      </c>
      <c r="F27" s="18">
        <v>3</v>
      </c>
      <c r="G27" s="18">
        <v>5</v>
      </c>
      <c r="H27" s="18">
        <v>4</v>
      </c>
      <c r="I27" s="18">
        <v>1</v>
      </c>
      <c r="J27" s="18">
        <v>2</v>
      </c>
      <c r="K27" s="18">
        <v>0</v>
      </c>
      <c r="L27" s="18">
        <v>1</v>
      </c>
      <c r="M27" s="18">
        <v>0</v>
      </c>
      <c r="N27" s="18">
        <v>3</v>
      </c>
      <c r="O27" s="18">
        <v>4</v>
      </c>
      <c r="P27" s="18">
        <v>3</v>
      </c>
      <c r="Q27" s="18">
        <v>2</v>
      </c>
      <c r="R27" s="18">
        <v>2</v>
      </c>
      <c r="S27" s="18">
        <v>2</v>
      </c>
      <c r="T27" s="18">
        <v>2</v>
      </c>
      <c r="U27" s="18">
        <v>5</v>
      </c>
      <c r="V27" s="18">
        <v>1</v>
      </c>
      <c r="W27" s="18">
        <v>2</v>
      </c>
      <c r="X27" s="18">
        <v>1</v>
      </c>
      <c r="Y27" s="18">
        <v>1</v>
      </c>
      <c r="Z27" s="18">
        <v>2</v>
      </c>
      <c r="AA27" s="18">
        <v>2</v>
      </c>
      <c r="AB27" s="18">
        <v>2</v>
      </c>
      <c r="AC27" s="18">
        <v>1</v>
      </c>
      <c r="AD27" s="18">
        <v>1</v>
      </c>
      <c r="AE27" s="18">
        <v>4</v>
      </c>
      <c r="AF27" s="215">
        <v>2</v>
      </c>
      <c r="AG27" s="15">
        <f t="shared" si="2"/>
        <v>62</v>
      </c>
    </row>
    <row r="28" spans="1:33" ht="15.75" customHeight="1" x14ac:dyDescent="0.25">
      <c r="A28" s="19" t="s">
        <v>39</v>
      </c>
      <c r="B28" s="20">
        <f t="shared" ref="B28:AF28" si="3">SUM(B29:B52)</f>
        <v>177</v>
      </c>
      <c r="C28" s="21">
        <f t="shared" si="3"/>
        <v>148</v>
      </c>
      <c r="D28" s="21">
        <f t="shared" si="3"/>
        <v>187</v>
      </c>
      <c r="E28" s="21">
        <f t="shared" si="3"/>
        <v>145</v>
      </c>
      <c r="F28" s="21">
        <f t="shared" si="3"/>
        <v>146</v>
      </c>
      <c r="G28" s="21">
        <f t="shared" si="3"/>
        <v>163</v>
      </c>
      <c r="H28" s="21">
        <f t="shared" si="3"/>
        <v>136</v>
      </c>
      <c r="I28" s="21">
        <f t="shared" si="3"/>
        <v>160</v>
      </c>
      <c r="J28" s="21">
        <f t="shared" si="3"/>
        <v>169</v>
      </c>
      <c r="K28" s="21">
        <f t="shared" si="3"/>
        <v>171</v>
      </c>
      <c r="L28" s="21">
        <f t="shared" si="3"/>
        <v>153</v>
      </c>
      <c r="M28" s="21">
        <f t="shared" si="3"/>
        <v>156</v>
      </c>
      <c r="N28" s="21">
        <f t="shared" si="3"/>
        <v>156</v>
      </c>
      <c r="O28" s="21">
        <f t="shared" si="3"/>
        <v>143</v>
      </c>
      <c r="P28" s="21">
        <f t="shared" si="3"/>
        <v>173</v>
      </c>
      <c r="Q28" s="21">
        <f t="shared" si="3"/>
        <v>141</v>
      </c>
      <c r="R28" s="21">
        <f t="shared" si="3"/>
        <v>177</v>
      </c>
      <c r="S28" s="21">
        <f t="shared" si="3"/>
        <v>186</v>
      </c>
      <c r="T28" s="21">
        <f t="shared" si="3"/>
        <v>185</v>
      </c>
      <c r="U28" s="21">
        <f t="shared" si="3"/>
        <v>152</v>
      </c>
      <c r="V28" s="21">
        <f t="shared" si="3"/>
        <v>160</v>
      </c>
      <c r="W28" s="21">
        <f t="shared" si="3"/>
        <v>156</v>
      </c>
      <c r="X28" s="21">
        <f t="shared" si="3"/>
        <v>163</v>
      </c>
      <c r="Y28" s="21">
        <f t="shared" si="3"/>
        <v>182</v>
      </c>
      <c r="Z28" s="21">
        <f t="shared" si="3"/>
        <v>181</v>
      </c>
      <c r="AA28" s="21">
        <f t="shared" si="3"/>
        <v>166</v>
      </c>
      <c r="AB28" s="21">
        <f t="shared" si="3"/>
        <v>188</v>
      </c>
      <c r="AC28" s="21">
        <f t="shared" si="3"/>
        <v>182</v>
      </c>
      <c r="AD28" s="21">
        <f t="shared" si="3"/>
        <v>153</v>
      </c>
      <c r="AE28" s="21">
        <f t="shared" si="3"/>
        <v>184</v>
      </c>
      <c r="AF28" s="21">
        <f t="shared" si="3"/>
        <v>199</v>
      </c>
      <c r="AG28" s="22">
        <f t="shared" si="2"/>
        <v>5138</v>
      </c>
    </row>
    <row r="29" spans="1:33" ht="15.75" customHeight="1" x14ac:dyDescent="0.25">
      <c r="A29" s="12" t="s">
        <v>15</v>
      </c>
      <c r="B29" s="13">
        <v>2</v>
      </c>
      <c r="C29" s="14">
        <v>2</v>
      </c>
      <c r="D29" s="14">
        <v>6</v>
      </c>
      <c r="E29" s="14">
        <v>4</v>
      </c>
      <c r="F29" s="14">
        <v>6</v>
      </c>
      <c r="G29" s="14">
        <v>2</v>
      </c>
      <c r="H29" s="14">
        <v>2</v>
      </c>
      <c r="I29" s="14">
        <v>6</v>
      </c>
      <c r="J29" s="14">
        <v>3</v>
      </c>
      <c r="K29" s="14">
        <v>2</v>
      </c>
      <c r="L29" s="14">
        <v>5</v>
      </c>
      <c r="M29" s="14">
        <v>3</v>
      </c>
      <c r="N29" s="14">
        <v>10</v>
      </c>
      <c r="O29" s="14">
        <v>1</v>
      </c>
      <c r="P29" s="14">
        <v>5</v>
      </c>
      <c r="Q29" s="14">
        <v>1</v>
      </c>
      <c r="R29" s="14">
        <v>4</v>
      </c>
      <c r="S29" s="14">
        <v>7</v>
      </c>
      <c r="T29" s="14">
        <v>0</v>
      </c>
      <c r="U29" s="14">
        <v>6</v>
      </c>
      <c r="V29" s="14">
        <v>0</v>
      </c>
      <c r="W29" s="14">
        <v>6</v>
      </c>
      <c r="X29" s="14">
        <v>3</v>
      </c>
      <c r="Y29" s="14">
        <v>4</v>
      </c>
      <c r="Z29" s="14">
        <v>5</v>
      </c>
      <c r="AA29" s="14">
        <v>6</v>
      </c>
      <c r="AB29" s="14">
        <v>3</v>
      </c>
      <c r="AC29" s="14">
        <v>6</v>
      </c>
      <c r="AD29" s="14">
        <v>8</v>
      </c>
      <c r="AE29" s="14">
        <v>3</v>
      </c>
      <c r="AF29" s="214">
        <v>2</v>
      </c>
      <c r="AG29" s="15">
        <f t="shared" si="2"/>
        <v>123</v>
      </c>
    </row>
    <row r="30" spans="1:33" ht="15.75" customHeight="1" x14ac:dyDescent="0.25">
      <c r="A30" s="12" t="s">
        <v>16</v>
      </c>
      <c r="B30" s="13">
        <v>12</v>
      </c>
      <c r="C30" s="14">
        <v>5</v>
      </c>
      <c r="D30" s="14">
        <v>7</v>
      </c>
      <c r="E30" s="14">
        <v>7</v>
      </c>
      <c r="F30" s="14">
        <v>8</v>
      </c>
      <c r="G30" s="14">
        <v>8</v>
      </c>
      <c r="H30" s="14">
        <v>6</v>
      </c>
      <c r="I30" s="14">
        <v>10</v>
      </c>
      <c r="J30" s="14">
        <v>5</v>
      </c>
      <c r="K30" s="14">
        <v>6</v>
      </c>
      <c r="L30" s="14">
        <v>3</v>
      </c>
      <c r="M30" s="14">
        <v>6</v>
      </c>
      <c r="N30" s="14">
        <v>8</v>
      </c>
      <c r="O30" s="14">
        <v>9</v>
      </c>
      <c r="P30" s="14">
        <v>3</v>
      </c>
      <c r="Q30" s="14">
        <v>6</v>
      </c>
      <c r="R30" s="14">
        <v>10</v>
      </c>
      <c r="S30" s="14">
        <v>8</v>
      </c>
      <c r="T30" s="14">
        <v>13</v>
      </c>
      <c r="U30" s="14">
        <v>5</v>
      </c>
      <c r="V30" s="14">
        <v>11</v>
      </c>
      <c r="W30" s="14">
        <v>7</v>
      </c>
      <c r="X30" s="14">
        <v>3</v>
      </c>
      <c r="Y30" s="14">
        <v>7</v>
      </c>
      <c r="Z30" s="14">
        <v>6</v>
      </c>
      <c r="AA30" s="14">
        <v>6</v>
      </c>
      <c r="AB30" s="14">
        <v>11</v>
      </c>
      <c r="AC30" s="14">
        <v>15</v>
      </c>
      <c r="AD30" s="14">
        <v>1</v>
      </c>
      <c r="AE30" s="14">
        <v>6</v>
      </c>
      <c r="AF30" s="214">
        <v>7</v>
      </c>
      <c r="AG30" s="15">
        <f t="shared" si="2"/>
        <v>225</v>
      </c>
    </row>
    <row r="31" spans="1:33" ht="15.75" customHeight="1" x14ac:dyDescent="0.25">
      <c r="A31" s="12" t="s">
        <v>17</v>
      </c>
      <c r="B31" s="13">
        <v>11</v>
      </c>
      <c r="C31" s="14">
        <v>11</v>
      </c>
      <c r="D31" s="14">
        <v>6</v>
      </c>
      <c r="E31" s="14">
        <v>9</v>
      </c>
      <c r="F31" s="14">
        <v>6</v>
      </c>
      <c r="G31" s="14">
        <v>8</v>
      </c>
      <c r="H31" s="14">
        <v>6</v>
      </c>
      <c r="I31" s="14">
        <v>7</v>
      </c>
      <c r="J31" s="14">
        <v>9</v>
      </c>
      <c r="K31" s="14">
        <v>10</v>
      </c>
      <c r="L31" s="14">
        <v>9</v>
      </c>
      <c r="M31" s="14">
        <v>9</v>
      </c>
      <c r="N31" s="14">
        <v>9</v>
      </c>
      <c r="O31" s="14">
        <v>6</v>
      </c>
      <c r="P31" s="14">
        <v>20</v>
      </c>
      <c r="Q31" s="14">
        <v>9</v>
      </c>
      <c r="R31" s="14">
        <v>7</v>
      </c>
      <c r="S31" s="14">
        <v>12</v>
      </c>
      <c r="T31" s="14">
        <v>9</v>
      </c>
      <c r="U31" s="14">
        <v>7</v>
      </c>
      <c r="V31" s="14">
        <v>10</v>
      </c>
      <c r="W31" s="14">
        <v>7</v>
      </c>
      <c r="X31" s="14">
        <v>12</v>
      </c>
      <c r="Y31" s="14">
        <v>12</v>
      </c>
      <c r="Z31" s="14">
        <v>12</v>
      </c>
      <c r="AA31" s="14">
        <v>12</v>
      </c>
      <c r="AB31" s="14">
        <v>8</v>
      </c>
      <c r="AC31" s="14">
        <v>6</v>
      </c>
      <c r="AD31" s="14">
        <v>10</v>
      </c>
      <c r="AE31" s="14">
        <v>3</v>
      </c>
      <c r="AF31" s="214">
        <v>8</v>
      </c>
      <c r="AG31" s="15">
        <f t="shared" si="2"/>
        <v>280</v>
      </c>
    </row>
    <row r="32" spans="1:33" ht="15.75" customHeight="1" x14ac:dyDescent="0.25">
      <c r="A32" s="12" t="s">
        <v>18</v>
      </c>
      <c r="B32" s="13">
        <v>12</v>
      </c>
      <c r="C32" s="14">
        <v>5</v>
      </c>
      <c r="D32" s="14">
        <v>5</v>
      </c>
      <c r="E32" s="14">
        <v>14</v>
      </c>
      <c r="F32" s="14">
        <v>6</v>
      </c>
      <c r="G32" s="14">
        <v>6</v>
      </c>
      <c r="H32" s="14">
        <v>9</v>
      </c>
      <c r="I32" s="14">
        <v>13</v>
      </c>
      <c r="J32" s="14">
        <v>9</v>
      </c>
      <c r="K32" s="14">
        <v>5</v>
      </c>
      <c r="L32" s="14">
        <v>6</v>
      </c>
      <c r="M32" s="14">
        <v>4</v>
      </c>
      <c r="N32" s="14">
        <v>5</v>
      </c>
      <c r="O32" s="14">
        <v>4</v>
      </c>
      <c r="P32" s="14">
        <v>13</v>
      </c>
      <c r="Q32" s="14">
        <v>15</v>
      </c>
      <c r="R32" s="14">
        <v>11</v>
      </c>
      <c r="S32" s="14">
        <v>11</v>
      </c>
      <c r="T32" s="14">
        <v>9</v>
      </c>
      <c r="U32" s="14">
        <v>6</v>
      </c>
      <c r="V32" s="14">
        <v>5</v>
      </c>
      <c r="W32" s="14">
        <v>10</v>
      </c>
      <c r="X32" s="14">
        <v>13</v>
      </c>
      <c r="Y32" s="14">
        <v>8</v>
      </c>
      <c r="Z32" s="14">
        <v>10</v>
      </c>
      <c r="AA32" s="14">
        <v>7</v>
      </c>
      <c r="AB32" s="14">
        <v>8</v>
      </c>
      <c r="AC32" s="14">
        <v>7</v>
      </c>
      <c r="AD32" s="14">
        <v>15</v>
      </c>
      <c r="AE32" s="14">
        <v>12</v>
      </c>
      <c r="AF32" s="214">
        <v>6</v>
      </c>
      <c r="AG32" s="15">
        <f t="shared" si="2"/>
        <v>269</v>
      </c>
    </row>
    <row r="33" spans="1:33" ht="15.75" customHeight="1" x14ac:dyDescent="0.25">
      <c r="A33" s="12" t="s">
        <v>19</v>
      </c>
      <c r="B33" s="13">
        <v>16</v>
      </c>
      <c r="C33" s="14">
        <v>10</v>
      </c>
      <c r="D33" s="14">
        <v>7</v>
      </c>
      <c r="E33" s="14">
        <v>9</v>
      </c>
      <c r="F33" s="14">
        <v>6</v>
      </c>
      <c r="G33" s="14">
        <v>8</v>
      </c>
      <c r="H33" s="14">
        <v>3</v>
      </c>
      <c r="I33" s="14">
        <v>6</v>
      </c>
      <c r="J33" s="14">
        <v>16</v>
      </c>
      <c r="K33" s="14">
        <v>6</v>
      </c>
      <c r="L33" s="14">
        <v>10</v>
      </c>
      <c r="M33" s="14">
        <v>6</v>
      </c>
      <c r="N33" s="14">
        <v>11</v>
      </c>
      <c r="O33" s="14">
        <v>5</v>
      </c>
      <c r="P33" s="14">
        <v>11</v>
      </c>
      <c r="Q33" s="14">
        <v>10</v>
      </c>
      <c r="R33" s="14">
        <v>6</v>
      </c>
      <c r="S33" s="14">
        <v>9</v>
      </c>
      <c r="T33" s="14">
        <v>6</v>
      </c>
      <c r="U33" s="14">
        <v>5</v>
      </c>
      <c r="V33" s="14">
        <v>6</v>
      </c>
      <c r="W33" s="14">
        <v>14</v>
      </c>
      <c r="X33" s="14">
        <v>9</v>
      </c>
      <c r="Y33" s="14">
        <v>12</v>
      </c>
      <c r="Z33" s="14">
        <v>10</v>
      </c>
      <c r="AA33" s="14">
        <v>7</v>
      </c>
      <c r="AB33" s="14">
        <v>6</v>
      </c>
      <c r="AC33" s="14">
        <v>7</v>
      </c>
      <c r="AD33" s="14">
        <v>5</v>
      </c>
      <c r="AE33" s="14">
        <v>6</v>
      </c>
      <c r="AF33" s="214">
        <v>10</v>
      </c>
      <c r="AG33" s="15">
        <f t="shared" si="2"/>
        <v>258</v>
      </c>
    </row>
    <row r="34" spans="1:33" ht="15.75" customHeight="1" x14ac:dyDescent="0.25">
      <c r="A34" s="12" t="s">
        <v>20</v>
      </c>
      <c r="B34" s="13">
        <v>9</v>
      </c>
      <c r="C34" s="14">
        <v>11</v>
      </c>
      <c r="D34" s="14">
        <v>11</v>
      </c>
      <c r="E34" s="14">
        <v>8</v>
      </c>
      <c r="F34" s="14">
        <v>7</v>
      </c>
      <c r="G34" s="14">
        <v>5</v>
      </c>
      <c r="H34" s="14">
        <v>6</v>
      </c>
      <c r="I34" s="14">
        <v>11</v>
      </c>
      <c r="J34" s="14">
        <v>8</v>
      </c>
      <c r="K34" s="14">
        <v>8</v>
      </c>
      <c r="L34" s="14">
        <v>10</v>
      </c>
      <c r="M34" s="14">
        <v>6</v>
      </c>
      <c r="N34" s="14">
        <v>7</v>
      </c>
      <c r="O34" s="14">
        <v>6</v>
      </c>
      <c r="P34" s="14">
        <v>12</v>
      </c>
      <c r="Q34" s="14">
        <v>8</v>
      </c>
      <c r="R34" s="14">
        <v>7</v>
      </c>
      <c r="S34" s="14">
        <v>6</v>
      </c>
      <c r="T34" s="14">
        <v>6</v>
      </c>
      <c r="U34" s="14">
        <v>4</v>
      </c>
      <c r="V34" s="14">
        <v>5</v>
      </c>
      <c r="W34" s="14">
        <v>8</v>
      </c>
      <c r="X34" s="14">
        <v>14</v>
      </c>
      <c r="Y34" s="14">
        <v>8</v>
      </c>
      <c r="Z34" s="14">
        <v>7</v>
      </c>
      <c r="AA34" s="14">
        <v>9</v>
      </c>
      <c r="AB34" s="14">
        <v>7</v>
      </c>
      <c r="AC34" s="14">
        <v>2</v>
      </c>
      <c r="AD34" s="14">
        <v>7</v>
      </c>
      <c r="AE34" s="14">
        <v>10</v>
      </c>
      <c r="AF34" s="214">
        <v>4</v>
      </c>
      <c r="AG34" s="15">
        <f t="shared" si="2"/>
        <v>237</v>
      </c>
    </row>
    <row r="35" spans="1:33" ht="15.75" customHeight="1" x14ac:dyDescent="0.25">
      <c r="A35" s="12" t="s">
        <v>21</v>
      </c>
      <c r="B35" s="13">
        <v>10</v>
      </c>
      <c r="C35" s="14">
        <v>7</v>
      </c>
      <c r="D35" s="14">
        <v>6</v>
      </c>
      <c r="E35" s="14">
        <v>8</v>
      </c>
      <c r="F35" s="14">
        <v>5</v>
      </c>
      <c r="G35" s="14">
        <v>10</v>
      </c>
      <c r="H35" s="14">
        <v>6</v>
      </c>
      <c r="I35" s="14">
        <v>11</v>
      </c>
      <c r="J35" s="14">
        <v>12</v>
      </c>
      <c r="K35" s="14">
        <v>7</v>
      </c>
      <c r="L35" s="14">
        <v>8</v>
      </c>
      <c r="M35" s="14">
        <v>9</v>
      </c>
      <c r="N35" s="14">
        <v>7</v>
      </c>
      <c r="O35" s="14">
        <v>10</v>
      </c>
      <c r="P35" s="14">
        <v>8</v>
      </c>
      <c r="Q35" s="14">
        <v>8</v>
      </c>
      <c r="R35" s="14">
        <v>10</v>
      </c>
      <c r="S35" s="14">
        <v>10</v>
      </c>
      <c r="T35" s="14">
        <v>11</v>
      </c>
      <c r="U35" s="14">
        <v>13</v>
      </c>
      <c r="V35" s="14">
        <v>10</v>
      </c>
      <c r="W35" s="14">
        <v>6</v>
      </c>
      <c r="X35" s="14">
        <v>7</v>
      </c>
      <c r="Y35" s="14">
        <v>8</v>
      </c>
      <c r="Z35" s="14">
        <v>8</v>
      </c>
      <c r="AA35" s="14">
        <v>10</v>
      </c>
      <c r="AB35" s="14">
        <v>6</v>
      </c>
      <c r="AC35" s="14">
        <v>12</v>
      </c>
      <c r="AD35" s="14">
        <v>8</v>
      </c>
      <c r="AE35" s="14">
        <v>6</v>
      </c>
      <c r="AF35" s="214">
        <v>8</v>
      </c>
      <c r="AG35" s="15">
        <f t="shared" si="2"/>
        <v>265</v>
      </c>
    </row>
    <row r="36" spans="1:33" ht="15.75" customHeight="1" x14ac:dyDescent="0.25">
      <c r="A36" s="12" t="s">
        <v>22</v>
      </c>
      <c r="B36" s="13">
        <v>9</v>
      </c>
      <c r="C36" s="14">
        <v>11</v>
      </c>
      <c r="D36" s="14">
        <v>16</v>
      </c>
      <c r="E36" s="14">
        <v>10</v>
      </c>
      <c r="F36" s="14">
        <v>8</v>
      </c>
      <c r="G36" s="14">
        <v>9</v>
      </c>
      <c r="H36" s="14">
        <v>5</v>
      </c>
      <c r="I36" s="14">
        <v>12</v>
      </c>
      <c r="J36" s="14">
        <v>13</v>
      </c>
      <c r="K36" s="14">
        <v>8</v>
      </c>
      <c r="L36" s="14">
        <v>7</v>
      </c>
      <c r="M36" s="14">
        <v>8</v>
      </c>
      <c r="N36" s="14">
        <v>7</v>
      </c>
      <c r="O36" s="14">
        <v>9</v>
      </c>
      <c r="P36" s="14">
        <v>11</v>
      </c>
      <c r="Q36" s="14">
        <v>9</v>
      </c>
      <c r="R36" s="14">
        <v>8</v>
      </c>
      <c r="S36" s="14">
        <v>8</v>
      </c>
      <c r="T36" s="14">
        <v>14</v>
      </c>
      <c r="U36" s="14">
        <v>13</v>
      </c>
      <c r="V36" s="14">
        <v>13</v>
      </c>
      <c r="W36" s="14">
        <v>8</v>
      </c>
      <c r="X36" s="14">
        <v>5</v>
      </c>
      <c r="Y36" s="14">
        <v>10</v>
      </c>
      <c r="Z36" s="14">
        <v>14</v>
      </c>
      <c r="AA36" s="14">
        <v>14</v>
      </c>
      <c r="AB36" s="14">
        <v>6</v>
      </c>
      <c r="AC36" s="14">
        <v>13</v>
      </c>
      <c r="AD36" s="14">
        <v>13</v>
      </c>
      <c r="AE36" s="14">
        <v>16</v>
      </c>
      <c r="AF36" s="214">
        <v>6</v>
      </c>
      <c r="AG36" s="15">
        <f t="shared" si="2"/>
        <v>313</v>
      </c>
    </row>
    <row r="37" spans="1:33" ht="15.75" customHeight="1" x14ac:dyDescent="0.25">
      <c r="A37" s="12" t="s">
        <v>23</v>
      </c>
      <c r="B37" s="13">
        <v>12</v>
      </c>
      <c r="C37" s="14">
        <v>12</v>
      </c>
      <c r="D37" s="14">
        <v>11</v>
      </c>
      <c r="E37" s="14">
        <v>5</v>
      </c>
      <c r="F37" s="14">
        <v>8</v>
      </c>
      <c r="G37" s="14">
        <v>8</v>
      </c>
      <c r="H37" s="14">
        <v>12</v>
      </c>
      <c r="I37" s="14">
        <v>7</v>
      </c>
      <c r="J37" s="14">
        <v>12</v>
      </c>
      <c r="K37" s="14">
        <v>6</v>
      </c>
      <c r="L37" s="14">
        <v>12</v>
      </c>
      <c r="M37" s="14">
        <v>8</v>
      </c>
      <c r="N37" s="14">
        <v>9</v>
      </c>
      <c r="O37" s="14">
        <v>9</v>
      </c>
      <c r="P37" s="14">
        <v>19</v>
      </c>
      <c r="Q37" s="14">
        <v>9</v>
      </c>
      <c r="R37" s="14">
        <v>7</v>
      </c>
      <c r="S37" s="14">
        <v>7</v>
      </c>
      <c r="T37" s="14">
        <v>10</v>
      </c>
      <c r="U37" s="14">
        <v>7</v>
      </c>
      <c r="V37" s="14">
        <v>11</v>
      </c>
      <c r="W37" s="14">
        <v>12</v>
      </c>
      <c r="X37" s="14">
        <v>11</v>
      </c>
      <c r="Y37" s="14">
        <v>9</v>
      </c>
      <c r="Z37" s="14">
        <v>8</v>
      </c>
      <c r="AA37" s="14">
        <v>5</v>
      </c>
      <c r="AB37" s="14">
        <v>10</v>
      </c>
      <c r="AC37" s="14">
        <v>16</v>
      </c>
      <c r="AD37" s="14">
        <v>10</v>
      </c>
      <c r="AE37" s="14">
        <v>15</v>
      </c>
      <c r="AF37" s="214">
        <v>6</v>
      </c>
      <c r="AG37" s="15">
        <f t="shared" si="2"/>
        <v>303</v>
      </c>
    </row>
    <row r="38" spans="1:33" ht="15.75" customHeight="1" x14ac:dyDescent="0.25">
      <c r="A38" s="12" t="s">
        <v>24</v>
      </c>
      <c r="B38" s="13">
        <v>11</v>
      </c>
      <c r="C38" s="14">
        <v>11</v>
      </c>
      <c r="D38" s="14">
        <v>8</v>
      </c>
      <c r="E38" s="14">
        <v>5</v>
      </c>
      <c r="F38" s="14">
        <v>9</v>
      </c>
      <c r="G38" s="14">
        <v>14</v>
      </c>
      <c r="H38" s="14">
        <v>10</v>
      </c>
      <c r="I38" s="14">
        <v>9</v>
      </c>
      <c r="J38" s="14">
        <v>18</v>
      </c>
      <c r="K38" s="14">
        <v>15</v>
      </c>
      <c r="L38" s="14">
        <v>10</v>
      </c>
      <c r="M38" s="14">
        <v>11</v>
      </c>
      <c r="N38" s="14">
        <v>7</v>
      </c>
      <c r="O38" s="14">
        <v>5</v>
      </c>
      <c r="P38" s="14">
        <v>18</v>
      </c>
      <c r="Q38" s="14">
        <v>13</v>
      </c>
      <c r="R38" s="14">
        <v>11</v>
      </c>
      <c r="S38" s="14">
        <v>10</v>
      </c>
      <c r="T38" s="14">
        <v>17</v>
      </c>
      <c r="U38" s="14">
        <v>10</v>
      </c>
      <c r="V38" s="14">
        <v>16</v>
      </c>
      <c r="W38" s="14">
        <v>10</v>
      </c>
      <c r="X38" s="14">
        <v>17</v>
      </c>
      <c r="Y38" s="14">
        <v>12</v>
      </c>
      <c r="Z38" s="14">
        <v>10</v>
      </c>
      <c r="AA38" s="14">
        <v>11</v>
      </c>
      <c r="AB38" s="14">
        <v>10</v>
      </c>
      <c r="AC38" s="14">
        <v>9</v>
      </c>
      <c r="AD38" s="14">
        <v>11</v>
      </c>
      <c r="AE38" s="14">
        <v>9</v>
      </c>
      <c r="AF38" s="214">
        <v>13</v>
      </c>
      <c r="AG38" s="15">
        <f t="shared" si="2"/>
        <v>350</v>
      </c>
    </row>
    <row r="39" spans="1:33" ht="15.75" customHeight="1" x14ac:dyDescent="0.25">
      <c r="A39" s="12" t="s">
        <v>25</v>
      </c>
      <c r="B39" s="13">
        <v>12</v>
      </c>
      <c r="C39" s="14">
        <v>9</v>
      </c>
      <c r="D39" s="14">
        <v>13</v>
      </c>
      <c r="E39" s="14">
        <v>18</v>
      </c>
      <c r="F39" s="14">
        <v>11</v>
      </c>
      <c r="G39" s="14">
        <v>18</v>
      </c>
      <c r="H39" s="14">
        <v>12</v>
      </c>
      <c r="I39" s="14">
        <v>16</v>
      </c>
      <c r="J39" s="14">
        <v>6</v>
      </c>
      <c r="K39" s="14">
        <v>15</v>
      </c>
      <c r="L39" s="14">
        <v>18</v>
      </c>
      <c r="M39" s="14">
        <v>12</v>
      </c>
      <c r="N39" s="14">
        <v>18</v>
      </c>
      <c r="O39" s="14">
        <v>11</v>
      </c>
      <c r="P39" s="14">
        <v>3</v>
      </c>
      <c r="Q39" s="14">
        <v>8</v>
      </c>
      <c r="R39" s="14">
        <v>11</v>
      </c>
      <c r="S39" s="14">
        <v>18</v>
      </c>
      <c r="T39" s="14">
        <v>14</v>
      </c>
      <c r="U39" s="14">
        <v>13</v>
      </c>
      <c r="V39" s="14">
        <v>23</v>
      </c>
      <c r="W39" s="14">
        <v>13</v>
      </c>
      <c r="X39" s="14">
        <v>17</v>
      </c>
      <c r="Y39" s="14">
        <v>10</v>
      </c>
      <c r="Z39" s="14">
        <v>15</v>
      </c>
      <c r="AA39" s="14">
        <v>15</v>
      </c>
      <c r="AB39" s="14">
        <v>21</v>
      </c>
      <c r="AC39" s="14">
        <v>11</v>
      </c>
      <c r="AD39" s="14">
        <v>12</v>
      </c>
      <c r="AE39" s="14">
        <v>14</v>
      </c>
      <c r="AF39" s="214">
        <v>21</v>
      </c>
      <c r="AG39" s="15">
        <f t="shared" si="2"/>
        <v>428</v>
      </c>
    </row>
    <row r="40" spans="1:33" ht="15.75" customHeight="1" x14ac:dyDescent="0.25">
      <c r="A40" s="12" t="s">
        <v>26</v>
      </c>
      <c r="B40" s="13">
        <v>7</v>
      </c>
      <c r="C40" s="14">
        <v>12</v>
      </c>
      <c r="D40" s="14">
        <v>19</v>
      </c>
      <c r="E40" s="14">
        <v>14</v>
      </c>
      <c r="F40" s="14">
        <v>16</v>
      </c>
      <c r="G40" s="14">
        <v>14</v>
      </c>
      <c r="H40" s="14">
        <v>11</v>
      </c>
      <c r="I40" s="14">
        <v>8</v>
      </c>
      <c r="J40" s="14">
        <v>11</v>
      </c>
      <c r="K40" s="14">
        <v>16</v>
      </c>
      <c r="L40" s="14">
        <v>12</v>
      </c>
      <c r="M40" s="14">
        <v>20</v>
      </c>
      <c r="N40" s="14">
        <v>16</v>
      </c>
      <c r="O40" s="14">
        <v>14</v>
      </c>
      <c r="P40" s="14">
        <v>7</v>
      </c>
      <c r="Q40" s="14">
        <v>5</v>
      </c>
      <c r="R40" s="14">
        <v>14</v>
      </c>
      <c r="S40" s="14">
        <v>19</v>
      </c>
      <c r="T40" s="14">
        <v>16</v>
      </c>
      <c r="U40" s="14">
        <v>17</v>
      </c>
      <c r="V40" s="14">
        <v>9</v>
      </c>
      <c r="W40" s="14">
        <v>6</v>
      </c>
      <c r="X40" s="14">
        <v>11</v>
      </c>
      <c r="Y40" s="14">
        <v>19</v>
      </c>
      <c r="Z40" s="14">
        <v>17</v>
      </c>
      <c r="AA40" s="14">
        <v>22</v>
      </c>
      <c r="AB40" s="14">
        <v>26</v>
      </c>
      <c r="AC40" s="14">
        <v>16</v>
      </c>
      <c r="AD40" s="14">
        <v>6</v>
      </c>
      <c r="AE40" s="14">
        <v>21</v>
      </c>
      <c r="AF40" s="214">
        <v>18</v>
      </c>
      <c r="AG40" s="15">
        <f t="shared" si="2"/>
        <v>439</v>
      </c>
    </row>
    <row r="41" spans="1:33" ht="15.75" customHeight="1" x14ac:dyDescent="0.25">
      <c r="A41" s="12" t="s">
        <v>27</v>
      </c>
      <c r="B41" s="13">
        <v>23</v>
      </c>
      <c r="C41" s="14">
        <v>7</v>
      </c>
      <c r="D41" s="14">
        <v>20</v>
      </c>
      <c r="E41" s="14">
        <v>7</v>
      </c>
      <c r="F41" s="14">
        <v>17</v>
      </c>
      <c r="G41" s="14">
        <v>15</v>
      </c>
      <c r="H41" s="14">
        <v>13</v>
      </c>
      <c r="I41" s="14">
        <v>10</v>
      </c>
      <c r="J41" s="14">
        <v>11</v>
      </c>
      <c r="K41" s="14">
        <v>22</v>
      </c>
      <c r="L41" s="14">
        <v>10</v>
      </c>
      <c r="M41" s="14">
        <v>11</v>
      </c>
      <c r="N41" s="14">
        <v>14</v>
      </c>
      <c r="O41" s="14">
        <v>12</v>
      </c>
      <c r="P41" s="14">
        <v>7</v>
      </c>
      <c r="Q41" s="14">
        <v>8</v>
      </c>
      <c r="R41" s="14">
        <v>13</v>
      </c>
      <c r="S41" s="14">
        <v>15</v>
      </c>
      <c r="T41" s="14">
        <v>16</v>
      </c>
      <c r="U41" s="14">
        <v>16</v>
      </c>
      <c r="V41" s="14">
        <v>5</v>
      </c>
      <c r="W41" s="14">
        <v>13</v>
      </c>
      <c r="X41" s="14">
        <v>11</v>
      </c>
      <c r="Y41" s="14">
        <v>19</v>
      </c>
      <c r="Z41" s="14">
        <v>16</v>
      </c>
      <c r="AA41" s="14">
        <v>11</v>
      </c>
      <c r="AB41" s="14">
        <v>14</v>
      </c>
      <c r="AC41" s="14">
        <v>12</v>
      </c>
      <c r="AD41" s="14">
        <v>7</v>
      </c>
      <c r="AE41" s="14">
        <v>14</v>
      </c>
      <c r="AF41" s="214">
        <v>20</v>
      </c>
      <c r="AG41" s="15">
        <f t="shared" si="2"/>
        <v>409</v>
      </c>
    </row>
    <row r="42" spans="1:33" ht="15.75" customHeight="1" x14ac:dyDescent="0.25">
      <c r="A42" s="12" t="s">
        <v>28</v>
      </c>
      <c r="B42" s="13">
        <v>2</v>
      </c>
      <c r="C42" s="14">
        <v>9</v>
      </c>
      <c r="D42" s="14">
        <v>13</v>
      </c>
      <c r="E42" s="14">
        <v>3</v>
      </c>
      <c r="F42" s="14">
        <v>6</v>
      </c>
      <c r="G42" s="14">
        <v>10</v>
      </c>
      <c r="H42" s="14">
        <v>7</v>
      </c>
      <c r="I42" s="14">
        <v>6</v>
      </c>
      <c r="J42" s="14">
        <v>6</v>
      </c>
      <c r="K42" s="14">
        <v>15</v>
      </c>
      <c r="L42" s="14">
        <v>4</v>
      </c>
      <c r="M42" s="14">
        <v>8</v>
      </c>
      <c r="N42" s="14">
        <v>6</v>
      </c>
      <c r="O42" s="14">
        <v>12</v>
      </c>
      <c r="P42" s="14">
        <v>7</v>
      </c>
      <c r="Q42" s="14">
        <v>6</v>
      </c>
      <c r="R42" s="14">
        <v>10</v>
      </c>
      <c r="S42" s="14">
        <v>19</v>
      </c>
      <c r="T42" s="14">
        <v>13</v>
      </c>
      <c r="U42" s="14">
        <v>9</v>
      </c>
      <c r="V42" s="14">
        <v>9</v>
      </c>
      <c r="W42" s="14">
        <v>14</v>
      </c>
      <c r="X42" s="14">
        <v>5</v>
      </c>
      <c r="Y42" s="14">
        <v>14</v>
      </c>
      <c r="Z42" s="14">
        <v>15</v>
      </c>
      <c r="AA42" s="14">
        <v>10</v>
      </c>
      <c r="AB42" s="14">
        <v>22</v>
      </c>
      <c r="AC42" s="14">
        <v>4</v>
      </c>
      <c r="AD42" s="14">
        <v>9</v>
      </c>
      <c r="AE42" s="14">
        <v>13</v>
      </c>
      <c r="AF42" s="214">
        <v>22</v>
      </c>
      <c r="AG42" s="15">
        <f t="shared" si="2"/>
        <v>308</v>
      </c>
    </row>
    <row r="43" spans="1:33" ht="15.75" customHeight="1" x14ac:dyDescent="0.25">
      <c r="A43" s="12" t="s">
        <v>29</v>
      </c>
      <c r="B43" s="13">
        <v>6</v>
      </c>
      <c r="C43" s="14">
        <v>10</v>
      </c>
      <c r="D43" s="14">
        <v>9</v>
      </c>
      <c r="E43" s="14">
        <v>7</v>
      </c>
      <c r="F43" s="14">
        <v>7</v>
      </c>
      <c r="G43" s="14">
        <v>7</v>
      </c>
      <c r="H43" s="14">
        <v>6</v>
      </c>
      <c r="I43" s="14">
        <v>2</v>
      </c>
      <c r="J43" s="14">
        <v>8</v>
      </c>
      <c r="K43" s="14">
        <v>10</v>
      </c>
      <c r="L43" s="14">
        <v>9</v>
      </c>
      <c r="M43" s="14">
        <v>14</v>
      </c>
      <c r="N43" s="14">
        <v>6</v>
      </c>
      <c r="O43" s="14">
        <v>12</v>
      </c>
      <c r="P43" s="14">
        <v>13</v>
      </c>
      <c r="Q43" s="14">
        <v>4</v>
      </c>
      <c r="R43" s="14">
        <v>11</v>
      </c>
      <c r="S43" s="14">
        <v>8</v>
      </c>
      <c r="T43" s="14">
        <v>4</v>
      </c>
      <c r="U43" s="14">
        <v>8</v>
      </c>
      <c r="V43" s="14">
        <v>9</v>
      </c>
      <c r="W43" s="14">
        <v>6</v>
      </c>
      <c r="X43" s="14">
        <v>5</v>
      </c>
      <c r="Y43" s="14">
        <v>12</v>
      </c>
      <c r="Z43" s="14">
        <v>6</v>
      </c>
      <c r="AA43" s="14">
        <v>7</v>
      </c>
      <c r="AB43" s="14">
        <v>9</v>
      </c>
      <c r="AC43" s="14">
        <v>16</v>
      </c>
      <c r="AD43" s="14">
        <v>10</v>
      </c>
      <c r="AE43" s="14">
        <v>7</v>
      </c>
      <c r="AF43" s="214">
        <v>9</v>
      </c>
      <c r="AG43" s="15">
        <f t="shared" si="2"/>
        <v>257</v>
      </c>
    </row>
    <row r="44" spans="1:33" ht="15.75" customHeight="1" x14ac:dyDescent="0.25">
      <c r="A44" s="12" t="s">
        <v>30</v>
      </c>
      <c r="B44" s="13">
        <v>6</v>
      </c>
      <c r="C44" s="14">
        <v>2</v>
      </c>
      <c r="D44" s="14">
        <v>7</v>
      </c>
      <c r="E44" s="14">
        <v>3</v>
      </c>
      <c r="F44" s="14">
        <v>8</v>
      </c>
      <c r="G44" s="14">
        <v>3</v>
      </c>
      <c r="H44" s="14">
        <v>5</v>
      </c>
      <c r="I44" s="14">
        <v>7</v>
      </c>
      <c r="J44" s="14">
        <v>3</v>
      </c>
      <c r="K44" s="14">
        <v>7</v>
      </c>
      <c r="L44" s="14">
        <v>7</v>
      </c>
      <c r="M44" s="14">
        <v>7</v>
      </c>
      <c r="N44" s="14">
        <v>7</v>
      </c>
      <c r="O44" s="14">
        <v>1</v>
      </c>
      <c r="P44" s="14">
        <v>4</v>
      </c>
      <c r="Q44" s="14">
        <v>6</v>
      </c>
      <c r="R44" s="14">
        <v>8</v>
      </c>
      <c r="S44" s="14">
        <v>5</v>
      </c>
      <c r="T44" s="14">
        <v>7</v>
      </c>
      <c r="U44" s="14">
        <v>3</v>
      </c>
      <c r="V44" s="14">
        <v>3</v>
      </c>
      <c r="W44" s="14">
        <v>2</v>
      </c>
      <c r="X44" s="14">
        <v>6</v>
      </c>
      <c r="Y44" s="14">
        <v>10</v>
      </c>
      <c r="Z44" s="14">
        <v>5</v>
      </c>
      <c r="AA44" s="14">
        <v>5</v>
      </c>
      <c r="AB44" s="14">
        <v>4</v>
      </c>
      <c r="AC44" s="14">
        <v>9</v>
      </c>
      <c r="AD44" s="14">
        <v>7</v>
      </c>
      <c r="AE44" s="14">
        <v>8</v>
      </c>
      <c r="AF44" s="214">
        <v>9</v>
      </c>
      <c r="AG44" s="15">
        <f t="shared" si="2"/>
        <v>174</v>
      </c>
    </row>
    <row r="45" spans="1:33" ht="15.75" customHeight="1" x14ac:dyDescent="0.25">
      <c r="A45" s="12" t="s">
        <v>31</v>
      </c>
      <c r="B45" s="13">
        <v>4</v>
      </c>
      <c r="C45" s="14">
        <v>2</v>
      </c>
      <c r="D45" s="14">
        <v>6</v>
      </c>
      <c r="E45" s="14">
        <v>5</v>
      </c>
      <c r="F45" s="14">
        <v>4</v>
      </c>
      <c r="G45" s="14">
        <v>6</v>
      </c>
      <c r="H45" s="14">
        <v>3</v>
      </c>
      <c r="I45" s="14">
        <v>7</v>
      </c>
      <c r="J45" s="14">
        <v>4</v>
      </c>
      <c r="K45" s="14">
        <v>5</v>
      </c>
      <c r="L45" s="14">
        <v>3</v>
      </c>
      <c r="M45" s="14">
        <v>4</v>
      </c>
      <c r="N45" s="14">
        <v>3</v>
      </c>
      <c r="O45" s="14">
        <v>4</v>
      </c>
      <c r="P45" s="14">
        <v>3</v>
      </c>
      <c r="Q45" s="14">
        <v>4</v>
      </c>
      <c r="R45" s="14">
        <v>8</v>
      </c>
      <c r="S45" s="14">
        <v>3</v>
      </c>
      <c r="T45" s="14">
        <v>9</v>
      </c>
      <c r="U45" s="14">
        <v>3</v>
      </c>
      <c r="V45" s="14">
        <v>4</v>
      </c>
      <c r="W45" s="14">
        <v>4</v>
      </c>
      <c r="X45" s="14">
        <v>6</v>
      </c>
      <c r="Y45" s="14">
        <v>2</v>
      </c>
      <c r="Z45" s="14">
        <v>2</v>
      </c>
      <c r="AA45" s="14">
        <v>3</v>
      </c>
      <c r="AB45" s="14">
        <v>0</v>
      </c>
      <c r="AC45" s="14">
        <v>5</v>
      </c>
      <c r="AD45" s="14">
        <v>7</v>
      </c>
      <c r="AE45" s="14">
        <v>4</v>
      </c>
      <c r="AF45" s="214">
        <v>7</v>
      </c>
      <c r="AG45" s="15">
        <f t="shared" si="2"/>
        <v>134</v>
      </c>
    </row>
    <row r="46" spans="1:33" ht="15.75" customHeight="1" x14ac:dyDescent="0.25">
      <c r="A46" s="12" t="s">
        <v>32</v>
      </c>
      <c r="B46" s="13">
        <v>2</v>
      </c>
      <c r="C46" s="14">
        <v>5</v>
      </c>
      <c r="D46" s="14">
        <v>8</v>
      </c>
      <c r="E46" s="14">
        <v>8</v>
      </c>
      <c r="F46" s="14">
        <v>3</v>
      </c>
      <c r="G46" s="14">
        <v>1</v>
      </c>
      <c r="H46" s="14">
        <v>1</v>
      </c>
      <c r="I46" s="14">
        <v>6</v>
      </c>
      <c r="J46" s="14">
        <v>3</v>
      </c>
      <c r="K46" s="14">
        <v>1</v>
      </c>
      <c r="L46" s="14">
        <v>3</v>
      </c>
      <c r="M46" s="14">
        <v>3</v>
      </c>
      <c r="N46" s="14">
        <v>0</v>
      </c>
      <c r="O46" s="14">
        <v>2</v>
      </c>
      <c r="P46" s="14">
        <v>2</v>
      </c>
      <c r="Q46" s="14">
        <v>3</v>
      </c>
      <c r="R46" s="14">
        <v>6</v>
      </c>
      <c r="S46" s="14">
        <v>5</v>
      </c>
      <c r="T46" s="14">
        <v>6</v>
      </c>
      <c r="U46" s="14">
        <v>1</v>
      </c>
      <c r="V46" s="14">
        <v>3</v>
      </c>
      <c r="W46" s="14">
        <v>4</v>
      </c>
      <c r="X46" s="14">
        <v>5</v>
      </c>
      <c r="Y46" s="14">
        <v>6</v>
      </c>
      <c r="Z46" s="14">
        <v>3</v>
      </c>
      <c r="AA46" s="14">
        <v>1</v>
      </c>
      <c r="AB46" s="14">
        <v>1</v>
      </c>
      <c r="AC46" s="14">
        <v>2</v>
      </c>
      <c r="AD46" s="14">
        <v>2</v>
      </c>
      <c r="AE46" s="14">
        <v>6</v>
      </c>
      <c r="AF46" s="214">
        <v>10</v>
      </c>
      <c r="AG46" s="15">
        <f t="shared" si="2"/>
        <v>112</v>
      </c>
    </row>
    <row r="47" spans="1:33" ht="15.75" customHeight="1" x14ac:dyDescent="0.25">
      <c r="A47" s="12" t="s">
        <v>33</v>
      </c>
      <c r="B47" s="13">
        <v>2</v>
      </c>
      <c r="C47" s="14">
        <v>1</v>
      </c>
      <c r="D47" s="14">
        <v>2</v>
      </c>
      <c r="E47" s="14">
        <v>0</v>
      </c>
      <c r="F47" s="14">
        <v>3</v>
      </c>
      <c r="G47" s="14">
        <v>3</v>
      </c>
      <c r="H47" s="14">
        <v>1</v>
      </c>
      <c r="I47" s="14">
        <v>2</v>
      </c>
      <c r="J47" s="14">
        <v>4</v>
      </c>
      <c r="K47" s="14">
        <v>3</v>
      </c>
      <c r="L47" s="14">
        <v>2</v>
      </c>
      <c r="M47" s="14">
        <v>3</v>
      </c>
      <c r="N47" s="14">
        <v>4</v>
      </c>
      <c r="O47" s="14">
        <v>3</v>
      </c>
      <c r="P47" s="14">
        <v>2</v>
      </c>
      <c r="Q47" s="14">
        <v>1</v>
      </c>
      <c r="R47" s="14">
        <v>8</v>
      </c>
      <c r="S47" s="14">
        <v>0</v>
      </c>
      <c r="T47" s="14">
        <v>1</v>
      </c>
      <c r="U47" s="14">
        <v>1</v>
      </c>
      <c r="V47" s="14">
        <v>4</v>
      </c>
      <c r="W47" s="14">
        <v>1</v>
      </c>
      <c r="X47" s="14">
        <v>1</v>
      </c>
      <c r="Y47" s="14">
        <v>0</v>
      </c>
      <c r="Z47" s="14">
        <v>1</v>
      </c>
      <c r="AA47" s="14">
        <v>0</v>
      </c>
      <c r="AB47" s="14">
        <v>7</v>
      </c>
      <c r="AC47" s="14">
        <v>4</v>
      </c>
      <c r="AD47" s="14">
        <v>1</v>
      </c>
      <c r="AE47" s="14">
        <v>3</v>
      </c>
      <c r="AF47" s="214">
        <v>6</v>
      </c>
      <c r="AG47" s="15">
        <f t="shared" si="2"/>
        <v>74</v>
      </c>
    </row>
    <row r="48" spans="1:33" ht="15.75" customHeight="1" x14ac:dyDescent="0.25">
      <c r="A48" s="12" t="s">
        <v>34</v>
      </c>
      <c r="B48" s="13">
        <v>9</v>
      </c>
      <c r="C48" s="14">
        <v>2</v>
      </c>
      <c r="D48" s="14">
        <v>4</v>
      </c>
      <c r="E48" s="14">
        <v>0</v>
      </c>
      <c r="F48" s="14">
        <v>0</v>
      </c>
      <c r="G48" s="14">
        <v>8</v>
      </c>
      <c r="H48" s="14">
        <v>2</v>
      </c>
      <c r="I48" s="14">
        <v>0</v>
      </c>
      <c r="J48" s="14">
        <v>3</v>
      </c>
      <c r="K48" s="14">
        <v>1</v>
      </c>
      <c r="L48" s="14">
        <v>5</v>
      </c>
      <c r="M48" s="14">
        <v>0</v>
      </c>
      <c r="N48" s="14">
        <v>0</v>
      </c>
      <c r="O48" s="14">
        <v>2</v>
      </c>
      <c r="P48" s="14">
        <v>2</v>
      </c>
      <c r="Q48" s="14">
        <v>1</v>
      </c>
      <c r="R48" s="14">
        <v>3</v>
      </c>
      <c r="S48" s="14">
        <v>0</v>
      </c>
      <c r="T48" s="14">
        <v>2</v>
      </c>
      <c r="U48" s="14">
        <v>2</v>
      </c>
      <c r="V48" s="14">
        <v>1</v>
      </c>
      <c r="W48" s="14">
        <v>1</v>
      </c>
      <c r="X48" s="14">
        <v>0</v>
      </c>
      <c r="Y48" s="14">
        <v>0</v>
      </c>
      <c r="Z48" s="14">
        <v>4</v>
      </c>
      <c r="AA48" s="14">
        <v>1</v>
      </c>
      <c r="AB48" s="14">
        <v>3</v>
      </c>
      <c r="AC48" s="14">
        <v>4</v>
      </c>
      <c r="AD48" s="14">
        <v>0</v>
      </c>
      <c r="AE48" s="14">
        <v>2</v>
      </c>
      <c r="AF48" s="214">
        <v>2</v>
      </c>
      <c r="AG48" s="15">
        <f t="shared" si="2"/>
        <v>64</v>
      </c>
    </row>
    <row r="49" spans="1:33" ht="15.75" customHeight="1" x14ac:dyDescent="0.25">
      <c r="A49" s="12" t="s">
        <v>35</v>
      </c>
      <c r="B49" s="13">
        <v>0</v>
      </c>
      <c r="C49" s="14">
        <v>1</v>
      </c>
      <c r="D49" s="14">
        <v>1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1</v>
      </c>
      <c r="K49" s="14">
        <v>0</v>
      </c>
      <c r="L49" s="14">
        <v>0</v>
      </c>
      <c r="M49" s="14">
        <v>0</v>
      </c>
      <c r="N49" s="14">
        <v>2</v>
      </c>
      <c r="O49" s="14">
        <v>0</v>
      </c>
      <c r="P49" s="14">
        <v>1</v>
      </c>
      <c r="Q49" s="14">
        <v>4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1</v>
      </c>
      <c r="Y49" s="14">
        <v>0</v>
      </c>
      <c r="Z49" s="14">
        <v>3</v>
      </c>
      <c r="AA49" s="14">
        <v>0</v>
      </c>
      <c r="AB49" s="14">
        <v>6</v>
      </c>
      <c r="AC49" s="14">
        <v>1</v>
      </c>
      <c r="AD49" s="14">
        <v>2</v>
      </c>
      <c r="AE49" s="14">
        <v>1</v>
      </c>
      <c r="AF49" s="214">
        <v>1</v>
      </c>
      <c r="AG49" s="15">
        <f t="shared" si="2"/>
        <v>25</v>
      </c>
    </row>
    <row r="50" spans="1:33" ht="15.75" customHeight="1" x14ac:dyDescent="0.25">
      <c r="A50" s="12" t="s">
        <v>36</v>
      </c>
      <c r="B50" s="13">
        <v>0</v>
      </c>
      <c r="C50" s="14">
        <v>1</v>
      </c>
      <c r="D50" s="14">
        <v>2</v>
      </c>
      <c r="E50" s="14">
        <v>0</v>
      </c>
      <c r="F50" s="14">
        <v>1</v>
      </c>
      <c r="G50" s="14">
        <v>0</v>
      </c>
      <c r="H50" s="14">
        <v>4</v>
      </c>
      <c r="I50" s="14">
        <v>0</v>
      </c>
      <c r="J50" s="14">
        <v>3</v>
      </c>
      <c r="K50" s="14">
        <v>0</v>
      </c>
      <c r="L50" s="14">
        <v>0</v>
      </c>
      <c r="M50" s="14">
        <v>2</v>
      </c>
      <c r="N50" s="14">
        <v>0</v>
      </c>
      <c r="O50" s="14">
        <v>1</v>
      </c>
      <c r="P50" s="14">
        <v>1</v>
      </c>
      <c r="Q50" s="14">
        <v>1</v>
      </c>
      <c r="R50" s="14">
        <v>0</v>
      </c>
      <c r="S50" s="14">
        <v>3</v>
      </c>
      <c r="T50" s="14">
        <v>0</v>
      </c>
      <c r="U50" s="14">
        <v>0</v>
      </c>
      <c r="V50" s="14">
        <v>0</v>
      </c>
      <c r="W50" s="14">
        <v>1</v>
      </c>
      <c r="X50" s="14">
        <v>1</v>
      </c>
      <c r="Y50" s="14">
        <v>0</v>
      </c>
      <c r="Z50" s="14">
        <v>0</v>
      </c>
      <c r="AA50" s="14">
        <v>3</v>
      </c>
      <c r="AB50" s="14">
        <v>0</v>
      </c>
      <c r="AC50" s="14">
        <v>3</v>
      </c>
      <c r="AD50" s="14">
        <v>1</v>
      </c>
      <c r="AE50" s="14">
        <v>1</v>
      </c>
      <c r="AF50" s="214">
        <v>2</v>
      </c>
      <c r="AG50" s="15">
        <f t="shared" si="2"/>
        <v>31</v>
      </c>
    </row>
    <row r="51" spans="1:33" ht="15.75" customHeight="1" x14ac:dyDescent="0.25">
      <c r="A51" s="12" t="s">
        <v>37</v>
      </c>
      <c r="B51" s="13">
        <v>0</v>
      </c>
      <c r="C51" s="14">
        <v>2</v>
      </c>
      <c r="D51" s="14">
        <v>0</v>
      </c>
      <c r="E51" s="14">
        <v>1</v>
      </c>
      <c r="F51" s="14">
        <v>0</v>
      </c>
      <c r="G51" s="14">
        <v>0</v>
      </c>
      <c r="H51" s="14">
        <v>1</v>
      </c>
      <c r="I51" s="14">
        <v>4</v>
      </c>
      <c r="J51" s="14">
        <v>0</v>
      </c>
      <c r="K51" s="14">
        <v>3</v>
      </c>
      <c r="L51" s="14">
        <v>0</v>
      </c>
      <c r="M51" s="14">
        <v>0</v>
      </c>
      <c r="N51" s="14">
        <v>0</v>
      </c>
      <c r="O51" s="14">
        <v>1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2</v>
      </c>
      <c r="W51" s="14">
        <v>1</v>
      </c>
      <c r="X51" s="14">
        <v>0</v>
      </c>
      <c r="Y51" s="14">
        <v>0</v>
      </c>
      <c r="Z51" s="14">
        <v>1</v>
      </c>
      <c r="AA51" s="14">
        <v>0</v>
      </c>
      <c r="AB51" s="14">
        <v>0</v>
      </c>
      <c r="AC51" s="14">
        <v>2</v>
      </c>
      <c r="AD51" s="14">
        <v>1</v>
      </c>
      <c r="AE51" s="14">
        <v>1</v>
      </c>
      <c r="AF51" s="214">
        <v>0</v>
      </c>
      <c r="AG51" s="15">
        <f t="shared" si="2"/>
        <v>20</v>
      </c>
    </row>
    <row r="52" spans="1:33" ht="15.75" customHeight="1" thickBot="1" x14ac:dyDescent="0.3">
      <c r="A52" s="23" t="s">
        <v>38</v>
      </c>
      <c r="B52" s="24">
        <v>0</v>
      </c>
      <c r="C52" s="25">
        <v>0</v>
      </c>
      <c r="D52" s="25">
        <v>0</v>
      </c>
      <c r="E52" s="25">
        <v>0</v>
      </c>
      <c r="F52" s="25">
        <v>1</v>
      </c>
      <c r="G52" s="25">
        <v>0</v>
      </c>
      <c r="H52" s="25">
        <v>5</v>
      </c>
      <c r="I52" s="25">
        <v>0</v>
      </c>
      <c r="J52" s="25">
        <v>1</v>
      </c>
      <c r="K52" s="25">
        <v>0</v>
      </c>
      <c r="L52" s="25">
        <v>0</v>
      </c>
      <c r="M52" s="25">
        <v>2</v>
      </c>
      <c r="N52" s="25">
        <v>0</v>
      </c>
      <c r="O52" s="25">
        <v>4</v>
      </c>
      <c r="P52" s="25">
        <v>1</v>
      </c>
      <c r="Q52" s="25">
        <v>2</v>
      </c>
      <c r="R52" s="25">
        <v>4</v>
      </c>
      <c r="S52" s="25">
        <v>3</v>
      </c>
      <c r="T52" s="25">
        <v>2</v>
      </c>
      <c r="U52" s="25">
        <v>3</v>
      </c>
      <c r="V52" s="25">
        <v>1</v>
      </c>
      <c r="W52" s="25">
        <v>2</v>
      </c>
      <c r="X52" s="25">
        <v>0</v>
      </c>
      <c r="Y52" s="25">
        <v>0</v>
      </c>
      <c r="Z52" s="25">
        <v>3</v>
      </c>
      <c r="AA52" s="25">
        <v>1</v>
      </c>
      <c r="AB52" s="25">
        <v>0</v>
      </c>
      <c r="AC52" s="25">
        <v>0</v>
      </c>
      <c r="AD52" s="25">
        <v>0</v>
      </c>
      <c r="AE52" s="25">
        <v>3</v>
      </c>
      <c r="AF52" s="216">
        <v>2</v>
      </c>
      <c r="AG52" s="26">
        <f t="shared" si="2"/>
        <v>40</v>
      </c>
    </row>
    <row r="53" spans="1:33" ht="15.75" customHeight="1" thickBot="1" x14ac:dyDescent="0.3">
      <c r="A53" s="4" t="s">
        <v>40</v>
      </c>
      <c r="B53" s="5">
        <f t="shared" ref="B53:AF53" si="4">SUM(B54:B77)</f>
        <v>4</v>
      </c>
      <c r="C53" s="6">
        <f t="shared" si="4"/>
        <v>1</v>
      </c>
      <c r="D53" s="6">
        <f t="shared" si="4"/>
        <v>14</v>
      </c>
      <c r="E53" s="6">
        <f t="shared" si="4"/>
        <v>2</v>
      </c>
      <c r="F53" s="6">
        <f t="shared" si="4"/>
        <v>9</v>
      </c>
      <c r="G53" s="6">
        <f t="shared" si="4"/>
        <v>18</v>
      </c>
      <c r="H53" s="6">
        <f t="shared" si="4"/>
        <v>7</v>
      </c>
      <c r="I53" s="6">
        <f t="shared" si="4"/>
        <v>4</v>
      </c>
      <c r="J53" s="6">
        <f t="shared" si="4"/>
        <v>1</v>
      </c>
      <c r="K53" s="6">
        <f t="shared" si="4"/>
        <v>26</v>
      </c>
      <c r="L53" s="6">
        <f t="shared" si="4"/>
        <v>6</v>
      </c>
      <c r="M53" s="6">
        <f t="shared" si="4"/>
        <v>17</v>
      </c>
      <c r="N53" s="6">
        <f t="shared" si="4"/>
        <v>5</v>
      </c>
      <c r="O53" s="6">
        <f t="shared" si="4"/>
        <v>9</v>
      </c>
      <c r="P53" s="6">
        <f t="shared" si="4"/>
        <v>1</v>
      </c>
      <c r="Q53" s="6">
        <f t="shared" si="4"/>
        <v>1</v>
      </c>
      <c r="R53" s="6">
        <f t="shared" si="4"/>
        <v>65</v>
      </c>
      <c r="S53" s="6">
        <f t="shared" si="4"/>
        <v>14</v>
      </c>
      <c r="T53" s="6">
        <f t="shared" si="4"/>
        <v>17</v>
      </c>
      <c r="U53" s="6">
        <f t="shared" si="4"/>
        <v>39</v>
      </c>
      <c r="V53" s="6">
        <f t="shared" si="4"/>
        <v>28</v>
      </c>
      <c r="W53" s="6">
        <f t="shared" si="4"/>
        <v>9</v>
      </c>
      <c r="X53" s="6">
        <f t="shared" si="4"/>
        <v>9</v>
      </c>
      <c r="Y53" s="6">
        <f t="shared" si="4"/>
        <v>20</v>
      </c>
      <c r="Z53" s="6">
        <f t="shared" si="4"/>
        <v>20</v>
      </c>
      <c r="AA53" s="6">
        <f t="shared" si="4"/>
        <v>13</v>
      </c>
      <c r="AB53" s="6">
        <f t="shared" si="4"/>
        <v>25</v>
      </c>
      <c r="AC53" s="6">
        <f t="shared" si="4"/>
        <v>11</v>
      </c>
      <c r="AD53" s="6">
        <f t="shared" si="4"/>
        <v>0</v>
      </c>
      <c r="AE53" s="6">
        <f t="shared" si="4"/>
        <v>6</v>
      </c>
      <c r="AF53" s="6">
        <f t="shared" si="4"/>
        <v>60</v>
      </c>
      <c r="AG53" s="27">
        <f t="shared" si="2"/>
        <v>461</v>
      </c>
    </row>
    <row r="54" spans="1:33" ht="15.75" customHeight="1" x14ac:dyDescent="0.25">
      <c r="A54" s="8" t="s">
        <v>15</v>
      </c>
      <c r="B54" s="9">
        <v>0</v>
      </c>
      <c r="C54" s="10">
        <v>1</v>
      </c>
      <c r="D54" s="14">
        <v>0</v>
      </c>
      <c r="E54" s="10">
        <v>0</v>
      </c>
      <c r="F54" s="10">
        <v>0</v>
      </c>
      <c r="G54" s="14">
        <v>1</v>
      </c>
      <c r="H54" s="10">
        <v>0</v>
      </c>
      <c r="I54" s="10">
        <v>0</v>
      </c>
      <c r="J54" s="10">
        <v>0</v>
      </c>
      <c r="K54" s="10">
        <v>0</v>
      </c>
      <c r="L54" s="10">
        <v>1</v>
      </c>
      <c r="M54" s="10">
        <v>0</v>
      </c>
      <c r="N54" s="10">
        <v>0</v>
      </c>
      <c r="O54" s="10">
        <v>1</v>
      </c>
      <c r="P54" s="10">
        <v>0</v>
      </c>
      <c r="Q54" s="10">
        <v>0</v>
      </c>
      <c r="R54" s="10">
        <v>1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1</v>
      </c>
      <c r="AB54" s="10">
        <v>0</v>
      </c>
      <c r="AC54" s="10">
        <v>0</v>
      </c>
      <c r="AD54" s="10">
        <v>0</v>
      </c>
      <c r="AE54" s="10">
        <v>0</v>
      </c>
      <c r="AF54" s="213">
        <v>0</v>
      </c>
      <c r="AG54" s="11">
        <f t="shared" si="2"/>
        <v>6</v>
      </c>
    </row>
    <row r="55" spans="1:33" ht="15.75" customHeight="1" x14ac:dyDescent="0.25">
      <c r="A55" s="12" t="s">
        <v>16</v>
      </c>
      <c r="B55" s="13">
        <v>0</v>
      </c>
      <c r="C55" s="14">
        <v>0</v>
      </c>
      <c r="D55" s="14">
        <v>1</v>
      </c>
      <c r="E55" s="14">
        <v>0</v>
      </c>
      <c r="F55" s="14">
        <v>0</v>
      </c>
      <c r="G55" s="14">
        <v>1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1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1</v>
      </c>
      <c r="AC55" s="14">
        <v>2</v>
      </c>
      <c r="AD55" s="14">
        <v>0</v>
      </c>
      <c r="AE55" s="14">
        <v>0</v>
      </c>
      <c r="AF55" s="214">
        <v>0</v>
      </c>
      <c r="AG55" s="15">
        <f t="shared" si="2"/>
        <v>6</v>
      </c>
    </row>
    <row r="56" spans="1:33" ht="15.75" customHeight="1" x14ac:dyDescent="0.25">
      <c r="A56" s="12" t="s">
        <v>17</v>
      </c>
      <c r="B56" s="13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1</v>
      </c>
      <c r="M56" s="14">
        <v>3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2</v>
      </c>
      <c r="T56" s="14">
        <v>2</v>
      </c>
      <c r="U56" s="14">
        <v>0</v>
      </c>
      <c r="V56" s="14">
        <v>1</v>
      </c>
      <c r="W56" s="14">
        <v>0</v>
      </c>
      <c r="X56" s="14">
        <v>0</v>
      </c>
      <c r="Y56" s="14">
        <v>0</v>
      </c>
      <c r="Z56" s="14">
        <v>0</v>
      </c>
      <c r="AA56" s="14">
        <v>2</v>
      </c>
      <c r="AB56" s="14">
        <v>0</v>
      </c>
      <c r="AC56" s="14">
        <v>0</v>
      </c>
      <c r="AD56" s="14">
        <v>0</v>
      </c>
      <c r="AE56" s="14">
        <v>0</v>
      </c>
      <c r="AF56" s="214">
        <v>0</v>
      </c>
      <c r="AG56" s="15">
        <f t="shared" si="2"/>
        <v>11</v>
      </c>
    </row>
    <row r="57" spans="1:33" ht="15.75" customHeight="1" x14ac:dyDescent="0.25">
      <c r="A57" s="12" t="s">
        <v>18</v>
      </c>
      <c r="B57" s="13">
        <v>1</v>
      </c>
      <c r="C57" s="14">
        <v>0</v>
      </c>
      <c r="D57" s="14">
        <v>1</v>
      </c>
      <c r="E57" s="14">
        <v>0</v>
      </c>
      <c r="F57" s="14">
        <v>0</v>
      </c>
      <c r="G57" s="14">
        <v>0</v>
      </c>
      <c r="H57" s="14">
        <v>0</v>
      </c>
      <c r="I57" s="14">
        <v>1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1</v>
      </c>
      <c r="S57" s="14">
        <v>0</v>
      </c>
      <c r="T57" s="14">
        <v>0</v>
      </c>
      <c r="U57" s="14">
        <v>5</v>
      </c>
      <c r="V57" s="14">
        <v>3</v>
      </c>
      <c r="W57" s="14">
        <v>1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214">
        <v>1</v>
      </c>
      <c r="AG57" s="15">
        <f t="shared" si="2"/>
        <v>14</v>
      </c>
    </row>
    <row r="58" spans="1:33" ht="15.75" customHeight="1" x14ac:dyDescent="0.25">
      <c r="A58" s="12" t="s">
        <v>19</v>
      </c>
      <c r="B58" s="13">
        <v>1</v>
      </c>
      <c r="C58" s="14">
        <v>0</v>
      </c>
      <c r="D58" s="14">
        <v>1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2</v>
      </c>
      <c r="L58" s="14">
        <v>0</v>
      </c>
      <c r="M58" s="14">
        <v>1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2</v>
      </c>
      <c r="Z58" s="14">
        <v>0</v>
      </c>
      <c r="AA58" s="14">
        <v>1</v>
      </c>
      <c r="AB58" s="14">
        <v>0</v>
      </c>
      <c r="AC58" s="14">
        <v>0</v>
      </c>
      <c r="AD58" s="14">
        <v>0</v>
      </c>
      <c r="AE58" s="14">
        <v>0</v>
      </c>
      <c r="AF58" s="214">
        <v>0</v>
      </c>
      <c r="AG58" s="15">
        <f t="shared" si="2"/>
        <v>8</v>
      </c>
    </row>
    <row r="59" spans="1:33" ht="15.75" customHeight="1" x14ac:dyDescent="0.25">
      <c r="A59" s="12" t="s">
        <v>20</v>
      </c>
      <c r="B59" s="13">
        <v>0</v>
      </c>
      <c r="C59" s="14">
        <v>0</v>
      </c>
      <c r="D59" s="14">
        <v>0</v>
      </c>
      <c r="E59" s="14">
        <v>0</v>
      </c>
      <c r="F59" s="14">
        <v>1</v>
      </c>
      <c r="G59" s="14">
        <v>0</v>
      </c>
      <c r="H59" s="14">
        <v>1</v>
      </c>
      <c r="I59" s="14">
        <v>0</v>
      </c>
      <c r="J59" s="14">
        <v>0</v>
      </c>
      <c r="K59" s="14">
        <v>1</v>
      </c>
      <c r="L59" s="14">
        <v>0</v>
      </c>
      <c r="M59" s="14">
        <v>0</v>
      </c>
      <c r="N59" s="14">
        <v>0</v>
      </c>
      <c r="O59" s="14">
        <v>1</v>
      </c>
      <c r="P59" s="14">
        <v>0</v>
      </c>
      <c r="Q59" s="14">
        <v>0</v>
      </c>
      <c r="R59" s="14">
        <v>3</v>
      </c>
      <c r="S59" s="14">
        <v>0</v>
      </c>
      <c r="T59" s="14">
        <v>1</v>
      </c>
      <c r="U59" s="14">
        <v>1</v>
      </c>
      <c r="V59" s="14">
        <v>1</v>
      </c>
      <c r="W59" s="14">
        <v>0</v>
      </c>
      <c r="X59" s="14">
        <v>1</v>
      </c>
      <c r="Y59" s="14">
        <v>3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214">
        <v>1</v>
      </c>
      <c r="AG59" s="15">
        <f t="shared" si="2"/>
        <v>15</v>
      </c>
    </row>
    <row r="60" spans="1:33" ht="15.75" customHeight="1" x14ac:dyDescent="0.25">
      <c r="A60" s="12" t="s">
        <v>21</v>
      </c>
      <c r="B60" s="13">
        <v>1</v>
      </c>
      <c r="C60" s="14">
        <v>0</v>
      </c>
      <c r="D60" s="14">
        <v>1</v>
      </c>
      <c r="E60" s="14">
        <v>0</v>
      </c>
      <c r="F60" s="14">
        <v>0</v>
      </c>
      <c r="G60" s="14">
        <v>0</v>
      </c>
      <c r="H60" s="14">
        <v>1</v>
      </c>
      <c r="I60" s="14">
        <v>0</v>
      </c>
      <c r="J60" s="14">
        <v>0</v>
      </c>
      <c r="K60" s="14">
        <v>0</v>
      </c>
      <c r="L60" s="14">
        <v>0</v>
      </c>
      <c r="M60" s="14">
        <v>1</v>
      </c>
      <c r="N60" s="14">
        <v>1</v>
      </c>
      <c r="O60" s="14">
        <v>1</v>
      </c>
      <c r="P60" s="14">
        <v>0</v>
      </c>
      <c r="Q60" s="14">
        <v>0</v>
      </c>
      <c r="R60" s="14">
        <v>0</v>
      </c>
      <c r="S60" s="14">
        <v>0</v>
      </c>
      <c r="T60" s="14">
        <v>6</v>
      </c>
      <c r="U60" s="14">
        <v>5</v>
      </c>
      <c r="V60" s="14">
        <v>1</v>
      </c>
      <c r="W60" s="14">
        <v>0</v>
      </c>
      <c r="X60" s="14">
        <v>0</v>
      </c>
      <c r="Y60" s="14">
        <v>0</v>
      </c>
      <c r="Z60" s="14">
        <v>0</v>
      </c>
      <c r="AA60" s="14">
        <v>2</v>
      </c>
      <c r="AB60" s="14">
        <v>1</v>
      </c>
      <c r="AC60" s="14">
        <v>0</v>
      </c>
      <c r="AD60" s="14">
        <v>0</v>
      </c>
      <c r="AE60" s="14">
        <v>1</v>
      </c>
      <c r="AF60" s="214">
        <v>3</v>
      </c>
      <c r="AG60" s="15">
        <f t="shared" si="2"/>
        <v>25</v>
      </c>
    </row>
    <row r="61" spans="1:33" ht="15.75" customHeight="1" x14ac:dyDescent="0.25">
      <c r="A61" s="12" t="s">
        <v>22</v>
      </c>
      <c r="B61" s="13">
        <v>0</v>
      </c>
      <c r="C61" s="14">
        <v>0</v>
      </c>
      <c r="D61" s="14">
        <v>0</v>
      </c>
      <c r="E61" s="14">
        <v>1</v>
      </c>
      <c r="F61" s="14">
        <v>1</v>
      </c>
      <c r="G61" s="14">
        <v>1</v>
      </c>
      <c r="H61" s="14">
        <v>2</v>
      </c>
      <c r="I61" s="14">
        <v>1</v>
      </c>
      <c r="J61" s="14">
        <v>0</v>
      </c>
      <c r="K61" s="14">
        <v>2</v>
      </c>
      <c r="L61" s="14">
        <v>1</v>
      </c>
      <c r="M61" s="14">
        <v>1</v>
      </c>
      <c r="N61" s="14">
        <v>0</v>
      </c>
      <c r="O61" s="14">
        <v>0</v>
      </c>
      <c r="P61" s="14">
        <v>0</v>
      </c>
      <c r="Q61" s="14">
        <v>0</v>
      </c>
      <c r="R61" s="14">
        <v>5</v>
      </c>
      <c r="S61" s="14">
        <v>3</v>
      </c>
      <c r="T61" s="14">
        <v>2</v>
      </c>
      <c r="U61" s="14">
        <v>1</v>
      </c>
      <c r="V61" s="14">
        <v>2</v>
      </c>
      <c r="W61" s="14">
        <v>2</v>
      </c>
      <c r="X61" s="14">
        <v>0</v>
      </c>
      <c r="Y61" s="14">
        <v>1</v>
      </c>
      <c r="Z61" s="14">
        <v>0</v>
      </c>
      <c r="AA61" s="14">
        <v>1</v>
      </c>
      <c r="AB61" s="14">
        <v>2</v>
      </c>
      <c r="AC61" s="14">
        <v>0</v>
      </c>
      <c r="AD61" s="14">
        <v>0</v>
      </c>
      <c r="AE61" s="14">
        <v>1</v>
      </c>
      <c r="AF61" s="214">
        <v>7</v>
      </c>
      <c r="AG61" s="15">
        <f t="shared" si="2"/>
        <v>37</v>
      </c>
    </row>
    <row r="62" spans="1:33" ht="15.75" customHeight="1" x14ac:dyDescent="0.25">
      <c r="A62" s="12" t="s">
        <v>23</v>
      </c>
      <c r="B62" s="13">
        <v>0</v>
      </c>
      <c r="C62" s="14">
        <v>0</v>
      </c>
      <c r="D62" s="14">
        <v>2</v>
      </c>
      <c r="E62" s="14">
        <v>1</v>
      </c>
      <c r="F62" s="14">
        <v>0</v>
      </c>
      <c r="G62" s="14">
        <v>4</v>
      </c>
      <c r="H62" s="14">
        <v>0</v>
      </c>
      <c r="I62" s="14">
        <v>1</v>
      </c>
      <c r="J62" s="14">
        <v>0</v>
      </c>
      <c r="K62" s="14">
        <v>1</v>
      </c>
      <c r="L62" s="14">
        <v>1</v>
      </c>
      <c r="M62" s="14">
        <v>3</v>
      </c>
      <c r="N62" s="14">
        <v>0</v>
      </c>
      <c r="O62" s="14">
        <v>0</v>
      </c>
      <c r="P62" s="14">
        <v>0</v>
      </c>
      <c r="Q62" s="14">
        <v>0</v>
      </c>
      <c r="R62" s="14">
        <v>1</v>
      </c>
      <c r="S62" s="14">
        <v>0</v>
      </c>
      <c r="T62" s="14">
        <v>0</v>
      </c>
      <c r="U62" s="14">
        <v>8</v>
      </c>
      <c r="V62" s="14">
        <v>8</v>
      </c>
      <c r="W62" s="14">
        <v>2</v>
      </c>
      <c r="X62" s="14">
        <v>0</v>
      </c>
      <c r="Y62" s="14">
        <v>1</v>
      </c>
      <c r="Z62" s="14">
        <v>1</v>
      </c>
      <c r="AA62" s="14">
        <v>1</v>
      </c>
      <c r="AB62" s="14">
        <v>2</v>
      </c>
      <c r="AC62" s="14">
        <v>0</v>
      </c>
      <c r="AD62" s="14">
        <v>0</v>
      </c>
      <c r="AE62" s="14">
        <v>0</v>
      </c>
      <c r="AF62" s="214">
        <v>2</v>
      </c>
      <c r="AG62" s="15">
        <f t="shared" si="2"/>
        <v>39</v>
      </c>
    </row>
    <row r="63" spans="1:33" ht="15.75" customHeight="1" x14ac:dyDescent="0.25">
      <c r="A63" s="12" t="s">
        <v>24</v>
      </c>
      <c r="B63" s="13">
        <v>0</v>
      </c>
      <c r="C63" s="14">
        <v>0</v>
      </c>
      <c r="D63" s="14">
        <v>0</v>
      </c>
      <c r="E63" s="14">
        <v>0</v>
      </c>
      <c r="F63" s="14">
        <v>1</v>
      </c>
      <c r="G63" s="14">
        <v>8</v>
      </c>
      <c r="H63" s="14">
        <v>2</v>
      </c>
      <c r="I63" s="14">
        <v>0</v>
      </c>
      <c r="J63" s="14">
        <v>1</v>
      </c>
      <c r="K63" s="14">
        <v>6</v>
      </c>
      <c r="L63" s="14">
        <v>0</v>
      </c>
      <c r="M63" s="14">
        <v>1</v>
      </c>
      <c r="N63" s="14">
        <v>1</v>
      </c>
      <c r="O63" s="14">
        <v>0</v>
      </c>
      <c r="P63" s="14">
        <v>0</v>
      </c>
      <c r="Q63" s="14">
        <v>0</v>
      </c>
      <c r="R63" s="14">
        <v>5</v>
      </c>
      <c r="S63" s="14">
        <v>1</v>
      </c>
      <c r="T63" s="14">
        <v>0</v>
      </c>
      <c r="U63" s="14">
        <v>11</v>
      </c>
      <c r="V63" s="14">
        <v>5</v>
      </c>
      <c r="W63" s="14">
        <v>0</v>
      </c>
      <c r="X63" s="14">
        <v>4</v>
      </c>
      <c r="Y63" s="14">
        <v>0</v>
      </c>
      <c r="Z63" s="14">
        <v>3</v>
      </c>
      <c r="AA63" s="14">
        <v>0</v>
      </c>
      <c r="AB63" s="14">
        <v>12</v>
      </c>
      <c r="AC63" s="14">
        <v>1</v>
      </c>
      <c r="AD63" s="14">
        <v>0</v>
      </c>
      <c r="AE63" s="14">
        <v>0</v>
      </c>
      <c r="AF63" s="214">
        <v>4</v>
      </c>
      <c r="AG63" s="15">
        <f t="shared" si="2"/>
        <v>66</v>
      </c>
    </row>
    <row r="64" spans="1:33" ht="15.75" customHeight="1" x14ac:dyDescent="0.25">
      <c r="A64" s="12" t="s">
        <v>25</v>
      </c>
      <c r="B64" s="13">
        <v>1</v>
      </c>
      <c r="C64" s="14">
        <v>0</v>
      </c>
      <c r="D64" s="14">
        <v>2</v>
      </c>
      <c r="E64" s="14">
        <v>0</v>
      </c>
      <c r="F64" s="14">
        <v>5</v>
      </c>
      <c r="G64" s="14">
        <v>0</v>
      </c>
      <c r="H64" s="14">
        <v>0</v>
      </c>
      <c r="I64" s="14">
        <v>0</v>
      </c>
      <c r="J64" s="14">
        <v>0</v>
      </c>
      <c r="K64" s="14">
        <v>4</v>
      </c>
      <c r="L64" s="14">
        <v>1</v>
      </c>
      <c r="M64" s="14">
        <v>1</v>
      </c>
      <c r="N64" s="14">
        <v>2</v>
      </c>
      <c r="O64" s="14">
        <v>0</v>
      </c>
      <c r="P64" s="14">
        <v>0</v>
      </c>
      <c r="Q64" s="14">
        <v>0</v>
      </c>
      <c r="R64" s="14">
        <v>12</v>
      </c>
      <c r="S64" s="14">
        <v>1</v>
      </c>
      <c r="T64" s="14">
        <v>1</v>
      </c>
      <c r="U64" s="14">
        <v>5</v>
      </c>
      <c r="V64" s="14">
        <v>7</v>
      </c>
      <c r="W64" s="14">
        <v>0</v>
      </c>
      <c r="X64" s="14">
        <v>1</v>
      </c>
      <c r="Y64" s="14">
        <v>3</v>
      </c>
      <c r="Z64" s="14">
        <v>8</v>
      </c>
      <c r="AA64" s="14">
        <v>3</v>
      </c>
      <c r="AB64" s="14">
        <v>3</v>
      </c>
      <c r="AC64" s="14">
        <v>3</v>
      </c>
      <c r="AD64" s="14">
        <v>0</v>
      </c>
      <c r="AE64" s="14">
        <v>3</v>
      </c>
      <c r="AF64" s="214">
        <v>16</v>
      </c>
      <c r="AG64" s="15">
        <f t="shared" si="2"/>
        <v>82</v>
      </c>
    </row>
    <row r="65" spans="1:33" ht="15.75" customHeight="1" x14ac:dyDescent="0.25">
      <c r="A65" s="12" t="s">
        <v>26</v>
      </c>
      <c r="B65" s="13">
        <v>0</v>
      </c>
      <c r="C65" s="14">
        <v>0</v>
      </c>
      <c r="D65" s="14">
        <v>4</v>
      </c>
      <c r="E65" s="14">
        <v>0</v>
      </c>
      <c r="F65" s="14">
        <v>1</v>
      </c>
      <c r="G65" s="14">
        <v>0</v>
      </c>
      <c r="H65" s="14">
        <v>0</v>
      </c>
      <c r="I65" s="14">
        <v>0</v>
      </c>
      <c r="J65" s="14">
        <v>0</v>
      </c>
      <c r="K65" s="14">
        <v>4</v>
      </c>
      <c r="L65" s="14">
        <v>1</v>
      </c>
      <c r="M65" s="14">
        <v>3</v>
      </c>
      <c r="N65" s="14">
        <v>1</v>
      </c>
      <c r="O65" s="14">
        <v>0</v>
      </c>
      <c r="P65" s="14">
        <v>0</v>
      </c>
      <c r="Q65" s="14">
        <v>0</v>
      </c>
      <c r="R65" s="14">
        <v>2</v>
      </c>
      <c r="S65" s="14">
        <v>5</v>
      </c>
      <c r="T65" s="14">
        <v>3</v>
      </c>
      <c r="U65" s="14">
        <v>1</v>
      </c>
      <c r="V65" s="14">
        <v>0</v>
      </c>
      <c r="W65" s="14">
        <v>1</v>
      </c>
      <c r="X65" s="14">
        <v>2</v>
      </c>
      <c r="Y65" s="14">
        <v>5</v>
      </c>
      <c r="Z65" s="14">
        <v>3</v>
      </c>
      <c r="AA65" s="14">
        <v>1</v>
      </c>
      <c r="AB65" s="14">
        <v>3</v>
      </c>
      <c r="AC65" s="14">
        <v>2</v>
      </c>
      <c r="AD65" s="14">
        <v>0</v>
      </c>
      <c r="AE65" s="14">
        <v>0</v>
      </c>
      <c r="AF65" s="214">
        <v>8</v>
      </c>
      <c r="AG65" s="15">
        <f t="shared" si="2"/>
        <v>50</v>
      </c>
    </row>
    <row r="66" spans="1:33" ht="15.75" customHeight="1" x14ac:dyDescent="0.25">
      <c r="A66" s="12" t="s">
        <v>27</v>
      </c>
      <c r="B66" s="13">
        <v>0</v>
      </c>
      <c r="C66" s="14">
        <v>0</v>
      </c>
      <c r="D66" s="14">
        <v>1</v>
      </c>
      <c r="E66" s="14">
        <v>0</v>
      </c>
      <c r="F66" s="14">
        <v>0</v>
      </c>
      <c r="G66" s="14">
        <v>0</v>
      </c>
      <c r="H66" s="14">
        <v>0</v>
      </c>
      <c r="I66" s="14">
        <v>1</v>
      </c>
      <c r="J66" s="14">
        <v>0</v>
      </c>
      <c r="K66" s="14">
        <v>5</v>
      </c>
      <c r="L66" s="14">
        <v>0</v>
      </c>
      <c r="M66" s="14">
        <v>1</v>
      </c>
      <c r="N66" s="14">
        <v>0</v>
      </c>
      <c r="O66" s="14">
        <v>1</v>
      </c>
      <c r="P66" s="14">
        <v>0</v>
      </c>
      <c r="Q66" s="14">
        <v>0</v>
      </c>
      <c r="R66" s="14">
        <v>12</v>
      </c>
      <c r="S66" s="14">
        <v>1</v>
      </c>
      <c r="T66" s="14">
        <v>1</v>
      </c>
      <c r="U66" s="14">
        <v>2</v>
      </c>
      <c r="V66" s="14">
        <v>0</v>
      </c>
      <c r="W66" s="14">
        <v>0</v>
      </c>
      <c r="X66" s="14">
        <v>0</v>
      </c>
      <c r="Y66" s="14">
        <v>1</v>
      </c>
      <c r="Z66" s="14">
        <v>1</v>
      </c>
      <c r="AA66" s="14">
        <v>0</v>
      </c>
      <c r="AB66" s="14">
        <v>1</v>
      </c>
      <c r="AC66" s="14">
        <v>0</v>
      </c>
      <c r="AD66" s="14">
        <v>0</v>
      </c>
      <c r="AE66" s="14">
        <v>0</v>
      </c>
      <c r="AF66" s="214">
        <v>6</v>
      </c>
      <c r="AG66" s="15">
        <f t="shared" si="2"/>
        <v>34</v>
      </c>
    </row>
    <row r="67" spans="1:33" ht="15.75" customHeight="1" x14ac:dyDescent="0.25">
      <c r="A67" s="12" t="s">
        <v>28</v>
      </c>
      <c r="B67" s="13">
        <v>0</v>
      </c>
      <c r="C67" s="14">
        <v>0</v>
      </c>
      <c r="D67" s="14">
        <v>1</v>
      </c>
      <c r="E67" s="14">
        <v>0</v>
      </c>
      <c r="F67" s="14">
        <v>0</v>
      </c>
      <c r="G67" s="14">
        <v>1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2</v>
      </c>
      <c r="P67" s="14">
        <v>0</v>
      </c>
      <c r="Q67" s="14">
        <v>0</v>
      </c>
      <c r="R67" s="14">
        <v>3</v>
      </c>
      <c r="S67" s="14">
        <v>0</v>
      </c>
      <c r="T67" s="14">
        <v>1</v>
      </c>
      <c r="U67" s="14">
        <v>0</v>
      </c>
      <c r="V67" s="14">
        <v>0</v>
      </c>
      <c r="W67" s="14">
        <v>1</v>
      </c>
      <c r="X67" s="14">
        <v>0</v>
      </c>
      <c r="Y67" s="14">
        <v>1</v>
      </c>
      <c r="Z67" s="14">
        <v>1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214">
        <v>6</v>
      </c>
      <c r="AG67" s="15">
        <f t="shared" si="2"/>
        <v>17</v>
      </c>
    </row>
    <row r="68" spans="1:33" ht="15.75" customHeight="1" x14ac:dyDescent="0.25">
      <c r="A68" s="12" t="s">
        <v>29</v>
      </c>
      <c r="B68" s="13"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1</v>
      </c>
      <c r="N68" s="14">
        <v>0</v>
      </c>
      <c r="O68" s="14">
        <v>2</v>
      </c>
      <c r="P68" s="14">
        <v>1</v>
      </c>
      <c r="Q68" s="14">
        <v>1</v>
      </c>
      <c r="R68" s="14">
        <v>1</v>
      </c>
      <c r="S68" s="14">
        <v>1</v>
      </c>
      <c r="T68" s="14">
        <v>0</v>
      </c>
      <c r="U68" s="14">
        <v>0</v>
      </c>
      <c r="V68" s="14">
        <v>0</v>
      </c>
      <c r="W68" s="14">
        <v>1</v>
      </c>
      <c r="X68" s="14">
        <v>1</v>
      </c>
      <c r="Y68" s="14">
        <v>1</v>
      </c>
      <c r="Z68" s="14">
        <v>2</v>
      </c>
      <c r="AA68" s="14">
        <v>1</v>
      </c>
      <c r="AB68" s="14">
        <v>0</v>
      </c>
      <c r="AC68" s="14">
        <v>2</v>
      </c>
      <c r="AD68" s="14">
        <v>0</v>
      </c>
      <c r="AE68" s="14">
        <v>0</v>
      </c>
      <c r="AF68" s="214">
        <v>2</v>
      </c>
      <c r="AG68" s="15">
        <f t="shared" si="2"/>
        <v>17</v>
      </c>
    </row>
    <row r="69" spans="1:33" ht="15.75" customHeight="1" x14ac:dyDescent="0.25">
      <c r="A69" s="12" t="s">
        <v>30</v>
      </c>
      <c r="B69" s="13">
        <v>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10</v>
      </c>
      <c r="S69" s="14">
        <v>0</v>
      </c>
      <c r="T69" s="14">
        <v>0</v>
      </c>
      <c r="U69" s="14">
        <v>0</v>
      </c>
      <c r="V69" s="14">
        <v>0</v>
      </c>
      <c r="W69" s="14">
        <v>1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1</v>
      </c>
      <c r="AD69" s="14">
        <v>0</v>
      </c>
      <c r="AE69" s="14">
        <v>0</v>
      </c>
      <c r="AF69" s="214">
        <v>0</v>
      </c>
      <c r="AG69" s="15">
        <f t="shared" si="2"/>
        <v>12</v>
      </c>
    </row>
    <row r="70" spans="1:33" ht="15.75" customHeight="1" x14ac:dyDescent="0.25">
      <c r="A70" s="12" t="s">
        <v>31</v>
      </c>
      <c r="B70" s="9">
        <v>0</v>
      </c>
      <c r="C70" s="10">
        <v>0</v>
      </c>
      <c r="D70" s="14">
        <v>0</v>
      </c>
      <c r="E70" s="10">
        <v>0</v>
      </c>
      <c r="F70" s="10">
        <v>0</v>
      </c>
      <c r="G70" s="14">
        <v>1</v>
      </c>
      <c r="H70" s="10">
        <v>0</v>
      </c>
      <c r="I70" s="14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1</v>
      </c>
      <c r="P70" s="10">
        <v>0</v>
      </c>
      <c r="Q70" s="10">
        <v>0</v>
      </c>
      <c r="R70" s="10">
        <v>1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213">
        <v>1</v>
      </c>
      <c r="AG70" s="15">
        <f t="shared" si="2"/>
        <v>4</v>
      </c>
    </row>
    <row r="71" spans="1:33" ht="15.75" customHeight="1" x14ac:dyDescent="0.25">
      <c r="A71" s="12" t="s">
        <v>32</v>
      </c>
      <c r="B71" s="9">
        <v>0</v>
      </c>
      <c r="C71" s="10">
        <v>0</v>
      </c>
      <c r="D71" s="14">
        <v>0</v>
      </c>
      <c r="E71" s="10">
        <v>0</v>
      </c>
      <c r="F71" s="10">
        <v>0</v>
      </c>
      <c r="G71" s="14">
        <v>0</v>
      </c>
      <c r="H71" s="10">
        <v>0</v>
      </c>
      <c r="I71" s="14">
        <v>0</v>
      </c>
      <c r="J71" s="10">
        <v>0</v>
      </c>
      <c r="K71" s="10">
        <v>0</v>
      </c>
      <c r="L71" s="10">
        <v>0</v>
      </c>
      <c r="M71" s="10">
        <v>1</v>
      </c>
      <c r="N71" s="10">
        <v>0</v>
      </c>
      <c r="O71" s="10">
        <v>0</v>
      </c>
      <c r="P71" s="10">
        <v>0</v>
      </c>
      <c r="Q71" s="10">
        <v>0</v>
      </c>
      <c r="R71" s="10">
        <v>5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1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213">
        <v>3</v>
      </c>
      <c r="AG71" s="15">
        <f t="shared" si="2"/>
        <v>10</v>
      </c>
    </row>
    <row r="72" spans="1:33" ht="15.75" customHeight="1" x14ac:dyDescent="0.25">
      <c r="A72" s="12" t="s">
        <v>33</v>
      </c>
      <c r="B72" s="9">
        <v>0</v>
      </c>
      <c r="C72" s="10">
        <v>0</v>
      </c>
      <c r="D72" s="14">
        <v>0</v>
      </c>
      <c r="E72" s="10">
        <v>0</v>
      </c>
      <c r="F72" s="10">
        <v>0</v>
      </c>
      <c r="G72" s="14">
        <v>0</v>
      </c>
      <c r="H72" s="10">
        <v>0</v>
      </c>
      <c r="I72" s="14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1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213">
        <v>0</v>
      </c>
      <c r="AG72" s="15">
        <f t="shared" si="2"/>
        <v>1</v>
      </c>
    </row>
    <row r="73" spans="1:33" ht="15.75" customHeight="1" x14ac:dyDescent="0.25">
      <c r="A73" s="12" t="s">
        <v>34</v>
      </c>
      <c r="B73" s="9">
        <v>0</v>
      </c>
      <c r="C73" s="10">
        <v>0</v>
      </c>
      <c r="D73" s="14">
        <v>0</v>
      </c>
      <c r="E73" s="10">
        <v>0</v>
      </c>
      <c r="F73" s="10">
        <v>0</v>
      </c>
      <c r="G73" s="14">
        <v>0</v>
      </c>
      <c r="H73" s="10">
        <v>0</v>
      </c>
      <c r="I73" s="14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1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213">
        <v>0</v>
      </c>
      <c r="AG73" s="15">
        <f t="shared" si="2"/>
        <v>1</v>
      </c>
    </row>
    <row r="74" spans="1:33" ht="15.75" customHeight="1" x14ac:dyDescent="0.25">
      <c r="A74" s="12" t="s">
        <v>35</v>
      </c>
      <c r="B74" s="9">
        <v>0</v>
      </c>
      <c r="C74" s="10">
        <v>0</v>
      </c>
      <c r="D74" s="14">
        <v>0</v>
      </c>
      <c r="E74" s="10">
        <v>0</v>
      </c>
      <c r="F74" s="10">
        <v>0</v>
      </c>
      <c r="G74" s="14">
        <v>0</v>
      </c>
      <c r="H74" s="10">
        <v>0</v>
      </c>
      <c r="I74" s="14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213">
        <v>0</v>
      </c>
      <c r="AG74" s="15">
        <f t="shared" si="2"/>
        <v>0</v>
      </c>
    </row>
    <row r="75" spans="1:33" ht="15.75" customHeight="1" x14ac:dyDescent="0.25">
      <c r="A75" s="12" t="s">
        <v>36</v>
      </c>
      <c r="B75" s="9">
        <v>0</v>
      </c>
      <c r="C75" s="10">
        <v>0</v>
      </c>
      <c r="D75" s="14">
        <v>0</v>
      </c>
      <c r="E75" s="10">
        <v>0</v>
      </c>
      <c r="F75" s="10">
        <v>0</v>
      </c>
      <c r="G75" s="14">
        <v>0</v>
      </c>
      <c r="H75" s="10">
        <v>1</v>
      </c>
      <c r="I75" s="14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1</v>
      </c>
      <c r="AF75" s="213">
        <v>0</v>
      </c>
      <c r="AG75" s="15">
        <f t="shared" si="2"/>
        <v>2</v>
      </c>
    </row>
    <row r="76" spans="1:33" ht="15.75" customHeight="1" x14ac:dyDescent="0.25">
      <c r="A76" s="12" t="s">
        <v>37</v>
      </c>
      <c r="B76" s="9">
        <v>0</v>
      </c>
      <c r="C76" s="10">
        <v>0</v>
      </c>
      <c r="D76" s="14">
        <v>0</v>
      </c>
      <c r="E76" s="10">
        <v>0</v>
      </c>
      <c r="F76" s="10">
        <v>0</v>
      </c>
      <c r="G76" s="14">
        <v>1</v>
      </c>
      <c r="H76" s="10">
        <v>0</v>
      </c>
      <c r="I76" s="14">
        <v>0</v>
      </c>
      <c r="J76" s="10">
        <v>0</v>
      </c>
      <c r="K76" s="10">
        <v>1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1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1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213">
        <v>0</v>
      </c>
      <c r="AG76" s="15">
        <f t="shared" si="2"/>
        <v>4</v>
      </c>
    </row>
    <row r="77" spans="1:33" ht="15.75" customHeight="1" thickBot="1" x14ac:dyDescent="0.3">
      <c r="A77" s="28" t="s">
        <v>38</v>
      </c>
      <c r="B77" s="29">
        <v>0</v>
      </c>
      <c r="C77" s="30">
        <v>0</v>
      </c>
      <c r="D77" s="25">
        <v>0</v>
      </c>
      <c r="E77" s="30">
        <v>0</v>
      </c>
      <c r="F77" s="30">
        <v>0</v>
      </c>
      <c r="G77" s="25">
        <v>0</v>
      </c>
      <c r="H77" s="30">
        <v>0</v>
      </c>
      <c r="I77" s="25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217">
        <v>0</v>
      </c>
      <c r="AG77" s="26">
        <f t="shared" si="2"/>
        <v>0</v>
      </c>
    </row>
    <row r="78" spans="1:33" ht="19.5" hidden="1" customHeight="1" x14ac:dyDescent="0.25">
      <c r="A78" s="31" t="s">
        <v>41</v>
      </c>
      <c r="B78" s="32">
        <f t="shared" ref="B78:AF78" si="5">SUM(B79:B80)</f>
        <v>181</v>
      </c>
      <c r="C78" s="33">
        <f t="shared" si="5"/>
        <v>149</v>
      </c>
      <c r="D78" s="33">
        <f t="shared" si="5"/>
        <v>201</v>
      </c>
      <c r="E78" s="34">
        <f t="shared" si="5"/>
        <v>147</v>
      </c>
      <c r="F78" s="34">
        <f t="shared" si="5"/>
        <v>155</v>
      </c>
      <c r="G78" s="34">
        <f t="shared" si="5"/>
        <v>181</v>
      </c>
      <c r="H78" s="34">
        <f t="shared" si="5"/>
        <v>143</v>
      </c>
      <c r="I78" s="34">
        <f t="shared" si="5"/>
        <v>164</v>
      </c>
      <c r="J78" s="34">
        <f t="shared" si="5"/>
        <v>170</v>
      </c>
      <c r="K78" s="34">
        <f t="shared" si="5"/>
        <v>197</v>
      </c>
      <c r="L78" s="34">
        <f t="shared" si="5"/>
        <v>159</v>
      </c>
      <c r="M78" s="34">
        <f t="shared" si="5"/>
        <v>173</v>
      </c>
      <c r="N78" s="34">
        <f t="shared" si="5"/>
        <v>161</v>
      </c>
      <c r="O78" s="34">
        <f t="shared" si="5"/>
        <v>152</v>
      </c>
      <c r="P78" s="34">
        <f t="shared" si="5"/>
        <v>174</v>
      </c>
      <c r="Q78" s="34">
        <f t="shared" si="5"/>
        <v>142</v>
      </c>
      <c r="R78" s="34">
        <f t="shared" si="5"/>
        <v>242</v>
      </c>
      <c r="S78" s="34">
        <f t="shared" si="5"/>
        <v>200</v>
      </c>
      <c r="T78" s="34">
        <f t="shared" si="5"/>
        <v>202</v>
      </c>
      <c r="U78" s="34">
        <f t="shared" si="5"/>
        <v>191</v>
      </c>
      <c r="V78" s="34">
        <f t="shared" si="5"/>
        <v>188</v>
      </c>
      <c r="W78" s="34">
        <f t="shared" si="5"/>
        <v>165</v>
      </c>
      <c r="X78" s="34">
        <f t="shared" si="5"/>
        <v>172</v>
      </c>
      <c r="Y78" s="34">
        <f t="shared" si="5"/>
        <v>202</v>
      </c>
      <c r="Z78" s="34">
        <f t="shared" si="5"/>
        <v>201</v>
      </c>
      <c r="AA78" s="34">
        <f t="shared" si="5"/>
        <v>179</v>
      </c>
      <c r="AB78" s="34">
        <f t="shared" si="5"/>
        <v>213</v>
      </c>
      <c r="AC78" s="34">
        <f t="shared" si="5"/>
        <v>193</v>
      </c>
      <c r="AD78" s="34">
        <f t="shared" si="5"/>
        <v>153</v>
      </c>
      <c r="AE78" s="34">
        <f t="shared" si="5"/>
        <v>190</v>
      </c>
      <c r="AF78" s="218">
        <f t="shared" si="5"/>
        <v>259</v>
      </c>
      <c r="AG78" s="27">
        <f t="shared" si="2"/>
        <v>5599</v>
      </c>
    </row>
    <row r="79" spans="1:33" ht="19.5" hidden="1" customHeight="1" x14ac:dyDescent="0.25">
      <c r="A79" s="35" t="s">
        <v>42</v>
      </c>
      <c r="B79" s="9">
        <f t="shared" ref="B79:AF79" si="6">SUM(B4:B27)-B80</f>
        <v>181</v>
      </c>
      <c r="C79" s="10">
        <f t="shared" si="6"/>
        <v>149</v>
      </c>
      <c r="D79" s="10">
        <f t="shared" si="6"/>
        <v>201</v>
      </c>
      <c r="E79" s="10">
        <f t="shared" si="6"/>
        <v>147</v>
      </c>
      <c r="F79" s="10">
        <f t="shared" si="6"/>
        <v>72</v>
      </c>
      <c r="G79" s="10">
        <f t="shared" si="6"/>
        <v>90</v>
      </c>
      <c r="H79" s="10">
        <f t="shared" si="6"/>
        <v>64</v>
      </c>
      <c r="I79" s="10">
        <f t="shared" si="6"/>
        <v>164</v>
      </c>
      <c r="J79" s="10">
        <f t="shared" si="6"/>
        <v>170</v>
      </c>
      <c r="K79" s="10">
        <f t="shared" si="6"/>
        <v>197</v>
      </c>
      <c r="L79" s="10">
        <f t="shared" si="6"/>
        <v>159</v>
      </c>
      <c r="M79" s="10">
        <f t="shared" si="6"/>
        <v>84</v>
      </c>
      <c r="N79" s="10">
        <f t="shared" si="6"/>
        <v>72</v>
      </c>
      <c r="O79" s="10">
        <f t="shared" si="6"/>
        <v>71</v>
      </c>
      <c r="P79" s="10">
        <f t="shared" si="6"/>
        <v>174</v>
      </c>
      <c r="Q79" s="10">
        <f t="shared" si="6"/>
        <v>142</v>
      </c>
      <c r="R79" s="10">
        <f t="shared" si="6"/>
        <v>92</v>
      </c>
      <c r="S79" s="10">
        <f t="shared" si="6"/>
        <v>78</v>
      </c>
      <c r="T79" s="10">
        <f t="shared" si="6"/>
        <v>90</v>
      </c>
      <c r="U79" s="10">
        <f t="shared" si="6"/>
        <v>68</v>
      </c>
      <c r="V79" s="10">
        <f t="shared" si="6"/>
        <v>66</v>
      </c>
      <c r="W79" s="10">
        <f t="shared" si="6"/>
        <v>165</v>
      </c>
      <c r="X79" s="10">
        <f t="shared" si="6"/>
        <v>172</v>
      </c>
      <c r="Y79" s="10">
        <f t="shared" si="6"/>
        <v>79</v>
      </c>
      <c r="Z79" s="10">
        <f t="shared" si="6"/>
        <v>201</v>
      </c>
      <c r="AA79" s="10">
        <f t="shared" si="6"/>
        <v>73</v>
      </c>
      <c r="AB79" s="10">
        <f t="shared" si="6"/>
        <v>92</v>
      </c>
      <c r="AC79" s="10">
        <f t="shared" si="6"/>
        <v>84</v>
      </c>
      <c r="AD79" s="10">
        <f t="shared" si="6"/>
        <v>153</v>
      </c>
      <c r="AE79" s="10">
        <f t="shared" si="6"/>
        <v>190</v>
      </c>
      <c r="AF79" s="10">
        <f t="shared" si="6"/>
        <v>108</v>
      </c>
      <c r="AG79" s="11">
        <f t="shared" si="2"/>
        <v>3848</v>
      </c>
    </row>
    <row r="80" spans="1:33" ht="19.5" hidden="1" customHeight="1" x14ac:dyDescent="0.25">
      <c r="A80" s="36" t="s">
        <v>43</v>
      </c>
      <c r="B80" s="37"/>
      <c r="C80" s="38"/>
      <c r="D80" s="25">
        <v>0</v>
      </c>
      <c r="E80" s="25">
        <v>0</v>
      </c>
      <c r="F80" s="25">
        <f>SUM(F4:F12)</f>
        <v>83</v>
      </c>
      <c r="G80" s="25">
        <f>SUM(G4:G12)</f>
        <v>91</v>
      </c>
      <c r="H80" s="25">
        <f>SUM(H4:H12)</f>
        <v>79</v>
      </c>
      <c r="I80" s="38"/>
      <c r="J80" s="38"/>
      <c r="K80" s="25">
        <v>0</v>
      </c>
      <c r="L80" s="25">
        <v>0</v>
      </c>
      <c r="M80" s="25">
        <f>SUM(M4:M12)</f>
        <v>89</v>
      </c>
      <c r="N80" s="25">
        <f>SUM(N4:N12)</f>
        <v>89</v>
      </c>
      <c r="O80" s="25">
        <f>SUM(O4:O12)</f>
        <v>81</v>
      </c>
      <c r="P80" s="38"/>
      <c r="Q80" s="38"/>
      <c r="R80" s="25">
        <f>SUM(R4:R12)</f>
        <v>150</v>
      </c>
      <c r="S80" s="25">
        <f>SUM(S4:S12)</f>
        <v>122</v>
      </c>
      <c r="T80" s="25">
        <f>SUM(T4:T12)</f>
        <v>112</v>
      </c>
      <c r="U80" s="25">
        <f>SUM(U4:U12)</f>
        <v>123</v>
      </c>
      <c r="V80" s="25">
        <f>SUM(V4:V12)</f>
        <v>122</v>
      </c>
      <c r="W80" s="38"/>
      <c r="X80" s="38"/>
      <c r="Y80" s="25">
        <f>SUM(Y4:Y12)</f>
        <v>123</v>
      </c>
      <c r="Z80" s="38"/>
      <c r="AA80" s="25">
        <f>SUM(AA4:AA12)</f>
        <v>106</v>
      </c>
      <c r="AB80" s="25">
        <f>SUM(AB4:AB12)</f>
        <v>121</v>
      </c>
      <c r="AC80" s="25">
        <f>SUM(AC4:AC12)</f>
        <v>109</v>
      </c>
      <c r="AD80" s="38"/>
      <c r="AE80" s="38"/>
      <c r="AF80" s="25">
        <f>SUM(AF4:AF12)</f>
        <v>151</v>
      </c>
      <c r="AG80" s="26">
        <f t="shared" si="2"/>
        <v>1751</v>
      </c>
    </row>
    <row r="81" spans="1:35" ht="15.75" customHeight="1" thickBot="1" x14ac:dyDescent="0.3">
      <c r="A81" s="31" t="s">
        <v>44</v>
      </c>
      <c r="B81" s="39">
        <f t="shared" ref="B81:AF81" si="7">SUM(B82:B83)</f>
        <v>4</v>
      </c>
      <c r="C81" s="34">
        <f t="shared" si="7"/>
        <v>1</v>
      </c>
      <c r="D81" s="34">
        <f t="shared" si="7"/>
        <v>14</v>
      </c>
      <c r="E81" s="34">
        <f t="shared" si="7"/>
        <v>2</v>
      </c>
      <c r="F81" s="34">
        <f t="shared" si="7"/>
        <v>9</v>
      </c>
      <c r="G81" s="34">
        <f t="shared" si="7"/>
        <v>18</v>
      </c>
      <c r="H81" s="34">
        <f t="shared" si="7"/>
        <v>7</v>
      </c>
      <c r="I81" s="34">
        <f t="shared" si="7"/>
        <v>4</v>
      </c>
      <c r="J81" s="34">
        <f t="shared" si="7"/>
        <v>1</v>
      </c>
      <c r="K81" s="34">
        <f t="shared" si="7"/>
        <v>26</v>
      </c>
      <c r="L81" s="34">
        <f t="shared" si="7"/>
        <v>6</v>
      </c>
      <c r="M81" s="34">
        <f t="shared" si="7"/>
        <v>17</v>
      </c>
      <c r="N81" s="34">
        <f t="shared" si="7"/>
        <v>5</v>
      </c>
      <c r="O81" s="34">
        <f t="shared" si="7"/>
        <v>9</v>
      </c>
      <c r="P81" s="34">
        <f t="shared" si="7"/>
        <v>1</v>
      </c>
      <c r="Q81" s="34">
        <f t="shared" si="7"/>
        <v>1</v>
      </c>
      <c r="R81" s="34">
        <f t="shared" si="7"/>
        <v>65</v>
      </c>
      <c r="S81" s="34">
        <f t="shared" si="7"/>
        <v>14</v>
      </c>
      <c r="T81" s="34">
        <f t="shared" si="7"/>
        <v>17</v>
      </c>
      <c r="U81" s="34">
        <f t="shared" si="7"/>
        <v>39</v>
      </c>
      <c r="V81" s="34">
        <f t="shared" si="7"/>
        <v>28</v>
      </c>
      <c r="W81" s="34">
        <f t="shared" si="7"/>
        <v>9</v>
      </c>
      <c r="X81" s="34">
        <f t="shared" si="7"/>
        <v>9</v>
      </c>
      <c r="Y81" s="34">
        <f t="shared" si="7"/>
        <v>20</v>
      </c>
      <c r="Z81" s="34">
        <f t="shared" si="7"/>
        <v>20</v>
      </c>
      <c r="AA81" s="34">
        <f t="shared" si="7"/>
        <v>13</v>
      </c>
      <c r="AB81" s="34">
        <f t="shared" si="7"/>
        <v>25</v>
      </c>
      <c r="AC81" s="34">
        <f t="shared" si="7"/>
        <v>11</v>
      </c>
      <c r="AD81" s="34">
        <f t="shared" si="7"/>
        <v>0</v>
      </c>
      <c r="AE81" s="34">
        <f t="shared" si="7"/>
        <v>6</v>
      </c>
      <c r="AF81" s="34">
        <f t="shared" si="7"/>
        <v>60</v>
      </c>
      <c r="AG81" s="27">
        <f t="shared" si="2"/>
        <v>461</v>
      </c>
      <c r="AH81" s="40" t="str">
        <f>IF(AG81&lt;&gt;AG53,"*","")</f>
        <v/>
      </c>
    </row>
    <row r="82" spans="1:35" ht="15.75" customHeight="1" x14ac:dyDescent="0.25">
      <c r="A82" s="35" t="s">
        <v>43</v>
      </c>
      <c r="B82" s="9">
        <f t="shared" ref="B82:AF82" si="8">SUM(B54:B62)</f>
        <v>3</v>
      </c>
      <c r="C82" s="10">
        <f t="shared" si="8"/>
        <v>1</v>
      </c>
      <c r="D82" s="10">
        <f t="shared" si="8"/>
        <v>6</v>
      </c>
      <c r="E82" s="10">
        <f t="shared" si="8"/>
        <v>2</v>
      </c>
      <c r="F82" s="10">
        <f t="shared" si="8"/>
        <v>2</v>
      </c>
      <c r="G82" s="10">
        <f t="shared" si="8"/>
        <v>7</v>
      </c>
      <c r="H82" s="10">
        <f t="shared" si="8"/>
        <v>4</v>
      </c>
      <c r="I82" s="10">
        <f t="shared" si="8"/>
        <v>3</v>
      </c>
      <c r="J82" s="10">
        <f t="shared" si="8"/>
        <v>0</v>
      </c>
      <c r="K82" s="10">
        <f t="shared" si="8"/>
        <v>6</v>
      </c>
      <c r="L82" s="10">
        <f t="shared" si="8"/>
        <v>4</v>
      </c>
      <c r="M82" s="10">
        <f t="shared" si="8"/>
        <v>9</v>
      </c>
      <c r="N82" s="10">
        <f t="shared" si="8"/>
        <v>1</v>
      </c>
      <c r="O82" s="10">
        <f t="shared" si="8"/>
        <v>3</v>
      </c>
      <c r="P82" s="10">
        <f t="shared" si="8"/>
        <v>0</v>
      </c>
      <c r="Q82" s="10">
        <f t="shared" si="8"/>
        <v>0</v>
      </c>
      <c r="R82" s="10">
        <f t="shared" si="8"/>
        <v>12</v>
      </c>
      <c r="S82" s="10">
        <f t="shared" si="8"/>
        <v>5</v>
      </c>
      <c r="T82" s="10">
        <f t="shared" si="8"/>
        <v>11</v>
      </c>
      <c r="U82" s="10">
        <f t="shared" si="8"/>
        <v>20</v>
      </c>
      <c r="V82" s="10">
        <f t="shared" si="8"/>
        <v>16</v>
      </c>
      <c r="W82" s="10">
        <f t="shared" si="8"/>
        <v>5</v>
      </c>
      <c r="X82" s="10">
        <f t="shared" si="8"/>
        <v>1</v>
      </c>
      <c r="Y82" s="10">
        <f t="shared" si="8"/>
        <v>7</v>
      </c>
      <c r="Z82" s="10">
        <f t="shared" si="8"/>
        <v>1</v>
      </c>
      <c r="AA82" s="10">
        <f t="shared" si="8"/>
        <v>8</v>
      </c>
      <c r="AB82" s="10">
        <f t="shared" si="8"/>
        <v>6</v>
      </c>
      <c r="AC82" s="10">
        <f t="shared" si="8"/>
        <v>2</v>
      </c>
      <c r="AD82" s="10">
        <f t="shared" si="8"/>
        <v>0</v>
      </c>
      <c r="AE82" s="10">
        <f t="shared" si="8"/>
        <v>2</v>
      </c>
      <c r="AF82" s="10">
        <f t="shared" si="8"/>
        <v>14</v>
      </c>
      <c r="AG82" s="11">
        <f t="shared" si="2"/>
        <v>161</v>
      </c>
    </row>
    <row r="83" spans="1:35" ht="15.75" customHeight="1" thickBot="1" x14ac:dyDescent="0.3">
      <c r="A83" s="36" t="s">
        <v>42</v>
      </c>
      <c r="B83" s="24">
        <f t="shared" ref="B83:AF83" si="9">SUM(B54:B77)-B82</f>
        <v>1</v>
      </c>
      <c r="C83" s="25">
        <f t="shared" si="9"/>
        <v>0</v>
      </c>
      <c r="D83" s="25">
        <f t="shared" si="9"/>
        <v>8</v>
      </c>
      <c r="E83" s="25">
        <f t="shared" si="9"/>
        <v>0</v>
      </c>
      <c r="F83" s="25">
        <f t="shared" si="9"/>
        <v>7</v>
      </c>
      <c r="G83" s="25">
        <f t="shared" si="9"/>
        <v>11</v>
      </c>
      <c r="H83" s="25">
        <f t="shared" si="9"/>
        <v>3</v>
      </c>
      <c r="I83" s="25">
        <f t="shared" si="9"/>
        <v>1</v>
      </c>
      <c r="J83" s="25">
        <f t="shared" si="9"/>
        <v>1</v>
      </c>
      <c r="K83" s="25">
        <f t="shared" si="9"/>
        <v>20</v>
      </c>
      <c r="L83" s="25">
        <f t="shared" si="9"/>
        <v>2</v>
      </c>
      <c r="M83" s="25">
        <f t="shared" si="9"/>
        <v>8</v>
      </c>
      <c r="N83" s="25">
        <f t="shared" si="9"/>
        <v>4</v>
      </c>
      <c r="O83" s="25">
        <f t="shared" si="9"/>
        <v>6</v>
      </c>
      <c r="P83" s="25">
        <f t="shared" si="9"/>
        <v>1</v>
      </c>
      <c r="Q83" s="25">
        <f t="shared" si="9"/>
        <v>1</v>
      </c>
      <c r="R83" s="25">
        <f t="shared" si="9"/>
        <v>53</v>
      </c>
      <c r="S83" s="25">
        <f t="shared" si="9"/>
        <v>9</v>
      </c>
      <c r="T83" s="25">
        <f t="shared" si="9"/>
        <v>6</v>
      </c>
      <c r="U83" s="25">
        <f t="shared" si="9"/>
        <v>19</v>
      </c>
      <c r="V83" s="25">
        <f t="shared" si="9"/>
        <v>12</v>
      </c>
      <c r="W83" s="25">
        <f t="shared" si="9"/>
        <v>4</v>
      </c>
      <c r="X83" s="25">
        <f t="shared" si="9"/>
        <v>8</v>
      </c>
      <c r="Y83" s="25">
        <f t="shared" si="9"/>
        <v>13</v>
      </c>
      <c r="Z83" s="25">
        <f t="shared" si="9"/>
        <v>19</v>
      </c>
      <c r="AA83" s="25">
        <f t="shared" si="9"/>
        <v>5</v>
      </c>
      <c r="AB83" s="25">
        <f t="shared" si="9"/>
        <v>19</v>
      </c>
      <c r="AC83" s="25">
        <f t="shared" si="9"/>
        <v>9</v>
      </c>
      <c r="AD83" s="25">
        <f t="shared" si="9"/>
        <v>0</v>
      </c>
      <c r="AE83" s="25">
        <f t="shared" si="9"/>
        <v>4</v>
      </c>
      <c r="AF83" s="25">
        <f t="shared" si="9"/>
        <v>46</v>
      </c>
      <c r="AG83" s="15">
        <f t="shared" si="2"/>
        <v>300</v>
      </c>
    </row>
    <row r="84" spans="1:35" ht="15.75" customHeight="1" thickBot="1" x14ac:dyDescent="0.3">
      <c r="A84" s="41" t="s">
        <v>45</v>
      </c>
      <c r="B84" s="42">
        <f t="shared" ref="B84:AF84" si="10">SUM(B85:B86)</f>
        <v>4</v>
      </c>
      <c r="C84" s="43">
        <f t="shared" si="10"/>
        <v>1</v>
      </c>
      <c r="D84" s="43">
        <f t="shared" si="10"/>
        <v>14</v>
      </c>
      <c r="E84" s="43">
        <f t="shared" si="10"/>
        <v>2</v>
      </c>
      <c r="F84" s="43">
        <f t="shared" si="10"/>
        <v>9</v>
      </c>
      <c r="G84" s="43">
        <f t="shared" si="10"/>
        <v>18</v>
      </c>
      <c r="H84" s="43">
        <f t="shared" si="10"/>
        <v>7</v>
      </c>
      <c r="I84" s="43">
        <f t="shared" si="10"/>
        <v>4</v>
      </c>
      <c r="J84" s="43">
        <f t="shared" si="10"/>
        <v>1</v>
      </c>
      <c r="K84" s="43">
        <f t="shared" si="10"/>
        <v>26</v>
      </c>
      <c r="L84" s="43">
        <f t="shared" si="10"/>
        <v>6</v>
      </c>
      <c r="M84" s="43">
        <f t="shared" si="10"/>
        <v>17</v>
      </c>
      <c r="N84" s="43">
        <f t="shared" si="10"/>
        <v>5</v>
      </c>
      <c r="O84" s="43">
        <f t="shared" si="10"/>
        <v>9</v>
      </c>
      <c r="P84" s="43">
        <f t="shared" si="10"/>
        <v>1</v>
      </c>
      <c r="Q84" s="43">
        <f t="shared" si="10"/>
        <v>1</v>
      </c>
      <c r="R84" s="43">
        <f t="shared" si="10"/>
        <v>65</v>
      </c>
      <c r="S84" s="43">
        <f t="shared" si="10"/>
        <v>14</v>
      </c>
      <c r="T84" s="43">
        <f t="shared" si="10"/>
        <v>17</v>
      </c>
      <c r="U84" s="43">
        <f t="shared" si="10"/>
        <v>39</v>
      </c>
      <c r="V84" s="43">
        <f t="shared" si="10"/>
        <v>28</v>
      </c>
      <c r="W84" s="43">
        <f t="shared" si="10"/>
        <v>9</v>
      </c>
      <c r="X84" s="43">
        <f t="shared" si="10"/>
        <v>9</v>
      </c>
      <c r="Y84" s="43">
        <f t="shared" si="10"/>
        <v>20</v>
      </c>
      <c r="Z84" s="43">
        <f t="shared" si="10"/>
        <v>20</v>
      </c>
      <c r="AA84" s="43">
        <f t="shared" si="10"/>
        <v>13</v>
      </c>
      <c r="AB84" s="43">
        <f t="shared" si="10"/>
        <v>25</v>
      </c>
      <c r="AC84" s="43">
        <f t="shared" si="10"/>
        <v>11</v>
      </c>
      <c r="AD84" s="43">
        <f t="shared" si="10"/>
        <v>0</v>
      </c>
      <c r="AE84" s="43">
        <f t="shared" si="10"/>
        <v>6</v>
      </c>
      <c r="AF84" s="43">
        <f t="shared" si="10"/>
        <v>60</v>
      </c>
      <c r="AG84" s="44">
        <f t="shared" si="2"/>
        <v>461</v>
      </c>
      <c r="AH84" s="40" t="str">
        <f>IF(AG84&lt;&gt;AG82+AG83,"*","")</f>
        <v/>
      </c>
      <c r="AI84" s="361" t="s">
        <v>46</v>
      </c>
    </row>
    <row r="85" spans="1:35" ht="15.75" customHeight="1" x14ac:dyDescent="0.25">
      <c r="A85" s="45" t="s">
        <v>47</v>
      </c>
      <c r="B85" s="46">
        <v>0</v>
      </c>
      <c r="C85" s="47">
        <v>1</v>
      </c>
      <c r="D85" s="47">
        <v>2</v>
      </c>
      <c r="E85" s="47">
        <v>0</v>
      </c>
      <c r="F85" s="47">
        <v>0</v>
      </c>
      <c r="G85" s="47">
        <v>1</v>
      </c>
      <c r="H85" s="47">
        <v>0</v>
      </c>
      <c r="I85" s="47">
        <v>0</v>
      </c>
      <c r="J85" s="47">
        <v>0</v>
      </c>
      <c r="K85" s="47">
        <v>4</v>
      </c>
      <c r="L85" s="47">
        <v>1</v>
      </c>
      <c r="M85" s="47">
        <v>1</v>
      </c>
      <c r="N85" s="47">
        <v>1</v>
      </c>
      <c r="O85" s="47">
        <v>1</v>
      </c>
      <c r="P85" s="47">
        <v>0</v>
      </c>
      <c r="Q85" s="47">
        <v>1</v>
      </c>
      <c r="R85" s="47">
        <v>2</v>
      </c>
      <c r="S85" s="47">
        <v>1</v>
      </c>
      <c r="T85" s="47">
        <v>3</v>
      </c>
      <c r="U85" s="47">
        <v>6</v>
      </c>
      <c r="V85" s="47">
        <v>3</v>
      </c>
      <c r="W85" s="47">
        <v>1</v>
      </c>
      <c r="X85" s="47">
        <v>2</v>
      </c>
      <c r="Y85" s="47">
        <v>3</v>
      </c>
      <c r="Z85" s="47">
        <v>4</v>
      </c>
      <c r="AA85" s="47">
        <v>3</v>
      </c>
      <c r="AB85" s="47">
        <v>5</v>
      </c>
      <c r="AC85" s="47">
        <v>2</v>
      </c>
      <c r="AD85" s="47">
        <v>0</v>
      </c>
      <c r="AE85" s="47">
        <v>3</v>
      </c>
      <c r="AF85" s="219">
        <v>13</v>
      </c>
      <c r="AG85" s="48">
        <f t="shared" si="2"/>
        <v>64</v>
      </c>
      <c r="AI85" s="362"/>
    </row>
    <row r="86" spans="1:35" ht="15.75" customHeight="1" thickBot="1" x14ac:dyDescent="0.3">
      <c r="A86" s="49" t="s">
        <v>48</v>
      </c>
      <c r="B86" s="50">
        <v>4</v>
      </c>
      <c r="C86" s="51">
        <v>0</v>
      </c>
      <c r="D86" s="51">
        <v>12</v>
      </c>
      <c r="E86" s="51">
        <v>2</v>
      </c>
      <c r="F86" s="51">
        <v>9</v>
      </c>
      <c r="G86" s="51">
        <v>17</v>
      </c>
      <c r="H86" s="51">
        <v>7</v>
      </c>
      <c r="I86" s="51">
        <v>4</v>
      </c>
      <c r="J86" s="51">
        <v>1</v>
      </c>
      <c r="K86" s="51">
        <v>22</v>
      </c>
      <c r="L86" s="51">
        <v>5</v>
      </c>
      <c r="M86" s="51">
        <v>16</v>
      </c>
      <c r="N86" s="51">
        <v>4</v>
      </c>
      <c r="O86" s="51">
        <v>8</v>
      </c>
      <c r="P86" s="51">
        <v>1</v>
      </c>
      <c r="Q86" s="51">
        <v>0</v>
      </c>
      <c r="R86" s="51">
        <v>63</v>
      </c>
      <c r="S86" s="51">
        <v>13</v>
      </c>
      <c r="T86" s="51">
        <v>14</v>
      </c>
      <c r="U86" s="51">
        <v>33</v>
      </c>
      <c r="V86" s="51">
        <v>25</v>
      </c>
      <c r="W86" s="51">
        <v>8</v>
      </c>
      <c r="X86" s="51">
        <v>7</v>
      </c>
      <c r="Y86" s="51">
        <v>17</v>
      </c>
      <c r="Z86" s="51">
        <v>16</v>
      </c>
      <c r="AA86" s="51">
        <v>10</v>
      </c>
      <c r="AB86" s="51">
        <v>20</v>
      </c>
      <c r="AC86" s="51">
        <v>9</v>
      </c>
      <c r="AD86" s="51">
        <v>0</v>
      </c>
      <c r="AE86" s="51">
        <v>3</v>
      </c>
      <c r="AF86" s="220">
        <v>47</v>
      </c>
      <c r="AG86" s="52">
        <f t="shared" si="2"/>
        <v>397</v>
      </c>
      <c r="AI86" s="363"/>
    </row>
    <row r="87" spans="1:35" ht="15.75" customHeight="1" thickBot="1" x14ac:dyDescent="0.3">
      <c r="A87" s="53" t="s">
        <v>49</v>
      </c>
      <c r="B87" s="54">
        <f t="shared" ref="B87:AF87" si="11">SUM(B88:B92)</f>
        <v>4</v>
      </c>
      <c r="C87" s="55">
        <f t="shared" si="11"/>
        <v>1</v>
      </c>
      <c r="D87" s="55">
        <f t="shared" si="11"/>
        <v>14</v>
      </c>
      <c r="E87" s="55">
        <f t="shared" si="11"/>
        <v>2</v>
      </c>
      <c r="F87" s="55">
        <f t="shared" si="11"/>
        <v>9</v>
      </c>
      <c r="G87" s="55">
        <f t="shared" si="11"/>
        <v>18</v>
      </c>
      <c r="H87" s="55">
        <f t="shared" si="11"/>
        <v>7</v>
      </c>
      <c r="I87" s="55">
        <f t="shared" si="11"/>
        <v>4</v>
      </c>
      <c r="J87" s="55">
        <f t="shared" si="11"/>
        <v>1</v>
      </c>
      <c r="K87" s="55">
        <f t="shared" si="11"/>
        <v>26</v>
      </c>
      <c r="L87" s="55">
        <f t="shared" si="11"/>
        <v>6</v>
      </c>
      <c r="M87" s="55">
        <f t="shared" si="11"/>
        <v>17</v>
      </c>
      <c r="N87" s="55">
        <f t="shared" si="11"/>
        <v>5</v>
      </c>
      <c r="O87" s="55">
        <f t="shared" si="11"/>
        <v>9</v>
      </c>
      <c r="P87" s="55">
        <f t="shared" si="11"/>
        <v>1</v>
      </c>
      <c r="Q87" s="55">
        <f t="shared" si="11"/>
        <v>1</v>
      </c>
      <c r="R87" s="55">
        <f t="shared" si="11"/>
        <v>65</v>
      </c>
      <c r="S87" s="55">
        <f t="shared" si="11"/>
        <v>14</v>
      </c>
      <c r="T87" s="55">
        <f t="shared" si="11"/>
        <v>17</v>
      </c>
      <c r="U87" s="55">
        <f t="shared" si="11"/>
        <v>39</v>
      </c>
      <c r="V87" s="55">
        <f t="shared" si="11"/>
        <v>28</v>
      </c>
      <c r="W87" s="55">
        <f t="shared" si="11"/>
        <v>9</v>
      </c>
      <c r="X87" s="55">
        <f t="shared" si="11"/>
        <v>9</v>
      </c>
      <c r="Y87" s="55">
        <f t="shared" si="11"/>
        <v>20</v>
      </c>
      <c r="Z87" s="55">
        <f t="shared" si="11"/>
        <v>20</v>
      </c>
      <c r="AA87" s="55">
        <f t="shared" si="11"/>
        <v>13</v>
      </c>
      <c r="AB87" s="55">
        <f t="shared" si="11"/>
        <v>25</v>
      </c>
      <c r="AC87" s="55">
        <f t="shared" si="11"/>
        <v>11</v>
      </c>
      <c r="AD87" s="55">
        <f t="shared" si="11"/>
        <v>0</v>
      </c>
      <c r="AE87" s="55">
        <f t="shared" si="11"/>
        <v>6</v>
      </c>
      <c r="AF87" s="55">
        <f t="shared" si="11"/>
        <v>60</v>
      </c>
      <c r="AG87" s="56">
        <f t="shared" si="2"/>
        <v>461</v>
      </c>
      <c r="AH87" s="57" t="str">
        <f>IF(AG87&lt;&gt;AG84,"*","")</f>
        <v/>
      </c>
    </row>
    <row r="88" spans="1:35" ht="15.75" customHeight="1" x14ac:dyDescent="0.25">
      <c r="A88" s="58" t="s">
        <v>50</v>
      </c>
      <c r="B88" s="29">
        <v>0</v>
      </c>
      <c r="C88" s="30">
        <v>0</v>
      </c>
      <c r="D88" s="30">
        <v>4</v>
      </c>
      <c r="E88" s="30">
        <v>2</v>
      </c>
      <c r="F88" s="30">
        <v>2</v>
      </c>
      <c r="G88" s="30">
        <v>4</v>
      </c>
      <c r="H88" s="30">
        <v>1</v>
      </c>
      <c r="I88" s="30">
        <v>3</v>
      </c>
      <c r="J88" s="30">
        <v>0</v>
      </c>
      <c r="K88" s="30">
        <v>9</v>
      </c>
      <c r="L88" s="30">
        <v>0</v>
      </c>
      <c r="M88" s="30">
        <v>3</v>
      </c>
      <c r="N88" s="30">
        <v>4</v>
      </c>
      <c r="O88" s="30">
        <v>2</v>
      </c>
      <c r="P88" s="30">
        <v>1</v>
      </c>
      <c r="Q88" s="30">
        <v>1</v>
      </c>
      <c r="R88" s="30">
        <v>14</v>
      </c>
      <c r="S88" s="30">
        <v>3</v>
      </c>
      <c r="T88" s="30">
        <v>2</v>
      </c>
      <c r="U88" s="30">
        <v>4</v>
      </c>
      <c r="V88" s="30">
        <v>7</v>
      </c>
      <c r="W88" s="30">
        <v>3</v>
      </c>
      <c r="X88" s="30">
        <v>6</v>
      </c>
      <c r="Y88" s="30">
        <v>3</v>
      </c>
      <c r="Z88" s="30">
        <v>0</v>
      </c>
      <c r="AA88" s="30">
        <v>6</v>
      </c>
      <c r="AB88" s="30">
        <v>4</v>
      </c>
      <c r="AC88" s="30">
        <v>4</v>
      </c>
      <c r="AD88" s="30">
        <v>0</v>
      </c>
      <c r="AE88" s="30">
        <v>2</v>
      </c>
      <c r="AF88" s="217">
        <v>8</v>
      </c>
      <c r="AG88" s="11">
        <f t="shared" si="2"/>
        <v>102</v>
      </c>
    </row>
    <row r="89" spans="1:35" ht="15.75" customHeight="1" x14ac:dyDescent="0.25">
      <c r="A89" s="59" t="s">
        <v>51</v>
      </c>
      <c r="B89" s="24">
        <v>0</v>
      </c>
      <c r="C89" s="25">
        <v>0</v>
      </c>
      <c r="D89" s="25">
        <v>0</v>
      </c>
      <c r="E89" s="25">
        <v>0</v>
      </c>
      <c r="F89" s="25">
        <v>0</v>
      </c>
      <c r="G89" s="25">
        <v>0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5">
        <v>0</v>
      </c>
      <c r="W89" s="25">
        <v>0</v>
      </c>
      <c r="X89" s="25">
        <v>0</v>
      </c>
      <c r="Y89" s="25">
        <v>0</v>
      </c>
      <c r="Z89" s="25">
        <v>0</v>
      </c>
      <c r="AA89" s="25">
        <v>0</v>
      </c>
      <c r="AB89" s="25">
        <v>0</v>
      </c>
      <c r="AC89" s="25">
        <v>0</v>
      </c>
      <c r="AD89" s="25">
        <v>0</v>
      </c>
      <c r="AE89" s="25">
        <v>0</v>
      </c>
      <c r="AF89" s="216">
        <v>0</v>
      </c>
      <c r="AG89" s="15">
        <f t="shared" si="2"/>
        <v>0</v>
      </c>
    </row>
    <row r="90" spans="1:35" ht="15.75" customHeight="1" x14ac:dyDescent="0.25">
      <c r="A90" s="59" t="s">
        <v>52</v>
      </c>
      <c r="B90" s="24">
        <v>1</v>
      </c>
      <c r="C90" s="25">
        <v>0</v>
      </c>
      <c r="D90" s="25">
        <v>0</v>
      </c>
      <c r="E90" s="25">
        <v>0</v>
      </c>
      <c r="F90" s="25">
        <v>0</v>
      </c>
      <c r="G90" s="25">
        <v>0</v>
      </c>
      <c r="H90" s="25">
        <v>1</v>
      </c>
      <c r="I90" s="25">
        <v>0</v>
      </c>
      <c r="J90" s="25">
        <v>0</v>
      </c>
      <c r="K90" s="25">
        <v>1</v>
      </c>
      <c r="L90" s="25">
        <v>0</v>
      </c>
      <c r="M90" s="25">
        <v>1</v>
      </c>
      <c r="N90" s="25">
        <v>0</v>
      </c>
      <c r="O90" s="25">
        <v>0</v>
      </c>
      <c r="P90" s="25">
        <v>0</v>
      </c>
      <c r="Q90" s="25">
        <v>0</v>
      </c>
      <c r="R90" s="25">
        <v>1</v>
      </c>
      <c r="S90" s="25">
        <v>0</v>
      </c>
      <c r="T90" s="25">
        <v>0</v>
      </c>
      <c r="U90" s="25">
        <v>1</v>
      </c>
      <c r="V90" s="25">
        <v>0</v>
      </c>
      <c r="W90" s="25">
        <v>0</v>
      </c>
      <c r="X90" s="25">
        <v>0</v>
      </c>
      <c r="Y90" s="25">
        <v>1</v>
      </c>
      <c r="Z90" s="25">
        <v>0</v>
      </c>
      <c r="AA90" s="25">
        <v>0</v>
      </c>
      <c r="AB90" s="25">
        <v>0</v>
      </c>
      <c r="AC90" s="25">
        <v>0</v>
      </c>
      <c r="AD90" s="25">
        <v>0</v>
      </c>
      <c r="AE90" s="25">
        <v>0</v>
      </c>
      <c r="AF90" s="216">
        <v>5</v>
      </c>
      <c r="AG90" s="15">
        <f t="shared" si="2"/>
        <v>12</v>
      </c>
    </row>
    <row r="91" spans="1:35" ht="15.75" customHeight="1" x14ac:dyDescent="0.25">
      <c r="A91" s="59" t="s">
        <v>53</v>
      </c>
      <c r="B91" s="24">
        <v>0</v>
      </c>
      <c r="C91" s="25">
        <v>1</v>
      </c>
      <c r="D91" s="25">
        <v>6</v>
      </c>
      <c r="E91" s="25">
        <v>0</v>
      </c>
      <c r="F91" s="25">
        <v>3</v>
      </c>
      <c r="G91" s="25">
        <v>4</v>
      </c>
      <c r="H91" s="25">
        <v>4</v>
      </c>
      <c r="I91" s="25">
        <v>0</v>
      </c>
      <c r="J91" s="25">
        <v>1</v>
      </c>
      <c r="K91" s="25">
        <v>3</v>
      </c>
      <c r="L91" s="25">
        <v>1</v>
      </c>
      <c r="M91" s="25">
        <v>5</v>
      </c>
      <c r="N91" s="25">
        <v>1</v>
      </c>
      <c r="O91" s="25">
        <v>2</v>
      </c>
      <c r="P91" s="25">
        <v>0</v>
      </c>
      <c r="Q91" s="25">
        <v>0</v>
      </c>
      <c r="R91" s="25">
        <v>43</v>
      </c>
      <c r="S91" s="25">
        <v>4</v>
      </c>
      <c r="T91" s="25">
        <v>7</v>
      </c>
      <c r="U91" s="25">
        <v>18</v>
      </c>
      <c r="V91" s="25">
        <v>15</v>
      </c>
      <c r="W91" s="25">
        <v>2</v>
      </c>
      <c r="X91" s="25">
        <v>2</v>
      </c>
      <c r="Y91" s="25">
        <v>11</v>
      </c>
      <c r="Z91" s="25">
        <v>16</v>
      </c>
      <c r="AA91" s="25">
        <v>2</v>
      </c>
      <c r="AB91" s="25">
        <v>19</v>
      </c>
      <c r="AC91" s="25">
        <v>5</v>
      </c>
      <c r="AD91" s="25">
        <v>0</v>
      </c>
      <c r="AE91" s="25">
        <v>1</v>
      </c>
      <c r="AF91" s="216">
        <v>39</v>
      </c>
      <c r="AG91" s="15">
        <f t="shared" si="2"/>
        <v>215</v>
      </c>
    </row>
    <row r="92" spans="1:35" ht="15.75" customHeight="1" thickBot="1" x14ac:dyDescent="0.3">
      <c r="A92" s="59" t="s">
        <v>54</v>
      </c>
      <c r="B92" s="24">
        <v>3</v>
      </c>
      <c r="C92" s="25">
        <v>0</v>
      </c>
      <c r="D92" s="25">
        <v>4</v>
      </c>
      <c r="E92" s="25">
        <v>0</v>
      </c>
      <c r="F92" s="25">
        <v>4</v>
      </c>
      <c r="G92" s="25">
        <v>10</v>
      </c>
      <c r="H92" s="25">
        <v>1</v>
      </c>
      <c r="I92" s="25">
        <v>1</v>
      </c>
      <c r="J92" s="25">
        <v>0</v>
      </c>
      <c r="K92" s="25">
        <v>13</v>
      </c>
      <c r="L92" s="25">
        <v>5</v>
      </c>
      <c r="M92" s="25">
        <v>8</v>
      </c>
      <c r="N92" s="25">
        <v>0</v>
      </c>
      <c r="O92" s="25">
        <v>5</v>
      </c>
      <c r="P92" s="25">
        <v>0</v>
      </c>
      <c r="Q92" s="25">
        <v>0</v>
      </c>
      <c r="R92" s="25">
        <v>7</v>
      </c>
      <c r="S92" s="25">
        <v>7</v>
      </c>
      <c r="T92" s="25">
        <v>8</v>
      </c>
      <c r="U92" s="25">
        <v>16</v>
      </c>
      <c r="V92" s="25">
        <v>6</v>
      </c>
      <c r="W92" s="25">
        <v>4</v>
      </c>
      <c r="X92" s="25">
        <v>1</v>
      </c>
      <c r="Y92" s="25">
        <v>5</v>
      </c>
      <c r="Z92" s="25">
        <v>4</v>
      </c>
      <c r="AA92" s="25">
        <v>5</v>
      </c>
      <c r="AB92" s="25">
        <v>2</v>
      </c>
      <c r="AC92" s="25">
        <v>2</v>
      </c>
      <c r="AD92" s="25">
        <v>0</v>
      </c>
      <c r="AE92" s="25">
        <v>3</v>
      </c>
      <c r="AF92" s="216">
        <v>8</v>
      </c>
      <c r="AG92" s="15">
        <f t="shared" si="2"/>
        <v>132</v>
      </c>
    </row>
    <row r="93" spans="1:35" ht="15.75" customHeight="1" x14ac:dyDescent="0.25">
      <c r="A93" s="60" t="s">
        <v>55</v>
      </c>
      <c r="B93" s="61">
        <f t="shared" ref="B93:AF93" si="12">+B94+B100</f>
        <v>177</v>
      </c>
      <c r="C93" s="62">
        <f t="shared" si="12"/>
        <v>148</v>
      </c>
      <c r="D93" s="62">
        <f t="shared" si="12"/>
        <v>187</v>
      </c>
      <c r="E93" s="62">
        <f t="shared" si="12"/>
        <v>145</v>
      </c>
      <c r="F93" s="62">
        <f t="shared" si="12"/>
        <v>146</v>
      </c>
      <c r="G93" s="62">
        <f t="shared" si="12"/>
        <v>163</v>
      </c>
      <c r="H93" s="62">
        <f t="shared" si="12"/>
        <v>136</v>
      </c>
      <c r="I93" s="62">
        <f t="shared" si="12"/>
        <v>160</v>
      </c>
      <c r="J93" s="62">
        <f t="shared" si="12"/>
        <v>169</v>
      </c>
      <c r="K93" s="62">
        <f t="shared" si="12"/>
        <v>171</v>
      </c>
      <c r="L93" s="62">
        <f t="shared" si="12"/>
        <v>153</v>
      </c>
      <c r="M93" s="62">
        <f t="shared" si="12"/>
        <v>156</v>
      </c>
      <c r="N93" s="62">
        <f t="shared" si="12"/>
        <v>156</v>
      </c>
      <c r="O93" s="62">
        <f t="shared" si="12"/>
        <v>143</v>
      </c>
      <c r="P93" s="62">
        <f t="shared" si="12"/>
        <v>173</v>
      </c>
      <c r="Q93" s="62">
        <f t="shared" si="12"/>
        <v>141</v>
      </c>
      <c r="R93" s="62">
        <f t="shared" si="12"/>
        <v>177</v>
      </c>
      <c r="S93" s="62">
        <f t="shared" si="12"/>
        <v>186</v>
      </c>
      <c r="T93" s="62">
        <f t="shared" si="12"/>
        <v>185</v>
      </c>
      <c r="U93" s="62">
        <f t="shared" si="12"/>
        <v>152</v>
      </c>
      <c r="V93" s="62">
        <f t="shared" si="12"/>
        <v>160</v>
      </c>
      <c r="W93" s="62">
        <f t="shared" si="12"/>
        <v>156</v>
      </c>
      <c r="X93" s="62">
        <f t="shared" si="12"/>
        <v>163</v>
      </c>
      <c r="Y93" s="62">
        <f t="shared" si="12"/>
        <v>182</v>
      </c>
      <c r="Z93" s="62">
        <f t="shared" si="12"/>
        <v>181</v>
      </c>
      <c r="AA93" s="62">
        <f t="shared" si="12"/>
        <v>166</v>
      </c>
      <c r="AB93" s="62">
        <f t="shared" si="12"/>
        <v>188</v>
      </c>
      <c r="AC93" s="62">
        <f t="shared" si="12"/>
        <v>182</v>
      </c>
      <c r="AD93" s="62">
        <f t="shared" si="12"/>
        <v>153</v>
      </c>
      <c r="AE93" s="62">
        <f t="shared" si="12"/>
        <v>184</v>
      </c>
      <c r="AF93" s="221">
        <f t="shared" si="12"/>
        <v>199</v>
      </c>
      <c r="AG93" s="22">
        <f t="shared" si="2"/>
        <v>5138</v>
      </c>
      <c r="AH93" s="63" t="str">
        <f>IF(AG93&lt;&gt;AG28,"*","")</f>
        <v/>
      </c>
    </row>
    <row r="94" spans="1:35" ht="15.75" customHeight="1" x14ac:dyDescent="0.25">
      <c r="A94" s="64" t="s">
        <v>56</v>
      </c>
      <c r="B94" s="65">
        <f t="shared" ref="B94:AF94" si="13">SUM(B95:B99)</f>
        <v>14</v>
      </c>
      <c r="C94" s="66">
        <f t="shared" si="13"/>
        <v>14</v>
      </c>
      <c r="D94" s="66">
        <f t="shared" si="13"/>
        <v>21</v>
      </c>
      <c r="E94" s="66">
        <f t="shared" si="13"/>
        <v>12</v>
      </c>
      <c r="F94" s="66">
        <f t="shared" si="13"/>
        <v>11</v>
      </c>
      <c r="G94" s="66">
        <f t="shared" si="13"/>
        <v>19</v>
      </c>
      <c r="H94" s="66">
        <f t="shared" si="13"/>
        <v>21</v>
      </c>
      <c r="I94" s="66">
        <f t="shared" si="13"/>
        <v>16</v>
      </c>
      <c r="J94" s="66">
        <f t="shared" si="13"/>
        <v>20</v>
      </c>
      <c r="K94" s="66">
        <f t="shared" si="13"/>
        <v>13</v>
      </c>
      <c r="L94" s="66">
        <f t="shared" si="13"/>
        <v>26</v>
      </c>
      <c r="M94" s="66">
        <f t="shared" si="13"/>
        <v>15</v>
      </c>
      <c r="N94" s="66">
        <f t="shared" si="13"/>
        <v>15</v>
      </c>
      <c r="O94" s="66">
        <f t="shared" si="13"/>
        <v>11</v>
      </c>
      <c r="P94" s="66">
        <f t="shared" si="13"/>
        <v>23</v>
      </c>
      <c r="Q94" s="66">
        <f t="shared" si="13"/>
        <v>9</v>
      </c>
      <c r="R94" s="66">
        <f t="shared" si="13"/>
        <v>19</v>
      </c>
      <c r="S94" s="66">
        <f t="shared" si="13"/>
        <v>22</v>
      </c>
      <c r="T94" s="66">
        <f t="shared" si="13"/>
        <v>19</v>
      </c>
      <c r="U94" s="66">
        <f t="shared" si="13"/>
        <v>18</v>
      </c>
      <c r="V94" s="66">
        <f t="shared" si="13"/>
        <v>11</v>
      </c>
      <c r="W94" s="66">
        <f t="shared" si="13"/>
        <v>14</v>
      </c>
      <c r="X94" s="66">
        <f t="shared" si="13"/>
        <v>20</v>
      </c>
      <c r="Y94" s="66">
        <f t="shared" si="13"/>
        <v>27</v>
      </c>
      <c r="Z94" s="66">
        <f t="shared" si="13"/>
        <v>19</v>
      </c>
      <c r="AA94" s="66">
        <f t="shared" si="13"/>
        <v>22</v>
      </c>
      <c r="AB94" s="66">
        <f t="shared" si="13"/>
        <v>36</v>
      </c>
      <c r="AC94" s="66">
        <f t="shared" si="13"/>
        <v>16</v>
      </c>
      <c r="AD94" s="66">
        <f t="shared" si="13"/>
        <v>23</v>
      </c>
      <c r="AE94" s="66">
        <f t="shared" si="13"/>
        <v>25</v>
      </c>
      <c r="AF94" s="222">
        <f t="shared" si="13"/>
        <v>35</v>
      </c>
      <c r="AG94" s="15">
        <f t="shared" si="2"/>
        <v>586</v>
      </c>
    </row>
    <row r="95" spans="1:35" ht="15.75" customHeight="1" x14ac:dyDescent="0.25">
      <c r="A95" s="67" t="s">
        <v>57</v>
      </c>
      <c r="B95" s="13">
        <v>1</v>
      </c>
      <c r="C95" s="14">
        <v>1</v>
      </c>
      <c r="D95" s="14">
        <v>1</v>
      </c>
      <c r="E95" s="14">
        <v>0</v>
      </c>
      <c r="F95" s="14">
        <v>0</v>
      </c>
      <c r="G95" s="14">
        <v>0</v>
      </c>
      <c r="H95" s="14">
        <v>0</v>
      </c>
      <c r="I95" s="14">
        <v>1</v>
      </c>
      <c r="J95" s="14">
        <v>3</v>
      </c>
      <c r="K95" s="14">
        <v>0</v>
      </c>
      <c r="L95" s="14">
        <v>1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1</v>
      </c>
      <c r="S95" s="14">
        <v>0</v>
      </c>
      <c r="T95" s="14">
        <v>2</v>
      </c>
      <c r="U95" s="14">
        <v>2</v>
      </c>
      <c r="V95" s="14">
        <v>0</v>
      </c>
      <c r="W95" s="14">
        <v>0</v>
      </c>
      <c r="X95" s="14">
        <v>1</v>
      </c>
      <c r="Y95" s="14">
        <v>0</v>
      </c>
      <c r="Z95" s="14">
        <v>0</v>
      </c>
      <c r="AA95" s="14">
        <v>0</v>
      </c>
      <c r="AB95" s="14">
        <v>1</v>
      </c>
      <c r="AC95" s="14">
        <v>0</v>
      </c>
      <c r="AD95" s="14">
        <v>0</v>
      </c>
      <c r="AE95" s="14">
        <v>1</v>
      </c>
      <c r="AF95" s="214">
        <v>0</v>
      </c>
      <c r="AG95" s="15">
        <f t="shared" si="2"/>
        <v>16</v>
      </c>
    </row>
    <row r="96" spans="1:35" ht="15.75" customHeight="1" x14ac:dyDescent="0.25">
      <c r="A96" s="68" t="s">
        <v>58</v>
      </c>
      <c r="B96" s="13">
        <v>0</v>
      </c>
      <c r="C96" s="14">
        <v>1</v>
      </c>
      <c r="D96" s="14">
        <v>0</v>
      </c>
      <c r="E96" s="14">
        <v>1</v>
      </c>
      <c r="F96" s="14">
        <v>1</v>
      </c>
      <c r="G96" s="14">
        <v>0</v>
      </c>
      <c r="H96" s="14">
        <v>4</v>
      </c>
      <c r="I96" s="14">
        <v>3</v>
      </c>
      <c r="J96" s="14">
        <v>1</v>
      </c>
      <c r="K96" s="14">
        <v>0</v>
      </c>
      <c r="L96" s="14">
        <v>1</v>
      </c>
      <c r="M96" s="14">
        <v>1</v>
      </c>
      <c r="N96" s="14">
        <v>3</v>
      </c>
      <c r="O96" s="14">
        <v>0</v>
      </c>
      <c r="P96" s="14">
        <v>0</v>
      </c>
      <c r="Q96" s="14">
        <v>0</v>
      </c>
      <c r="R96" s="14">
        <v>0</v>
      </c>
      <c r="S96" s="223">
        <v>1</v>
      </c>
      <c r="T96" s="14">
        <v>1</v>
      </c>
      <c r="U96" s="14">
        <v>1</v>
      </c>
      <c r="V96" s="14">
        <v>1</v>
      </c>
      <c r="W96" s="14">
        <v>1</v>
      </c>
      <c r="X96" s="14">
        <v>0</v>
      </c>
      <c r="Y96" s="14">
        <v>1</v>
      </c>
      <c r="Z96" s="14">
        <v>1</v>
      </c>
      <c r="AA96" s="14">
        <v>1</v>
      </c>
      <c r="AB96" s="14">
        <v>3</v>
      </c>
      <c r="AC96" s="14">
        <v>1</v>
      </c>
      <c r="AD96" s="14">
        <v>3</v>
      </c>
      <c r="AE96" s="14">
        <v>2</v>
      </c>
      <c r="AF96" s="214">
        <v>1</v>
      </c>
      <c r="AG96" s="15">
        <f t="shared" si="2"/>
        <v>34</v>
      </c>
    </row>
    <row r="97" spans="1:33" ht="15.75" customHeight="1" x14ac:dyDescent="0.25">
      <c r="A97" s="69" t="s">
        <v>59</v>
      </c>
      <c r="B97" s="13">
        <v>4</v>
      </c>
      <c r="C97" s="14">
        <v>3</v>
      </c>
      <c r="D97" s="14">
        <v>6</v>
      </c>
      <c r="E97" s="14">
        <v>2</v>
      </c>
      <c r="F97" s="14">
        <v>2</v>
      </c>
      <c r="G97" s="14">
        <v>4</v>
      </c>
      <c r="H97" s="14">
        <v>5</v>
      </c>
      <c r="I97" s="14">
        <v>2</v>
      </c>
      <c r="J97" s="14">
        <v>2</v>
      </c>
      <c r="K97" s="14">
        <v>1</v>
      </c>
      <c r="L97" s="14">
        <v>3</v>
      </c>
      <c r="M97" s="14">
        <v>1</v>
      </c>
      <c r="N97" s="14">
        <v>2</v>
      </c>
      <c r="O97" s="14">
        <v>2</v>
      </c>
      <c r="P97" s="14">
        <v>4</v>
      </c>
      <c r="Q97" s="14">
        <v>2</v>
      </c>
      <c r="R97" s="14">
        <v>2</v>
      </c>
      <c r="S97" s="14">
        <v>3</v>
      </c>
      <c r="T97" s="14">
        <v>2</v>
      </c>
      <c r="U97" s="14">
        <v>3</v>
      </c>
      <c r="V97" s="14">
        <v>1</v>
      </c>
      <c r="W97" s="14">
        <v>2</v>
      </c>
      <c r="X97" s="14">
        <v>5</v>
      </c>
      <c r="Y97" s="14">
        <v>3</v>
      </c>
      <c r="Z97" s="14">
        <v>4</v>
      </c>
      <c r="AA97" s="14">
        <v>2</v>
      </c>
      <c r="AB97" s="14">
        <v>13</v>
      </c>
      <c r="AC97" s="14">
        <v>1</v>
      </c>
      <c r="AD97" s="14">
        <v>4</v>
      </c>
      <c r="AE97" s="14">
        <v>3</v>
      </c>
      <c r="AF97" s="214">
        <v>4</v>
      </c>
      <c r="AG97" s="15">
        <f t="shared" si="2"/>
        <v>97</v>
      </c>
    </row>
    <row r="98" spans="1:33" ht="15.75" customHeight="1" x14ac:dyDescent="0.25">
      <c r="A98" s="70" t="s">
        <v>60</v>
      </c>
      <c r="B98" s="13">
        <v>5</v>
      </c>
      <c r="C98" s="14">
        <v>7</v>
      </c>
      <c r="D98" s="14">
        <v>7</v>
      </c>
      <c r="E98" s="14">
        <v>6</v>
      </c>
      <c r="F98" s="14">
        <v>5</v>
      </c>
      <c r="G98" s="14">
        <v>9</v>
      </c>
      <c r="H98" s="14">
        <v>6</v>
      </c>
      <c r="I98" s="14">
        <v>6</v>
      </c>
      <c r="J98" s="14">
        <v>9</v>
      </c>
      <c r="K98" s="14">
        <v>6</v>
      </c>
      <c r="L98" s="14">
        <v>12</v>
      </c>
      <c r="M98" s="14">
        <v>4</v>
      </c>
      <c r="N98" s="14">
        <v>5</v>
      </c>
      <c r="O98" s="14">
        <v>5</v>
      </c>
      <c r="P98" s="14">
        <v>10</v>
      </c>
      <c r="Q98" s="14">
        <v>2</v>
      </c>
      <c r="R98" s="14">
        <v>11</v>
      </c>
      <c r="S98" s="14">
        <v>11</v>
      </c>
      <c r="T98" s="14">
        <v>4</v>
      </c>
      <c r="U98" s="14">
        <v>5</v>
      </c>
      <c r="V98" s="14">
        <v>2</v>
      </c>
      <c r="W98" s="14">
        <v>7</v>
      </c>
      <c r="X98" s="14">
        <v>4</v>
      </c>
      <c r="Y98" s="14">
        <v>11</v>
      </c>
      <c r="Z98" s="14">
        <v>6</v>
      </c>
      <c r="AA98" s="14">
        <v>5</v>
      </c>
      <c r="AB98" s="14">
        <v>10</v>
      </c>
      <c r="AC98" s="14">
        <v>7</v>
      </c>
      <c r="AD98" s="14">
        <v>10</v>
      </c>
      <c r="AE98" s="14">
        <v>8</v>
      </c>
      <c r="AF98" s="214">
        <v>15</v>
      </c>
      <c r="AG98" s="15">
        <f t="shared" si="2"/>
        <v>220</v>
      </c>
    </row>
    <row r="99" spans="1:33" ht="15.75" customHeight="1" x14ac:dyDescent="0.25">
      <c r="A99" s="71" t="s">
        <v>61</v>
      </c>
      <c r="B99" s="13">
        <v>4</v>
      </c>
      <c r="C99" s="14">
        <v>2</v>
      </c>
      <c r="D99" s="14">
        <v>7</v>
      </c>
      <c r="E99" s="14">
        <v>3</v>
      </c>
      <c r="F99" s="14">
        <v>3</v>
      </c>
      <c r="G99" s="14">
        <v>6</v>
      </c>
      <c r="H99" s="14">
        <v>6</v>
      </c>
      <c r="I99" s="14">
        <v>4</v>
      </c>
      <c r="J99" s="14">
        <v>5</v>
      </c>
      <c r="K99" s="14">
        <v>6</v>
      </c>
      <c r="L99" s="14">
        <v>9</v>
      </c>
      <c r="M99" s="14">
        <v>9</v>
      </c>
      <c r="N99" s="14">
        <v>5</v>
      </c>
      <c r="O99" s="14">
        <v>4</v>
      </c>
      <c r="P99" s="14">
        <v>9</v>
      </c>
      <c r="Q99" s="14">
        <v>5</v>
      </c>
      <c r="R99" s="14">
        <v>5</v>
      </c>
      <c r="S99" s="14">
        <v>7</v>
      </c>
      <c r="T99" s="14">
        <v>10</v>
      </c>
      <c r="U99" s="14">
        <v>7</v>
      </c>
      <c r="V99" s="14">
        <v>7</v>
      </c>
      <c r="W99" s="14">
        <v>4</v>
      </c>
      <c r="X99" s="14">
        <v>10</v>
      </c>
      <c r="Y99" s="14">
        <v>12</v>
      </c>
      <c r="Z99" s="14">
        <v>8</v>
      </c>
      <c r="AA99" s="14">
        <v>14</v>
      </c>
      <c r="AB99" s="14">
        <v>9</v>
      </c>
      <c r="AC99" s="14">
        <v>7</v>
      </c>
      <c r="AD99" s="14">
        <v>6</v>
      </c>
      <c r="AE99" s="14">
        <v>11</v>
      </c>
      <c r="AF99" s="214">
        <v>15</v>
      </c>
      <c r="AG99" s="15">
        <f t="shared" si="2"/>
        <v>219</v>
      </c>
    </row>
    <row r="100" spans="1:33" ht="15.75" customHeight="1" x14ac:dyDescent="0.25">
      <c r="A100" s="64" t="s">
        <v>62</v>
      </c>
      <c r="B100" s="65">
        <f t="shared" ref="B100:AF100" si="14">SUM(B101:B115)</f>
        <v>163</v>
      </c>
      <c r="C100" s="66">
        <f t="shared" si="14"/>
        <v>134</v>
      </c>
      <c r="D100" s="66">
        <f t="shared" si="14"/>
        <v>166</v>
      </c>
      <c r="E100" s="66">
        <f t="shared" si="14"/>
        <v>133</v>
      </c>
      <c r="F100" s="66">
        <f t="shared" si="14"/>
        <v>135</v>
      </c>
      <c r="G100" s="66">
        <f t="shared" si="14"/>
        <v>144</v>
      </c>
      <c r="H100" s="66">
        <f t="shared" si="14"/>
        <v>115</v>
      </c>
      <c r="I100" s="66">
        <f t="shared" si="14"/>
        <v>144</v>
      </c>
      <c r="J100" s="66">
        <f t="shared" si="14"/>
        <v>149</v>
      </c>
      <c r="K100" s="66">
        <f t="shared" si="14"/>
        <v>158</v>
      </c>
      <c r="L100" s="66">
        <f t="shared" si="14"/>
        <v>127</v>
      </c>
      <c r="M100" s="66">
        <f t="shared" si="14"/>
        <v>141</v>
      </c>
      <c r="N100" s="66">
        <f t="shared" si="14"/>
        <v>141</v>
      </c>
      <c r="O100" s="66">
        <f t="shared" si="14"/>
        <v>132</v>
      </c>
      <c r="P100" s="66">
        <f t="shared" si="14"/>
        <v>150</v>
      </c>
      <c r="Q100" s="66">
        <f t="shared" si="14"/>
        <v>132</v>
      </c>
      <c r="R100" s="66">
        <f t="shared" si="14"/>
        <v>158</v>
      </c>
      <c r="S100" s="66">
        <f t="shared" si="14"/>
        <v>164</v>
      </c>
      <c r="T100" s="66">
        <f t="shared" si="14"/>
        <v>166</v>
      </c>
      <c r="U100" s="66">
        <f t="shared" si="14"/>
        <v>134</v>
      </c>
      <c r="V100" s="66">
        <f t="shared" si="14"/>
        <v>149</v>
      </c>
      <c r="W100" s="66">
        <f t="shared" si="14"/>
        <v>142</v>
      </c>
      <c r="X100" s="66">
        <f t="shared" si="14"/>
        <v>143</v>
      </c>
      <c r="Y100" s="66">
        <f t="shared" si="14"/>
        <v>155</v>
      </c>
      <c r="Z100" s="66">
        <f t="shared" si="14"/>
        <v>162</v>
      </c>
      <c r="AA100" s="66">
        <f t="shared" si="14"/>
        <v>144</v>
      </c>
      <c r="AB100" s="66">
        <f t="shared" si="14"/>
        <v>152</v>
      </c>
      <c r="AC100" s="66">
        <f t="shared" si="14"/>
        <v>166</v>
      </c>
      <c r="AD100" s="66">
        <f t="shared" si="14"/>
        <v>130</v>
      </c>
      <c r="AE100" s="66">
        <f t="shared" si="14"/>
        <v>159</v>
      </c>
      <c r="AF100" s="222">
        <f t="shared" si="14"/>
        <v>164</v>
      </c>
      <c r="AG100" s="15">
        <f t="shared" si="2"/>
        <v>4552</v>
      </c>
    </row>
    <row r="101" spans="1:33" ht="15.75" customHeight="1" x14ac:dyDescent="0.25">
      <c r="A101" s="71" t="s">
        <v>63</v>
      </c>
      <c r="B101" s="13">
        <v>7</v>
      </c>
      <c r="C101" s="14">
        <v>10</v>
      </c>
      <c r="D101" s="14">
        <v>6</v>
      </c>
      <c r="E101" s="14">
        <v>3</v>
      </c>
      <c r="F101" s="14">
        <v>8</v>
      </c>
      <c r="G101" s="14">
        <v>12</v>
      </c>
      <c r="H101" s="14">
        <v>6</v>
      </c>
      <c r="I101" s="14">
        <v>13</v>
      </c>
      <c r="J101" s="14">
        <v>3</v>
      </c>
      <c r="K101" s="14">
        <v>4</v>
      </c>
      <c r="L101" s="14">
        <v>6</v>
      </c>
      <c r="M101" s="14">
        <v>6</v>
      </c>
      <c r="N101" s="14">
        <v>13</v>
      </c>
      <c r="O101" s="14">
        <v>8</v>
      </c>
      <c r="P101" s="14">
        <v>4</v>
      </c>
      <c r="Q101" s="14">
        <v>8</v>
      </c>
      <c r="R101" s="14">
        <v>11</v>
      </c>
      <c r="S101" s="14">
        <v>15</v>
      </c>
      <c r="T101" s="14">
        <v>15</v>
      </c>
      <c r="U101" s="14">
        <v>16</v>
      </c>
      <c r="V101" s="14">
        <v>7</v>
      </c>
      <c r="W101" s="14">
        <v>6</v>
      </c>
      <c r="X101" s="14">
        <v>11</v>
      </c>
      <c r="Y101" s="14">
        <v>11</v>
      </c>
      <c r="Z101" s="14">
        <v>11</v>
      </c>
      <c r="AA101" s="14">
        <v>14</v>
      </c>
      <c r="AB101" s="14">
        <v>18</v>
      </c>
      <c r="AC101" s="14">
        <v>8</v>
      </c>
      <c r="AD101" s="14">
        <v>11</v>
      </c>
      <c r="AE101" s="14">
        <v>14</v>
      </c>
      <c r="AF101" s="214">
        <v>12</v>
      </c>
      <c r="AG101" s="15">
        <f t="shared" si="2"/>
        <v>297</v>
      </c>
    </row>
    <row r="102" spans="1:33" ht="15.75" customHeight="1" x14ac:dyDescent="0.25">
      <c r="A102" s="71" t="s">
        <v>64</v>
      </c>
      <c r="B102" s="13">
        <v>11</v>
      </c>
      <c r="C102" s="14">
        <v>13</v>
      </c>
      <c r="D102" s="14">
        <v>12</v>
      </c>
      <c r="E102" s="14">
        <v>8</v>
      </c>
      <c r="F102" s="14">
        <v>7</v>
      </c>
      <c r="G102" s="14">
        <v>11</v>
      </c>
      <c r="H102" s="14">
        <v>10</v>
      </c>
      <c r="I102" s="14">
        <v>9</v>
      </c>
      <c r="J102" s="14">
        <v>10</v>
      </c>
      <c r="K102" s="14">
        <v>15</v>
      </c>
      <c r="L102" s="14">
        <v>17</v>
      </c>
      <c r="M102" s="14">
        <v>10</v>
      </c>
      <c r="N102" s="14">
        <v>16</v>
      </c>
      <c r="O102" s="14">
        <v>6</v>
      </c>
      <c r="P102" s="14">
        <v>14</v>
      </c>
      <c r="Q102" s="14">
        <v>9</v>
      </c>
      <c r="R102" s="14">
        <v>12</v>
      </c>
      <c r="S102" s="14">
        <v>13</v>
      </c>
      <c r="T102" s="14">
        <v>14</v>
      </c>
      <c r="U102" s="14">
        <v>10</v>
      </c>
      <c r="V102" s="14">
        <v>11</v>
      </c>
      <c r="W102" s="14">
        <v>5</v>
      </c>
      <c r="X102" s="14">
        <v>17</v>
      </c>
      <c r="Y102" s="14">
        <v>15</v>
      </c>
      <c r="Z102" s="14">
        <v>15</v>
      </c>
      <c r="AA102" s="14">
        <v>11</v>
      </c>
      <c r="AB102" s="14">
        <v>8</v>
      </c>
      <c r="AC102" s="14">
        <v>18</v>
      </c>
      <c r="AD102" s="14">
        <v>13</v>
      </c>
      <c r="AE102" s="14">
        <v>10</v>
      </c>
      <c r="AF102" s="214">
        <v>14</v>
      </c>
      <c r="AG102" s="15">
        <f t="shared" si="2"/>
        <v>364</v>
      </c>
    </row>
    <row r="103" spans="1:33" ht="15.75" customHeight="1" x14ac:dyDescent="0.25">
      <c r="A103" s="67" t="s">
        <v>65</v>
      </c>
      <c r="B103" s="13">
        <v>16</v>
      </c>
      <c r="C103" s="14">
        <v>5</v>
      </c>
      <c r="D103" s="14">
        <v>24</v>
      </c>
      <c r="E103" s="14">
        <v>13</v>
      </c>
      <c r="F103" s="14">
        <v>15</v>
      </c>
      <c r="G103" s="14">
        <v>10</v>
      </c>
      <c r="H103" s="14">
        <v>12</v>
      </c>
      <c r="I103" s="14">
        <v>11</v>
      </c>
      <c r="J103" s="14">
        <v>11</v>
      </c>
      <c r="K103" s="14">
        <v>15</v>
      </c>
      <c r="L103" s="14">
        <v>16</v>
      </c>
      <c r="M103" s="14">
        <v>11</v>
      </c>
      <c r="N103" s="14">
        <v>13</v>
      </c>
      <c r="O103" s="14">
        <v>11</v>
      </c>
      <c r="P103" s="14">
        <v>21</v>
      </c>
      <c r="Q103" s="14">
        <v>11</v>
      </c>
      <c r="R103" s="14">
        <v>15</v>
      </c>
      <c r="S103" s="14">
        <v>17</v>
      </c>
      <c r="T103" s="14">
        <v>14</v>
      </c>
      <c r="U103" s="14">
        <v>10</v>
      </c>
      <c r="V103" s="14">
        <v>13</v>
      </c>
      <c r="W103" s="14">
        <v>13</v>
      </c>
      <c r="X103" s="14">
        <v>8</v>
      </c>
      <c r="Y103" s="14">
        <v>13</v>
      </c>
      <c r="Z103" s="14">
        <v>12</v>
      </c>
      <c r="AA103" s="14">
        <v>15</v>
      </c>
      <c r="AB103" s="14">
        <v>9</v>
      </c>
      <c r="AC103" s="14">
        <v>20</v>
      </c>
      <c r="AD103" s="14">
        <v>9</v>
      </c>
      <c r="AE103" s="14">
        <v>12</v>
      </c>
      <c r="AF103" s="214">
        <v>17</v>
      </c>
      <c r="AG103" s="15">
        <f t="shared" si="2"/>
        <v>412</v>
      </c>
    </row>
    <row r="104" spans="1:33" ht="15.75" customHeight="1" x14ac:dyDescent="0.25">
      <c r="A104" s="67" t="s">
        <v>66</v>
      </c>
      <c r="B104" s="13">
        <v>13</v>
      </c>
      <c r="C104" s="14">
        <v>11</v>
      </c>
      <c r="D104" s="14">
        <v>16</v>
      </c>
      <c r="E104" s="14">
        <v>17</v>
      </c>
      <c r="F104" s="14">
        <v>8</v>
      </c>
      <c r="G104" s="14">
        <v>14</v>
      </c>
      <c r="H104" s="14">
        <v>9</v>
      </c>
      <c r="I104" s="14">
        <v>7</v>
      </c>
      <c r="J104" s="14">
        <v>10</v>
      </c>
      <c r="K104" s="14">
        <v>15</v>
      </c>
      <c r="L104" s="14">
        <v>13</v>
      </c>
      <c r="M104" s="14">
        <v>11</v>
      </c>
      <c r="N104" s="14">
        <v>14</v>
      </c>
      <c r="O104" s="14">
        <v>11</v>
      </c>
      <c r="P104" s="14">
        <v>14</v>
      </c>
      <c r="Q104" s="14">
        <v>11</v>
      </c>
      <c r="R104" s="14">
        <v>15</v>
      </c>
      <c r="S104" s="14">
        <v>7</v>
      </c>
      <c r="T104" s="14">
        <v>16</v>
      </c>
      <c r="U104" s="14">
        <v>11</v>
      </c>
      <c r="V104" s="14">
        <v>7</v>
      </c>
      <c r="W104" s="14">
        <v>11</v>
      </c>
      <c r="X104" s="14">
        <v>9</v>
      </c>
      <c r="Y104" s="14">
        <v>9</v>
      </c>
      <c r="Z104" s="14">
        <v>11</v>
      </c>
      <c r="AA104" s="14">
        <v>6</v>
      </c>
      <c r="AB104" s="14">
        <v>16</v>
      </c>
      <c r="AC104" s="14">
        <v>15</v>
      </c>
      <c r="AD104" s="14">
        <v>11</v>
      </c>
      <c r="AE104" s="14">
        <v>9</v>
      </c>
      <c r="AF104" s="214">
        <v>11</v>
      </c>
      <c r="AG104" s="15">
        <f t="shared" si="2"/>
        <v>358</v>
      </c>
    </row>
    <row r="105" spans="1:33" ht="15.75" customHeight="1" x14ac:dyDescent="0.25">
      <c r="A105" s="67" t="s">
        <v>67</v>
      </c>
      <c r="B105" s="13">
        <v>13</v>
      </c>
      <c r="C105" s="14">
        <v>12</v>
      </c>
      <c r="D105" s="14">
        <v>8</v>
      </c>
      <c r="E105" s="14">
        <v>11</v>
      </c>
      <c r="F105" s="14">
        <v>11</v>
      </c>
      <c r="G105" s="14">
        <v>11</v>
      </c>
      <c r="H105" s="14">
        <v>5</v>
      </c>
      <c r="I105" s="14">
        <v>6</v>
      </c>
      <c r="J105" s="14">
        <v>13</v>
      </c>
      <c r="K105" s="14">
        <v>16</v>
      </c>
      <c r="L105" s="14">
        <v>8</v>
      </c>
      <c r="M105" s="14">
        <v>9</v>
      </c>
      <c r="N105" s="14">
        <v>14</v>
      </c>
      <c r="O105" s="14">
        <v>12</v>
      </c>
      <c r="P105" s="14">
        <v>6</v>
      </c>
      <c r="Q105" s="14">
        <v>14</v>
      </c>
      <c r="R105" s="14">
        <v>8</v>
      </c>
      <c r="S105" s="14">
        <v>12</v>
      </c>
      <c r="T105" s="14">
        <v>13</v>
      </c>
      <c r="U105" s="14">
        <v>9</v>
      </c>
      <c r="V105" s="14">
        <v>15</v>
      </c>
      <c r="W105" s="14">
        <v>10</v>
      </c>
      <c r="X105" s="14">
        <v>10</v>
      </c>
      <c r="Y105" s="14">
        <v>12</v>
      </c>
      <c r="Z105" s="14">
        <v>13</v>
      </c>
      <c r="AA105" s="14">
        <v>8</v>
      </c>
      <c r="AB105" s="14">
        <v>20</v>
      </c>
      <c r="AC105" s="14">
        <v>13</v>
      </c>
      <c r="AD105" s="14">
        <v>6</v>
      </c>
      <c r="AE105" s="14">
        <v>18</v>
      </c>
      <c r="AF105" s="214">
        <v>17</v>
      </c>
      <c r="AG105" s="15">
        <f t="shared" si="2"/>
        <v>353</v>
      </c>
    </row>
    <row r="106" spans="1:33" ht="15.75" customHeight="1" x14ac:dyDescent="0.25">
      <c r="A106" s="67" t="s">
        <v>68</v>
      </c>
      <c r="B106" s="13">
        <v>14</v>
      </c>
      <c r="C106" s="14">
        <v>10</v>
      </c>
      <c r="D106" s="14">
        <v>13</v>
      </c>
      <c r="E106" s="14">
        <v>6</v>
      </c>
      <c r="F106" s="14">
        <v>10</v>
      </c>
      <c r="G106" s="14">
        <v>11</v>
      </c>
      <c r="H106" s="14">
        <v>10</v>
      </c>
      <c r="I106" s="14">
        <v>23</v>
      </c>
      <c r="J106" s="14">
        <v>21</v>
      </c>
      <c r="K106" s="14">
        <v>10</v>
      </c>
      <c r="L106" s="14">
        <v>9</v>
      </c>
      <c r="M106" s="14">
        <v>6</v>
      </c>
      <c r="N106" s="14">
        <v>11</v>
      </c>
      <c r="O106" s="14">
        <v>9</v>
      </c>
      <c r="P106" s="14">
        <v>12</v>
      </c>
      <c r="Q106" s="14">
        <v>4</v>
      </c>
      <c r="R106" s="14">
        <v>14</v>
      </c>
      <c r="S106" s="14">
        <v>7</v>
      </c>
      <c r="T106" s="14">
        <v>8</v>
      </c>
      <c r="U106" s="14">
        <v>8</v>
      </c>
      <c r="V106" s="14">
        <v>9</v>
      </c>
      <c r="W106" s="14">
        <v>15</v>
      </c>
      <c r="X106" s="14">
        <v>10</v>
      </c>
      <c r="Y106" s="14">
        <v>8</v>
      </c>
      <c r="Z106" s="14">
        <v>10</v>
      </c>
      <c r="AA106" s="14">
        <v>7</v>
      </c>
      <c r="AB106" s="14">
        <v>8</v>
      </c>
      <c r="AC106" s="14">
        <v>13</v>
      </c>
      <c r="AD106" s="14">
        <v>14</v>
      </c>
      <c r="AE106" s="14">
        <v>13</v>
      </c>
      <c r="AF106" s="214">
        <v>4</v>
      </c>
      <c r="AG106" s="15">
        <f t="shared" si="2"/>
        <v>327</v>
      </c>
    </row>
    <row r="107" spans="1:33" ht="15.75" customHeight="1" x14ac:dyDescent="0.25">
      <c r="A107" s="67" t="s">
        <v>69</v>
      </c>
      <c r="B107" s="13">
        <v>12</v>
      </c>
      <c r="C107" s="14">
        <v>9</v>
      </c>
      <c r="D107" s="14">
        <v>4</v>
      </c>
      <c r="E107" s="14">
        <v>8</v>
      </c>
      <c r="F107" s="14">
        <v>11</v>
      </c>
      <c r="G107" s="14">
        <v>10</v>
      </c>
      <c r="H107" s="14">
        <v>7</v>
      </c>
      <c r="I107" s="14">
        <v>8</v>
      </c>
      <c r="J107" s="14">
        <v>13</v>
      </c>
      <c r="K107" s="14">
        <v>10</v>
      </c>
      <c r="L107" s="14">
        <v>6</v>
      </c>
      <c r="M107" s="14">
        <v>13</v>
      </c>
      <c r="N107" s="14">
        <v>9</v>
      </c>
      <c r="O107" s="14">
        <v>6</v>
      </c>
      <c r="P107" s="14">
        <v>8</v>
      </c>
      <c r="Q107" s="14">
        <v>7</v>
      </c>
      <c r="R107" s="14">
        <v>11</v>
      </c>
      <c r="S107" s="14">
        <v>14</v>
      </c>
      <c r="T107" s="14">
        <v>10</v>
      </c>
      <c r="U107" s="14">
        <v>15</v>
      </c>
      <c r="V107" s="14">
        <v>12</v>
      </c>
      <c r="W107" s="14">
        <v>13</v>
      </c>
      <c r="X107" s="14">
        <v>12</v>
      </c>
      <c r="Y107" s="14">
        <v>10</v>
      </c>
      <c r="Z107" s="14">
        <v>12</v>
      </c>
      <c r="AA107" s="14">
        <v>11</v>
      </c>
      <c r="AB107" s="14">
        <v>9</v>
      </c>
      <c r="AC107" s="14">
        <v>14</v>
      </c>
      <c r="AD107" s="14">
        <v>8</v>
      </c>
      <c r="AE107" s="14">
        <v>12</v>
      </c>
      <c r="AF107" s="214">
        <v>12</v>
      </c>
      <c r="AG107" s="15">
        <f t="shared" si="2"/>
        <v>316</v>
      </c>
    </row>
    <row r="108" spans="1:33" ht="15.75" customHeight="1" x14ac:dyDescent="0.25">
      <c r="A108" s="67" t="s">
        <v>70</v>
      </c>
      <c r="B108" s="13">
        <v>11</v>
      </c>
      <c r="C108" s="14">
        <v>19</v>
      </c>
      <c r="D108" s="14">
        <v>10</v>
      </c>
      <c r="E108" s="14">
        <v>12</v>
      </c>
      <c r="F108" s="14">
        <v>8</v>
      </c>
      <c r="G108" s="14">
        <v>9</v>
      </c>
      <c r="H108" s="14">
        <v>11</v>
      </c>
      <c r="I108" s="14">
        <v>8</v>
      </c>
      <c r="J108" s="14">
        <v>13</v>
      </c>
      <c r="K108" s="14">
        <v>15</v>
      </c>
      <c r="L108" s="14">
        <v>8</v>
      </c>
      <c r="M108" s="14">
        <v>15</v>
      </c>
      <c r="N108" s="14">
        <v>13</v>
      </c>
      <c r="O108" s="14">
        <v>14</v>
      </c>
      <c r="P108" s="14">
        <v>13</v>
      </c>
      <c r="Q108" s="14">
        <v>12</v>
      </c>
      <c r="R108" s="14">
        <v>20</v>
      </c>
      <c r="S108" s="14">
        <v>22</v>
      </c>
      <c r="T108" s="14">
        <v>13</v>
      </c>
      <c r="U108" s="14">
        <v>11</v>
      </c>
      <c r="V108" s="14">
        <v>16</v>
      </c>
      <c r="W108" s="14">
        <v>16</v>
      </c>
      <c r="X108" s="14">
        <v>9</v>
      </c>
      <c r="Y108" s="14">
        <v>13</v>
      </c>
      <c r="Z108" s="14">
        <v>14</v>
      </c>
      <c r="AA108" s="14">
        <v>9</v>
      </c>
      <c r="AB108" s="14">
        <v>9</v>
      </c>
      <c r="AC108" s="14">
        <v>13</v>
      </c>
      <c r="AD108" s="14">
        <v>14</v>
      </c>
      <c r="AE108" s="14">
        <v>9</v>
      </c>
      <c r="AF108" s="214">
        <v>17</v>
      </c>
      <c r="AG108" s="15">
        <f t="shared" si="2"/>
        <v>396</v>
      </c>
    </row>
    <row r="109" spans="1:33" ht="15.75" customHeight="1" x14ac:dyDescent="0.25">
      <c r="A109" s="67" t="s">
        <v>71</v>
      </c>
      <c r="B109" s="13">
        <v>10</v>
      </c>
      <c r="C109" s="14">
        <v>12</v>
      </c>
      <c r="D109" s="14">
        <v>14</v>
      </c>
      <c r="E109" s="14">
        <v>8</v>
      </c>
      <c r="F109" s="14">
        <v>7</v>
      </c>
      <c r="G109" s="14">
        <v>17</v>
      </c>
      <c r="H109" s="14">
        <v>10</v>
      </c>
      <c r="I109" s="14">
        <v>15</v>
      </c>
      <c r="J109" s="14">
        <v>15</v>
      </c>
      <c r="K109" s="14">
        <v>16</v>
      </c>
      <c r="L109" s="14">
        <v>15</v>
      </c>
      <c r="M109" s="14">
        <v>15</v>
      </c>
      <c r="N109" s="14">
        <v>9</v>
      </c>
      <c r="O109" s="14">
        <v>16</v>
      </c>
      <c r="P109" s="14">
        <v>13</v>
      </c>
      <c r="Q109" s="14">
        <v>14</v>
      </c>
      <c r="R109" s="14">
        <v>15</v>
      </c>
      <c r="S109" s="14">
        <v>12</v>
      </c>
      <c r="T109" s="14">
        <v>14</v>
      </c>
      <c r="U109" s="14">
        <v>12</v>
      </c>
      <c r="V109" s="14">
        <v>13</v>
      </c>
      <c r="W109" s="14">
        <v>16</v>
      </c>
      <c r="X109" s="14">
        <v>15</v>
      </c>
      <c r="Y109" s="14">
        <v>18</v>
      </c>
      <c r="Z109" s="14">
        <v>20</v>
      </c>
      <c r="AA109" s="14">
        <v>14</v>
      </c>
      <c r="AB109" s="14">
        <v>10</v>
      </c>
      <c r="AC109" s="14">
        <v>11</v>
      </c>
      <c r="AD109" s="14">
        <v>12</v>
      </c>
      <c r="AE109" s="14">
        <v>11</v>
      </c>
      <c r="AF109" s="214">
        <v>12</v>
      </c>
      <c r="AG109" s="15">
        <f t="shared" si="2"/>
        <v>411</v>
      </c>
    </row>
    <row r="110" spans="1:33" ht="15.75" customHeight="1" x14ac:dyDescent="0.25">
      <c r="A110" s="67" t="s">
        <v>72</v>
      </c>
      <c r="B110" s="13">
        <v>8</v>
      </c>
      <c r="C110" s="14">
        <v>13</v>
      </c>
      <c r="D110" s="14">
        <v>16</v>
      </c>
      <c r="E110" s="14">
        <v>12</v>
      </c>
      <c r="F110" s="14">
        <v>15</v>
      </c>
      <c r="G110" s="14">
        <v>10</v>
      </c>
      <c r="H110" s="14">
        <v>9</v>
      </c>
      <c r="I110" s="14">
        <v>13</v>
      </c>
      <c r="J110" s="14">
        <v>15</v>
      </c>
      <c r="K110" s="14">
        <v>8</v>
      </c>
      <c r="L110" s="14">
        <v>7</v>
      </c>
      <c r="M110" s="14">
        <v>13</v>
      </c>
      <c r="N110" s="14">
        <v>4</v>
      </c>
      <c r="O110" s="14">
        <v>11</v>
      </c>
      <c r="P110" s="14">
        <v>7</v>
      </c>
      <c r="Q110" s="14">
        <v>7</v>
      </c>
      <c r="R110" s="14">
        <v>11</v>
      </c>
      <c r="S110" s="14">
        <v>11</v>
      </c>
      <c r="T110" s="14">
        <v>11</v>
      </c>
      <c r="U110" s="14">
        <v>8</v>
      </c>
      <c r="V110" s="14">
        <v>8</v>
      </c>
      <c r="W110" s="14">
        <v>12</v>
      </c>
      <c r="X110" s="14">
        <v>11</v>
      </c>
      <c r="Y110" s="14">
        <v>8</v>
      </c>
      <c r="Z110" s="14">
        <v>12</v>
      </c>
      <c r="AA110" s="14">
        <v>14</v>
      </c>
      <c r="AB110" s="14">
        <v>9</v>
      </c>
      <c r="AC110" s="14">
        <v>12</v>
      </c>
      <c r="AD110" s="14">
        <v>11</v>
      </c>
      <c r="AE110" s="14">
        <v>6</v>
      </c>
      <c r="AF110" s="214">
        <v>12</v>
      </c>
      <c r="AG110" s="15">
        <f t="shared" si="2"/>
        <v>324</v>
      </c>
    </row>
    <row r="111" spans="1:33" ht="15.75" customHeight="1" x14ac:dyDescent="0.25">
      <c r="A111" s="67" t="s">
        <v>73</v>
      </c>
      <c r="B111" s="13">
        <v>10</v>
      </c>
      <c r="C111" s="14">
        <v>5</v>
      </c>
      <c r="D111" s="14">
        <v>10</v>
      </c>
      <c r="E111" s="14">
        <v>12</v>
      </c>
      <c r="F111" s="14">
        <v>11</v>
      </c>
      <c r="G111" s="14">
        <v>8</v>
      </c>
      <c r="H111" s="14">
        <v>8</v>
      </c>
      <c r="I111" s="14">
        <v>10</v>
      </c>
      <c r="J111" s="14">
        <v>13</v>
      </c>
      <c r="K111" s="14">
        <v>10</v>
      </c>
      <c r="L111" s="14">
        <v>9</v>
      </c>
      <c r="M111" s="14">
        <v>8</v>
      </c>
      <c r="N111" s="14">
        <v>10</v>
      </c>
      <c r="O111" s="14">
        <v>9</v>
      </c>
      <c r="P111" s="14">
        <v>16</v>
      </c>
      <c r="Q111" s="14">
        <v>11</v>
      </c>
      <c r="R111" s="14">
        <v>8</v>
      </c>
      <c r="S111" s="14">
        <v>8</v>
      </c>
      <c r="T111" s="14">
        <v>7</v>
      </c>
      <c r="U111" s="14">
        <v>3</v>
      </c>
      <c r="V111" s="14">
        <v>10</v>
      </c>
      <c r="W111" s="14">
        <v>10</v>
      </c>
      <c r="X111" s="14">
        <v>10</v>
      </c>
      <c r="Y111" s="14">
        <v>10</v>
      </c>
      <c r="Z111" s="14">
        <v>11</v>
      </c>
      <c r="AA111" s="14">
        <v>11</v>
      </c>
      <c r="AB111" s="14">
        <v>13</v>
      </c>
      <c r="AC111" s="14">
        <v>10</v>
      </c>
      <c r="AD111" s="14">
        <v>6</v>
      </c>
      <c r="AE111" s="14">
        <v>14</v>
      </c>
      <c r="AF111" s="214">
        <v>9</v>
      </c>
      <c r="AG111" s="15">
        <f t="shared" si="2"/>
        <v>300</v>
      </c>
    </row>
    <row r="112" spans="1:33" ht="15.75" customHeight="1" x14ac:dyDescent="0.25">
      <c r="A112" s="67" t="s">
        <v>74</v>
      </c>
      <c r="B112" s="13">
        <v>12</v>
      </c>
      <c r="C112" s="14">
        <v>2</v>
      </c>
      <c r="D112" s="14">
        <v>9</v>
      </c>
      <c r="E112" s="14">
        <v>10</v>
      </c>
      <c r="F112" s="14">
        <v>9</v>
      </c>
      <c r="G112" s="14">
        <v>11</v>
      </c>
      <c r="H112" s="14">
        <v>5</v>
      </c>
      <c r="I112" s="14">
        <v>10</v>
      </c>
      <c r="J112" s="14">
        <v>3</v>
      </c>
      <c r="K112" s="14">
        <v>5</v>
      </c>
      <c r="L112" s="14">
        <v>4</v>
      </c>
      <c r="M112" s="14">
        <v>5</v>
      </c>
      <c r="N112" s="14">
        <v>6</v>
      </c>
      <c r="O112" s="14">
        <v>6</v>
      </c>
      <c r="P112" s="14">
        <v>5</v>
      </c>
      <c r="Q112" s="14">
        <v>14</v>
      </c>
      <c r="R112" s="14">
        <v>9</v>
      </c>
      <c r="S112" s="14">
        <v>10</v>
      </c>
      <c r="T112" s="14">
        <v>9</v>
      </c>
      <c r="U112" s="14">
        <v>4</v>
      </c>
      <c r="V112" s="14">
        <v>7</v>
      </c>
      <c r="W112" s="14">
        <v>7</v>
      </c>
      <c r="X112" s="14">
        <v>5</v>
      </c>
      <c r="Y112" s="14">
        <v>9</v>
      </c>
      <c r="Z112" s="14">
        <v>6</v>
      </c>
      <c r="AA112" s="14">
        <v>8</v>
      </c>
      <c r="AB112" s="14">
        <v>6</v>
      </c>
      <c r="AC112" s="14">
        <v>5</v>
      </c>
      <c r="AD112" s="14">
        <v>6</v>
      </c>
      <c r="AE112" s="14">
        <v>11</v>
      </c>
      <c r="AF112" s="214">
        <v>6</v>
      </c>
      <c r="AG112" s="15">
        <f t="shared" si="2"/>
        <v>224</v>
      </c>
    </row>
    <row r="113" spans="1:33" ht="15.75" customHeight="1" x14ac:dyDescent="0.25">
      <c r="A113" s="67" t="s">
        <v>75</v>
      </c>
      <c r="B113" s="13">
        <v>12</v>
      </c>
      <c r="C113" s="14">
        <v>9</v>
      </c>
      <c r="D113" s="14">
        <v>8</v>
      </c>
      <c r="E113" s="14">
        <v>8</v>
      </c>
      <c r="F113" s="14">
        <v>5</v>
      </c>
      <c r="G113" s="14">
        <v>5</v>
      </c>
      <c r="H113" s="14">
        <v>3</v>
      </c>
      <c r="I113" s="14">
        <v>6</v>
      </c>
      <c r="J113" s="14">
        <v>6</v>
      </c>
      <c r="K113" s="14">
        <v>11</v>
      </c>
      <c r="L113" s="14">
        <v>2</v>
      </c>
      <c r="M113" s="14">
        <v>9</v>
      </c>
      <c r="N113" s="14">
        <v>3</v>
      </c>
      <c r="O113" s="14">
        <v>4</v>
      </c>
      <c r="P113" s="14">
        <v>8</v>
      </c>
      <c r="Q113" s="14">
        <v>4</v>
      </c>
      <c r="R113" s="14">
        <v>4</v>
      </c>
      <c r="S113" s="14">
        <v>9</v>
      </c>
      <c r="T113" s="14">
        <v>9</v>
      </c>
      <c r="U113" s="14">
        <v>9</v>
      </c>
      <c r="V113" s="14">
        <v>7</v>
      </c>
      <c r="W113" s="14">
        <v>5</v>
      </c>
      <c r="X113" s="14">
        <v>6</v>
      </c>
      <c r="Y113" s="14">
        <v>7</v>
      </c>
      <c r="Z113" s="14">
        <v>6</v>
      </c>
      <c r="AA113" s="14">
        <v>8</v>
      </c>
      <c r="AB113" s="14">
        <v>9</v>
      </c>
      <c r="AC113" s="14">
        <v>5</v>
      </c>
      <c r="AD113" s="14">
        <v>7</v>
      </c>
      <c r="AE113" s="14">
        <v>12</v>
      </c>
      <c r="AF113" s="214">
        <v>9</v>
      </c>
      <c r="AG113" s="15">
        <f t="shared" si="2"/>
        <v>215</v>
      </c>
    </row>
    <row r="114" spans="1:33" ht="15.75" customHeight="1" x14ac:dyDescent="0.25">
      <c r="A114" s="67" t="s">
        <v>76</v>
      </c>
      <c r="B114" s="13">
        <v>14</v>
      </c>
      <c r="C114" s="14">
        <v>4</v>
      </c>
      <c r="D114" s="14">
        <v>16</v>
      </c>
      <c r="E114" s="14">
        <v>5</v>
      </c>
      <c r="F114" s="14">
        <v>10</v>
      </c>
      <c r="G114" s="14">
        <v>5</v>
      </c>
      <c r="H114" s="14">
        <v>10</v>
      </c>
      <c r="I114" s="14">
        <v>5</v>
      </c>
      <c r="J114" s="14">
        <v>3</v>
      </c>
      <c r="K114" s="14">
        <v>8</v>
      </c>
      <c r="L114" s="14">
        <v>7</v>
      </c>
      <c r="M114" s="14">
        <v>10</v>
      </c>
      <c r="N114" s="14">
        <v>6</v>
      </c>
      <c r="O114" s="14">
        <v>9</v>
      </c>
      <c r="P114" s="14">
        <v>9</v>
      </c>
      <c r="Q114" s="14">
        <v>6</v>
      </c>
      <c r="R114" s="14">
        <v>5</v>
      </c>
      <c r="S114" s="14">
        <v>7</v>
      </c>
      <c r="T114" s="14">
        <v>13</v>
      </c>
      <c r="U114" s="14">
        <v>8</v>
      </c>
      <c r="V114" s="14">
        <v>14</v>
      </c>
      <c r="W114" s="14">
        <v>3</v>
      </c>
      <c r="X114" s="14">
        <v>10</v>
      </c>
      <c r="Y114" s="14">
        <v>12</v>
      </c>
      <c r="Z114" s="14">
        <v>9</v>
      </c>
      <c r="AA114" s="14">
        <v>8</v>
      </c>
      <c r="AB114" s="14">
        <v>8</v>
      </c>
      <c r="AC114" s="14">
        <v>9</v>
      </c>
      <c r="AD114" s="14">
        <v>2</v>
      </c>
      <c r="AE114" s="14">
        <v>8</v>
      </c>
      <c r="AF114" s="214">
        <v>12</v>
      </c>
      <c r="AG114" s="15">
        <f t="shared" si="2"/>
        <v>255</v>
      </c>
    </row>
    <row r="115" spans="1:33" ht="15.75" customHeight="1" thickBot="1" x14ac:dyDescent="0.3">
      <c r="A115" s="72"/>
      <c r="B115" s="37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224"/>
      <c r="AG115" s="15">
        <f t="shared" si="2"/>
        <v>0</v>
      </c>
    </row>
    <row r="116" spans="1:33" ht="15.75" customHeight="1" x14ac:dyDescent="0.25">
      <c r="A116" s="60" t="s">
        <v>77</v>
      </c>
      <c r="B116" s="61">
        <f t="shared" ref="B116:AF116" si="15">SUM(B117:B129)</f>
        <v>36</v>
      </c>
      <c r="C116" s="62">
        <f t="shared" si="15"/>
        <v>43</v>
      </c>
      <c r="D116" s="62">
        <f t="shared" si="15"/>
        <v>72</v>
      </c>
      <c r="E116" s="62">
        <f t="shared" si="15"/>
        <v>45</v>
      </c>
      <c r="F116" s="62">
        <f t="shared" si="15"/>
        <v>41</v>
      </c>
      <c r="G116" s="62">
        <f t="shared" si="15"/>
        <v>64</v>
      </c>
      <c r="H116" s="62">
        <f t="shared" si="15"/>
        <v>41</v>
      </c>
      <c r="I116" s="62">
        <f t="shared" si="15"/>
        <v>34</v>
      </c>
      <c r="J116" s="62">
        <f t="shared" si="15"/>
        <v>29</v>
      </c>
      <c r="K116" s="62">
        <f t="shared" si="15"/>
        <v>76</v>
      </c>
      <c r="L116" s="62">
        <f t="shared" si="15"/>
        <v>52</v>
      </c>
      <c r="M116" s="62">
        <f t="shared" si="15"/>
        <v>52</v>
      </c>
      <c r="N116" s="62">
        <f t="shared" si="15"/>
        <v>40</v>
      </c>
      <c r="O116" s="62">
        <f t="shared" si="15"/>
        <v>47</v>
      </c>
      <c r="P116" s="62">
        <f t="shared" si="15"/>
        <v>37</v>
      </c>
      <c r="Q116" s="62">
        <f t="shared" si="15"/>
        <v>41</v>
      </c>
      <c r="R116" s="62">
        <f t="shared" si="15"/>
        <v>65</v>
      </c>
      <c r="S116" s="62">
        <f t="shared" si="15"/>
        <v>58</v>
      </c>
      <c r="T116" s="62">
        <f t="shared" si="15"/>
        <v>53</v>
      </c>
      <c r="U116" s="62">
        <f t="shared" si="15"/>
        <v>52</v>
      </c>
      <c r="V116" s="62">
        <f t="shared" si="15"/>
        <v>49</v>
      </c>
      <c r="W116" s="62">
        <f t="shared" si="15"/>
        <v>46</v>
      </c>
      <c r="X116" s="62">
        <f t="shared" si="15"/>
        <v>36</v>
      </c>
      <c r="Y116" s="62">
        <f t="shared" si="15"/>
        <v>58</v>
      </c>
      <c r="Z116" s="62">
        <f t="shared" si="15"/>
        <v>52</v>
      </c>
      <c r="AA116" s="62">
        <f t="shared" si="15"/>
        <v>53</v>
      </c>
      <c r="AB116" s="62">
        <f t="shared" si="15"/>
        <v>58</v>
      </c>
      <c r="AC116" s="62">
        <f t="shared" si="15"/>
        <v>49</v>
      </c>
      <c r="AD116" s="62">
        <f t="shared" si="15"/>
        <v>42</v>
      </c>
      <c r="AE116" s="62">
        <f t="shared" si="15"/>
        <v>47</v>
      </c>
      <c r="AF116" s="221">
        <f t="shared" si="15"/>
        <v>81</v>
      </c>
      <c r="AG116" s="15">
        <f t="shared" si="2"/>
        <v>1549</v>
      </c>
    </row>
    <row r="117" spans="1:33" ht="15.75" customHeight="1" x14ac:dyDescent="0.25">
      <c r="A117" s="73" t="s">
        <v>78</v>
      </c>
      <c r="B117" s="13">
        <v>33</v>
      </c>
      <c r="C117" s="14">
        <v>36</v>
      </c>
      <c r="D117" s="14">
        <v>52</v>
      </c>
      <c r="E117" s="14">
        <v>33</v>
      </c>
      <c r="F117" s="14">
        <v>35</v>
      </c>
      <c r="G117" s="14">
        <v>54</v>
      </c>
      <c r="H117" s="14">
        <v>32</v>
      </c>
      <c r="I117" s="14">
        <v>24</v>
      </c>
      <c r="J117" s="14">
        <v>16</v>
      </c>
      <c r="K117" s="14">
        <v>60</v>
      </c>
      <c r="L117" s="14">
        <v>48</v>
      </c>
      <c r="M117" s="14">
        <v>39</v>
      </c>
      <c r="N117" s="14">
        <v>31</v>
      </c>
      <c r="O117" s="14">
        <v>35</v>
      </c>
      <c r="P117" s="14">
        <v>29</v>
      </c>
      <c r="Q117" s="14">
        <v>34</v>
      </c>
      <c r="R117" s="14">
        <v>52</v>
      </c>
      <c r="S117" s="14">
        <v>47</v>
      </c>
      <c r="T117" s="14">
        <v>38</v>
      </c>
      <c r="U117" s="14">
        <v>47</v>
      </c>
      <c r="V117" s="14">
        <v>41</v>
      </c>
      <c r="W117" s="14">
        <v>38</v>
      </c>
      <c r="X117" s="14">
        <v>31</v>
      </c>
      <c r="Y117" s="14">
        <v>46</v>
      </c>
      <c r="Z117" s="14">
        <v>43</v>
      </c>
      <c r="AA117" s="14">
        <v>44</v>
      </c>
      <c r="AB117" s="14">
        <v>46</v>
      </c>
      <c r="AC117" s="14">
        <v>35</v>
      </c>
      <c r="AD117" s="14">
        <v>31</v>
      </c>
      <c r="AE117" s="14">
        <v>36</v>
      </c>
      <c r="AF117" s="214">
        <v>62</v>
      </c>
      <c r="AG117" s="15">
        <f t="shared" si="2"/>
        <v>1228</v>
      </c>
    </row>
    <row r="118" spans="1:33" ht="19.5" hidden="1" customHeight="1" x14ac:dyDescent="0.25">
      <c r="A118" s="73" t="s">
        <v>79</v>
      </c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214"/>
      <c r="AG118" s="15">
        <f t="shared" si="2"/>
        <v>0</v>
      </c>
    </row>
    <row r="119" spans="1:33" ht="19.5" hidden="1" customHeight="1" x14ac:dyDescent="0.25">
      <c r="A119" s="73" t="s">
        <v>80</v>
      </c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214"/>
      <c r="AG119" s="15">
        <f t="shared" si="2"/>
        <v>0</v>
      </c>
    </row>
    <row r="120" spans="1:33" ht="19.5" hidden="1" customHeight="1" x14ac:dyDescent="0.25">
      <c r="A120" s="73" t="s">
        <v>81</v>
      </c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214"/>
      <c r="AG120" s="15">
        <f t="shared" si="2"/>
        <v>0</v>
      </c>
    </row>
    <row r="121" spans="1:33" ht="19.5" hidden="1" customHeight="1" x14ac:dyDescent="0.25">
      <c r="A121" s="73" t="s">
        <v>82</v>
      </c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214"/>
      <c r="AG121" s="15">
        <f t="shared" si="2"/>
        <v>0</v>
      </c>
    </row>
    <row r="122" spans="1:33" ht="19.5" hidden="1" customHeight="1" x14ac:dyDescent="0.25">
      <c r="A122" s="73" t="s">
        <v>83</v>
      </c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214"/>
      <c r="AG122" s="15">
        <f t="shared" si="2"/>
        <v>0</v>
      </c>
    </row>
    <row r="123" spans="1:33" ht="19.5" hidden="1" customHeight="1" x14ac:dyDescent="0.25">
      <c r="A123" s="73" t="s">
        <v>84</v>
      </c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214"/>
      <c r="AG123" s="15">
        <f t="shared" si="2"/>
        <v>0</v>
      </c>
    </row>
    <row r="124" spans="1:33" ht="19.5" hidden="1" customHeight="1" x14ac:dyDescent="0.25">
      <c r="A124" s="73" t="s">
        <v>85</v>
      </c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214"/>
      <c r="AG124" s="15">
        <f t="shared" si="2"/>
        <v>0</v>
      </c>
    </row>
    <row r="125" spans="1:33" ht="19.5" hidden="1" customHeight="1" x14ac:dyDescent="0.25">
      <c r="A125" s="12" t="s">
        <v>86</v>
      </c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214"/>
      <c r="AG125" s="15">
        <f t="shared" si="2"/>
        <v>0</v>
      </c>
    </row>
    <row r="126" spans="1:33" ht="19.5" hidden="1" customHeight="1" x14ac:dyDescent="0.25">
      <c r="A126" s="12" t="s">
        <v>87</v>
      </c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214"/>
      <c r="AG126" s="15">
        <f t="shared" si="2"/>
        <v>0</v>
      </c>
    </row>
    <row r="127" spans="1:33" ht="19.5" hidden="1" customHeight="1" x14ac:dyDescent="0.25">
      <c r="A127" s="12" t="s">
        <v>88</v>
      </c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214"/>
      <c r="AG127" s="15">
        <f t="shared" si="2"/>
        <v>0</v>
      </c>
    </row>
    <row r="128" spans="1:33" ht="19.5" hidden="1" customHeight="1" x14ac:dyDescent="0.25">
      <c r="A128" s="73" t="s">
        <v>89</v>
      </c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214"/>
      <c r="AG128" s="15">
        <f t="shared" si="2"/>
        <v>0</v>
      </c>
    </row>
    <row r="129" spans="1:35" ht="15.75" customHeight="1" thickBot="1" x14ac:dyDescent="0.3">
      <c r="A129" s="74" t="s">
        <v>90</v>
      </c>
      <c r="B129" s="75">
        <v>3</v>
      </c>
      <c r="C129" s="76">
        <v>7</v>
      </c>
      <c r="D129" s="76">
        <v>20</v>
      </c>
      <c r="E129" s="76">
        <v>12</v>
      </c>
      <c r="F129" s="76">
        <v>6</v>
      </c>
      <c r="G129" s="76">
        <v>10</v>
      </c>
      <c r="H129" s="76">
        <v>9</v>
      </c>
      <c r="I129" s="76">
        <v>10</v>
      </c>
      <c r="J129" s="76">
        <v>13</v>
      </c>
      <c r="K129" s="76">
        <v>16</v>
      </c>
      <c r="L129" s="76">
        <v>4</v>
      </c>
      <c r="M129" s="76">
        <v>13</v>
      </c>
      <c r="N129" s="76">
        <v>9</v>
      </c>
      <c r="O129" s="76">
        <v>12</v>
      </c>
      <c r="P129" s="76">
        <v>8</v>
      </c>
      <c r="Q129" s="76">
        <v>7</v>
      </c>
      <c r="R129" s="76">
        <v>13</v>
      </c>
      <c r="S129" s="76">
        <v>11</v>
      </c>
      <c r="T129" s="76">
        <v>15</v>
      </c>
      <c r="U129" s="76">
        <v>5</v>
      </c>
      <c r="V129" s="76">
        <v>8</v>
      </c>
      <c r="W129" s="76">
        <v>8</v>
      </c>
      <c r="X129" s="76">
        <v>5</v>
      </c>
      <c r="Y129" s="76">
        <v>12</v>
      </c>
      <c r="Z129" s="76">
        <v>9</v>
      </c>
      <c r="AA129" s="76">
        <v>9</v>
      </c>
      <c r="AB129" s="76">
        <v>12</v>
      </c>
      <c r="AC129" s="76">
        <v>14</v>
      </c>
      <c r="AD129" s="76">
        <v>11</v>
      </c>
      <c r="AE129" s="76">
        <v>11</v>
      </c>
      <c r="AF129" s="225">
        <v>19</v>
      </c>
      <c r="AG129" s="15">
        <f t="shared" si="2"/>
        <v>321</v>
      </c>
    </row>
    <row r="130" spans="1:35" ht="15.75" customHeight="1" x14ac:dyDescent="0.25">
      <c r="A130" s="60" t="s">
        <v>91</v>
      </c>
      <c r="B130" s="61">
        <f t="shared" ref="B130:AF130" si="16">SUM(B131:B143)</f>
        <v>177</v>
      </c>
      <c r="C130" s="62">
        <f t="shared" si="16"/>
        <v>148</v>
      </c>
      <c r="D130" s="62">
        <f t="shared" si="16"/>
        <v>187</v>
      </c>
      <c r="E130" s="62">
        <f t="shared" si="16"/>
        <v>145</v>
      </c>
      <c r="F130" s="62">
        <f t="shared" si="16"/>
        <v>146</v>
      </c>
      <c r="G130" s="62">
        <f t="shared" si="16"/>
        <v>163</v>
      </c>
      <c r="H130" s="62">
        <f t="shared" si="16"/>
        <v>136</v>
      </c>
      <c r="I130" s="62">
        <f t="shared" si="16"/>
        <v>160</v>
      </c>
      <c r="J130" s="62">
        <f t="shared" si="16"/>
        <v>169</v>
      </c>
      <c r="K130" s="62">
        <f t="shared" si="16"/>
        <v>171</v>
      </c>
      <c r="L130" s="62">
        <f t="shared" si="16"/>
        <v>153</v>
      </c>
      <c r="M130" s="62">
        <f t="shared" si="16"/>
        <v>156</v>
      </c>
      <c r="N130" s="62">
        <f t="shared" si="16"/>
        <v>156</v>
      </c>
      <c r="O130" s="62">
        <f t="shared" si="16"/>
        <v>143</v>
      </c>
      <c r="P130" s="62">
        <f t="shared" si="16"/>
        <v>173</v>
      </c>
      <c r="Q130" s="62">
        <f t="shared" si="16"/>
        <v>141</v>
      </c>
      <c r="R130" s="62">
        <f t="shared" si="16"/>
        <v>177</v>
      </c>
      <c r="S130" s="62">
        <f t="shared" si="16"/>
        <v>186</v>
      </c>
      <c r="T130" s="62">
        <f t="shared" si="16"/>
        <v>185</v>
      </c>
      <c r="U130" s="62">
        <f t="shared" si="16"/>
        <v>152</v>
      </c>
      <c r="V130" s="62">
        <f t="shared" si="16"/>
        <v>160</v>
      </c>
      <c r="W130" s="62">
        <f t="shared" si="16"/>
        <v>156</v>
      </c>
      <c r="X130" s="62">
        <f t="shared" si="16"/>
        <v>163</v>
      </c>
      <c r="Y130" s="62">
        <f t="shared" si="16"/>
        <v>182</v>
      </c>
      <c r="Z130" s="62">
        <f t="shared" si="16"/>
        <v>181</v>
      </c>
      <c r="AA130" s="62">
        <f t="shared" si="16"/>
        <v>166</v>
      </c>
      <c r="AB130" s="62">
        <f t="shared" si="16"/>
        <v>188</v>
      </c>
      <c r="AC130" s="62">
        <f t="shared" si="16"/>
        <v>182</v>
      </c>
      <c r="AD130" s="62">
        <f t="shared" si="16"/>
        <v>153</v>
      </c>
      <c r="AE130" s="62">
        <f t="shared" si="16"/>
        <v>184</v>
      </c>
      <c r="AF130" s="221">
        <f t="shared" si="16"/>
        <v>199</v>
      </c>
      <c r="AG130" s="22">
        <f t="shared" si="2"/>
        <v>5138</v>
      </c>
      <c r="AH130" s="77" t="str">
        <f>IF(AG130&lt;&gt;AG93,"*","")</f>
        <v/>
      </c>
    </row>
    <row r="131" spans="1:35" ht="15.75" customHeight="1" x14ac:dyDescent="0.25">
      <c r="A131" s="73" t="s">
        <v>78</v>
      </c>
      <c r="B131" s="13">
        <v>33</v>
      </c>
      <c r="C131" s="14">
        <v>35</v>
      </c>
      <c r="D131" s="14">
        <v>50</v>
      </c>
      <c r="E131" s="14">
        <v>33</v>
      </c>
      <c r="F131" s="14">
        <v>33</v>
      </c>
      <c r="G131" s="14">
        <v>49</v>
      </c>
      <c r="H131" s="14">
        <v>28</v>
      </c>
      <c r="I131" s="14">
        <v>23</v>
      </c>
      <c r="J131" s="14">
        <v>16</v>
      </c>
      <c r="K131" s="14">
        <v>49</v>
      </c>
      <c r="L131" s="14">
        <v>46</v>
      </c>
      <c r="M131" s="14">
        <v>34</v>
      </c>
      <c r="N131" s="14">
        <v>30</v>
      </c>
      <c r="O131" s="14">
        <v>32</v>
      </c>
      <c r="P131" s="14">
        <v>29</v>
      </c>
      <c r="Q131" s="14">
        <v>34</v>
      </c>
      <c r="R131" s="14">
        <v>33</v>
      </c>
      <c r="S131" s="14">
        <v>44</v>
      </c>
      <c r="T131" s="14">
        <v>37</v>
      </c>
      <c r="U131" s="14">
        <v>37</v>
      </c>
      <c r="V131" s="14">
        <v>38</v>
      </c>
      <c r="W131" s="14">
        <v>36</v>
      </c>
      <c r="X131" s="14">
        <v>28</v>
      </c>
      <c r="Y131" s="14">
        <v>44</v>
      </c>
      <c r="Z131" s="14">
        <v>41</v>
      </c>
      <c r="AA131" s="14">
        <v>42</v>
      </c>
      <c r="AB131" s="14">
        <v>39</v>
      </c>
      <c r="AC131" s="14">
        <v>34</v>
      </c>
      <c r="AD131" s="14">
        <v>31</v>
      </c>
      <c r="AE131" s="14">
        <v>34</v>
      </c>
      <c r="AF131" s="214">
        <v>42</v>
      </c>
      <c r="AG131" s="15">
        <f t="shared" si="2"/>
        <v>1114</v>
      </c>
    </row>
    <row r="132" spans="1:35" ht="15.75" customHeight="1" x14ac:dyDescent="0.25">
      <c r="A132" s="73" t="s">
        <v>79</v>
      </c>
      <c r="B132" s="13">
        <v>3</v>
      </c>
      <c r="C132" s="14">
        <v>9</v>
      </c>
      <c r="D132" s="14">
        <v>5</v>
      </c>
      <c r="E132" s="14">
        <v>5</v>
      </c>
      <c r="F132" s="14">
        <v>3</v>
      </c>
      <c r="G132" s="14">
        <v>10</v>
      </c>
      <c r="H132" s="14">
        <v>9</v>
      </c>
      <c r="I132" s="14">
        <v>12</v>
      </c>
      <c r="J132" s="14">
        <v>4</v>
      </c>
      <c r="K132" s="14">
        <v>11</v>
      </c>
      <c r="L132" s="14">
        <v>5</v>
      </c>
      <c r="M132" s="14">
        <v>10</v>
      </c>
      <c r="N132" s="14">
        <v>4</v>
      </c>
      <c r="O132" s="14">
        <v>7</v>
      </c>
      <c r="P132" s="14">
        <v>8</v>
      </c>
      <c r="Q132" s="14">
        <v>5</v>
      </c>
      <c r="R132" s="14">
        <v>11</v>
      </c>
      <c r="S132" s="14">
        <v>5</v>
      </c>
      <c r="T132" s="14">
        <v>7</v>
      </c>
      <c r="U132" s="14">
        <v>9</v>
      </c>
      <c r="V132" s="14">
        <v>7</v>
      </c>
      <c r="W132" s="14">
        <v>3</v>
      </c>
      <c r="X132" s="14">
        <v>13</v>
      </c>
      <c r="Y132" s="14">
        <v>5</v>
      </c>
      <c r="Z132" s="14">
        <v>8</v>
      </c>
      <c r="AA132" s="14">
        <v>4</v>
      </c>
      <c r="AB132" s="14">
        <v>16</v>
      </c>
      <c r="AC132" s="14">
        <v>8</v>
      </c>
      <c r="AD132" s="14">
        <v>6</v>
      </c>
      <c r="AE132" s="14">
        <v>10</v>
      </c>
      <c r="AF132" s="214">
        <v>18</v>
      </c>
      <c r="AG132" s="15">
        <f t="shared" si="2"/>
        <v>240</v>
      </c>
    </row>
    <row r="133" spans="1:35" ht="15.75" customHeight="1" x14ac:dyDescent="0.25">
      <c r="A133" s="73" t="s">
        <v>80</v>
      </c>
      <c r="B133" s="13">
        <v>9</v>
      </c>
      <c r="C133" s="14">
        <v>6</v>
      </c>
      <c r="D133" s="14">
        <v>6</v>
      </c>
      <c r="E133" s="14">
        <v>5</v>
      </c>
      <c r="F133" s="14">
        <v>7</v>
      </c>
      <c r="G133" s="14">
        <v>9</v>
      </c>
      <c r="H133" s="14">
        <v>4</v>
      </c>
      <c r="I133" s="14">
        <v>9</v>
      </c>
      <c r="J133" s="14">
        <v>4</v>
      </c>
      <c r="K133" s="14">
        <v>8</v>
      </c>
      <c r="L133" s="14">
        <v>11</v>
      </c>
      <c r="M133" s="14">
        <v>7</v>
      </c>
      <c r="N133" s="14">
        <v>5</v>
      </c>
      <c r="O133" s="14">
        <v>1</v>
      </c>
      <c r="P133" s="14">
        <v>0</v>
      </c>
      <c r="Q133" s="14">
        <v>3</v>
      </c>
      <c r="R133" s="14">
        <v>10</v>
      </c>
      <c r="S133" s="14">
        <v>9</v>
      </c>
      <c r="T133" s="14">
        <v>4</v>
      </c>
      <c r="U133" s="14">
        <v>8</v>
      </c>
      <c r="V133" s="14">
        <v>7</v>
      </c>
      <c r="W133" s="14">
        <v>10</v>
      </c>
      <c r="X133" s="14">
        <v>12</v>
      </c>
      <c r="Y133" s="14">
        <v>5</v>
      </c>
      <c r="Z133" s="14">
        <v>9</v>
      </c>
      <c r="AA133" s="14">
        <v>5</v>
      </c>
      <c r="AB133" s="14">
        <v>12</v>
      </c>
      <c r="AC133" s="14">
        <v>5</v>
      </c>
      <c r="AD133" s="14">
        <v>12</v>
      </c>
      <c r="AE133" s="14">
        <v>12</v>
      </c>
      <c r="AF133" s="214">
        <v>7</v>
      </c>
      <c r="AG133" s="15">
        <f t="shared" si="2"/>
        <v>221</v>
      </c>
    </row>
    <row r="134" spans="1:35" ht="15.75" customHeight="1" x14ac:dyDescent="0.25">
      <c r="A134" s="73" t="s">
        <v>81</v>
      </c>
      <c r="B134" s="13">
        <v>7</v>
      </c>
      <c r="C134" s="14">
        <v>10</v>
      </c>
      <c r="D134" s="14">
        <v>8</v>
      </c>
      <c r="E134" s="14">
        <v>3</v>
      </c>
      <c r="F134" s="14">
        <v>6</v>
      </c>
      <c r="G134" s="14">
        <v>12</v>
      </c>
      <c r="H134" s="14">
        <v>4</v>
      </c>
      <c r="I134" s="14">
        <v>8</v>
      </c>
      <c r="J134" s="14">
        <v>7</v>
      </c>
      <c r="K134" s="14">
        <v>6</v>
      </c>
      <c r="L134" s="14">
        <v>9</v>
      </c>
      <c r="M134" s="14">
        <v>5</v>
      </c>
      <c r="N134" s="14">
        <v>7</v>
      </c>
      <c r="O134" s="14">
        <v>11</v>
      </c>
      <c r="P134" s="14">
        <v>7</v>
      </c>
      <c r="Q134" s="14">
        <v>8</v>
      </c>
      <c r="R134" s="14">
        <v>7</v>
      </c>
      <c r="S134" s="14">
        <v>13</v>
      </c>
      <c r="T134" s="14">
        <v>10</v>
      </c>
      <c r="U134" s="14">
        <v>7</v>
      </c>
      <c r="V134" s="14">
        <v>7</v>
      </c>
      <c r="W134" s="14">
        <v>11</v>
      </c>
      <c r="X134" s="14">
        <v>5</v>
      </c>
      <c r="Y134" s="14">
        <v>9</v>
      </c>
      <c r="Z134" s="14">
        <v>9</v>
      </c>
      <c r="AA134" s="14">
        <v>11</v>
      </c>
      <c r="AB134" s="14">
        <v>6</v>
      </c>
      <c r="AC134" s="14">
        <v>11</v>
      </c>
      <c r="AD134" s="14">
        <v>6</v>
      </c>
      <c r="AE134" s="14">
        <v>7</v>
      </c>
      <c r="AF134" s="214">
        <v>13</v>
      </c>
      <c r="AG134" s="15">
        <f t="shared" si="2"/>
        <v>250</v>
      </c>
    </row>
    <row r="135" spans="1:35" ht="15.75" customHeight="1" x14ac:dyDescent="0.25">
      <c r="A135" s="73" t="s">
        <v>82</v>
      </c>
      <c r="B135" s="13">
        <v>7</v>
      </c>
      <c r="C135" s="14">
        <v>5</v>
      </c>
      <c r="D135" s="14">
        <v>7</v>
      </c>
      <c r="E135" s="14">
        <v>8</v>
      </c>
      <c r="F135" s="14">
        <v>6</v>
      </c>
      <c r="G135" s="14">
        <v>8</v>
      </c>
      <c r="H135" s="14">
        <v>7</v>
      </c>
      <c r="I135" s="14">
        <v>12</v>
      </c>
      <c r="J135" s="14">
        <v>7</v>
      </c>
      <c r="K135" s="14">
        <v>4</v>
      </c>
      <c r="L135" s="14">
        <v>8</v>
      </c>
      <c r="M135" s="14">
        <v>4</v>
      </c>
      <c r="N135" s="14">
        <v>12</v>
      </c>
      <c r="O135" s="14">
        <v>10</v>
      </c>
      <c r="P135" s="14">
        <v>7</v>
      </c>
      <c r="Q135" s="14">
        <v>6</v>
      </c>
      <c r="R135" s="14">
        <v>12</v>
      </c>
      <c r="S135" s="14">
        <v>16</v>
      </c>
      <c r="T135" s="14">
        <v>9</v>
      </c>
      <c r="U135" s="14">
        <v>5</v>
      </c>
      <c r="V135" s="14">
        <v>3</v>
      </c>
      <c r="W135" s="14">
        <v>6</v>
      </c>
      <c r="X135" s="14">
        <v>11</v>
      </c>
      <c r="Y135" s="14">
        <v>7</v>
      </c>
      <c r="Z135" s="14">
        <v>12</v>
      </c>
      <c r="AA135" s="14">
        <v>9</v>
      </c>
      <c r="AB135" s="14">
        <v>13</v>
      </c>
      <c r="AC135" s="14">
        <v>13</v>
      </c>
      <c r="AD135" s="14">
        <v>8</v>
      </c>
      <c r="AE135" s="14">
        <v>10</v>
      </c>
      <c r="AF135" s="214">
        <v>13</v>
      </c>
      <c r="AG135" s="15">
        <f t="shared" si="2"/>
        <v>265</v>
      </c>
    </row>
    <row r="136" spans="1:35" ht="15.75" customHeight="1" x14ac:dyDescent="0.25">
      <c r="A136" s="73" t="s">
        <v>83</v>
      </c>
      <c r="B136" s="13">
        <v>91</v>
      </c>
      <c r="C136" s="14">
        <v>66</v>
      </c>
      <c r="D136" s="14">
        <v>77</v>
      </c>
      <c r="E136" s="14">
        <v>64</v>
      </c>
      <c r="F136" s="14">
        <v>67</v>
      </c>
      <c r="G136" s="14">
        <v>56</v>
      </c>
      <c r="H136" s="14">
        <v>63</v>
      </c>
      <c r="I136" s="14">
        <v>72</v>
      </c>
      <c r="J136" s="14">
        <v>114</v>
      </c>
      <c r="K136" s="14">
        <v>63</v>
      </c>
      <c r="L136" s="14">
        <v>58</v>
      </c>
      <c r="M136" s="14">
        <v>67</v>
      </c>
      <c r="N136" s="14">
        <v>75</v>
      </c>
      <c r="O136" s="14">
        <v>54</v>
      </c>
      <c r="P136" s="14">
        <v>99</v>
      </c>
      <c r="Q136" s="14">
        <v>68</v>
      </c>
      <c r="R136" s="14">
        <v>76</v>
      </c>
      <c r="S136" s="14">
        <v>74</v>
      </c>
      <c r="T136" s="14">
        <v>94</v>
      </c>
      <c r="U136" s="14">
        <v>69</v>
      </c>
      <c r="V136" s="14">
        <v>72</v>
      </c>
      <c r="W136" s="14">
        <v>73</v>
      </c>
      <c r="X136" s="14">
        <v>77</v>
      </c>
      <c r="Y136" s="14">
        <v>79</v>
      </c>
      <c r="Z136" s="14">
        <v>87</v>
      </c>
      <c r="AA136" s="14">
        <v>70</v>
      </c>
      <c r="AB136" s="14">
        <v>74</v>
      </c>
      <c r="AC136" s="14">
        <v>84</v>
      </c>
      <c r="AD136" s="14">
        <v>65</v>
      </c>
      <c r="AE136" s="14">
        <v>87</v>
      </c>
      <c r="AF136" s="214">
        <v>69</v>
      </c>
      <c r="AG136" s="15">
        <f t="shared" si="2"/>
        <v>2304</v>
      </c>
    </row>
    <row r="137" spans="1:35" ht="15.75" customHeight="1" x14ac:dyDescent="0.25">
      <c r="A137" s="73" t="s">
        <v>84</v>
      </c>
      <c r="B137" s="13">
        <v>7</v>
      </c>
      <c r="C137" s="14">
        <v>2</v>
      </c>
      <c r="D137" s="14">
        <v>3</v>
      </c>
      <c r="E137" s="14">
        <v>3</v>
      </c>
      <c r="F137" s="14">
        <v>5</v>
      </c>
      <c r="G137" s="14">
        <v>2</v>
      </c>
      <c r="H137" s="14">
        <v>2</v>
      </c>
      <c r="I137" s="14">
        <v>1</v>
      </c>
      <c r="J137" s="14">
        <v>0</v>
      </c>
      <c r="K137" s="14">
        <v>2</v>
      </c>
      <c r="L137" s="14">
        <v>7</v>
      </c>
      <c r="M137" s="14">
        <v>5</v>
      </c>
      <c r="N137" s="14">
        <v>4</v>
      </c>
      <c r="O137" s="14">
        <v>4</v>
      </c>
      <c r="P137" s="14">
        <v>1</v>
      </c>
      <c r="Q137" s="14">
        <v>0</v>
      </c>
      <c r="R137" s="14">
        <v>4</v>
      </c>
      <c r="S137" s="14">
        <v>1</v>
      </c>
      <c r="T137" s="14">
        <v>3</v>
      </c>
      <c r="U137" s="14">
        <v>2</v>
      </c>
      <c r="V137" s="14">
        <v>6</v>
      </c>
      <c r="W137" s="14">
        <v>2</v>
      </c>
      <c r="X137" s="14">
        <v>2</v>
      </c>
      <c r="Y137" s="14">
        <v>1</v>
      </c>
      <c r="Z137" s="14">
        <v>3</v>
      </c>
      <c r="AA137" s="14">
        <v>5</v>
      </c>
      <c r="AB137" s="14">
        <v>2</v>
      </c>
      <c r="AC137" s="14">
        <v>1</v>
      </c>
      <c r="AD137" s="14">
        <v>2</v>
      </c>
      <c r="AE137" s="14">
        <v>1</v>
      </c>
      <c r="AF137" s="214">
        <v>9</v>
      </c>
      <c r="AG137" s="15">
        <f t="shared" si="2"/>
        <v>92</v>
      </c>
    </row>
    <row r="138" spans="1:35" ht="15.75" customHeight="1" x14ac:dyDescent="0.25">
      <c r="A138" s="73" t="s">
        <v>85</v>
      </c>
      <c r="B138" s="13">
        <v>2</v>
      </c>
      <c r="C138" s="14">
        <v>1</v>
      </c>
      <c r="D138" s="14">
        <v>1</v>
      </c>
      <c r="E138" s="14">
        <v>4</v>
      </c>
      <c r="F138" s="14">
        <v>2</v>
      </c>
      <c r="G138" s="14">
        <v>1</v>
      </c>
      <c r="H138" s="14">
        <v>1</v>
      </c>
      <c r="I138" s="14">
        <v>0</v>
      </c>
      <c r="J138" s="14">
        <v>0</v>
      </c>
      <c r="K138" s="14">
        <v>2</v>
      </c>
      <c r="L138" s="14">
        <v>0</v>
      </c>
      <c r="M138" s="14">
        <v>0</v>
      </c>
      <c r="N138" s="14">
        <v>1</v>
      </c>
      <c r="O138" s="14">
        <v>1</v>
      </c>
      <c r="P138" s="14">
        <v>0</v>
      </c>
      <c r="Q138" s="14">
        <v>1</v>
      </c>
      <c r="R138" s="14">
        <v>2</v>
      </c>
      <c r="S138" s="14">
        <v>1</v>
      </c>
      <c r="T138" s="14">
        <v>1</v>
      </c>
      <c r="U138" s="14">
        <v>2</v>
      </c>
      <c r="V138" s="14">
        <v>3</v>
      </c>
      <c r="W138" s="14">
        <v>1</v>
      </c>
      <c r="X138" s="14">
        <v>1</v>
      </c>
      <c r="Y138" s="14">
        <v>3</v>
      </c>
      <c r="Z138" s="14">
        <v>1</v>
      </c>
      <c r="AA138" s="14">
        <v>3</v>
      </c>
      <c r="AB138" s="14">
        <v>5</v>
      </c>
      <c r="AC138" s="14">
        <v>2</v>
      </c>
      <c r="AD138" s="14">
        <v>3</v>
      </c>
      <c r="AE138" s="14">
        <v>1</v>
      </c>
      <c r="AF138" s="214">
        <v>4</v>
      </c>
      <c r="AG138" s="15">
        <f t="shared" si="2"/>
        <v>50</v>
      </c>
    </row>
    <row r="139" spans="1:35" ht="15.75" customHeight="1" x14ac:dyDescent="0.25">
      <c r="A139" s="12" t="s">
        <v>86</v>
      </c>
      <c r="B139" s="13">
        <v>3</v>
      </c>
      <c r="C139" s="14">
        <v>2</v>
      </c>
      <c r="D139" s="14">
        <v>1</v>
      </c>
      <c r="E139" s="14"/>
      <c r="F139" s="14">
        <v>3</v>
      </c>
      <c r="G139" s="14">
        <v>2</v>
      </c>
      <c r="H139" s="14">
        <v>2</v>
      </c>
      <c r="I139" s="14">
        <v>3</v>
      </c>
      <c r="J139" s="14">
        <v>0</v>
      </c>
      <c r="K139" s="14">
        <v>4</v>
      </c>
      <c r="L139" s="14">
        <v>1</v>
      </c>
      <c r="M139" s="14">
        <v>1</v>
      </c>
      <c r="N139" s="14">
        <v>2</v>
      </c>
      <c r="O139" s="14">
        <v>3</v>
      </c>
      <c r="P139" s="14">
        <v>6</v>
      </c>
      <c r="Q139" s="14">
        <v>5</v>
      </c>
      <c r="R139" s="14">
        <v>1</v>
      </c>
      <c r="S139" s="14">
        <v>2</v>
      </c>
      <c r="T139" s="14">
        <v>3</v>
      </c>
      <c r="U139" s="14">
        <v>3</v>
      </c>
      <c r="V139" s="14">
        <v>2</v>
      </c>
      <c r="W139" s="14">
        <v>0</v>
      </c>
      <c r="X139" s="14">
        <v>2</v>
      </c>
      <c r="Y139" s="14">
        <v>2</v>
      </c>
      <c r="Z139" s="14">
        <v>0</v>
      </c>
      <c r="AA139" s="14">
        <v>4</v>
      </c>
      <c r="AB139" s="14">
        <v>1</v>
      </c>
      <c r="AC139" s="14">
        <v>2</v>
      </c>
      <c r="AD139" s="14">
        <v>2</v>
      </c>
      <c r="AE139" s="14">
        <v>0</v>
      </c>
      <c r="AF139" s="214">
        <v>0</v>
      </c>
      <c r="AG139" s="15">
        <f t="shared" si="2"/>
        <v>62</v>
      </c>
    </row>
    <row r="140" spans="1:35" ht="15.75" customHeight="1" x14ac:dyDescent="0.25">
      <c r="A140" s="12" t="s">
        <v>87</v>
      </c>
      <c r="B140" s="13">
        <v>2</v>
      </c>
      <c r="C140" s="14">
        <v>1</v>
      </c>
      <c r="D140" s="14">
        <v>1</v>
      </c>
      <c r="E140" s="14">
        <v>2</v>
      </c>
      <c r="F140" s="14">
        <v>3</v>
      </c>
      <c r="G140" s="14">
        <v>2</v>
      </c>
      <c r="H140" s="14">
        <v>2</v>
      </c>
      <c r="I140" s="14">
        <v>0</v>
      </c>
      <c r="J140" s="14">
        <v>0</v>
      </c>
      <c r="K140" s="14">
        <v>2</v>
      </c>
      <c r="L140" s="14">
        <v>0</v>
      </c>
      <c r="M140" s="14">
        <v>1</v>
      </c>
      <c r="N140" s="14">
        <v>2</v>
      </c>
      <c r="O140" s="14">
        <v>0</v>
      </c>
      <c r="P140" s="14">
        <v>3</v>
      </c>
      <c r="Q140" s="14">
        <v>0</v>
      </c>
      <c r="R140" s="14">
        <v>3</v>
      </c>
      <c r="S140" s="14">
        <v>1</v>
      </c>
      <c r="T140" s="14">
        <v>0</v>
      </c>
      <c r="U140" s="14">
        <v>1</v>
      </c>
      <c r="V140" s="14">
        <v>2</v>
      </c>
      <c r="W140" s="14">
        <v>3</v>
      </c>
      <c r="X140" s="14">
        <v>2</v>
      </c>
      <c r="Y140" s="14">
        <v>2</v>
      </c>
      <c r="Z140" s="14">
        <v>1</v>
      </c>
      <c r="AA140" s="14">
        <v>0</v>
      </c>
      <c r="AB140" s="14">
        <v>0</v>
      </c>
      <c r="AC140" s="14">
        <v>0</v>
      </c>
      <c r="AD140" s="14">
        <v>4</v>
      </c>
      <c r="AE140" s="14">
        <v>3</v>
      </c>
      <c r="AF140" s="214">
        <v>1</v>
      </c>
      <c r="AG140" s="15">
        <f t="shared" si="2"/>
        <v>44</v>
      </c>
    </row>
    <row r="141" spans="1:35" ht="15.75" customHeight="1" x14ac:dyDescent="0.25">
      <c r="A141" s="12" t="s">
        <v>88</v>
      </c>
      <c r="B141" s="13">
        <v>1</v>
      </c>
      <c r="C141" s="14">
        <v>0</v>
      </c>
      <c r="D141" s="14">
        <v>2</v>
      </c>
      <c r="E141" s="14"/>
      <c r="F141" s="14">
        <v>0</v>
      </c>
      <c r="G141" s="14">
        <v>2</v>
      </c>
      <c r="H141" s="14">
        <v>0</v>
      </c>
      <c r="I141" s="14">
        <v>0</v>
      </c>
      <c r="J141" s="14">
        <v>0</v>
      </c>
      <c r="K141" s="14">
        <v>0</v>
      </c>
      <c r="L141" s="14">
        <v>1</v>
      </c>
      <c r="M141" s="14">
        <v>0</v>
      </c>
      <c r="N141" s="14">
        <v>0</v>
      </c>
      <c r="O141" s="14">
        <v>0</v>
      </c>
      <c r="P141" s="14">
        <v>1</v>
      </c>
      <c r="Q141" s="14">
        <v>1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1</v>
      </c>
      <c r="Y141" s="14">
        <v>0</v>
      </c>
      <c r="Z141" s="14">
        <v>0</v>
      </c>
      <c r="AA141" s="14">
        <v>2</v>
      </c>
      <c r="AB141" s="14">
        <v>2</v>
      </c>
      <c r="AC141" s="14">
        <v>0</v>
      </c>
      <c r="AD141" s="14">
        <v>0</v>
      </c>
      <c r="AE141" s="14">
        <v>2</v>
      </c>
      <c r="AF141" s="214">
        <v>2</v>
      </c>
      <c r="AG141" s="15">
        <f t="shared" si="2"/>
        <v>17</v>
      </c>
    </row>
    <row r="142" spans="1:35" ht="15.75" customHeight="1" x14ac:dyDescent="0.25">
      <c r="A142" s="73" t="s">
        <v>89</v>
      </c>
      <c r="B142" s="13">
        <v>9</v>
      </c>
      <c r="C142" s="14">
        <v>4</v>
      </c>
      <c r="D142" s="14">
        <v>7</v>
      </c>
      <c r="E142" s="14">
        <v>7</v>
      </c>
      <c r="F142" s="14">
        <v>5</v>
      </c>
      <c r="G142" s="14">
        <v>3</v>
      </c>
      <c r="H142" s="14">
        <v>5</v>
      </c>
      <c r="I142" s="14">
        <v>11</v>
      </c>
      <c r="J142" s="14">
        <v>4</v>
      </c>
      <c r="K142" s="14">
        <v>5</v>
      </c>
      <c r="L142" s="14">
        <v>3</v>
      </c>
      <c r="M142" s="14">
        <v>11</v>
      </c>
      <c r="N142" s="14">
        <v>5</v>
      </c>
      <c r="O142" s="14">
        <v>10</v>
      </c>
      <c r="P142" s="14">
        <v>4</v>
      </c>
      <c r="Q142" s="14">
        <v>3</v>
      </c>
      <c r="R142" s="14">
        <v>11</v>
      </c>
      <c r="S142" s="14">
        <v>10</v>
      </c>
      <c r="T142" s="14">
        <v>5</v>
      </c>
      <c r="U142" s="14">
        <v>6</v>
      </c>
      <c r="V142" s="14">
        <v>6</v>
      </c>
      <c r="W142" s="14">
        <v>4</v>
      </c>
      <c r="X142" s="14">
        <v>4</v>
      </c>
      <c r="Y142" s="14">
        <v>14</v>
      </c>
      <c r="Z142" s="14">
        <v>4</v>
      </c>
      <c r="AA142" s="14">
        <v>3</v>
      </c>
      <c r="AB142" s="14">
        <v>7</v>
      </c>
      <c r="AC142" s="14">
        <v>11</v>
      </c>
      <c r="AD142" s="14">
        <v>3</v>
      </c>
      <c r="AE142" s="14">
        <v>6</v>
      </c>
      <c r="AF142" s="214">
        <v>7</v>
      </c>
      <c r="AG142" s="15">
        <f t="shared" si="2"/>
        <v>197</v>
      </c>
    </row>
    <row r="143" spans="1:35" ht="15.75" customHeight="1" thickBot="1" x14ac:dyDescent="0.3">
      <c r="A143" s="74" t="s">
        <v>90</v>
      </c>
      <c r="B143" s="75">
        <v>3</v>
      </c>
      <c r="C143" s="76">
        <v>7</v>
      </c>
      <c r="D143" s="76">
        <v>19</v>
      </c>
      <c r="E143" s="76">
        <v>11</v>
      </c>
      <c r="F143" s="76">
        <v>6</v>
      </c>
      <c r="G143" s="76">
        <v>7</v>
      </c>
      <c r="H143" s="76">
        <v>9</v>
      </c>
      <c r="I143" s="76">
        <v>9</v>
      </c>
      <c r="J143" s="76">
        <v>13</v>
      </c>
      <c r="K143" s="76">
        <v>15</v>
      </c>
      <c r="L143" s="76">
        <v>4</v>
      </c>
      <c r="M143" s="76">
        <v>11</v>
      </c>
      <c r="N143" s="76">
        <v>9</v>
      </c>
      <c r="O143" s="76">
        <v>10</v>
      </c>
      <c r="P143" s="76">
        <v>8</v>
      </c>
      <c r="Q143" s="76">
        <v>7</v>
      </c>
      <c r="R143" s="76">
        <v>7</v>
      </c>
      <c r="S143" s="76">
        <v>10</v>
      </c>
      <c r="T143" s="76">
        <v>12</v>
      </c>
      <c r="U143" s="76">
        <v>3</v>
      </c>
      <c r="V143" s="76">
        <v>7</v>
      </c>
      <c r="W143" s="76">
        <v>7</v>
      </c>
      <c r="X143" s="76">
        <v>5</v>
      </c>
      <c r="Y143" s="76">
        <v>11</v>
      </c>
      <c r="Z143" s="76">
        <v>6</v>
      </c>
      <c r="AA143" s="76">
        <v>8</v>
      </c>
      <c r="AB143" s="76">
        <v>11</v>
      </c>
      <c r="AC143" s="76">
        <v>11</v>
      </c>
      <c r="AD143" s="76">
        <v>11</v>
      </c>
      <c r="AE143" s="76">
        <v>11</v>
      </c>
      <c r="AF143" s="225">
        <v>14</v>
      </c>
      <c r="AG143" s="26">
        <f t="shared" si="2"/>
        <v>282</v>
      </c>
    </row>
    <row r="144" spans="1:35" ht="15.75" customHeight="1" thickBot="1" x14ac:dyDescent="0.3">
      <c r="A144" s="41" t="s">
        <v>92</v>
      </c>
      <c r="B144" s="42">
        <f t="shared" ref="B144:AF144" si="17">+B146+B156+B158+B167</f>
        <v>177</v>
      </c>
      <c r="C144" s="43">
        <f t="shared" si="17"/>
        <v>148</v>
      </c>
      <c r="D144" s="43">
        <f t="shared" si="17"/>
        <v>187</v>
      </c>
      <c r="E144" s="43">
        <f t="shared" si="17"/>
        <v>145</v>
      </c>
      <c r="F144" s="43">
        <f t="shared" si="17"/>
        <v>146</v>
      </c>
      <c r="G144" s="43">
        <f t="shared" si="17"/>
        <v>163</v>
      </c>
      <c r="H144" s="43">
        <f t="shared" si="17"/>
        <v>136</v>
      </c>
      <c r="I144" s="43">
        <f t="shared" si="17"/>
        <v>160</v>
      </c>
      <c r="J144" s="43">
        <f t="shared" si="17"/>
        <v>169</v>
      </c>
      <c r="K144" s="43">
        <f t="shared" si="17"/>
        <v>171</v>
      </c>
      <c r="L144" s="43">
        <f t="shared" si="17"/>
        <v>153</v>
      </c>
      <c r="M144" s="43">
        <f t="shared" si="17"/>
        <v>156</v>
      </c>
      <c r="N144" s="43">
        <f t="shared" si="17"/>
        <v>156</v>
      </c>
      <c r="O144" s="43">
        <f t="shared" si="17"/>
        <v>143</v>
      </c>
      <c r="P144" s="43">
        <f t="shared" si="17"/>
        <v>173</v>
      </c>
      <c r="Q144" s="43">
        <f t="shared" si="17"/>
        <v>141</v>
      </c>
      <c r="R144" s="43">
        <f t="shared" si="17"/>
        <v>177</v>
      </c>
      <c r="S144" s="43">
        <f t="shared" si="17"/>
        <v>186</v>
      </c>
      <c r="T144" s="43">
        <f t="shared" si="17"/>
        <v>185</v>
      </c>
      <c r="U144" s="43">
        <f t="shared" si="17"/>
        <v>152</v>
      </c>
      <c r="V144" s="43">
        <f t="shared" si="17"/>
        <v>160</v>
      </c>
      <c r="W144" s="43">
        <f t="shared" si="17"/>
        <v>156</v>
      </c>
      <c r="X144" s="43">
        <f t="shared" si="17"/>
        <v>163</v>
      </c>
      <c r="Y144" s="43">
        <f t="shared" si="17"/>
        <v>182</v>
      </c>
      <c r="Z144" s="43">
        <f t="shared" si="17"/>
        <v>181</v>
      </c>
      <c r="AA144" s="43">
        <f t="shared" si="17"/>
        <v>166</v>
      </c>
      <c r="AB144" s="43">
        <f t="shared" si="17"/>
        <v>188</v>
      </c>
      <c r="AC144" s="43">
        <f t="shared" si="17"/>
        <v>182</v>
      </c>
      <c r="AD144" s="43">
        <f t="shared" si="17"/>
        <v>153</v>
      </c>
      <c r="AE144" s="43">
        <f t="shared" si="17"/>
        <v>184</v>
      </c>
      <c r="AF144" s="43">
        <f t="shared" si="17"/>
        <v>199</v>
      </c>
      <c r="AG144" s="27">
        <f t="shared" si="2"/>
        <v>5138</v>
      </c>
      <c r="AH144" s="78" t="str">
        <f>IF(AG144&lt;&gt;AG93,"*","")</f>
        <v/>
      </c>
      <c r="AI144" s="79" t="s">
        <v>93</v>
      </c>
    </row>
    <row r="145" spans="1:35" ht="15.75" customHeight="1" thickBot="1" x14ac:dyDescent="0.3">
      <c r="A145" s="80" t="s">
        <v>44</v>
      </c>
      <c r="B145" s="81">
        <f t="shared" ref="B145:AF145" si="18">+B149+B155+B157+B172</f>
        <v>4</v>
      </c>
      <c r="C145" s="82">
        <f t="shared" si="18"/>
        <v>1</v>
      </c>
      <c r="D145" s="82">
        <f t="shared" si="18"/>
        <v>14</v>
      </c>
      <c r="E145" s="82">
        <f t="shared" si="18"/>
        <v>2</v>
      </c>
      <c r="F145" s="82">
        <f t="shared" si="18"/>
        <v>9</v>
      </c>
      <c r="G145" s="82">
        <f t="shared" si="18"/>
        <v>18</v>
      </c>
      <c r="H145" s="82">
        <f t="shared" si="18"/>
        <v>7</v>
      </c>
      <c r="I145" s="82">
        <f t="shared" si="18"/>
        <v>4</v>
      </c>
      <c r="J145" s="82">
        <f t="shared" si="18"/>
        <v>1</v>
      </c>
      <c r="K145" s="82">
        <f t="shared" si="18"/>
        <v>26</v>
      </c>
      <c r="L145" s="82">
        <f t="shared" si="18"/>
        <v>6</v>
      </c>
      <c r="M145" s="82">
        <f t="shared" si="18"/>
        <v>17</v>
      </c>
      <c r="N145" s="82">
        <f t="shared" si="18"/>
        <v>5</v>
      </c>
      <c r="O145" s="82">
        <f t="shared" si="18"/>
        <v>9</v>
      </c>
      <c r="P145" s="82">
        <f t="shared" si="18"/>
        <v>1</v>
      </c>
      <c r="Q145" s="82">
        <f t="shared" si="18"/>
        <v>1</v>
      </c>
      <c r="R145" s="82">
        <f t="shared" si="18"/>
        <v>65</v>
      </c>
      <c r="S145" s="82">
        <f t="shared" si="18"/>
        <v>14</v>
      </c>
      <c r="T145" s="82">
        <f t="shared" si="18"/>
        <v>17</v>
      </c>
      <c r="U145" s="82">
        <f t="shared" si="18"/>
        <v>39</v>
      </c>
      <c r="V145" s="82">
        <f t="shared" si="18"/>
        <v>28</v>
      </c>
      <c r="W145" s="82">
        <f t="shared" si="18"/>
        <v>9</v>
      </c>
      <c r="X145" s="82">
        <f t="shared" si="18"/>
        <v>9</v>
      </c>
      <c r="Y145" s="82">
        <f t="shared" si="18"/>
        <v>20</v>
      </c>
      <c r="Z145" s="82">
        <f t="shared" si="18"/>
        <v>20</v>
      </c>
      <c r="AA145" s="82">
        <f t="shared" si="18"/>
        <v>13</v>
      </c>
      <c r="AB145" s="82">
        <f t="shared" si="18"/>
        <v>25</v>
      </c>
      <c r="AC145" s="82">
        <f t="shared" si="18"/>
        <v>11</v>
      </c>
      <c r="AD145" s="82">
        <f t="shared" si="18"/>
        <v>0</v>
      </c>
      <c r="AE145" s="82">
        <f t="shared" si="18"/>
        <v>6</v>
      </c>
      <c r="AF145" s="226">
        <f t="shared" si="18"/>
        <v>60</v>
      </c>
      <c r="AG145" s="83">
        <f t="shared" si="2"/>
        <v>461</v>
      </c>
      <c r="AH145" s="77"/>
    </row>
    <row r="146" spans="1:35" ht="15.75" customHeight="1" thickBot="1" x14ac:dyDescent="0.3">
      <c r="A146" s="84" t="s">
        <v>94</v>
      </c>
      <c r="B146" s="85">
        <f t="shared" ref="B146:AG147" si="19">+B148+B154</f>
        <v>0</v>
      </c>
      <c r="C146" s="86">
        <f t="shared" si="19"/>
        <v>0</v>
      </c>
      <c r="D146" s="86">
        <f t="shared" si="19"/>
        <v>0</v>
      </c>
      <c r="E146" s="86">
        <f t="shared" si="19"/>
        <v>0</v>
      </c>
      <c r="F146" s="86">
        <f t="shared" si="19"/>
        <v>0</v>
      </c>
      <c r="G146" s="86">
        <f t="shared" si="19"/>
        <v>0</v>
      </c>
      <c r="H146" s="86">
        <f t="shared" si="19"/>
        <v>0</v>
      </c>
      <c r="I146" s="86">
        <f t="shared" si="19"/>
        <v>0</v>
      </c>
      <c r="J146" s="86">
        <f t="shared" si="19"/>
        <v>0</v>
      </c>
      <c r="K146" s="86">
        <f t="shared" si="19"/>
        <v>0</v>
      </c>
      <c r="L146" s="86">
        <f t="shared" si="19"/>
        <v>0</v>
      </c>
      <c r="M146" s="86">
        <f t="shared" si="19"/>
        <v>0</v>
      </c>
      <c r="N146" s="86">
        <f t="shared" si="19"/>
        <v>0</v>
      </c>
      <c r="O146" s="86">
        <f t="shared" si="19"/>
        <v>0</v>
      </c>
      <c r="P146" s="86">
        <f t="shared" si="19"/>
        <v>0</v>
      </c>
      <c r="Q146" s="86">
        <f t="shared" si="19"/>
        <v>0</v>
      </c>
      <c r="R146" s="86">
        <f t="shared" si="19"/>
        <v>0</v>
      </c>
      <c r="S146" s="86">
        <f t="shared" si="19"/>
        <v>0</v>
      </c>
      <c r="T146" s="86">
        <f t="shared" si="19"/>
        <v>0</v>
      </c>
      <c r="U146" s="86">
        <f t="shared" si="19"/>
        <v>0</v>
      </c>
      <c r="V146" s="86">
        <f t="shared" si="19"/>
        <v>0</v>
      </c>
      <c r="W146" s="86">
        <f t="shared" si="19"/>
        <v>0</v>
      </c>
      <c r="X146" s="86">
        <f t="shared" si="19"/>
        <v>0</v>
      </c>
      <c r="Y146" s="86">
        <f t="shared" si="19"/>
        <v>0</v>
      </c>
      <c r="Z146" s="86">
        <f t="shared" si="19"/>
        <v>0</v>
      </c>
      <c r="AA146" s="86">
        <f t="shared" si="19"/>
        <v>0</v>
      </c>
      <c r="AB146" s="86">
        <f t="shared" si="19"/>
        <v>0</v>
      </c>
      <c r="AC146" s="86">
        <f t="shared" si="19"/>
        <v>0</v>
      </c>
      <c r="AD146" s="86">
        <f t="shared" si="19"/>
        <v>0</v>
      </c>
      <c r="AE146" s="86">
        <f t="shared" si="19"/>
        <v>0</v>
      </c>
      <c r="AF146" s="227">
        <f t="shared" si="19"/>
        <v>0</v>
      </c>
      <c r="AG146" s="87">
        <f t="shared" si="19"/>
        <v>0</v>
      </c>
    </row>
    <row r="147" spans="1:35" ht="15.75" customHeight="1" thickBot="1" x14ac:dyDescent="0.3">
      <c r="A147" s="88" t="s">
        <v>95</v>
      </c>
      <c r="B147" s="89">
        <f t="shared" si="19"/>
        <v>0</v>
      </c>
      <c r="C147" s="90">
        <f t="shared" si="19"/>
        <v>0</v>
      </c>
      <c r="D147" s="90">
        <f t="shared" si="19"/>
        <v>0</v>
      </c>
      <c r="E147" s="90">
        <f t="shared" si="19"/>
        <v>0</v>
      </c>
      <c r="F147" s="90">
        <f t="shared" si="19"/>
        <v>0</v>
      </c>
      <c r="G147" s="90">
        <f t="shared" si="19"/>
        <v>0</v>
      </c>
      <c r="H147" s="90">
        <f t="shared" si="19"/>
        <v>0</v>
      </c>
      <c r="I147" s="90">
        <f t="shared" si="19"/>
        <v>0</v>
      </c>
      <c r="J147" s="90">
        <f t="shared" si="19"/>
        <v>0</v>
      </c>
      <c r="K147" s="90">
        <f t="shared" si="19"/>
        <v>0</v>
      </c>
      <c r="L147" s="90">
        <f t="shared" si="19"/>
        <v>0</v>
      </c>
      <c r="M147" s="90">
        <f t="shared" si="19"/>
        <v>0</v>
      </c>
      <c r="N147" s="90">
        <f t="shared" si="19"/>
        <v>0</v>
      </c>
      <c r="O147" s="90">
        <f t="shared" si="19"/>
        <v>0</v>
      </c>
      <c r="P147" s="90">
        <f t="shared" si="19"/>
        <v>0</v>
      </c>
      <c r="Q147" s="90">
        <f t="shared" si="19"/>
        <v>0</v>
      </c>
      <c r="R147" s="90">
        <f t="shared" si="19"/>
        <v>0</v>
      </c>
      <c r="S147" s="90">
        <f t="shared" si="19"/>
        <v>0</v>
      </c>
      <c r="T147" s="90">
        <f t="shared" si="19"/>
        <v>0</v>
      </c>
      <c r="U147" s="90">
        <f t="shared" si="19"/>
        <v>0</v>
      </c>
      <c r="V147" s="90">
        <f t="shared" si="19"/>
        <v>0</v>
      </c>
      <c r="W147" s="90">
        <f t="shared" si="19"/>
        <v>0</v>
      </c>
      <c r="X147" s="90">
        <f t="shared" si="19"/>
        <v>0</v>
      </c>
      <c r="Y147" s="90">
        <f t="shared" si="19"/>
        <v>0</v>
      </c>
      <c r="Z147" s="90">
        <f t="shared" si="19"/>
        <v>0</v>
      </c>
      <c r="AA147" s="90">
        <f t="shared" si="19"/>
        <v>0</v>
      </c>
      <c r="AB147" s="90">
        <f t="shared" si="19"/>
        <v>0</v>
      </c>
      <c r="AC147" s="90">
        <f t="shared" si="19"/>
        <v>0</v>
      </c>
      <c r="AD147" s="90">
        <f t="shared" si="19"/>
        <v>0</v>
      </c>
      <c r="AE147" s="90">
        <f t="shared" si="19"/>
        <v>0</v>
      </c>
      <c r="AF147" s="228"/>
      <c r="AG147" s="91">
        <f t="shared" ref="AG147:AG226" si="20">SUM(B147:AF147)</f>
        <v>0</v>
      </c>
    </row>
    <row r="148" spans="1:35" ht="15.75" customHeight="1" thickBot="1" x14ac:dyDescent="0.3">
      <c r="A148" s="92" t="s">
        <v>96</v>
      </c>
      <c r="B148" s="93">
        <f t="shared" ref="B148:AF148" si="21">SUM(B150:B153)</f>
        <v>0</v>
      </c>
      <c r="C148" s="94">
        <f t="shared" si="21"/>
        <v>0</v>
      </c>
      <c r="D148" s="94">
        <f t="shared" si="21"/>
        <v>0</v>
      </c>
      <c r="E148" s="94">
        <f t="shared" si="21"/>
        <v>0</v>
      </c>
      <c r="F148" s="94">
        <f t="shared" si="21"/>
        <v>0</v>
      </c>
      <c r="G148" s="94">
        <f t="shared" si="21"/>
        <v>0</v>
      </c>
      <c r="H148" s="94">
        <f t="shared" si="21"/>
        <v>0</v>
      </c>
      <c r="I148" s="94">
        <f t="shared" si="21"/>
        <v>0</v>
      </c>
      <c r="J148" s="94">
        <f t="shared" si="21"/>
        <v>0</v>
      </c>
      <c r="K148" s="94">
        <f t="shared" si="21"/>
        <v>0</v>
      </c>
      <c r="L148" s="94">
        <f t="shared" si="21"/>
        <v>0</v>
      </c>
      <c r="M148" s="94">
        <f t="shared" si="21"/>
        <v>0</v>
      </c>
      <c r="N148" s="94">
        <f t="shared" si="21"/>
        <v>0</v>
      </c>
      <c r="O148" s="94">
        <f t="shared" si="21"/>
        <v>0</v>
      </c>
      <c r="P148" s="94">
        <f t="shared" si="21"/>
        <v>0</v>
      </c>
      <c r="Q148" s="94">
        <f t="shared" si="21"/>
        <v>0</v>
      </c>
      <c r="R148" s="94">
        <f t="shared" si="21"/>
        <v>0</v>
      </c>
      <c r="S148" s="94">
        <f t="shared" si="21"/>
        <v>0</v>
      </c>
      <c r="T148" s="94">
        <f t="shared" si="21"/>
        <v>0</v>
      </c>
      <c r="U148" s="94">
        <f t="shared" si="21"/>
        <v>0</v>
      </c>
      <c r="V148" s="94">
        <f t="shared" si="21"/>
        <v>0</v>
      </c>
      <c r="W148" s="94">
        <f t="shared" si="21"/>
        <v>0</v>
      </c>
      <c r="X148" s="94">
        <f t="shared" si="21"/>
        <v>0</v>
      </c>
      <c r="Y148" s="94">
        <f t="shared" si="21"/>
        <v>0</v>
      </c>
      <c r="Z148" s="94">
        <f t="shared" si="21"/>
        <v>0</v>
      </c>
      <c r="AA148" s="94">
        <f t="shared" si="21"/>
        <v>0</v>
      </c>
      <c r="AB148" s="94">
        <f t="shared" si="21"/>
        <v>0</v>
      </c>
      <c r="AC148" s="94">
        <f t="shared" si="21"/>
        <v>0</v>
      </c>
      <c r="AD148" s="94">
        <f t="shared" si="21"/>
        <v>0</v>
      </c>
      <c r="AE148" s="94">
        <f t="shared" si="21"/>
        <v>0</v>
      </c>
      <c r="AF148" s="229">
        <f t="shared" si="21"/>
        <v>0</v>
      </c>
      <c r="AG148" s="95">
        <f t="shared" si="20"/>
        <v>0</v>
      </c>
    </row>
    <row r="149" spans="1:35" ht="15.75" customHeight="1" thickBot="1" x14ac:dyDescent="0.3">
      <c r="A149" s="88" t="s">
        <v>97</v>
      </c>
      <c r="B149" s="89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228"/>
      <c r="AG149" s="91">
        <f t="shared" si="20"/>
        <v>0</v>
      </c>
    </row>
    <row r="150" spans="1:35" ht="15.75" customHeight="1" x14ac:dyDescent="0.25">
      <c r="A150" s="96" t="s">
        <v>98</v>
      </c>
      <c r="B150" s="97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230"/>
      <c r="AG150" s="11">
        <f t="shared" si="20"/>
        <v>0</v>
      </c>
      <c r="AI150" s="99"/>
    </row>
    <row r="151" spans="1:35" ht="15.75" customHeight="1" x14ac:dyDescent="0.25">
      <c r="A151" s="100" t="s">
        <v>99</v>
      </c>
      <c r="B151" s="101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231"/>
      <c r="AG151" s="15">
        <f t="shared" si="20"/>
        <v>0</v>
      </c>
      <c r="AI151" s="99"/>
    </row>
    <row r="152" spans="1:35" ht="15.75" customHeight="1" x14ac:dyDescent="0.25">
      <c r="A152" s="100" t="s">
        <v>100</v>
      </c>
      <c r="B152" s="101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231"/>
      <c r="AG152" s="15">
        <f t="shared" si="20"/>
        <v>0</v>
      </c>
    </row>
    <row r="153" spans="1:35" ht="15.75" customHeight="1" thickBot="1" x14ac:dyDescent="0.3">
      <c r="A153" s="103" t="s">
        <v>101</v>
      </c>
      <c r="B153" s="104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232"/>
      <c r="AG153" s="106">
        <f t="shared" si="20"/>
        <v>0</v>
      </c>
    </row>
    <row r="154" spans="1:35" ht="15.75" customHeight="1" thickBot="1" x14ac:dyDescent="0.3">
      <c r="A154" s="92" t="s">
        <v>102</v>
      </c>
      <c r="B154" s="93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229"/>
      <c r="AG154" s="95">
        <f t="shared" si="20"/>
        <v>0</v>
      </c>
    </row>
    <row r="155" spans="1:35" ht="15.75" customHeight="1" thickBot="1" x14ac:dyDescent="0.3">
      <c r="A155" s="88" t="s">
        <v>103</v>
      </c>
      <c r="B155" s="89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228"/>
      <c r="AG155" s="91">
        <f t="shared" si="20"/>
        <v>0</v>
      </c>
    </row>
    <row r="156" spans="1:35" ht="15.75" customHeight="1" x14ac:dyDescent="0.25">
      <c r="A156" s="107" t="s">
        <v>104</v>
      </c>
      <c r="B156" s="108">
        <v>177</v>
      </c>
      <c r="C156" s="109">
        <v>148</v>
      </c>
      <c r="D156" s="109">
        <v>187</v>
      </c>
      <c r="E156" s="109">
        <v>145</v>
      </c>
      <c r="F156" s="109">
        <v>146</v>
      </c>
      <c r="G156" s="109">
        <v>163</v>
      </c>
      <c r="H156" s="109">
        <v>136</v>
      </c>
      <c r="I156" s="109">
        <v>160</v>
      </c>
      <c r="J156" s="109">
        <v>169</v>
      </c>
      <c r="K156" s="109">
        <v>171</v>
      </c>
      <c r="L156" s="109">
        <v>153</v>
      </c>
      <c r="M156" s="109">
        <v>156</v>
      </c>
      <c r="N156" s="109">
        <v>156</v>
      </c>
      <c r="O156" s="109">
        <v>143</v>
      </c>
      <c r="P156" s="109">
        <v>173</v>
      </c>
      <c r="Q156" s="109">
        <v>141</v>
      </c>
      <c r="R156" s="109">
        <v>177</v>
      </c>
      <c r="S156" s="109">
        <v>186</v>
      </c>
      <c r="T156" s="109">
        <v>185</v>
      </c>
      <c r="U156" s="109">
        <v>152</v>
      </c>
      <c r="V156" s="109">
        <v>160</v>
      </c>
      <c r="W156" s="109">
        <v>156</v>
      </c>
      <c r="X156" s="109">
        <v>163</v>
      </c>
      <c r="Y156" s="109">
        <v>182</v>
      </c>
      <c r="Z156" s="109">
        <v>181</v>
      </c>
      <c r="AA156" s="109">
        <v>166</v>
      </c>
      <c r="AB156" s="109">
        <v>188</v>
      </c>
      <c r="AC156" s="109">
        <v>182</v>
      </c>
      <c r="AD156" s="109">
        <v>153</v>
      </c>
      <c r="AE156" s="109">
        <v>184</v>
      </c>
      <c r="AF156" s="233">
        <v>199</v>
      </c>
      <c r="AG156" s="110">
        <f t="shared" si="20"/>
        <v>5138</v>
      </c>
      <c r="AH156" s="111" t="s">
        <v>105</v>
      </c>
    </row>
    <row r="157" spans="1:35" ht="15.75" customHeight="1" thickBot="1" x14ac:dyDescent="0.3">
      <c r="A157" s="74" t="s">
        <v>46</v>
      </c>
      <c r="B157" s="75">
        <v>4</v>
      </c>
      <c r="C157" s="76">
        <v>1</v>
      </c>
      <c r="D157" s="76">
        <v>14</v>
      </c>
      <c r="E157" s="76">
        <v>2</v>
      </c>
      <c r="F157" s="76">
        <v>9</v>
      </c>
      <c r="G157" s="76">
        <v>18</v>
      </c>
      <c r="H157" s="76">
        <v>7</v>
      </c>
      <c r="I157" s="76">
        <v>4</v>
      </c>
      <c r="J157" s="76">
        <v>1</v>
      </c>
      <c r="K157" s="76">
        <v>26</v>
      </c>
      <c r="L157" s="76">
        <v>6</v>
      </c>
      <c r="M157" s="76">
        <v>17</v>
      </c>
      <c r="N157" s="76">
        <v>5</v>
      </c>
      <c r="O157" s="76">
        <v>9</v>
      </c>
      <c r="P157" s="76">
        <v>1</v>
      </c>
      <c r="Q157" s="76">
        <v>1</v>
      </c>
      <c r="R157" s="76">
        <v>65</v>
      </c>
      <c r="S157" s="76">
        <v>14</v>
      </c>
      <c r="T157" s="76">
        <v>17</v>
      </c>
      <c r="U157" s="76">
        <v>39</v>
      </c>
      <c r="V157" s="76">
        <v>28</v>
      </c>
      <c r="W157" s="76">
        <v>9</v>
      </c>
      <c r="X157" s="76">
        <v>9</v>
      </c>
      <c r="Y157" s="76">
        <v>20</v>
      </c>
      <c r="Z157" s="76">
        <v>20</v>
      </c>
      <c r="AA157" s="76">
        <v>13</v>
      </c>
      <c r="AB157" s="76">
        <v>25</v>
      </c>
      <c r="AC157" s="76">
        <v>11</v>
      </c>
      <c r="AD157" s="76">
        <v>0</v>
      </c>
      <c r="AE157" s="76">
        <v>6</v>
      </c>
      <c r="AF157" s="225">
        <v>60</v>
      </c>
      <c r="AG157" s="112">
        <f t="shared" si="20"/>
        <v>461</v>
      </c>
      <c r="AH157" s="111"/>
    </row>
    <row r="158" spans="1:35" ht="15.75" customHeight="1" thickBot="1" x14ac:dyDescent="0.3">
      <c r="A158" s="113" t="s">
        <v>106</v>
      </c>
      <c r="B158" s="114">
        <f t="shared" ref="B158:AF158" si="22">SUM(B159:B166)</f>
        <v>0</v>
      </c>
      <c r="C158" s="115">
        <f t="shared" si="22"/>
        <v>0</v>
      </c>
      <c r="D158" s="115">
        <f t="shared" si="22"/>
        <v>0</v>
      </c>
      <c r="E158" s="115">
        <f t="shared" si="22"/>
        <v>0</v>
      </c>
      <c r="F158" s="115">
        <f t="shared" si="22"/>
        <v>0</v>
      </c>
      <c r="G158" s="115">
        <f t="shared" si="22"/>
        <v>0</v>
      </c>
      <c r="H158" s="115">
        <f t="shared" si="22"/>
        <v>0</v>
      </c>
      <c r="I158" s="115">
        <f t="shared" si="22"/>
        <v>0</v>
      </c>
      <c r="J158" s="115">
        <f t="shared" si="22"/>
        <v>0</v>
      </c>
      <c r="K158" s="115">
        <f t="shared" si="22"/>
        <v>0</v>
      </c>
      <c r="L158" s="115">
        <f t="shared" si="22"/>
        <v>0</v>
      </c>
      <c r="M158" s="115">
        <f t="shared" si="22"/>
        <v>0</v>
      </c>
      <c r="N158" s="115">
        <f t="shared" si="22"/>
        <v>0</v>
      </c>
      <c r="O158" s="115">
        <f t="shared" si="22"/>
        <v>0</v>
      </c>
      <c r="P158" s="115">
        <f t="shared" si="22"/>
        <v>0</v>
      </c>
      <c r="Q158" s="115">
        <f t="shared" si="22"/>
        <v>0</v>
      </c>
      <c r="R158" s="115">
        <f t="shared" si="22"/>
        <v>0</v>
      </c>
      <c r="S158" s="115">
        <f t="shared" si="22"/>
        <v>0</v>
      </c>
      <c r="T158" s="115">
        <f t="shared" si="22"/>
        <v>0</v>
      </c>
      <c r="U158" s="115">
        <f t="shared" si="22"/>
        <v>0</v>
      </c>
      <c r="V158" s="115">
        <f t="shared" si="22"/>
        <v>0</v>
      </c>
      <c r="W158" s="115">
        <f t="shared" si="22"/>
        <v>0</v>
      </c>
      <c r="X158" s="115">
        <f t="shared" si="22"/>
        <v>0</v>
      </c>
      <c r="Y158" s="115">
        <f t="shared" si="22"/>
        <v>0</v>
      </c>
      <c r="Z158" s="115">
        <f t="shared" si="22"/>
        <v>0</v>
      </c>
      <c r="AA158" s="115">
        <f t="shared" si="22"/>
        <v>0</v>
      </c>
      <c r="AB158" s="115">
        <f t="shared" si="22"/>
        <v>0</v>
      </c>
      <c r="AC158" s="115">
        <f t="shared" si="22"/>
        <v>0</v>
      </c>
      <c r="AD158" s="115">
        <f t="shared" si="22"/>
        <v>0</v>
      </c>
      <c r="AE158" s="115">
        <f t="shared" si="22"/>
        <v>0</v>
      </c>
      <c r="AF158" s="234">
        <f t="shared" si="22"/>
        <v>0</v>
      </c>
      <c r="AG158" s="116">
        <f t="shared" si="20"/>
        <v>0</v>
      </c>
    </row>
    <row r="159" spans="1:35" ht="15.75" customHeight="1" x14ac:dyDescent="0.25">
      <c r="A159" s="96" t="s">
        <v>79</v>
      </c>
      <c r="B159" s="97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230"/>
      <c r="AG159" s="11">
        <f t="shared" si="20"/>
        <v>0</v>
      </c>
    </row>
    <row r="160" spans="1:35" ht="15.75" customHeight="1" x14ac:dyDescent="0.25">
      <c r="A160" s="100" t="s">
        <v>80</v>
      </c>
      <c r="B160" s="101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231"/>
      <c r="AG160" s="15">
        <f t="shared" si="20"/>
        <v>0</v>
      </c>
    </row>
    <row r="161" spans="1:34" ht="15.75" customHeight="1" x14ac:dyDescent="0.25">
      <c r="A161" s="100" t="s">
        <v>78</v>
      </c>
      <c r="B161" s="101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231"/>
      <c r="AG161" s="15">
        <f t="shared" si="20"/>
        <v>0</v>
      </c>
    </row>
    <row r="162" spans="1:34" ht="15.75" customHeight="1" x14ac:dyDescent="0.25">
      <c r="A162" s="100" t="s">
        <v>81</v>
      </c>
      <c r="B162" s="101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231"/>
      <c r="AG162" s="15">
        <f t="shared" si="20"/>
        <v>0</v>
      </c>
    </row>
    <row r="163" spans="1:34" ht="15.75" customHeight="1" x14ac:dyDescent="0.25">
      <c r="A163" s="100" t="s">
        <v>82</v>
      </c>
      <c r="B163" s="101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231"/>
      <c r="AG163" s="15">
        <f t="shared" si="20"/>
        <v>0</v>
      </c>
    </row>
    <row r="164" spans="1:34" ht="15.75" customHeight="1" x14ac:dyDescent="0.25">
      <c r="A164" s="100" t="s">
        <v>83</v>
      </c>
      <c r="B164" s="101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231"/>
      <c r="AG164" s="15">
        <f t="shared" si="20"/>
        <v>0</v>
      </c>
    </row>
    <row r="165" spans="1:34" ht="15.75" customHeight="1" x14ac:dyDescent="0.25">
      <c r="A165" s="100" t="s">
        <v>84</v>
      </c>
      <c r="B165" s="101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231"/>
      <c r="AG165" s="15">
        <f t="shared" si="20"/>
        <v>0</v>
      </c>
    </row>
    <row r="166" spans="1:34" ht="15.75" customHeight="1" thickBot="1" x14ac:dyDescent="0.3">
      <c r="A166" s="103" t="s">
        <v>85</v>
      </c>
      <c r="B166" s="104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232"/>
      <c r="AG166" s="106">
        <f t="shared" si="20"/>
        <v>0</v>
      </c>
    </row>
    <row r="167" spans="1:34" ht="15.75" customHeight="1" x14ac:dyDescent="0.25">
      <c r="A167" s="107" t="s">
        <v>107</v>
      </c>
      <c r="B167" s="108">
        <f t="shared" ref="B167:AF167" si="23">SUM(B168:B171)</f>
        <v>0</v>
      </c>
      <c r="C167" s="109">
        <f t="shared" si="23"/>
        <v>0</v>
      </c>
      <c r="D167" s="109">
        <f t="shared" si="23"/>
        <v>0</v>
      </c>
      <c r="E167" s="109">
        <f t="shared" si="23"/>
        <v>0</v>
      </c>
      <c r="F167" s="109">
        <f t="shared" si="23"/>
        <v>0</v>
      </c>
      <c r="G167" s="109">
        <f t="shared" si="23"/>
        <v>0</v>
      </c>
      <c r="H167" s="109">
        <f t="shared" si="23"/>
        <v>0</v>
      </c>
      <c r="I167" s="109">
        <f t="shared" si="23"/>
        <v>0</v>
      </c>
      <c r="J167" s="109">
        <f t="shared" si="23"/>
        <v>0</v>
      </c>
      <c r="K167" s="109">
        <f t="shared" si="23"/>
        <v>0</v>
      </c>
      <c r="L167" s="109">
        <f t="shared" si="23"/>
        <v>0</v>
      </c>
      <c r="M167" s="109">
        <f t="shared" si="23"/>
        <v>0</v>
      </c>
      <c r="N167" s="109">
        <f t="shared" si="23"/>
        <v>0</v>
      </c>
      <c r="O167" s="109">
        <f t="shared" si="23"/>
        <v>0</v>
      </c>
      <c r="P167" s="109">
        <f t="shared" si="23"/>
        <v>0</v>
      </c>
      <c r="Q167" s="109">
        <f t="shared" si="23"/>
        <v>0</v>
      </c>
      <c r="R167" s="109">
        <f t="shared" si="23"/>
        <v>0</v>
      </c>
      <c r="S167" s="109">
        <f t="shared" si="23"/>
        <v>0</v>
      </c>
      <c r="T167" s="109">
        <f t="shared" si="23"/>
        <v>0</v>
      </c>
      <c r="U167" s="109">
        <f t="shared" si="23"/>
        <v>0</v>
      </c>
      <c r="V167" s="109">
        <f t="shared" si="23"/>
        <v>0</v>
      </c>
      <c r="W167" s="109">
        <f t="shared" si="23"/>
        <v>0</v>
      </c>
      <c r="X167" s="109">
        <f t="shared" si="23"/>
        <v>0</v>
      </c>
      <c r="Y167" s="109">
        <f t="shared" si="23"/>
        <v>0</v>
      </c>
      <c r="Z167" s="109">
        <f t="shared" si="23"/>
        <v>0</v>
      </c>
      <c r="AA167" s="109">
        <f t="shared" si="23"/>
        <v>0</v>
      </c>
      <c r="AB167" s="109">
        <f t="shared" si="23"/>
        <v>0</v>
      </c>
      <c r="AC167" s="109">
        <f t="shared" si="23"/>
        <v>0</v>
      </c>
      <c r="AD167" s="109">
        <f t="shared" si="23"/>
        <v>0</v>
      </c>
      <c r="AE167" s="109">
        <f t="shared" si="23"/>
        <v>0</v>
      </c>
      <c r="AF167" s="233">
        <f t="shared" si="23"/>
        <v>0</v>
      </c>
      <c r="AG167" s="110">
        <f t="shared" si="20"/>
        <v>0</v>
      </c>
    </row>
    <row r="168" spans="1:34" ht="15.75" customHeight="1" x14ac:dyDescent="0.25">
      <c r="A168" s="117" t="s">
        <v>86</v>
      </c>
      <c r="B168" s="101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231"/>
      <c r="AG168" s="15">
        <f t="shared" si="20"/>
        <v>0</v>
      </c>
    </row>
    <row r="169" spans="1:34" ht="15.75" customHeight="1" x14ac:dyDescent="0.25">
      <c r="A169" s="117" t="s">
        <v>87</v>
      </c>
      <c r="B169" s="101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231"/>
      <c r="AG169" s="15">
        <f t="shared" si="20"/>
        <v>0</v>
      </c>
    </row>
    <row r="170" spans="1:34" ht="15.75" customHeight="1" x14ac:dyDescent="0.25">
      <c r="A170" s="117" t="s">
        <v>88</v>
      </c>
      <c r="B170" s="101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231"/>
      <c r="AG170" s="15">
        <f t="shared" si="20"/>
        <v>0</v>
      </c>
    </row>
    <row r="171" spans="1:34" ht="15.75" customHeight="1" thickBot="1" x14ac:dyDescent="0.3">
      <c r="A171" s="118" t="s">
        <v>108</v>
      </c>
      <c r="B171" s="104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232"/>
      <c r="AG171" s="106">
        <f t="shared" si="20"/>
        <v>0</v>
      </c>
    </row>
    <row r="172" spans="1:34" ht="15.75" customHeight="1" thickBot="1" x14ac:dyDescent="0.3">
      <c r="A172" s="119" t="s">
        <v>109</v>
      </c>
      <c r="B172" s="120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235"/>
      <c r="AG172" s="122">
        <f t="shared" si="20"/>
        <v>0</v>
      </c>
    </row>
    <row r="173" spans="1:34" ht="15.75" customHeight="1" thickBot="1" x14ac:dyDescent="0.3">
      <c r="A173" s="4" t="s">
        <v>110</v>
      </c>
      <c r="B173" s="5">
        <f t="shared" ref="B173:AF173" si="24">SUM(B174:B176)</f>
        <v>3</v>
      </c>
      <c r="C173" s="6">
        <f t="shared" si="24"/>
        <v>1</v>
      </c>
      <c r="D173" s="6">
        <f t="shared" si="24"/>
        <v>0</v>
      </c>
      <c r="E173" s="6">
        <f t="shared" si="24"/>
        <v>2</v>
      </c>
      <c r="F173" s="6">
        <f t="shared" si="24"/>
        <v>2</v>
      </c>
      <c r="G173" s="6">
        <f t="shared" si="24"/>
        <v>0</v>
      </c>
      <c r="H173" s="6">
        <f t="shared" si="24"/>
        <v>2</v>
      </c>
      <c r="I173" s="6">
        <f t="shared" si="24"/>
        <v>2</v>
      </c>
      <c r="J173" s="6">
        <f t="shared" si="24"/>
        <v>0</v>
      </c>
      <c r="K173" s="6">
        <f t="shared" si="24"/>
        <v>0</v>
      </c>
      <c r="L173" s="6">
        <f t="shared" si="24"/>
        <v>2</v>
      </c>
      <c r="M173" s="6">
        <f t="shared" si="24"/>
        <v>2</v>
      </c>
      <c r="N173" s="6">
        <f t="shared" si="24"/>
        <v>4</v>
      </c>
      <c r="O173" s="6">
        <f t="shared" si="24"/>
        <v>3</v>
      </c>
      <c r="P173" s="6">
        <f t="shared" si="24"/>
        <v>0</v>
      </c>
      <c r="Q173" s="6">
        <f t="shared" si="24"/>
        <v>2</v>
      </c>
      <c r="R173" s="6">
        <f t="shared" si="24"/>
        <v>0</v>
      </c>
      <c r="S173" s="6">
        <f t="shared" si="24"/>
        <v>2</v>
      </c>
      <c r="T173" s="6">
        <f t="shared" si="24"/>
        <v>1</v>
      </c>
      <c r="U173" s="6">
        <f t="shared" si="24"/>
        <v>1</v>
      </c>
      <c r="V173" s="6">
        <f t="shared" si="24"/>
        <v>1</v>
      </c>
      <c r="W173" s="6">
        <f t="shared" si="24"/>
        <v>1</v>
      </c>
      <c r="X173" s="6">
        <f t="shared" si="24"/>
        <v>3</v>
      </c>
      <c r="Y173" s="6">
        <f t="shared" si="24"/>
        <v>2</v>
      </c>
      <c r="Z173" s="6">
        <f t="shared" si="24"/>
        <v>1</v>
      </c>
      <c r="AA173" s="6">
        <f t="shared" si="24"/>
        <v>2</v>
      </c>
      <c r="AB173" s="6">
        <f t="shared" si="24"/>
        <v>1</v>
      </c>
      <c r="AC173" s="6">
        <f t="shared" si="24"/>
        <v>0</v>
      </c>
      <c r="AD173" s="6">
        <f t="shared" si="24"/>
        <v>2</v>
      </c>
      <c r="AE173" s="6">
        <f t="shared" si="24"/>
        <v>0</v>
      </c>
      <c r="AF173" s="236">
        <f t="shared" si="24"/>
        <v>0</v>
      </c>
      <c r="AG173" s="7">
        <f t="shared" si="20"/>
        <v>42</v>
      </c>
      <c r="AH173" s="111" t="s">
        <v>111</v>
      </c>
    </row>
    <row r="174" spans="1:34" ht="15.75" customHeight="1" x14ac:dyDescent="0.25">
      <c r="A174" s="123" t="s">
        <v>112</v>
      </c>
      <c r="B174" s="124">
        <v>3</v>
      </c>
      <c r="C174" s="125">
        <v>0</v>
      </c>
      <c r="D174" s="125">
        <v>0</v>
      </c>
      <c r="E174" s="125">
        <v>2</v>
      </c>
      <c r="F174" s="125">
        <v>2</v>
      </c>
      <c r="G174" s="125">
        <v>0</v>
      </c>
      <c r="H174" s="125">
        <v>2</v>
      </c>
      <c r="I174" s="125">
        <v>2</v>
      </c>
      <c r="J174" s="125">
        <v>0</v>
      </c>
      <c r="K174" s="125">
        <v>0</v>
      </c>
      <c r="L174" s="125">
        <v>2</v>
      </c>
      <c r="M174" s="125">
        <v>0</v>
      </c>
      <c r="N174" s="125">
        <v>4</v>
      </c>
      <c r="O174" s="125">
        <v>3</v>
      </c>
      <c r="P174" s="125">
        <v>0</v>
      </c>
      <c r="Q174" s="125">
        <v>2</v>
      </c>
      <c r="R174" s="125">
        <v>0</v>
      </c>
      <c r="S174" s="125">
        <v>2</v>
      </c>
      <c r="T174" s="125">
        <v>0</v>
      </c>
      <c r="U174" s="125">
        <v>1</v>
      </c>
      <c r="V174" s="125">
        <v>1</v>
      </c>
      <c r="W174" s="125">
        <v>1</v>
      </c>
      <c r="X174" s="125">
        <v>3</v>
      </c>
      <c r="Y174" s="125">
        <v>0</v>
      </c>
      <c r="Z174" s="125">
        <v>1</v>
      </c>
      <c r="AA174" s="125">
        <v>2</v>
      </c>
      <c r="AB174" s="125">
        <v>1</v>
      </c>
      <c r="AC174" s="125">
        <v>0</v>
      </c>
      <c r="AD174" s="125">
        <v>2</v>
      </c>
      <c r="AE174" s="125">
        <v>0</v>
      </c>
      <c r="AF174" s="237">
        <v>0</v>
      </c>
      <c r="AG174" s="126">
        <f t="shared" si="20"/>
        <v>36</v>
      </c>
      <c r="AH174" s="111"/>
    </row>
    <row r="175" spans="1:34" ht="15.75" customHeight="1" x14ac:dyDescent="0.25">
      <c r="A175" s="127" t="s">
        <v>113</v>
      </c>
      <c r="B175" s="128">
        <v>0</v>
      </c>
      <c r="C175" s="129">
        <v>1</v>
      </c>
      <c r="D175" s="129">
        <v>0</v>
      </c>
      <c r="E175" s="129">
        <v>0</v>
      </c>
      <c r="F175" s="129">
        <v>0</v>
      </c>
      <c r="G175" s="129">
        <v>0</v>
      </c>
      <c r="H175" s="129">
        <v>0</v>
      </c>
      <c r="I175" s="129">
        <v>0</v>
      </c>
      <c r="J175" s="129">
        <v>0</v>
      </c>
      <c r="K175" s="129">
        <v>0</v>
      </c>
      <c r="L175" s="129">
        <v>0</v>
      </c>
      <c r="M175" s="129">
        <v>2</v>
      </c>
      <c r="N175" s="129">
        <v>0</v>
      </c>
      <c r="O175" s="129">
        <v>0</v>
      </c>
      <c r="P175" s="129">
        <v>0</v>
      </c>
      <c r="Q175" s="129">
        <v>0</v>
      </c>
      <c r="R175" s="129">
        <v>0</v>
      </c>
      <c r="S175" s="129">
        <v>0</v>
      </c>
      <c r="T175" s="129">
        <v>1</v>
      </c>
      <c r="U175" s="129">
        <v>0</v>
      </c>
      <c r="V175" s="129">
        <v>0</v>
      </c>
      <c r="W175" s="129">
        <v>0</v>
      </c>
      <c r="X175" s="129">
        <v>0</v>
      </c>
      <c r="Y175" s="129">
        <v>2</v>
      </c>
      <c r="Z175" s="129">
        <v>0</v>
      </c>
      <c r="AA175" s="129">
        <v>0</v>
      </c>
      <c r="AB175" s="129">
        <v>0</v>
      </c>
      <c r="AC175" s="129">
        <v>0</v>
      </c>
      <c r="AD175" s="129">
        <v>0</v>
      </c>
      <c r="AE175" s="129">
        <v>0</v>
      </c>
      <c r="AF175" s="238">
        <v>0</v>
      </c>
      <c r="AG175" s="130">
        <f t="shared" si="20"/>
        <v>6</v>
      </c>
      <c r="AH175" s="111"/>
    </row>
    <row r="176" spans="1:34" ht="15.75" customHeight="1" thickBot="1" x14ac:dyDescent="0.3">
      <c r="A176" s="131" t="s">
        <v>114</v>
      </c>
      <c r="B176" s="132">
        <v>0</v>
      </c>
      <c r="C176" s="133">
        <v>0</v>
      </c>
      <c r="D176" s="133">
        <v>0</v>
      </c>
      <c r="E176" s="133">
        <v>0</v>
      </c>
      <c r="F176" s="133">
        <v>0</v>
      </c>
      <c r="G176" s="133">
        <v>0</v>
      </c>
      <c r="H176" s="133">
        <v>0</v>
      </c>
      <c r="I176" s="133">
        <v>0</v>
      </c>
      <c r="J176" s="133">
        <v>0</v>
      </c>
      <c r="K176" s="133">
        <v>0</v>
      </c>
      <c r="L176" s="133">
        <v>0</v>
      </c>
      <c r="M176" s="133">
        <v>0</v>
      </c>
      <c r="N176" s="133">
        <v>0</v>
      </c>
      <c r="O176" s="133">
        <v>0</v>
      </c>
      <c r="P176" s="133">
        <v>0</v>
      </c>
      <c r="Q176" s="133">
        <v>0</v>
      </c>
      <c r="R176" s="133">
        <v>0</v>
      </c>
      <c r="S176" s="133">
        <v>0</v>
      </c>
      <c r="T176" s="133">
        <v>0</v>
      </c>
      <c r="U176" s="133">
        <v>0</v>
      </c>
      <c r="V176" s="133">
        <v>0</v>
      </c>
      <c r="W176" s="133">
        <v>0</v>
      </c>
      <c r="X176" s="133">
        <v>0</v>
      </c>
      <c r="Y176" s="133">
        <v>0</v>
      </c>
      <c r="Z176" s="133">
        <v>0</v>
      </c>
      <c r="AA176" s="133">
        <v>0</v>
      </c>
      <c r="AB176" s="133">
        <v>0</v>
      </c>
      <c r="AC176" s="133">
        <v>0</v>
      </c>
      <c r="AD176" s="133">
        <v>0</v>
      </c>
      <c r="AE176" s="133">
        <v>0</v>
      </c>
      <c r="AF176" s="239">
        <v>0</v>
      </c>
      <c r="AG176" s="134">
        <f t="shared" si="20"/>
        <v>0</v>
      </c>
      <c r="AH176" s="111"/>
    </row>
    <row r="177" spans="1:35" ht="15.75" customHeight="1" thickBot="1" x14ac:dyDescent="0.3">
      <c r="A177" s="53" t="s">
        <v>115</v>
      </c>
      <c r="B177" s="135">
        <f t="shared" ref="B177:AF177" si="25">SUM(B178:B179)</f>
        <v>6</v>
      </c>
      <c r="C177" s="136">
        <f t="shared" si="25"/>
        <v>3</v>
      </c>
      <c r="D177" s="136">
        <f t="shared" si="25"/>
        <v>5</v>
      </c>
      <c r="E177" s="136">
        <f t="shared" si="25"/>
        <v>4</v>
      </c>
      <c r="F177" s="136">
        <f t="shared" si="25"/>
        <v>4</v>
      </c>
      <c r="G177" s="136">
        <f t="shared" si="25"/>
        <v>3</v>
      </c>
      <c r="H177" s="136">
        <f t="shared" si="25"/>
        <v>5</v>
      </c>
      <c r="I177" s="136">
        <f t="shared" si="25"/>
        <v>4</v>
      </c>
      <c r="J177" s="136">
        <f t="shared" si="25"/>
        <v>3</v>
      </c>
      <c r="K177" s="136">
        <f t="shared" si="25"/>
        <v>4</v>
      </c>
      <c r="L177" s="136">
        <f t="shared" si="25"/>
        <v>3</v>
      </c>
      <c r="M177" s="136">
        <f t="shared" si="25"/>
        <v>1</v>
      </c>
      <c r="N177" s="136">
        <f t="shared" si="25"/>
        <v>3</v>
      </c>
      <c r="O177" s="136">
        <f t="shared" si="25"/>
        <v>6</v>
      </c>
      <c r="P177" s="136">
        <f t="shared" si="25"/>
        <v>7</v>
      </c>
      <c r="Q177" s="136">
        <f t="shared" si="25"/>
        <v>1</v>
      </c>
      <c r="R177" s="136">
        <f t="shared" si="25"/>
        <v>10</v>
      </c>
      <c r="S177" s="136">
        <f t="shared" si="25"/>
        <v>0</v>
      </c>
      <c r="T177" s="136">
        <f t="shared" si="25"/>
        <v>5</v>
      </c>
      <c r="U177" s="136">
        <f t="shared" si="25"/>
        <v>4</v>
      </c>
      <c r="V177" s="136">
        <f t="shared" si="25"/>
        <v>2</v>
      </c>
      <c r="W177" s="136">
        <f t="shared" si="25"/>
        <v>5</v>
      </c>
      <c r="X177" s="136">
        <f t="shared" si="25"/>
        <v>4</v>
      </c>
      <c r="Y177" s="136">
        <f t="shared" si="25"/>
        <v>5</v>
      </c>
      <c r="Z177" s="136">
        <f t="shared" si="25"/>
        <v>1</v>
      </c>
      <c r="AA177" s="136">
        <f t="shared" si="25"/>
        <v>7</v>
      </c>
      <c r="AB177" s="136">
        <f t="shared" si="25"/>
        <v>3</v>
      </c>
      <c r="AC177" s="136">
        <f t="shared" si="25"/>
        <v>3</v>
      </c>
      <c r="AD177" s="136">
        <f t="shared" si="25"/>
        <v>1</v>
      </c>
      <c r="AE177" s="136">
        <f t="shared" si="25"/>
        <v>3</v>
      </c>
      <c r="AF177" s="240">
        <f t="shared" si="25"/>
        <v>0</v>
      </c>
      <c r="AG177" s="137">
        <f t="shared" si="20"/>
        <v>115</v>
      </c>
      <c r="AH177" s="111" t="s">
        <v>116</v>
      </c>
    </row>
    <row r="178" spans="1:35" ht="15.75" customHeight="1" x14ac:dyDescent="0.25">
      <c r="A178" s="138" t="s">
        <v>117</v>
      </c>
      <c r="B178" s="139">
        <v>1</v>
      </c>
      <c r="C178" s="140">
        <v>0</v>
      </c>
      <c r="D178" s="140">
        <v>0</v>
      </c>
      <c r="E178" s="140">
        <v>0</v>
      </c>
      <c r="F178" s="140">
        <v>0</v>
      </c>
      <c r="G178" s="140">
        <v>0</v>
      </c>
      <c r="H178" s="140">
        <v>1</v>
      </c>
      <c r="I178" s="140">
        <v>1</v>
      </c>
      <c r="J178" s="140">
        <v>0</v>
      </c>
      <c r="K178" s="140">
        <v>0</v>
      </c>
      <c r="L178" s="140">
        <v>0</v>
      </c>
      <c r="M178" s="140">
        <v>0</v>
      </c>
      <c r="N178" s="140">
        <v>1</v>
      </c>
      <c r="O178" s="140">
        <v>1</v>
      </c>
      <c r="P178" s="140">
        <v>0</v>
      </c>
      <c r="Q178" s="140">
        <v>0</v>
      </c>
      <c r="R178" s="140">
        <v>3</v>
      </c>
      <c r="S178" s="140">
        <v>0</v>
      </c>
      <c r="T178" s="140">
        <v>0</v>
      </c>
      <c r="U178" s="140">
        <v>0</v>
      </c>
      <c r="V178" s="140">
        <v>0</v>
      </c>
      <c r="W178" s="140">
        <v>1</v>
      </c>
      <c r="X178" s="140">
        <v>0</v>
      </c>
      <c r="Y178" s="140">
        <v>0</v>
      </c>
      <c r="Z178" s="140">
        <v>0</v>
      </c>
      <c r="AA178" s="140">
        <v>1</v>
      </c>
      <c r="AB178" s="140">
        <v>1</v>
      </c>
      <c r="AC178" s="140">
        <v>0</v>
      </c>
      <c r="AD178" s="140">
        <v>0</v>
      </c>
      <c r="AE178" s="140">
        <v>0</v>
      </c>
      <c r="AF178" s="241">
        <v>0</v>
      </c>
      <c r="AG178" s="141">
        <f t="shared" si="20"/>
        <v>11</v>
      </c>
      <c r="AH178" s="111" t="s">
        <v>116</v>
      </c>
    </row>
    <row r="179" spans="1:35" ht="15.75" customHeight="1" thickBot="1" x14ac:dyDescent="0.3">
      <c r="A179" s="58" t="s">
        <v>118</v>
      </c>
      <c r="B179" s="142">
        <v>5</v>
      </c>
      <c r="C179" s="143">
        <v>3</v>
      </c>
      <c r="D179" s="143">
        <v>5</v>
      </c>
      <c r="E179" s="143">
        <v>4</v>
      </c>
      <c r="F179" s="143">
        <v>4</v>
      </c>
      <c r="G179" s="143">
        <v>3</v>
      </c>
      <c r="H179" s="143">
        <v>4</v>
      </c>
      <c r="I179" s="143">
        <v>3</v>
      </c>
      <c r="J179" s="143">
        <v>3</v>
      </c>
      <c r="K179" s="143">
        <v>4</v>
      </c>
      <c r="L179" s="143">
        <v>3</v>
      </c>
      <c r="M179" s="143">
        <v>1</v>
      </c>
      <c r="N179" s="143">
        <v>2</v>
      </c>
      <c r="O179" s="143">
        <v>5</v>
      </c>
      <c r="P179" s="143">
        <v>7</v>
      </c>
      <c r="Q179" s="143">
        <v>1</v>
      </c>
      <c r="R179" s="143">
        <v>7</v>
      </c>
      <c r="S179" s="143">
        <v>0</v>
      </c>
      <c r="T179" s="143">
        <v>5</v>
      </c>
      <c r="U179" s="143">
        <v>4</v>
      </c>
      <c r="V179" s="143">
        <v>2</v>
      </c>
      <c r="W179" s="143">
        <v>4</v>
      </c>
      <c r="X179" s="143">
        <v>4</v>
      </c>
      <c r="Y179" s="143">
        <v>5</v>
      </c>
      <c r="Z179" s="143">
        <v>1</v>
      </c>
      <c r="AA179" s="143">
        <v>6</v>
      </c>
      <c r="AB179" s="143">
        <v>2</v>
      </c>
      <c r="AC179" s="143">
        <v>3</v>
      </c>
      <c r="AD179" s="143">
        <v>1</v>
      </c>
      <c r="AE179" s="143">
        <v>3</v>
      </c>
      <c r="AF179" s="242">
        <v>0</v>
      </c>
      <c r="AG179" s="144">
        <f t="shared" si="20"/>
        <v>104</v>
      </c>
      <c r="AH179" s="111" t="s">
        <v>116</v>
      </c>
    </row>
    <row r="180" spans="1:35" ht="15.75" customHeight="1" x14ac:dyDescent="0.25">
      <c r="A180" s="145" t="s">
        <v>119</v>
      </c>
      <c r="B180" s="146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243"/>
      <c r="AG180" s="148">
        <f t="shared" si="20"/>
        <v>0</v>
      </c>
    </row>
    <row r="181" spans="1:35" ht="15.75" customHeight="1" thickBot="1" x14ac:dyDescent="0.3">
      <c r="A181" s="149" t="s">
        <v>120</v>
      </c>
      <c r="B181" s="150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244"/>
      <c r="AG181" s="152">
        <f t="shared" si="20"/>
        <v>0</v>
      </c>
    </row>
    <row r="182" spans="1:35" ht="15.75" customHeight="1" thickBot="1" x14ac:dyDescent="0.3">
      <c r="A182" s="153" t="s">
        <v>121</v>
      </c>
      <c r="B182" s="154">
        <f t="shared" ref="B182:AF182" si="26">SUM(B183:B208)</f>
        <v>39</v>
      </c>
      <c r="C182" s="155">
        <f t="shared" si="26"/>
        <v>44</v>
      </c>
      <c r="D182" s="155">
        <f t="shared" si="26"/>
        <v>52</v>
      </c>
      <c r="E182" s="155">
        <f t="shared" si="26"/>
        <v>34</v>
      </c>
      <c r="F182" s="155">
        <f t="shared" si="26"/>
        <v>42</v>
      </c>
      <c r="G182" s="155">
        <f t="shared" si="26"/>
        <v>44</v>
      </c>
      <c r="H182" s="155">
        <f t="shared" si="26"/>
        <v>39</v>
      </c>
      <c r="I182" s="155">
        <f t="shared" si="26"/>
        <v>41</v>
      </c>
      <c r="J182" s="155">
        <f t="shared" si="26"/>
        <v>57</v>
      </c>
      <c r="K182" s="155">
        <f t="shared" si="26"/>
        <v>40</v>
      </c>
      <c r="L182" s="155">
        <f t="shared" si="26"/>
        <v>33</v>
      </c>
      <c r="M182" s="155">
        <f t="shared" si="26"/>
        <v>34</v>
      </c>
      <c r="N182" s="155">
        <f t="shared" si="26"/>
        <v>42</v>
      </c>
      <c r="O182" s="155">
        <f t="shared" si="26"/>
        <v>38</v>
      </c>
      <c r="P182" s="155">
        <f t="shared" si="26"/>
        <v>39</v>
      </c>
      <c r="Q182" s="155">
        <f t="shared" si="26"/>
        <v>40</v>
      </c>
      <c r="R182" s="155">
        <f t="shared" si="26"/>
        <v>50</v>
      </c>
      <c r="S182" s="155">
        <f t="shared" si="26"/>
        <v>38</v>
      </c>
      <c r="T182" s="155">
        <f t="shared" si="26"/>
        <v>50</v>
      </c>
      <c r="U182" s="155">
        <f t="shared" si="26"/>
        <v>39</v>
      </c>
      <c r="V182" s="155">
        <f t="shared" si="26"/>
        <v>26</v>
      </c>
      <c r="W182" s="155">
        <f t="shared" si="26"/>
        <v>42</v>
      </c>
      <c r="X182" s="155">
        <f t="shared" si="26"/>
        <v>38</v>
      </c>
      <c r="Y182" s="155">
        <f t="shared" si="26"/>
        <v>51</v>
      </c>
      <c r="Z182" s="155">
        <f t="shared" si="26"/>
        <v>48</v>
      </c>
      <c r="AA182" s="155">
        <f t="shared" si="26"/>
        <v>37</v>
      </c>
      <c r="AB182" s="155">
        <f t="shared" si="26"/>
        <v>59</v>
      </c>
      <c r="AC182" s="155">
        <f t="shared" si="26"/>
        <v>56</v>
      </c>
      <c r="AD182" s="155">
        <f t="shared" si="26"/>
        <v>45</v>
      </c>
      <c r="AE182" s="155">
        <f t="shared" si="26"/>
        <v>53</v>
      </c>
      <c r="AF182" s="245">
        <f t="shared" si="26"/>
        <v>64</v>
      </c>
      <c r="AG182" s="91">
        <f t="shared" si="20"/>
        <v>1354</v>
      </c>
      <c r="AH182" s="78"/>
    </row>
    <row r="183" spans="1:35" ht="15.75" customHeight="1" x14ac:dyDescent="0.25">
      <c r="A183" s="156" t="s">
        <v>122</v>
      </c>
      <c r="B183" s="157">
        <v>4</v>
      </c>
      <c r="C183" s="158">
        <v>2</v>
      </c>
      <c r="D183" s="158">
        <v>1</v>
      </c>
      <c r="E183" s="158">
        <v>8</v>
      </c>
      <c r="F183" s="158">
        <v>3</v>
      </c>
      <c r="G183" s="158">
        <v>4</v>
      </c>
      <c r="H183" s="158">
        <v>3</v>
      </c>
      <c r="I183" s="158">
        <v>7</v>
      </c>
      <c r="J183" s="158">
        <v>11</v>
      </c>
      <c r="K183" s="158">
        <v>4</v>
      </c>
      <c r="L183" s="158">
        <v>5</v>
      </c>
      <c r="M183" s="158">
        <v>7</v>
      </c>
      <c r="N183" s="158">
        <v>2</v>
      </c>
      <c r="O183" s="158">
        <v>3</v>
      </c>
      <c r="P183" s="158">
        <v>4</v>
      </c>
      <c r="Q183" s="158">
        <v>4</v>
      </c>
      <c r="R183" s="158">
        <v>3</v>
      </c>
      <c r="S183" s="158">
        <v>4</v>
      </c>
      <c r="T183" s="158">
        <v>7</v>
      </c>
      <c r="U183" s="158">
        <v>8</v>
      </c>
      <c r="V183" s="158">
        <v>3</v>
      </c>
      <c r="W183" s="158">
        <v>8</v>
      </c>
      <c r="X183" s="158">
        <v>5</v>
      </c>
      <c r="Y183" s="158">
        <v>5</v>
      </c>
      <c r="Z183" s="158">
        <v>4</v>
      </c>
      <c r="AA183" s="158">
        <v>3</v>
      </c>
      <c r="AB183" s="158">
        <v>5</v>
      </c>
      <c r="AC183" s="158">
        <v>11</v>
      </c>
      <c r="AD183" s="158">
        <v>6</v>
      </c>
      <c r="AE183" s="158">
        <v>6</v>
      </c>
      <c r="AF183" s="246">
        <v>14</v>
      </c>
      <c r="AG183" s="159">
        <f t="shared" si="20"/>
        <v>164</v>
      </c>
    </row>
    <row r="184" spans="1:35" ht="15.75" customHeight="1" x14ac:dyDescent="0.25">
      <c r="A184" s="160" t="s">
        <v>123</v>
      </c>
      <c r="B184" s="65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>
        <v>1</v>
      </c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222"/>
      <c r="AG184" s="15">
        <f t="shared" si="20"/>
        <v>1</v>
      </c>
    </row>
    <row r="185" spans="1:35" ht="15.75" customHeight="1" x14ac:dyDescent="0.25">
      <c r="A185" s="160" t="s">
        <v>124</v>
      </c>
      <c r="B185" s="65"/>
      <c r="C185" s="66"/>
      <c r="D185" s="66"/>
      <c r="E185" s="66"/>
      <c r="F185" s="66"/>
      <c r="G185" s="66"/>
      <c r="H185" s="66"/>
      <c r="I185" s="66"/>
      <c r="J185" s="66">
        <v>6</v>
      </c>
      <c r="K185" s="66">
        <v>1</v>
      </c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>
        <v>1</v>
      </c>
      <c r="Y185" s="66"/>
      <c r="Z185" s="66"/>
      <c r="AA185" s="66"/>
      <c r="AB185" s="66"/>
      <c r="AC185" s="66"/>
      <c r="AD185" s="66"/>
      <c r="AE185" s="66"/>
      <c r="AF185" s="222"/>
      <c r="AG185" s="15">
        <f t="shared" si="20"/>
        <v>8</v>
      </c>
    </row>
    <row r="186" spans="1:35" ht="15.75" customHeight="1" x14ac:dyDescent="0.25">
      <c r="A186" s="160" t="s">
        <v>125</v>
      </c>
      <c r="B186" s="65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222"/>
      <c r="AG186" s="15">
        <f t="shared" si="20"/>
        <v>0</v>
      </c>
    </row>
    <row r="187" spans="1:35" ht="15.75" customHeight="1" x14ac:dyDescent="0.25">
      <c r="A187" s="161" t="s">
        <v>126</v>
      </c>
      <c r="B187" s="162">
        <v>30</v>
      </c>
      <c r="C187" s="163">
        <v>39</v>
      </c>
      <c r="D187" s="163">
        <v>51</v>
      </c>
      <c r="E187" s="163">
        <v>26</v>
      </c>
      <c r="F187" s="163">
        <v>37</v>
      </c>
      <c r="G187" s="163">
        <v>39</v>
      </c>
      <c r="H187" s="163">
        <v>27</v>
      </c>
      <c r="I187" s="163">
        <v>30</v>
      </c>
      <c r="J187" s="163">
        <v>38</v>
      </c>
      <c r="K187" s="163">
        <v>35</v>
      </c>
      <c r="L187" s="163">
        <v>27</v>
      </c>
      <c r="M187" s="163">
        <v>24</v>
      </c>
      <c r="N187" s="163">
        <v>38</v>
      </c>
      <c r="O187" s="163">
        <v>31</v>
      </c>
      <c r="P187" s="163">
        <v>34</v>
      </c>
      <c r="Q187" s="163">
        <v>34</v>
      </c>
      <c r="R187" s="163">
        <v>43</v>
      </c>
      <c r="S187" s="163">
        <v>30</v>
      </c>
      <c r="T187" s="163">
        <v>39</v>
      </c>
      <c r="U187" s="163">
        <v>25</v>
      </c>
      <c r="V187" s="163">
        <v>17</v>
      </c>
      <c r="W187" s="163">
        <v>34</v>
      </c>
      <c r="X187" s="163">
        <v>28</v>
      </c>
      <c r="Y187" s="163">
        <v>42</v>
      </c>
      <c r="Z187" s="163">
        <v>40</v>
      </c>
      <c r="AA187" s="163">
        <v>27</v>
      </c>
      <c r="AB187" s="163">
        <v>47</v>
      </c>
      <c r="AC187" s="163">
        <v>42</v>
      </c>
      <c r="AD187" s="163">
        <v>35</v>
      </c>
      <c r="AE187" s="163">
        <v>46</v>
      </c>
      <c r="AF187" s="247">
        <v>46</v>
      </c>
      <c r="AG187" s="164">
        <f t="shared" si="20"/>
        <v>1081</v>
      </c>
      <c r="AH187" s="165"/>
      <c r="AI187" s="165"/>
    </row>
    <row r="188" spans="1:35" ht="15.75" customHeight="1" x14ac:dyDescent="0.25">
      <c r="A188" s="160" t="s">
        <v>127</v>
      </c>
      <c r="B188" s="65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222"/>
      <c r="AG188" s="15">
        <f t="shared" si="20"/>
        <v>0</v>
      </c>
    </row>
    <row r="189" spans="1:35" ht="15.75" customHeight="1" x14ac:dyDescent="0.25">
      <c r="A189" s="160" t="s">
        <v>128</v>
      </c>
      <c r="B189" s="65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222"/>
      <c r="AG189" s="15">
        <f t="shared" si="20"/>
        <v>0</v>
      </c>
    </row>
    <row r="190" spans="1:35" ht="15.75" customHeight="1" x14ac:dyDescent="0.25">
      <c r="A190" s="160" t="s">
        <v>129</v>
      </c>
      <c r="B190" s="65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222"/>
      <c r="AG190" s="15">
        <f t="shared" si="20"/>
        <v>0</v>
      </c>
    </row>
    <row r="191" spans="1:35" ht="15.75" customHeight="1" x14ac:dyDescent="0.25">
      <c r="A191" s="160" t="s">
        <v>130</v>
      </c>
      <c r="B191" s="65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>
        <v>1</v>
      </c>
      <c r="S191" s="66"/>
      <c r="T191" s="66">
        <v>1</v>
      </c>
      <c r="U191" s="66"/>
      <c r="V191" s="66"/>
      <c r="W191" s="66"/>
      <c r="X191" s="66">
        <v>4</v>
      </c>
      <c r="Y191" s="66"/>
      <c r="Z191" s="66"/>
      <c r="AA191" s="66"/>
      <c r="AB191" s="66"/>
      <c r="AC191" s="66"/>
      <c r="AD191" s="66"/>
      <c r="AE191" s="66"/>
      <c r="AF191" s="222"/>
      <c r="AG191" s="15">
        <f t="shared" si="20"/>
        <v>6</v>
      </c>
    </row>
    <row r="192" spans="1:35" ht="15.75" customHeight="1" x14ac:dyDescent="0.25">
      <c r="A192" s="64" t="s">
        <v>131</v>
      </c>
      <c r="B192" s="65"/>
      <c r="C192" s="66"/>
      <c r="D192" s="66"/>
      <c r="E192" s="66"/>
      <c r="F192" s="66"/>
      <c r="G192" s="66"/>
      <c r="H192" s="66">
        <v>1</v>
      </c>
      <c r="I192" s="66"/>
      <c r="J192" s="66"/>
      <c r="K192" s="66"/>
      <c r="L192" s="66"/>
      <c r="M192" s="66"/>
      <c r="N192" s="66"/>
      <c r="O192" s="66"/>
      <c r="P192" s="66"/>
      <c r="Q192" s="66"/>
      <c r="R192" s="66">
        <v>1</v>
      </c>
      <c r="S192" s="66">
        <v>3</v>
      </c>
      <c r="T192" s="66">
        <v>3</v>
      </c>
      <c r="U192" s="66">
        <v>5</v>
      </c>
      <c r="V192" s="66">
        <v>3</v>
      </c>
      <c r="W192" s="66"/>
      <c r="X192" s="66"/>
      <c r="Y192" s="66">
        <v>3</v>
      </c>
      <c r="Z192" s="66">
        <v>1</v>
      </c>
      <c r="AA192" s="66">
        <v>5</v>
      </c>
      <c r="AB192" s="66">
        <v>2</v>
      </c>
      <c r="AC192" s="66">
        <v>2</v>
      </c>
      <c r="AD192" s="66"/>
      <c r="AE192" s="66"/>
      <c r="AF192" s="222">
        <v>4</v>
      </c>
      <c r="AG192" s="15">
        <f t="shared" si="20"/>
        <v>33</v>
      </c>
    </row>
    <row r="193" spans="1:33" ht="15.75" customHeight="1" x14ac:dyDescent="0.25">
      <c r="A193" s="64" t="s">
        <v>132</v>
      </c>
      <c r="B193" s="65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222"/>
      <c r="AG193" s="15">
        <f t="shared" si="20"/>
        <v>0</v>
      </c>
    </row>
    <row r="194" spans="1:33" ht="15.75" customHeight="1" x14ac:dyDescent="0.25">
      <c r="A194" s="64" t="s">
        <v>133</v>
      </c>
      <c r="B194" s="65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222"/>
      <c r="AG194" s="15">
        <f t="shared" si="20"/>
        <v>0</v>
      </c>
    </row>
    <row r="195" spans="1:33" ht="15.75" customHeight="1" x14ac:dyDescent="0.25">
      <c r="A195" s="64" t="s">
        <v>134</v>
      </c>
      <c r="B195" s="65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222"/>
      <c r="AG195" s="15">
        <f t="shared" si="20"/>
        <v>0</v>
      </c>
    </row>
    <row r="196" spans="1:33" ht="15.75" customHeight="1" x14ac:dyDescent="0.25">
      <c r="A196" s="166" t="s">
        <v>135</v>
      </c>
      <c r="B196" s="167">
        <v>3</v>
      </c>
      <c r="C196" s="168">
        <v>3</v>
      </c>
      <c r="D196" s="168"/>
      <c r="E196" s="168"/>
      <c r="F196" s="168">
        <v>2</v>
      </c>
      <c r="G196" s="168">
        <v>1</v>
      </c>
      <c r="H196" s="168">
        <v>6</v>
      </c>
      <c r="I196" s="168">
        <v>3</v>
      </c>
      <c r="J196" s="168">
        <v>1</v>
      </c>
      <c r="K196" s="168"/>
      <c r="L196" s="168"/>
      <c r="M196" s="168">
        <v>3</v>
      </c>
      <c r="N196" s="168">
        <v>2</v>
      </c>
      <c r="O196" s="168">
        <v>3</v>
      </c>
      <c r="P196" s="168">
        <v>1</v>
      </c>
      <c r="Q196" s="168">
        <v>2</v>
      </c>
      <c r="R196" s="168"/>
      <c r="S196" s="168">
        <v>1</v>
      </c>
      <c r="T196" s="168"/>
      <c r="U196" s="168"/>
      <c r="V196" s="168">
        <v>3</v>
      </c>
      <c r="W196" s="168"/>
      <c r="X196" s="168"/>
      <c r="Y196" s="168"/>
      <c r="Z196" s="168">
        <v>2</v>
      </c>
      <c r="AA196" s="168">
        <v>2</v>
      </c>
      <c r="AB196" s="168">
        <v>4</v>
      </c>
      <c r="AC196" s="168">
        <v>1</v>
      </c>
      <c r="AD196" s="168">
        <v>2</v>
      </c>
      <c r="AE196" s="168"/>
      <c r="AF196" s="248"/>
      <c r="AG196" s="169">
        <f t="shared" si="20"/>
        <v>45</v>
      </c>
    </row>
    <row r="197" spans="1:33" ht="15.75" customHeight="1" x14ac:dyDescent="0.25">
      <c r="A197" s="170" t="s">
        <v>136</v>
      </c>
      <c r="B197" s="65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222"/>
      <c r="AG197" s="15">
        <f t="shared" si="20"/>
        <v>0</v>
      </c>
    </row>
    <row r="198" spans="1:33" ht="15.75" customHeight="1" x14ac:dyDescent="0.25">
      <c r="A198" s="170" t="s">
        <v>137</v>
      </c>
      <c r="B198" s="65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222"/>
      <c r="AG198" s="15">
        <f t="shared" si="20"/>
        <v>0</v>
      </c>
    </row>
    <row r="199" spans="1:33" ht="15.75" customHeight="1" x14ac:dyDescent="0.25">
      <c r="A199" s="170" t="s">
        <v>138</v>
      </c>
      <c r="B199" s="65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222"/>
      <c r="AG199" s="15">
        <f t="shared" si="20"/>
        <v>0</v>
      </c>
    </row>
    <row r="200" spans="1:33" ht="15.75" customHeight="1" x14ac:dyDescent="0.25">
      <c r="A200" s="170" t="s">
        <v>139</v>
      </c>
      <c r="B200" s="65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222"/>
      <c r="AG200" s="15">
        <f t="shared" si="20"/>
        <v>0</v>
      </c>
    </row>
    <row r="201" spans="1:33" ht="15.75" customHeight="1" x14ac:dyDescent="0.25">
      <c r="A201" s="170" t="s">
        <v>140</v>
      </c>
      <c r="B201" s="65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222"/>
      <c r="AG201" s="15">
        <f t="shared" si="20"/>
        <v>0</v>
      </c>
    </row>
    <row r="202" spans="1:33" ht="15.75" customHeight="1" x14ac:dyDescent="0.25">
      <c r="A202" s="170" t="s">
        <v>141</v>
      </c>
      <c r="B202" s="65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222"/>
      <c r="AG202" s="15">
        <f t="shared" si="20"/>
        <v>0</v>
      </c>
    </row>
    <row r="203" spans="1:33" ht="15.75" customHeight="1" x14ac:dyDescent="0.25">
      <c r="A203" s="64" t="s">
        <v>142</v>
      </c>
      <c r="B203" s="65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222"/>
      <c r="AG203" s="15">
        <f t="shared" si="20"/>
        <v>0</v>
      </c>
    </row>
    <row r="204" spans="1:33" ht="15.75" customHeight="1" x14ac:dyDescent="0.25">
      <c r="A204" s="64" t="s">
        <v>143</v>
      </c>
      <c r="B204" s="65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222"/>
      <c r="AG204" s="15">
        <f t="shared" si="20"/>
        <v>0</v>
      </c>
    </row>
    <row r="205" spans="1:33" ht="15.75" customHeight="1" x14ac:dyDescent="0.25">
      <c r="A205" s="64" t="s">
        <v>144</v>
      </c>
      <c r="B205" s="65"/>
      <c r="C205" s="66"/>
      <c r="D205" s="66"/>
      <c r="E205" s="66"/>
      <c r="F205" s="66"/>
      <c r="G205" s="66"/>
      <c r="H205" s="66">
        <v>1</v>
      </c>
      <c r="I205" s="66"/>
      <c r="J205" s="66"/>
      <c r="K205" s="66"/>
      <c r="L205" s="66">
        <v>1</v>
      </c>
      <c r="M205" s="66"/>
      <c r="N205" s="66"/>
      <c r="O205" s="66"/>
      <c r="P205" s="66"/>
      <c r="Q205" s="66"/>
      <c r="R205" s="66"/>
      <c r="S205" s="66"/>
      <c r="T205" s="66"/>
      <c r="U205" s="66">
        <v>1</v>
      </c>
      <c r="V205" s="66"/>
      <c r="W205" s="66"/>
      <c r="X205" s="66"/>
      <c r="Y205" s="66"/>
      <c r="Z205" s="66"/>
      <c r="AA205" s="66"/>
      <c r="AB205" s="66">
        <v>1</v>
      </c>
      <c r="AC205" s="66"/>
      <c r="AD205" s="66">
        <v>1</v>
      </c>
      <c r="AE205" s="66"/>
      <c r="AF205" s="222"/>
      <c r="AG205" s="15">
        <f t="shared" si="20"/>
        <v>5</v>
      </c>
    </row>
    <row r="206" spans="1:33" ht="15.75" customHeight="1" x14ac:dyDescent="0.25">
      <c r="A206" s="64" t="s">
        <v>145</v>
      </c>
      <c r="B206" s="171">
        <v>1</v>
      </c>
      <c r="C206" s="172"/>
      <c r="D206" s="172"/>
      <c r="E206" s="172"/>
      <c r="F206" s="172"/>
      <c r="G206" s="172"/>
      <c r="H206" s="172">
        <v>1</v>
      </c>
      <c r="I206" s="172">
        <v>1</v>
      </c>
      <c r="J206" s="172">
        <v>1</v>
      </c>
      <c r="K206" s="172"/>
      <c r="L206" s="172"/>
      <c r="M206" s="172"/>
      <c r="N206" s="172"/>
      <c r="O206" s="172">
        <v>1</v>
      </c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>
        <v>1</v>
      </c>
      <c r="AA206" s="172"/>
      <c r="AB206" s="172"/>
      <c r="AC206" s="172"/>
      <c r="AD206" s="172">
        <v>1</v>
      </c>
      <c r="AE206" s="172">
        <v>1</v>
      </c>
      <c r="AF206" s="249"/>
      <c r="AG206" s="15">
        <f t="shared" si="20"/>
        <v>8</v>
      </c>
    </row>
    <row r="207" spans="1:33" ht="15.75" customHeight="1" x14ac:dyDescent="0.25">
      <c r="A207" s="173" t="s">
        <v>146</v>
      </c>
      <c r="B207" s="171">
        <v>1</v>
      </c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  <c r="AA207" s="172"/>
      <c r="AB207" s="172"/>
      <c r="AC207" s="172"/>
      <c r="AD207" s="172"/>
      <c r="AE207" s="172"/>
      <c r="AF207" s="249"/>
      <c r="AG207" s="15">
        <f t="shared" si="20"/>
        <v>1</v>
      </c>
    </row>
    <row r="208" spans="1:33" ht="15.75" customHeight="1" thickBot="1" x14ac:dyDescent="0.3">
      <c r="A208" s="174" t="s">
        <v>147</v>
      </c>
      <c r="B208" s="171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>
        <v>1</v>
      </c>
      <c r="S208" s="172"/>
      <c r="T208" s="172"/>
      <c r="U208" s="172"/>
      <c r="V208" s="172"/>
      <c r="W208" s="172"/>
      <c r="X208" s="172"/>
      <c r="Y208" s="172">
        <v>1</v>
      </c>
      <c r="Z208" s="172"/>
      <c r="AA208" s="172"/>
      <c r="AB208" s="172"/>
      <c r="AC208" s="172"/>
      <c r="AD208" s="172"/>
      <c r="AE208" s="172"/>
      <c r="AF208" s="249"/>
      <c r="AG208" s="106">
        <f t="shared" si="20"/>
        <v>2</v>
      </c>
    </row>
    <row r="209" spans="1:34" ht="15.75" customHeight="1" thickBot="1" x14ac:dyDescent="0.3">
      <c r="A209" s="175" t="s">
        <v>148</v>
      </c>
      <c r="B209" s="176">
        <f t="shared" ref="B209:AF209" si="27">SUM(B210:B214)</f>
        <v>177</v>
      </c>
      <c r="C209" s="177">
        <f t="shared" si="27"/>
        <v>148</v>
      </c>
      <c r="D209" s="177">
        <f t="shared" si="27"/>
        <v>187</v>
      </c>
      <c r="E209" s="177">
        <f t="shared" si="27"/>
        <v>145</v>
      </c>
      <c r="F209" s="177">
        <f t="shared" si="27"/>
        <v>146</v>
      </c>
      <c r="G209" s="177">
        <f t="shared" si="27"/>
        <v>163</v>
      </c>
      <c r="H209" s="177">
        <f t="shared" si="27"/>
        <v>136</v>
      </c>
      <c r="I209" s="177">
        <f t="shared" si="27"/>
        <v>160</v>
      </c>
      <c r="J209" s="177">
        <f t="shared" si="27"/>
        <v>169</v>
      </c>
      <c r="K209" s="177">
        <f t="shared" si="27"/>
        <v>171</v>
      </c>
      <c r="L209" s="177">
        <f t="shared" si="27"/>
        <v>153</v>
      </c>
      <c r="M209" s="177">
        <f t="shared" si="27"/>
        <v>156</v>
      </c>
      <c r="N209" s="177">
        <f t="shared" si="27"/>
        <v>156</v>
      </c>
      <c r="O209" s="177">
        <f t="shared" si="27"/>
        <v>143</v>
      </c>
      <c r="P209" s="177">
        <f t="shared" si="27"/>
        <v>173</v>
      </c>
      <c r="Q209" s="177">
        <f t="shared" si="27"/>
        <v>141</v>
      </c>
      <c r="R209" s="177">
        <f t="shared" si="27"/>
        <v>177</v>
      </c>
      <c r="S209" s="177">
        <f t="shared" si="27"/>
        <v>186</v>
      </c>
      <c r="T209" s="177">
        <f t="shared" si="27"/>
        <v>185</v>
      </c>
      <c r="U209" s="177">
        <f t="shared" si="27"/>
        <v>152</v>
      </c>
      <c r="V209" s="177">
        <f t="shared" si="27"/>
        <v>160</v>
      </c>
      <c r="W209" s="177">
        <f t="shared" si="27"/>
        <v>156</v>
      </c>
      <c r="X209" s="177">
        <f t="shared" si="27"/>
        <v>163</v>
      </c>
      <c r="Y209" s="177">
        <f t="shared" si="27"/>
        <v>182</v>
      </c>
      <c r="Z209" s="177">
        <f t="shared" si="27"/>
        <v>181</v>
      </c>
      <c r="AA209" s="177">
        <f t="shared" si="27"/>
        <v>166</v>
      </c>
      <c r="AB209" s="177">
        <f t="shared" si="27"/>
        <v>188</v>
      </c>
      <c r="AC209" s="177">
        <f t="shared" si="27"/>
        <v>182</v>
      </c>
      <c r="AD209" s="177">
        <f t="shared" si="27"/>
        <v>153</v>
      </c>
      <c r="AE209" s="177">
        <f t="shared" si="27"/>
        <v>184</v>
      </c>
      <c r="AF209" s="250">
        <f t="shared" si="27"/>
        <v>199</v>
      </c>
      <c r="AG209" s="178">
        <f t="shared" si="20"/>
        <v>5138</v>
      </c>
      <c r="AH209" s="40" t="str">
        <f>IF(AG209&lt;&gt;AG93,"X","")</f>
        <v/>
      </c>
    </row>
    <row r="210" spans="1:34" ht="15.75" customHeight="1" x14ac:dyDescent="0.25">
      <c r="A210" s="179" t="s">
        <v>149</v>
      </c>
      <c r="B210" s="180">
        <v>0</v>
      </c>
      <c r="C210" s="181">
        <v>0</v>
      </c>
      <c r="D210" s="181">
        <v>0</v>
      </c>
      <c r="E210" s="181">
        <v>0</v>
      </c>
      <c r="F210" s="181">
        <v>0</v>
      </c>
      <c r="G210" s="181">
        <v>0</v>
      </c>
      <c r="H210" s="181">
        <v>0</v>
      </c>
      <c r="I210" s="181">
        <v>0</v>
      </c>
      <c r="J210" s="181">
        <v>0</v>
      </c>
      <c r="K210" s="181">
        <v>0</v>
      </c>
      <c r="L210" s="181">
        <v>0</v>
      </c>
      <c r="M210" s="181">
        <v>0</v>
      </c>
      <c r="N210" s="181">
        <v>0</v>
      </c>
      <c r="O210" s="181">
        <v>0</v>
      </c>
      <c r="P210" s="181">
        <v>0</v>
      </c>
      <c r="Q210" s="181">
        <v>0</v>
      </c>
      <c r="R210" s="181">
        <v>0</v>
      </c>
      <c r="S210" s="181">
        <v>0</v>
      </c>
      <c r="T210" s="181">
        <v>0</v>
      </c>
      <c r="U210" s="181">
        <v>0</v>
      </c>
      <c r="V210" s="181">
        <v>0</v>
      </c>
      <c r="W210" s="181">
        <v>0</v>
      </c>
      <c r="X210" s="181">
        <v>0</v>
      </c>
      <c r="Y210" s="181">
        <v>0</v>
      </c>
      <c r="Z210" s="181">
        <v>0</v>
      </c>
      <c r="AA210" s="181">
        <v>0</v>
      </c>
      <c r="AB210" s="181">
        <v>0</v>
      </c>
      <c r="AC210" s="181">
        <v>0</v>
      </c>
      <c r="AD210" s="181">
        <v>0</v>
      </c>
      <c r="AE210" s="181">
        <v>0</v>
      </c>
      <c r="AF210" s="251">
        <v>1</v>
      </c>
      <c r="AG210" s="182">
        <f t="shared" si="20"/>
        <v>1</v>
      </c>
    </row>
    <row r="211" spans="1:34" ht="15.75" customHeight="1" x14ac:dyDescent="0.25">
      <c r="A211" s="183" t="s">
        <v>51</v>
      </c>
      <c r="B211" s="184">
        <v>4</v>
      </c>
      <c r="C211" s="185">
        <v>3</v>
      </c>
      <c r="D211" s="185">
        <v>5</v>
      </c>
      <c r="E211" s="185">
        <v>2</v>
      </c>
      <c r="F211" s="185">
        <v>3</v>
      </c>
      <c r="G211" s="185">
        <v>4</v>
      </c>
      <c r="H211" s="185">
        <v>6</v>
      </c>
      <c r="I211" s="185">
        <v>5</v>
      </c>
      <c r="J211" s="185">
        <v>5</v>
      </c>
      <c r="K211" s="185">
        <v>1</v>
      </c>
      <c r="L211" s="185">
        <v>3</v>
      </c>
      <c r="M211" s="185">
        <v>7</v>
      </c>
      <c r="N211" s="185">
        <v>0</v>
      </c>
      <c r="O211" s="185">
        <v>1</v>
      </c>
      <c r="P211" s="185">
        <v>1</v>
      </c>
      <c r="Q211" s="185">
        <v>1</v>
      </c>
      <c r="R211" s="185">
        <v>2</v>
      </c>
      <c r="S211" s="185">
        <v>1</v>
      </c>
      <c r="T211" s="185">
        <v>4</v>
      </c>
      <c r="U211" s="185">
        <v>1</v>
      </c>
      <c r="V211" s="185">
        <v>4</v>
      </c>
      <c r="W211" s="185">
        <v>4</v>
      </c>
      <c r="X211" s="185">
        <v>2</v>
      </c>
      <c r="Y211" s="185">
        <v>2</v>
      </c>
      <c r="Z211" s="185">
        <v>1</v>
      </c>
      <c r="AA211" s="185">
        <v>2</v>
      </c>
      <c r="AB211" s="185">
        <v>7</v>
      </c>
      <c r="AC211" s="185">
        <v>0</v>
      </c>
      <c r="AD211" s="185">
        <v>1</v>
      </c>
      <c r="AE211" s="185">
        <v>3</v>
      </c>
      <c r="AF211" s="252">
        <v>6</v>
      </c>
      <c r="AG211" s="186">
        <f t="shared" si="20"/>
        <v>91</v>
      </c>
    </row>
    <row r="212" spans="1:34" ht="15.75" customHeight="1" x14ac:dyDescent="0.25">
      <c r="A212" s="183" t="s">
        <v>52</v>
      </c>
      <c r="B212" s="184">
        <v>26</v>
      </c>
      <c r="C212" s="185">
        <v>26</v>
      </c>
      <c r="D212" s="185">
        <v>28</v>
      </c>
      <c r="E212" s="185">
        <v>16</v>
      </c>
      <c r="F212" s="185">
        <v>24</v>
      </c>
      <c r="G212" s="185">
        <v>25</v>
      </c>
      <c r="H212" s="185">
        <v>25</v>
      </c>
      <c r="I212" s="185">
        <v>27</v>
      </c>
      <c r="J212" s="185">
        <v>25</v>
      </c>
      <c r="K212" s="185">
        <v>23</v>
      </c>
      <c r="L212" s="185">
        <v>20</v>
      </c>
      <c r="M212" s="185">
        <v>30</v>
      </c>
      <c r="N212" s="185">
        <v>17</v>
      </c>
      <c r="O212" s="185">
        <v>26</v>
      </c>
      <c r="P212" s="185">
        <v>21</v>
      </c>
      <c r="Q212" s="185">
        <v>16</v>
      </c>
      <c r="R212" s="185">
        <v>31</v>
      </c>
      <c r="S212" s="185">
        <v>39</v>
      </c>
      <c r="T212" s="185">
        <v>30</v>
      </c>
      <c r="U212" s="185">
        <v>25</v>
      </c>
      <c r="V212" s="185">
        <v>40</v>
      </c>
      <c r="W212" s="185">
        <v>25</v>
      </c>
      <c r="X212" s="185">
        <v>31</v>
      </c>
      <c r="Y212" s="185">
        <v>29</v>
      </c>
      <c r="Z212" s="185">
        <v>28</v>
      </c>
      <c r="AA212" s="185">
        <v>29</v>
      </c>
      <c r="AB212" s="185">
        <v>33</v>
      </c>
      <c r="AC212" s="185">
        <v>37</v>
      </c>
      <c r="AD212" s="185">
        <v>19</v>
      </c>
      <c r="AE212" s="185">
        <v>39</v>
      </c>
      <c r="AF212" s="252">
        <v>48</v>
      </c>
      <c r="AG212" s="186">
        <f t="shared" si="20"/>
        <v>858</v>
      </c>
    </row>
    <row r="213" spans="1:34" ht="15.75" customHeight="1" x14ac:dyDescent="0.25">
      <c r="A213" s="183" t="s">
        <v>53</v>
      </c>
      <c r="B213" s="184">
        <v>110</v>
      </c>
      <c r="C213" s="185">
        <v>95</v>
      </c>
      <c r="D213" s="185">
        <v>128</v>
      </c>
      <c r="E213" s="185">
        <v>97</v>
      </c>
      <c r="F213" s="185">
        <v>81</v>
      </c>
      <c r="G213" s="185">
        <v>111</v>
      </c>
      <c r="H213" s="185">
        <v>79</v>
      </c>
      <c r="I213" s="185">
        <v>96</v>
      </c>
      <c r="J213" s="185">
        <v>102</v>
      </c>
      <c r="K213" s="185">
        <v>90</v>
      </c>
      <c r="L213" s="185">
        <v>98</v>
      </c>
      <c r="M213" s="185">
        <v>95</v>
      </c>
      <c r="N213" s="185">
        <v>111</v>
      </c>
      <c r="O213" s="185">
        <v>85</v>
      </c>
      <c r="P213" s="185">
        <v>102</v>
      </c>
      <c r="Q213" s="185">
        <v>85</v>
      </c>
      <c r="R213" s="185">
        <v>126</v>
      </c>
      <c r="S213" s="185">
        <v>122</v>
      </c>
      <c r="T213" s="185">
        <v>120</v>
      </c>
      <c r="U213" s="185">
        <v>102</v>
      </c>
      <c r="V213" s="185">
        <v>96</v>
      </c>
      <c r="W213" s="185">
        <v>94</v>
      </c>
      <c r="X213" s="185">
        <v>110</v>
      </c>
      <c r="Y213" s="185">
        <v>127</v>
      </c>
      <c r="Z213" s="185">
        <v>135</v>
      </c>
      <c r="AA213" s="185">
        <v>99</v>
      </c>
      <c r="AB213" s="185">
        <v>124</v>
      </c>
      <c r="AC213" s="185">
        <v>121</v>
      </c>
      <c r="AD213" s="185">
        <v>97</v>
      </c>
      <c r="AE213" s="185">
        <v>107</v>
      </c>
      <c r="AF213" s="252">
        <v>124</v>
      </c>
      <c r="AG213" s="186">
        <f t="shared" si="20"/>
        <v>3269</v>
      </c>
    </row>
    <row r="214" spans="1:34" ht="15.75" customHeight="1" thickBot="1" x14ac:dyDescent="0.3">
      <c r="A214" s="187" t="s">
        <v>54</v>
      </c>
      <c r="B214" s="188">
        <v>37</v>
      </c>
      <c r="C214" s="189">
        <v>24</v>
      </c>
      <c r="D214" s="189">
        <v>26</v>
      </c>
      <c r="E214" s="189">
        <v>30</v>
      </c>
      <c r="F214" s="189">
        <v>38</v>
      </c>
      <c r="G214" s="189">
        <v>23</v>
      </c>
      <c r="H214" s="189">
        <v>26</v>
      </c>
      <c r="I214" s="189">
        <v>32</v>
      </c>
      <c r="J214" s="189">
        <v>37</v>
      </c>
      <c r="K214" s="189">
        <v>57</v>
      </c>
      <c r="L214" s="189">
        <v>32</v>
      </c>
      <c r="M214" s="189">
        <v>24</v>
      </c>
      <c r="N214" s="189">
        <v>28</v>
      </c>
      <c r="O214" s="189">
        <v>31</v>
      </c>
      <c r="P214" s="189">
        <v>49</v>
      </c>
      <c r="Q214" s="189">
        <v>39</v>
      </c>
      <c r="R214" s="189">
        <v>18</v>
      </c>
      <c r="S214" s="189">
        <v>24</v>
      </c>
      <c r="T214" s="189">
        <v>31</v>
      </c>
      <c r="U214" s="189">
        <v>24</v>
      </c>
      <c r="V214" s="189">
        <v>20</v>
      </c>
      <c r="W214" s="189">
        <v>33</v>
      </c>
      <c r="X214" s="189">
        <v>20</v>
      </c>
      <c r="Y214" s="189">
        <v>24</v>
      </c>
      <c r="Z214" s="189">
        <v>17</v>
      </c>
      <c r="AA214" s="189">
        <v>36</v>
      </c>
      <c r="AB214" s="189">
        <v>24</v>
      </c>
      <c r="AC214" s="189">
        <v>24</v>
      </c>
      <c r="AD214" s="189">
        <v>36</v>
      </c>
      <c r="AE214" s="189">
        <v>35</v>
      </c>
      <c r="AF214" s="253">
        <v>20</v>
      </c>
      <c r="AG214" s="190">
        <f t="shared" si="20"/>
        <v>919</v>
      </c>
    </row>
    <row r="215" spans="1:34" ht="15.75" customHeight="1" thickBot="1" x14ac:dyDescent="0.3">
      <c r="A215" s="113" t="s">
        <v>150</v>
      </c>
      <c r="B215" s="114">
        <f t="shared" ref="B215:AF215" si="28">SUM(B216:B218)</f>
        <v>0</v>
      </c>
      <c r="C215" s="115">
        <f t="shared" si="28"/>
        <v>0</v>
      </c>
      <c r="D215" s="115">
        <f t="shared" si="28"/>
        <v>0</v>
      </c>
      <c r="E215" s="115">
        <f t="shared" si="28"/>
        <v>0</v>
      </c>
      <c r="F215" s="115">
        <f t="shared" si="28"/>
        <v>0</v>
      </c>
      <c r="G215" s="115">
        <f t="shared" si="28"/>
        <v>0</v>
      </c>
      <c r="H215" s="115">
        <f t="shared" si="28"/>
        <v>0</v>
      </c>
      <c r="I215" s="115">
        <f t="shared" si="28"/>
        <v>0</v>
      </c>
      <c r="J215" s="115">
        <f t="shared" si="28"/>
        <v>0</v>
      </c>
      <c r="K215" s="115">
        <f t="shared" si="28"/>
        <v>0</v>
      </c>
      <c r="L215" s="115">
        <f t="shared" si="28"/>
        <v>0</v>
      </c>
      <c r="M215" s="115">
        <f t="shared" si="28"/>
        <v>0</v>
      </c>
      <c r="N215" s="115">
        <f t="shared" si="28"/>
        <v>0</v>
      </c>
      <c r="O215" s="115">
        <f t="shared" si="28"/>
        <v>0</v>
      </c>
      <c r="P215" s="115">
        <f t="shared" si="28"/>
        <v>0</v>
      </c>
      <c r="Q215" s="115">
        <f t="shared" si="28"/>
        <v>0</v>
      </c>
      <c r="R215" s="115">
        <f t="shared" si="28"/>
        <v>0</v>
      </c>
      <c r="S215" s="115">
        <f t="shared" si="28"/>
        <v>0</v>
      </c>
      <c r="T215" s="115">
        <f t="shared" si="28"/>
        <v>0</v>
      </c>
      <c r="U215" s="115">
        <f t="shared" si="28"/>
        <v>0</v>
      </c>
      <c r="V215" s="115">
        <f t="shared" si="28"/>
        <v>0</v>
      </c>
      <c r="W215" s="115">
        <f t="shared" si="28"/>
        <v>0</v>
      </c>
      <c r="X215" s="115">
        <f t="shared" si="28"/>
        <v>0</v>
      </c>
      <c r="Y215" s="115">
        <f t="shared" si="28"/>
        <v>0</v>
      </c>
      <c r="Z215" s="115">
        <f t="shared" si="28"/>
        <v>0</v>
      </c>
      <c r="AA215" s="115">
        <f t="shared" si="28"/>
        <v>0</v>
      </c>
      <c r="AB215" s="115">
        <f t="shared" si="28"/>
        <v>0</v>
      </c>
      <c r="AC215" s="115">
        <f t="shared" si="28"/>
        <v>0</v>
      </c>
      <c r="AD215" s="115">
        <f t="shared" si="28"/>
        <v>0</v>
      </c>
      <c r="AE215" s="115">
        <f t="shared" si="28"/>
        <v>0</v>
      </c>
      <c r="AF215" s="234">
        <f t="shared" si="28"/>
        <v>0</v>
      </c>
      <c r="AG215" s="116">
        <f t="shared" si="20"/>
        <v>0</v>
      </c>
    </row>
    <row r="216" spans="1:34" ht="15.75" customHeight="1" x14ac:dyDescent="0.25">
      <c r="A216" s="191" t="s">
        <v>151</v>
      </c>
      <c r="B216" s="192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254"/>
      <c r="AG216" s="194">
        <f t="shared" si="20"/>
        <v>0</v>
      </c>
    </row>
    <row r="217" spans="1:34" ht="15.75" customHeight="1" x14ac:dyDescent="0.25">
      <c r="A217" s="195" t="s">
        <v>152</v>
      </c>
      <c r="B217" s="196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255"/>
      <c r="AG217" s="164">
        <f t="shared" si="20"/>
        <v>0</v>
      </c>
    </row>
    <row r="218" spans="1:34" ht="15.75" customHeight="1" thickBot="1" x14ac:dyDescent="0.3">
      <c r="A218" s="195" t="s">
        <v>153</v>
      </c>
      <c r="B218" s="196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255"/>
      <c r="AG218" s="164">
        <f t="shared" si="20"/>
        <v>0</v>
      </c>
    </row>
    <row r="219" spans="1:34" ht="15.75" customHeight="1" thickBot="1" x14ac:dyDescent="0.3">
      <c r="A219" s="88" t="s">
        <v>154</v>
      </c>
      <c r="B219" s="89">
        <f t="shared" ref="B219:AF219" si="29">SUM(B220:B222)</f>
        <v>0</v>
      </c>
      <c r="C219" s="90">
        <f t="shared" si="29"/>
        <v>0</v>
      </c>
      <c r="D219" s="90">
        <f t="shared" si="29"/>
        <v>0</v>
      </c>
      <c r="E219" s="90">
        <f t="shared" si="29"/>
        <v>0</v>
      </c>
      <c r="F219" s="90">
        <f t="shared" si="29"/>
        <v>0</v>
      </c>
      <c r="G219" s="90">
        <f t="shared" si="29"/>
        <v>0</v>
      </c>
      <c r="H219" s="90">
        <f t="shared" si="29"/>
        <v>0</v>
      </c>
      <c r="I219" s="90">
        <f t="shared" si="29"/>
        <v>0</v>
      </c>
      <c r="J219" s="90">
        <f t="shared" si="29"/>
        <v>0</v>
      </c>
      <c r="K219" s="90">
        <f t="shared" si="29"/>
        <v>0</v>
      </c>
      <c r="L219" s="90">
        <f t="shared" si="29"/>
        <v>0</v>
      </c>
      <c r="M219" s="90">
        <f t="shared" si="29"/>
        <v>0</v>
      </c>
      <c r="N219" s="90">
        <f t="shared" si="29"/>
        <v>0</v>
      </c>
      <c r="O219" s="90">
        <f t="shared" si="29"/>
        <v>0</v>
      </c>
      <c r="P219" s="90">
        <f t="shared" si="29"/>
        <v>0</v>
      </c>
      <c r="Q219" s="90">
        <f t="shared" si="29"/>
        <v>0</v>
      </c>
      <c r="R219" s="90">
        <f t="shared" si="29"/>
        <v>0</v>
      </c>
      <c r="S219" s="90">
        <f t="shared" si="29"/>
        <v>0</v>
      </c>
      <c r="T219" s="90">
        <f t="shared" si="29"/>
        <v>0</v>
      </c>
      <c r="U219" s="90">
        <f t="shared" si="29"/>
        <v>0</v>
      </c>
      <c r="V219" s="90">
        <f t="shared" si="29"/>
        <v>0</v>
      </c>
      <c r="W219" s="90">
        <f t="shared" si="29"/>
        <v>0</v>
      </c>
      <c r="X219" s="90">
        <f t="shared" si="29"/>
        <v>0</v>
      </c>
      <c r="Y219" s="90">
        <f t="shared" si="29"/>
        <v>0</v>
      </c>
      <c r="Z219" s="90">
        <f t="shared" si="29"/>
        <v>0</v>
      </c>
      <c r="AA219" s="90">
        <f t="shared" si="29"/>
        <v>0</v>
      </c>
      <c r="AB219" s="90">
        <f t="shared" si="29"/>
        <v>0</v>
      </c>
      <c r="AC219" s="90">
        <f t="shared" si="29"/>
        <v>0</v>
      </c>
      <c r="AD219" s="90">
        <f t="shared" si="29"/>
        <v>0</v>
      </c>
      <c r="AE219" s="90">
        <f t="shared" si="29"/>
        <v>0</v>
      </c>
      <c r="AF219" s="90">
        <f t="shared" si="29"/>
        <v>0</v>
      </c>
      <c r="AG219" s="91">
        <f t="shared" si="20"/>
        <v>0</v>
      </c>
    </row>
    <row r="220" spans="1:34" ht="15.75" customHeight="1" x14ac:dyDescent="0.25">
      <c r="A220" s="198" t="s">
        <v>155</v>
      </c>
      <c r="B220" s="199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1">
        <f t="shared" si="20"/>
        <v>0</v>
      </c>
    </row>
    <row r="221" spans="1:34" ht="15.75" customHeight="1" x14ac:dyDescent="0.25">
      <c r="A221" s="202" t="s">
        <v>156</v>
      </c>
      <c r="B221" s="120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2">
        <f t="shared" si="20"/>
        <v>0</v>
      </c>
    </row>
    <row r="222" spans="1:34" ht="15.75" customHeight="1" thickBot="1" x14ac:dyDescent="0.3">
      <c r="A222" s="74" t="s">
        <v>157</v>
      </c>
      <c r="B222" s="75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112">
        <f t="shared" si="20"/>
        <v>0</v>
      </c>
    </row>
    <row r="223" spans="1:34" ht="15.75" customHeight="1" x14ac:dyDescent="0.25">
      <c r="A223" s="203" t="s">
        <v>158</v>
      </c>
      <c r="B223" s="85">
        <f t="shared" ref="B223:AF223" si="30">SUM(B224:B226)</f>
        <v>2</v>
      </c>
      <c r="C223" s="86">
        <f t="shared" si="30"/>
        <v>0</v>
      </c>
      <c r="D223" s="86">
        <f t="shared" si="30"/>
        <v>0</v>
      </c>
      <c r="E223" s="86">
        <f t="shared" si="30"/>
        <v>3</v>
      </c>
      <c r="F223" s="86">
        <f t="shared" si="30"/>
        <v>2</v>
      </c>
      <c r="G223" s="86">
        <f t="shared" si="30"/>
        <v>4</v>
      </c>
      <c r="H223" s="86">
        <f t="shared" si="30"/>
        <v>4</v>
      </c>
      <c r="I223" s="86">
        <f t="shared" si="30"/>
        <v>3</v>
      </c>
      <c r="J223" s="86">
        <f t="shared" si="30"/>
        <v>3</v>
      </c>
      <c r="K223" s="86">
        <f t="shared" si="30"/>
        <v>3</v>
      </c>
      <c r="L223" s="86">
        <f t="shared" si="30"/>
        <v>2</v>
      </c>
      <c r="M223" s="86">
        <f t="shared" si="30"/>
        <v>2</v>
      </c>
      <c r="N223" s="86">
        <f t="shared" si="30"/>
        <v>3</v>
      </c>
      <c r="O223" s="86">
        <f t="shared" si="30"/>
        <v>3</v>
      </c>
      <c r="P223" s="86">
        <f t="shared" si="30"/>
        <v>4</v>
      </c>
      <c r="Q223" s="86">
        <f t="shared" si="30"/>
        <v>0</v>
      </c>
      <c r="R223" s="86">
        <f t="shared" si="30"/>
        <v>2</v>
      </c>
      <c r="S223" s="86">
        <f t="shared" si="30"/>
        <v>2</v>
      </c>
      <c r="T223" s="86">
        <f t="shared" si="30"/>
        <v>1</v>
      </c>
      <c r="U223" s="86">
        <f t="shared" si="30"/>
        <v>2</v>
      </c>
      <c r="V223" s="86">
        <f t="shared" si="30"/>
        <v>3</v>
      </c>
      <c r="W223" s="86">
        <f t="shared" si="30"/>
        <v>5</v>
      </c>
      <c r="X223" s="86">
        <f t="shared" si="30"/>
        <v>3</v>
      </c>
      <c r="Y223" s="86">
        <f t="shared" si="30"/>
        <v>3</v>
      </c>
      <c r="Z223" s="86">
        <f t="shared" si="30"/>
        <v>2</v>
      </c>
      <c r="AA223" s="86">
        <f t="shared" si="30"/>
        <v>3</v>
      </c>
      <c r="AB223" s="86">
        <f t="shared" si="30"/>
        <v>3</v>
      </c>
      <c r="AC223" s="86">
        <f t="shared" si="30"/>
        <v>4</v>
      </c>
      <c r="AD223" s="86">
        <f t="shared" si="30"/>
        <v>2</v>
      </c>
      <c r="AE223" s="86">
        <f t="shared" si="30"/>
        <v>3</v>
      </c>
      <c r="AF223" s="86">
        <f t="shared" si="30"/>
        <v>4</v>
      </c>
      <c r="AG223" s="110">
        <f t="shared" si="20"/>
        <v>80</v>
      </c>
      <c r="AH223" s="364" t="s">
        <v>159</v>
      </c>
    </row>
    <row r="224" spans="1:34" ht="15.75" customHeight="1" x14ac:dyDescent="0.25">
      <c r="A224" s="204" t="s">
        <v>160</v>
      </c>
      <c r="B224" s="205">
        <v>2</v>
      </c>
      <c r="C224" s="206">
        <v>0</v>
      </c>
      <c r="D224" s="206">
        <v>0</v>
      </c>
      <c r="E224" s="206">
        <v>1</v>
      </c>
      <c r="F224" s="206">
        <v>1</v>
      </c>
      <c r="G224" s="206">
        <v>2</v>
      </c>
      <c r="H224" s="206">
        <v>3</v>
      </c>
      <c r="I224" s="206">
        <v>1</v>
      </c>
      <c r="J224" s="206">
        <v>0</v>
      </c>
      <c r="K224" s="206">
        <v>2</v>
      </c>
      <c r="L224" s="206">
        <v>1</v>
      </c>
      <c r="M224" s="206">
        <v>1</v>
      </c>
      <c r="N224" s="205">
        <v>0</v>
      </c>
      <c r="O224" s="206">
        <v>1</v>
      </c>
      <c r="P224" s="206">
        <v>0</v>
      </c>
      <c r="Q224" s="206">
        <v>0</v>
      </c>
      <c r="R224" s="206">
        <v>1</v>
      </c>
      <c r="S224" s="206">
        <v>0</v>
      </c>
      <c r="T224" s="206">
        <v>0</v>
      </c>
      <c r="U224" s="206">
        <v>0</v>
      </c>
      <c r="V224" s="206">
        <v>2</v>
      </c>
      <c r="W224" s="206">
        <v>3</v>
      </c>
      <c r="X224" s="206">
        <v>0</v>
      </c>
      <c r="Y224" s="206">
        <v>1</v>
      </c>
      <c r="Z224" s="256">
        <v>0</v>
      </c>
      <c r="AA224" s="206">
        <v>2</v>
      </c>
      <c r="AB224" s="206">
        <v>0</v>
      </c>
      <c r="AC224" s="206">
        <v>2</v>
      </c>
      <c r="AD224" s="206">
        <v>1</v>
      </c>
      <c r="AE224" s="206">
        <v>1</v>
      </c>
      <c r="AF224" s="257">
        <v>1</v>
      </c>
      <c r="AG224" s="207">
        <f t="shared" si="20"/>
        <v>29</v>
      </c>
      <c r="AH224" s="365"/>
    </row>
    <row r="225" spans="1:34" ht="15.75" customHeight="1" x14ac:dyDescent="0.25">
      <c r="A225" s="204" t="s">
        <v>161</v>
      </c>
      <c r="B225" s="205">
        <v>0</v>
      </c>
      <c r="C225" s="206">
        <v>0</v>
      </c>
      <c r="D225" s="206">
        <v>0</v>
      </c>
      <c r="E225" s="206">
        <v>2</v>
      </c>
      <c r="F225" s="206">
        <v>1</v>
      </c>
      <c r="G225" s="206">
        <v>2</v>
      </c>
      <c r="H225" s="206">
        <v>1</v>
      </c>
      <c r="I225" s="206">
        <v>2</v>
      </c>
      <c r="J225" s="206">
        <v>3</v>
      </c>
      <c r="K225" s="206">
        <v>1</v>
      </c>
      <c r="L225" s="206">
        <v>1</v>
      </c>
      <c r="M225" s="206">
        <v>1</v>
      </c>
      <c r="N225" s="205">
        <v>3</v>
      </c>
      <c r="O225" s="206">
        <v>2</v>
      </c>
      <c r="P225" s="206">
        <v>4</v>
      </c>
      <c r="Q225" s="206">
        <v>0</v>
      </c>
      <c r="R225" s="206">
        <v>1</v>
      </c>
      <c r="S225" s="206">
        <v>2</v>
      </c>
      <c r="T225" s="206">
        <v>1</v>
      </c>
      <c r="U225" s="206">
        <v>2</v>
      </c>
      <c r="V225" s="206">
        <v>1</v>
      </c>
      <c r="W225" s="206">
        <v>2</v>
      </c>
      <c r="X225" s="206">
        <v>3</v>
      </c>
      <c r="Y225" s="206">
        <v>2</v>
      </c>
      <c r="Z225" s="256">
        <v>2</v>
      </c>
      <c r="AA225" s="206">
        <v>1</v>
      </c>
      <c r="AB225" s="206">
        <v>3</v>
      </c>
      <c r="AC225" s="206">
        <v>2</v>
      </c>
      <c r="AD225" s="206">
        <v>1</v>
      </c>
      <c r="AE225" s="206">
        <v>2</v>
      </c>
      <c r="AF225" s="257">
        <v>3</v>
      </c>
      <c r="AG225" s="207">
        <f t="shared" si="20"/>
        <v>51</v>
      </c>
      <c r="AH225" s="365"/>
    </row>
    <row r="226" spans="1:34" ht="15.75" customHeight="1" thickBot="1" x14ac:dyDescent="0.3">
      <c r="A226" s="208" t="s">
        <v>162</v>
      </c>
      <c r="B226" s="209"/>
      <c r="C226" s="210"/>
      <c r="D226" s="210"/>
      <c r="E226" s="210"/>
      <c r="F226" s="210"/>
      <c r="G226" s="210"/>
      <c r="H226" s="210"/>
      <c r="I226" s="210"/>
      <c r="J226" s="210"/>
      <c r="K226" s="211"/>
      <c r="L226" s="211"/>
      <c r="M226" s="211"/>
      <c r="N226" s="258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60"/>
      <c r="AG226" s="106">
        <f t="shared" si="20"/>
        <v>0</v>
      </c>
      <c r="AH226" s="366"/>
    </row>
    <row r="227" spans="1:34" ht="15.75" customHeight="1" x14ac:dyDescent="0.25"/>
    <row r="228" spans="1:34" ht="15.75" customHeight="1" x14ac:dyDescent="0.25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</row>
    <row r="229" spans="1:34" ht="15.75" customHeight="1" x14ac:dyDescent="0.25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</row>
    <row r="230" spans="1:34" ht="15.75" customHeight="1" x14ac:dyDescent="0.25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</row>
    <row r="231" spans="1:34" ht="15.75" customHeight="1" x14ac:dyDescent="0.25"/>
    <row r="232" spans="1:34" ht="15.75" customHeight="1" x14ac:dyDescent="0.25"/>
    <row r="233" spans="1:34" ht="15.75" customHeight="1" x14ac:dyDescent="0.25"/>
    <row r="234" spans="1:34" ht="15.75" customHeight="1" x14ac:dyDescent="0.25"/>
    <row r="235" spans="1:34" ht="15.75" customHeight="1" x14ac:dyDescent="0.25"/>
    <row r="236" spans="1:34" ht="15.75" customHeight="1" x14ac:dyDescent="0.25"/>
    <row r="237" spans="1:34" ht="15.75" customHeight="1" x14ac:dyDescent="0.25"/>
    <row r="238" spans="1:34" ht="15.75" customHeight="1" x14ac:dyDescent="0.25"/>
    <row r="239" spans="1:34" ht="15.75" customHeight="1" x14ac:dyDescent="0.25"/>
    <row r="240" spans="1:3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9.5" customHeight="1" x14ac:dyDescent="0.25"/>
    <row r="258" ht="15.75" customHeight="1" x14ac:dyDescent="0.25"/>
    <row r="259" ht="18.75" customHeight="1" x14ac:dyDescent="0.25"/>
    <row r="260" ht="15.75" customHeight="1" x14ac:dyDescent="0.25"/>
    <row r="261" ht="15.75" customHeight="1" x14ac:dyDescent="0.25"/>
    <row r="262" ht="18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G1"/>
    <mergeCell ref="AI84:AI86"/>
    <mergeCell ref="AH223:AH226"/>
  </mergeCells>
  <conditionalFormatting sqref="B29:AF52">
    <cfRule type="cellIs" dxfId="46" priority="5" operator="lessThan">
      <formula>0</formula>
    </cfRule>
  </conditionalFormatting>
  <conditionalFormatting sqref="D54:D77">
    <cfRule type="cellIs" dxfId="45" priority="9" operator="lessThan">
      <formula>0</formula>
    </cfRule>
  </conditionalFormatting>
  <conditionalFormatting sqref="G54:G77">
    <cfRule type="cellIs" dxfId="44" priority="10" operator="lessThan">
      <formula>0</formula>
    </cfRule>
  </conditionalFormatting>
  <conditionalFormatting sqref="AH81">
    <cfRule type="cellIs" dxfId="43" priority="7" operator="equal">
      <formula>"*"</formula>
    </cfRule>
  </conditionalFormatting>
  <conditionalFormatting sqref="AH84 AH87">
    <cfRule type="cellIs" dxfId="42" priority="6" operator="equal">
      <formula>"*"</formula>
    </cfRule>
  </conditionalFormatting>
  <conditionalFormatting sqref="AH93">
    <cfRule type="cellIs" dxfId="41" priority="1" operator="equal">
      <formula>"*"</formula>
    </cfRule>
  </conditionalFormatting>
  <conditionalFormatting sqref="AH130">
    <cfRule type="cellIs" dxfId="40" priority="3" operator="equal">
      <formula>"*"</formula>
    </cfRule>
  </conditionalFormatting>
  <conditionalFormatting sqref="AH144:AH145">
    <cfRule type="cellIs" dxfId="39" priority="2" operator="equal">
      <formula>"*"</formula>
    </cfRule>
  </conditionalFormatting>
  <conditionalFormatting sqref="AH182">
    <cfRule type="cellIs" dxfId="38" priority="4" operator="equal">
      <formula>"*"</formula>
    </cfRule>
  </conditionalFormatting>
  <conditionalFormatting sqref="AH209">
    <cfRule type="cellIs" dxfId="37" priority="8" operator="equal">
      <formula>"X"</formula>
    </cfRule>
  </conditionalFormatting>
  <dataValidations count="1">
    <dataValidation type="decimal" allowBlank="1" showInputMessage="1" showErrorMessage="1" prompt="ERROR - Por favor ingrese solo Números" sqref="A98:A99 A101:A115" xr:uid="{00000000-0002-0000-0800-000000000000}">
      <formula1>0</formula1>
      <formula2>1000000000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I1000"/>
  <sheetViews>
    <sheetView zoomScale="90" zoomScaleNormal="90" workbookViewId="0">
      <pane xSplit="1" ySplit="3" topLeftCell="B158" activePane="bottomRight" state="frozen"/>
      <selection activeCell="A192" sqref="A192:XFD192"/>
      <selection pane="topRight" activeCell="A192" sqref="A192:XFD192"/>
      <selection pane="bottomLeft" activeCell="A192" sqref="A192:XFD192"/>
      <selection pane="bottomRight" activeCell="A192" sqref="A192:XFD192"/>
    </sheetView>
  </sheetViews>
  <sheetFormatPr baseColWidth="10" defaultColWidth="14.42578125" defaultRowHeight="15" customHeight="1" x14ac:dyDescent="0.25"/>
  <cols>
    <col min="1" max="1" width="36.28515625" customWidth="1"/>
    <col min="2" max="13" width="8.28515625" customWidth="1"/>
    <col min="14" max="14" width="10.140625" customWidth="1"/>
    <col min="15" max="22" width="8.28515625" customWidth="1"/>
    <col min="23" max="23" width="9" customWidth="1"/>
    <col min="24" max="24" width="8.42578125" customWidth="1"/>
    <col min="2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  <col min="35" max="35" width="10.7109375" customWidth="1"/>
  </cols>
  <sheetData>
    <row r="1" spans="1:33" ht="21.75" thickBot="1" x14ac:dyDescent="0.3">
      <c r="A1" s="358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60"/>
    </row>
    <row r="2" spans="1:33" ht="29.25" thickBot="1" x14ac:dyDescent="0.3">
      <c r="A2" s="1" t="s">
        <v>0</v>
      </c>
      <c r="B2" s="2">
        <v>1</v>
      </c>
      <c r="C2" s="212">
        <f t="shared" ref="C2:AA2" si="0">+B2+1</f>
        <v>2</v>
      </c>
      <c r="D2" s="212">
        <f t="shared" si="0"/>
        <v>3</v>
      </c>
      <c r="E2" s="212">
        <f t="shared" si="0"/>
        <v>4</v>
      </c>
      <c r="F2" s="212">
        <f t="shared" si="0"/>
        <v>5</v>
      </c>
      <c r="G2" s="212">
        <f t="shared" si="0"/>
        <v>6</v>
      </c>
      <c r="H2" s="212">
        <f t="shared" si="0"/>
        <v>7</v>
      </c>
      <c r="I2" s="212">
        <f t="shared" si="0"/>
        <v>8</v>
      </c>
      <c r="J2" s="212">
        <f t="shared" si="0"/>
        <v>9</v>
      </c>
      <c r="K2" s="212">
        <f t="shared" si="0"/>
        <v>10</v>
      </c>
      <c r="L2" s="212">
        <f t="shared" si="0"/>
        <v>11</v>
      </c>
      <c r="M2" s="212">
        <f t="shared" si="0"/>
        <v>12</v>
      </c>
      <c r="N2" s="212">
        <f t="shared" si="0"/>
        <v>13</v>
      </c>
      <c r="O2" s="212">
        <f t="shared" si="0"/>
        <v>14</v>
      </c>
      <c r="P2" s="212">
        <f t="shared" si="0"/>
        <v>15</v>
      </c>
      <c r="Q2" s="212">
        <f t="shared" si="0"/>
        <v>16</v>
      </c>
      <c r="R2" s="212">
        <f t="shared" si="0"/>
        <v>17</v>
      </c>
      <c r="S2" s="212">
        <f t="shared" si="0"/>
        <v>18</v>
      </c>
      <c r="T2" s="212">
        <f t="shared" si="0"/>
        <v>19</v>
      </c>
      <c r="U2" s="212">
        <f t="shared" si="0"/>
        <v>20</v>
      </c>
      <c r="V2" s="212">
        <f t="shared" si="0"/>
        <v>21</v>
      </c>
      <c r="W2" s="212">
        <f t="shared" si="0"/>
        <v>22</v>
      </c>
      <c r="X2" s="212">
        <f t="shared" si="0"/>
        <v>23</v>
      </c>
      <c r="Y2" s="212">
        <f t="shared" si="0"/>
        <v>24</v>
      </c>
      <c r="Z2" s="212">
        <f t="shared" si="0"/>
        <v>25</v>
      </c>
      <c r="AA2" s="212">
        <f t="shared" si="0"/>
        <v>26</v>
      </c>
      <c r="AB2" s="212">
        <v>27</v>
      </c>
      <c r="AC2" s="212">
        <f>+AB2+1</f>
        <v>28</v>
      </c>
      <c r="AD2" s="212">
        <v>29</v>
      </c>
      <c r="AE2" s="212">
        <v>30</v>
      </c>
      <c r="AF2" s="212">
        <v>31</v>
      </c>
      <c r="AG2" s="3" t="s">
        <v>13</v>
      </c>
    </row>
    <row r="3" spans="1:33" ht="19.5" thickBot="1" x14ac:dyDescent="0.3">
      <c r="A3" s="4" t="s">
        <v>14</v>
      </c>
      <c r="B3" s="5">
        <f t="shared" ref="B3:AF3" si="1">SUM(B4:B27)</f>
        <v>219</v>
      </c>
      <c r="C3" s="6">
        <f t="shared" si="1"/>
        <v>198</v>
      </c>
      <c r="D3" s="6">
        <f t="shared" si="1"/>
        <v>221</v>
      </c>
      <c r="E3" s="6">
        <f t="shared" si="1"/>
        <v>193</v>
      </c>
      <c r="F3" s="6">
        <f t="shared" si="1"/>
        <v>142</v>
      </c>
      <c r="G3" s="6">
        <f t="shared" si="1"/>
        <v>199</v>
      </c>
      <c r="H3" s="6">
        <f t="shared" si="1"/>
        <v>248</v>
      </c>
      <c r="I3" s="6">
        <f t="shared" si="1"/>
        <v>242</v>
      </c>
      <c r="J3" s="6">
        <f t="shared" si="1"/>
        <v>244</v>
      </c>
      <c r="K3" s="6">
        <f t="shared" si="1"/>
        <v>213</v>
      </c>
      <c r="L3" s="6">
        <f t="shared" si="1"/>
        <v>200</v>
      </c>
      <c r="M3" s="6">
        <f t="shared" si="1"/>
        <v>187</v>
      </c>
      <c r="N3" s="6">
        <f t="shared" si="1"/>
        <v>210</v>
      </c>
      <c r="O3" s="6">
        <f t="shared" si="1"/>
        <v>275</v>
      </c>
      <c r="P3" s="6">
        <f t="shared" si="1"/>
        <v>232</v>
      </c>
      <c r="Q3" s="6">
        <f t="shared" si="1"/>
        <v>228</v>
      </c>
      <c r="R3" s="6">
        <f t="shared" si="1"/>
        <v>221</v>
      </c>
      <c r="S3" s="6">
        <f t="shared" si="1"/>
        <v>221</v>
      </c>
      <c r="T3" s="6">
        <f t="shared" si="1"/>
        <v>222</v>
      </c>
      <c r="U3" s="6">
        <f t="shared" si="1"/>
        <v>189</v>
      </c>
      <c r="V3" s="6">
        <f t="shared" si="1"/>
        <v>244</v>
      </c>
      <c r="W3" s="6">
        <f t="shared" si="1"/>
        <v>234</v>
      </c>
      <c r="X3" s="6">
        <f t="shared" si="1"/>
        <v>231</v>
      </c>
      <c r="Y3" s="6">
        <f t="shared" si="1"/>
        <v>214</v>
      </c>
      <c r="Z3" s="6">
        <f t="shared" si="1"/>
        <v>201</v>
      </c>
      <c r="AA3" s="6">
        <f t="shared" si="1"/>
        <v>198</v>
      </c>
      <c r="AB3" s="6">
        <f t="shared" si="1"/>
        <v>203</v>
      </c>
      <c r="AC3" s="6">
        <f t="shared" si="1"/>
        <v>226</v>
      </c>
      <c r="AD3" s="6">
        <f t="shared" si="1"/>
        <v>251</v>
      </c>
      <c r="AE3" s="6">
        <f t="shared" si="1"/>
        <v>254</v>
      </c>
      <c r="AF3" s="6">
        <f t="shared" si="1"/>
        <v>223</v>
      </c>
      <c r="AG3" s="7">
        <f t="shared" ref="AG3:AG145" si="2">SUM(B3:AF3)</f>
        <v>6783</v>
      </c>
    </row>
    <row r="4" spans="1:33" ht="18.75" x14ac:dyDescent="0.25">
      <c r="A4" s="8" t="s">
        <v>15</v>
      </c>
      <c r="B4" s="9">
        <v>13</v>
      </c>
      <c r="C4" s="10">
        <v>6</v>
      </c>
      <c r="D4" s="10">
        <v>6</v>
      </c>
      <c r="E4" s="10">
        <v>6</v>
      </c>
      <c r="F4" s="10">
        <v>9</v>
      </c>
      <c r="G4" s="10">
        <v>2</v>
      </c>
      <c r="H4" s="10">
        <v>11</v>
      </c>
      <c r="I4" s="10">
        <v>21</v>
      </c>
      <c r="J4" s="10">
        <v>10</v>
      </c>
      <c r="K4" s="10">
        <v>16</v>
      </c>
      <c r="L4" s="10">
        <v>18</v>
      </c>
      <c r="M4" s="10">
        <v>7</v>
      </c>
      <c r="N4" s="10">
        <v>5</v>
      </c>
      <c r="O4" s="10">
        <v>14</v>
      </c>
      <c r="P4" s="10">
        <v>9</v>
      </c>
      <c r="Q4" s="10">
        <v>12</v>
      </c>
      <c r="R4" s="10">
        <v>14</v>
      </c>
      <c r="S4" s="10">
        <v>8</v>
      </c>
      <c r="T4" s="10">
        <v>6</v>
      </c>
      <c r="U4" s="10">
        <v>5</v>
      </c>
      <c r="V4" s="10">
        <v>16</v>
      </c>
      <c r="W4" s="10">
        <v>12</v>
      </c>
      <c r="X4" s="10">
        <v>15</v>
      </c>
      <c r="Y4" s="10">
        <v>7</v>
      </c>
      <c r="Z4" s="10">
        <v>14</v>
      </c>
      <c r="AA4" s="10">
        <v>5</v>
      </c>
      <c r="AB4" s="10">
        <v>4</v>
      </c>
      <c r="AC4" s="10">
        <v>15</v>
      </c>
      <c r="AD4" s="10">
        <v>15</v>
      </c>
      <c r="AE4" s="10">
        <v>6</v>
      </c>
      <c r="AF4" s="213">
        <v>15</v>
      </c>
      <c r="AG4" s="11">
        <f t="shared" si="2"/>
        <v>322</v>
      </c>
    </row>
    <row r="5" spans="1:33" ht="18.75" x14ac:dyDescent="0.25">
      <c r="A5" s="12" t="s">
        <v>16</v>
      </c>
      <c r="B5" s="13">
        <v>17</v>
      </c>
      <c r="C5" s="14">
        <v>12</v>
      </c>
      <c r="D5" s="14">
        <v>17</v>
      </c>
      <c r="E5" s="14">
        <v>5</v>
      </c>
      <c r="F5" s="14">
        <v>10</v>
      </c>
      <c r="G5" s="14">
        <v>6</v>
      </c>
      <c r="H5" s="14">
        <v>16</v>
      </c>
      <c r="I5" s="14">
        <v>12</v>
      </c>
      <c r="J5" s="14">
        <v>19</v>
      </c>
      <c r="K5" s="14">
        <v>19</v>
      </c>
      <c r="L5" s="14">
        <v>10</v>
      </c>
      <c r="M5" s="14">
        <v>10</v>
      </c>
      <c r="N5" s="14">
        <v>10</v>
      </c>
      <c r="O5" s="14">
        <v>21</v>
      </c>
      <c r="P5" s="14">
        <v>12</v>
      </c>
      <c r="Q5" s="14">
        <v>10</v>
      </c>
      <c r="R5" s="14">
        <v>17</v>
      </c>
      <c r="S5" s="14">
        <v>10</v>
      </c>
      <c r="T5" s="14">
        <v>7</v>
      </c>
      <c r="U5" s="14">
        <v>3</v>
      </c>
      <c r="V5" s="14">
        <v>19</v>
      </c>
      <c r="W5" s="14">
        <v>17</v>
      </c>
      <c r="X5" s="14">
        <v>14</v>
      </c>
      <c r="Y5" s="14">
        <v>9</v>
      </c>
      <c r="Z5" s="14">
        <v>12</v>
      </c>
      <c r="AA5" s="14">
        <v>12</v>
      </c>
      <c r="AB5" s="14">
        <v>15</v>
      </c>
      <c r="AC5" s="14">
        <v>14</v>
      </c>
      <c r="AD5" s="14">
        <v>17</v>
      </c>
      <c r="AE5" s="14">
        <v>20</v>
      </c>
      <c r="AF5" s="214">
        <v>12</v>
      </c>
      <c r="AG5" s="15">
        <f t="shared" si="2"/>
        <v>404</v>
      </c>
    </row>
    <row r="6" spans="1:33" ht="18.75" x14ac:dyDescent="0.25">
      <c r="A6" s="12" t="s">
        <v>17</v>
      </c>
      <c r="B6" s="13">
        <v>19</v>
      </c>
      <c r="C6" s="14">
        <v>15</v>
      </c>
      <c r="D6" s="14">
        <v>12</v>
      </c>
      <c r="E6" s="14">
        <v>13</v>
      </c>
      <c r="F6" s="14">
        <v>5</v>
      </c>
      <c r="G6" s="14">
        <v>20</v>
      </c>
      <c r="H6" s="14">
        <v>11</v>
      </c>
      <c r="I6" s="14">
        <v>19</v>
      </c>
      <c r="J6" s="14">
        <v>16</v>
      </c>
      <c r="K6" s="14">
        <v>12</v>
      </c>
      <c r="L6" s="14">
        <v>17</v>
      </c>
      <c r="M6" s="14">
        <v>16</v>
      </c>
      <c r="N6" s="14">
        <v>18</v>
      </c>
      <c r="O6" s="14">
        <v>17</v>
      </c>
      <c r="P6" s="14">
        <v>24</v>
      </c>
      <c r="Q6" s="14">
        <v>20</v>
      </c>
      <c r="R6" s="14">
        <v>9</v>
      </c>
      <c r="S6" s="14">
        <v>12</v>
      </c>
      <c r="T6" s="14">
        <v>15</v>
      </c>
      <c r="U6" s="14">
        <v>8</v>
      </c>
      <c r="V6" s="14">
        <v>19</v>
      </c>
      <c r="W6" s="14">
        <v>13</v>
      </c>
      <c r="X6" s="14">
        <v>11</v>
      </c>
      <c r="Y6" s="14">
        <v>10</v>
      </c>
      <c r="Z6" s="14">
        <v>11</v>
      </c>
      <c r="AA6" s="14">
        <v>17</v>
      </c>
      <c r="AB6" s="14">
        <v>13</v>
      </c>
      <c r="AC6" s="14">
        <v>11</v>
      </c>
      <c r="AD6" s="14">
        <v>15</v>
      </c>
      <c r="AE6" s="14">
        <v>18</v>
      </c>
      <c r="AF6" s="214">
        <v>15</v>
      </c>
      <c r="AG6" s="15">
        <f t="shared" si="2"/>
        <v>451</v>
      </c>
    </row>
    <row r="7" spans="1:33" ht="18.75" x14ac:dyDescent="0.25">
      <c r="A7" s="12" t="s">
        <v>18</v>
      </c>
      <c r="B7" s="13">
        <v>9</v>
      </c>
      <c r="C7" s="14">
        <v>17</v>
      </c>
      <c r="D7" s="14">
        <v>15</v>
      </c>
      <c r="E7" s="14">
        <v>12</v>
      </c>
      <c r="F7" s="14">
        <v>0</v>
      </c>
      <c r="G7" s="14">
        <v>19</v>
      </c>
      <c r="H7" s="14">
        <v>19</v>
      </c>
      <c r="I7" s="14">
        <v>17</v>
      </c>
      <c r="J7" s="14">
        <v>20</v>
      </c>
      <c r="K7" s="14">
        <v>10</v>
      </c>
      <c r="L7" s="14">
        <v>18</v>
      </c>
      <c r="M7" s="14">
        <v>11</v>
      </c>
      <c r="N7" s="14">
        <v>26</v>
      </c>
      <c r="O7" s="14">
        <v>15</v>
      </c>
      <c r="P7" s="14">
        <v>19</v>
      </c>
      <c r="Q7" s="14">
        <v>24</v>
      </c>
      <c r="R7" s="14">
        <v>18</v>
      </c>
      <c r="S7" s="14">
        <v>22</v>
      </c>
      <c r="T7" s="14">
        <v>14</v>
      </c>
      <c r="U7" s="14">
        <v>12</v>
      </c>
      <c r="V7" s="14">
        <v>15</v>
      </c>
      <c r="W7" s="14">
        <v>10</v>
      </c>
      <c r="X7" s="14">
        <v>9</v>
      </c>
      <c r="Y7" s="14">
        <v>17</v>
      </c>
      <c r="Z7" s="14">
        <v>21</v>
      </c>
      <c r="AA7" s="14">
        <v>13</v>
      </c>
      <c r="AB7" s="14">
        <v>12</v>
      </c>
      <c r="AC7" s="14">
        <v>15</v>
      </c>
      <c r="AD7" s="14">
        <v>17</v>
      </c>
      <c r="AE7" s="14">
        <v>16</v>
      </c>
      <c r="AF7" s="214">
        <v>13</v>
      </c>
      <c r="AG7" s="15">
        <f t="shared" si="2"/>
        <v>475</v>
      </c>
    </row>
    <row r="8" spans="1:33" ht="18.75" x14ac:dyDescent="0.25">
      <c r="A8" s="12" t="s">
        <v>19</v>
      </c>
      <c r="B8" s="13">
        <v>13</v>
      </c>
      <c r="C8" s="14">
        <v>11</v>
      </c>
      <c r="D8" s="14">
        <v>15</v>
      </c>
      <c r="E8" s="14">
        <v>7</v>
      </c>
      <c r="F8" s="14">
        <v>18</v>
      </c>
      <c r="G8" s="14">
        <v>11</v>
      </c>
      <c r="H8" s="14">
        <v>13</v>
      </c>
      <c r="I8" s="14">
        <v>13</v>
      </c>
      <c r="J8" s="14">
        <v>6</v>
      </c>
      <c r="K8" s="14">
        <v>12</v>
      </c>
      <c r="L8" s="14">
        <v>11</v>
      </c>
      <c r="M8" s="14">
        <v>12</v>
      </c>
      <c r="N8" s="14">
        <v>19</v>
      </c>
      <c r="O8" s="14">
        <v>22</v>
      </c>
      <c r="P8" s="14">
        <v>17</v>
      </c>
      <c r="Q8" s="14">
        <v>14</v>
      </c>
      <c r="R8" s="14">
        <v>11</v>
      </c>
      <c r="S8" s="14">
        <v>17</v>
      </c>
      <c r="T8" s="14">
        <v>23</v>
      </c>
      <c r="U8" s="14">
        <v>16</v>
      </c>
      <c r="V8" s="14">
        <v>8</v>
      </c>
      <c r="W8" s="14">
        <v>10</v>
      </c>
      <c r="X8" s="14">
        <v>9</v>
      </c>
      <c r="Y8" s="14">
        <v>17</v>
      </c>
      <c r="Z8" s="14">
        <v>4</v>
      </c>
      <c r="AA8" s="14">
        <v>17</v>
      </c>
      <c r="AB8" s="14">
        <v>10</v>
      </c>
      <c r="AC8" s="14">
        <v>18</v>
      </c>
      <c r="AD8" s="14">
        <v>17</v>
      </c>
      <c r="AE8" s="14">
        <v>13</v>
      </c>
      <c r="AF8" s="214">
        <v>14</v>
      </c>
      <c r="AG8" s="15">
        <f t="shared" si="2"/>
        <v>418</v>
      </c>
    </row>
    <row r="9" spans="1:33" ht="18.75" x14ac:dyDescent="0.25">
      <c r="A9" s="12" t="s">
        <v>20</v>
      </c>
      <c r="B9" s="13">
        <v>10</v>
      </c>
      <c r="C9" s="14">
        <v>12</v>
      </c>
      <c r="D9" s="14">
        <v>19</v>
      </c>
      <c r="E9" s="14">
        <v>0</v>
      </c>
      <c r="F9" s="14">
        <v>6</v>
      </c>
      <c r="G9" s="14">
        <v>16</v>
      </c>
      <c r="H9" s="14">
        <v>16</v>
      </c>
      <c r="I9" s="14">
        <v>13</v>
      </c>
      <c r="J9" s="14">
        <v>9</v>
      </c>
      <c r="K9" s="14">
        <v>9</v>
      </c>
      <c r="L9" s="14">
        <v>12</v>
      </c>
      <c r="M9" s="14">
        <v>10</v>
      </c>
      <c r="N9" s="14">
        <v>18</v>
      </c>
      <c r="O9" s="14">
        <v>15</v>
      </c>
      <c r="P9" s="14">
        <v>19</v>
      </c>
      <c r="Q9" s="14">
        <v>19</v>
      </c>
      <c r="R9" s="14">
        <v>13</v>
      </c>
      <c r="S9" s="14">
        <v>14</v>
      </c>
      <c r="T9" s="14">
        <v>16</v>
      </c>
      <c r="U9" s="14">
        <v>19</v>
      </c>
      <c r="V9" s="14">
        <v>16</v>
      </c>
      <c r="W9" s="14">
        <v>23</v>
      </c>
      <c r="X9" s="14">
        <v>11</v>
      </c>
      <c r="Y9" s="14">
        <v>8</v>
      </c>
      <c r="Z9" s="14">
        <v>14</v>
      </c>
      <c r="AA9" s="14">
        <v>9</v>
      </c>
      <c r="AB9" s="14">
        <v>15</v>
      </c>
      <c r="AC9" s="14">
        <v>13</v>
      </c>
      <c r="AD9" s="14">
        <v>14</v>
      </c>
      <c r="AE9" s="14">
        <v>12</v>
      </c>
      <c r="AF9" s="214">
        <v>10</v>
      </c>
      <c r="AG9" s="15">
        <f t="shared" si="2"/>
        <v>410</v>
      </c>
    </row>
    <row r="10" spans="1:33" ht="18.75" x14ac:dyDescent="0.25">
      <c r="A10" s="12" t="s">
        <v>21</v>
      </c>
      <c r="B10" s="13">
        <v>19</v>
      </c>
      <c r="C10" s="14">
        <v>9</v>
      </c>
      <c r="D10" s="14">
        <v>14</v>
      </c>
      <c r="E10" s="14">
        <v>13</v>
      </c>
      <c r="F10" s="14">
        <v>3</v>
      </c>
      <c r="G10" s="14">
        <v>10</v>
      </c>
      <c r="H10" s="14">
        <v>15</v>
      </c>
      <c r="I10" s="14">
        <v>22</v>
      </c>
      <c r="J10" s="14">
        <v>11</v>
      </c>
      <c r="K10" s="14">
        <v>13</v>
      </c>
      <c r="L10" s="14">
        <v>13</v>
      </c>
      <c r="M10" s="14">
        <v>11</v>
      </c>
      <c r="N10" s="14">
        <v>11</v>
      </c>
      <c r="O10" s="14">
        <v>15</v>
      </c>
      <c r="P10" s="14">
        <v>14</v>
      </c>
      <c r="Q10" s="14">
        <v>15</v>
      </c>
      <c r="R10" s="14">
        <v>13</v>
      </c>
      <c r="S10" s="14">
        <v>16</v>
      </c>
      <c r="T10" s="14">
        <v>16</v>
      </c>
      <c r="U10" s="14">
        <v>13</v>
      </c>
      <c r="V10" s="14">
        <v>13</v>
      </c>
      <c r="W10" s="14">
        <v>13</v>
      </c>
      <c r="X10" s="14">
        <v>21</v>
      </c>
      <c r="Y10" s="14">
        <v>12</v>
      </c>
      <c r="Z10" s="14">
        <v>11</v>
      </c>
      <c r="AA10" s="14">
        <v>17</v>
      </c>
      <c r="AB10" s="14">
        <v>19</v>
      </c>
      <c r="AC10" s="14">
        <v>16</v>
      </c>
      <c r="AD10" s="14">
        <v>20</v>
      </c>
      <c r="AE10" s="14">
        <v>17</v>
      </c>
      <c r="AF10" s="214">
        <v>10</v>
      </c>
      <c r="AG10" s="15">
        <f t="shared" si="2"/>
        <v>435</v>
      </c>
    </row>
    <row r="11" spans="1:33" ht="18.75" x14ac:dyDescent="0.25">
      <c r="A11" s="12" t="s">
        <v>22</v>
      </c>
      <c r="B11" s="13">
        <v>22</v>
      </c>
      <c r="C11" s="14">
        <v>18</v>
      </c>
      <c r="D11" s="14">
        <v>18</v>
      </c>
      <c r="E11" s="14">
        <v>16</v>
      </c>
      <c r="F11" s="14">
        <v>10</v>
      </c>
      <c r="G11" s="14">
        <v>20</v>
      </c>
      <c r="H11" s="14">
        <v>20</v>
      </c>
      <c r="I11" s="14">
        <v>14</v>
      </c>
      <c r="J11" s="14">
        <v>25</v>
      </c>
      <c r="K11" s="14">
        <v>17</v>
      </c>
      <c r="L11" s="14">
        <v>18</v>
      </c>
      <c r="M11" s="14">
        <v>18</v>
      </c>
      <c r="N11" s="14">
        <v>13</v>
      </c>
      <c r="O11" s="14">
        <v>21</v>
      </c>
      <c r="P11" s="14">
        <v>9</v>
      </c>
      <c r="Q11" s="14">
        <v>9</v>
      </c>
      <c r="R11" s="14">
        <v>16</v>
      </c>
      <c r="S11" s="14">
        <v>10</v>
      </c>
      <c r="T11" s="14">
        <v>16</v>
      </c>
      <c r="U11" s="14">
        <v>21</v>
      </c>
      <c r="V11" s="14">
        <v>16</v>
      </c>
      <c r="W11" s="14">
        <v>12</v>
      </c>
      <c r="X11" s="14">
        <v>23</v>
      </c>
      <c r="Y11" s="14">
        <v>22</v>
      </c>
      <c r="Z11" s="14">
        <v>8</v>
      </c>
      <c r="AA11" s="14">
        <v>21</v>
      </c>
      <c r="AB11" s="14">
        <v>13</v>
      </c>
      <c r="AC11" s="14">
        <v>19</v>
      </c>
      <c r="AD11" s="14">
        <v>17</v>
      </c>
      <c r="AE11" s="14">
        <v>16</v>
      </c>
      <c r="AF11" s="214">
        <v>20</v>
      </c>
      <c r="AG11" s="15">
        <f t="shared" si="2"/>
        <v>518</v>
      </c>
    </row>
    <row r="12" spans="1:33" ht="18.75" x14ac:dyDescent="0.25">
      <c r="A12" s="12" t="s">
        <v>23</v>
      </c>
      <c r="B12" s="13">
        <v>8</v>
      </c>
      <c r="C12" s="14">
        <v>16</v>
      </c>
      <c r="D12" s="14">
        <v>14</v>
      </c>
      <c r="E12" s="14">
        <v>27</v>
      </c>
      <c r="F12" s="14">
        <v>12</v>
      </c>
      <c r="G12" s="14">
        <v>8</v>
      </c>
      <c r="H12" s="14">
        <v>20</v>
      </c>
      <c r="I12" s="14">
        <v>18</v>
      </c>
      <c r="J12" s="14">
        <v>24</v>
      </c>
      <c r="K12" s="14">
        <v>11</v>
      </c>
      <c r="L12" s="14">
        <v>10</v>
      </c>
      <c r="M12" s="14">
        <v>13</v>
      </c>
      <c r="N12" s="14">
        <v>13</v>
      </c>
      <c r="O12" s="14">
        <v>25</v>
      </c>
      <c r="P12" s="14">
        <v>17</v>
      </c>
      <c r="Q12" s="14">
        <v>11</v>
      </c>
      <c r="R12" s="14">
        <v>22</v>
      </c>
      <c r="S12" s="14">
        <v>12</v>
      </c>
      <c r="T12" s="14">
        <v>13</v>
      </c>
      <c r="U12" s="14">
        <v>23</v>
      </c>
      <c r="V12" s="14">
        <v>26</v>
      </c>
      <c r="W12" s="14">
        <v>18</v>
      </c>
      <c r="X12" s="14">
        <v>32</v>
      </c>
      <c r="Y12" s="14">
        <v>12</v>
      </c>
      <c r="Z12" s="14">
        <v>10</v>
      </c>
      <c r="AA12" s="14">
        <v>9</v>
      </c>
      <c r="AB12" s="14">
        <v>15</v>
      </c>
      <c r="AC12" s="14">
        <v>24</v>
      </c>
      <c r="AD12" s="14">
        <v>25</v>
      </c>
      <c r="AE12" s="14">
        <v>20</v>
      </c>
      <c r="AF12" s="214">
        <v>19</v>
      </c>
      <c r="AG12" s="15">
        <f t="shared" si="2"/>
        <v>527</v>
      </c>
    </row>
    <row r="13" spans="1:33" ht="18.75" x14ac:dyDescent="0.25">
      <c r="A13" s="12" t="s">
        <v>24</v>
      </c>
      <c r="B13" s="13">
        <v>21</v>
      </c>
      <c r="C13" s="14">
        <v>16</v>
      </c>
      <c r="D13" s="14">
        <v>17</v>
      </c>
      <c r="E13" s="14">
        <v>10</v>
      </c>
      <c r="F13" s="14">
        <v>16</v>
      </c>
      <c r="G13" s="14">
        <v>10</v>
      </c>
      <c r="H13" s="14">
        <v>14</v>
      </c>
      <c r="I13" s="14">
        <v>20</v>
      </c>
      <c r="J13" s="14">
        <v>24</v>
      </c>
      <c r="K13" s="14">
        <v>19</v>
      </c>
      <c r="L13" s="14">
        <v>11</v>
      </c>
      <c r="M13" s="14">
        <v>14</v>
      </c>
      <c r="N13" s="14">
        <v>13</v>
      </c>
      <c r="O13" s="14">
        <v>22</v>
      </c>
      <c r="P13" s="14">
        <v>19</v>
      </c>
      <c r="Q13" s="14">
        <v>14</v>
      </c>
      <c r="R13" s="14">
        <v>17</v>
      </c>
      <c r="S13" s="14">
        <v>21</v>
      </c>
      <c r="T13" s="14">
        <v>12</v>
      </c>
      <c r="U13" s="14">
        <v>10</v>
      </c>
      <c r="V13" s="14">
        <v>18</v>
      </c>
      <c r="W13" s="14">
        <v>18</v>
      </c>
      <c r="X13" s="14">
        <v>14</v>
      </c>
      <c r="Y13" s="14">
        <v>13</v>
      </c>
      <c r="Z13" s="14">
        <v>18</v>
      </c>
      <c r="AA13" s="14">
        <v>10</v>
      </c>
      <c r="AB13" s="14">
        <v>9</v>
      </c>
      <c r="AC13" s="14">
        <v>14</v>
      </c>
      <c r="AD13" s="14">
        <v>15</v>
      </c>
      <c r="AE13" s="14">
        <v>23</v>
      </c>
      <c r="AF13" s="214">
        <v>23</v>
      </c>
      <c r="AG13" s="15">
        <f t="shared" si="2"/>
        <v>495</v>
      </c>
    </row>
    <row r="14" spans="1:33" ht="18.75" x14ac:dyDescent="0.25">
      <c r="A14" s="12" t="s">
        <v>25</v>
      </c>
      <c r="B14" s="13">
        <v>15</v>
      </c>
      <c r="C14" s="14">
        <v>15</v>
      </c>
      <c r="D14" s="14">
        <v>12</v>
      </c>
      <c r="E14" s="14">
        <v>7</v>
      </c>
      <c r="F14" s="14">
        <v>13</v>
      </c>
      <c r="G14" s="14">
        <v>14</v>
      </c>
      <c r="H14" s="14">
        <v>15</v>
      </c>
      <c r="I14" s="14">
        <v>16</v>
      </c>
      <c r="J14" s="14">
        <v>21</v>
      </c>
      <c r="K14" s="14">
        <v>17</v>
      </c>
      <c r="L14" s="14">
        <v>11</v>
      </c>
      <c r="M14" s="14">
        <v>21</v>
      </c>
      <c r="N14" s="14">
        <v>7</v>
      </c>
      <c r="O14" s="14">
        <v>20</v>
      </c>
      <c r="P14" s="14">
        <v>6</v>
      </c>
      <c r="Q14" s="14">
        <v>15</v>
      </c>
      <c r="R14" s="14">
        <v>12</v>
      </c>
      <c r="S14" s="14">
        <v>11</v>
      </c>
      <c r="T14" s="14">
        <v>13</v>
      </c>
      <c r="U14" s="14">
        <v>12</v>
      </c>
      <c r="V14" s="14">
        <v>16</v>
      </c>
      <c r="W14" s="14">
        <v>20</v>
      </c>
      <c r="X14" s="14">
        <v>19</v>
      </c>
      <c r="Y14" s="14">
        <v>17</v>
      </c>
      <c r="Z14" s="14">
        <v>11</v>
      </c>
      <c r="AA14" s="14">
        <v>11</v>
      </c>
      <c r="AB14" s="14">
        <v>14</v>
      </c>
      <c r="AC14" s="14">
        <v>16</v>
      </c>
      <c r="AD14" s="14">
        <v>16</v>
      </c>
      <c r="AE14" s="14">
        <v>17</v>
      </c>
      <c r="AF14" s="214">
        <v>15</v>
      </c>
      <c r="AG14" s="15">
        <f t="shared" si="2"/>
        <v>445</v>
      </c>
    </row>
    <row r="15" spans="1:33" ht="18.75" x14ac:dyDescent="0.25">
      <c r="A15" s="12" t="s">
        <v>26</v>
      </c>
      <c r="B15" s="13">
        <v>10</v>
      </c>
      <c r="C15" s="14">
        <v>5</v>
      </c>
      <c r="D15" s="14">
        <v>14</v>
      </c>
      <c r="E15" s="14">
        <v>15</v>
      </c>
      <c r="F15" s="14">
        <v>7</v>
      </c>
      <c r="G15" s="14">
        <v>11</v>
      </c>
      <c r="H15" s="14">
        <v>15</v>
      </c>
      <c r="I15" s="14">
        <v>10</v>
      </c>
      <c r="J15" s="14">
        <v>7</v>
      </c>
      <c r="K15" s="14">
        <v>11</v>
      </c>
      <c r="L15" s="14">
        <v>8</v>
      </c>
      <c r="M15" s="14">
        <v>5</v>
      </c>
      <c r="N15" s="14">
        <v>13</v>
      </c>
      <c r="O15" s="14">
        <v>9</v>
      </c>
      <c r="P15" s="14">
        <v>6</v>
      </c>
      <c r="Q15" s="14">
        <v>14</v>
      </c>
      <c r="R15" s="14">
        <v>13</v>
      </c>
      <c r="S15" s="14">
        <v>11</v>
      </c>
      <c r="T15" s="14">
        <v>7</v>
      </c>
      <c r="U15" s="14">
        <v>8</v>
      </c>
      <c r="V15" s="14">
        <v>14</v>
      </c>
      <c r="W15" s="14">
        <v>19</v>
      </c>
      <c r="X15" s="14">
        <v>13</v>
      </c>
      <c r="Y15" s="14">
        <v>11</v>
      </c>
      <c r="Z15" s="14">
        <v>20</v>
      </c>
      <c r="AA15" s="14">
        <v>12</v>
      </c>
      <c r="AB15" s="14">
        <v>9</v>
      </c>
      <c r="AC15" s="14">
        <v>17</v>
      </c>
      <c r="AD15" s="14">
        <v>17</v>
      </c>
      <c r="AE15" s="14">
        <v>15</v>
      </c>
      <c r="AF15" s="214">
        <v>13</v>
      </c>
      <c r="AG15" s="15">
        <f t="shared" si="2"/>
        <v>359</v>
      </c>
    </row>
    <row r="16" spans="1:33" ht="18.75" x14ac:dyDescent="0.25">
      <c r="A16" s="12" t="s">
        <v>27</v>
      </c>
      <c r="B16" s="13">
        <v>7</v>
      </c>
      <c r="C16" s="14">
        <v>9</v>
      </c>
      <c r="D16" s="14">
        <v>17</v>
      </c>
      <c r="E16" s="14">
        <v>13</v>
      </c>
      <c r="F16" s="14">
        <v>3</v>
      </c>
      <c r="G16" s="14">
        <v>9</v>
      </c>
      <c r="H16" s="14">
        <v>17</v>
      </c>
      <c r="I16" s="14">
        <v>13</v>
      </c>
      <c r="J16" s="14">
        <v>12</v>
      </c>
      <c r="K16" s="14">
        <v>13</v>
      </c>
      <c r="L16" s="14">
        <v>8</v>
      </c>
      <c r="M16" s="14">
        <v>6</v>
      </c>
      <c r="N16" s="14">
        <v>13</v>
      </c>
      <c r="O16" s="14">
        <v>7</v>
      </c>
      <c r="P16" s="14">
        <v>16</v>
      </c>
      <c r="Q16" s="14">
        <v>11</v>
      </c>
      <c r="R16" s="14">
        <v>8</v>
      </c>
      <c r="S16" s="14">
        <v>17</v>
      </c>
      <c r="T16" s="14">
        <v>10</v>
      </c>
      <c r="U16" s="14">
        <v>9</v>
      </c>
      <c r="V16" s="14">
        <v>12</v>
      </c>
      <c r="W16" s="14">
        <v>12</v>
      </c>
      <c r="X16" s="14">
        <v>10</v>
      </c>
      <c r="Y16" s="14">
        <v>14</v>
      </c>
      <c r="Z16" s="14">
        <v>8</v>
      </c>
      <c r="AA16" s="14">
        <v>10</v>
      </c>
      <c r="AB16" s="14">
        <v>10</v>
      </c>
      <c r="AC16" s="14">
        <v>9</v>
      </c>
      <c r="AD16" s="14">
        <v>11</v>
      </c>
      <c r="AE16" s="14">
        <v>13</v>
      </c>
      <c r="AF16" s="214">
        <v>8</v>
      </c>
      <c r="AG16" s="15">
        <f t="shared" si="2"/>
        <v>335</v>
      </c>
    </row>
    <row r="17" spans="1:33" ht="18.75" x14ac:dyDescent="0.25">
      <c r="A17" s="12" t="s">
        <v>28</v>
      </c>
      <c r="B17" s="13">
        <v>10</v>
      </c>
      <c r="C17" s="14">
        <v>12</v>
      </c>
      <c r="D17" s="14">
        <v>8</v>
      </c>
      <c r="E17" s="14">
        <v>18</v>
      </c>
      <c r="F17" s="14">
        <v>9</v>
      </c>
      <c r="G17" s="14">
        <v>12</v>
      </c>
      <c r="H17" s="14">
        <v>19</v>
      </c>
      <c r="I17" s="14">
        <v>9</v>
      </c>
      <c r="J17" s="14">
        <v>11</v>
      </c>
      <c r="K17" s="14">
        <v>6</v>
      </c>
      <c r="L17" s="14">
        <v>5</v>
      </c>
      <c r="M17" s="14">
        <v>3</v>
      </c>
      <c r="N17" s="14">
        <v>6</v>
      </c>
      <c r="O17" s="14">
        <v>12</v>
      </c>
      <c r="P17" s="14">
        <v>10</v>
      </c>
      <c r="Q17" s="14">
        <v>11</v>
      </c>
      <c r="R17" s="14">
        <v>5</v>
      </c>
      <c r="S17" s="14">
        <v>12</v>
      </c>
      <c r="T17" s="14">
        <v>15</v>
      </c>
      <c r="U17" s="14">
        <v>5</v>
      </c>
      <c r="V17" s="14">
        <v>4</v>
      </c>
      <c r="W17" s="14">
        <v>6</v>
      </c>
      <c r="X17" s="14">
        <v>2</v>
      </c>
      <c r="Y17" s="14">
        <v>4</v>
      </c>
      <c r="Z17" s="14">
        <v>9</v>
      </c>
      <c r="AA17" s="14">
        <v>6</v>
      </c>
      <c r="AB17" s="14">
        <v>13</v>
      </c>
      <c r="AC17" s="14">
        <v>9</v>
      </c>
      <c r="AD17" s="14">
        <v>7</v>
      </c>
      <c r="AE17" s="14">
        <v>8</v>
      </c>
      <c r="AF17" s="214">
        <v>11</v>
      </c>
      <c r="AG17" s="15">
        <f t="shared" si="2"/>
        <v>277</v>
      </c>
    </row>
    <row r="18" spans="1:33" ht="18.75" x14ac:dyDescent="0.25">
      <c r="A18" s="12" t="s">
        <v>29</v>
      </c>
      <c r="B18" s="13">
        <v>7</v>
      </c>
      <c r="C18" s="14">
        <v>6</v>
      </c>
      <c r="D18" s="14">
        <v>5</v>
      </c>
      <c r="E18" s="14">
        <v>9</v>
      </c>
      <c r="F18" s="14">
        <v>1</v>
      </c>
      <c r="G18" s="14">
        <v>10</v>
      </c>
      <c r="H18" s="14">
        <v>5</v>
      </c>
      <c r="I18" s="14">
        <v>7</v>
      </c>
      <c r="J18" s="14">
        <v>10</v>
      </c>
      <c r="K18" s="14">
        <v>11</v>
      </c>
      <c r="L18" s="14">
        <v>4</v>
      </c>
      <c r="M18" s="14">
        <v>6</v>
      </c>
      <c r="N18" s="14">
        <v>6</v>
      </c>
      <c r="O18" s="14">
        <v>6</v>
      </c>
      <c r="P18" s="14">
        <v>4</v>
      </c>
      <c r="Q18" s="14">
        <v>11</v>
      </c>
      <c r="R18" s="14">
        <v>6</v>
      </c>
      <c r="S18" s="14">
        <v>5</v>
      </c>
      <c r="T18" s="14">
        <v>11</v>
      </c>
      <c r="U18" s="14">
        <v>4</v>
      </c>
      <c r="V18" s="14">
        <v>10</v>
      </c>
      <c r="W18" s="14">
        <v>5</v>
      </c>
      <c r="X18" s="14">
        <v>9</v>
      </c>
      <c r="Y18" s="14">
        <v>11</v>
      </c>
      <c r="Z18" s="14">
        <v>3</v>
      </c>
      <c r="AA18" s="14">
        <v>8</v>
      </c>
      <c r="AB18" s="14">
        <v>6</v>
      </c>
      <c r="AC18" s="14">
        <v>7</v>
      </c>
      <c r="AD18" s="14">
        <v>9</v>
      </c>
      <c r="AE18" s="14">
        <v>13</v>
      </c>
      <c r="AF18" s="214">
        <v>5</v>
      </c>
      <c r="AG18" s="15">
        <f t="shared" si="2"/>
        <v>220</v>
      </c>
    </row>
    <row r="19" spans="1:33" ht="18.75" x14ac:dyDescent="0.25">
      <c r="A19" s="12" t="s">
        <v>30</v>
      </c>
      <c r="B19" s="13">
        <v>3</v>
      </c>
      <c r="C19" s="14">
        <v>4</v>
      </c>
      <c r="D19" s="14">
        <v>8</v>
      </c>
      <c r="E19" s="14">
        <v>5</v>
      </c>
      <c r="F19" s="14">
        <v>0</v>
      </c>
      <c r="G19" s="14">
        <v>6</v>
      </c>
      <c r="H19" s="14">
        <v>6</v>
      </c>
      <c r="I19" s="14">
        <v>4</v>
      </c>
      <c r="J19" s="14">
        <v>4</v>
      </c>
      <c r="K19" s="14">
        <v>11</v>
      </c>
      <c r="L19" s="14">
        <v>6</v>
      </c>
      <c r="M19" s="14">
        <v>5</v>
      </c>
      <c r="N19" s="14">
        <v>0</v>
      </c>
      <c r="O19" s="14">
        <v>7</v>
      </c>
      <c r="P19" s="14">
        <v>5</v>
      </c>
      <c r="Q19" s="14">
        <v>7</v>
      </c>
      <c r="R19" s="14">
        <v>11</v>
      </c>
      <c r="S19" s="14">
        <v>4</v>
      </c>
      <c r="T19" s="14">
        <v>11</v>
      </c>
      <c r="U19" s="14">
        <v>5</v>
      </c>
      <c r="V19" s="14">
        <v>5</v>
      </c>
      <c r="W19" s="14">
        <v>6</v>
      </c>
      <c r="X19" s="14">
        <v>5</v>
      </c>
      <c r="Y19" s="14">
        <v>9</v>
      </c>
      <c r="Z19" s="14">
        <v>6</v>
      </c>
      <c r="AA19" s="14">
        <v>6</v>
      </c>
      <c r="AB19" s="14">
        <v>7</v>
      </c>
      <c r="AC19" s="14">
        <v>2</v>
      </c>
      <c r="AD19" s="14">
        <v>4</v>
      </c>
      <c r="AE19" s="14">
        <v>9</v>
      </c>
      <c r="AF19" s="214">
        <v>11</v>
      </c>
      <c r="AG19" s="15">
        <f t="shared" si="2"/>
        <v>182</v>
      </c>
    </row>
    <row r="20" spans="1:33" ht="18.75" x14ac:dyDescent="0.25">
      <c r="A20" s="12" t="s">
        <v>31</v>
      </c>
      <c r="B20" s="13">
        <v>6</v>
      </c>
      <c r="C20" s="14">
        <v>3</v>
      </c>
      <c r="D20" s="14">
        <v>3</v>
      </c>
      <c r="E20" s="14">
        <v>7</v>
      </c>
      <c r="F20" s="14">
        <v>4</v>
      </c>
      <c r="G20" s="14">
        <v>3</v>
      </c>
      <c r="H20" s="14">
        <v>3</v>
      </c>
      <c r="I20" s="14">
        <v>4</v>
      </c>
      <c r="J20" s="14">
        <v>0</v>
      </c>
      <c r="K20" s="14">
        <v>4</v>
      </c>
      <c r="L20" s="14">
        <v>2</v>
      </c>
      <c r="M20" s="14">
        <v>7</v>
      </c>
      <c r="N20" s="14">
        <v>5</v>
      </c>
      <c r="O20" s="14">
        <v>8</v>
      </c>
      <c r="P20" s="14">
        <v>6</v>
      </c>
      <c r="Q20" s="14">
        <v>3</v>
      </c>
      <c r="R20" s="14">
        <v>5</v>
      </c>
      <c r="S20" s="14">
        <v>4</v>
      </c>
      <c r="T20" s="14">
        <v>3</v>
      </c>
      <c r="U20" s="14">
        <v>5</v>
      </c>
      <c r="V20" s="14">
        <v>4</v>
      </c>
      <c r="W20" s="14">
        <v>7</v>
      </c>
      <c r="X20" s="14">
        <v>2</v>
      </c>
      <c r="Y20" s="14">
        <v>9</v>
      </c>
      <c r="Z20" s="14">
        <v>5</v>
      </c>
      <c r="AA20" s="14">
        <v>2</v>
      </c>
      <c r="AB20" s="14">
        <v>4</v>
      </c>
      <c r="AC20" s="14">
        <v>3</v>
      </c>
      <c r="AD20" s="14">
        <v>3</v>
      </c>
      <c r="AE20" s="14">
        <v>5</v>
      </c>
      <c r="AF20" s="214">
        <v>3</v>
      </c>
      <c r="AG20" s="15">
        <f t="shared" si="2"/>
        <v>132</v>
      </c>
    </row>
    <row r="21" spans="1:33" ht="15.75" customHeight="1" x14ac:dyDescent="0.25">
      <c r="A21" s="12" t="s">
        <v>32</v>
      </c>
      <c r="B21" s="13">
        <v>2</v>
      </c>
      <c r="C21" s="14">
        <v>4</v>
      </c>
      <c r="D21" s="14">
        <v>1</v>
      </c>
      <c r="E21" s="14">
        <v>4</v>
      </c>
      <c r="F21" s="14">
        <v>4</v>
      </c>
      <c r="G21" s="14">
        <v>3</v>
      </c>
      <c r="H21" s="14">
        <v>4</v>
      </c>
      <c r="I21" s="14">
        <v>2</v>
      </c>
      <c r="J21" s="14">
        <v>3</v>
      </c>
      <c r="K21" s="14">
        <v>0</v>
      </c>
      <c r="L21" s="14">
        <v>0</v>
      </c>
      <c r="M21" s="14">
        <v>3</v>
      </c>
      <c r="N21" s="14">
        <v>3</v>
      </c>
      <c r="O21" s="14">
        <v>6</v>
      </c>
      <c r="P21" s="14">
        <v>4</v>
      </c>
      <c r="Q21" s="14">
        <v>1</v>
      </c>
      <c r="R21" s="14">
        <v>2</v>
      </c>
      <c r="S21" s="14">
        <v>5</v>
      </c>
      <c r="T21" s="14">
        <v>2</v>
      </c>
      <c r="U21" s="14">
        <v>2</v>
      </c>
      <c r="V21" s="14">
        <v>3</v>
      </c>
      <c r="W21" s="14">
        <v>4</v>
      </c>
      <c r="X21" s="14">
        <v>0</v>
      </c>
      <c r="Y21" s="14">
        <v>4</v>
      </c>
      <c r="Z21" s="14">
        <v>1</v>
      </c>
      <c r="AA21" s="14">
        <v>1</v>
      </c>
      <c r="AB21" s="14">
        <v>3</v>
      </c>
      <c r="AC21" s="14">
        <v>0</v>
      </c>
      <c r="AD21" s="14">
        <v>6</v>
      </c>
      <c r="AE21" s="14">
        <v>2</v>
      </c>
      <c r="AF21" s="214">
        <v>2</v>
      </c>
      <c r="AG21" s="15">
        <f t="shared" si="2"/>
        <v>81</v>
      </c>
    </row>
    <row r="22" spans="1:33" ht="15.75" customHeight="1" x14ac:dyDescent="0.25">
      <c r="A22" s="12" t="s">
        <v>33</v>
      </c>
      <c r="B22" s="13">
        <v>1</v>
      </c>
      <c r="C22" s="14"/>
      <c r="D22" s="14"/>
      <c r="E22" s="14">
        <v>1</v>
      </c>
      <c r="F22" s="14">
        <v>3</v>
      </c>
      <c r="G22" s="14">
        <v>4</v>
      </c>
      <c r="H22" s="14">
        <v>3</v>
      </c>
      <c r="I22" s="14">
        <v>3</v>
      </c>
      <c r="J22" s="14">
        <v>2</v>
      </c>
      <c r="K22" s="14">
        <v>1</v>
      </c>
      <c r="L22" s="14">
        <v>1</v>
      </c>
      <c r="M22" s="14">
        <v>2</v>
      </c>
      <c r="N22" s="14">
        <v>1</v>
      </c>
      <c r="O22" s="14">
        <v>4</v>
      </c>
      <c r="P22" s="14">
        <v>2</v>
      </c>
      <c r="Q22" s="14">
        <v>3</v>
      </c>
      <c r="R22" s="14">
        <v>1</v>
      </c>
      <c r="S22" s="14">
        <v>1</v>
      </c>
      <c r="T22" s="14">
        <v>4</v>
      </c>
      <c r="U22" s="14">
        <v>2</v>
      </c>
      <c r="V22" s="14">
        <v>0</v>
      </c>
      <c r="W22" s="14">
        <v>0</v>
      </c>
      <c r="X22" s="14">
        <v>0</v>
      </c>
      <c r="Y22" s="14">
        <v>3</v>
      </c>
      <c r="Z22" s="14">
        <v>2</v>
      </c>
      <c r="AA22" s="14">
        <v>2</v>
      </c>
      <c r="AB22" s="14">
        <v>2</v>
      </c>
      <c r="AC22" s="14">
        <v>0</v>
      </c>
      <c r="AD22" s="14">
        <v>1</v>
      </c>
      <c r="AE22" s="14">
        <v>1</v>
      </c>
      <c r="AF22" s="214">
        <v>1</v>
      </c>
      <c r="AG22" s="15">
        <f t="shared" si="2"/>
        <v>51</v>
      </c>
    </row>
    <row r="23" spans="1:33" ht="15.75" customHeight="1" x14ac:dyDescent="0.25">
      <c r="A23" s="12" t="s">
        <v>34</v>
      </c>
      <c r="B23" s="13"/>
      <c r="C23" s="14">
        <v>4</v>
      </c>
      <c r="D23" s="14">
        <v>1</v>
      </c>
      <c r="E23" s="14">
        <v>1</v>
      </c>
      <c r="F23" s="14">
        <v>2</v>
      </c>
      <c r="G23" s="14">
        <v>0</v>
      </c>
      <c r="H23" s="14">
        <v>2</v>
      </c>
      <c r="I23" s="14">
        <v>1</v>
      </c>
      <c r="J23" s="14">
        <v>2</v>
      </c>
      <c r="K23" s="14">
        <v>0</v>
      </c>
      <c r="L23" s="14">
        <v>4</v>
      </c>
      <c r="M23" s="14">
        <v>3</v>
      </c>
      <c r="N23" s="14">
        <v>4</v>
      </c>
      <c r="O23" s="14">
        <v>2</v>
      </c>
      <c r="P23" s="14">
        <v>0</v>
      </c>
      <c r="Q23" s="14">
        <v>1</v>
      </c>
      <c r="R23" s="14">
        <v>0</v>
      </c>
      <c r="S23" s="14">
        <v>0</v>
      </c>
      <c r="T23" s="14">
        <v>1</v>
      </c>
      <c r="U23" s="14">
        <v>1</v>
      </c>
      <c r="V23" s="14">
        <v>1</v>
      </c>
      <c r="W23" s="14">
        <v>0</v>
      </c>
      <c r="X23" s="14">
        <v>0</v>
      </c>
      <c r="Y23" s="14">
        <v>4</v>
      </c>
      <c r="Z23" s="14">
        <v>4</v>
      </c>
      <c r="AA23" s="14">
        <v>3</v>
      </c>
      <c r="AB23" s="14">
        <v>1</v>
      </c>
      <c r="AC23" s="14">
        <v>0</v>
      </c>
      <c r="AD23" s="14">
        <v>2</v>
      </c>
      <c r="AE23" s="14">
        <v>1</v>
      </c>
      <c r="AF23" s="214">
        <v>0</v>
      </c>
      <c r="AG23" s="15">
        <f t="shared" si="2"/>
        <v>45</v>
      </c>
    </row>
    <row r="24" spans="1:33" ht="15.75" customHeight="1" x14ac:dyDescent="0.25">
      <c r="A24" s="12" t="s">
        <v>35</v>
      </c>
      <c r="B24" s="13">
        <v>3</v>
      </c>
      <c r="C24" s="14"/>
      <c r="D24" s="14"/>
      <c r="E24" s="14"/>
      <c r="F24" s="14">
        <v>1</v>
      </c>
      <c r="G24" s="14">
        <v>2</v>
      </c>
      <c r="H24" s="14">
        <v>0</v>
      </c>
      <c r="I24" s="14">
        <v>0</v>
      </c>
      <c r="J24" s="14">
        <v>3</v>
      </c>
      <c r="K24" s="14">
        <v>0</v>
      </c>
      <c r="L24" s="14">
        <v>5</v>
      </c>
      <c r="M24" s="14">
        <v>1</v>
      </c>
      <c r="N24" s="14">
        <v>1</v>
      </c>
      <c r="O24" s="14">
        <v>0</v>
      </c>
      <c r="P24" s="14">
        <v>4</v>
      </c>
      <c r="Q24" s="14">
        <v>0</v>
      </c>
      <c r="R24" s="14">
        <v>1</v>
      </c>
      <c r="S24" s="14">
        <v>1</v>
      </c>
      <c r="T24" s="14">
        <v>0</v>
      </c>
      <c r="U24" s="14">
        <v>0</v>
      </c>
      <c r="V24" s="14">
        <v>1</v>
      </c>
      <c r="W24" s="14">
        <v>3</v>
      </c>
      <c r="X24" s="14">
        <v>1</v>
      </c>
      <c r="Y24" s="14">
        <v>0</v>
      </c>
      <c r="Z24" s="14">
        <v>1</v>
      </c>
      <c r="AA24" s="14">
        <v>1</v>
      </c>
      <c r="AB24" s="14">
        <v>1</v>
      </c>
      <c r="AC24" s="14">
        <v>0</v>
      </c>
      <c r="AD24" s="14">
        <v>0</v>
      </c>
      <c r="AE24" s="14">
        <v>0</v>
      </c>
      <c r="AF24" s="214">
        <v>0</v>
      </c>
      <c r="AG24" s="15">
        <f t="shared" si="2"/>
        <v>30</v>
      </c>
    </row>
    <row r="25" spans="1:33" ht="15.75" customHeight="1" x14ac:dyDescent="0.25">
      <c r="A25" s="12" t="s">
        <v>36</v>
      </c>
      <c r="B25" s="13"/>
      <c r="C25" s="14"/>
      <c r="D25" s="14"/>
      <c r="E25" s="14"/>
      <c r="F25" s="14">
        <v>0</v>
      </c>
      <c r="G25" s="14">
        <v>1</v>
      </c>
      <c r="H25" s="14">
        <v>0</v>
      </c>
      <c r="I25" s="14">
        <v>1</v>
      </c>
      <c r="J25" s="14">
        <v>1</v>
      </c>
      <c r="K25" s="14">
        <v>0</v>
      </c>
      <c r="L25" s="14">
        <v>4</v>
      </c>
      <c r="M25" s="14">
        <v>1</v>
      </c>
      <c r="N25" s="14">
        <v>1</v>
      </c>
      <c r="O25" s="14">
        <v>4</v>
      </c>
      <c r="P25" s="14">
        <v>2</v>
      </c>
      <c r="Q25" s="14">
        <v>1</v>
      </c>
      <c r="R25" s="14">
        <v>0</v>
      </c>
      <c r="S25" s="14">
        <v>1</v>
      </c>
      <c r="T25" s="14">
        <v>2</v>
      </c>
      <c r="U25" s="14">
        <v>2</v>
      </c>
      <c r="V25" s="14">
        <v>2</v>
      </c>
      <c r="W25" s="14">
        <v>0</v>
      </c>
      <c r="X25" s="14">
        <v>4</v>
      </c>
      <c r="Y25" s="14">
        <v>0</v>
      </c>
      <c r="Z25" s="14">
        <v>1</v>
      </c>
      <c r="AA25" s="14">
        <v>1</v>
      </c>
      <c r="AB25" s="14">
        <v>3</v>
      </c>
      <c r="AC25" s="14">
        <v>1</v>
      </c>
      <c r="AD25" s="14">
        <v>0</v>
      </c>
      <c r="AE25" s="14">
        <v>1</v>
      </c>
      <c r="AF25" s="214">
        <v>0</v>
      </c>
      <c r="AG25" s="15">
        <f t="shared" si="2"/>
        <v>34</v>
      </c>
    </row>
    <row r="26" spans="1:33" ht="15.75" customHeight="1" x14ac:dyDescent="0.25">
      <c r="A26" s="12" t="s">
        <v>37</v>
      </c>
      <c r="B26" s="13">
        <v>2</v>
      </c>
      <c r="C26" s="14"/>
      <c r="D26" s="14">
        <v>1</v>
      </c>
      <c r="E26" s="14"/>
      <c r="F26" s="14">
        <v>6</v>
      </c>
      <c r="G26" s="14">
        <v>0</v>
      </c>
      <c r="H26" s="14">
        <v>2</v>
      </c>
      <c r="I26" s="14">
        <v>1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1</v>
      </c>
      <c r="P26" s="14">
        <v>3</v>
      </c>
      <c r="Q26" s="14">
        <v>1</v>
      </c>
      <c r="R26" s="14">
        <v>4</v>
      </c>
      <c r="S26" s="14">
        <v>3</v>
      </c>
      <c r="T26" s="14">
        <v>1</v>
      </c>
      <c r="U26" s="14">
        <v>2</v>
      </c>
      <c r="V26" s="14">
        <v>1</v>
      </c>
      <c r="W26" s="14">
        <v>0</v>
      </c>
      <c r="X26" s="14">
        <v>2</v>
      </c>
      <c r="Y26" s="14">
        <v>0</v>
      </c>
      <c r="Z26" s="14">
        <v>2</v>
      </c>
      <c r="AA26" s="14">
        <v>1</v>
      </c>
      <c r="AB26" s="14">
        <v>2</v>
      </c>
      <c r="AC26" s="14">
        <v>2</v>
      </c>
      <c r="AD26" s="14">
        <v>0</v>
      </c>
      <c r="AE26" s="14">
        <v>4</v>
      </c>
      <c r="AF26" s="214">
        <v>2</v>
      </c>
      <c r="AG26" s="15">
        <f t="shared" si="2"/>
        <v>43</v>
      </c>
    </row>
    <row r="27" spans="1:33" ht="15.75" customHeight="1" thickBot="1" x14ac:dyDescent="0.3">
      <c r="A27" s="16" t="s">
        <v>38</v>
      </c>
      <c r="B27" s="17">
        <v>2</v>
      </c>
      <c r="C27" s="18">
        <v>4</v>
      </c>
      <c r="D27" s="18">
        <v>4</v>
      </c>
      <c r="E27" s="18">
        <v>4</v>
      </c>
      <c r="F27" s="18">
        <v>0</v>
      </c>
      <c r="G27" s="18">
        <v>2</v>
      </c>
      <c r="H27" s="18">
        <v>2</v>
      </c>
      <c r="I27" s="18">
        <v>2</v>
      </c>
      <c r="J27" s="18">
        <v>4</v>
      </c>
      <c r="K27" s="18">
        <v>1</v>
      </c>
      <c r="L27" s="18">
        <v>4</v>
      </c>
      <c r="M27" s="18">
        <v>2</v>
      </c>
      <c r="N27" s="18">
        <v>4</v>
      </c>
      <c r="O27" s="18">
        <v>2</v>
      </c>
      <c r="P27" s="18">
        <v>5</v>
      </c>
      <c r="Q27" s="18">
        <v>1</v>
      </c>
      <c r="R27" s="18">
        <v>3</v>
      </c>
      <c r="S27" s="18">
        <v>4</v>
      </c>
      <c r="T27" s="18">
        <v>4</v>
      </c>
      <c r="U27" s="18">
        <v>2</v>
      </c>
      <c r="V27" s="18">
        <v>5</v>
      </c>
      <c r="W27" s="18">
        <v>6</v>
      </c>
      <c r="X27" s="18">
        <v>5</v>
      </c>
      <c r="Y27" s="18">
        <v>1</v>
      </c>
      <c r="Z27" s="18">
        <v>5</v>
      </c>
      <c r="AA27" s="18">
        <v>4</v>
      </c>
      <c r="AB27" s="18">
        <v>3</v>
      </c>
      <c r="AC27" s="18">
        <v>1</v>
      </c>
      <c r="AD27" s="18">
        <v>3</v>
      </c>
      <c r="AE27" s="18">
        <v>4</v>
      </c>
      <c r="AF27" s="215">
        <v>1</v>
      </c>
      <c r="AG27" s="15">
        <f t="shared" si="2"/>
        <v>94</v>
      </c>
    </row>
    <row r="28" spans="1:33" ht="15.75" customHeight="1" x14ac:dyDescent="0.25">
      <c r="A28" s="19" t="s">
        <v>39</v>
      </c>
      <c r="B28" s="20">
        <f t="shared" ref="B28:AF28" si="3">SUM(B29:B52)</f>
        <v>200</v>
      </c>
      <c r="C28" s="21">
        <f t="shared" si="3"/>
        <v>183</v>
      </c>
      <c r="D28" s="21">
        <f t="shared" si="3"/>
        <v>178</v>
      </c>
      <c r="E28" s="21">
        <f t="shared" si="3"/>
        <v>180</v>
      </c>
      <c r="F28" s="21">
        <f t="shared" si="3"/>
        <v>140</v>
      </c>
      <c r="G28" s="21">
        <f t="shared" si="3"/>
        <v>194</v>
      </c>
      <c r="H28" s="21">
        <f t="shared" si="3"/>
        <v>208</v>
      </c>
      <c r="I28" s="21">
        <f t="shared" si="3"/>
        <v>227</v>
      </c>
      <c r="J28" s="21">
        <f t="shared" si="3"/>
        <v>233</v>
      </c>
      <c r="K28" s="21">
        <f t="shared" si="3"/>
        <v>182</v>
      </c>
      <c r="L28" s="21">
        <f t="shared" si="3"/>
        <v>169</v>
      </c>
      <c r="M28" s="21">
        <f t="shared" si="3"/>
        <v>179</v>
      </c>
      <c r="N28" s="21">
        <f t="shared" si="3"/>
        <v>198</v>
      </c>
      <c r="O28" s="21">
        <f t="shared" si="3"/>
        <v>218</v>
      </c>
      <c r="P28" s="21">
        <f t="shared" si="3"/>
        <v>226</v>
      </c>
      <c r="Q28" s="21">
        <f t="shared" si="3"/>
        <v>194</v>
      </c>
      <c r="R28" s="21">
        <f t="shared" si="3"/>
        <v>192</v>
      </c>
      <c r="S28" s="21">
        <f t="shared" si="3"/>
        <v>203</v>
      </c>
      <c r="T28" s="21">
        <f t="shared" si="3"/>
        <v>217</v>
      </c>
      <c r="U28" s="21">
        <f t="shared" si="3"/>
        <v>187</v>
      </c>
      <c r="V28" s="21">
        <f t="shared" si="3"/>
        <v>210</v>
      </c>
      <c r="W28" s="21">
        <f t="shared" si="3"/>
        <v>209</v>
      </c>
      <c r="X28" s="21">
        <f t="shared" si="3"/>
        <v>192</v>
      </c>
      <c r="Y28" s="21">
        <f t="shared" si="3"/>
        <v>193</v>
      </c>
      <c r="Z28" s="21">
        <f t="shared" si="3"/>
        <v>176</v>
      </c>
      <c r="AA28" s="21">
        <f t="shared" si="3"/>
        <v>192</v>
      </c>
      <c r="AB28" s="21">
        <f t="shared" si="3"/>
        <v>198</v>
      </c>
      <c r="AC28" s="21">
        <f t="shared" si="3"/>
        <v>213</v>
      </c>
      <c r="AD28" s="21">
        <f t="shared" si="3"/>
        <v>202</v>
      </c>
      <c r="AE28" s="21">
        <f t="shared" si="3"/>
        <v>198</v>
      </c>
      <c r="AF28" s="21">
        <f t="shared" si="3"/>
        <v>189</v>
      </c>
      <c r="AG28" s="22">
        <f t="shared" si="2"/>
        <v>6080</v>
      </c>
    </row>
    <row r="29" spans="1:33" ht="15.75" customHeight="1" x14ac:dyDescent="0.25">
      <c r="A29" s="12" t="s">
        <v>15</v>
      </c>
      <c r="B29" s="13">
        <v>5</v>
      </c>
      <c r="C29" s="14">
        <v>4</v>
      </c>
      <c r="D29" s="14">
        <v>6</v>
      </c>
      <c r="E29" s="14">
        <v>3</v>
      </c>
      <c r="F29" s="14">
        <v>2</v>
      </c>
      <c r="G29" s="14">
        <v>5</v>
      </c>
      <c r="H29" s="14">
        <v>5</v>
      </c>
      <c r="I29" s="14">
        <v>7</v>
      </c>
      <c r="J29" s="14">
        <v>6</v>
      </c>
      <c r="K29" s="14">
        <v>7</v>
      </c>
      <c r="L29" s="14">
        <v>10</v>
      </c>
      <c r="M29" s="14">
        <v>6</v>
      </c>
      <c r="N29" s="14">
        <v>5</v>
      </c>
      <c r="O29" s="14">
        <v>6</v>
      </c>
      <c r="P29" s="14">
        <v>8</v>
      </c>
      <c r="Q29" s="14">
        <v>6</v>
      </c>
      <c r="R29" s="14">
        <v>6</v>
      </c>
      <c r="S29" s="14">
        <v>9</v>
      </c>
      <c r="T29" s="14">
        <v>5</v>
      </c>
      <c r="U29" s="14">
        <v>4</v>
      </c>
      <c r="V29" s="14">
        <v>8</v>
      </c>
      <c r="W29" s="14">
        <v>6</v>
      </c>
      <c r="X29" s="14">
        <v>5</v>
      </c>
      <c r="Y29" s="14">
        <v>4</v>
      </c>
      <c r="Z29" s="14">
        <v>4</v>
      </c>
      <c r="AA29" s="14">
        <v>1</v>
      </c>
      <c r="AB29" s="14">
        <v>5</v>
      </c>
      <c r="AC29" s="14">
        <v>10</v>
      </c>
      <c r="AD29" s="14">
        <v>6</v>
      </c>
      <c r="AE29" s="14">
        <v>6</v>
      </c>
      <c r="AF29" s="214">
        <v>4</v>
      </c>
      <c r="AG29" s="15">
        <f t="shared" si="2"/>
        <v>174</v>
      </c>
    </row>
    <row r="30" spans="1:33" ht="15.75" customHeight="1" x14ac:dyDescent="0.25">
      <c r="A30" s="12" t="s">
        <v>16</v>
      </c>
      <c r="B30" s="13">
        <v>15</v>
      </c>
      <c r="C30" s="14">
        <v>6</v>
      </c>
      <c r="D30" s="14">
        <v>6</v>
      </c>
      <c r="E30" s="14">
        <v>5</v>
      </c>
      <c r="F30" s="14">
        <v>9</v>
      </c>
      <c r="G30" s="14">
        <v>0</v>
      </c>
      <c r="H30" s="14">
        <v>8</v>
      </c>
      <c r="I30" s="14">
        <v>18</v>
      </c>
      <c r="J30" s="14">
        <v>11</v>
      </c>
      <c r="K30" s="14">
        <v>10</v>
      </c>
      <c r="L30" s="14">
        <v>13</v>
      </c>
      <c r="M30" s="14">
        <v>7</v>
      </c>
      <c r="N30" s="14">
        <v>9</v>
      </c>
      <c r="O30" s="14">
        <v>7</v>
      </c>
      <c r="P30" s="14">
        <v>8</v>
      </c>
      <c r="Q30" s="14">
        <v>6</v>
      </c>
      <c r="R30" s="14">
        <v>8</v>
      </c>
      <c r="S30" s="14">
        <v>9</v>
      </c>
      <c r="T30" s="14">
        <v>7</v>
      </c>
      <c r="U30" s="14">
        <v>6</v>
      </c>
      <c r="V30" s="14">
        <v>8</v>
      </c>
      <c r="W30" s="14">
        <v>10</v>
      </c>
      <c r="X30" s="14">
        <v>5</v>
      </c>
      <c r="Y30" s="14">
        <v>6</v>
      </c>
      <c r="Z30" s="14">
        <v>6</v>
      </c>
      <c r="AA30" s="14">
        <v>10</v>
      </c>
      <c r="AB30" s="14">
        <v>8</v>
      </c>
      <c r="AC30" s="14">
        <v>14</v>
      </c>
      <c r="AD30" s="14">
        <v>12</v>
      </c>
      <c r="AE30" s="14">
        <v>9</v>
      </c>
      <c r="AF30" s="214">
        <v>11</v>
      </c>
      <c r="AG30" s="15">
        <f t="shared" si="2"/>
        <v>267</v>
      </c>
    </row>
    <row r="31" spans="1:33" ht="15.75" customHeight="1" x14ac:dyDescent="0.25">
      <c r="A31" s="12" t="s">
        <v>17</v>
      </c>
      <c r="B31" s="13">
        <v>11</v>
      </c>
      <c r="C31" s="14">
        <v>6</v>
      </c>
      <c r="D31" s="14">
        <v>7</v>
      </c>
      <c r="E31" s="14">
        <v>9</v>
      </c>
      <c r="F31" s="14">
        <v>8</v>
      </c>
      <c r="G31" s="14">
        <v>13</v>
      </c>
      <c r="H31" s="14">
        <v>7</v>
      </c>
      <c r="I31" s="14">
        <v>14</v>
      </c>
      <c r="J31" s="14">
        <v>10</v>
      </c>
      <c r="K31" s="14">
        <v>7</v>
      </c>
      <c r="L31" s="14">
        <v>8</v>
      </c>
      <c r="M31" s="14">
        <v>14</v>
      </c>
      <c r="N31" s="14">
        <v>10</v>
      </c>
      <c r="O31" s="14">
        <v>12</v>
      </c>
      <c r="P31" s="14">
        <v>14</v>
      </c>
      <c r="Q31" s="14">
        <v>7</v>
      </c>
      <c r="R31" s="14">
        <v>6</v>
      </c>
      <c r="S31" s="14">
        <v>13</v>
      </c>
      <c r="T31" s="14">
        <v>10</v>
      </c>
      <c r="U31" s="14">
        <v>3</v>
      </c>
      <c r="V31" s="14">
        <v>9</v>
      </c>
      <c r="W31" s="14">
        <v>9</v>
      </c>
      <c r="X31" s="14">
        <v>4</v>
      </c>
      <c r="Y31" s="14">
        <v>7</v>
      </c>
      <c r="Z31" s="14">
        <v>10</v>
      </c>
      <c r="AA31" s="14">
        <v>16</v>
      </c>
      <c r="AB31" s="14">
        <v>15</v>
      </c>
      <c r="AC31" s="14">
        <v>13</v>
      </c>
      <c r="AD31" s="14">
        <v>9</v>
      </c>
      <c r="AE31" s="14">
        <v>5</v>
      </c>
      <c r="AF31" s="214">
        <v>7</v>
      </c>
      <c r="AG31" s="15">
        <f t="shared" si="2"/>
        <v>293</v>
      </c>
    </row>
    <row r="32" spans="1:33" ht="15.75" customHeight="1" x14ac:dyDescent="0.25">
      <c r="A32" s="12" t="s">
        <v>18</v>
      </c>
      <c r="B32" s="13">
        <v>10</v>
      </c>
      <c r="C32" s="14">
        <v>8</v>
      </c>
      <c r="D32" s="14">
        <v>9</v>
      </c>
      <c r="E32" s="14">
        <v>7</v>
      </c>
      <c r="F32" s="14">
        <v>0</v>
      </c>
      <c r="G32" s="14">
        <v>17</v>
      </c>
      <c r="H32" s="14">
        <v>8</v>
      </c>
      <c r="I32" s="14">
        <v>15</v>
      </c>
      <c r="J32" s="14">
        <v>10</v>
      </c>
      <c r="K32" s="14">
        <v>5</v>
      </c>
      <c r="L32" s="14">
        <v>8</v>
      </c>
      <c r="M32" s="14">
        <v>10</v>
      </c>
      <c r="N32" s="14">
        <v>18</v>
      </c>
      <c r="O32" s="14">
        <v>9</v>
      </c>
      <c r="P32" s="14">
        <v>19</v>
      </c>
      <c r="Q32" s="14">
        <v>6</v>
      </c>
      <c r="R32" s="14">
        <v>8</v>
      </c>
      <c r="S32" s="14">
        <v>6</v>
      </c>
      <c r="T32" s="14">
        <v>15</v>
      </c>
      <c r="U32" s="14">
        <v>9</v>
      </c>
      <c r="V32" s="14">
        <v>9</v>
      </c>
      <c r="W32" s="14">
        <v>10</v>
      </c>
      <c r="X32" s="14">
        <v>5</v>
      </c>
      <c r="Y32" s="14">
        <v>4</v>
      </c>
      <c r="Z32" s="14">
        <v>4</v>
      </c>
      <c r="AA32" s="14">
        <v>11</v>
      </c>
      <c r="AB32" s="14">
        <v>12</v>
      </c>
      <c r="AC32" s="14">
        <v>12</v>
      </c>
      <c r="AD32" s="14">
        <v>8</v>
      </c>
      <c r="AE32" s="14">
        <v>5</v>
      </c>
      <c r="AF32" s="214">
        <v>5</v>
      </c>
      <c r="AG32" s="15">
        <f t="shared" si="2"/>
        <v>282</v>
      </c>
    </row>
    <row r="33" spans="1:33" ht="15.75" customHeight="1" x14ac:dyDescent="0.25">
      <c r="A33" s="12" t="s">
        <v>19</v>
      </c>
      <c r="B33" s="13">
        <v>6</v>
      </c>
      <c r="C33" s="14">
        <v>14</v>
      </c>
      <c r="D33" s="14">
        <v>4</v>
      </c>
      <c r="E33" s="14">
        <v>9</v>
      </c>
      <c r="F33" s="14">
        <v>13</v>
      </c>
      <c r="G33" s="14">
        <v>17</v>
      </c>
      <c r="H33" s="14">
        <v>11</v>
      </c>
      <c r="I33" s="14">
        <v>16</v>
      </c>
      <c r="J33" s="14">
        <v>14</v>
      </c>
      <c r="K33" s="14">
        <v>6</v>
      </c>
      <c r="L33" s="14">
        <v>7</v>
      </c>
      <c r="M33" s="14">
        <v>8</v>
      </c>
      <c r="N33" s="14">
        <v>13</v>
      </c>
      <c r="O33" s="14">
        <v>10</v>
      </c>
      <c r="P33" s="14">
        <v>16</v>
      </c>
      <c r="Q33" s="14">
        <v>7</v>
      </c>
      <c r="R33" s="14">
        <v>8</v>
      </c>
      <c r="S33" s="14">
        <v>13</v>
      </c>
      <c r="T33" s="14">
        <v>22</v>
      </c>
      <c r="U33" s="14">
        <v>16</v>
      </c>
      <c r="V33" s="14">
        <v>9</v>
      </c>
      <c r="W33" s="14">
        <v>8</v>
      </c>
      <c r="X33" s="14">
        <v>4</v>
      </c>
      <c r="Y33" s="14">
        <v>8</v>
      </c>
      <c r="Z33" s="14">
        <v>4</v>
      </c>
      <c r="AA33" s="14">
        <v>11</v>
      </c>
      <c r="AB33" s="14">
        <v>10</v>
      </c>
      <c r="AC33" s="14">
        <v>13</v>
      </c>
      <c r="AD33" s="14">
        <v>9</v>
      </c>
      <c r="AE33" s="14">
        <v>5</v>
      </c>
      <c r="AF33" s="214">
        <v>5</v>
      </c>
      <c r="AG33" s="15">
        <f t="shared" si="2"/>
        <v>316</v>
      </c>
    </row>
    <row r="34" spans="1:33" ht="15.75" customHeight="1" x14ac:dyDescent="0.25">
      <c r="A34" s="12" t="s">
        <v>20</v>
      </c>
      <c r="B34" s="13">
        <v>3</v>
      </c>
      <c r="C34" s="14">
        <v>5</v>
      </c>
      <c r="D34" s="14">
        <v>4</v>
      </c>
      <c r="E34" s="14">
        <v>1</v>
      </c>
      <c r="F34" s="14">
        <v>8</v>
      </c>
      <c r="G34" s="14">
        <v>13</v>
      </c>
      <c r="H34" s="14">
        <v>9</v>
      </c>
      <c r="I34" s="14">
        <v>7</v>
      </c>
      <c r="J34" s="14">
        <v>13</v>
      </c>
      <c r="K34" s="14">
        <v>7</v>
      </c>
      <c r="L34" s="14">
        <v>4</v>
      </c>
      <c r="M34" s="14">
        <v>11</v>
      </c>
      <c r="N34" s="14">
        <v>9</v>
      </c>
      <c r="O34" s="14">
        <v>6</v>
      </c>
      <c r="P34" s="14">
        <v>16</v>
      </c>
      <c r="Q34" s="14">
        <v>11</v>
      </c>
      <c r="R34" s="14">
        <v>7</v>
      </c>
      <c r="S34" s="14">
        <v>10</v>
      </c>
      <c r="T34" s="14">
        <v>8</v>
      </c>
      <c r="U34" s="14">
        <v>11</v>
      </c>
      <c r="V34" s="14">
        <v>4</v>
      </c>
      <c r="W34" s="14">
        <v>12</v>
      </c>
      <c r="X34" s="14">
        <v>5</v>
      </c>
      <c r="Y34" s="14">
        <v>5</v>
      </c>
      <c r="Z34" s="14">
        <v>6</v>
      </c>
      <c r="AA34" s="14">
        <v>10</v>
      </c>
      <c r="AB34" s="14">
        <v>10</v>
      </c>
      <c r="AC34" s="14">
        <v>10</v>
      </c>
      <c r="AD34" s="14">
        <v>4</v>
      </c>
      <c r="AE34" s="14">
        <v>1</v>
      </c>
      <c r="AF34" s="214">
        <v>11</v>
      </c>
      <c r="AG34" s="15">
        <f t="shared" si="2"/>
        <v>241</v>
      </c>
    </row>
    <row r="35" spans="1:33" ht="15.75" customHeight="1" x14ac:dyDescent="0.25">
      <c r="A35" s="12" t="s">
        <v>21</v>
      </c>
      <c r="B35" s="13">
        <v>7</v>
      </c>
      <c r="C35" s="14">
        <v>9</v>
      </c>
      <c r="D35" s="14">
        <v>9</v>
      </c>
      <c r="E35" s="14">
        <v>9</v>
      </c>
      <c r="F35" s="14">
        <v>5</v>
      </c>
      <c r="G35" s="14">
        <v>11</v>
      </c>
      <c r="H35" s="14">
        <v>10</v>
      </c>
      <c r="I35" s="14">
        <v>7</v>
      </c>
      <c r="J35" s="14">
        <v>14</v>
      </c>
      <c r="K35" s="14">
        <v>8</v>
      </c>
      <c r="L35" s="14">
        <v>6</v>
      </c>
      <c r="M35" s="14">
        <v>11</v>
      </c>
      <c r="N35" s="14">
        <v>10</v>
      </c>
      <c r="O35" s="14">
        <v>7</v>
      </c>
      <c r="P35" s="14">
        <v>9</v>
      </c>
      <c r="Q35" s="14">
        <v>6</v>
      </c>
      <c r="R35" s="14">
        <v>11</v>
      </c>
      <c r="S35" s="14">
        <v>9</v>
      </c>
      <c r="T35" s="14">
        <v>19</v>
      </c>
      <c r="U35" s="14">
        <v>21</v>
      </c>
      <c r="V35" s="14">
        <v>12</v>
      </c>
      <c r="W35" s="14">
        <v>8</v>
      </c>
      <c r="X35" s="14">
        <v>14</v>
      </c>
      <c r="Y35" s="14">
        <v>9</v>
      </c>
      <c r="Z35" s="14">
        <v>10</v>
      </c>
      <c r="AA35" s="14">
        <v>13</v>
      </c>
      <c r="AB35" s="14">
        <v>12</v>
      </c>
      <c r="AC35" s="14">
        <v>12</v>
      </c>
      <c r="AD35" s="14">
        <v>7</v>
      </c>
      <c r="AE35" s="14">
        <v>5</v>
      </c>
      <c r="AF35" s="214">
        <v>10</v>
      </c>
      <c r="AG35" s="15">
        <f t="shared" si="2"/>
        <v>310</v>
      </c>
    </row>
    <row r="36" spans="1:33" ht="15.75" customHeight="1" x14ac:dyDescent="0.25">
      <c r="A36" s="12" t="s">
        <v>22</v>
      </c>
      <c r="B36" s="13">
        <v>14</v>
      </c>
      <c r="C36" s="14">
        <v>11</v>
      </c>
      <c r="D36" s="14">
        <v>8</v>
      </c>
      <c r="E36" s="14">
        <v>14</v>
      </c>
      <c r="F36" s="14">
        <v>7</v>
      </c>
      <c r="G36" s="14">
        <v>15</v>
      </c>
      <c r="H36" s="14">
        <v>12</v>
      </c>
      <c r="I36" s="14">
        <v>13</v>
      </c>
      <c r="J36" s="14">
        <v>17</v>
      </c>
      <c r="K36" s="14">
        <v>6</v>
      </c>
      <c r="L36" s="14">
        <v>7</v>
      </c>
      <c r="M36" s="14">
        <v>10</v>
      </c>
      <c r="N36" s="14">
        <v>12</v>
      </c>
      <c r="O36" s="14">
        <v>7</v>
      </c>
      <c r="P36" s="14">
        <v>12</v>
      </c>
      <c r="Q36" s="14">
        <v>8</v>
      </c>
      <c r="R36" s="14">
        <v>10</v>
      </c>
      <c r="S36" s="14">
        <v>6</v>
      </c>
      <c r="T36" s="14">
        <v>11</v>
      </c>
      <c r="U36" s="14">
        <v>16</v>
      </c>
      <c r="V36" s="14">
        <v>12</v>
      </c>
      <c r="W36" s="14">
        <v>8</v>
      </c>
      <c r="X36" s="14">
        <v>10</v>
      </c>
      <c r="Y36" s="14">
        <v>12</v>
      </c>
      <c r="Z36" s="14">
        <v>13</v>
      </c>
      <c r="AA36" s="14">
        <v>15</v>
      </c>
      <c r="AB36" s="14">
        <v>17</v>
      </c>
      <c r="AC36" s="14">
        <v>5</v>
      </c>
      <c r="AD36" s="14">
        <v>6</v>
      </c>
      <c r="AE36" s="14">
        <v>10</v>
      </c>
      <c r="AF36" s="214">
        <v>11</v>
      </c>
      <c r="AG36" s="15">
        <f t="shared" si="2"/>
        <v>335</v>
      </c>
    </row>
    <row r="37" spans="1:33" ht="15.75" customHeight="1" x14ac:dyDescent="0.25">
      <c r="A37" s="12" t="s">
        <v>23</v>
      </c>
      <c r="B37" s="13">
        <v>14</v>
      </c>
      <c r="C37" s="14">
        <v>14</v>
      </c>
      <c r="D37" s="14">
        <v>10</v>
      </c>
      <c r="E37" s="14">
        <v>10</v>
      </c>
      <c r="F37" s="14">
        <v>10</v>
      </c>
      <c r="G37" s="14">
        <v>13</v>
      </c>
      <c r="H37" s="14">
        <v>11</v>
      </c>
      <c r="I37" s="14">
        <v>15</v>
      </c>
      <c r="J37" s="14">
        <v>17</v>
      </c>
      <c r="K37" s="14">
        <v>6</v>
      </c>
      <c r="L37" s="14">
        <v>10</v>
      </c>
      <c r="M37" s="14">
        <v>16</v>
      </c>
      <c r="N37" s="14">
        <v>16</v>
      </c>
      <c r="O37" s="14">
        <v>9</v>
      </c>
      <c r="P37" s="14">
        <v>17</v>
      </c>
      <c r="Q37" s="14">
        <v>11</v>
      </c>
      <c r="R37" s="14">
        <v>10</v>
      </c>
      <c r="S37" s="14">
        <v>11</v>
      </c>
      <c r="T37" s="14">
        <v>16</v>
      </c>
      <c r="U37" s="14">
        <v>21</v>
      </c>
      <c r="V37" s="14">
        <v>10</v>
      </c>
      <c r="W37" s="14">
        <v>12</v>
      </c>
      <c r="X37" s="14">
        <v>13</v>
      </c>
      <c r="Y37" s="14">
        <v>10</v>
      </c>
      <c r="Z37" s="14">
        <v>16</v>
      </c>
      <c r="AA37" s="14">
        <v>15</v>
      </c>
      <c r="AB37" s="14">
        <v>16</v>
      </c>
      <c r="AC37" s="14">
        <v>16</v>
      </c>
      <c r="AD37" s="14">
        <v>11</v>
      </c>
      <c r="AE37" s="14">
        <v>5</v>
      </c>
      <c r="AF37" s="214">
        <v>7</v>
      </c>
      <c r="AG37" s="15">
        <f t="shared" si="2"/>
        <v>388</v>
      </c>
    </row>
    <row r="38" spans="1:33" ht="15.75" customHeight="1" x14ac:dyDescent="0.25">
      <c r="A38" s="12" t="s">
        <v>24</v>
      </c>
      <c r="B38" s="13">
        <v>10</v>
      </c>
      <c r="C38" s="14">
        <v>12</v>
      </c>
      <c r="D38" s="14">
        <v>9</v>
      </c>
      <c r="E38" s="14">
        <v>7</v>
      </c>
      <c r="F38" s="14">
        <v>14</v>
      </c>
      <c r="G38" s="14">
        <v>12</v>
      </c>
      <c r="H38" s="14">
        <v>10</v>
      </c>
      <c r="I38" s="14">
        <v>9</v>
      </c>
      <c r="J38" s="14">
        <v>17</v>
      </c>
      <c r="K38" s="14">
        <v>10</v>
      </c>
      <c r="L38" s="14">
        <v>11</v>
      </c>
      <c r="M38" s="14">
        <v>12</v>
      </c>
      <c r="N38" s="14">
        <v>14</v>
      </c>
      <c r="O38" s="14">
        <v>8</v>
      </c>
      <c r="P38" s="14">
        <v>17</v>
      </c>
      <c r="Q38" s="14">
        <v>11</v>
      </c>
      <c r="R38" s="14">
        <v>11</v>
      </c>
      <c r="S38" s="14">
        <v>8</v>
      </c>
      <c r="T38" s="14">
        <v>11</v>
      </c>
      <c r="U38" s="14">
        <v>16</v>
      </c>
      <c r="V38" s="14">
        <v>13</v>
      </c>
      <c r="W38" s="14">
        <v>12</v>
      </c>
      <c r="X38" s="14">
        <v>18</v>
      </c>
      <c r="Y38" s="14">
        <v>9</v>
      </c>
      <c r="Z38" s="14">
        <v>8</v>
      </c>
      <c r="AA38" s="14">
        <v>17</v>
      </c>
      <c r="AB38" s="14">
        <v>16</v>
      </c>
      <c r="AC38" s="14">
        <v>12</v>
      </c>
      <c r="AD38" s="14">
        <v>13</v>
      </c>
      <c r="AE38" s="14">
        <v>16</v>
      </c>
      <c r="AF38" s="214">
        <v>9</v>
      </c>
      <c r="AG38" s="15">
        <f t="shared" si="2"/>
        <v>372</v>
      </c>
    </row>
    <row r="39" spans="1:33" ht="15.75" customHeight="1" x14ac:dyDescent="0.25">
      <c r="A39" s="12" t="s">
        <v>25</v>
      </c>
      <c r="B39" s="13">
        <v>17</v>
      </c>
      <c r="C39" s="14">
        <v>13</v>
      </c>
      <c r="D39" s="14">
        <v>22</v>
      </c>
      <c r="E39" s="14">
        <v>21</v>
      </c>
      <c r="F39" s="14">
        <v>13</v>
      </c>
      <c r="G39" s="14">
        <v>8</v>
      </c>
      <c r="H39" s="14">
        <v>17</v>
      </c>
      <c r="I39" s="14">
        <v>16</v>
      </c>
      <c r="J39" s="14">
        <v>15</v>
      </c>
      <c r="K39" s="14">
        <v>22</v>
      </c>
      <c r="L39" s="14">
        <v>17</v>
      </c>
      <c r="M39" s="14">
        <v>12</v>
      </c>
      <c r="N39" s="14">
        <v>16</v>
      </c>
      <c r="O39" s="14">
        <v>20</v>
      </c>
      <c r="P39" s="14">
        <v>19</v>
      </c>
      <c r="Q39" s="14">
        <v>22</v>
      </c>
      <c r="R39" s="14">
        <v>23</v>
      </c>
      <c r="S39" s="14">
        <v>18</v>
      </c>
      <c r="T39" s="14">
        <v>18</v>
      </c>
      <c r="U39" s="14">
        <v>12</v>
      </c>
      <c r="V39" s="14">
        <v>18</v>
      </c>
      <c r="W39" s="14">
        <v>19</v>
      </c>
      <c r="X39" s="14">
        <v>15</v>
      </c>
      <c r="Y39" s="14">
        <v>21</v>
      </c>
      <c r="Z39" s="14">
        <v>18</v>
      </c>
      <c r="AA39" s="14">
        <v>7</v>
      </c>
      <c r="AB39" s="14">
        <v>13</v>
      </c>
      <c r="AC39" s="14">
        <v>19</v>
      </c>
      <c r="AD39" s="14">
        <v>17</v>
      </c>
      <c r="AE39" s="14">
        <v>25</v>
      </c>
      <c r="AF39" s="214">
        <v>16</v>
      </c>
      <c r="AG39" s="15">
        <f t="shared" si="2"/>
        <v>529</v>
      </c>
    </row>
    <row r="40" spans="1:33" ht="15.75" customHeight="1" x14ac:dyDescent="0.25">
      <c r="A40" s="12" t="s">
        <v>26</v>
      </c>
      <c r="B40" s="13">
        <v>18</v>
      </c>
      <c r="C40" s="14">
        <v>25</v>
      </c>
      <c r="D40" s="14">
        <v>15</v>
      </c>
      <c r="E40" s="14">
        <v>15</v>
      </c>
      <c r="F40" s="14">
        <v>11</v>
      </c>
      <c r="G40" s="14">
        <v>12</v>
      </c>
      <c r="H40" s="14">
        <v>16</v>
      </c>
      <c r="I40" s="14">
        <v>25</v>
      </c>
      <c r="J40" s="14">
        <v>27</v>
      </c>
      <c r="K40" s="14">
        <v>20</v>
      </c>
      <c r="L40" s="14">
        <v>23</v>
      </c>
      <c r="M40" s="14">
        <v>12</v>
      </c>
      <c r="N40" s="14">
        <v>15</v>
      </c>
      <c r="O40" s="14">
        <v>25</v>
      </c>
      <c r="P40" s="14">
        <v>10</v>
      </c>
      <c r="Q40" s="14">
        <v>24</v>
      </c>
      <c r="R40" s="14">
        <v>21</v>
      </c>
      <c r="S40" s="14">
        <v>23</v>
      </c>
      <c r="T40" s="14">
        <v>12</v>
      </c>
      <c r="U40" s="14">
        <v>13</v>
      </c>
      <c r="V40" s="14">
        <v>23</v>
      </c>
      <c r="W40" s="14">
        <v>19</v>
      </c>
      <c r="X40" s="14">
        <v>20</v>
      </c>
      <c r="Y40" s="14">
        <v>17</v>
      </c>
      <c r="Z40" s="14">
        <v>19</v>
      </c>
      <c r="AA40" s="14">
        <v>6</v>
      </c>
      <c r="AB40" s="14">
        <v>10</v>
      </c>
      <c r="AC40" s="14">
        <v>26</v>
      </c>
      <c r="AD40" s="14">
        <v>17</v>
      </c>
      <c r="AE40" s="14">
        <v>21</v>
      </c>
      <c r="AF40" s="214">
        <v>19</v>
      </c>
      <c r="AG40" s="15">
        <f t="shared" si="2"/>
        <v>559</v>
      </c>
    </row>
    <row r="41" spans="1:33" ht="15.75" customHeight="1" x14ac:dyDescent="0.25">
      <c r="A41" s="12" t="s">
        <v>27</v>
      </c>
      <c r="B41" s="13">
        <v>20</v>
      </c>
      <c r="C41" s="14">
        <v>13</v>
      </c>
      <c r="D41" s="14">
        <v>22</v>
      </c>
      <c r="E41" s="14">
        <v>20</v>
      </c>
      <c r="F41" s="14">
        <v>4</v>
      </c>
      <c r="G41" s="14">
        <v>10</v>
      </c>
      <c r="H41" s="14">
        <v>21</v>
      </c>
      <c r="I41" s="14">
        <v>19</v>
      </c>
      <c r="J41" s="14">
        <v>20</v>
      </c>
      <c r="K41" s="14">
        <v>24</v>
      </c>
      <c r="L41" s="14">
        <v>13</v>
      </c>
      <c r="M41" s="14">
        <v>8</v>
      </c>
      <c r="N41" s="14">
        <v>5</v>
      </c>
      <c r="O41" s="14">
        <v>23</v>
      </c>
      <c r="P41" s="14">
        <v>12</v>
      </c>
      <c r="Q41" s="14">
        <v>23</v>
      </c>
      <c r="R41" s="14">
        <v>22</v>
      </c>
      <c r="S41" s="14">
        <v>22</v>
      </c>
      <c r="T41" s="14">
        <v>9</v>
      </c>
      <c r="U41" s="14">
        <v>10</v>
      </c>
      <c r="V41" s="14">
        <v>21</v>
      </c>
      <c r="W41" s="14">
        <v>18</v>
      </c>
      <c r="X41" s="14">
        <v>23</v>
      </c>
      <c r="Y41" s="14">
        <v>15</v>
      </c>
      <c r="Z41" s="14">
        <v>9</v>
      </c>
      <c r="AA41" s="14">
        <v>9</v>
      </c>
      <c r="AB41" s="14">
        <v>11</v>
      </c>
      <c r="AC41" s="14">
        <v>16</v>
      </c>
      <c r="AD41" s="14">
        <v>22</v>
      </c>
      <c r="AE41" s="14">
        <v>20</v>
      </c>
      <c r="AF41" s="214">
        <v>19</v>
      </c>
      <c r="AG41" s="15">
        <f t="shared" si="2"/>
        <v>503</v>
      </c>
    </row>
    <row r="42" spans="1:33" ht="15.75" customHeight="1" x14ac:dyDescent="0.25">
      <c r="A42" s="12" t="s">
        <v>28</v>
      </c>
      <c r="B42" s="13">
        <v>19</v>
      </c>
      <c r="C42" s="14">
        <v>11</v>
      </c>
      <c r="D42" s="14">
        <v>15</v>
      </c>
      <c r="E42" s="14">
        <v>15</v>
      </c>
      <c r="F42" s="14">
        <v>8</v>
      </c>
      <c r="G42" s="14">
        <v>12</v>
      </c>
      <c r="H42" s="14">
        <v>16</v>
      </c>
      <c r="I42" s="14">
        <v>19</v>
      </c>
      <c r="J42" s="14">
        <v>10</v>
      </c>
      <c r="K42" s="14">
        <v>12</v>
      </c>
      <c r="L42" s="14">
        <v>6</v>
      </c>
      <c r="M42" s="14">
        <v>8</v>
      </c>
      <c r="N42" s="14">
        <v>14</v>
      </c>
      <c r="O42" s="14">
        <v>21</v>
      </c>
      <c r="P42" s="14">
        <v>12</v>
      </c>
      <c r="Q42" s="14">
        <v>16</v>
      </c>
      <c r="R42" s="14">
        <v>12</v>
      </c>
      <c r="S42" s="14">
        <v>16</v>
      </c>
      <c r="T42" s="14">
        <v>11</v>
      </c>
      <c r="U42" s="14">
        <v>5</v>
      </c>
      <c r="V42" s="14">
        <v>18</v>
      </c>
      <c r="W42" s="14">
        <v>19</v>
      </c>
      <c r="X42" s="14">
        <v>19</v>
      </c>
      <c r="Y42" s="14">
        <v>12</v>
      </c>
      <c r="Z42" s="14">
        <v>14</v>
      </c>
      <c r="AA42" s="14">
        <v>12</v>
      </c>
      <c r="AB42" s="14">
        <v>13</v>
      </c>
      <c r="AC42" s="14">
        <v>15</v>
      </c>
      <c r="AD42" s="14">
        <v>25</v>
      </c>
      <c r="AE42" s="14">
        <v>22</v>
      </c>
      <c r="AF42" s="214">
        <v>16</v>
      </c>
      <c r="AG42" s="15">
        <f t="shared" si="2"/>
        <v>443</v>
      </c>
    </row>
    <row r="43" spans="1:33" ht="15.75" customHeight="1" x14ac:dyDescent="0.25">
      <c r="A43" s="12" t="s">
        <v>29</v>
      </c>
      <c r="B43" s="13">
        <v>11</v>
      </c>
      <c r="C43" s="14">
        <v>13</v>
      </c>
      <c r="D43" s="14">
        <v>19</v>
      </c>
      <c r="E43" s="14">
        <v>15</v>
      </c>
      <c r="F43" s="14">
        <v>4</v>
      </c>
      <c r="G43" s="14">
        <v>9</v>
      </c>
      <c r="H43" s="14">
        <v>8</v>
      </c>
      <c r="I43" s="14">
        <v>8</v>
      </c>
      <c r="J43" s="14">
        <v>11</v>
      </c>
      <c r="K43" s="14">
        <v>12</v>
      </c>
      <c r="L43" s="14">
        <v>5</v>
      </c>
      <c r="M43" s="14">
        <v>4</v>
      </c>
      <c r="N43" s="14">
        <v>10</v>
      </c>
      <c r="O43" s="14">
        <v>14</v>
      </c>
      <c r="P43" s="14">
        <v>9</v>
      </c>
      <c r="Q43" s="14">
        <v>8</v>
      </c>
      <c r="R43" s="14">
        <v>7</v>
      </c>
      <c r="S43" s="14">
        <v>11</v>
      </c>
      <c r="T43" s="14">
        <v>8</v>
      </c>
      <c r="U43" s="14">
        <v>4</v>
      </c>
      <c r="V43" s="14">
        <v>6</v>
      </c>
      <c r="W43" s="14">
        <v>15</v>
      </c>
      <c r="X43" s="14">
        <v>12</v>
      </c>
      <c r="Y43" s="14">
        <v>14</v>
      </c>
      <c r="Z43" s="14">
        <v>5</v>
      </c>
      <c r="AA43" s="14">
        <v>5</v>
      </c>
      <c r="AB43" s="14">
        <v>8</v>
      </c>
      <c r="AC43" s="14">
        <v>7</v>
      </c>
      <c r="AD43" s="14">
        <v>17</v>
      </c>
      <c r="AE43" s="14">
        <v>13</v>
      </c>
      <c r="AF43" s="214">
        <v>11</v>
      </c>
      <c r="AG43" s="15">
        <f t="shared" si="2"/>
        <v>303</v>
      </c>
    </row>
    <row r="44" spans="1:33" ht="15.75" customHeight="1" x14ac:dyDescent="0.25">
      <c r="A44" s="12" t="s">
        <v>30</v>
      </c>
      <c r="B44" s="13">
        <v>6</v>
      </c>
      <c r="C44" s="14">
        <v>3</v>
      </c>
      <c r="D44" s="14">
        <v>3</v>
      </c>
      <c r="E44" s="14">
        <v>4</v>
      </c>
      <c r="F44" s="14">
        <v>2</v>
      </c>
      <c r="G44" s="14">
        <v>11</v>
      </c>
      <c r="H44" s="14">
        <v>6</v>
      </c>
      <c r="I44" s="14">
        <v>6</v>
      </c>
      <c r="J44" s="14">
        <v>6</v>
      </c>
      <c r="K44" s="14">
        <v>10</v>
      </c>
      <c r="L44" s="14">
        <v>6</v>
      </c>
      <c r="M44" s="14">
        <v>3</v>
      </c>
      <c r="N44" s="14">
        <v>6</v>
      </c>
      <c r="O44" s="14">
        <v>7</v>
      </c>
      <c r="P44" s="14">
        <v>3</v>
      </c>
      <c r="Q44" s="14">
        <v>12</v>
      </c>
      <c r="R44" s="14">
        <v>10</v>
      </c>
      <c r="S44" s="14">
        <v>4</v>
      </c>
      <c r="T44" s="14">
        <v>8</v>
      </c>
      <c r="U44" s="14">
        <v>7</v>
      </c>
      <c r="V44" s="14">
        <v>8</v>
      </c>
      <c r="W44" s="14">
        <v>7</v>
      </c>
      <c r="X44" s="14">
        <v>7</v>
      </c>
      <c r="Y44" s="14">
        <v>11</v>
      </c>
      <c r="Z44" s="14">
        <v>9</v>
      </c>
      <c r="AA44" s="14">
        <v>8</v>
      </c>
      <c r="AB44" s="14">
        <v>5</v>
      </c>
      <c r="AC44" s="14">
        <v>3</v>
      </c>
      <c r="AD44" s="14">
        <v>4</v>
      </c>
      <c r="AE44" s="14">
        <v>9</v>
      </c>
      <c r="AF44" s="214">
        <v>14</v>
      </c>
      <c r="AG44" s="15">
        <f t="shared" si="2"/>
        <v>208</v>
      </c>
    </row>
    <row r="45" spans="1:33" ht="15.75" customHeight="1" x14ac:dyDescent="0.25">
      <c r="A45" s="12" t="s">
        <v>31</v>
      </c>
      <c r="B45" s="13"/>
      <c r="C45" s="14">
        <v>5</v>
      </c>
      <c r="D45" s="14">
        <v>6</v>
      </c>
      <c r="E45" s="14">
        <v>4</v>
      </c>
      <c r="F45" s="14">
        <v>0</v>
      </c>
      <c r="G45" s="14">
        <v>2</v>
      </c>
      <c r="H45" s="14">
        <v>6</v>
      </c>
      <c r="I45" s="14">
        <v>2</v>
      </c>
      <c r="J45" s="14">
        <v>2</v>
      </c>
      <c r="K45" s="14">
        <v>8</v>
      </c>
      <c r="L45" s="14">
        <v>3</v>
      </c>
      <c r="M45" s="14">
        <v>8</v>
      </c>
      <c r="N45" s="14">
        <v>0</v>
      </c>
      <c r="O45" s="14">
        <v>4</v>
      </c>
      <c r="P45" s="14">
        <v>4</v>
      </c>
      <c r="Q45" s="14">
        <v>0</v>
      </c>
      <c r="R45" s="14">
        <v>4</v>
      </c>
      <c r="S45" s="14">
        <v>10</v>
      </c>
      <c r="T45" s="14">
        <v>10</v>
      </c>
      <c r="U45" s="14">
        <v>0</v>
      </c>
      <c r="V45" s="14">
        <v>9</v>
      </c>
      <c r="W45" s="14">
        <v>7</v>
      </c>
      <c r="X45" s="14">
        <v>5</v>
      </c>
      <c r="Y45" s="14">
        <v>13</v>
      </c>
      <c r="Z45" s="14">
        <v>5</v>
      </c>
      <c r="AA45" s="14">
        <v>8</v>
      </c>
      <c r="AB45" s="14">
        <v>3</v>
      </c>
      <c r="AC45" s="14">
        <v>5</v>
      </c>
      <c r="AD45" s="14">
        <v>3</v>
      </c>
      <c r="AE45" s="14">
        <v>7</v>
      </c>
      <c r="AF45" s="214">
        <v>5</v>
      </c>
      <c r="AG45" s="15">
        <f t="shared" si="2"/>
        <v>148</v>
      </c>
    </row>
    <row r="46" spans="1:33" ht="15.75" customHeight="1" x14ac:dyDescent="0.25">
      <c r="A46" s="12" t="s">
        <v>32</v>
      </c>
      <c r="B46" s="13">
        <v>4</v>
      </c>
      <c r="C46" s="14">
        <v>5</v>
      </c>
      <c r="D46" s="14">
        <v>1</v>
      </c>
      <c r="E46" s="14">
        <v>8</v>
      </c>
      <c r="F46" s="14">
        <v>3</v>
      </c>
      <c r="G46" s="14">
        <v>3</v>
      </c>
      <c r="H46" s="14">
        <v>7</v>
      </c>
      <c r="I46" s="14">
        <v>0</v>
      </c>
      <c r="J46" s="14">
        <v>7</v>
      </c>
      <c r="K46" s="14">
        <v>1</v>
      </c>
      <c r="L46" s="14">
        <v>0</v>
      </c>
      <c r="M46" s="14">
        <v>11</v>
      </c>
      <c r="N46" s="14">
        <v>5</v>
      </c>
      <c r="O46" s="14">
        <v>2</v>
      </c>
      <c r="P46" s="14">
        <v>4</v>
      </c>
      <c r="Q46" s="14">
        <v>4</v>
      </c>
      <c r="R46" s="14">
        <v>2</v>
      </c>
      <c r="S46" s="14">
        <v>0</v>
      </c>
      <c r="T46" s="14">
        <v>4</v>
      </c>
      <c r="U46" s="14">
        <v>7</v>
      </c>
      <c r="V46" s="14">
        <v>4</v>
      </c>
      <c r="W46" s="14">
        <v>4</v>
      </c>
      <c r="X46" s="14">
        <v>0</v>
      </c>
      <c r="Y46" s="14">
        <v>6</v>
      </c>
      <c r="Z46" s="14">
        <v>3</v>
      </c>
      <c r="AA46" s="14">
        <v>4</v>
      </c>
      <c r="AB46" s="14">
        <v>5</v>
      </c>
      <c r="AC46" s="14">
        <v>1</v>
      </c>
      <c r="AD46" s="14">
        <v>4</v>
      </c>
      <c r="AE46" s="14">
        <v>4</v>
      </c>
      <c r="AF46" s="214">
        <v>1</v>
      </c>
      <c r="AG46" s="15">
        <f t="shared" si="2"/>
        <v>114</v>
      </c>
    </row>
    <row r="47" spans="1:33" ht="15.75" customHeight="1" x14ac:dyDescent="0.25">
      <c r="A47" s="12" t="s">
        <v>33</v>
      </c>
      <c r="B47" s="13">
        <v>3</v>
      </c>
      <c r="C47" s="14"/>
      <c r="D47" s="14">
        <v>1</v>
      </c>
      <c r="E47" s="14">
        <v>4</v>
      </c>
      <c r="F47" s="14">
        <v>4</v>
      </c>
      <c r="G47" s="14">
        <v>2</v>
      </c>
      <c r="H47" s="14">
        <v>13</v>
      </c>
      <c r="I47" s="14">
        <v>0</v>
      </c>
      <c r="J47" s="14">
        <v>0</v>
      </c>
      <c r="K47" s="14">
        <v>0</v>
      </c>
      <c r="L47" s="14">
        <v>0</v>
      </c>
      <c r="M47" s="14">
        <v>3</v>
      </c>
      <c r="N47" s="14">
        <v>2</v>
      </c>
      <c r="O47" s="14">
        <v>4</v>
      </c>
      <c r="P47" s="14">
        <v>3</v>
      </c>
      <c r="Q47" s="14">
        <v>1</v>
      </c>
      <c r="R47" s="14">
        <v>1</v>
      </c>
      <c r="S47" s="14">
        <v>0</v>
      </c>
      <c r="T47" s="14">
        <v>5</v>
      </c>
      <c r="U47" s="14">
        <v>2</v>
      </c>
      <c r="V47" s="14">
        <v>0</v>
      </c>
      <c r="W47" s="14">
        <v>6</v>
      </c>
      <c r="X47" s="14">
        <v>0</v>
      </c>
      <c r="Y47" s="14">
        <v>4</v>
      </c>
      <c r="Z47" s="14">
        <v>0</v>
      </c>
      <c r="AA47" s="14">
        <v>3</v>
      </c>
      <c r="AB47" s="14">
        <v>4</v>
      </c>
      <c r="AC47" s="14">
        <v>0</v>
      </c>
      <c r="AD47" s="14">
        <v>4</v>
      </c>
      <c r="AE47" s="14">
        <v>3</v>
      </c>
      <c r="AF47" s="214">
        <v>2</v>
      </c>
      <c r="AG47" s="15">
        <f t="shared" si="2"/>
        <v>74</v>
      </c>
    </row>
    <row r="48" spans="1:33" ht="15.75" customHeight="1" x14ac:dyDescent="0.25">
      <c r="A48" s="12" t="s">
        <v>34</v>
      </c>
      <c r="B48" s="13">
        <v>2</v>
      </c>
      <c r="C48" s="14"/>
      <c r="D48" s="14">
        <v>1</v>
      </c>
      <c r="E48" s="14"/>
      <c r="F48" s="14">
        <v>2</v>
      </c>
      <c r="G48" s="14">
        <v>3</v>
      </c>
      <c r="H48" s="14">
        <v>1</v>
      </c>
      <c r="I48" s="14">
        <v>4</v>
      </c>
      <c r="J48" s="14">
        <v>0</v>
      </c>
      <c r="K48" s="14">
        <v>0</v>
      </c>
      <c r="L48" s="14">
        <v>5</v>
      </c>
      <c r="M48" s="14">
        <v>4</v>
      </c>
      <c r="N48" s="14">
        <v>3</v>
      </c>
      <c r="O48" s="14">
        <v>6</v>
      </c>
      <c r="P48" s="14">
        <v>2</v>
      </c>
      <c r="Q48" s="14">
        <v>2</v>
      </c>
      <c r="R48" s="14">
        <v>1</v>
      </c>
      <c r="S48" s="14">
        <v>0</v>
      </c>
      <c r="T48" s="14">
        <v>2</v>
      </c>
      <c r="U48" s="14">
        <v>1</v>
      </c>
      <c r="V48" s="14">
        <v>1</v>
      </c>
      <c r="W48" s="14">
        <v>0</v>
      </c>
      <c r="X48" s="14">
        <v>0</v>
      </c>
      <c r="Y48" s="14">
        <v>2</v>
      </c>
      <c r="Z48" s="14">
        <v>3</v>
      </c>
      <c r="AA48" s="14">
        <v>3</v>
      </c>
      <c r="AB48" s="14">
        <v>1</v>
      </c>
      <c r="AC48" s="14">
        <v>0</v>
      </c>
      <c r="AD48" s="14">
        <v>0</v>
      </c>
      <c r="AE48" s="14">
        <v>0</v>
      </c>
      <c r="AF48" s="214">
        <v>3</v>
      </c>
      <c r="AG48" s="15">
        <f t="shared" si="2"/>
        <v>52</v>
      </c>
    </row>
    <row r="49" spans="1:33" ht="15.75" customHeight="1" x14ac:dyDescent="0.25">
      <c r="A49" s="12" t="s">
        <v>35</v>
      </c>
      <c r="B49" s="13">
        <v>1</v>
      </c>
      <c r="C49" s="14">
        <v>6</v>
      </c>
      <c r="D49" s="14"/>
      <c r="E49" s="14"/>
      <c r="F49" s="14">
        <v>2</v>
      </c>
      <c r="G49" s="14">
        <v>1</v>
      </c>
      <c r="H49" s="14">
        <v>2</v>
      </c>
      <c r="I49" s="14">
        <v>5</v>
      </c>
      <c r="J49" s="14">
        <v>0</v>
      </c>
      <c r="K49" s="14">
        <v>1</v>
      </c>
      <c r="L49" s="14">
        <v>1</v>
      </c>
      <c r="M49" s="14">
        <v>0</v>
      </c>
      <c r="N49" s="14">
        <v>3</v>
      </c>
      <c r="O49" s="14">
        <v>5</v>
      </c>
      <c r="P49" s="14">
        <v>0</v>
      </c>
      <c r="Q49" s="14">
        <v>1</v>
      </c>
      <c r="R49" s="14">
        <v>1</v>
      </c>
      <c r="S49" s="14">
        <v>1</v>
      </c>
      <c r="T49" s="14">
        <v>0</v>
      </c>
      <c r="U49" s="14">
        <v>0</v>
      </c>
      <c r="V49" s="14">
        <v>1</v>
      </c>
      <c r="W49" s="14">
        <v>0</v>
      </c>
      <c r="X49" s="14">
        <v>1</v>
      </c>
      <c r="Y49" s="14">
        <v>2</v>
      </c>
      <c r="Z49" s="14">
        <v>3</v>
      </c>
      <c r="AA49" s="14">
        <v>0</v>
      </c>
      <c r="AB49" s="14">
        <v>1</v>
      </c>
      <c r="AC49" s="14">
        <v>0</v>
      </c>
      <c r="AD49" s="14">
        <v>2</v>
      </c>
      <c r="AE49" s="14">
        <v>0</v>
      </c>
      <c r="AF49" s="214">
        <v>0</v>
      </c>
      <c r="AG49" s="15">
        <f t="shared" si="2"/>
        <v>40</v>
      </c>
    </row>
    <row r="50" spans="1:33" ht="15.75" customHeight="1" x14ac:dyDescent="0.25">
      <c r="A50" s="12" t="s">
        <v>36</v>
      </c>
      <c r="B50" s="13">
        <v>2</v>
      </c>
      <c r="C50" s="14"/>
      <c r="D50" s="14"/>
      <c r="E50" s="14"/>
      <c r="F50" s="14">
        <v>3</v>
      </c>
      <c r="G50" s="14">
        <v>3</v>
      </c>
      <c r="H50" s="14">
        <v>0</v>
      </c>
      <c r="I50" s="14">
        <v>0</v>
      </c>
      <c r="J50" s="14">
        <v>3</v>
      </c>
      <c r="K50" s="14">
        <v>0</v>
      </c>
      <c r="L50" s="14">
        <v>1</v>
      </c>
      <c r="M50" s="14">
        <v>1</v>
      </c>
      <c r="N50" s="14">
        <v>1</v>
      </c>
      <c r="O50" s="14">
        <v>4</v>
      </c>
      <c r="P50" s="14">
        <v>4</v>
      </c>
      <c r="Q50" s="14">
        <v>0</v>
      </c>
      <c r="R50" s="14">
        <v>0</v>
      </c>
      <c r="S50" s="14">
        <v>0</v>
      </c>
      <c r="T50" s="14">
        <v>2</v>
      </c>
      <c r="U50" s="14">
        <v>0</v>
      </c>
      <c r="V50" s="14">
        <v>0</v>
      </c>
      <c r="W50" s="14">
        <v>0</v>
      </c>
      <c r="X50" s="14">
        <v>0</v>
      </c>
      <c r="Y50" s="14">
        <v>2</v>
      </c>
      <c r="Z50" s="14">
        <v>2</v>
      </c>
      <c r="AA50" s="14">
        <v>1</v>
      </c>
      <c r="AB50" s="14">
        <v>0</v>
      </c>
      <c r="AC50" s="14">
        <v>1</v>
      </c>
      <c r="AD50" s="14">
        <v>0</v>
      </c>
      <c r="AE50" s="14">
        <v>1</v>
      </c>
      <c r="AF50" s="214">
        <v>0</v>
      </c>
      <c r="AG50" s="15">
        <f t="shared" si="2"/>
        <v>31</v>
      </c>
    </row>
    <row r="51" spans="1:33" ht="15.75" customHeight="1" x14ac:dyDescent="0.25">
      <c r="A51" s="12" t="s">
        <v>37</v>
      </c>
      <c r="B51" s="13"/>
      <c r="C51" s="14"/>
      <c r="D51" s="14"/>
      <c r="E51" s="14"/>
      <c r="F51" s="14">
        <v>3</v>
      </c>
      <c r="G51" s="14">
        <v>2</v>
      </c>
      <c r="H51" s="14">
        <v>1</v>
      </c>
      <c r="I51" s="14">
        <v>1</v>
      </c>
      <c r="J51" s="14">
        <v>1</v>
      </c>
      <c r="K51" s="14">
        <v>0</v>
      </c>
      <c r="L51" s="14">
        <v>2</v>
      </c>
      <c r="M51" s="14">
        <v>0</v>
      </c>
      <c r="N51" s="14">
        <v>1</v>
      </c>
      <c r="O51" s="14">
        <v>0</v>
      </c>
      <c r="P51" s="14">
        <v>3</v>
      </c>
      <c r="Q51" s="14">
        <v>1</v>
      </c>
      <c r="R51" s="14">
        <v>0</v>
      </c>
      <c r="S51" s="14">
        <v>2</v>
      </c>
      <c r="T51" s="14">
        <v>4</v>
      </c>
      <c r="U51" s="14">
        <v>3</v>
      </c>
      <c r="V51" s="14">
        <v>3</v>
      </c>
      <c r="W51" s="14">
        <v>0</v>
      </c>
      <c r="X51" s="14">
        <v>5</v>
      </c>
      <c r="Y51" s="14">
        <v>0</v>
      </c>
      <c r="Z51" s="14">
        <v>0</v>
      </c>
      <c r="AA51" s="14">
        <v>3</v>
      </c>
      <c r="AB51" s="14">
        <v>3</v>
      </c>
      <c r="AC51" s="14">
        <v>1</v>
      </c>
      <c r="AD51" s="14">
        <v>0</v>
      </c>
      <c r="AE51" s="14">
        <v>5</v>
      </c>
      <c r="AF51" s="214">
        <v>2</v>
      </c>
      <c r="AG51" s="15">
        <f t="shared" si="2"/>
        <v>46</v>
      </c>
    </row>
    <row r="52" spans="1:33" ht="15.75" customHeight="1" thickBot="1" x14ac:dyDescent="0.3">
      <c r="A52" s="23" t="s">
        <v>38</v>
      </c>
      <c r="B52" s="24">
        <v>2</v>
      </c>
      <c r="C52" s="25"/>
      <c r="D52" s="25">
        <v>1</v>
      </c>
      <c r="E52" s="25"/>
      <c r="F52" s="25">
        <v>5</v>
      </c>
      <c r="G52" s="25">
        <v>0</v>
      </c>
      <c r="H52" s="25">
        <v>3</v>
      </c>
      <c r="I52" s="25">
        <v>1</v>
      </c>
      <c r="J52" s="25">
        <v>2</v>
      </c>
      <c r="K52" s="25">
        <v>0</v>
      </c>
      <c r="L52" s="25">
        <v>3</v>
      </c>
      <c r="M52" s="25">
        <v>0</v>
      </c>
      <c r="N52" s="25">
        <v>1</v>
      </c>
      <c r="O52" s="25">
        <v>2</v>
      </c>
      <c r="P52" s="25">
        <v>5</v>
      </c>
      <c r="Q52" s="25">
        <v>1</v>
      </c>
      <c r="R52" s="25">
        <v>3</v>
      </c>
      <c r="S52" s="25">
        <v>2</v>
      </c>
      <c r="T52" s="25">
        <v>0</v>
      </c>
      <c r="U52" s="25">
        <v>0</v>
      </c>
      <c r="V52" s="25">
        <v>4</v>
      </c>
      <c r="W52" s="25">
        <v>0</v>
      </c>
      <c r="X52" s="25">
        <v>2</v>
      </c>
      <c r="Y52" s="25">
        <v>0</v>
      </c>
      <c r="Z52" s="25">
        <v>5</v>
      </c>
      <c r="AA52" s="25">
        <v>4</v>
      </c>
      <c r="AB52" s="25">
        <v>0</v>
      </c>
      <c r="AC52" s="25">
        <v>2</v>
      </c>
      <c r="AD52" s="25">
        <v>2</v>
      </c>
      <c r="AE52" s="25">
        <v>1</v>
      </c>
      <c r="AF52" s="216">
        <v>1</v>
      </c>
      <c r="AG52" s="26">
        <f t="shared" si="2"/>
        <v>52</v>
      </c>
    </row>
    <row r="53" spans="1:33" ht="15.75" customHeight="1" thickBot="1" x14ac:dyDescent="0.3">
      <c r="A53" s="4" t="s">
        <v>40</v>
      </c>
      <c r="B53" s="5">
        <f t="shared" ref="B53:AF53" si="4">SUM(B54:B77)</f>
        <v>19</v>
      </c>
      <c r="C53" s="6">
        <f t="shared" si="4"/>
        <v>15</v>
      </c>
      <c r="D53" s="6">
        <f t="shared" si="4"/>
        <v>43</v>
      </c>
      <c r="E53" s="6">
        <f t="shared" si="4"/>
        <v>13</v>
      </c>
      <c r="F53" s="6">
        <f t="shared" si="4"/>
        <v>2</v>
      </c>
      <c r="G53" s="6">
        <f t="shared" si="4"/>
        <v>5</v>
      </c>
      <c r="H53" s="6">
        <f t="shared" si="4"/>
        <v>40</v>
      </c>
      <c r="I53" s="6">
        <f t="shared" si="4"/>
        <v>15</v>
      </c>
      <c r="J53" s="6">
        <f t="shared" si="4"/>
        <v>11</v>
      </c>
      <c r="K53" s="6">
        <f t="shared" si="4"/>
        <v>31</v>
      </c>
      <c r="L53" s="6">
        <f t="shared" si="4"/>
        <v>31</v>
      </c>
      <c r="M53" s="6">
        <f t="shared" si="4"/>
        <v>8</v>
      </c>
      <c r="N53" s="6">
        <f t="shared" si="4"/>
        <v>12</v>
      </c>
      <c r="O53" s="6">
        <f t="shared" si="4"/>
        <v>57</v>
      </c>
      <c r="P53" s="6">
        <f t="shared" si="4"/>
        <v>6</v>
      </c>
      <c r="Q53" s="6">
        <f t="shared" si="4"/>
        <v>34</v>
      </c>
      <c r="R53" s="6">
        <f t="shared" si="4"/>
        <v>29</v>
      </c>
      <c r="S53" s="6">
        <f t="shared" si="4"/>
        <v>18</v>
      </c>
      <c r="T53" s="6">
        <f t="shared" si="4"/>
        <v>5</v>
      </c>
      <c r="U53" s="6">
        <f t="shared" si="4"/>
        <v>2</v>
      </c>
      <c r="V53" s="6">
        <f t="shared" si="4"/>
        <v>34</v>
      </c>
      <c r="W53" s="6">
        <f t="shared" si="4"/>
        <v>25</v>
      </c>
      <c r="X53" s="6">
        <f t="shared" si="4"/>
        <v>39</v>
      </c>
      <c r="Y53" s="6">
        <f t="shared" si="4"/>
        <v>21</v>
      </c>
      <c r="Z53" s="6">
        <f t="shared" si="4"/>
        <v>25</v>
      </c>
      <c r="AA53" s="6">
        <f t="shared" si="4"/>
        <v>6</v>
      </c>
      <c r="AB53" s="6">
        <f t="shared" si="4"/>
        <v>5</v>
      </c>
      <c r="AC53" s="6">
        <f t="shared" si="4"/>
        <v>13</v>
      </c>
      <c r="AD53" s="6">
        <f t="shared" si="4"/>
        <v>49</v>
      </c>
      <c r="AE53" s="6">
        <f t="shared" si="4"/>
        <v>56</v>
      </c>
      <c r="AF53" s="6">
        <f t="shared" si="4"/>
        <v>34</v>
      </c>
      <c r="AG53" s="27">
        <f t="shared" si="2"/>
        <v>703</v>
      </c>
    </row>
    <row r="54" spans="1:33" ht="15.75" customHeight="1" x14ac:dyDescent="0.25">
      <c r="A54" s="8" t="s">
        <v>15</v>
      </c>
      <c r="B54" s="13"/>
      <c r="C54" s="10"/>
      <c r="D54" s="14"/>
      <c r="E54" s="10"/>
      <c r="F54" s="10">
        <v>0</v>
      </c>
      <c r="G54" s="14">
        <v>0</v>
      </c>
      <c r="H54" s="10">
        <v>0</v>
      </c>
      <c r="I54" s="10">
        <v>1</v>
      </c>
      <c r="J54" s="10">
        <v>1</v>
      </c>
      <c r="K54" s="10">
        <v>0</v>
      </c>
      <c r="L54" s="10">
        <v>1</v>
      </c>
      <c r="M54" s="10">
        <v>0</v>
      </c>
      <c r="N54" s="10">
        <v>0</v>
      </c>
      <c r="O54" s="10">
        <v>1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2</v>
      </c>
      <c r="AE54" s="10">
        <v>0</v>
      </c>
      <c r="AF54" s="213">
        <v>0</v>
      </c>
      <c r="AG54" s="11">
        <f t="shared" si="2"/>
        <v>6</v>
      </c>
    </row>
    <row r="55" spans="1:33" ht="15.75" customHeight="1" x14ac:dyDescent="0.25">
      <c r="A55" s="12" t="s">
        <v>16</v>
      </c>
      <c r="B55" s="13">
        <v>1</v>
      </c>
      <c r="C55" s="14"/>
      <c r="D55" s="14"/>
      <c r="E55" s="14">
        <v>2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1</v>
      </c>
      <c r="M55" s="14">
        <v>0</v>
      </c>
      <c r="N55" s="14">
        <v>0</v>
      </c>
      <c r="O55" s="14">
        <v>1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1</v>
      </c>
      <c r="W55" s="14">
        <v>1</v>
      </c>
      <c r="X55" s="14">
        <v>2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214">
        <v>2</v>
      </c>
      <c r="AG55" s="15">
        <f t="shared" si="2"/>
        <v>11</v>
      </c>
    </row>
    <row r="56" spans="1:33" ht="15.75" customHeight="1" x14ac:dyDescent="0.25">
      <c r="A56" s="12" t="s">
        <v>17</v>
      </c>
      <c r="B56" s="13"/>
      <c r="C56" s="14">
        <v>2</v>
      </c>
      <c r="D56" s="14">
        <v>2</v>
      </c>
      <c r="E56" s="14">
        <v>1</v>
      </c>
      <c r="F56" s="14">
        <v>0</v>
      </c>
      <c r="G56" s="14">
        <v>0</v>
      </c>
      <c r="H56" s="14">
        <v>0</v>
      </c>
      <c r="I56" s="14">
        <v>0</v>
      </c>
      <c r="J56" s="14">
        <v>1</v>
      </c>
      <c r="K56" s="14">
        <v>0</v>
      </c>
      <c r="L56" s="14">
        <v>0</v>
      </c>
      <c r="M56" s="14">
        <v>0</v>
      </c>
      <c r="N56" s="14">
        <v>0</v>
      </c>
      <c r="O56" s="14">
        <v>1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1</v>
      </c>
      <c r="W56" s="14">
        <v>0</v>
      </c>
      <c r="X56" s="14">
        <v>2</v>
      </c>
      <c r="Y56" s="14">
        <v>0</v>
      </c>
      <c r="Z56" s="14">
        <v>2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214">
        <v>0</v>
      </c>
      <c r="AG56" s="15">
        <f t="shared" si="2"/>
        <v>12</v>
      </c>
    </row>
    <row r="57" spans="1:33" ht="15.75" customHeight="1" x14ac:dyDescent="0.25">
      <c r="A57" s="12" t="s">
        <v>18</v>
      </c>
      <c r="B57" s="13"/>
      <c r="C57" s="14">
        <v>1</v>
      </c>
      <c r="D57" s="14"/>
      <c r="E57" s="14"/>
      <c r="F57" s="14">
        <v>0</v>
      </c>
      <c r="G57" s="14">
        <v>0</v>
      </c>
      <c r="H57" s="14">
        <v>0</v>
      </c>
      <c r="I57" s="14">
        <v>1</v>
      </c>
      <c r="J57" s="14">
        <v>1</v>
      </c>
      <c r="K57" s="14">
        <v>0</v>
      </c>
      <c r="L57" s="14">
        <v>1</v>
      </c>
      <c r="M57" s="14">
        <v>0</v>
      </c>
      <c r="N57" s="14">
        <v>0</v>
      </c>
      <c r="O57" s="14">
        <v>0</v>
      </c>
      <c r="P57" s="14">
        <v>0</v>
      </c>
      <c r="Q57" s="14">
        <v>1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1</v>
      </c>
      <c r="X57" s="14">
        <v>0</v>
      </c>
      <c r="Y57" s="14">
        <v>0</v>
      </c>
      <c r="Z57" s="14">
        <v>2</v>
      </c>
      <c r="AA57" s="14">
        <v>1</v>
      </c>
      <c r="AB57" s="14">
        <v>0</v>
      </c>
      <c r="AC57" s="14">
        <v>0</v>
      </c>
      <c r="AD57" s="14">
        <v>0</v>
      </c>
      <c r="AE57" s="14">
        <v>1</v>
      </c>
      <c r="AF57" s="214">
        <v>0</v>
      </c>
      <c r="AG57" s="15">
        <f t="shared" si="2"/>
        <v>10</v>
      </c>
    </row>
    <row r="58" spans="1:33" ht="15.75" customHeight="1" x14ac:dyDescent="0.25">
      <c r="A58" s="12" t="s">
        <v>19</v>
      </c>
      <c r="B58" s="13">
        <v>1</v>
      </c>
      <c r="C58" s="14">
        <v>1</v>
      </c>
      <c r="D58" s="14"/>
      <c r="E58" s="14"/>
      <c r="F58" s="14">
        <v>1</v>
      </c>
      <c r="G58" s="14">
        <v>1</v>
      </c>
      <c r="H58" s="14">
        <v>1</v>
      </c>
      <c r="I58" s="14">
        <v>0</v>
      </c>
      <c r="J58" s="14">
        <v>1</v>
      </c>
      <c r="K58" s="14">
        <v>0</v>
      </c>
      <c r="L58" s="14">
        <v>2</v>
      </c>
      <c r="M58" s="14">
        <v>0</v>
      </c>
      <c r="N58" s="14">
        <v>2</v>
      </c>
      <c r="O58" s="14">
        <v>0</v>
      </c>
      <c r="P58" s="14">
        <v>1</v>
      </c>
      <c r="Q58" s="14">
        <v>1</v>
      </c>
      <c r="R58" s="14">
        <v>1</v>
      </c>
      <c r="S58" s="14">
        <v>1</v>
      </c>
      <c r="T58" s="14">
        <v>0</v>
      </c>
      <c r="U58" s="14">
        <v>0</v>
      </c>
      <c r="V58" s="14">
        <v>1</v>
      </c>
      <c r="W58" s="14">
        <v>0</v>
      </c>
      <c r="X58" s="14">
        <v>1</v>
      </c>
      <c r="Y58" s="14">
        <v>2</v>
      </c>
      <c r="Z58" s="14">
        <v>2</v>
      </c>
      <c r="AA58" s="14">
        <v>1</v>
      </c>
      <c r="AB58" s="14">
        <v>0</v>
      </c>
      <c r="AC58" s="14">
        <v>0</v>
      </c>
      <c r="AD58" s="14">
        <v>3</v>
      </c>
      <c r="AE58" s="14">
        <v>0</v>
      </c>
      <c r="AF58" s="214">
        <v>0</v>
      </c>
      <c r="AG58" s="15">
        <f t="shared" si="2"/>
        <v>24</v>
      </c>
    </row>
    <row r="59" spans="1:33" ht="15.75" customHeight="1" x14ac:dyDescent="0.25">
      <c r="A59" s="12" t="s">
        <v>20</v>
      </c>
      <c r="B59" s="13"/>
      <c r="C59" s="14"/>
      <c r="D59" s="14">
        <v>1</v>
      </c>
      <c r="E59" s="14"/>
      <c r="F59" s="14">
        <v>0</v>
      </c>
      <c r="G59" s="14">
        <v>0</v>
      </c>
      <c r="H59" s="14">
        <v>1</v>
      </c>
      <c r="I59" s="14">
        <v>1</v>
      </c>
      <c r="J59" s="14">
        <v>2</v>
      </c>
      <c r="K59" s="14">
        <v>0</v>
      </c>
      <c r="L59" s="14">
        <v>4</v>
      </c>
      <c r="M59" s="14">
        <v>1</v>
      </c>
      <c r="N59" s="14">
        <v>0</v>
      </c>
      <c r="O59" s="14">
        <v>2</v>
      </c>
      <c r="P59" s="14">
        <v>0</v>
      </c>
      <c r="Q59" s="14">
        <v>1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1</v>
      </c>
      <c r="X59" s="14">
        <v>2</v>
      </c>
      <c r="Y59" s="14">
        <v>2</v>
      </c>
      <c r="Z59" s="14">
        <v>1</v>
      </c>
      <c r="AA59" s="14">
        <v>2</v>
      </c>
      <c r="AB59" s="14">
        <v>0</v>
      </c>
      <c r="AC59" s="14">
        <v>0</v>
      </c>
      <c r="AD59" s="14">
        <v>1</v>
      </c>
      <c r="AE59" s="14">
        <v>3</v>
      </c>
      <c r="AF59" s="214">
        <v>2</v>
      </c>
      <c r="AG59" s="15">
        <f t="shared" si="2"/>
        <v>27</v>
      </c>
    </row>
    <row r="60" spans="1:33" ht="15.75" customHeight="1" x14ac:dyDescent="0.25">
      <c r="A60" s="12" t="s">
        <v>21</v>
      </c>
      <c r="B60" s="13">
        <v>1</v>
      </c>
      <c r="C60" s="14">
        <v>1</v>
      </c>
      <c r="D60" s="14">
        <v>3</v>
      </c>
      <c r="E60" s="14">
        <v>2</v>
      </c>
      <c r="F60" s="14">
        <v>0</v>
      </c>
      <c r="G60" s="14">
        <v>1</v>
      </c>
      <c r="H60" s="14">
        <v>2</v>
      </c>
      <c r="I60" s="14">
        <v>2</v>
      </c>
      <c r="J60" s="14">
        <v>4</v>
      </c>
      <c r="K60" s="14">
        <v>1</v>
      </c>
      <c r="L60" s="14">
        <v>0</v>
      </c>
      <c r="M60" s="14">
        <v>1</v>
      </c>
      <c r="N60" s="14">
        <v>1</v>
      </c>
      <c r="O60" s="14">
        <v>4</v>
      </c>
      <c r="P60" s="14">
        <v>0</v>
      </c>
      <c r="Q60" s="14">
        <v>4</v>
      </c>
      <c r="R60" s="14">
        <v>9</v>
      </c>
      <c r="S60" s="14">
        <v>0</v>
      </c>
      <c r="T60" s="14">
        <v>1</v>
      </c>
      <c r="U60" s="14">
        <v>0</v>
      </c>
      <c r="V60" s="14">
        <v>1</v>
      </c>
      <c r="W60" s="14">
        <v>0</v>
      </c>
      <c r="X60" s="14">
        <v>3</v>
      </c>
      <c r="Y60" s="14">
        <v>0</v>
      </c>
      <c r="Z60" s="14">
        <v>4</v>
      </c>
      <c r="AA60" s="14">
        <v>0</v>
      </c>
      <c r="AB60" s="14">
        <v>0</v>
      </c>
      <c r="AC60" s="14">
        <v>1</v>
      </c>
      <c r="AD60" s="14">
        <v>4</v>
      </c>
      <c r="AE60" s="14">
        <v>1</v>
      </c>
      <c r="AF60" s="214">
        <v>5</v>
      </c>
      <c r="AG60" s="15">
        <f t="shared" si="2"/>
        <v>56</v>
      </c>
    </row>
    <row r="61" spans="1:33" ht="15.75" customHeight="1" x14ac:dyDescent="0.25">
      <c r="A61" s="12" t="s">
        <v>22</v>
      </c>
      <c r="B61" s="13">
        <v>2</v>
      </c>
      <c r="C61" s="14"/>
      <c r="D61" s="14">
        <v>8</v>
      </c>
      <c r="E61" s="14"/>
      <c r="F61" s="14">
        <v>0</v>
      </c>
      <c r="G61" s="14">
        <v>0</v>
      </c>
      <c r="H61" s="14">
        <v>0</v>
      </c>
      <c r="I61" s="14">
        <v>1</v>
      </c>
      <c r="J61" s="14">
        <v>0</v>
      </c>
      <c r="K61" s="14">
        <v>10</v>
      </c>
      <c r="L61" s="14">
        <v>3</v>
      </c>
      <c r="M61" s="14">
        <v>2</v>
      </c>
      <c r="N61" s="14">
        <v>2</v>
      </c>
      <c r="O61" s="14">
        <v>3</v>
      </c>
      <c r="P61" s="14">
        <v>0</v>
      </c>
      <c r="Q61" s="14">
        <v>0</v>
      </c>
      <c r="R61" s="14">
        <v>7</v>
      </c>
      <c r="S61" s="14">
        <v>2</v>
      </c>
      <c r="T61" s="14">
        <v>0</v>
      </c>
      <c r="U61" s="14">
        <v>0</v>
      </c>
      <c r="V61" s="14">
        <v>4</v>
      </c>
      <c r="W61" s="14">
        <v>3</v>
      </c>
      <c r="X61" s="14">
        <v>7</v>
      </c>
      <c r="Y61" s="14">
        <v>0</v>
      </c>
      <c r="Z61" s="14">
        <v>2</v>
      </c>
      <c r="AA61" s="14">
        <v>0</v>
      </c>
      <c r="AB61" s="14">
        <v>3</v>
      </c>
      <c r="AC61" s="14">
        <v>2</v>
      </c>
      <c r="AD61" s="14">
        <v>0</v>
      </c>
      <c r="AE61" s="14">
        <v>7</v>
      </c>
      <c r="AF61" s="214">
        <v>2</v>
      </c>
      <c r="AG61" s="15">
        <f t="shared" si="2"/>
        <v>70</v>
      </c>
    </row>
    <row r="62" spans="1:33" ht="15.75" customHeight="1" x14ac:dyDescent="0.25">
      <c r="A62" s="12" t="s">
        <v>23</v>
      </c>
      <c r="B62" s="13">
        <v>4</v>
      </c>
      <c r="C62" s="14">
        <v>3</v>
      </c>
      <c r="D62" s="14">
        <v>5</v>
      </c>
      <c r="E62" s="14">
        <v>1</v>
      </c>
      <c r="F62" s="14">
        <v>0</v>
      </c>
      <c r="G62" s="14">
        <v>0</v>
      </c>
      <c r="H62" s="14">
        <v>1</v>
      </c>
      <c r="I62" s="14">
        <v>0</v>
      </c>
      <c r="J62" s="14">
        <v>0</v>
      </c>
      <c r="K62" s="14">
        <v>0</v>
      </c>
      <c r="L62" s="14">
        <v>7</v>
      </c>
      <c r="M62" s="14">
        <v>0</v>
      </c>
      <c r="N62" s="14">
        <v>4</v>
      </c>
      <c r="O62" s="14">
        <v>2</v>
      </c>
      <c r="P62" s="14">
        <v>1</v>
      </c>
      <c r="Q62" s="14">
        <v>2</v>
      </c>
      <c r="R62" s="14">
        <v>0</v>
      </c>
      <c r="S62" s="14">
        <v>6</v>
      </c>
      <c r="T62" s="14">
        <v>0</v>
      </c>
      <c r="U62" s="14">
        <v>0</v>
      </c>
      <c r="V62" s="14">
        <v>1</v>
      </c>
      <c r="W62" s="14">
        <v>2</v>
      </c>
      <c r="X62" s="14">
        <v>4</v>
      </c>
      <c r="Y62" s="14">
        <v>3</v>
      </c>
      <c r="Z62" s="14">
        <v>12</v>
      </c>
      <c r="AA62" s="14">
        <v>0</v>
      </c>
      <c r="AB62" s="14">
        <v>0</v>
      </c>
      <c r="AC62" s="14">
        <v>1</v>
      </c>
      <c r="AD62" s="14">
        <v>0</v>
      </c>
      <c r="AE62" s="14">
        <v>6</v>
      </c>
      <c r="AF62" s="214">
        <v>4</v>
      </c>
      <c r="AG62" s="15">
        <f t="shared" si="2"/>
        <v>69</v>
      </c>
    </row>
    <row r="63" spans="1:33" ht="15.75" customHeight="1" x14ac:dyDescent="0.25">
      <c r="A63" s="12" t="s">
        <v>24</v>
      </c>
      <c r="B63" s="13">
        <v>2</v>
      </c>
      <c r="C63" s="14">
        <v>4</v>
      </c>
      <c r="D63" s="14">
        <v>1</v>
      </c>
      <c r="E63" s="14"/>
      <c r="F63" s="14">
        <v>0</v>
      </c>
      <c r="G63" s="14">
        <v>1</v>
      </c>
      <c r="H63" s="14">
        <v>6</v>
      </c>
      <c r="I63" s="14">
        <v>3</v>
      </c>
      <c r="J63" s="14">
        <v>0</v>
      </c>
      <c r="K63" s="14">
        <v>10</v>
      </c>
      <c r="L63" s="14">
        <v>2</v>
      </c>
      <c r="M63" s="14">
        <v>0</v>
      </c>
      <c r="N63" s="14">
        <v>1</v>
      </c>
      <c r="O63" s="14">
        <v>0</v>
      </c>
      <c r="P63" s="14">
        <v>1</v>
      </c>
      <c r="Q63" s="14">
        <v>10</v>
      </c>
      <c r="R63" s="14">
        <v>6</v>
      </c>
      <c r="S63" s="14">
        <v>1</v>
      </c>
      <c r="T63" s="14">
        <v>0</v>
      </c>
      <c r="U63" s="14">
        <v>0</v>
      </c>
      <c r="V63" s="14">
        <v>4</v>
      </c>
      <c r="W63" s="14">
        <v>3</v>
      </c>
      <c r="X63" s="14">
        <v>0</v>
      </c>
      <c r="Y63" s="14">
        <v>4</v>
      </c>
      <c r="Z63" s="14">
        <v>0</v>
      </c>
      <c r="AA63" s="14">
        <v>0</v>
      </c>
      <c r="AB63" s="14">
        <v>0</v>
      </c>
      <c r="AC63" s="14">
        <v>2</v>
      </c>
      <c r="AD63" s="14">
        <v>8</v>
      </c>
      <c r="AE63" s="14">
        <v>0</v>
      </c>
      <c r="AF63" s="214">
        <v>6</v>
      </c>
      <c r="AG63" s="15">
        <f t="shared" si="2"/>
        <v>75</v>
      </c>
    </row>
    <row r="64" spans="1:33" ht="15.75" customHeight="1" x14ac:dyDescent="0.25">
      <c r="A64" s="12" t="s">
        <v>25</v>
      </c>
      <c r="B64" s="13">
        <v>1</v>
      </c>
      <c r="C64" s="14">
        <v>1</v>
      </c>
      <c r="D64" s="14">
        <v>11</v>
      </c>
      <c r="E64" s="14">
        <v>3</v>
      </c>
      <c r="F64" s="14">
        <v>0</v>
      </c>
      <c r="G64" s="14">
        <v>1</v>
      </c>
      <c r="H64" s="14">
        <v>7</v>
      </c>
      <c r="I64" s="14">
        <v>1</v>
      </c>
      <c r="J64" s="14">
        <v>0</v>
      </c>
      <c r="K64" s="14">
        <v>2</v>
      </c>
      <c r="L64" s="14">
        <v>5</v>
      </c>
      <c r="M64" s="14">
        <v>0</v>
      </c>
      <c r="N64" s="14">
        <v>0</v>
      </c>
      <c r="O64" s="14">
        <v>22</v>
      </c>
      <c r="P64" s="14">
        <v>0</v>
      </c>
      <c r="Q64" s="14">
        <v>11</v>
      </c>
      <c r="R64" s="14">
        <v>2</v>
      </c>
      <c r="S64" s="14">
        <v>6</v>
      </c>
      <c r="T64" s="14">
        <v>0</v>
      </c>
      <c r="U64" s="14">
        <v>0</v>
      </c>
      <c r="V64" s="14">
        <v>4</v>
      </c>
      <c r="W64" s="14">
        <v>5</v>
      </c>
      <c r="X64" s="14">
        <v>7</v>
      </c>
      <c r="Y64" s="14">
        <v>1</v>
      </c>
      <c r="Z64" s="14">
        <v>0</v>
      </c>
      <c r="AA64" s="14">
        <v>1</v>
      </c>
      <c r="AB64" s="14">
        <v>1</v>
      </c>
      <c r="AC64" s="14">
        <v>2</v>
      </c>
      <c r="AD64" s="14">
        <v>12</v>
      </c>
      <c r="AE64" s="14">
        <v>27</v>
      </c>
      <c r="AF64" s="214">
        <v>6</v>
      </c>
      <c r="AG64" s="15">
        <f t="shared" si="2"/>
        <v>139</v>
      </c>
    </row>
    <row r="65" spans="1:33" ht="15.75" customHeight="1" x14ac:dyDescent="0.25">
      <c r="A65" s="12" t="s">
        <v>26</v>
      </c>
      <c r="B65" s="13">
        <v>5</v>
      </c>
      <c r="C65" s="14">
        <v>2</v>
      </c>
      <c r="D65" s="14">
        <v>10</v>
      </c>
      <c r="E65" s="14">
        <v>3</v>
      </c>
      <c r="F65" s="14">
        <v>0</v>
      </c>
      <c r="G65" s="14">
        <v>0</v>
      </c>
      <c r="H65" s="14">
        <v>2</v>
      </c>
      <c r="I65" s="14">
        <v>3</v>
      </c>
      <c r="J65" s="14">
        <v>1</v>
      </c>
      <c r="K65" s="14">
        <v>4</v>
      </c>
      <c r="L65" s="14">
        <v>3</v>
      </c>
      <c r="M65" s="14">
        <v>0</v>
      </c>
      <c r="N65" s="14">
        <v>1</v>
      </c>
      <c r="O65" s="14">
        <v>6</v>
      </c>
      <c r="P65" s="14">
        <v>0</v>
      </c>
      <c r="Q65" s="14">
        <v>3</v>
      </c>
      <c r="R65" s="14">
        <v>1</v>
      </c>
      <c r="S65" s="14">
        <v>2</v>
      </c>
      <c r="T65" s="14">
        <v>0</v>
      </c>
      <c r="U65" s="14">
        <v>0</v>
      </c>
      <c r="V65" s="14">
        <v>7</v>
      </c>
      <c r="W65" s="14">
        <v>2</v>
      </c>
      <c r="X65" s="14">
        <v>3</v>
      </c>
      <c r="Y65" s="14">
        <v>5</v>
      </c>
      <c r="Z65" s="14">
        <v>0</v>
      </c>
      <c r="AA65" s="14">
        <v>0</v>
      </c>
      <c r="AB65" s="14">
        <v>0</v>
      </c>
      <c r="AC65" s="14">
        <v>2</v>
      </c>
      <c r="AD65" s="14">
        <v>10</v>
      </c>
      <c r="AE65" s="14">
        <v>6</v>
      </c>
      <c r="AF65" s="214">
        <v>2</v>
      </c>
      <c r="AG65" s="15">
        <f t="shared" si="2"/>
        <v>83</v>
      </c>
    </row>
    <row r="66" spans="1:33" ht="15.75" customHeight="1" x14ac:dyDescent="0.25">
      <c r="A66" s="12" t="s">
        <v>27</v>
      </c>
      <c r="B66" s="13">
        <v>1</v>
      </c>
      <c r="C66" s="14"/>
      <c r="D66" s="14"/>
      <c r="E66" s="14"/>
      <c r="F66" s="14">
        <v>0</v>
      </c>
      <c r="G66" s="14">
        <v>0</v>
      </c>
      <c r="H66" s="14">
        <v>9</v>
      </c>
      <c r="I66" s="14">
        <v>1</v>
      </c>
      <c r="J66" s="14">
        <v>0</v>
      </c>
      <c r="K66" s="14">
        <v>3</v>
      </c>
      <c r="L66" s="14">
        <v>0</v>
      </c>
      <c r="M66" s="14">
        <v>1</v>
      </c>
      <c r="N66" s="14">
        <v>0</v>
      </c>
      <c r="O66" s="14">
        <v>9</v>
      </c>
      <c r="P66" s="14">
        <v>0</v>
      </c>
      <c r="Q66" s="14">
        <v>1</v>
      </c>
      <c r="R66" s="14">
        <v>2</v>
      </c>
      <c r="S66" s="14">
        <v>0</v>
      </c>
      <c r="T66" s="14">
        <v>0</v>
      </c>
      <c r="U66" s="14">
        <v>0</v>
      </c>
      <c r="V66" s="14">
        <v>9</v>
      </c>
      <c r="W66" s="14">
        <v>3</v>
      </c>
      <c r="X66" s="14">
        <v>5</v>
      </c>
      <c r="Y66" s="14">
        <v>4</v>
      </c>
      <c r="Z66" s="14">
        <v>0</v>
      </c>
      <c r="AA66" s="14">
        <v>0</v>
      </c>
      <c r="AB66" s="14">
        <v>0</v>
      </c>
      <c r="AC66" s="14">
        <v>3</v>
      </c>
      <c r="AD66" s="14">
        <v>3</v>
      </c>
      <c r="AE66" s="14">
        <v>4</v>
      </c>
      <c r="AF66" s="214">
        <v>4</v>
      </c>
      <c r="AG66" s="15">
        <f t="shared" si="2"/>
        <v>62</v>
      </c>
    </row>
    <row r="67" spans="1:33" ht="15.75" customHeight="1" x14ac:dyDescent="0.25">
      <c r="A67" s="12" t="s">
        <v>28</v>
      </c>
      <c r="B67" s="13">
        <v>1</v>
      </c>
      <c r="C67" s="14"/>
      <c r="D67" s="14"/>
      <c r="E67" s="14"/>
      <c r="F67" s="14">
        <v>0</v>
      </c>
      <c r="G67" s="14">
        <v>0</v>
      </c>
      <c r="H67" s="14">
        <v>5</v>
      </c>
      <c r="I67" s="14">
        <v>0</v>
      </c>
      <c r="J67" s="14">
        <v>0</v>
      </c>
      <c r="K67" s="14">
        <v>1</v>
      </c>
      <c r="L67" s="14">
        <v>0</v>
      </c>
      <c r="M67" s="14">
        <v>0</v>
      </c>
      <c r="N67" s="14">
        <v>0</v>
      </c>
      <c r="O67" s="14">
        <v>4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1</v>
      </c>
      <c r="W67" s="14">
        <v>3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6</v>
      </c>
      <c r="AE67" s="14">
        <v>1</v>
      </c>
      <c r="AF67" s="214">
        <v>1</v>
      </c>
      <c r="AG67" s="15">
        <f t="shared" si="2"/>
        <v>23</v>
      </c>
    </row>
    <row r="68" spans="1:33" ht="15.75" customHeight="1" x14ac:dyDescent="0.25">
      <c r="A68" s="12" t="s">
        <v>29</v>
      </c>
      <c r="B68" s="13"/>
      <c r="C68" s="14"/>
      <c r="D68" s="14"/>
      <c r="E68" s="14"/>
      <c r="F68" s="14">
        <v>0</v>
      </c>
      <c r="G68" s="14">
        <v>1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1</v>
      </c>
      <c r="O68" s="14">
        <v>0</v>
      </c>
      <c r="P68" s="14">
        <v>1</v>
      </c>
      <c r="Q68" s="14">
        <v>0</v>
      </c>
      <c r="R68" s="14">
        <v>0</v>
      </c>
      <c r="S68" s="14">
        <v>0</v>
      </c>
      <c r="T68" s="14">
        <v>1</v>
      </c>
      <c r="U68" s="14">
        <v>1</v>
      </c>
      <c r="V68" s="14">
        <v>0</v>
      </c>
      <c r="W68" s="14">
        <v>1</v>
      </c>
      <c r="X68" s="14">
        <v>3</v>
      </c>
      <c r="Y68" s="14">
        <v>0</v>
      </c>
      <c r="Z68" s="14">
        <v>0</v>
      </c>
      <c r="AA68" s="14">
        <v>1</v>
      </c>
      <c r="AB68" s="14">
        <v>0</v>
      </c>
      <c r="AC68" s="14">
        <v>0</v>
      </c>
      <c r="AD68" s="14">
        <v>0</v>
      </c>
      <c r="AE68" s="14">
        <v>0</v>
      </c>
      <c r="AF68" s="214">
        <v>0</v>
      </c>
      <c r="AG68" s="15">
        <f t="shared" si="2"/>
        <v>10</v>
      </c>
    </row>
    <row r="69" spans="1:33" ht="15.75" customHeight="1" x14ac:dyDescent="0.25">
      <c r="A69" s="12" t="s">
        <v>30</v>
      </c>
      <c r="B69" s="13"/>
      <c r="C69" s="14"/>
      <c r="D69" s="14">
        <v>2</v>
      </c>
      <c r="E69" s="14"/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1</v>
      </c>
      <c r="S69" s="14">
        <v>0</v>
      </c>
      <c r="T69" s="14">
        <v>3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1</v>
      </c>
      <c r="AC69" s="14">
        <v>0</v>
      </c>
      <c r="AD69" s="14">
        <v>0</v>
      </c>
      <c r="AE69" s="14">
        <v>0</v>
      </c>
      <c r="AF69" s="214">
        <v>0</v>
      </c>
      <c r="AG69" s="15">
        <f t="shared" si="2"/>
        <v>7</v>
      </c>
    </row>
    <row r="70" spans="1:33" ht="15.75" customHeight="1" x14ac:dyDescent="0.25">
      <c r="A70" s="12" t="s">
        <v>31</v>
      </c>
      <c r="B70" s="13"/>
      <c r="C70" s="10"/>
      <c r="D70" s="14"/>
      <c r="E70" s="10"/>
      <c r="F70" s="10">
        <v>0</v>
      </c>
      <c r="G70" s="14">
        <v>0</v>
      </c>
      <c r="H70" s="10">
        <v>5</v>
      </c>
      <c r="I70" s="14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213">
        <v>0</v>
      </c>
      <c r="AG70" s="15">
        <f t="shared" si="2"/>
        <v>5</v>
      </c>
    </row>
    <row r="71" spans="1:33" ht="15.75" customHeight="1" x14ac:dyDescent="0.25">
      <c r="A71" s="12" t="s">
        <v>32</v>
      </c>
      <c r="B71" s="13"/>
      <c r="C71" s="10"/>
      <c r="D71" s="14"/>
      <c r="E71" s="10"/>
      <c r="F71" s="10">
        <v>0</v>
      </c>
      <c r="G71" s="14">
        <v>0</v>
      </c>
      <c r="H71" s="10">
        <v>0</v>
      </c>
      <c r="I71" s="14">
        <v>0</v>
      </c>
      <c r="J71" s="10">
        <v>0</v>
      </c>
      <c r="K71" s="10">
        <v>0</v>
      </c>
      <c r="L71" s="10">
        <v>0</v>
      </c>
      <c r="M71" s="10">
        <v>2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213">
        <v>0</v>
      </c>
      <c r="AG71" s="15">
        <f t="shared" si="2"/>
        <v>2</v>
      </c>
    </row>
    <row r="72" spans="1:33" ht="15.75" customHeight="1" x14ac:dyDescent="0.25">
      <c r="A72" s="12" t="s">
        <v>33</v>
      </c>
      <c r="B72" s="13"/>
      <c r="C72" s="10"/>
      <c r="D72" s="14"/>
      <c r="E72" s="10"/>
      <c r="F72" s="10">
        <v>0</v>
      </c>
      <c r="G72" s="14">
        <v>0</v>
      </c>
      <c r="H72" s="10">
        <v>1</v>
      </c>
      <c r="I72" s="14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1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213">
        <v>0</v>
      </c>
      <c r="AG72" s="15">
        <f t="shared" si="2"/>
        <v>2</v>
      </c>
    </row>
    <row r="73" spans="1:33" ht="15.75" customHeight="1" x14ac:dyDescent="0.25">
      <c r="A73" s="12" t="s">
        <v>34</v>
      </c>
      <c r="B73" s="13"/>
      <c r="C73" s="10"/>
      <c r="D73" s="14"/>
      <c r="E73" s="10">
        <v>1</v>
      </c>
      <c r="F73" s="10">
        <v>0</v>
      </c>
      <c r="G73" s="14">
        <v>0</v>
      </c>
      <c r="H73" s="10">
        <v>0</v>
      </c>
      <c r="I73" s="14">
        <v>1</v>
      </c>
      <c r="J73" s="10">
        <v>0</v>
      </c>
      <c r="K73" s="10">
        <v>0</v>
      </c>
      <c r="L73" s="10">
        <v>0</v>
      </c>
      <c r="M73" s="10">
        <v>1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213">
        <v>0</v>
      </c>
      <c r="AG73" s="15">
        <f t="shared" si="2"/>
        <v>3</v>
      </c>
    </row>
    <row r="74" spans="1:33" ht="15.75" customHeight="1" x14ac:dyDescent="0.25">
      <c r="A74" s="12" t="s">
        <v>35</v>
      </c>
      <c r="B74" s="13"/>
      <c r="C74" s="10"/>
      <c r="D74" s="14"/>
      <c r="E74" s="10"/>
      <c r="F74" s="10">
        <v>0</v>
      </c>
      <c r="G74" s="14">
        <v>0</v>
      </c>
      <c r="H74" s="10">
        <v>0</v>
      </c>
      <c r="I74" s="14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2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213">
        <v>0</v>
      </c>
      <c r="AG74" s="15">
        <f t="shared" si="2"/>
        <v>2</v>
      </c>
    </row>
    <row r="75" spans="1:33" ht="15.75" customHeight="1" x14ac:dyDescent="0.25">
      <c r="A75" s="12" t="s">
        <v>36</v>
      </c>
      <c r="B75" s="13"/>
      <c r="C75" s="10"/>
      <c r="D75" s="14"/>
      <c r="E75" s="10"/>
      <c r="F75" s="10">
        <v>0</v>
      </c>
      <c r="G75" s="14">
        <v>0</v>
      </c>
      <c r="H75" s="10">
        <v>0</v>
      </c>
      <c r="I75" s="14">
        <v>0</v>
      </c>
      <c r="J75" s="10">
        <v>0</v>
      </c>
      <c r="K75" s="10">
        <v>0</v>
      </c>
      <c r="L75" s="10">
        <v>1</v>
      </c>
      <c r="M75" s="10">
        <v>0</v>
      </c>
      <c r="N75" s="10">
        <v>0</v>
      </c>
      <c r="O75" s="10">
        <v>0</v>
      </c>
      <c r="P75" s="10">
        <v>1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213">
        <v>0</v>
      </c>
      <c r="AG75" s="15">
        <f t="shared" si="2"/>
        <v>2</v>
      </c>
    </row>
    <row r="76" spans="1:33" ht="15.75" customHeight="1" x14ac:dyDescent="0.25">
      <c r="A76" s="12" t="s">
        <v>37</v>
      </c>
      <c r="B76" s="13"/>
      <c r="C76" s="10"/>
      <c r="D76" s="14"/>
      <c r="E76" s="10"/>
      <c r="F76" s="10">
        <v>1</v>
      </c>
      <c r="G76" s="14">
        <v>0</v>
      </c>
      <c r="H76" s="10">
        <v>0</v>
      </c>
      <c r="I76" s="14">
        <v>0</v>
      </c>
      <c r="J76" s="10">
        <v>0</v>
      </c>
      <c r="K76" s="10">
        <v>0</v>
      </c>
      <c r="L76" s="10">
        <v>1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1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213">
        <v>0</v>
      </c>
      <c r="AG76" s="15">
        <f t="shared" si="2"/>
        <v>3</v>
      </c>
    </row>
    <row r="77" spans="1:33" ht="15.75" customHeight="1" thickBot="1" x14ac:dyDescent="0.3">
      <c r="A77" s="28" t="s">
        <v>38</v>
      </c>
      <c r="B77" s="24"/>
      <c r="C77" s="30"/>
      <c r="D77" s="25"/>
      <c r="E77" s="30"/>
      <c r="F77" s="30">
        <v>0</v>
      </c>
      <c r="G77" s="25">
        <v>0</v>
      </c>
      <c r="H77" s="30">
        <v>0</v>
      </c>
      <c r="I77" s="25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217">
        <v>0</v>
      </c>
      <c r="AG77" s="26">
        <f t="shared" si="2"/>
        <v>0</v>
      </c>
    </row>
    <row r="78" spans="1:33" ht="19.5" hidden="1" customHeight="1" x14ac:dyDescent="0.25">
      <c r="A78" s="31" t="s">
        <v>41</v>
      </c>
      <c r="B78" s="32">
        <f t="shared" ref="B78:AF78" si="5">SUM(B79:B80)</f>
        <v>219</v>
      </c>
      <c r="C78" s="33">
        <f t="shared" si="5"/>
        <v>198</v>
      </c>
      <c r="D78" s="33">
        <f t="shared" si="5"/>
        <v>221</v>
      </c>
      <c r="E78" s="34">
        <f t="shared" si="5"/>
        <v>193</v>
      </c>
      <c r="F78" s="34">
        <f t="shared" si="5"/>
        <v>142</v>
      </c>
      <c r="G78" s="34">
        <f t="shared" si="5"/>
        <v>199</v>
      </c>
      <c r="H78" s="34">
        <f t="shared" si="5"/>
        <v>248</v>
      </c>
      <c r="I78" s="34">
        <f t="shared" si="5"/>
        <v>242</v>
      </c>
      <c r="J78" s="34">
        <f t="shared" si="5"/>
        <v>244</v>
      </c>
      <c r="K78" s="34">
        <f t="shared" si="5"/>
        <v>213</v>
      </c>
      <c r="L78" s="34">
        <f t="shared" si="5"/>
        <v>200</v>
      </c>
      <c r="M78" s="34">
        <f t="shared" si="5"/>
        <v>187</v>
      </c>
      <c r="N78" s="34">
        <f t="shared" si="5"/>
        <v>210</v>
      </c>
      <c r="O78" s="34">
        <f t="shared" si="5"/>
        <v>275</v>
      </c>
      <c r="P78" s="34">
        <f t="shared" si="5"/>
        <v>232</v>
      </c>
      <c r="Q78" s="34">
        <f t="shared" si="5"/>
        <v>228</v>
      </c>
      <c r="R78" s="34">
        <f t="shared" si="5"/>
        <v>221</v>
      </c>
      <c r="S78" s="34">
        <f t="shared" si="5"/>
        <v>221</v>
      </c>
      <c r="T78" s="34">
        <f t="shared" si="5"/>
        <v>222</v>
      </c>
      <c r="U78" s="34">
        <f t="shared" si="5"/>
        <v>189</v>
      </c>
      <c r="V78" s="34">
        <f t="shared" si="5"/>
        <v>244</v>
      </c>
      <c r="W78" s="34">
        <f t="shared" si="5"/>
        <v>234</v>
      </c>
      <c r="X78" s="34">
        <f t="shared" si="5"/>
        <v>231</v>
      </c>
      <c r="Y78" s="34">
        <f t="shared" si="5"/>
        <v>214</v>
      </c>
      <c r="Z78" s="34">
        <f t="shared" si="5"/>
        <v>201</v>
      </c>
      <c r="AA78" s="34">
        <f t="shared" si="5"/>
        <v>198</v>
      </c>
      <c r="AB78" s="34">
        <f t="shared" si="5"/>
        <v>203</v>
      </c>
      <c r="AC78" s="34">
        <f t="shared" si="5"/>
        <v>226</v>
      </c>
      <c r="AD78" s="34">
        <f t="shared" si="5"/>
        <v>251</v>
      </c>
      <c r="AE78" s="34">
        <f t="shared" si="5"/>
        <v>254</v>
      </c>
      <c r="AF78" s="218">
        <f t="shared" si="5"/>
        <v>223</v>
      </c>
      <c r="AG78" s="27">
        <f t="shared" si="2"/>
        <v>6783</v>
      </c>
    </row>
    <row r="79" spans="1:33" ht="19.5" hidden="1" customHeight="1" x14ac:dyDescent="0.25">
      <c r="A79" s="35" t="s">
        <v>42</v>
      </c>
      <c r="B79" s="9">
        <f t="shared" ref="B79:AF79" si="6">SUM(B4:B27)-B80</f>
        <v>219</v>
      </c>
      <c r="C79" s="10">
        <f t="shared" si="6"/>
        <v>198</v>
      </c>
      <c r="D79" s="10">
        <f t="shared" si="6"/>
        <v>221</v>
      </c>
      <c r="E79" s="10">
        <f t="shared" si="6"/>
        <v>193</v>
      </c>
      <c r="F79" s="10">
        <f t="shared" si="6"/>
        <v>69</v>
      </c>
      <c r="G79" s="10">
        <f t="shared" si="6"/>
        <v>87</v>
      </c>
      <c r="H79" s="10">
        <f t="shared" si="6"/>
        <v>107</v>
      </c>
      <c r="I79" s="10">
        <f t="shared" si="6"/>
        <v>242</v>
      </c>
      <c r="J79" s="10">
        <f t="shared" si="6"/>
        <v>244</v>
      </c>
      <c r="K79" s="10">
        <f t="shared" si="6"/>
        <v>213</v>
      </c>
      <c r="L79" s="10">
        <f t="shared" si="6"/>
        <v>200</v>
      </c>
      <c r="M79" s="10">
        <f t="shared" si="6"/>
        <v>79</v>
      </c>
      <c r="N79" s="10">
        <f t="shared" si="6"/>
        <v>77</v>
      </c>
      <c r="O79" s="10">
        <f t="shared" si="6"/>
        <v>110</v>
      </c>
      <c r="P79" s="10">
        <f t="shared" si="6"/>
        <v>232</v>
      </c>
      <c r="Q79" s="10">
        <f t="shared" si="6"/>
        <v>228</v>
      </c>
      <c r="R79" s="10">
        <f t="shared" si="6"/>
        <v>88</v>
      </c>
      <c r="S79" s="10">
        <f t="shared" si="6"/>
        <v>100</v>
      </c>
      <c r="T79" s="10">
        <f t="shared" si="6"/>
        <v>96</v>
      </c>
      <c r="U79" s="10">
        <f t="shared" si="6"/>
        <v>69</v>
      </c>
      <c r="V79" s="10">
        <f t="shared" si="6"/>
        <v>96</v>
      </c>
      <c r="W79" s="10">
        <f t="shared" si="6"/>
        <v>234</v>
      </c>
      <c r="X79" s="10">
        <f t="shared" si="6"/>
        <v>231</v>
      </c>
      <c r="Y79" s="10">
        <f t="shared" si="6"/>
        <v>100</v>
      </c>
      <c r="Z79" s="10">
        <f t="shared" si="6"/>
        <v>201</v>
      </c>
      <c r="AA79" s="10">
        <f t="shared" si="6"/>
        <v>78</v>
      </c>
      <c r="AB79" s="10">
        <f t="shared" si="6"/>
        <v>87</v>
      </c>
      <c r="AC79" s="10">
        <f t="shared" si="6"/>
        <v>81</v>
      </c>
      <c r="AD79" s="10">
        <f t="shared" si="6"/>
        <v>251</v>
      </c>
      <c r="AE79" s="10">
        <f t="shared" si="6"/>
        <v>254</v>
      </c>
      <c r="AF79" s="10">
        <f t="shared" si="6"/>
        <v>95</v>
      </c>
      <c r="AG79" s="11">
        <f t="shared" si="2"/>
        <v>4780</v>
      </c>
    </row>
    <row r="80" spans="1:33" ht="19.5" hidden="1" customHeight="1" x14ac:dyDescent="0.25">
      <c r="A80" s="36" t="s">
        <v>43</v>
      </c>
      <c r="B80" s="37"/>
      <c r="C80" s="38"/>
      <c r="D80" s="25">
        <v>0</v>
      </c>
      <c r="E80" s="25">
        <v>0</v>
      </c>
      <c r="F80" s="25">
        <f>SUM(F4:F12)</f>
        <v>73</v>
      </c>
      <c r="G80" s="25">
        <f>SUM(G4:G12)</f>
        <v>112</v>
      </c>
      <c r="H80" s="25">
        <f>SUM(H4:H12)</f>
        <v>141</v>
      </c>
      <c r="I80" s="38"/>
      <c r="J80" s="38"/>
      <c r="K80" s="25">
        <v>0</v>
      </c>
      <c r="L80" s="25">
        <v>0</v>
      </c>
      <c r="M80" s="25">
        <f>SUM(M4:M12)</f>
        <v>108</v>
      </c>
      <c r="N80" s="25">
        <f>SUM(N4:N12)</f>
        <v>133</v>
      </c>
      <c r="O80" s="25">
        <f>SUM(O4:O12)</f>
        <v>165</v>
      </c>
      <c r="P80" s="38"/>
      <c r="Q80" s="38"/>
      <c r="R80" s="25">
        <f>SUM(R4:R12)</f>
        <v>133</v>
      </c>
      <c r="S80" s="25">
        <f>SUM(S4:S12)</f>
        <v>121</v>
      </c>
      <c r="T80" s="25">
        <f>SUM(T4:T12)</f>
        <v>126</v>
      </c>
      <c r="U80" s="25">
        <f>SUM(U4:U12)</f>
        <v>120</v>
      </c>
      <c r="V80" s="25">
        <f>SUM(V4:V12)</f>
        <v>148</v>
      </c>
      <c r="W80" s="38"/>
      <c r="X80" s="38"/>
      <c r="Y80" s="25">
        <f>SUM(Y4:Y12)</f>
        <v>114</v>
      </c>
      <c r="Z80" s="38"/>
      <c r="AA80" s="25">
        <f>SUM(AA4:AA12)</f>
        <v>120</v>
      </c>
      <c r="AB80" s="25">
        <f>SUM(AB4:AB12)</f>
        <v>116</v>
      </c>
      <c r="AC80" s="25">
        <f>SUM(AC4:AC12)</f>
        <v>145</v>
      </c>
      <c r="AD80" s="38"/>
      <c r="AE80" s="38"/>
      <c r="AF80" s="25">
        <f>SUM(AF4:AF12)</f>
        <v>128</v>
      </c>
      <c r="AG80" s="26">
        <f t="shared" si="2"/>
        <v>2003</v>
      </c>
    </row>
    <row r="81" spans="1:35" ht="15.75" customHeight="1" thickBot="1" x14ac:dyDescent="0.3">
      <c r="A81" s="31" t="s">
        <v>44</v>
      </c>
      <c r="B81" s="39">
        <f t="shared" ref="B81:AF81" si="7">SUM(B82:B83)</f>
        <v>19</v>
      </c>
      <c r="C81" s="34">
        <f t="shared" si="7"/>
        <v>15</v>
      </c>
      <c r="D81" s="34">
        <f t="shared" si="7"/>
        <v>43</v>
      </c>
      <c r="E81" s="34">
        <f t="shared" si="7"/>
        <v>13</v>
      </c>
      <c r="F81" s="34">
        <f t="shared" si="7"/>
        <v>2</v>
      </c>
      <c r="G81" s="34">
        <f t="shared" si="7"/>
        <v>5</v>
      </c>
      <c r="H81" s="34">
        <f t="shared" si="7"/>
        <v>40</v>
      </c>
      <c r="I81" s="34">
        <f t="shared" si="7"/>
        <v>15</v>
      </c>
      <c r="J81" s="34">
        <f t="shared" si="7"/>
        <v>11</v>
      </c>
      <c r="K81" s="34">
        <f t="shared" si="7"/>
        <v>31</v>
      </c>
      <c r="L81" s="34">
        <f t="shared" si="7"/>
        <v>31</v>
      </c>
      <c r="M81" s="34">
        <f t="shared" si="7"/>
        <v>8</v>
      </c>
      <c r="N81" s="34">
        <f t="shared" si="7"/>
        <v>12</v>
      </c>
      <c r="O81" s="34">
        <f t="shared" si="7"/>
        <v>57</v>
      </c>
      <c r="P81" s="34">
        <f t="shared" si="7"/>
        <v>6</v>
      </c>
      <c r="Q81" s="34">
        <f t="shared" si="7"/>
        <v>34</v>
      </c>
      <c r="R81" s="34">
        <f t="shared" si="7"/>
        <v>29</v>
      </c>
      <c r="S81" s="34">
        <f t="shared" si="7"/>
        <v>18</v>
      </c>
      <c r="T81" s="34">
        <f t="shared" si="7"/>
        <v>5</v>
      </c>
      <c r="U81" s="34">
        <f t="shared" si="7"/>
        <v>2</v>
      </c>
      <c r="V81" s="34">
        <f t="shared" si="7"/>
        <v>34</v>
      </c>
      <c r="W81" s="34">
        <f t="shared" si="7"/>
        <v>25</v>
      </c>
      <c r="X81" s="34">
        <f t="shared" si="7"/>
        <v>39</v>
      </c>
      <c r="Y81" s="34">
        <f t="shared" si="7"/>
        <v>21</v>
      </c>
      <c r="Z81" s="34">
        <f t="shared" si="7"/>
        <v>25</v>
      </c>
      <c r="AA81" s="34">
        <f t="shared" si="7"/>
        <v>6</v>
      </c>
      <c r="AB81" s="34">
        <f t="shared" si="7"/>
        <v>5</v>
      </c>
      <c r="AC81" s="34">
        <f t="shared" si="7"/>
        <v>13</v>
      </c>
      <c r="AD81" s="34">
        <f t="shared" si="7"/>
        <v>49</v>
      </c>
      <c r="AE81" s="34">
        <f t="shared" si="7"/>
        <v>56</v>
      </c>
      <c r="AF81" s="34">
        <f t="shared" si="7"/>
        <v>34</v>
      </c>
      <c r="AG81" s="27">
        <f t="shared" si="2"/>
        <v>703</v>
      </c>
      <c r="AH81" s="40" t="str">
        <f>IF(AG81&lt;&gt;AG53,"*","")</f>
        <v/>
      </c>
    </row>
    <row r="82" spans="1:35" ht="15.75" customHeight="1" x14ac:dyDescent="0.25">
      <c r="A82" s="35" t="s">
        <v>43</v>
      </c>
      <c r="B82" s="9">
        <f t="shared" ref="B82:AF82" si="8">SUM(B54:B62)</f>
        <v>9</v>
      </c>
      <c r="C82" s="10">
        <f t="shared" si="8"/>
        <v>8</v>
      </c>
      <c r="D82" s="10">
        <f t="shared" si="8"/>
        <v>19</v>
      </c>
      <c r="E82" s="10">
        <f t="shared" si="8"/>
        <v>6</v>
      </c>
      <c r="F82" s="10">
        <f t="shared" si="8"/>
        <v>1</v>
      </c>
      <c r="G82" s="10">
        <f t="shared" si="8"/>
        <v>2</v>
      </c>
      <c r="H82" s="10">
        <f t="shared" si="8"/>
        <v>5</v>
      </c>
      <c r="I82" s="10">
        <f t="shared" si="8"/>
        <v>6</v>
      </c>
      <c r="J82" s="10">
        <f t="shared" si="8"/>
        <v>10</v>
      </c>
      <c r="K82" s="10">
        <f t="shared" si="8"/>
        <v>11</v>
      </c>
      <c r="L82" s="10">
        <f t="shared" si="8"/>
        <v>19</v>
      </c>
      <c r="M82" s="10">
        <f t="shared" si="8"/>
        <v>4</v>
      </c>
      <c r="N82" s="10">
        <f t="shared" si="8"/>
        <v>9</v>
      </c>
      <c r="O82" s="10">
        <f t="shared" si="8"/>
        <v>14</v>
      </c>
      <c r="P82" s="10">
        <f t="shared" si="8"/>
        <v>2</v>
      </c>
      <c r="Q82" s="10">
        <f t="shared" si="8"/>
        <v>9</v>
      </c>
      <c r="R82" s="10">
        <f t="shared" si="8"/>
        <v>17</v>
      </c>
      <c r="S82" s="10">
        <f t="shared" si="8"/>
        <v>9</v>
      </c>
      <c r="T82" s="10">
        <f t="shared" si="8"/>
        <v>1</v>
      </c>
      <c r="U82" s="10">
        <f t="shared" si="8"/>
        <v>0</v>
      </c>
      <c r="V82" s="10">
        <f t="shared" si="8"/>
        <v>9</v>
      </c>
      <c r="W82" s="10">
        <f t="shared" si="8"/>
        <v>8</v>
      </c>
      <c r="X82" s="10">
        <f t="shared" si="8"/>
        <v>21</v>
      </c>
      <c r="Y82" s="10">
        <f t="shared" si="8"/>
        <v>7</v>
      </c>
      <c r="Z82" s="10">
        <f t="shared" si="8"/>
        <v>25</v>
      </c>
      <c r="AA82" s="10">
        <f t="shared" si="8"/>
        <v>4</v>
      </c>
      <c r="AB82" s="10">
        <f t="shared" si="8"/>
        <v>3</v>
      </c>
      <c r="AC82" s="10">
        <f t="shared" si="8"/>
        <v>4</v>
      </c>
      <c r="AD82" s="10">
        <f t="shared" si="8"/>
        <v>10</v>
      </c>
      <c r="AE82" s="10">
        <f t="shared" si="8"/>
        <v>18</v>
      </c>
      <c r="AF82" s="10">
        <f t="shared" si="8"/>
        <v>15</v>
      </c>
      <c r="AG82" s="11">
        <f t="shared" si="2"/>
        <v>285</v>
      </c>
    </row>
    <row r="83" spans="1:35" ht="15.75" customHeight="1" thickBot="1" x14ac:dyDescent="0.3">
      <c r="A83" s="36" t="s">
        <v>42</v>
      </c>
      <c r="B83" s="24">
        <f t="shared" ref="B83:AF83" si="9">SUM(B54:B77)-B82</f>
        <v>10</v>
      </c>
      <c r="C83" s="25">
        <f t="shared" si="9"/>
        <v>7</v>
      </c>
      <c r="D83" s="25">
        <f t="shared" si="9"/>
        <v>24</v>
      </c>
      <c r="E83" s="25">
        <f t="shared" si="9"/>
        <v>7</v>
      </c>
      <c r="F83" s="25">
        <f t="shared" si="9"/>
        <v>1</v>
      </c>
      <c r="G83" s="25">
        <f t="shared" si="9"/>
        <v>3</v>
      </c>
      <c r="H83" s="25">
        <f t="shared" si="9"/>
        <v>35</v>
      </c>
      <c r="I83" s="25">
        <f t="shared" si="9"/>
        <v>9</v>
      </c>
      <c r="J83" s="25">
        <f t="shared" si="9"/>
        <v>1</v>
      </c>
      <c r="K83" s="25">
        <f t="shared" si="9"/>
        <v>20</v>
      </c>
      <c r="L83" s="25">
        <f t="shared" si="9"/>
        <v>12</v>
      </c>
      <c r="M83" s="25">
        <f t="shared" si="9"/>
        <v>4</v>
      </c>
      <c r="N83" s="25">
        <f t="shared" si="9"/>
        <v>3</v>
      </c>
      <c r="O83" s="25">
        <f t="shared" si="9"/>
        <v>43</v>
      </c>
      <c r="P83" s="25">
        <f t="shared" si="9"/>
        <v>4</v>
      </c>
      <c r="Q83" s="25">
        <f t="shared" si="9"/>
        <v>25</v>
      </c>
      <c r="R83" s="25">
        <f t="shared" si="9"/>
        <v>12</v>
      </c>
      <c r="S83" s="25">
        <f t="shared" si="9"/>
        <v>9</v>
      </c>
      <c r="T83" s="25">
        <f t="shared" si="9"/>
        <v>4</v>
      </c>
      <c r="U83" s="25">
        <f t="shared" si="9"/>
        <v>2</v>
      </c>
      <c r="V83" s="25">
        <f t="shared" si="9"/>
        <v>25</v>
      </c>
      <c r="W83" s="25">
        <f t="shared" si="9"/>
        <v>17</v>
      </c>
      <c r="X83" s="25">
        <f t="shared" si="9"/>
        <v>18</v>
      </c>
      <c r="Y83" s="25">
        <f t="shared" si="9"/>
        <v>14</v>
      </c>
      <c r="Z83" s="25">
        <f t="shared" si="9"/>
        <v>0</v>
      </c>
      <c r="AA83" s="25">
        <f t="shared" si="9"/>
        <v>2</v>
      </c>
      <c r="AB83" s="25">
        <f t="shared" si="9"/>
        <v>2</v>
      </c>
      <c r="AC83" s="25">
        <f t="shared" si="9"/>
        <v>9</v>
      </c>
      <c r="AD83" s="25">
        <f t="shared" si="9"/>
        <v>39</v>
      </c>
      <c r="AE83" s="25">
        <f t="shared" si="9"/>
        <v>38</v>
      </c>
      <c r="AF83" s="25">
        <f t="shared" si="9"/>
        <v>19</v>
      </c>
      <c r="AG83" s="15">
        <f t="shared" si="2"/>
        <v>418</v>
      </c>
    </row>
    <row r="84" spans="1:35" ht="15.75" customHeight="1" thickBot="1" x14ac:dyDescent="0.3">
      <c r="A84" s="41" t="s">
        <v>45</v>
      </c>
      <c r="B84" s="42">
        <f t="shared" ref="B84:AF84" si="10">SUM(B85:B86)</f>
        <v>19</v>
      </c>
      <c r="C84" s="43">
        <f t="shared" si="10"/>
        <v>15</v>
      </c>
      <c r="D84" s="43">
        <f t="shared" si="10"/>
        <v>43</v>
      </c>
      <c r="E84" s="43">
        <f t="shared" si="10"/>
        <v>13</v>
      </c>
      <c r="F84" s="43">
        <f t="shared" si="10"/>
        <v>2</v>
      </c>
      <c r="G84" s="43">
        <f t="shared" si="10"/>
        <v>5</v>
      </c>
      <c r="H84" s="43">
        <f t="shared" si="10"/>
        <v>40</v>
      </c>
      <c r="I84" s="43">
        <f t="shared" si="10"/>
        <v>15</v>
      </c>
      <c r="J84" s="43">
        <f t="shared" si="10"/>
        <v>11</v>
      </c>
      <c r="K84" s="43">
        <f t="shared" si="10"/>
        <v>31</v>
      </c>
      <c r="L84" s="43">
        <f t="shared" si="10"/>
        <v>31</v>
      </c>
      <c r="M84" s="43">
        <f t="shared" si="10"/>
        <v>8</v>
      </c>
      <c r="N84" s="43">
        <f t="shared" si="10"/>
        <v>12</v>
      </c>
      <c r="O84" s="43">
        <f t="shared" si="10"/>
        <v>57</v>
      </c>
      <c r="P84" s="43">
        <f t="shared" si="10"/>
        <v>6</v>
      </c>
      <c r="Q84" s="43">
        <f t="shared" si="10"/>
        <v>34</v>
      </c>
      <c r="R84" s="43">
        <f t="shared" si="10"/>
        <v>29</v>
      </c>
      <c r="S84" s="43">
        <f t="shared" si="10"/>
        <v>18</v>
      </c>
      <c r="T84" s="43">
        <f t="shared" si="10"/>
        <v>5</v>
      </c>
      <c r="U84" s="43">
        <f t="shared" si="10"/>
        <v>2</v>
      </c>
      <c r="V84" s="43">
        <f t="shared" si="10"/>
        <v>34</v>
      </c>
      <c r="W84" s="43">
        <f t="shared" si="10"/>
        <v>25</v>
      </c>
      <c r="X84" s="43">
        <f t="shared" si="10"/>
        <v>39</v>
      </c>
      <c r="Y84" s="43">
        <f t="shared" si="10"/>
        <v>21</v>
      </c>
      <c r="Z84" s="43">
        <f t="shared" si="10"/>
        <v>25</v>
      </c>
      <c r="AA84" s="43">
        <f t="shared" si="10"/>
        <v>6</v>
      </c>
      <c r="AB84" s="43">
        <f t="shared" si="10"/>
        <v>5</v>
      </c>
      <c r="AC84" s="43">
        <f t="shared" si="10"/>
        <v>13</v>
      </c>
      <c r="AD84" s="43">
        <f t="shared" si="10"/>
        <v>49</v>
      </c>
      <c r="AE84" s="43">
        <f t="shared" si="10"/>
        <v>56</v>
      </c>
      <c r="AF84" s="43">
        <f t="shared" si="10"/>
        <v>34</v>
      </c>
      <c r="AG84" s="44">
        <f t="shared" si="2"/>
        <v>703</v>
      </c>
      <c r="AH84" s="40" t="str">
        <f>IF(AG84&lt;&gt;AG82+AG83,"*","")</f>
        <v/>
      </c>
      <c r="AI84" s="361" t="s">
        <v>46</v>
      </c>
    </row>
    <row r="85" spans="1:35" ht="15.75" customHeight="1" x14ac:dyDescent="0.25">
      <c r="A85" s="45" t="s">
        <v>47</v>
      </c>
      <c r="B85" s="46">
        <v>4</v>
      </c>
      <c r="C85" s="47">
        <v>4</v>
      </c>
      <c r="D85" s="47">
        <v>10</v>
      </c>
      <c r="E85" s="47">
        <v>2</v>
      </c>
      <c r="F85" s="47">
        <v>0</v>
      </c>
      <c r="G85" s="47">
        <v>1</v>
      </c>
      <c r="H85" s="47">
        <v>5</v>
      </c>
      <c r="I85" s="47">
        <v>3</v>
      </c>
      <c r="J85" s="47">
        <v>2</v>
      </c>
      <c r="K85" s="47">
        <v>4</v>
      </c>
      <c r="L85" s="47">
        <v>8</v>
      </c>
      <c r="M85" s="47">
        <v>1</v>
      </c>
      <c r="N85" s="47">
        <v>2</v>
      </c>
      <c r="O85" s="47">
        <v>11</v>
      </c>
      <c r="P85" s="47">
        <v>0</v>
      </c>
      <c r="Q85" s="47">
        <v>8</v>
      </c>
      <c r="R85" s="47">
        <v>4</v>
      </c>
      <c r="S85" s="47">
        <v>3</v>
      </c>
      <c r="T85" s="47">
        <v>0</v>
      </c>
      <c r="U85" s="47">
        <v>2</v>
      </c>
      <c r="V85" s="47">
        <v>7</v>
      </c>
      <c r="W85" s="47">
        <v>3</v>
      </c>
      <c r="X85" s="47">
        <v>12</v>
      </c>
      <c r="Y85" s="47">
        <v>3</v>
      </c>
      <c r="Z85" s="47">
        <v>6</v>
      </c>
      <c r="AA85" s="47">
        <v>1</v>
      </c>
      <c r="AB85" s="47">
        <v>2</v>
      </c>
      <c r="AC85" s="47">
        <v>3</v>
      </c>
      <c r="AD85" s="47">
        <v>5</v>
      </c>
      <c r="AE85" s="47">
        <v>12</v>
      </c>
      <c r="AF85" s="219">
        <v>8</v>
      </c>
      <c r="AG85" s="48">
        <f t="shared" si="2"/>
        <v>136</v>
      </c>
      <c r="AI85" s="362"/>
    </row>
    <row r="86" spans="1:35" ht="15.75" customHeight="1" thickBot="1" x14ac:dyDescent="0.3">
      <c r="A86" s="49" t="s">
        <v>48</v>
      </c>
      <c r="B86" s="50">
        <v>15</v>
      </c>
      <c r="C86" s="51">
        <v>11</v>
      </c>
      <c r="D86" s="51">
        <v>33</v>
      </c>
      <c r="E86" s="51">
        <v>11</v>
      </c>
      <c r="F86" s="51">
        <v>2</v>
      </c>
      <c r="G86" s="51">
        <v>4</v>
      </c>
      <c r="H86" s="51">
        <v>35</v>
      </c>
      <c r="I86" s="51">
        <v>12</v>
      </c>
      <c r="J86" s="51">
        <v>9</v>
      </c>
      <c r="K86" s="51">
        <v>27</v>
      </c>
      <c r="L86" s="51">
        <v>23</v>
      </c>
      <c r="M86" s="51">
        <v>7</v>
      </c>
      <c r="N86" s="51">
        <v>10</v>
      </c>
      <c r="O86" s="51">
        <v>46</v>
      </c>
      <c r="P86" s="51">
        <v>6</v>
      </c>
      <c r="Q86" s="51">
        <v>26</v>
      </c>
      <c r="R86" s="51">
        <v>25</v>
      </c>
      <c r="S86" s="51">
        <v>15</v>
      </c>
      <c r="T86" s="51">
        <v>5</v>
      </c>
      <c r="U86" s="51">
        <v>0</v>
      </c>
      <c r="V86" s="51">
        <v>27</v>
      </c>
      <c r="W86" s="51">
        <v>22</v>
      </c>
      <c r="X86" s="51">
        <v>27</v>
      </c>
      <c r="Y86" s="51">
        <v>18</v>
      </c>
      <c r="Z86" s="51">
        <v>19</v>
      </c>
      <c r="AA86" s="51">
        <v>5</v>
      </c>
      <c r="AB86" s="51">
        <v>3</v>
      </c>
      <c r="AC86" s="51">
        <v>10</v>
      </c>
      <c r="AD86" s="51">
        <v>44</v>
      </c>
      <c r="AE86" s="51">
        <v>44</v>
      </c>
      <c r="AF86" s="220">
        <v>26</v>
      </c>
      <c r="AG86" s="52">
        <f t="shared" si="2"/>
        <v>567</v>
      </c>
      <c r="AI86" s="363"/>
    </row>
    <row r="87" spans="1:35" ht="15.75" customHeight="1" thickBot="1" x14ac:dyDescent="0.3">
      <c r="A87" s="53" t="s">
        <v>49</v>
      </c>
      <c r="B87" s="54">
        <f t="shared" ref="B87:AF87" si="11">SUM(B88:B92)</f>
        <v>19</v>
      </c>
      <c r="C87" s="55">
        <f t="shared" si="11"/>
        <v>15</v>
      </c>
      <c r="D87" s="55">
        <f t="shared" si="11"/>
        <v>43</v>
      </c>
      <c r="E87" s="55">
        <f t="shared" si="11"/>
        <v>13</v>
      </c>
      <c r="F87" s="55">
        <f t="shared" si="11"/>
        <v>2</v>
      </c>
      <c r="G87" s="55">
        <f t="shared" si="11"/>
        <v>5</v>
      </c>
      <c r="H87" s="55">
        <f t="shared" si="11"/>
        <v>40</v>
      </c>
      <c r="I87" s="55">
        <f t="shared" si="11"/>
        <v>15</v>
      </c>
      <c r="J87" s="55">
        <f t="shared" si="11"/>
        <v>11</v>
      </c>
      <c r="K87" s="55">
        <f t="shared" si="11"/>
        <v>31</v>
      </c>
      <c r="L87" s="55">
        <f t="shared" si="11"/>
        <v>31</v>
      </c>
      <c r="M87" s="55">
        <f t="shared" si="11"/>
        <v>8</v>
      </c>
      <c r="N87" s="55">
        <f t="shared" si="11"/>
        <v>12</v>
      </c>
      <c r="O87" s="55">
        <f t="shared" si="11"/>
        <v>57</v>
      </c>
      <c r="P87" s="55">
        <f t="shared" si="11"/>
        <v>6</v>
      </c>
      <c r="Q87" s="55">
        <f t="shared" si="11"/>
        <v>34</v>
      </c>
      <c r="R87" s="55">
        <f t="shared" si="11"/>
        <v>29</v>
      </c>
      <c r="S87" s="55">
        <f t="shared" si="11"/>
        <v>18</v>
      </c>
      <c r="T87" s="55">
        <f t="shared" si="11"/>
        <v>5</v>
      </c>
      <c r="U87" s="55">
        <f t="shared" si="11"/>
        <v>2</v>
      </c>
      <c r="V87" s="55">
        <f t="shared" si="11"/>
        <v>34</v>
      </c>
      <c r="W87" s="55">
        <f t="shared" si="11"/>
        <v>25</v>
      </c>
      <c r="X87" s="55">
        <f t="shared" si="11"/>
        <v>39</v>
      </c>
      <c r="Y87" s="55">
        <f t="shared" si="11"/>
        <v>21</v>
      </c>
      <c r="Z87" s="55">
        <f t="shared" si="11"/>
        <v>25</v>
      </c>
      <c r="AA87" s="55">
        <f t="shared" si="11"/>
        <v>6</v>
      </c>
      <c r="AB87" s="55">
        <f t="shared" si="11"/>
        <v>5</v>
      </c>
      <c r="AC87" s="55">
        <f t="shared" si="11"/>
        <v>13</v>
      </c>
      <c r="AD87" s="55">
        <f t="shared" si="11"/>
        <v>49</v>
      </c>
      <c r="AE87" s="55">
        <f t="shared" si="11"/>
        <v>56</v>
      </c>
      <c r="AF87" s="55">
        <f t="shared" si="11"/>
        <v>34</v>
      </c>
      <c r="AG87" s="56">
        <f t="shared" si="2"/>
        <v>703</v>
      </c>
      <c r="AH87" s="57" t="str">
        <f>IF(AG87&lt;&gt;AG84,"*","")</f>
        <v/>
      </c>
    </row>
    <row r="88" spans="1:35" ht="15.75" customHeight="1" x14ac:dyDescent="0.25">
      <c r="A88" s="58" t="s">
        <v>50</v>
      </c>
      <c r="B88" s="29">
        <v>1</v>
      </c>
      <c r="C88" s="30">
        <v>6</v>
      </c>
      <c r="D88" s="30">
        <v>13</v>
      </c>
      <c r="E88" s="30">
        <v>7</v>
      </c>
      <c r="F88" s="30">
        <v>2</v>
      </c>
      <c r="G88" s="30">
        <v>2</v>
      </c>
      <c r="H88" s="30">
        <v>8</v>
      </c>
      <c r="I88" s="30">
        <v>6</v>
      </c>
      <c r="J88" s="30">
        <v>5</v>
      </c>
      <c r="K88" s="30">
        <v>5</v>
      </c>
      <c r="L88" s="30">
        <v>13</v>
      </c>
      <c r="M88" s="30">
        <v>5</v>
      </c>
      <c r="N88" s="30">
        <v>0</v>
      </c>
      <c r="O88" s="30">
        <v>12</v>
      </c>
      <c r="P88" s="30">
        <v>2</v>
      </c>
      <c r="Q88" s="30">
        <v>4</v>
      </c>
      <c r="R88" s="30">
        <v>5</v>
      </c>
      <c r="S88" s="30">
        <v>6</v>
      </c>
      <c r="T88" s="30">
        <v>4</v>
      </c>
      <c r="U88" s="30">
        <v>1</v>
      </c>
      <c r="V88" s="30">
        <v>7</v>
      </c>
      <c r="W88" s="30">
        <v>6</v>
      </c>
      <c r="X88" s="30">
        <v>5</v>
      </c>
      <c r="Y88" s="30">
        <v>7</v>
      </c>
      <c r="Z88" s="30">
        <v>7</v>
      </c>
      <c r="AA88" s="30">
        <v>5</v>
      </c>
      <c r="AB88" s="30">
        <v>4</v>
      </c>
      <c r="AC88" s="30">
        <v>3</v>
      </c>
      <c r="AD88" s="30">
        <v>10</v>
      </c>
      <c r="AE88" s="30">
        <v>8</v>
      </c>
      <c r="AF88" s="217">
        <v>5</v>
      </c>
      <c r="AG88" s="11">
        <f t="shared" si="2"/>
        <v>174</v>
      </c>
    </row>
    <row r="89" spans="1:35" ht="15.75" customHeight="1" x14ac:dyDescent="0.25">
      <c r="A89" s="59" t="s">
        <v>51</v>
      </c>
      <c r="B89" s="24"/>
      <c r="C89" s="25"/>
      <c r="D89" s="25"/>
      <c r="E89" s="25"/>
      <c r="F89" s="25"/>
      <c r="G89" s="25">
        <v>0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5">
        <v>0</v>
      </c>
      <c r="W89" s="25">
        <v>0</v>
      </c>
      <c r="X89" s="25">
        <v>0</v>
      </c>
      <c r="Y89" s="25">
        <v>0</v>
      </c>
      <c r="Z89" s="25"/>
      <c r="AA89" s="25">
        <v>0</v>
      </c>
      <c r="AB89" s="25">
        <v>0</v>
      </c>
      <c r="AC89" s="25">
        <v>0</v>
      </c>
      <c r="AD89" s="25">
        <v>0</v>
      </c>
      <c r="AE89" s="25">
        <v>0</v>
      </c>
      <c r="AF89" s="216">
        <v>0</v>
      </c>
      <c r="AG89" s="15">
        <f t="shared" si="2"/>
        <v>0</v>
      </c>
    </row>
    <row r="90" spans="1:35" ht="15.75" customHeight="1" x14ac:dyDescent="0.25">
      <c r="A90" s="59" t="s">
        <v>52</v>
      </c>
      <c r="B90" s="24"/>
      <c r="C90" s="25"/>
      <c r="D90" s="25"/>
      <c r="E90" s="25"/>
      <c r="F90" s="25"/>
      <c r="G90" s="25">
        <v>0</v>
      </c>
      <c r="H90" s="25">
        <v>0</v>
      </c>
      <c r="I90" s="25">
        <v>0</v>
      </c>
      <c r="J90" s="25">
        <v>0</v>
      </c>
      <c r="K90" s="25">
        <v>0</v>
      </c>
      <c r="L90" s="25">
        <v>1</v>
      </c>
      <c r="M90" s="25">
        <v>0</v>
      </c>
      <c r="N90" s="25">
        <v>0</v>
      </c>
      <c r="O90" s="25">
        <v>2</v>
      </c>
      <c r="P90" s="25">
        <v>0</v>
      </c>
      <c r="Q90" s="25">
        <v>0</v>
      </c>
      <c r="R90" s="25">
        <v>1</v>
      </c>
      <c r="S90" s="25">
        <v>0</v>
      </c>
      <c r="T90" s="25">
        <v>0</v>
      </c>
      <c r="U90" s="25">
        <v>0</v>
      </c>
      <c r="V90" s="25">
        <v>1</v>
      </c>
      <c r="W90" s="25">
        <v>0</v>
      </c>
      <c r="X90" s="25">
        <v>1</v>
      </c>
      <c r="Y90" s="25">
        <v>1</v>
      </c>
      <c r="Z90" s="25"/>
      <c r="AA90" s="25">
        <v>0</v>
      </c>
      <c r="AB90" s="25">
        <v>0</v>
      </c>
      <c r="AC90" s="25">
        <v>1</v>
      </c>
      <c r="AD90" s="25">
        <v>2</v>
      </c>
      <c r="AE90" s="25">
        <v>2</v>
      </c>
      <c r="AF90" s="216">
        <v>1</v>
      </c>
      <c r="AG90" s="15">
        <f t="shared" si="2"/>
        <v>13</v>
      </c>
    </row>
    <row r="91" spans="1:35" ht="15.75" customHeight="1" x14ac:dyDescent="0.25">
      <c r="A91" s="59" t="s">
        <v>53</v>
      </c>
      <c r="B91" s="24">
        <v>12</v>
      </c>
      <c r="C91" s="25">
        <v>6</v>
      </c>
      <c r="D91" s="25">
        <v>24</v>
      </c>
      <c r="E91" s="25">
        <v>3</v>
      </c>
      <c r="F91" s="25"/>
      <c r="G91" s="25">
        <v>0</v>
      </c>
      <c r="H91" s="25">
        <v>24</v>
      </c>
      <c r="I91" s="25">
        <v>4</v>
      </c>
      <c r="J91" s="25">
        <v>4</v>
      </c>
      <c r="K91" s="25">
        <v>20</v>
      </c>
      <c r="L91" s="25">
        <v>13</v>
      </c>
      <c r="M91" s="25">
        <v>2</v>
      </c>
      <c r="N91" s="25">
        <v>3</v>
      </c>
      <c r="O91" s="25">
        <v>23</v>
      </c>
      <c r="P91" s="25">
        <v>3</v>
      </c>
      <c r="Q91" s="25">
        <v>23</v>
      </c>
      <c r="R91" s="25">
        <v>14</v>
      </c>
      <c r="S91" s="25">
        <v>8</v>
      </c>
      <c r="T91" s="25">
        <v>0</v>
      </c>
      <c r="U91" s="25">
        <v>1</v>
      </c>
      <c r="V91" s="25">
        <v>24</v>
      </c>
      <c r="W91" s="25">
        <v>14</v>
      </c>
      <c r="X91" s="25">
        <v>19</v>
      </c>
      <c r="Y91" s="25">
        <v>8</v>
      </c>
      <c r="Z91" s="25">
        <v>15</v>
      </c>
      <c r="AA91" s="25">
        <v>0</v>
      </c>
      <c r="AB91" s="25">
        <v>0</v>
      </c>
      <c r="AC91" s="25">
        <v>5</v>
      </c>
      <c r="AD91" s="25">
        <v>31</v>
      </c>
      <c r="AE91" s="25">
        <v>36</v>
      </c>
      <c r="AF91" s="216">
        <v>10</v>
      </c>
      <c r="AG91" s="15">
        <f t="shared" si="2"/>
        <v>349</v>
      </c>
    </row>
    <row r="92" spans="1:35" ht="15.75" customHeight="1" thickBot="1" x14ac:dyDescent="0.3">
      <c r="A92" s="59" t="s">
        <v>54</v>
      </c>
      <c r="B92" s="24">
        <v>6</v>
      </c>
      <c r="C92" s="25">
        <v>3</v>
      </c>
      <c r="D92" s="25">
        <v>6</v>
      </c>
      <c r="E92" s="25">
        <v>3</v>
      </c>
      <c r="F92" s="25"/>
      <c r="G92" s="25">
        <v>3</v>
      </c>
      <c r="H92" s="25">
        <v>8</v>
      </c>
      <c r="I92" s="25">
        <v>5</v>
      </c>
      <c r="J92" s="25">
        <v>2</v>
      </c>
      <c r="K92" s="25">
        <v>6</v>
      </c>
      <c r="L92" s="25">
        <v>4</v>
      </c>
      <c r="M92" s="25">
        <v>1</v>
      </c>
      <c r="N92" s="25">
        <v>9</v>
      </c>
      <c r="O92" s="25">
        <v>20</v>
      </c>
      <c r="P92" s="25">
        <v>1</v>
      </c>
      <c r="Q92" s="25">
        <v>7</v>
      </c>
      <c r="R92" s="25">
        <v>9</v>
      </c>
      <c r="S92" s="25">
        <v>4</v>
      </c>
      <c r="T92" s="25">
        <v>1</v>
      </c>
      <c r="U92" s="25">
        <v>0</v>
      </c>
      <c r="V92" s="25">
        <v>2</v>
      </c>
      <c r="W92" s="25">
        <v>5</v>
      </c>
      <c r="X92" s="25">
        <v>14</v>
      </c>
      <c r="Y92" s="25">
        <v>5</v>
      </c>
      <c r="Z92" s="25">
        <v>3</v>
      </c>
      <c r="AA92" s="25">
        <v>1</v>
      </c>
      <c r="AB92" s="25">
        <v>1</v>
      </c>
      <c r="AC92" s="25">
        <v>4</v>
      </c>
      <c r="AD92" s="25">
        <v>6</v>
      </c>
      <c r="AE92" s="25">
        <v>10</v>
      </c>
      <c r="AF92" s="216">
        <v>18</v>
      </c>
      <c r="AG92" s="15">
        <f t="shared" si="2"/>
        <v>167</v>
      </c>
    </row>
    <row r="93" spans="1:35" ht="15.75" customHeight="1" x14ac:dyDescent="0.25">
      <c r="A93" s="60" t="s">
        <v>55</v>
      </c>
      <c r="B93" s="61">
        <f t="shared" ref="B93:AF93" si="12">+B94+B100</f>
        <v>200</v>
      </c>
      <c r="C93" s="62">
        <f t="shared" si="12"/>
        <v>183</v>
      </c>
      <c r="D93" s="62">
        <f t="shared" si="12"/>
        <v>178</v>
      </c>
      <c r="E93" s="62">
        <f t="shared" si="12"/>
        <v>180</v>
      </c>
      <c r="F93" s="62">
        <f t="shared" si="12"/>
        <v>140</v>
      </c>
      <c r="G93" s="62">
        <f t="shared" si="12"/>
        <v>194</v>
      </c>
      <c r="H93" s="62">
        <f t="shared" si="12"/>
        <v>208</v>
      </c>
      <c r="I93" s="62">
        <f t="shared" si="12"/>
        <v>227</v>
      </c>
      <c r="J93" s="62">
        <f t="shared" si="12"/>
        <v>233</v>
      </c>
      <c r="K93" s="62">
        <f t="shared" si="12"/>
        <v>182</v>
      </c>
      <c r="L93" s="62">
        <f t="shared" si="12"/>
        <v>169</v>
      </c>
      <c r="M93" s="62">
        <f t="shared" si="12"/>
        <v>179</v>
      </c>
      <c r="N93" s="62">
        <f t="shared" si="12"/>
        <v>198</v>
      </c>
      <c r="O93" s="62">
        <f t="shared" si="12"/>
        <v>218</v>
      </c>
      <c r="P93" s="62">
        <f t="shared" si="12"/>
        <v>226</v>
      </c>
      <c r="Q93" s="62">
        <f t="shared" si="12"/>
        <v>194</v>
      </c>
      <c r="R93" s="62">
        <f t="shared" si="12"/>
        <v>192</v>
      </c>
      <c r="S93" s="62">
        <f t="shared" si="12"/>
        <v>203</v>
      </c>
      <c r="T93" s="62">
        <f t="shared" si="12"/>
        <v>217</v>
      </c>
      <c r="U93" s="62">
        <f t="shared" si="12"/>
        <v>187</v>
      </c>
      <c r="V93" s="62">
        <f t="shared" si="12"/>
        <v>210</v>
      </c>
      <c r="W93" s="62">
        <f t="shared" si="12"/>
        <v>209</v>
      </c>
      <c r="X93" s="62">
        <f t="shared" si="12"/>
        <v>192</v>
      </c>
      <c r="Y93" s="62">
        <f t="shared" si="12"/>
        <v>193</v>
      </c>
      <c r="Z93" s="62">
        <f t="shared" si="12"/>
        <v>176</v>
      </c>
      <c r="AA93" s="62">
        <f t="shared" si="12"/>
        <v>192</v>
      </c>
      <c r="AB93" s="62">
        <f t="shared" si="12"/>
        <v>198</v>
      </c>
      <c r="AC93" s="62">
        <f t="shared" si="12"/>
        <v>213</v>
      </c>
      <c r="AD93" s="62">
        <f t="shared" si="12"/>
        <v>202</v>
      </c>
      <c r="AE93" s="62">
        <f t="shared" si="12"/>
        <v>198</v>
      </c>
      <c r="AF93" s="221">
        <f t="shared" si="12"/>
        <v>189</v>
      </c>
      <c r="AG93" s="22">
        <f t="shared" si="2"/>
        <v>6080</v>
      </c>
      <c r="AH93" s="63" t="str">
        <f>IF(AG93&lt;&gt;AG28,"*","")</f>
        <v/>
      </c>
    </row>
    <row r="94" spans="1:35" ht="15.75" customHeight="1" x14ac:dyDescent="0.25">
      <c r="A94" s="64" t="s">
        <v>56</v>
      </c>
      <c r="B94" s="65">
        <f t="shared" ref="B94:AF94" si="13">SUM(B95:B99)</f>
        <v>33</v>
      </c>
      <c r="C94" s="66">
        <f t="shared" si="13"/>
        <v>32</v>
      </c>
      <c r="D94" s="66">
        <f t="shared" si="13"/>
        <v>36</v>
      </c>
      <c r="E94" s="66">
        <f t="shared" si="13"/>
        <v>30</v>
      </c>
      <c r="F94" s="66">
        <f t="shared" si="13"/>
        <v>14</v>
      </c>
      <c r="G94" s="66">
        <f t="shared" si="13"/>
        <v>45</v>
      </c>
      <c r="H94" s="66">
        <f t="shared" si="13"/>
        <v>38</v>
      </c>
      <c r="I94" s="66">
        <f t="shared" si="13"/>
        <v>56</v>
      </c>
      <c r="J94" s="66">
        <f t="shared" si="13"/>
        <v>51</v>
      </c>
      <c r="K94" s="66">
        <f t="shared" si="13"/>
        <v>28</v>
      </c>
      <c r="L94" s="66">
        <f t="shared" si="13"/>
        <v>28</v>
      </c>
      <c r="M94" s="66">
        <f t="shared" si="13"/>
        <v>35</v>
      </c>
      <c r="N94" s="66">
        <f t="shared" si="13"/>
        <v>37</v>
      </c>
      <c r="O94" s="66">
        <f t="shared" si="13"/>
        <v>31</v>
      </c>
      <c r="P94" s="66">
        <f t="shared" si="13"/>
        <v>54</v>
      </c>
      <c r="Q94" s="66">
        <f t="shared" si="13"/>
        <v>36</v>
      </c>
      <c r="R94" s="66">
        <f t="shared" si="13"/>
        <v>38</v>
      </c>
      <c r="S94" s="66">
        <f t="shared" si="13"/>
        <v>38</v>
      </c>
      <c r="T94" s="66">
        <f t="shared" si="13"/>
        <v>37</v>
      </c>
      <c r="U94" s="66">
        <f t="shared" si="13"/>
        <v>30</v>
      </c>
      <c r="V94" s="66">
        <f t="shared" si="13"/>
        <v>40</v>
      </c>
      <c r="W94" s="66">
        <f t="shared" si="13"/>
        <v>33</v>
      </c>
      <c r="X94" s="66">
        <f t="shared" si="13"/>
        <v>35</v>
      </c>
      <c r="Y94" s="66">
        <f t="shared" si="13"/>
        <v>41</v>
      </c>
      <c r="Z94" s="66">
        <f t="shared" si="13"/>
        <v>23</v>
      </c>
      <c r="AA94" s="66">
        <f t="shared" si="13"/>
        <v>27</v>
      </c>
      <c r="AB94" s="66">
        <f t="shared" si="13"/>
        <v>39</v>
      </c>
      <c r="AC94" s="66">
        <f t="shared" si="13"/>
        <v>48</v>
      </c>
      <c r="AD94" s="66">
        <f t="shared" si="13"/>
        <v>46</v>
      </c>
      <c r="AE94" s="66">
        <f t="shared" si="13"/>
        <v>38</v>
      </c>
      <c r="AF94" s="222">
        <f t="shared" si="13"/>
        <v>37</v>
      </c>
      <c r="AG94" s="15">
        <f t="shared" si="2"/>
        <v>1134</v>
      </c>
    </row>
    <row r="95" spans="1:35" ht="15.75" customHeight="1" x14ac:dyDescent="0.25">
      <c r="A95" s="67" t="s">
        <v>57</v>
      </c>
      <c r="B95" s="13"/>
      <c r="C95" s="14">
        <v>1</v>
      </c>
      <c r="D95" s="14">
        <v>2</v>
      </c>
      <c r="E95" s="14"/>
      <c r="F95" s="14">
        <v>1</v>
      </c>
      <c r="G95" s="14">
        <v>1</v>
      </c>
      <c r="H95" s="14">
        <v>0</v>
      </c>
      <c r="I95" s="14">
        <v>0</v>
      </c>
      <c r="J95" s="14">
        <v>3</v>
      </c>
      <c r="K95" s="14">
        <v>1</v>
      </c>
      <c r="L95" s="14">
        <v>1</v>
      </c>
      <c r="M95" s="14">
        <v>0</v>
      </c>
      <c r="N95" s="14">
        <v>3</v>
      </c>
      <c r="O95" s="14">
        <v>1</v>
      </c>
      <c r="P95" s="14">
        <v>1</v>
      </c>
      <c r="Q95" s="14">
        <v>0</v>
      </c>
      <c r="R95" s="14">
        <v>1</v>
      </c>
      <c r="S95" s="14">
        <v>2</v>
      </c>
      <c r="T95" s="14">
        <v>4</v>
      </c>
      <c r="U95" s="14">
        <v>1</v>
      </c>
      <c r="V95" s="14">
        <v>0</v>
      </c>
      <c r="W95" s="14">
        <v>0</v>
      </c>
      <c r="X95" s="14">
        <v>0</v>
      </c>
      <c r="Y95" s="14">
        <v>0</v>
      </c>
      <c r="Z95" s="14">
        <v>1</v>
      </c>
      <c r="AA95" s="14">
        <v>2</v>
      </c>
      <c r="AB95" s="14">
        <v>0</v>
      </c>
      <c r="AC95" s="14">
        <v>0</v>
      </c>
      <c r="AD95" s="14">
        <v>1</v>
      </c>
      <c r="AE95" s="14">
        <v>1</v>
      </c>
      <c r="AF95" s="214">
        <v>0</v>
      </c>
      <c r="AG95" s="15">
        <f t="shared" si="2"/>
        <v>28</v>
      </c>
    </row>
    <row r="96" spans="1:35" ht="15.75" customHeight="1" x14ac:dyDescent="0.25">
      <c r="A96" s="68" t="s">
        <v>58</v>
      </c>
      <c r="B96" s="13">
        <v>3</v>
      </c>
      <c r="C96" s="14">
        <v>2</v>
      </c>
      <c r="D96" s="14">
        <v>1</v>
      </c>
      <c r="E96" s="14">
        <v>1</v>
      </c>
      <c r="F96" s="14"/>
      <c r="G96" s="14">
        <v>1</v>
      </c>
      <c r="H96" s="14">
        <v>1</v>
      </c>
      <c r="I96" s="14">
        <v>1</v>
      </c>
      <c r="J96" s="14">
        <v>3</v>
      </c>
      <c r="K96" s="14">
        <v>0</v>
      </c>
      <c r="L96" s="14">
        <v>3</v>
      </c>
      <c r="M96" s="14">
        <v>2</v>
      </c>
      <c r="N96" s="14">
        <v>1</v>
      </c>
      <c r="O96" s="14">
        <v>3</v>
      </c>
      <c r="P96" s="14">
        <v>1</v>
      </c>
      <c r="Q96" s="14">
        <v>1</v>
      </c>
      <c r="R96" s="14">
        <v>1</v>
      </c>
      <c r="S96" s="223">
        <v>2</v>
      </c>
      <c r="T96" s="14">
        <v>3</v>
      </c>
      <c r="U96" s="14">
        <v>0</v>
      </c>
      <c r="V96" s="14">
        <v>3</v>
      </c>
      <c r="W96" s="14">
        <v>1</v>
      </c>
      <c r="X96" s="14">
        <v>2</v>
      </c>
      <c r="Y96" s="14">
        <v>3</v>
      </c>
      <c r="Z96" s="14">
        <v>2</v>
      </c>
      <c r="AA96" s="14">
        <v>2</v>
      </c>
      <c r="AB96" s="14">
        <v>2</v>
      </c>
      <c r="AC96" s="14">
        <v>1</v>
      </c>
      <c r="AD96" s="14">
        <v>4</v>
      </c>
      <c r="AE96" s="14">
        <v>2</v>
      </c>
      <c r="AF96" s="214">
        <v>0</v>
      </c>
      <c r="AG96" s="15">
        <f t="shared" si="2"/>
        <v>52</v>
      </c>
    </row>
    <row r="97" spans="1:33" ht="15.75" customHeight="1" x14ac:dyDescent="0.25">
      <c r="A97" s="69" t="s">
        <v>59</v>
      </c>
      <c r="B97" s="13">
        <v>4</v>
      </c>
      <c r="C97" s="14">
        <v>5</v>
      </c>
      <c r="D97" s="14">
        <v>7</v>
      </c>
      <c r="E97" s="14">
        <v>6</v>
      </c>
      <c r="F97" s="14">
        <v>4</v>
      </c>
      <c r="G97" s="14">
        <v>10</v>
      </c>
      <c r="H97" s="14">
        <v>7</v>
      </c>
      <c r="I97" s="14">
        <v>12</v>
      </c>
      <c r="J97" s="14">
        <v>12</v>
      </c>
      <c r="K97" s="14">
        <v>4</v>
      </c>
      <c r="L97" s="14">
        <v>8</v>
      </c>
      <c r="M97" s="14">
        <v>8</v>
      </c>
      <c r="N97" s="14">
        <v>8</v>
      </c>
      <c r="O97" s="14">
        <v>9</v>
      </c>
      <c r="P97" s="14">
        <v>15</v>
      </c>
      <c r="Q97" s="14">
        <v>8</v>
      </c>
      <c r="R97" s="14">
        <v>6</v>
      </c>
      <c r="S97" s="14">
        <v>11</v>
      </c>
      <c r="T97" s="14">
        <v>10</v>
      </c>
      <c r="U97" s="14">
        <v>8</v>
      </c>
      <c r="V97" s="14">
        <v>4</v>
      </c>
      <c r="W97" s="14">
        <v>5</v>
      </c>
      <c r="X97" s="14">
        <v>9</v>
      </c>
      <c r="Y97" s="14">
        <v>7</v>
      </c>
      <c r="Z97" s="14">
        <v>3</v>
      </c>
      <c r="AA97" s="14">
        <v>7</v>
      </c>
      <c r="AB97" s="14">
        <v>4</v>
      </c>
      <c r="AC97" s="14">
        <v>8</v>
      </c>
      <c r="AD97" s="14">
        <v>3</v>
      </c>
      <c r="AE97" s="14">
        <v>2</v>
      </c>
      <c r="AF97" s="214">
        <v>1</v>
      </c>
      <c r="AG97" s="15">
        <f t="shared" si="2"/>
        <v>215</v>
      </c>
    </row>
    <row r="98" spans="1:33" ht="15.75" customHeight="1" x14ac:dyDescent="0.25">
      <c r="A98" s="70" t="s">
        <v>60</v>
      </c>
      <c r="B98" s="13">
        <v>6</v>
      </c>
      <c r="C98" s="14">
        <v>14</v>
      </c>
      <c r="D98" s="14">
        <v>17</v>
      </c>
      <c r="E98" s="14">
        <v>8</v>
      </c>
      <c r="F98" s="14">
        <v>5</v>
      </c>
      <c r="G98" s="14">
        <v>18</v>
      </c>
      <c r="H98" s="14">
        <v>14</v>
      </c>
      <c r="I98" s="14">
        <v>22</v>
      </c>
      <c r="J98" s="14">
        <v>15</v>
      </c>
      <c r="K98" s="14">
        <v>15</v>
      </c>
      <c r="L98" s="14">
        <v>8</v>
      </c>
      <c r="M98" s="14">
        <v>16</v>
      </c>
      <c r="N98" s="14">
        <v>13</v>
      </c>
      <c r="O98" s="14">
        <v>9</v>
      </c>
      <c r="P98" s="14">
        <v>18</v>
      </c>
      <c r="Q98" s="14">
        <v>16</v>
      </c>
      <c r="R98" s="14">
        <v>19</v>
      </c>
      <c r="S98" s="14">
        <v>14</v>
      </c>
      <c r="T98" s="14">
        <v>12</v>
      </c>
      <c r="U98" s="14">
        <v>15</v>
      </c>
      <c r="V98" s="14">
        <v>13</v>
      </c>
      <c r="W98" s="14">
        <v>12</v>
      </c>
      <c r="X98" s="14">
        <v>10</v>
      </c>
      <c r="Y98" s="14">
        <v>20</v>
      </c>
      <c r="Z98" s="14">
        <v>7</v>
      </c>
      <c r="AA98" s="14">
        <v>7</v>
      </c>
      <c r="AB98" s="14">
        <v>20</v>
      </c>
      <c r="AC98" s="14">
        <v>18</v>
      </c>
      <c r="AD98" s="14">
        <v>17</v>
      </c>
      <c r="AE98" s="14">
        <v>17</v>
      </c>
      <c r="AF98" s="214">
        <v>15</v>
      </c>
      <c r="AG98" s="15">
        <f t="shared" si="2"/>
        <v>430</v>
      </c>
    </row>
    <row r="99" spans="1:33" ht="15.75" customHeight="1" x14ac:dyDescent="0.25">
      <c r="A99" s="71" t="s">
        <v>61</v>
      </c>
      <c r="B99" s="13">
        <v>20</v>
      </c>
      <c r="C99" s="14">
        <v>10</v>
      </c>
      <c r="D99" s="14">
        <v>9</v>
      </c>
      <c r="E99" s="14">
        <v>15</v>
      </c>
      <c r="F99" s="14">
        <v>4</v>
      </c>
      <c r="G99" s="14">
        <v>15</v>
      </c>
      <c r="H99" s="14">
        <v>16</v>
      </c>
      <c r="I99" s="14">
        <v>21</v>
      </c>
      <c r="J99" s="14">
        <v>18</v>
      </c>
      <c r="K99" s="14">
        <v>8</v>
      </c>
      <c r="L99" s="14">
        <v>8</v>
      </c>
      <c r="M99" s="14">
        <v>9</v>
      </c>
      <c r="N99" s="14">
        <v>12</v>
      </c>
      <c r="O99" s="14">
        <v>9</v>
      </c>
      <c r="P99" s="14">
        <v>19</v>
      </c>
      <c r="Q99" s="14">
        <v>11</v>
      </c>
      <c r="R99" s="14">
        <v>11</v>
      </c>
      <c r="S99" s="14">
        <v>9</v>
      </c>
      <c r="T99" s="14">
        <v>8</v>
      </c>
      <c r="U99" s="14">
        <v>6</v>
      </c>
      <c r="V99" s="14">
        <v>20</v>
      </c>
      <c r="W99" s="14">
        <v>15</v>
      </c>
      <c r="X99" s="14">
        <v>14</v>
      </c>
      <c r="Y99" s="14">
        <v>11</v>
      </c>
      <c r="Z99" s="14">
        <v>10</v>
      </c>
      <c r="AA99" s="14">
        <v>9</v>
      </c>
      <c r="AB99" s="14">
        <v>13</v>
      </c>
      <c r="AC99" s="14">
        <v>21</v>
      </c>
      <c r="AD99" s="14">
        <v>21</v>
      </c>
      <c r="AE99" s="14">
        <v>16</v>
      </c>
      <c r="AF99" s="214">
        <v>21</v>
      </c>
      <c r="AG99" s="15">
        <f t="shared" si="2"/>
        <v>409</v>
      </c>
    </row>
    <row r="100" spans="1:33" ht="15.75" customHeight="1" x14ac:dyDescent="0.25">
      <c r="A100" s="64" t="s">
        <v>62</v>
      </c>
      <c r="B100" s="65">
        <f t="shared" ref="B100:AF100" si="14">SUM(B101:B115)</f>
        <v>167</v>
      </c>
      <c r="C100" s="66">
        <f t="shared" si="14"/>
        <v>151</v>
      </c>
      <c r="D100" s="66">
        <f t="shared" si="14"/>
        <v>142</v>
      </c>
      <c r="E100" s="66">
        <f t="shared" si="14"/>
        <v>150</v>
      </c>
      <c r="F100" s="66">
        <f t="shared" si="14"/>
        <v>126</v>
      </c>
      <c r="G100" s="66">
        <f t="shared" si="14"/>
        <v>149</v>
      </c>
      <c r="H100" s="66">
        <f t="shared" si="14"/>
        <v>170</v>
      </c>
      <c r="I100" s="66">
        <f t="shared" si="14"/>
        <v>171</v>
      </c>
      <c r="J100" s="66">
        <f t="shared" si="14"/>
        <v>182</v>
      </c>
      <c r="K100" s="66">
        <f t="shared" si="14"/>
        <v>154</v>
      </c>
      <c r="L100" s="66">
        <f t="shared" si="14"/>
        <v>141</v>
      </c>
      <c r="M100" s="66">
        <f t="shared" si="14"/>
        <v>144</v>
      </c>
      <c r="N100" s="66">
        <f t="shared" si="14"/>
        <v>161</v>
      </c>
      <c r="O100" s="66">
        <f t="shared" si="14"/>
        <v>187</v>
      </c>
      <c r="P100" s="66">
        <f t="shared" si="14"/>
        <v>172</v>
      </c>
      <c r="Q100" s="66">
        <f t="shared" si="14"/>
        <v>158</v>
      </c>
      <c r="R100" s="66">
        <f t="shared" si="14"/>
        <v>154</v>
      </c>
      <c r="S100" s="66">
        <f t="shared" si="14"/>
        <v>165</v>
      </c>
      <c r="T100" s="66">
        <f t="shared" si="14"/>
        <v>180</v>
      </c>
      <c r="U100" s="66">
        <f t="shared" si="14"/>
        <v>157</v>
      </c>
      <c r="V100" s="66">
        <f t="shared" si="14"/>
        <v>170</v>
      </c>
      <c r="W100" s="66">
        <f t="shared" si="14"/>
        <v>176</v>
      </c>
      <c r="X100" s="66">
        <f t="shared" si="14"/>
        <v>157</v>
      </c>
      <c r="Y100" s="66">
        <f t="shared" si="14"/>
        <v>152</v>
      </c>
      <c r="Z100" s="66">
        <f t="shared" si="14"/>
        <v>153</v>
      </c>
      <c r="AA100" s="66">
        <f t="shared" si="14"/>
        <v>165</v>
      </c>
      <c r="AB100" s="66">
        <f t="shared" si="14"/>
        <v>159</v>
      </c>
      <c r="AC100" s="66">
        <f t="shared" si="14"/>
        <v>165</v>
      </c>
      <c r="AD100" s="66">
        <f t="shared" si="14"/>
        <v>156</v>
      </c>
      <c r="AE100" s="66">
        <f t="shared" si="14"/>
        <v>160</v>
      </c>
      <c r="AF100" s="222">
        <f t="shared" si="14"/>
        <v>152</v>
      </c>
      <c r="AG100" s="15">
        <f t="shared" si="2"/>
        <v>4946</v>
      </c>
    </row>
    <row r="101" spans="1:33" ht="15.75" customHeight="1" x14ac:dyDescent="0.25">
      <c r="A101" s="71" t="s">
        <v>63</v>
      </c>
      <c r="B101" s="13">
        <v>15</v>
      </c>
      <c r="C101" s="14">
        <v>20</v>
      </c>
      <c r="D101" s="14">
        <v>8</v>
      </c>
      <c r="E101" s="14">
        <v>12</v>
      </c>
      <c r="F101" s="14">
        <v>11</v>
      </c>
      <c r="G101" s="14">
        <v>11</v>
      </c>
      <c r="H101" s="14">
        <v>18</v>
      </c>
      <c r="I101" s="14">
        <v>16</v>
      </c>
      <c r="J101" s="14">
        <v>21</v>
      </c>
      <c r="K101" s="14">
        <v>18</v>
      </c>
      <c r="L101" s="14">
        <v>7</v>
      </c>
      <c r="M101" s="14">
        <v>19</v>
      </c>
      <c r="N101" s="14">
        <v>9</v>
      </c>
      <c r="O101" s="14">
        <v>11</v>
      </c>
      <c r="P101" s="14">
        <v>10</v>
      </c>
      <c r="Q101" s="14">
        <v>18</v>
      </c>
      <c r="R101" s="14">
        <v>11</v>
      </c>
      <c r="S101" s="14">
        <v>19</v>
      </c>
      <c r="T101" s="14">
        <v>13</v>
      </c>
      <c r="U101" s="14">
        <v>13</v>
      </c>
      <c r="V101" s="14">
        <v>18</v>
      </c>
      <c r="W101" s="14">
        <v>13</v>
      </c>
      <c r="X101" s="14">
        <v>10</v>
      </c>
      <c r="Y101" s="14">
        <v>13</v>
      </c>
      <c r="Z101" s="14">
        <v>7</v>
      </c>
      <c r="AA101" s="14">
        <v>14</v>
      </c>
      <c r="AB101" s="14">
        <v>12</v>
      </c>
      <c r="AC101" s="14">
        <v>18</v>
      </c>
      <c r="AD101" s="14">
        <v>20</v>
      </c>
      <c r="AE101" s="14">
        <v>17</v>
      </c>
      <c r="AF101" s="214">
        <v>23</v>
      </c>
      <c r="AG101" s="15">
        <f t="shared" si="2"/>
        <v>445</v>
      </c>
    </row>
    <row r="102" spans="1:33" ht="15.75" customHeight="1" x14ac:dyDescent="0.25">
      <c r="A102" s="71" t="s">
        <v>64</v>
      </c>
      <c r="B102" s="13">
        <v>13</v>
      </c>
      <c r="C102" s="14">
        <v>19</v>
      </c>
      <c r="D102" s="14">
        <v>9</v>
      </c>
      <c r="E102" s="14">
        <v>16</v>
      </c>
      <c r="F102" s="14">
        <v>11</v>
      </c>
      <c r="G102" s="14">
        <v>17</v>
      </c>
      <c r="H102" s="14">
        <v>17</v>
      </c>
      <c r="I102" s="14">
        <v>22</v>
      </c>
      <c r="J102" s="14">
        <v>16</v>
      </c>
      <c r="K102" s="14">
        <v>16</v>
      </c>
      <c r="L102" s="14">
        <v>15</v>
      </c>
      <c r="M102" s="14">
        <v>11</v>
      </c>
      <c r="N102" s="14">
        <v>13</v>
      </c>
      <c r="O102" s="14">
        <v>18</v>
      </c>
      <c r="P102" s="14">
        <v>15</v>
      </c>
      <c r="Q102" s="14">
        <v>17</v>
      </c>
      <c r="R102" s="14">
        <v>15</v>
      </c>
      <c r="S102" s="14">
        <v>14</v>
      </c>
      <c r="T102" s="14">
        <v>14</v>
      </c>
      <c r="U102" s="14">
        <v>10</v>
      </c>
      <c r="V102" s="14">
        <v>17</v>
      </c>
      <c r="W102" s="14">
        <v>21</v>
      </c>
      <c r="X102" s="14">
        <v>10</v>
      </c>
      <c r="Y102" s="14">
        <v>11</v>
      </c>
      <c r="Z102" s="14">
        <v>11</v>
      </c>
      <c r="AA102" s="14">
        <v>8</v>
      </c>
      <c r="AB102" s="14">
        <v>16</v>
      </c>
      <c r="AC102" s="14">
        <v>14</v>
      </c>
      <c r="AD102" s="14">
        <v>17</v>
      </c>
      <c r="AE102" s="14">
        <v>14</v>
      </c>
      <c r="AF102" s="214">
        <v>14</v>
      </c>
      <c r="AG102" s="15">
        <f t="shared" si="2"/>
        <v>451</v>
      </c>
    </row>
    <row r="103" spans="1:33" ht="15.75" customHeight="1" x14ac:dyDescent="0.25">
      <c r="A103" s="67" t="s">
        <v>65</v>
      </c>
      <c r="B103" s="13">
        <v>19</v>
      </c>
      <c r="C103" s="14">
        <v>12</v>
      </c>
      <c r="D103" s="14">
        <v>14</v>
      </c>
      <c r="E103" s="14">
        <v>14</v>
      </c>
      <c r="F103" s="14">
        <v>10</v>
      </c>
      <c r="G103" s="14">
        <v>19</v>
      </c>
      <c r="H103" s="14">
        <v>13</v>
      </c>
      <c r="I103" s="14">
        <v>14</v>
      </c>
      <c r="J103" s="14">
        <v>19</v>
      </c>
      <c r="K103" s="14">
        <v>10</v>
      </c>
      <c r="L103" s="14">
        <v>14</v>
      </c>
      <c r="M103" s="14">
        <v>14</v>
      </c>
      <c r="N103" s="14">
        <v>24</v>
      </c>
      <c r="O103" s="14">
        <v>23</v>
      </c>
      <c r="P103" s="14">
        <v>16</v>
      </c>
      <c r="Q103" s="14">
        <v>21</v>
      </c>
      <c r="R103" s="14">
        <v>20</v>
      </c>
      <c r="S103" s="14">
        <v>18</v>
      </c>
      <c r="T103" s="14">
        <v>19</v>
      </c>
      <c r="U103" s="14">
        <v>14</v>
      </c>
      <c r="V103" s="14">
        <v>17</v>
      </c>
      <c r="W103" s="14">
        <v>16</v>
      </c>
      <c r="X103" s="14">
        <v>12</v>
      </c>
      <c r="Y103" s="14">
        <v>17</v>
      </c>
      <c r="Z103" s="14">
        <v>11</v>
      </c>
      <c r="AA103" s="14">
        <v>12</v>
      </c>
      <c r="AB103" s="14">
        <v>13</v>
      </c>
      <c r="AC103" s="14">
        <v>16</v>
      </c>
      <c r="AD103" s="14">
        <v>11</v>
      </c>
      <c r="AE103" s="14">
        <v>11</v>
      </c>
      <c r="AF103" s="214">
        <v>9</v>
      </c>
      <c r="AG103" s="15">
        <f t="shared" si="2"/>
        <v>472</v>
      </c>
    </row>
    <row r="104" spans="1:33" ht="15.75" customHeight="1" x14ac:dyDescent="0.25">
      <c r="A104" s="67" t="s">
        <v>66</v>
      </c>
      <c r="B104" s="13">
        <v>18</v>
      </c>
      <c r="C104" s="14">
        <v>9</v>
      </c>
      <c r="D104" s="14">
        <v>10</v>
      </c>
      <c r="E104" s="14">
        <v>10</v>
      </c>
      <c r="F104" s="14">
        <v>11</v>
      </c>
      <c r="G104" s="14">
        <v>13</v>
      </c>
      <c r="H104" s="14">
        <v>11</v>
      </c>
      <c r="I104" s="14">
        <v>17</v>
      </c>
      <c r="J104" s="14">
        <v>14</v>
      </c>
      <c r="K104" s="14">
        <v>12</v>
      </c>
      <c r="L104" s="14">
        <v>13</v>
      </c>
      <c r="M104" s="14">
        <v>11</v>
      </c>
      <c r="N104" s="14">
        <v>13</v>
      </c>
      <c r="O104" s="14">
        <v>16</v>
      </c>
      <c r="P104" s="14">
        <v>14</v>
      </c>
      <c r="Q104" s="14">
        <v>11</v>
      </c>
      <c r="R104" s="14">
        <v>13</v>
      </c>
      <c r="S104" s="14">
        <v>9</v>
      </c>
      <c r="T104" s="14">
        <v>19</v>
      </c>
      <c r="U104" s="14">
        <v>16</v>
      </c>
      <c r="V104" s="14">
        <v>9</v>
      </c>
      <c r="W104" s="14">
        <v>17</v>
      </c>
      <c r="X104" s="14">
        <v>13</v>
      </c>
      <c r="Y104" s="14">
        <v>11</v>
      </c>
      <c r="Z104" s="14">
        <v>13</v>
      </c>
      <c r="AA104" s="14">
        <v>12</v>
      </c>
      <c r="AB104" s="14">
        <v>8</v>
      </c>
      <c r="AC104" s="14">
        <v>14</v>
      </c>
      <c r="AD104" s="14">
        <v>12</v>
      </c>
      <c r="AE104" s="14">
        <v>11</v>
      </c>
      <c r="AF104" s="214">
        <v>9</v>
      </c>
      <c r="AG104" s="15">
        <f t="shared" si="2"/>
        <v>389</v>
      </c>
    </row>
    <row r="105" spans="1:33" ht="15.75" customHeight="1" x14ac:dyDescent="0.25">
      <c r="A105" s="67" t="s">
        <v>67</v>
      </c>
      <c r="B105" s="13">
        <v>9</v>
      </c>
      <c r="C105" s="14">
        <v>10</v>
      </c>
      <c r="D105" s="14">
        <v>8</v>
      </c>
      <c r="E105" s="14">
        <v>6</v>
      </c>
      <c r="F105" s="14">
        <v>8</v>
      </c>
      <c r="G105" s="14">
        <v>11</v>
      </c>
      <c r="H105" s="14">
        <v>14</v>
      </c>
      <c r="I105" s="14">
        <v>10</v>
      </c>
      <c r="J105" s="14">
        <v>19</v>
      </c>
      <c r="K105" s="14">
        <v>14</v>
      </c>
      <c r="L105" s="14">
        <v>6</v>
      </c>
      <c r="M105" s="14">
        <v>7</v>
      </c>
      <c r="N105" s="14">
        <v>12</v>
      </c>
      <c r="O105" s="14">
        <v>7</v>
      </c>
      <c r="P105" s="14">
        <v>10</v>
      </c>
      <c r="Q105" s="14">
        <v>12</v>
      </c>
      <c r="R105" s="14">
        <v>14</v>
      </c>
      <c r="S105" s="14">
        <v>14</v>
      </c>
      <c r="T105" s="14">
        <v>12</v>
      </c>
      <c r="U105" s="14">
        <v>16</v>
      </c>
      <c r="V105" s="14">
        <v>18</v>
      </c>
      <c r="W105" s="14">
        <v>13</v>
      </c>
      <c r="X105" s="14">
        <v>9</v>
      </c>
      <c r="Y105" s="14">
        <v>16</v>
      </c>
      <c r="Z105" s="14">
        <v>6</v>
      </c>
      <c r="AA105" s="14">
        <v>13</v>
      </c>
      <c r="AB105" s="14">
        <v>13</v>
      </c>
      <c r="AC105" s="14">
        <v>16</v>
      </c>
      <c r="AD105" s="14">
        <v>16</v>
      </c>
      <c r="AE105" s="14">
        <v>14</v>
      </c>
      <c r="AF105" s="214">
        <v>12</v>
      </c>
      <c r="AG105" s="15">
        <f t="shared" si="2"/>
        <v>365</v>
      </c>
    </row>
    <row r="106" spans="1:33" ht="15.75" customHeight="1" x14ac:dyDescent="0.25">
      <c r="A106" s="67" t="s">
        <v>68</v>
      </c>
      <c r="B106" s="13">
        <v>8</v>
      </c>
      <c r="C106" s="14">
        <v>14</v>
      </c>
      <c r="D106" s="14">
        <v>12</v>
      </c>
      <c r="E106" s="14">
        <v>8</v>
      </c>
      <c r="F106" s="14">
        <v>8</v>
      </c>
      <c r="G106" s="14">
        <v>10</v>
      </c>
      <c r="H106" s="14">
        <v>12</v>
      </c>
      <c r="I106" s="14">
        <v>14</v>
      </c>
      <c r="J106" s="14">
        <v>16</v>
      </c>
      <c r="K106" s="14">
        <v>10</v>
      </c>
      <c r="L106" s="14">
        <v>12</v>
      </c>
      <c r="M106" s="14">
        <v>7</v>
      </c>
      <c r="N106" s="14">
        <v>9</v>
      </c>
      <c r="O106" s="14">
        <v>9</v>
      </c>
      <c r="P106" s="14">
        <v>18</v>
      </c>
      <c r="Q106" s="14">
        <v>6</v>
      </c>
      <c r="R106" s="14">
        <v>7</v>
      </c>
      <c r="S106" s="14">
        <v>14</v>
      </c>
      <c r="T106" s="14">
        <v>14</v>
      </c>
      <c r="U106" s="14">
        <v>8</v>
      </c>
      <c r="V106" s="14">
        <v>6</v>
      </c>
      <c r="W106" s="14">
        <v>11</v>
      </c>
      <c r="X106" s="14">
        <v>12</v>
      </c>
      <c r="Y106" s="14">
        <v>13</v>
      </c>
      <c r="Z106" s="14">
        <v>11</v>
      </c>
      <c r="AA106" s="14">
        <v>14</v>
      </c>
      <c r="AB106" s="14">
        <v>10</v>
      </c>
      <c r="AC106" s="14">
        <v>10</v>
      </c>
      <c r="AD106" s="14">
        <v>4</v>
      </c>
      <c r="AE106" s="14">
        <v>17</v>
      </c>
      <c r="AF106" s="214">
        <v>12</v>
      </c>
      <c r="AG106" s="15">
        <f t="shared" si="2"/>
        <v>336</v>
      </c>
    </row>
    <row r="107" spans="1:33" ht="15.75" customHeight="1" x14ac:dyDescent="0.25">
      <c r="A107" s="67" t="s">
        <v>69</v>
      </c>
      <c r="B107" s="13">
        <v>10</v>
      </c>
      <c r="C107" s="14">
        <v>11</v>
      </c>
      <c r="D107" s="14">
        <v>10</v>
      </c>
      <c r="E107" s="14">
        <v>13</v>
      </c>
      <c r="F107" s="14">
        <v>4</v>
      </c>
      <c r="G107" s="14">
        <v>9</v>
      </c>
      <c r="H107" s="14">
        <v>15</v>
      </c>
      <c r="I107" s="14">
        <v>12</v>
      </c>
      <c r="J107" s="14">
        <v>14</v>
      </c>
      <c r="K107" s="14">
        <v>7</v>
      </c>
      <c r="L107" s="14">
        <v>13</v>
      </c>
      <c r="M107" s="14">
        <v>14</v>
      </c>
      <c r="N107" s="14">
        <v>11</v>
      </c>
      <c r="O107" s="14">
        <v>13</v>
      </c>
      <c r="P107" s="14">
        <v>9</v>
      </c>
      <c r="Q107" s="14">
        <v>12</v>
      </c>
      <c r="R107" s="14">
        <v>7</v>
      </c>
      <c r="S107" s="14">
        <v>7</v>
      </c>
      <c r="T107" s="14">
        <v>9</v>
      </c>
      <c r="U107" s="14">
        <v>9</v>
      </c>
      <c r="V107" s="14">
        <v>13</v>
      </c>
      <c r="W107" s="14">
        <v>9</v>
      </c>
      <c r="X107" s="14">
        <v>14</v>
      </c>
      <c r="Y107" s="14">
        <v>5</v>
      </c>
      <c r="Z107" s="14">
        <v>11</v>
      </c>
      <c r="AA107" s="14">
        <v>12</v>
      </c>
      <c r="AB107" s="14">
        <v>9</v>
      </c>
      <c r="AC107" s="14">
        <v>21</v>
      </c>
      <c r="AD107" s="14">
        <v>13</v>
      </c>
      <c r="AE107" s="14">
        <v>8</v>
      </c>
      <c r="AF107" s="214">
        <v>7</v>
      </c>
      <c r="AG107" s="15">
        <f t="shared" si="2"/>
        <v>331</v>
      </c>
    </row>
    <row r="108" spans="1:33" ht="15.75" customHeight="1" x14ac:dyDescent="0.25">
      <c r="A108" s="67" t="s">
        <v>70</v>
      </c>
      <c r="B108" s="13">
        <v>13</v>
      </c>
      <c r="C108" s="14">
        <v>6</v>
      </c>
      <c r="D108" s="14">
        <v>10</v>
      </c>
      <c r="E108" s="14">
        <v>8</v>
      </c>
      <c r="F108" s="14">
        <v>12</v>
      </c>
      <c r="G108" s="14">
        <v>10</v>
      </c>
      <c r="H108" s="14">
        <v>14</v>
      </c>
      <c r="I108" s="14">
        <v>11</v>
      </c>
      <c r="J108" s="14">
        <v>15</v>
      </c>
      <c r="K108" s="14">
        <v>18</v>
      </c>
      <c r="L108" s="14">
        <v>17</v>
      </c>
      <c r="M108" s="14">
        <v>11</v>
      </c>
      <c r="N108" s="14">
        <v>12</v>
      </c>
      <c r="O108" s="14">
        <v>20</v>
      </c>
      <c r="P108" s="14">
        <v>13</v>
      </c>
      <c r="Q108" s="14">
        <v>14</v>
      </c>
      <c r="R108" s="14">
        <v>10</v>
      </c>
      <c r="S108" s="14">
        <v>12</v>
      </c>
      <c r="T108" s="14">
        <v>14</v>
      </c>
      <c r="U108" s="14">
        <v>19</v>
      </c>
      <c r="V108" s="14">
        <v>10</v>
      </c>
      <c r="W108" s="14">
        <v>21</v>
      </c>
      <c r="X108" s="14">
        <v>12</v>
      </c>
      <c r="Y108" s="14">
        <v>9</v>
      </c>
      <c r="Z108" s="14">
        <v>15</v>
      </c>
      <c r="AA108" s="14">
        <v>20</v>
      </c>
      <c r="AB108" s="14">
        <v>13</v>
      </c>
      <c r="AC108" s="14">
        <v>16</v>
      </c>
      <c r="AD108" s="14">
        <v>16</v>
      </c>
      <c r="AE108" s="14">
        <v>13</v>
      </c>
      <c r="AF108" s="214">
        <v>11</v>
      </c>
      <c r="AG108" s="15">
        <f t="shared" si="2"/>
        <v>415</v>
      </c>
    </row>
    <row r="109" spans="1:33" ht="15.75" customHeight="1" x14ac:dyDescent="0.25">
      <c r="A109" s="67" t="s">
        <v>71</v>
      </c>
      <c r="B109" s="13">
        <v>16</v>
      </c>
      <c r="C109" s="14">
        <v>15</v>
      </c>
      <c r="D109" s="14">
        <v>18</v>
      </c>
      <c r="E109" s="14">
        <v>12</v>
      </c>
      <c r="F109" s="14">
        <v>12</v>
      </c>
      <c r="G109" s="14">
        <v>14</v>
      </c>
      <c r="H109" s="14">
        <v>10</v>
      </c>
      <c r="I109" s="14">
        <v>10</v>
      </c>
      <c r="J109" s="14">
        <v>12</v>
      </c>
      <c r="K109" s="14">
        <v>5</v>
      </c>
      <c r="L109" s="14">
        <v>17</v>
      </c>
      <c r="M109" s="14">
        <v>8</v>
      </c>
      <c r="N109" s="14">
        <v>13</v>
      </c>
      <c r="O109" s="14">
        <v>12</v>
      </c>
      <c r="P109" s="14">
        <v>11</v>
      </c>
      <c r="Q109" s="14">
        <v>14</v>
      </c>
      <c r="R109" s="14">
        <v>12</v>
      </c>
      <c r="S109" s="14">
        <v>14</v>
      </c>
      <c r="T109" s="14">
        <v>12</v>
      </c>
      <c r="U109" s="14">
        <v>20</v>
      </c>
      <c r="V109" s="14">
        <v>17</v>
      </c>
      <c r="W109" s="14">
        <v>16</v>
      </c>
      <c r="X109" s="14">
        <v>15</v>
      </c>
      <c r="Y109" s="14">
        <v>14</v>
      </c>
      <c r="Z109" s="14">
        <v>15</v>
      </c>
      <c r="AA109" s="14">
        <v>6</v>
      </c>
      <c r="AB109" s="14">
        <v>13</v>
      </c>
      <c r="AC109" s="14">
        <v>8</v>
      </c>
      <c r="AD109" s="14">
        <v>11</v>
      </c>
      <c r="AE109" s="14">
        <v>12</v>
      </c>
      <c r="AF109" s="214">
        <v>11</v>
      </c>
      <c r="AG109" s="15">
        <f t="shared" si="2"/>
        <v>395</v>
      </c>
    </row>
    <row r="110" spans="1:33" ht="15.75" customHeight="1" x14ac:dyDescent="0.25">
      <c r="A110" s="67" t="s">
        <v>72</v>
      </c>
      <c r="B110" s="13">
        <v>11</v>
      </c>
      <c r="C110" s="14">
        <v>12</v>
      </c>
      <c r="D110" s="14">
        <v>9</v>
      </c>
      <c r="E110" s="14">
        <v>10</v>
      </c>
      <c r="F110" s="14">
        <v>10</v>
      </c>
      <c r="G110" s="14">
        <v>9</v>
      </c>
      <c r="H110" s="14">
        <v>14</v>
      </c>
      <c r="I110" s="14">
        <v>12</v>
      </c>
      <c r="J110" s="14">
        <v>9</v>
      </c>
      <c r="K110" s="14">
        <v>12</v>
      </c>
      <c r="L110" s="14">
        <v>6</v>
      </c>
      <c r="M110" s="14">
        <v>9</v>
      </c>
      <c r="N110" s="14">
        <v>15</v>
      </c>
      <c r="O110" s="14">
        <v>13</v>
      </c>
      <c r="P110" s="14">
        <v>20</v>
      </c>
      <c r="Q110" s="14">
        <v>9</v>
      </c>
      <c r="R110" s="14">
        <v>11</v>
      </c>
      <c r="S110" s="14">
        <v>8</v>
      </c>
      <c r="T110" s="14">
        <v>13</v>
      </c>
      <c r="U110" s="14">
        <v>6</v>
      </c>
      <c r="V110" s="14">
        <v>12</v>
      </c>
      <c r="W110" s="14">
        <v>9</v>
      </c>
      <c r="X110" s="14">
        <v>14</v>
      </c>
      <c r="Y110" s="14">
        <v>13</v>
      </c>
      <c r="Z110" s="14">
        <v>14</v>
      </c>
      <c r="AA110" s="14">
        <v>10</v>
      </c>
      <c r="AB110" s="14">
        <v>8</v>
      </c>
      <c r="AC110" s="14">
        <v>8</v>
      </c>
      <c r="AD110" s="14">
        <v>9</v>
      </c>
      <c r="AE110" s="14">
        <v>10</v>
      </c>
      <c r="AF110" s="214">
        <v>10</v>
      </c>
      <c r="AG110" s="15">
        <f t="shared" si="2"/>
        <v>335</v>
      </c>
    </row>
    <row r="111" spans="1:33" ht="15.75" customHeight="1" x14ac:dyDescent="0.25">
      <c r="A111" s="67" t="s">
        <v>73</v>
      </c>
      <c r="B111" s="13">
        <v>9</v>
      </c>
      <c r="C111" s="14">
        <v>10</v>
      </c>
      <c r="D111" s="14">
        <v>8</v>
      </c>
      <c r="E111" s="14">
        <v>16</v>
      </c>
      <c r="F111" s="14">
        <v>10</v>
      </c>
      <c r="G111" s="14">
        <v>9</v>
      </c>
      <c r="H111" s="14">
        <v>10</v>
      </c>
      <c r="I111" s="14">
        <v>11</v>
      </c>
      <c r="J111" s="14">
        <v>9</v>
      </c>
      <c r="K111" s="14">
        <v>13</v>
      </c>
      <c r="L111" s="14">
        <v>4</v>
      </c>
      <c r="M111" s="14">
        <v>6</v>
      </c>
      <c r="N111" s="14">
        <v>10</v>
      </c>
      <c r="O111" s="14">
        <v>13</v>
      </c>
      <c r="P111" s="14">
        <v>8</v>
      </c>
      <c r="Q111" s="14">
        <v>8</v>
      </c>
      <c r="R111" s="14">
        <v>8</v>
      </c>
      <c r="S111" s="14">
        <v>11</v>
      </c>
      <c r="T111" s="14">
        <v>16</v>
      </c>
      <c r="U111" s="14">
        <v>10</v>
      </c>
      <c r="V111" s="14">
        <v>14</v>
      </c>
      <c r="W111" s="14">
        <v>9</v>
      </c>
      <c r="X111" s="14">
        <v>6</v>
      </c>
      <c r="Y111" s="14">
        <v>14</v>
      </c>
      <c r="Z111" s="14">
        <v>9</v>
      </c>
      <c r="AA111" s="14">
        <v>11</v>
      </c>
      <c r="AB111" s="14">
        <v>17</v>
      </c>
      <c r="AC111" s="14">
        <v>6</v>
      </c>
      <c r="AD111" s="14">
        <v>5</v>
      </c>
      <c r="AE111" s="14">
        <v>8</v>
      </c>
      <c r="AF111" s="214">
        <v>10</v>
      </c>
      <c r="AG111" s="15">
        <f t="shared" si="2"/>
        <v>308</v>
      </c>
    </row>
    <row r="112" spans="1:33" ht="15.75" customHeight="1" x14ac:dyDescent="0.25">
      <c r="A112" s="67" t="s">
        <v>74</v>
      </c>
      <c r="B112" s="13">
        <v>9</v>
      </c>
      <c r="C112" s="14">
        <v>5</v>
      </c>
      <c r="D112" s="14">
        <v>8</v>
      </c>
      <c r="E112" s="14">
        <v>10</v>
      </c>
      <c r="F112" s="14">
        <v>6</v>
      </c>
      <c r="G112" s="14">
        <v>7</v>
      </c>
      <c r="H112" s="14">
        <v>13</v>
      </c>
      <c r="I112" s="14">
        <v>7</v>
      </c>
      <c r="J112" s="14">
        <v>7</v>
      </c>
      <c r="K112" s="14">
        <v>4</v>
      </c>
      <c r="L112" s="14">
        <v>3</v>
      </c>
      <c r="M112" s="14">
        <v>10</v>
      </c>
      <c r="N112" s="14">
        <v>4</v>
      </c>
      <c r="O112" s="14">
        <v>15</v>
      </c>
      <c r="P112" s="14">
        <v>9</v>
      </c>
      <c r="Q112" s="14">
        <v>4</v>
      </c>
      <c r="R112" s="14">
        <v>4</v>
      </c>
      <c r="S112" s="14">
        <v>9</v>
      </c>
      <c r="T112" s="14">
        <v>8</v>
      </c>
      <c r="U112" s="14">
        <v>5</v>
      </c>
      <c r="V112" s="14">
        <v>9</v>
      </c>
      <c r="W112" s="14">
        <v>4</v>
      </c>
      <c r="X112" s="14">
        <v>12</v>
      </c>
      <c r="Y112" s="14">
        <v>4</v>
      </c>
      <c r="Z112" s="14">
        <v>9</v>
      </c>
      <c r="AA112" s="14">
        <v>13</v>
      </c>
      <c r="AB112" s="14">
        <v>9</v>
      </c>
      <c r="AC112" s="14">
        <v>6</v>
      </c>
      <c r="AD112" s="14">
        <v>7</v>
      </c>
      <c r="AE112" s="14">
        <v>8</v>
      </c>
      <c r="AF112" s="214">
        <v>5</v>
      </c>
      <c r="AG112" s="15">
        <f t="shared" si="2"/>
        <v>233</v>
      </c>
    </row>
    <row r="113" spans="1:33" ht="15.75" customHeight="1" x14ac:dyDescent="0.25">
      <c r="A113" s="67" t="s">
        <v>75</v>
      </c>
      <c r="B113" s="13">
        <v>9</v>
      </c>
      <c r="C113" s="14">
        <v>3</v>
      </c>
      <c r="D113" s="14">
        <v>6</v>
      </c>
      <c r="E113" s="14">
        <v>5</v>
      </c>
      <c r="F113" s="14">
        <v>8</v>
      </c>
      <c r="G113" s="14">
        <v>4</v>
      </c>
      <c r="H113" s="14">
        <v>6</v>
      </c>
      <c r="I113" s="14">
        <v>8</v>
      </c>
      <c r="J113" s="14">
        <v>2</v>
      </c>
      <c r="K113" s="14">
        <v>6</v>
      </c>
      <c r="L113" s="14">
        <v>5</v>
      </c>
      <c r="M113" s="14">
        <v>7</v>
      </c>
      <c r="N113" s="14">
        <v>6</v>
      </c>
      <c r="O113" s="14">
        <v>7</v>
      </c>
      <c r="P113" s="14">
        <v>6</v>
      </c>
      <c r="Q113" s="14">
        <v>8</v>
      </c>
      <c r="R113" s="14">
        <v>12</v>
      </c>
      <c r="S113" s="14">
        <v>6</v>
      </c>
      <c r="T113" s="14">
        <v>7</v>
      </c>
      <c r="U113" s="14">
        <v>7</v>
      </c>
      <c r="V113" s="14">
        <v>4</v>
      </c>
      <c r="W113" s="14">
        <v>7</v>
      </c>
      <c r="X113" s="14">
        <v>9</v>
      </c>
      <c r="Y113" s="14">
        <v>7</v>
      </c>
      <c r="Z113" s="14">
        <v>10</v>
      </c>
      <c r="AA113" s="14">
        <v>8</v>
      </c>
      <c r="AB113" s="14">
        <v>10</v>
      </c>
      <c r="AC113" s="14">
        <v>3</v>
      </c>
      <c r="AD113" s="14">
        <v>8</v>
      </c>
      <c r="AE113" s="14">
        <v>9</v>
      </c>
      <c r="AF113" s="214">
        <v>3</v>
      </c>
      <c r="AG113" s="15">
        <f t="shared" si="2"/>
        <v>206</v>
      </c>
    </row>
    <row r="114" spans="1:33" ht="15.75" customHeight="1" x14ac:dyDescent="0.25">
      <c r="A114" s="67" t="s">
        <v>76</v>
      </c>
      <c r="B114" s="13">
        <v>8</v>
      </c>
      <c r="C114" s="14">
        <v>5</v>
      </c>
      <c r="D114" s="14">
        <v>12</v>
      </c>
      <c r="E114" s="14">
        <v>10</v>
      </c>
      <c r="F114" s="14">
        <v>5</v>
      </c>
      <c r="G114" s="14">
        <v>6</v>
      </c>
      <c r="H114" s="14">
        <v>3</v>
      </c>
      <c r="I114" s="14">
        <v>7</v>
      </c>
      <c r="J114" s="14">
        <v>9</v>
      </c>
      <c r="K114" s="14">
        <v>9</v>
      </c>
      <c r="L114" s="14">
        <v>9</v>
      </c>
      <c r="M114" s="14">
        <v>10</v>
      </c>
      <c r="N114" s="14">
        <v>10</v>
      </c>
      <c r="O114" s="14">
        <v>10</v>
      </c>
      <c r="P114" s="14">
        <v>13</v>
      </c>
      <c r="Q114" s="14">
        <v>4</v>
      </c>
      <c r="R114" s="14">
        <v>10</v>
      </c>
      <c r="S114" s="14">
        <v>10</v>
      </c>
      <c r="T114" s="14">
        <v>10</v>
      </c>
      <c r="U114" s="14">
        <v>4</v>
      </c>
      <c r="V114" s="14">
        <v>6</v>
      </c>
      <c r="W114" s="14">
        <v>10</v>
      </c>
      <c r="X114" s="14">
        <v>9</v>
      </c>
      <c r="Y114" s="14">
        <v>5</v>
      </c>
      <c r="Z114" s="14">
        <v>11</v>
      </c>
      <c r="AA114" s="14">
        <v>12</v>
      </c>
      <c r="AB114" s="14">
        <v>8</v>
      </c>
      <c r="AC114" s="14">
        <v>9</v>
      </c>
      <c r="AD114" s="14">
        <v>7</v>
      </c>
      <c r="AE114" s="14">
        <v>8</v>
      </c>
      <c r="AF114" s="214">
        <v>16</v>
      </c>
      <c r="AG114" s="15">
        <f t="shared" si="2"/>
        <v>265</v>
      </c>
    </row>
    <row r="115" spans="1:33" ht="15.75" customHeight="1" thickBot="1" x14ac:dyDescent="0.3">
      <c r="A115" s="72"/>
      <c r="B115" s="37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224"/>
      <c r="AG115" s="15">
        <f t="shared" si="2"/>
        <v>0</v>
      </c>
    </row>
    <row r="116" spans="1:33" ht="15.75" customHeight="1" x14ac:dyDescent="0.25">
      <c r="A116" s="60" t="s">
        <v>77</v>
      </c>
      <c r="B116" s="61">
        <f t="shared" ref="B116:AF116" si="15">SUM(B117:B129)</f>
        <v>73</v>
      </c>
      <c r="C116" s="62">
        <f t="shared" si="15"/>
        <v>48</v>
      </c>
      <c r="D116" s="62">
        <f t="shared" si="15"/>
        <v>70</v>
      </c>
      <c r="E116" s="62">
        <f t="shared" si="15"/>
        <v>50</v>
      </c>
      <c r="F116" s="62">
        <f t="shared" si="15"/>
        <v>38</v>
      </c>
      <c r="G116" s="62">
        <f t="shared" si="15"/>
        <v>18</v>
      </c>
      <c r="H116" s="62">
        <f t="shared" si="15"/>
        <v>78</v>
      </c>
      <c r="I116" s="62">
        <f t="shared" si="15"/>
        <v>70</v>
      </c>
      <c r="J116" s="62">
        <f t="shared" si="15"/>
        <v>68</v>
      </c>
      <c r="K116" s="62">
        <f t="shared" si="15"/>
        <v>63</v>
      </c>
      <c r="L116" s="62">
        <f t="shared" si="15"/>
        <v>62</v>
      </c>
      <c r="M116" s="62">
        <f t="shared" si="15"/>
        <v>50</v>
      </c>
      <c r="N116" s="62">
        <f t="shared" si="15"/>
        <v>34</v>
      </c>
      <c r="O116" s="62">
        <f t="shared" si="15"/>
        <v>92</v>
      </c>
      <c r="P116" s="62">
        <f t="shared" si="15"/>
        <v>71</v>
      </c>
      <c r="Q116" s="62">
        <f t="shared" si="15"/>
        <v>56</v>
      </c>
      <c r="R116" s="62">
        <f t="shared" si="15"/>
        <v>59</v>
      </c>
      <c r="S116" s="62">
        <f t="shared" si="15"/>
        <v>64</v>
      </c>
      <c r="T116" s="62">
        <f t="shared" si="15"/>
        <v>69</v>
      </c>
      <c r="U116" s="62">
        <f t="shared" si="15"/>
        <v>46</v>
      </c>
      <c r="V116" s="62">
        <f t="shared" si="15"/>
        <v>63</v>
      </c>
      <c r="W116" s="62">
        <f t="shared" si="15"/>
        <v>63</v>
      </c>
      <c r="X116" s="62">
        <f t="shared" si="15"/>
        <v>54</v>
      </c>
      <c r="Y116" s="62">
        <f t="shared" si="15"/>
        <v>59</v>
      </c>
      <c r="Z116" s="62">
        <f t="shared" si="15"/>
        <v>41</v>
      </c>
      <c r="AA116" s="62">
        <f t="shared" si="15"/>
        <v>73</v>
      </c>
      <c r="AB116" s="62">
        <f t="shared" si="15"/>
        <v>66</v>
      </c>
      <c r="AC116" s="62">
        <f t="shared" si="15"/>
        <v>76</v>
      </c>
      <c r="AD116" s="62">
        <f t="shared" si="15"/>
        <v>43</v>
      </c>
      <c r="AE116" s="62">
        <f t="shared" si="15"/>
        <v>49</v>
      </c>
      <c r="AF116" s="221">
        <f t="shared" si="15"/>
        <v>49</v>
      </c>
      <c r="AG116" s="15">
        <f t="shared" si="2"/>
        <v>1815</v>
      </c>
    </row>
    <row r="117" spans="1:33" ht="15.75" customHeight="1" x14ac:dyDescent="0.25">
      <c r="A117" s="73" t="s">
        <v>78</v>
      </c>
      <c r="B117" s="13">
        <v>59</v>
      </c>
      <c r="C117" s="14">
        <v>35</v>
      </c>
      <c r="D117" s="14">
        <v>58</v>
      </c>
      <c r="E117" s="14">
        <v>41</v>
      </c>
      <c r="F117" s="14">
        <v>30</v>
      </c>
      <c r="G117" s="14">
        <v>13</v>
      </c>
      <c r="H117" s="14">
        <v>60</v>
      </c>
      <c r="I117" s="14">
        <v>56</v>
      </c>
      <c r="J117" s="14">
        <v>52</v>
      </c>
      <c r="K117" s="14">
        <v>54</v>
      </c>
      <c r="L117" s="14">
        <v>53</v>
      </c>
      <c r="M117" s="14">
        <v>33</v>
      </c>
      <c r="N117" s="14">
        <v>26</v>
      </c>
      <c r="O117" s="14">
        <v>71</v>
      </c>
      <c r="P117" s="14">
        <v>52</v>
      </c>
      <c r="Q117" s="14">
        <v>40</v>
      </c>
      <c r="R117" s="14">
        <v>47</v>
      </c>
      <c r="S117" s="14">
        <v>43</v>
      </c>
      <c r="T117" s="14">
        <v>47</v>
      </c>
      <c r="U117" s="14">
        <v>36</v>
      </c>
      <c r="V117" s="14">
        <v>52</v>
      </c>
      <c r="W117" s="14">
        <v>53</v>
      </c>
      <c r="X117" s="14">
        <v>47</v>
      </c>
      <c r="Y117" s="14">
        <v>40</v>
      </c>
      <c r="Z117" s="14">
        <v>31</v>
      </c>
      <c r="AA117" s="14">
        <v>48</v>
      </c>
      <c r="AB117" s="14">
        <v>54</v>
      </c>
      <c r="AC117" s="14">
        <v>62</v>
      </c>
      <c r="AD117" s="14">
        <v>31</v>
      </c>
      <c r="AE117" s="14">
        <v>33</v>
      </c>
      <c r="AF117" s="214">
        <v>42</v>
      </c>
      <c r="AG117" s="15">
        <f t="shared" si="2"/>
        <v>1399</v>
      </c>
    </row>
    <row r="118" spans="1:33" ht="19.5" hidden="1" customHeight="1" x14ac:dyDescent="0.25">
      <c r="A118" s="73" t="s">
        <v>79</v>
      </c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214"/>
      <c r="AG118" s="15">
        <f t="shared" si="2"/>
        <v>0</v>
      </c>
    </row>
    <row r="119" spans="1:33" ht="19.5" hidden="1" customHeight="1" x14ac:dyDescent="0.25">
      <c r="A119" s="73" t="s">
        <v>80</v>
      </c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214"/>
      <c r="AG119" s="15">
        <f t="shared" si="2"/>
        <v>0</v>
      </c>
    </row>
    <row r="120" spans="1:33" ht="19.5" hidden="1" customHeight="1" x14ac:dyDescent="0.25">
      <c r="A120" s="73" t="s">
        <v>81</v>
      </c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214"/>
      <c r="AG120" s="15">
        <f t="shared" si="2"/>
        <v>0</v>
      </c>
    </row>
    <row r="121" spans="1:33" ht="19.5" hidden="1" customHeight="1" x14ac:dyDescent="0.25">
      <c r="A121" s="73" t="s">
        <v>82</v>
      </c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214"/>
      <c r="AG121" s="15">
        <f t="shared" si="2"/>
        <v>0</v>
      </c>
    </row>
    <row r="122" spans="1:33" ht="19.5" hidden="1" customHeight="1" x14ac:dyDescent="0.25">
      <c r="A122" s="73" t="s">
        <v>83</v>
      </c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214"/>
      <c r="AG122" s="15">
        <f t="shared" si="2"/>
        <v>0</v>
      </c>
    </row>
    <row r="123" spans="1:33" ht="19.5" hidden="1" customHeight="1" x14ac:dyDescent="0.25">
      <c r="A123" s="73" t="s">
        <v>84</v>
      </c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214"/>
      <c r="AG123" s="15">
        <f t="shared" si="2"/>
        <v>0</v>
      </c>
    </row>
    <row r="124" spans="1:33" ht="19.5" hidden="1" customHeight="1" x14ac:dyDescent="0.25">
      <c r="A124" s="73" t="s">
        <v>85</v>
      </c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214"/>
      <c r="AG124" s="15">
        <f t="shared" si="2"/>
        <v>0</v>
      </c>
    </row>
    <row r="125" spans="1:33" ht="19.5" hidden="1" customHeight="1" x14ac:dyDescent="0.25">
      <c r="A125" s="12" t="s">
        <v>86</v>
      </c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214"/>
      <c r="AG125" s="15">
        <f t="shared" si="2"/>
        <v>0</v>
      </c>
    </row>
    <row r="126" spans="1:33" ht="19.5" hidden="1" customHeight="1" x14ac:dyDescent="0.25">
      <c r="A126" s="12" t="s">
        <v>87</v>
      </c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214"/>
      <c r="AG126" s="15">
        <f t="shared" si="2"/>
        <v>0</v>
      </c>
    </row>
    <row r="127" spans="1:33" ht="19.5" hidden="1" customHeight="1" x14ac:dyDescent="0.25">
      <c r="A127" s="12" t="s">
        <v>88</v>
      </c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214"/>
      <c r="AG127" s="15">
        <f t="shared" si="2"/>
        <v>0</v>
      </c>
    </row>
    <row r="128" spans="1:33" ht="19.5" hidden="1" customHeight="1" x14ac:dyDescent="0.25">
      <c r="A128" s="73" t="s">
        <v>89</v>
      </c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214"/>
      <c r="AG128" s="15">
        <f t="shared" si="2"/>
        <v>0</v>
      </c>
    </row>
    <row r="129" spans="1:35" ht="15.75" customHeight="1" thickBot="1" x14ac:dyDescent="0.3">
      <c r="A129" s="74" t="s">
        <v>90</v>
      </c>
      <c r="B129" s="75">
        <f>12+2</f>
        <v>14</v>
      </c>
      <c r="C129" s="76">
        <f>10+3</f>
        <v>13</v>
      </c>
      <c r="D129" s="76">
        <f>1+9+2</f>
        <v>12</v>
      </c>
      <c r="E129" s="76">
        <f>7+2</f>
        <v>9</v>
      </c>
      <c r="F129" s="76">
        <f>6+2</f>
        <v>8</v>
      </c>
      <c r="G129" s="76">
        <v>5</v>
      </c>
      <c r="H129" s="76">
        <v>18</v>
      </c>
      <c r="I129" s="76">
        <v>14</v>
      </c>
      <c r="J129" s="76">
        <v>16</v>
      </c>
      <c r="K129" s="76">
        <v>9</v>
      </c>
      <c r="L129" s="76">
        <v>9</v>
      </c>
      <c r="M129" s="76">
        <v>17</v>
      </c>
      <c r="N129" s="76">
        <v>8</v>
      </c>
      <c r="O129" s="76">
        <v>21</v>
      </c>
      <c r="P129" s="76">
        <v>19</v>
      </c>
      <c r="Q129" s="76">
        <v>16</v>
      </c>
      <c r="R129" s="76">
        <v>12</v>
      </c>
      <c r="S129" s="76">
        <v>21</v>
      </c>
      <c r="T129" s="76">
        <v>22</v>
      </c>
      <c r="U129" s="76">
        <v>10</v>
      </c>
      <c r="V129" s="76">
        <v>11</v>
      </c>
      <c r="W129" s="76">
        <v>10</v>
      </c>
      <c r="X129" s="76">
        <v>7</v>
      </c>
      <c r="Y129" s="76">
        <v>19</v>
      </c>
      <c r="Z129" s="76">
        <v>10</v>
      </c>
      <c r="AA129" s="76">
        <v>25</v>
      </c>
      <c r="AB129" s="76">
        <v>12</v>
      </c>
      <c r="AC129" s="76">
        <v>14</v>
      </c>
      <c r="AD129" s="76">
        <v>12</v>
      </c>
      <c r="AE129" s="76">
        <v>16</v>
      </c>
      <c r="AF129" s="225">
        <v>7</v>
      </c>
      <c r="AG129" s="15">
        <f t="shared" si="2"/>
        <v>416</v>
      </c>
    </row>
    <row r="130" spans="1:35" ht="15.75" customHeight="1" x14ac:dyDescent="0.25">
      <c r="A130" s="60" t="s">
        <v>91</v>
      </c>
      <c r="B130" s="61">
        <f t="shared" ref="B130:AF130" si="16">SUM(B131:B143)</f>
        <v>200</v>
      </c>
      <c r="C130" s="62">
        <f t="shared" si="16"/>
        <v>183</v>
      </c>
      <c r="D130" s="62">
        <f t="shared" si="16"/>
        <v>178</v>
      </c>
      <c r="E130" s="62">
        <f t="shared" si="16"/>
        <v>180</v>
      </c>
      <c r="F130" s="62">
        <f t="shared" si="16"/>
        <v>140</v>
      </c>
      <c r="G130" s="62">
        <f t="shared" si="16"/>
        <v>194</v>
      </c>
      <c r="H130" s="62">
        <f t="shared" si="16"/>
        <v>208</v>
      </c>
      <c r="I130" s="62">
        <f t="shared" si="16"/>
        <v>227</v>
      </c>
      <c r="J130" s="62">
        <f t="shared" si="16"/>
        <v>233</v>
      </c>
      <c r="K130" s="62">
        <f t="shared" si="16"/>
        <v>182</v>
      </c>
      <c r="L130" s="62">
        <f t="shared" si="16"/>
        <v>169</v>
      </c>
      <c r="M130" s="62">
        <f t="shared" si="16"/>
        <v>179</v>
      </c>
      <c r="N130" s="62">
        <f t="shared" si="16"/>
        <v>198</v>
      </c>
      <c r="O130" s="62">
        <f t="shared" si="16"/>
        <v>218</v>
      </c>
      <c r="P130" s="62">
        <f t="shared" si="16"/>
        <v>226</v>
      </c>
      <c r="Q130" s="62">
        <f t="shared" si="16"/>
        <v>194</v>
      </c>
      <c r="R130" s="62">
        <f t="shared" si="16"/>
        <v>192</v>
      </c>
      <c r="S130" s="62">
        <f t="shared" si="16"/>
        <v>203</v>
      </c>
      <c r="T130" s="62">
        <f t="shared" si="16"/>
        <v>217</v>
      </c>
      <c r="U130" s="62">
        <f t="shared" si="16"/>
        <v>187</v>
      </c>
      <c r="V130" s="62">
        <f t="shared" si="16"/>
        <v>210</v>
      </c>
      <c r="W130" s="62">
        <f t="shared" si="16"/>
        <v>209</v>
      </c>
      <c r="X130" s="62">
        <f t="shared" si="16"/>
        <v>192</v>
      </c>
      <c r="Y130" s="62">
        <f t="shared" si="16"/>
        <v>193</v>
      </c>
      <c r="Z130" s="62">
        <f t="shared" si="16"/>
        <v>176</v>
      </c>
      <c r="AA130" s="62">
        <f t="shared" si="16"/>
        <v>192</v>
      </c>
      <c r="AB130" s="62">
        <f t="shared" si="16"/>
        <v>198</v>
      </c>
      <c r="AC130" s="62">
        <f t="shared" si="16"/>
        <v>213</v>
      </c>
      <c r="AD130" s="62">
        <f t="shared" si="16"/>
        <v>202</v>
      </c>
      <c r="AE130" s="62">
        <f t="shared" si="16"/>
        <v>198</v>
      </c>
      <c r="AF130" s="221">
        <f t="shared" si="16"/>
        <v>189</v>
      </c>
      <c r="AG130" s="22">
        <f t="shared" si="2"/>
        <v>6080</v>
      </c>
      <c r="AH130" s="77" t="str">
        <f>IF(AG130&lt;&gt;AG93,"*","")</f>
        <v/>
      </c>
    </row>
    <row r="131" spans="1:35" ht="15.75" customHeight="1" x14ac:dyDescent="0.25">
      <c r="A131" s="73" t="s">
        <v>78</v>
      </c>
      <c r="B131" s="13">
        <v>55</v>
      </c>
      <c r="C131" s="14">
        <v>32</v>
      </c>
      <c r="D131" s="14">
        <v>49</v>
      </c>
      <c r="E131" s="14">
        <v>39</v>
      </c>
      <c r="F131" s="14">
        <v>30</v>
      </c>
      <c r="G131" s="14">
        <v>12</v>
      </c>
      <c r="H131" s="14">
        <v>51</v>
      </c>
      <c r="I131" s="14">
        <v>52</v>
      </c>
      <c r="J131" s="14">
        <v>51</v>
      </c>
      <c r="K131" s="14">
        <v>40</v>
      </c>
      <c r="L131" s="14">
        <v>43</v>
      </c>
      <c r="M131" s="14">
        <v>30</v>
      </c>
      <c r="N131" s="14">
        <v>26</v>
      </c>
      <c r="O131" s="14">
        <v>60</v>
      </c>
      <c r="P131" s="14">
        <v>51</v>
      </c>
      <c r="Q131" s="14">
        <v>33</v>
      </c>
      <c r="R131" s="14">
        <v>39</v>
      </c>
      <c r="S131" s="14">
        <v>39</v>
      </c>
      <c r="T131" s="14">
        <v>47</v>
      </c>
      <c r="U131" s="14">
        <v>36</v>
      </c>
      <c r="V131" s="14">
        <v>46</v>
      </c>
      <c r="W131" s="14">
        <v>48</v>
      </c>
      <c r="X131" s="14">
        <v>35</v>
      </c>
      <c r="Y131" s="14">
        <v>36</v>
      </c>
      <c r="Z131" s="14">
        <v>27</v>
      </c>
      <c r="AA131" s="14">
        <v>47</v>
      </c>
      <c r="AB131" s="14">
        <v>52</v>
      </c>
      <c r="AC131" s="14">
        <v>60</v>
      </c>
      <c r="AD131" s="14">
        <v>28</v>
      </c>
      <c r="AE131" s="14">
        <v>30</v>
      </c>
      <c r="AF131" s="214">
        <v>37</v>
      </c>
      <c r="AG131" s="15">
        <f t="shared" si="2"/>
        <v>1261</v>
      </c>
    </row>
    <row r="132" spans="1:35" ht="15.75" customHeight="1" x14ac:dyDescent="0.25">
      <c r="A132" s="73" t="s">
        <v>79</v>
      </c>
      <c r="B132" s="13">
        <v>10</v>
      </c>
      <c r="C132" s="14">
        <v>8</v>
      </c>
      <c r="D132" s="14">
        <v>5</v>
      </c>
      <c r="E132" s="14">
        <v>8</v>
      </c>
      <c r="F132" s="14">
        <v>11</v>
      </c>
      <c r="G132" s="14">
        <v>1</v>
      </c>
      <c r="H132" s="14">
        <v>11</v>
      </c>
      <c r="I132" s="14">
        <v>9</v>
      </c>
      <c r="J132" s="14">
        <v>9</v>
      </c>
      <c r="K132" s="14">
        <v>10</v>
      </c>
      <c r="L132" s="14">
        <v>9</v>
      </c>
      <c r="M132" s="14">
        <v>8</v>
      </c>
      <c r="N132" s="14">
        <v>3</v>
      </c>
      <c r="O132" s="14">
        <v>10</v>
      </c>
      <c r="P132" s="14">
        <v>11</v>
      </c>
      <c r="Q132" s="14">
        <v>7</v>
      </c>
      <c r="R132" s="14">
        <v>7</v>
      </c>
      <c r="S132" s="14">
        <v>9</v>
      </c>
      <c r="T132" s="14">
        <v>2</v>
      </c>
      <c r="U132" s="14">
        <v>10</v>
      </c>
      <c r="V132" s="14">
        <v>11</v>
      </c>
      <c r="W132" s="14">
        <v>14</v>
      </c>
      <c r="X132" s="14">
        <v>6</v>
      </c>
      <c r="Y132" s="14">
        <v>8</v>
      </c>
      <c r="Z132" s="14">
        <v>11</v>
      </c>
      <c r="AA132" s="14">
        <v>5</v>
      </c>
      <c r="AB132" s="14">
        <v>13</v>
      </c>
      <c r="AC132" s="14">
        <v>6</v>
      </c>
      <c r="AD132" s="14">
        <v>11</v>
      </c>
      <c r="AE132" s="14">
        <v>7</v>
      </c>
      <c r="AF132" s="214">
        <v>6</v>
      </c>
      <c r="AG132" s="15">
        <f t="shared" si="2"/>
        <v>256</v>
      </c>
    </row>
    <row r="133" spans="1:35" ht="15.75" customHeight="1" x14ac:dyDescent="0.25">
      <c r="A133" s="73" t="s">
        <v>80</v>
      </c>
      <c r="B133" s="13">
        <v>7</v>
      </c>
      <c r="C133" s="14">
        <v>11</v>
      </c>
      <c r="D133" s="14">
        <v>10</v>
      </c>
      <c r="E133" s="14">
        <v>5</v>
      </c>
      <c r="F133" s="14">
        <v>3</v>
      </c>
      <c r="G133" s="14">
        <v>2</v>
      </c>
      <c r="H133" s="14">
        <v>9</v>
      </c>
      <c r="I133" s="14">
        <v>10</v>
      </c>
      <c r="J133" s="14">
        <v>21</v>
      </c>
      <c r="K133" s="14">
        <v>13</v>
      </c>
      <c r="L133" s="14">
        <v>8</v>
      </c>
      <c r="M133" s="14">
        <v>9</v>
      </c>
      <c r="N133" s="14">
        <v>15</v>
      </c>
      <c r="O133" s="14">
        <v>9</v>
      </c>
      <c r="P133" s="14">
        <v>10</v>
      </c>
      <c r="Q133" s="14">
        <v>11</v>
      </c>
      <c r="R133" s="14">
        <v>7</v>
      </c>
      <c r="S133" s="14">
        <v>10</v>
      </c>
      <c r="T133" s="14">
        <v>9</v>
      </c>
      <c r="U133" s="14">
        <v>9</v>
      </c>
      <c r="V133" s="14">
        <v>14</v>
      </c>
      <c r="W133" s="14">
        <v>8</v>
      </c>
      <c r="X133" s="14">
        <v>14</v>
      </c>
      <c r="Y133" s="14">
        <v>8</v>
      </c>
      <c r="Z133" s="14">
        <v>10</v>
      </c>
      <c r="AA133" s="14">
        <v>10</v>
      </c>
      <c r="AB133" s="14">
        <v>11</v>
      </c>
      <c r="AC133" s="14">
        <v>7</v>
      </c>
      <c r="AD133" s="14">
        <v>11</v>
      </c>
      <c r="AE133" s="14">
        <v>10</v>
      </c>
      <c r="AF133" s="214">
        <v>7</v>
      </c>
      <c r="AG133" s="15">
        <f t="shared" si="2"/>
        <v>298</v>
      </c>
    </row>
    <row r="134" spans="1:35" ht="15.75" customHeight="1" x14ac:dyDescent="0.25">
      <c r="A134" s="73" t="s">
        <v>81</v>
      </c>
      <c r="B134" s="13">
        <f>5+5</f>
        <v>10</v>
      </c>
      <c r="C134" s="14">
        <f>10+3</f>
        <v>13</v>
      </c>
      <c r="D134" s="14">
        <f>10+2</f>
        <v>12</v>
      </c>
      <c r="E134" s="14">
        <f>8+2</f>
        <v>10</v>
      </c>
      <c r="F134" s="14">
        <v>5</v>
      </c>
      <c r="G134" s="14">
        <v>5</v>
      </c>
      <c r="H134" s="14">
        <v>11</v>
      </c>
      <c r="I134" s="14">
        <v>10</v>
      </c>
      <c r="J134" s="14">
        <v>23</v>
      </c>
      <c r="K134" s="14">
        <v>9</v>
      </c>
      <c r="L134" s="14">
        <v>11</v>
      </c>
      <c r="M134" s="14">
        <v>7</v>
      </c>
      <c r="N134" s="14">
        <v>12</v>
      </c>
      <c r="O134" s="14">
        <v>18</v>
      </c>
      <c r="P134" s="14">
        <v>15</v>
      </c>
      <c r="Q134" s="14">
        <v>9</v>
      </c>
      <c r="R134" s="14">
        <v>10</v>
      </c>
      <c r="S134" s="14">
        <v>12</v>
      </c>
      <c r="T134" s="14">
        <v>10</v>
      </c>
      <c r="U134" s="14">
        <v>12</v>
      </c>
      <c r="V134" s="14">
        <v>8</v>
      </c>
      <c r="W134" s="14">
        <f>8+2</f>
        <v>10</v>
      </c>
      <c r="X134" s="14">
        <f>11+2</f>
        <v>13</v>
      </c>
      <c r="Y134" s="14">
        <v>12</v>
      </c>
      <c r="Z134" s="14">
        <f>9+2</f>
        <v>11</v>
      </c>
      <c r="AA134" s="14">
        <v>14</v>
      </c>
      <c r="AB134" s="14">
        <v>4</v>
      </c>
      <c r="AC134" s="14">
        <v>14</v>
      </c>
      <c r="AD134" s="14">
        <v>10</v>
      </c>
      <c r="AE134" s="14">
        <v>17</v>
      </c>
      <c r="AF134" s="214">
        <v>8</v>
      </c>
      <c r="AG134" s="15">
        <f t="shared" si="2"/>
        <v>345</v>
      </c>
    </row>
    <row r="135" spans="1:35" ht="15.75" customHeight="1" x14ac:dyDescent="0.25">
      <c r="A135" s="73" t="s">
        <v>82</v>
      </c>
      <c r="B135" s="13">
        <v>12</v>
      </c>
      <c r="C135" s="14">
        <v>11</v>
      </c>
      <c r="D135" s="14">
        <v>7</v>
      </c>
      <c r="E135" s="14">
        <v>12</v>
      </c>
      <c r="F135" s="14">
        <v>9</v>
      </c>
      <c r="G135" s="14">
        <v>4</v>
      </c>
      <c r="H135" s="14">
        <v>12</v>
      </c>
      <c r="I135" s="14">
        <v>22</v>
      </c>
      <c r="J135" s="14">
        <v>10</v>
      </c>
      <c r="K135" s="14">
        <v>16</v>
      </c>
      <c r="L135" s="14">
        <v>9</v>
      </c>
      <c r="M135" s="14">
        <v>9</v>
      </c>
      <c r="N135" s="14">
        <v>6</v>
      </c>
      <c r="O135" s="14">
        <v>6</v>
      </c>
      <c r="P135" s="14">
        <v>14</v>
      </c>
      <c r="Q135" s="14">
        <v>17</v>
      </c>
      <c r="R135" s="14">
        <v>15</v>
      </c>
      <c r="S135" s="14">
        <v>8</v>
      </c>
      <c r="T135" s="14">
        <v>10</v>
      </c>
      <c r="U135" s="14">
        <v>12</v>
      </c>
      <c r="V135" s="14">
        <v>16</v>
      </c>
      <c r="W135" s="14">
        <v>13</v>
      </c>
      <c r="X135" s="14">
        <v>8</v>
      </c>
      <c r="Y135" s="14">
        <v>13</v>
      </c>
      <c r="Z135" s="14">
        <v>10</v>
      </c>
      <c r="AA135" s="14">
        <v>10</v>
      </c>
      <c r="AB135" s="14">
        <v>12</v>
      </c>
      <c r="AC135" s="14">
        <v>10</v>
      </c>
      <c r="AD135" s="14">
        <v>10</v>
      </c>
      <c r="AE135" s="14">
        <v>16</v>
      </c>
      <c r="AF135" s="214">
        <v>10</v>
      </c>
      <c r="AG135" s="15">
        <f t="shared" si="2"/>
        <v>349</v>
      </c>
    </row>
    <row r="136" spans="1:35" ht="15.75" customHeight="1" x14ac:dyDescent="0.25">
      <c r="A136" s="73" t="s">
        <v>83</v>
      </c>
      <c r="B136" s="13">
        <v>76</v>
      </c>
      <c r="C136" s="14">
        <v>75</v>
      </c>
      <c r="D136" s="14">
        <v>58</v>
      </c>
      <c r="E136" s="14">
        <v>87</v>
      </c>
      <c r="F136" s="14">
        <v>59</v>
      </c>
      <c r="G136" s="14">
        <v>159</v>
      </c>
      <c r="H136" s="14">
        <v>82</v>
      </c>
      <c r="I136" s="14">
        <v>95</v>
      </c>
      <c r="J136" s="14">
        <v>77</v>
      </c>
      <c r="K136" s="14">
        <v>67</v>
      </c>
      <c r="L136" s="14">
        <v>62</v>
      </c>
      <c r="M136" s="14">
        <v>87</v>
      </c>
      <c r="N136" s="14">
        <v>110</v>
      </c>
      <c r="O136" s="14">
        <v>80</v>
      </c>
      <c r="P136" s="14">
        <v>98</v>
      </c>
      <c r="Q136" s="14">
        <v>89</v>
      </c>
      <c r="R136" s="14">
        <v>91</v>
      </c>
      <c r="S136" s="14">
        <v>89</v>
      </c>
      <c r="T136" s="14">
        <v>93</v>
      </c>
      <c r="U136" s="14">
        <v>79</v>
      </c>
      <c r="V136" s="14">
        <v>85</v>
      </c>
      <c r="W136" s="14">
        <v>90</v>
      </c>
      <c r="X136" s="14">
        <v>85</v>
      </c>
      <c r="Y136" s="14">
        <v>77</v>
      </c>
      <c r="Z136" s="14">
        <v>84</v>
      </c>
      <c r="AA136" s="14">
        <v>71</v>
      </c>
      <c r="AB136" s="14">
        <v>78</v>
      </c>
      <c r="AC136" s="14">
        <v>84</v>
      </c>
      <c r="AD136" s="14">
        <v>100</v>
      </c>
      <c r="AE136" s="14">
        <v>90</v>
      </c>
      <c r="AF136" s="214">
        <v>96</v>
      </c>
      <c r="AG136" s="15">
        <f t="shared" si="2"/>
        <v>2653</v>
      </c>
    </row>
    <row r="137" spans="1:35" ht="15.75" customHeight="1" x14ac:dyDescent="0.25">
      <c r="A137" s="73" t="s">
        <v>84</v>
      </c>
      <c r="B137" s="13">
        <f>4+2</f>
        <v>6</v>
      </c>
      <c r="C137" s="14">
        <v>2</v>
      </c>
      <c r="D137" s="14">
        <f>5+4</f>
        <v>9</v>
      </c>
      <c r="E137" s="14"/>
      <c r="F137" s="14">
        <f>1+1</f>
        <v>2</v>
      </c>
      <c r="G137" s="14">
        <v>0</v>
      </c>
      <c r="H137" s="14">
        <v>4</v>
      </c>
      <c r="I137" s="14">
        <v>5</v>
      </c>
      <c r="J137" s="14">
        <v>11</v>
      </c>
      <c r="K137" s="14">
        <v>5</v>
      </c>
      <c r="L137" s="14">
        <v>5</v>
      </c>
      <c r="M137" s="14">
        <v>3</v>
      </c>
      <c r="N137" s="14">
        <v>4</v>
      </c>
      <c r="O137" s="14">
        <v>4</v>
      </c>
      <c r="P137" s="14">
        <v>3</v>
      </c>
      <c r="Q137" s="14">
        <v>4</v>
      </c>
      <c r="R137" s="14">
        <v>3</v>
      </c>
      <c r="S137" s="14">
        <v>5</v>
      </c>
      <c r="T137" s="14">
        <v>6</v>
      </c>
      <c r="U137" s="14">
        <v>4</v>
      </c>
      <c r="V137" s="14">
        <v>3</v>
      </c>
      <c r="W137" s="14">
        <f>5+1</f>
        <v>6</v>
      </c>
      <c r="X137" s="14">
        <f>2+6</f>
        <v>8</v>
      </c>
      <c r="Y137" s="14">
        <v>4</v>
      </c>
      <c r="Z137" s="14">
        <v>3</v>
      </c>
      <c r="AA137" s="14">
        <v>2</v>
      </c>
      <c r="AB137" s="14">
        <v>3</v>
      </c>
      <c r="AC137" s="14">
        <v>4</v>
      </c>
      <c r="AD137" s="14">
        <v>8</v>
      </c>
      <c r="AE137" s="14">
        <v>5</v>
      </c>
      <c r="AF137" s="214">
        <v>3</v>
      </c>
      <c r="AG137" s="15">
        <f t="shared" si="2"/>
        <v>134</v>
      </c>
    </row>
    <row r="138" spans="1:35" ht="15.75" customHeight="1" x14ac:dyDescent="0.25">
      <c r="A138" s="73" t="s">
        <v>85</v>
      </c>
      <c r="B138" s="13">
        <v>1</v>
      </c>
      <c r="C138" s="14">
        <v>3</v>
      </c>
      <c r="D138" s="14">
        <v>4</v>
      </c>
      <c r="E138" s="14">
        <v>1</v>
      </c>
      <c r="F138" s="14"/>
      <c r="G138" s="14">
        <v>0</v>
      </c>
      <c r="H138" s="14">
        <v>0</v>
      </c>
      <c r="I138" s="14">
        <v>1</v>
      </c>
      <c r="J138" s="14">
        <v>1</v>
      </c>
      <c r="K138" s="14">
        <v>3</v>
      </c>
      <c r="L138" s="14">
        <v>3</v>
      </c>
      <c r="M138" s="14">
        <v>2</v>
      </c>
      <c r="N138" s="14">
        <v>0</v>
      </c>
      <c r="O138" s="14">
        <v>1</v>
      </c>
      <c r="P138" s="14">
        <v>0</v>
      </c>
      <c r="Q138" s="14">
        <v>1</v>
      </c>
      <c r="R138" s="14">
        <v>3</v>
      </c>
      <c r="S138" s="14">
        <v>2</v>
      </c>
      <c r="T138" s="14">
        <v>0</v>
      </c>
      <c r="U138" s="14">
        <v>3</v>
      </c>
      <c r="V138" s="14">
        <v>4</v>
      </c>
      <c r="W138" s="14">
        <v>1</v>
      </c>
      <c r="X138" s="14">
        <v>3</v>
      </c>
      <c r="Y138" s="14">
        <v>4</v>
      </c>
      <c r="Z138" s="14"/>
      <c r="AA138" s="14">
        <v>0</v>
      </c>
      <c r="AB138" s="14">
        <v>1</v>
      </c>
      <c r="AC138" s="14">
        <v>2</v>
      </c>
      <c r="AD138" s="14">
        <v>4</v>
      </c>
      <c r="AE138" s="14">
        <v>3</v>
      </c>
      <c r="AF138" s="214">
        <v>2</v>
      </c>
      <c r="AG138" s="15">
        <f t="shared" si="2"/>
        <v>53</v>
      </c>
    </row>
    <row r="139" spans="1:35" ht="15.75" customHeight="1" x14ac:dyDescent="0.25">
      <c r="A139" s="12" t="s">
        <v>86</v>
      </c>
      <c r="B139" s="13">
        <v>1</v>
      </c>
      <c r="C139" s="14">
        <f>1+2</f>
        <v>3</v>
      </c>
      <c r="D139" s="14">
        <v>3</v>
      </c>
      <c r="E139" s="14">
        <v>2</v>
      </c>
      <c r="F139" s="14">
        <v>8</v>
      </c>
      <c r="G139" s="14">
        <v>3</v>
      </c>
      <c r="H139" s="14">
        <v>6</v>
      </c>
      <c r="I139" s="14">
        <v>2</v>
      </c>
      <c r="J139" s="14">
        <v>2</v>
      </c>
      <c r="K139" s="14">
        <v>3</v>
      </c>
      <c r="L139" s="14">
        <v>2</v>
      </c>
      <c r="M139" s="14">
        <v>3</v>
      </c>
      <c r="N139" s="14">
        <v>3</v>
      </c>
      <c r="O139" s="14">
        <v>2</v>
      </c>
      <c r="P139" s="14">
        <v>3</v>
      </c>
      <c r="Q139" s="14">
        <v>2</v>
      </c>
      <c r="R139" s="14">
        <v>2</v>
      </c>
      <c r="S139" s="14">
        <v>3</v>
      </c>
      <c r="T139" s="14">
        <v>2</v>
      </c>
      <c r="U139" s="14">
        <v>2</v>
      </c>
      <c r="V139" s="14">
        <v>2</v>
      </c>
      <c r="W139" s="14">
        <v>1</v>
      </c>
      <c r="X139" s="14">
        <v>1</v>
      </c>
      <c r="Y139" s="14">
        <f>2+2</f>
        <v>4</v>
      </c>
      <c r="Z139" s="14">
        <v>2</v>
      </c>
      <c r="AA139" s="14">
        <v>0</v>
      </c>
      <c r="AB139" s="14">
        <v>2</v>
      </c>
      <c r="AC139" s="14">
        <v>2</v>
      </c>
      <c r="AD139" s="14">
        <v>2</v>
      </c>
      <c r="AE139" s="14">
        <v>4</v>
      </c>
      <c r="AF139" s="214">
        <v>3</v>
      </c>
      <c r="AG139" s="15">
        <f t="shared" si="2"/>
        <v>80</v>
      </c>
    </row>
    <row r="140" spans="1:35" ht="15.75" customHeight="1" x14ac:dyDescent="0.25">
      <c r="A140" s="12" t="s">
        <v>87</v>
      </c>
      <c r="B140" s="13">
        <v>1</v>
      </c>
      <c r="C140" s="14"/>
      <c r="D140" s="14">
        <v>4</v>
      </c>
      <c r="E140" s="14"/>
      <c r="F140" s="14"/>
      <c r="G140" s="14">
        <v>1</v>
      </c>
      <c r="H140" s="14">
        <v>3</v>
      </c>
      <c r="I140" s="14">
        <v>0</v>
      </c>
      <c r="J140" s="14">
        <v>3</v>
      </c>
      <c r="K140" s="14">
        <v>4</v>
      </c>
      <c r="L140" s="14">
        <v>1</v>
      </c>
      <c r="M140" s="14">
        <v>0</v>
      </c>
      <c r="N140" s="14">
        <v>3</v>
      </c>
      <c r="O140" s="14">
        <v>1</v>
      </c>
      <c r="P140" s="14">
        <v>1</v>
      </c>
      <c r="Q140" s="14">
        <v>1</v>
      </c>
      <c r="R140" s="14">
        <v>0</v>
      </c>
      <c r="S140" s="14">
        <v>2</v>
      </c>
      <c r="T140" s="14">
        <v>2</v>
      </c>
      <c r="U140" s="14">
        <v>1</v>
      </c>
      <c r="V140" s="14">
        <v>0</v>
      </c>
      <c r="W140" s="14">
        <v>0</v>
      </c>
      <c r="X140" s="14">
        <v>1</v>
      </c>
      <c r="Y140" s="14">
        <v>2</v>
      </c>
      <c r="Z140" s="14">
        <v>2</v>
      </c>
      <c r="AA140" s="14">
        <v>1</v>
      </c>
      <c r="AB140" s="14">
        <v>0</v>
      </c>
      <c r="AC140" s="14">
        <v>2</v>
      </c>
      <c r="AD140" s="14">
        <v>0</v>
      </c>
      <c r="AE140" s="14">
        <v>0</v>
      </c>
      <c r="AF140" s="214">
        <v>2</v>
      </c>
      <c r="AG140" s="15">
        <f t="shared" si="2"/>
        <v>38</v>
      </c>
    </row>
    <row r="141" spans="1:35" ht="15.75" customHeight="1" x14ac:dyDescent="0.25">
      <c r="A141" s="12" t="s">
        <v>88</v>
      </c>
      <c r="B141" s="13"/>
      <c r="C141" s="14"/>
      <c r="D141" s="14"/>
      <c r="E141" s="14">
        <v>2</v>
      </c>
      <c r="F141" s="14"/>
      <c r="G141" s="14">
        <v>0</v>
      </c>
      <c r="H141" s="14">
        <v>0</v>
      </c>
      <c r="I141" s="14">
        <v>1</v>
      </c>
      <c r="J141" s="14">
        <v>0</v>
      </c>
      <c r="K141" s="14">
        <v>0</v>
      </c>
      <c r="L141" s="14">
        <v>2</v>
      </c>
      <c r="M141" s="14">
        <v>0</v>
      </c>
      <c r="N141" s="14">
        <v>1</v>
      </c>
      <c r="O141" s="14">
        <v>0</v>
      </c>
      <c r="P141" s="14">
        <v>1</v>
      </c>
      <c r="Q141" s="14">
        <v>1</v>
      </c>
      <c r="R141" s="14">
        <v>0</v>
      </c>
      <c r="S141" s="14">
        <v>1</v>
      </c>
      <c r="T141" s="14">
        <v>1</v>
      </c>
      <c r="U141" s="14">
        <v>0</v>
      </c>
      <c r="V141" s="14">
        <v>0</v>
      </c>
      <c r="W141" s="14">
        <v>0</v>
      </c>
      <c r="X141" s="14"/>
      <c r="Y141" s="14">
        <v>0</v>
      </c>
      <c r="Z141" s="14">
        <v>1</v>
      </c>
      <c r="AA141" s="14">
        <v>0</v>
      </c>
      <c r="AB141" s="14">
        <v>0</v>
      </c>
      <c r="AC141" s="14">
        <v>1</v>
      </c>
      <c r="AD141" s="14">
        <v>1</v>
      </c>
      <c r="AE141" s="14">
        <v>0</v>
      </c>
      <c r="AF141" s="214">
        <v>0</v>
      </c>
      <c r="AG141" s="15">
        <f t="shared" si="2"/>
        <v>13</v>
      </c>
    </row>
    <row r="142" spans="1:35" ht="15.75" customHeight="1" x14ac:dyDescent="0.25">
      <c r="A142" s="73" t="s">
        <v>89</v>
      </c>
      <c r="B142" s="13">
        <f>2+1+3+1+1+1+1</f>
        <v>10</v>
      </c>
      <c r="C142" s="14">
        <f>1+5+1+1+2+1+1+1</f>
        <v>13</v>
      </c>
      <c r="D142" s="14">
        <f>1+1+2+1+1+1</f>
        <v>7</v>
      </c>
      <c r="E142" s="14">
        <f>1+2+1+1</f>
        <v>5</v>
      </c>
      <c r="F142" s="14">
        <f>1+1+1+1+1+1</f>
        <v>6</v>
      </c>
      <c r="G142" s="14">
        <v>3</v>
      </c>
      <c r="H142" s="14">
        <v>6</v>
      </c>
      <c r="I142" s="14">
        <v>7</v>
      </c>
      <c r="J142" s="14">
        <v>9</v>
      </c>
      <c r="K142" s="14">
        <v>4</v>
      </c>
      <c r="L142" s="14">
        <v>7</v>
      </c>
      <c r="M142" s="14">
        <v>5</v>
      </c>
      <c r="N142" s="14">
        <v>8</v>
      </c>
      <c r="O142" s="14">
        <v>9</v>
      </c>
      <c r="P142" s="14">
        <v>1</v>
      </c>
      <c r="Q142" s="14">
        <v>7</v>
      </c>
      <c r="R142" s="14">
        <v>6</v>
      </c>
      <c r="S142" s="14">
        <v>6</v>
      </c>
      <c r="T142" s="14">
        <v>14</v>
      </c>
      <c r="U142" s="14">
        <v>10</v>
      </c>
      <c r="V142" s="14">
        <v>11</v>
      </c>
      <c r="W142" s="14">
        <f>2+2+3+1+1+2</f>
        <v>11</v>
      </c>
      <c r="X142" s="14">
        <f>4+3+5</f>
        <v>12</v>
      </c>
      <c r="Y142" s="14">
        <f>3+2+1+1+1</f>
        <v>8</v>
      </c>
      <c r="Z142" s="14">
        <f>1+1+1+1+1+1</f>
        <v>6</v>
      </c>
      <c r="AA142" s="14">
        <v>9</v>
      </c>
      <c r="AB142" s="14">
        <v>10</v>
      </c>
      <c r="AC142" s="14">
        <v>7</v>
      </c>
      <c r="AD142" s="14">
        <v>8</v>
      </c>
      <c r="AE142" s="14">
        <v>6</v>
      </c>
      <c r="AF142" s="214">
        <v>9</v>
      </c>
      <c r="AG142" s="15">
        <f t="shared" si="2"/>
        <v>240</v>
      </c>
    </row>
    <row r="143" spans="1:35" ht="15.75" customHeight="1" thickBot="1" x14ac:dyDescent="0.3">
      <c r="A143" s="74" t="s">
        <v>90</v>
      </c>
      <c r="B143" s="75">
        <f>10+1</f>
        <v>11</v>
      </c>
      <c r="C143" s="76">
        <f>9+3</f>
        <v>12</v>
      </c>
      <c r="D143" s="76">
        <f>1+7+2</f>
        <v>10</v>
      </c>
      <c r="E143" s="76">
        <f>7+2</f>
        <v>9</v>
      </c>
      <c r="F143" s="76">
        <f>5+2</f>
        <v>7</v>
      </c>
      <c r="G143" s="76">
        <v>4</v>
      </c>
      <c r="H143" s="76">
        <v>13</v>
      </c>
      <c r="I143" s="76">
        <v>13</v>
      </c>
      <c r="J143" s="76">
        <v>16</v>
      </c>
      <c r="K143" s="76">
        <v>8</v>
      </c>
      <c r="L143" s="76">
        <v>7</v>
      </c>
      <c r="M143" s="76">
        <v>16</v>
      </c>
      <c r="N143" s="76">
        <v>7</v>
      </c>
      <c r="O143" s="76">
        <v>18</v>
      </c>
      <c r="P143" s="76">
        <v>18</v>
      </c>
      <c r="Q143" s="76">
        <v>12</v>
      </c>
      <c r="R143" s="76">
        <v>9</v>
      </c>
      <c r="S143" s="76">
        <v>17</v>
      </c>
      <c r="T143" s="76">
        <v>21</v>
      </c>
      <c r="U143" s="76">
        <v>9</v>
      </c>
      <c r="V143" s="76">
        <v>10</v>
      </c>
      <c r="W143" s="76">
        <v>7</v>
      </c>
      <c r="X143" s="76">
        <v>6</v>
      </c>
      <c r="Y143" s="76">
        <v>17</v>
      </c>
      <c r="Z143" s="76">
        <v>9</v>
      </c>
      <c r="AA143" s="76">
        <v>23</v>
      </c>
      <c r="AB143" s="76">
        <v>12</v>
      </c>
      <c r="AC143" s="76">
        <v>14</v>
      </c>
      <c r="AD143" s="76">
        <v>9</v>
      </c>
      <c r="AE143" s="76">
        <v>10</v>
      </c>
      <c r="AF143" s="225">
        <v>6</v>
      </c>
      <c r="AG143" s="26">
        <f t="shared" si="2"/>
        <v>360</v>
      </c>
    </row>
    <row r="144" spans="1:35" ht="15.75" customHeight="1" thickBot="1" x14ac:dyDescent="0.3">
      <c r="A144" s="41" t="s">
        <v>92</v>
      </c>
      <c r="B144" s="42">
        <f t="shared" ref="B144:AF144" si="17">+B146+B156+B158+B167</f>
        <v>200</v>
      </c>
      <c r="C144" s="43">
        <f t="shared" si="17"/>
        <v>183</v>
      </c>
      <c r="D144" s="43">
        <f t="shared" si="17"/>
        <v>178</v>
      </c>
      <c r="E144" s="43">
        <f t="shared" si="17"/>
        <v>180</v>
      </c>
      <c r="F144" s="43">
        <f t="shared" si="17"/>
        <v>140</v>
      </c>
      <c r="G144" s="43">
        <f t="shared" si="17"/>
        <v>194</v>
      </c>
      <c r="H144" s="43">
        <f t="shared" si="17"/>
        <v>208</v>
      </c>
      <c r="I144" s="43">
        <f t="shared" si="17"/>
        <v>227</v>
      </c>
      <c r="J144" s="43">
        <f t="shared" si="17"/>
        <v>233</v>
      </c>
      <c r="K144" s="43">
        <f t="shared" si="17"/>
        <v>182</v>
      </c>
      <c r="L144" s="43">
        <f t="shared" si="17"/>
        <v>169</v>
      </c>
      <c r="M144" s="43">
        <f t="shared" si="17"/>
        <v>179</v>
      </c>
      <c r="N144" s="43">
        <f t="shared" si="17"/>
        <v>198</v>
      </c>
      <c r="O144" s="43">
        <f t="shared" si="17"/>
        <v>218</v>
      </c>
      <c r="P144" s="43">
        <f t="shared" si="17"/>
        <v>226</v>
      </c>
      <c r="Q144" s="43">
        <f t="shared" si="17"/>
        <v>194</v>
      </c>
      <c r="R144" s="43">
        <f t="shared" si="17"/>
        <v>192</v>
      </c>
      <c r="S144" s="43">
        <f t="shared" si="17"/>
        <v>203</v>
      </c>
      <c r="T144" s="43">
        <f t="shared" si="17"/>
        <v>217</v>
      </c>
      <c r="U144" s="43">
        <f t="shared" si="17"/>
        <v>187</v>
      </c>
      <c r="V144" s="43">
        <f t="shared" si="17"/>
        <v>210</v>
      </c>
      <c r="W144" s="43">
        <f t="shared" si="17"/>
        <v>209</v>
      </c>
      <c r="X144" s="43">
        <f t="shared" si="17"/>
        <v>192</v>
      </c>
      <c r="Y144" s="43">
        <f t="shared" si="17"/>
        <v>193</v>
      </c>
      <c r="Z144" s="43">
        <f t="shared" si="17"/>
        <v>176</v>
      </c>
      <c r="AA144" s="43">
        <f t="shared" si="17"/>
        <v>192</v>
      </c>
      <c r="AB144" s="43">
        <f t="shared" si="17"/>
        <v>198</v>
      </c>
      <c r="AC144" s="43">
        <f t="shared" si="17"/>
        <v>213</v>
      </c>
      <c r="AD144" s="43">
        <f t="shared" si="17"/>
        <v>202</v>
      </c>
      <c r="AE144" s="43">
        <f t="shared" si="17"/>
        <v>198</v>
      </c>
      <c r="AF144" s="43">
        <f t="shared" si="17"/>
        <v>189</v>
      </c>
      <c r="AG144" s="27">
        <f t="shared" si="2"/>
        <v>6080</v>
      </c>
      <c r="AH144" s="78" t="str">
        <f>IF(AG144&lt;&gt;AG93,"*","")</f>
        <v/>
      </c>
      <c r="AI144" s="79" t="s">
        <v>93</v>
      </c>
    </row>
    <row r="145" spans="1:35" ht="15.75" customHeight="1" thickBot="1" x14ac:dyDescent="0.3">
      <c r="A145" s="80" t="s">
        <v>44</v>
      </c>
      <c r="B145" s="81">
        <f t="shared" ref="B145:AF145" si="18">+B149+B155+B157+B172</f>
        <v>19</v>
      </c>
      <c r="C145" s="82">
        <f t="shared" si="18"/>
        <v>15</v>
      </c>
      <c r="D145" s="82">
        <f t="shared" si="18"/>
        <v>43</v>
      </c>
      <c r="E145" s="82">
        <f t="shared" si="18"/>
        <v>13</v>
      </c>
      <c r="F145" s="82">
        <f t="shared" si="18"/>
        <v>2</v>
      </c>
      <c r="G145" s="82">
        <f t="shared" si="18"/>
        <v>5</v>
      </c>
      <c r="H145" s="82">
        <f t="shared" si="18"/>
        <v>40</v>
      </c>
      <c r="I145" s="82">
        <f t="shared" si="18"/>
        <v>15</v>
      </c>
      <c r="J145" s="82">
        <f t="shared" si="18"/>
        <v>11</v>
      </c>
      <c r="K145" s="82">
        <f t="shared" si="18"/>
        <v>31</v>
      </c>
      <c r="L145" s="82">
        <f t="shared" si="18"/>
        <v>31</v>
      </c>
      <c r="M145" s="82">
        <f t="shared" si="18"/>
        <v>8</v>
      </c>
      <c r="N145" s="82">
        <f t="shared" si="18"/>
        <v>12</v>
      </c>
      <c r="O145" s="82">
        <f t="shared" si="18"/>
        <v>57</v>
      </c>
      <c r="P145" s="82">
        <f t="shared" si="18"/>
        <v>6</v>
      </c>
      <c r="Q145" s="82">
        <f t="shared" si="18"/>
        <v>34</v>
      </c>
      <c r="R145" s="82">
        <f t="shared" si="18"/>
        <v>29</v>
      </c>
      <c r="S145" s="82">
        <f t="shared" si="18"/>
        <v>18</v>
      </c>
      <c r="T145" s="82">
        <f t="shared" si="18"/>
        <v>5</v>
      </c>
      <c r="U145" s="82">
        <f t="shared" si="18"/>
        <v>2</v>
      </c>
      <c r="V145" s="82">
        <f t="shared" si="18"/>
        <v>34</v>
      </c>
      <c r="W145" s="82">
        <f t="shared" si="18"/>
        <v>25</v>
      </c>
      <c r="X145" s="82">
        <f t="shared" si="18"/>
        <v>39</v>
      </c>
      <c r="Y145" s="82">
        <f t="shared" si="18"/>
        <v>21</v>
      </c>
      <c r="Z145" s="82">
        <f t="shared" si="18"/>
        <v>25</v>
      </c>
      <c r="AA145" s="82">
        <f t="shared" si="18"/>
        <v>6</v>
      </c>
      <c r="AB145" s="82">
        <f t="shared" si="18"/>
        <v>5</v>
      </c>
      <c r="AC145" s="82">
        <f t="shared" si="18"/>
        <v>13</v>
      </c>
      <c r="AD145" s="82">
        <f t="shared" si="18"/>
        <v>49</v>
      </c>
      <c r="AE145" s="82">
        <f t="shared" si="18"/>
        <v>56</v>
      </c>
      <c r="AF145" s="226">
        <f t="shared" si="18"/>
        <v>34</v>
      </c>
      <c r="AG145" s="83">
        <f t="shared" si="2"/>
        <v>703</v>
      </c>
      <c r="AH145" s="77"/>
    </row>
    <row r="146" spans="1:35" ht="15.75" customHeight="1" thickBot="1" x14ac:dyDescent="0.3">
      <c r="A146" s="84" t="s">
        <v>94</v>
      </c>
      <c r="B146" s="85">
        <f t="shared" ref="B146:AG147" si="19">+B148+B154</f>
        <v>0</v>
      </c>
      <c r="C146" s="86">
        <f t="shared" si="19"/>
        <v>0</v>
      </c>
      <c r="D146" s="86">
        <f t="shared" si="19"/>
        <v>0</v>
      </c>
      <c r="E146" s="86">
        <f t="shared" si="19"/>
        <v>0</v>
      </c>
      <c r="F146" s="86">
        <f t="shared" si="19"/>
        <v>0</v>
      </c>
      <c r="G146" s="86">
        <f t="shared" si="19"/>
        <v>0</v>
      </c>
      <c r="H146" s="86">
        <f t="shared" si="19"/>
        <v>0</v>
      </c>
      <c r="I146" s="86">
        <f t="shared" si="19"/>
        <v>0</v>
      </c>
      <c r="J146" s="86">
        <f t="shared" si="19"/>
        <v>0</v>
      </c>
      <c r="K146" s="86">
        <f t="shared" si="19"/>
        <v>0</v>
      </c>
      <c r="L146" s="86">
        <f t="shared" si="19"/>
        <v>0</v>
      </c>
      <c r="M146" s="86">
        <f t="shared" si="19"/>
        <v>0</v>
      </c>
      <c r="N146" s="86">
        <f t="shared" si="19"/>
        <v>0</v>
      </c>
      <c r="O146" s="86">
        <f t="shared" si="19"/>
        <v>0</v>
      </c>
      <c r="P146" s="86">
        <f t="shared" si="19"/>
        <v>0</v>
      </c>
      <c r="Q146" s="86">
        <f t="shared" si="19"/>
        <v>0</v>
      </c>
      <c r="R146" s="86">
        <f t="shared" si="19"/>
        <v>0</v>
      </c>
      <c r="S146" s="86">
        <f t="shared" si="19"/>
        <v>0</v>
      </c>
      <c r="T146" s="86">
        <f t="shared" si="19"/>
        <v>0</v>
      </c>
      <c r="U146" s="86">
        <f t="shared" si="19"/>
        <v>0</v>
      </c>
      <c r="V146" s="86">
        <f t="shared" si="19"/>
        <v>0</v>
      </c>
      <c r="W146" s="86">
        <f t="shared" si="19"/>
        <v>0</v>
      </c>
      <c r="X146" s="86">
        <f t="shared" si="19"/>
        <v>0</v>
      </c>
      <c r="Y146" s="86">
        <f t="shared" si="19"/>
        <v>0</v>
      </c>
      <c r="Z146" s="86">
        <f t="shared" si="19"/>
        <v>0</v>
      </c>
      <c r="AA146" s="86">
        <f t="shared" si="19"/>
        <v>0</v>
      </c>
      <c r="AB146" s="86">
        <f t="shared" si="19"/>
        <v>0</v>
      </c>
      <c r="AC146" s="86">
        <f t="shared" si="19"/>
        <v>0</v>
      </c>
      <c r="AD146" s="86">
        <f t="shared" si="19"/>
        <v>0</v>
      </c>
      <c r="AE146" s="86">
        <f t="shared" si="19"/>
        <v>0</v>
      </c>
      <c r="AF146" s="227">
        <f t="shared" si="19"/>
        <v>0</v>
      </c>
      <c r="AG146" s="87">
        <f t="shared" si="19"/>
        <v>0</v>
      </c>
    </row>
    <row r="147" spans="1:35" ht="15.75" customHeight="1" thickBot="1" x14ac:dyDescent="0.3">
      <c r="A147" s="88" t="s">
        <v>95</v>
      </c>
      <c r="B147" s="89">
        <f t="shared" si="19"/>
        <v>0</v>
      </c>
      <c r="C147" s="90">
        <f t="shared" si="19"/>
        <v>0</v>
      </c>
      <c r="D147" s="90">
        <f t="shared" si="19"/>
        <v>0</v>
      </c>
      <c r="E147" s="90">
        <f t="shared" si="19"/>
        <v>0</v>
      </c>
      <c r="F147" s="90">
        <f t="shared" si="19"/>
        <v>0</v>
      </c>
      <c r="G147" s="90">
        <f t="shared" si="19"/>
        <v>0</v>
      </c>
      <c r="H147" s="90">
        <f t="shared" si="19"/>
        <v>0</v>
      </c>
      <c r="I147" s="90">
        <f t="shared" si="19"/>
        <v>0</v>
      </c>
      <c r="J147" s="90">
        <f t="shared" si="19"/>
        <v>0</v>
      </c>
      <c r="K147" s="90">
        <f t="shared" si="19"/>
        <v>0</v>
      </c>
      <c r="L147" s="90">
        <f t="shared" si="19"/>
        <v>0</v>
      </c>
      <c r="M147" s="90">
        <f t="shared" si="19"/>
        <v>0</v>
      </c>
      <c r="N147" s="90">
        <f t="shared" si="19"/>
        <v>0</v>
      </c>
      <c r="O147" s="90">
        <f t="shared" si="19"/>
        <v>0</v>
      </c>
      <c r="P147" s="90">
        <f t="shared" si="19"/>
        <v>0</v>
      </c>
      <c r="Q147" s="90">
        <f t="shared" si="19"/>
        <v>0</v>
      </c>
      <c r="R147" s="90">
        <f t="shared" si="19"/>
        <v>0</v>
      </c>
      <c r="S147" s="90">
        <f t="shared" si="19"/>
        <v>0</v>
      </c>
      <c r="T147" s="90">
        <f t="shared" si="19"/>
        <v>0</v>
      </c>
      <c r="U147" s="90">
        <f t="shared" si="19"/>
        <v>0</v>
      </c>
      <c r="V147" s="90">
        <f t="shared" si="19"/>
        <v>0</v>
      </c>
      <c r="W147" s="90">
        <f t="shared" si="19"/>
        <v>0</v>
      </c>
      <c r="X147" s="90">
        <f t="shared" si="19"/>
        <v>0</v>
      </c>
      <c r="Y147" s="90">
        <f t="shared" si="19"/>
        <v>0</v>
      </c>
      <c r="Z147" s="90">
        <f t="shared" si="19"/>
        <v>0</v>
      </c>
      <c r="AA147" s="90">
        <f t="shared" si="19"/>
        <v>0</v>
      </c>
      <c r="AB147" s="90">
        <f t="shared" si="19"/>
        <v>0</v>
      </c>
      <c r="AC147" s="90">
        <f t="shared" si="19"/>
        <v>0</v>
      </c>
      <c r="AD147" s="90">
        <f t="shared" si="19"/>
        <v>0</v>
      </c>
      <c r="AE147" s="90">
        <f t="shared" si="19"/>
        <v>0</v>
      </c>
      <c r="AF147" s="228"/>
      <c r="AG147" s="91">
        <f t="shared" ref="AG147:AG226" si="20">SUM(B147:AF147)</f>
        <v>0</v>
      </c>
    </row>
    <row r="148" spans="1:35" ht="15.75" customHeight="1" thickBot="1" x14ac:dyDescent="0.3">
      <c r="A148" s="92" t="s">
        <v>96</v>
      </c>
      <c r="B148" s="93">
        <f t="shared" ref="B148:AF148" si="21">SUM(B150:B153)</f>
        <v>0</v>
      </c>
      <c r="C148" s="94">
        <f t="shared" si="21"/>
        <v>0</v>
      </c>
      <c r="D148" s="94">
        <f t="shared" si="21"/>
        <v>0</v>
      </c>
      <c r="E148" s="94">
        <f t="shared" si="21"/>
        <v>0</v>
      </c>
      <c r="F148" s="94">
        <f t="shared" si="21"/>
        <v>0</v>
      </c>
      <c r="G148" s="94">
        <f t="shared" si="21"/>
        <v>0</v>
      </c>
      <c r="H148" s="94">
        <f t="shared" si="21"/>
        <v>0</v>
      </c>
      <c r="I148" s="94">
        <f t="shared" si="21"/>
        <v>0</v>
      </c>
      <c r="J148" s="94">
        <f t="shared" si="21"/>
        <v>0</v>
      </c>
      <c r="K148" s="94">
        <f t="shared" si="21"/>
        <v>0</v>
      </c>
      <c r="L148" s="94">
        <f t="shared" si="21"/>
        <v>0</v>
      </c>
      <c r="M148" s="94">
        <f t="shared" si="21"/>
        <v>0</v>
      </c>
      <c r="N148" s="94">
        <f t="shared" si="21"/>
        <v>0</v>
      </c>
      <c r="O148" s="94">
        <f t="shared" si="21"/>
        <v>0</v>
      </c>
      <c r="P148" s="94">
        <f t="shared" si="21"/>
        <v>0</v>
      </c>
      <c r="Q148" s="94">
        <f t="shared" si="21"/>
        <v>0</v>
      </c>
      <c r="R148" s="94">
        <f t="shared" si="21"/>
        <v>0</v>
      </c>
      <c r="S148" s="94">
        <f t="shared" si="21"/>
        <v>0</v>
      </c>
      <c r="T148" s="94">
        <f t="shared" si="21"/>
        <v>0</v>
      </c>
      <c r="U148" s="94">
        <f t="shared" si="21"/>
        <v>0</v>
      </c>
      <c r="V148" s="94">
        <f t="shared" si="21"/>
        <v>0</v>
      </c>
      <c r="W148" s="94">
        <f t="shared" si="21"/>
        <v>0</v>
      </c>
      <c r="X148" s="94">
        <f t="shared" si="21"/>
        <v>0</v>
      </c>
      <c r="Y148" s="94">
        <f t="shared" si="21"/>
        <v>0</v>
      </c>
      <c r="Z148" s="94">
        <f t="shared" si="21"/>
        <v>0</v>
      </c>
      <c r="AA148" s="94">
        <f t="shared" si="21"/>
        <v>0</v>
      </c>
      <c r="AB148" s="94">
        <f t="shared" si="21"/>
        <v>0</v>
      </c>
      <c r="AC148" s="94">
        <f t="shared" si="21"/>
        <v>0</v>
      </c>
      <c r="AD148" s="94">
        <f t="shared" si="21"/>
        <v>0</v>
      </c>
      <c r="AE148" s="94">
        <f t="shared" si="21"/>
        <v>0</v>
      </c>
      <c r="AF148" s="229">
        <f t="shared" si="21"/>
        <v>0</v>
      </c>
      <c r="AG148" s="95">
        <f t="shared" si="20"/>
        <v>0</v>
      </c>
    </row>
    <row r="149" spans="1:35" ht="15.75" customHeight="1" thickBot="1" x14ac:dyDescent="0.3">
      <c r="A149" s="88" t="s">
        <v>97</v>
      </c>
      <c r="B149" s="89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228"/>
      <c r="AG149" s="91">
        <f t="shared" si="20"/>
        <v>0</v>
      </c>
    </row>
    <row r="150" spans="1:35" ht="15.75" customHeight="1" x14ac:dyDescent="0.25">
      <c r="A150" s="96" t="s">
        <v>98</v>
      </c>
      <c r="B150" s="97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230"/>
      <c r="AG150" s="11">
        <f t="shared" si="20"/>
        <v>0</v>
      </c>
      <c r="AI150" s="99"/>
    </row>
    <row r="151" spans="1:35" ht="15.75" customHeight="1" x14ac:dyDescent="0.25">
      <c r="A151" s="100" t="s">
        <v>99</v>
      </c>
      <c r="B151" s="101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231"/>
      <c r="AG151" s="15">
        <f t="shared" si="20"/>
        <v>0</v>
      </c>
      <c r="AI151" s="99"/>
    </row>
    <row r="152" spans="1:35" ht="15.75" customHeight="1" x14ac:dyDescent="0.25">
      <c r="A152" s="100" t="s">
        <v>100</v>
      </c>
      <c r="B152" s="101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231"/>
      <c r="AG152" s="15">
        <f t="shared" si="20"/>
        <v>0</v>
      </c>
    </row>
    <row r="153" spans="1:35" ht="15.75" customHeight="1" thickBot="1" x14ac:dyDescent="0.3">
      <c r="A153" s="103" t="s">
        <v>101</v>
      </c>
      <c r="B153" s="104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232"/>
      <c r="AG153" s="106">
        <f t="shared" si="20"/>
        <v>0</v>
      </c>
    </row>
    <row r="154" spans="1:35" ht="15.75" customHeight="1" thickBot="1" x14ac:dyDescent="0.3">
      <c r="A154" s="92" t="s">
        <v>102</v>
      </c>
      <c r="B154" s="93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229"/>
      <c r="AG154" s="95">
        <f t="shared" si="20"/>
        <v>0</v>
      </c>
    </row>
    <row r="155" spans="1:35" ht="15.75" customHeight="1" thickBot="1" x14ac:dyDescent="0.3">
      <c r="A155" s="88" t="s">
        <v>103</v>
      </c>
      <c r="B155" s="89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228"/>
      <c r="AG155" s="91">
        <f t="shared" si="20"/>
        <v>0</v>
      </c>
    </row>
    <row r="156" spans="1:35" ht="15.75" customHeight="1" x14ac:dyDescent="0.25">
      <c r="A156" s="107" t="s">
        <v>104</v>
      </c>
      <c r="B156" s="108">
        <f>+B28</f>
        <v>200</v>
      </c>
      <c r="C156" s="109">
        <f t="shared" ref="C156:AF156" si="22">+C28</f>
        <v>183</v>
      </c>
      <c r="D156" s="109">
        <f t="shared" si="22"/>
        <v>178</v>
      </c>
      <c r="E156" s="109">
        <f t="shared" si="22"/>
        <v>180</v>
      </c>
      <c r="F156" s="109">
        <f t="shared" si="22"/>
        <v>140</v>
      </c>
      <c r="G156" s="109">
        <f t="shared" si="22"/>
        <v>194</v>
      </c>
      <c r="H156" s="109">
        <f t="shared" si="22"/>
        <v>208</v>
      </c>
      <c r="I156" s="109">
        <f t="shared" si="22"/>
        <v>227</v>
      </c>
      <c r="J156" s="109">
        <f t="shared" si="22"/>
        <v>233</v>
      </c>
      <c r="K156" s="109">
        <f t="shared" si="22"/>
        <v>182</v>
      </c>
      <c r="L156" s="109">
        <f t="shared" si="22"/>
        <v>169</v>
      </c>
      <c r="M156" s="109">
        <f t="shared" si="22"/>
        <v>179</v>
      </c>
      <c r="N156" s="109">
        <f t="shared" si="22"/>
        <v>198</v>
      </c>
      <c r="O156" s="109">
        <f t="shared" si="22"/>
        <v>218</v>
      </c>
      <c r="P156" s="109">
        <f t="shared" si="22"/>
        <v>226</v>
      </c>
      <c r="Q156" s="109">
        <f t="shared" si="22"/>
        <v>194</v>
      </c>
      <c r="R156" s="109">
        <f t="shared" si="22"/>
        <v>192</v>
      </c>
      <c r="S156" s="109">
        <f t="shared" si="22"/>
        <v>203</v>
      </c>
      <c r="T156" s="109">
        <f t="shared" si="22"/>
        <v>217</v>
      </c>
      <c r="U156" s="109">
        <f t="shared" si="22"/>
        <v>187</v>
      </c>
      <c r="V156" s="109">
        <f t="shared" si="22"/>
        <v>210</v>
      </c>
      <c r="W156" s="109">
        <f t="shared" si="22"/>
        <v>209</v>
      </c>
      <c r="X156" s="109">
        <f t="shared" si="22"/>
        <v>192</v>
      </c>
      <c r="Y156" s="109">
        <f t="shared" si="22"/>
        <v>193</v>
      </c>
      <c r="Z156" s="109">
        <f t="shared" si="22"/>
        <v>176</v>
      </c>
      <c r="AA156" s="109">
        <f t="shared" si="22"/>
        <v>192</v>
      </c>
      <c r="AB156" s="109">
        <f t="shared" si="22"/>
        <v>198</v>
      </c>
      <c r="AC156" s="109">
        <f t="shared" si="22"/>
        <v>213</v>
      </c>
      <c r="AD156" s="109">
        <f t="shared" si="22"/>
        <v>202</v>
      </c>
      <c r="AE156" s="109">
        <f t="shared" si="22"/>
        <v>198</v>
      </c>
      <c r="AF156" s="233">
        <f t="shared" si="22"/>
        <v>189</v>
      </c>
      <c r="AG156" s="110">
        <f t="shared" si="20"/>
        <v>6080</v>
      </c>
      <c r="AH156" s="111" t="s">
        <v>105</v>
      </c>
    </row>
    <row r="157" spans="1:35" ht="15.75" customHeight="1" thickBot="1" x14ac:dyDescent="0.3">
      <c r="A157" s="74" t="s">
        <v>46</v>
      </c>
      <c r="B157" s="75">
        <f>+B53</f>
        <v>19</v>
      </c>
      <c r="C157" s="76">
        <f t="shared" ref="C157:AF157" si="23">+C53</f>
        <v>15</v>
      </c>
      <c r="D157" s="76">
        <f t="shared" si="23"/>
        <v>43</v>
      </c>
      <c r="E157" s="76">
        <f t="shared" si="23"/>
        <v>13</v>
      </c>
      <c r="F157" s="76">
        <f t="shared" si="23"/>
        <v>2</v>
      </c>
      <c r="G157" s="76">
        <f t="shared" si="23"/>
        <v>5</v>
      </c>
      <c r="H157" s="76">
        <f t="shared" si="23"/>
        <v>40</v>
      </c>
      <c r="I157" s="76">
        <f t="shared" si="23"/>
        <v>15</v>
      </c>
      <c r="J157" s="76">
        <f t="shared" si="23"/>
        <v>11</v>
      </c>
      <c r="K157" s="76">
        <f t="shared" si="23"/>
        <v>31</v>
      </c>
      <c r="L157" s="76">
        <f t="shared" si="23"/>
        <v>31</v>
      </c>
      <c r="M157" s="76">
        <f t="shared" si="23"/>
        <v>8</v>
      </c>
      <c r="N157" s="76">
        <f t="shared" si="23"/>
        <v>12</v>
      </c>
      <c r="O157" s="76">
        <f t="shared" si="23"/>
        <v>57</v>
      </c>
      <c r="P157" s="76">
        <f t="shared" si="23"/>
        <v>6</v>
      </c>
      <c r="Q157" s="76">
        <f t="shared" si="23"/>
        <v>34</v>
      </c>
      <c r="R157" s="76">
        <f t="shared" si="23"/>
        <v>29</v>
      </c>
      <c r="S157" s="76">
        <f t="shared" si="23"/>
        <v>18</v>
      </c>
      <c r="T157" s="76">
        <f t="shared" si="23"/>
        <v>5</v>
      </c>
      <c r="U157" s="76">
        <f t="shared" si="23"/>
        <v>2</v>
      </c>
      <c r="V157" s="76">
        <f t="shared" si="23"/>
        <v>34</v>
      </c>
      <c r="W157" s="76">
        <f t="shared" si="23"/>
        <v>25</v>
      </c>
      <c r="X157" s="76">
        <f t="shared" si="23"/>
        <v>39</v>
      </c>
      <c r="Y157" s="76">
        <f t="shared" si="23"/>
        <v>21</v>
      </c>
      <c r="Z157" s="76">
        <f t="shared" si="23"/>
        <v>25</v>
      </c>
      <c r="AA157" s="76">
        <f t="shared" si="23"/>
        <v>6</v>
      </c>
      <c r="AB157" s="76">
        <f t="shared" si="23"/>
        <v>5</v>
      </c>
      <c r="AC157" s="76">
        <f t="shared" si="23"/>
        <v>13</v>
      </c>
      <c r="AD157" s="76">
        <f t="shared" si="23"/>
        <v>49</v>
      </c>
      <c r="AE157" s="76">
        <f t="shared" si="23"/>
        <v>56</v>
      </c>
      <c r="AF157" s="225">
        <f t="shared" si="23"/>
        <v>34</v>
      </c>
      <c r="AG157" s="112">
        <f t="shared" si="20"/>
        <v>703</v>
      </c>
      <c r="AH157" s="111"/>
    </row>
    <row r="158" spans="1:35" ht="15.75" customHeight="1" thickBot="1" x14ac:dyDescent="0.3">
      <c r="A158" s="113" t="s">
        <v>106</v>
      </c>
      <c r="B158" s="114">
        <f t="shared" ref="B158:AF158" si="24">SUM(B159:B166)</f>
        <v>0</v>
      </c>
      <c r="C158" s="115">
        <f t="shared" si="24"/>
        <v>0</v>
      </c>
      <c r="D158" s="115">
        <f t="shared" si="24"/>
        <v>0</v>
      </c>
      <c r="E158" s="115">
        <f t="shared" si="24"/>
        <v>0</v>
      </c>
      <c r="F158" s="115">
        <f t="shared" si="24"/>
        <v>0</v>
      </c>
      <c r="G158" s="115">
        <f t="shared" si="24"/>
        <v>0</v>
      </c>
      <c r="H158" s="115">
        <f t="shared" si="24"/>
        <v>0</v>
      </c>
      <c r="I158" s="115">
        <f t="shared" si="24"/>
        <v>0</v>
      </c>
      <c r="J158" s="115">
        <f t="shared" si="24"/>
        <v>0</v>
      </c>
      <c r="K158" s="115">
        <f t="shared" si="24"/>
        <v>0</v>
      </c>
      <c r="L158" s="115">
        <f t="shared" si="24"/>
        <v>0</v>
      </c>
      <c r="M158" s="115">
        <f t="shared" si="24"/>
        <v>0</v>
      </c>
      <c r="N158" s="115">
        <f t="shared" si="24"/>
        <v>0</v>
      </c>
      <c r="O158" s="115">
        <f t="shared" si="24"/>
        <v>0</v>
      </c>
      <c r="P158" s="115">
        <f t="shared" si="24"/>
        <v>0</v>
      </c>
      <c r="Q158" s="115">
        <f t="shared" si="24"/>
        <v>0</v>
      </c>
      <c r="R158" s="115">
        <f t="shared" si="24"/>
        <v>0</v>
      </c>
      <c r="S158" s="115">
        <f t="shared" si="24"/>
        <v>0</v>
      </c>
      <c r="T158" s="115">
        <f t="shared" si="24"/>
        <v>0</v>
      </c>
      <c r="U158" s="115">
        <f t="shared" si="24"/>
        <v>0</v>
      </c>
      <c r="V158" s="115">
        <f t="shared" si="24"/>
        <v>0</v>
      </c>
      <c r="W158" s="115">
        <f t="shared" si="24"/>
        <v>0</v>
      </c>
      <c r="X158" s="115">
        <f t="shared" si="24"/>
        <v>0</v>
      </c>
      <c r="Y158" s="115">
        <f t="shared" si="24"/>
        <v>0</v>
      </c>
      <c r="Z158" s="115">
        <f t="shared" si="24"/>
        <v>0</v>
      </c>
      <c r="AA158" s="115">
        <f t="shared" si="24"/>
        <v>0</v>
      </c>
      <c r="AB158" s="115">
        <f t="shared" si="24"/>
        <v>0</v>
      </c>
      <c r="AC158" s="115">
        <f t="shared" si="24"/>
        <v>0</v>
      </c>
      <c r="AD158" s="115">
        <f t="shared" si="24"/>
        <v>0</v>
      </c>
      <c r="AE158" s="115">
        <f t="shared" si="24"/>
        <v>0</v>
      </c>
      <c r="AF158" s="234">
        <f t="shared" si="24"/>
        <v>0</v>
      </c>
      <c r="AG158" s="116">
        <f t="shared" si="20"/>
        <v>0</v>
      </c>
    </row>
    <row r="159" spans="1:35" ht="15.75" customHeight="1" x14ac:dyDescent="0.25">
      <c r="A159" s="96" t="s">
        <v>79</v>
      </c>
      <c r="B159" s="97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230"/>
      <c r="AG159" s="11">
        <f t="shared" si="20"/>
        <v>0</v>
      </c>
    </row>
    <row r="160" spans="1:35" ht="15.75" customHeight="1" x14ac:dyDescent="0.25">
      <c r="A160" s="100" t="s">
        <v>80</v>
      </c>
      <c r="B160" s="101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231"/>
      <c r="AG160" s="15">
        <f t="shared" si="20"/>
        <v>0</v>
      </c>
    </row>
    <row r="161" spans="1:34" ht="15.75" customHeight="1" x14ac:dyDescent="0.25">
      <c r="A161" s="100" t="s">
        <v>78</v>
      </c>
      <c r="B161" s="101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231"/>
      <c r="AG161" s="15">
        <f t="shared" si="20"/>
        <v>0</v>
      </c>
    </row>
    <row r="162" spans="1:34" ht="15.75" customHeight="1" x14ac:dyDescent="0.25">
      <c r="A162" s="100" t="s">
        <v>81</v>
      </c>
      <c r="B162" s="101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231"/>
      <c r="AG162" s="15">
        <f t="shared" si="20"/>
        <v>0</v>
      </c>
    </row>
    <row r="163" spans="1:34" ht="15.75" customHeight="1" x14ac:dyDescent="0.25">
      <c r="A163" s="100" t="s">
        <v>82</v>
      </c>
      <c r="B163" s="101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231"/>
      <c r="AG163" s="15">
        <f t="shared" si="20"/>
        <v>0</v>
      </c>
    </row>
    <row r="164" spans="1:34" ht="15.75" customHeight="1" x14ac:dyDescent="0.25">
      <c r="A164" s="100" t="s">
        <v>83</v>
      </c>
      <c r="B164" s="101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231"/>
      <c r="AG164" s="15">
        <f t="shared" si="20"/>
        <v>0</v>
      </c>
    </row>
    <row r="165" spans="1:34" ht="15.75" customHeight="1" x14ac:dyDescent="0.25">
      <c r="A165" s="100" t="s">
        <v>84</v>
      </c>
      <c r="B165" s="101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231"/>
      <c r="AG165" s="15">
        <f t="shared" si="20"/>
        <v>0</v>
      </c>
    </row>
    <row r="166" spans="1:34" ht="15.75" customHeight="1" thickBot="1" x14ac:dyDescent="0.3">
      <c r="A166" s="103" t="s">
        <v>85</v>
      </c>
      <c r="B166" s="104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232"/>
      <c r="AG166" s="106">
        <f t="shared" si="20"/>
        <v>0</v>
      </c>
    </row>
    <row r="167" spans="1:34" ht="15.75" customHeight="1" x14ac:dyDescent="0.25">
      <c r="A167" s="107" t="s">
        <v>107</v>
      </c>
      <c r="B167" s="108">
        <f t="shared" ref="B167:AF167" si="25">SUM(B168:B171)</f>
        <v>0</v>
      </c>
      <c r="C167" s="109">
        <f t="shared" si="25"/>
        <v>0</v>
      </c>
      <c r="D167" s="109">
        <f t="shared" si="25"/>
        <v>0</v>
      </c>
      <c r="E167" s="109">
        <f t="shared" si="25"/>
        <v>0</v>
      </c>
      <c r="F167" s="109">
        <f t="shared" si="25"/>
        <v>0</v>
      </c>
      <c r="G167" s="109">
        <f t="shared" si="25"/>
        <v>0</v>
      </c>
      <c r="H167" s="109">
        <f t="shared" si="25"/>
        <v>0</v>
      </c>
      <c r="I167" s="109">
        <f t="shared" si="25"/>
        <v>0</v>
      </c>
      <c r="J167" s="109">
        <f t="shared" si="25"/>
        <v>0</v>
      </c>
      <c r="K167" s="109">
        <f t="shared" si="25"/>
        <v>0</v>
      </c>
      <c r="L167" s="109">
        <f t="shared" si="25"/>
        <v>0</v>
      </c>
      <c r="M167" s="109">
        <f t="shared" si="25"/>
        <v>0</v>
      </c>
      <c r="N167" s="109">
        <f t="shared" si="25"/>
        <v>0</v>
      </c>
      <c r="O167" s="109">
        <f t="shared" si="25"/>
        <v>0</v>
      </c>
      <c r="P167" s="109">
        <f t="shared" si="25"/>
        <v>0</v>
      </c>
      <c r="Q167" s="109">
        <f t="shared" si="25"/>
        <v>0</v>
      </c>
      <c r="R167" s="109">
        <f t="shared" si="25"/>
        <v>0</v>
      </c>
      <c r="S167" s="109">
        <f t="shared" si="25"/>
        <v>0</v>
      </c>
      <c r="T167" s="109">
        <f t="shared" si="25"/>
        <v>0</v>
      </c>
      <c r="U167" s="109">
        <f t="shared" si="25"/>
        <v>0</v>
      </c>
      <c r="V167" s="109">
        <f t="shared" si="25"/>
        <v>0</v>
      </c>
      <c r="W167" s="109">
        <f t="shared" si="25"/>
        <v>0</v>
      </c>
      <c r="X167" s="109">
        <f t="shared" si="25"/>
        <v>0</v>
      </c>
      <c r="Y167" s="109">
        <f t="shared" si="25"/>
        <v>0</v>
      </c>
      <c r="Z167" s="109">
        <f t="shared" si="25"/>
        <v>0</v>
      </c>
      <c r="AA167" s="109">
        <f t="shared" si="25"/>
        <v>0</v>
      </c>
      <c r="AB167" s="109">
        <f t="shared" si="25"/>
        <v>0</v>
      </c>
      <c r="AC167" s="109">
        <f t="shared" si="25"/>
        <v>0</v>
      </c>
      <c r="AD167" s="109">
        <f t="shared" si="25"/>
        <v>0</v>
      </c>
      <c r="AE167" s="109">
        <f t="shared" si="25"/>
        <v>0</v>
      </c>
      <c r="AF167" s="233">
        <f t="shared" si="25"/>
        <v>0</v>
      </c>
      <c r="AG167" s="110">
        <f t="shared" si="20"/>
        <v>0</v>
      </c>
    </row>
    <row r="168" spans="1:34" ht="15.75" customHeight="1" x14ac:dyDescent="0.25">
      <c r="A168" s="117" t="s">
        <v>86</v>
      </c>
      <c r="B168" s="101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231"/>
      <c r="AG168" s="15">
        <f t="shared" si="20"/>
        <v>0</v>
      </c>
    </row>
    <row r="169" spans="1:34" ht="15.75" customHeight="1" x14ac:dyDescent="0.25">
      <c r="A169" s="117" t="s">
        <v>87</v>
      </c>
      <c r="B169" s="101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231"/>
      <c r="AG169" s="15">
        <f t="shared" si="20"/>
        <v>0</v>
      </c>
    </row>
    <row r="170" spans="1:34" ht="15.75" customHeight="1" x14ac:dyDescent="0.25">
      <c r="A170" s="117" t="s">
        <v>88</v>
      </c>
      <c r="B170" s="101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231"/>
      <c r="AG170" s="15">
        <f t="shared" si="20"/>
        <v>0</v>
      </c>
    </row>
    <row r="171" spans="1:34" ht="15.75" customHeight="1" thickBot="1" x14ac:dyDescent="0.3">
      <c r="A171" s="118" t="s">
        <v>108</v>
      </c>
      <c r="B171" s="104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232"/>
      <c r="AG171" s="106">
        <f t="shared" si="20"/>
        <v>0</v>
      </c>
    </row>
    <row r="172" spans="1:34" ht="15.75" customHeight="1" thickBot="1" x14ac:dyDescent="0.3">
      <c r="A172" s="119" t="s">
        <v>109</v>
      </c>
      <c r="B172" s="120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235"/>
      <c r="AG172" s="122">
        <f t="shared" si="20"/>
        <v>0</v>
      </c>
    </row>
    <row r="173" spans="1:34" ht="15.75" customHeight="1" thickBot="1" x14ac:dyDescent="0.3">
      <c r="A173" s="4" t="s">
        <v>110</v>
      </c>
      <c r="B173" s="5">
        <f t="shared" ref="B173:AF173" si="26">SUM(B174:B176)</f>
        <v>3</v>
      </c>
      <c r="C173" s="6">
        <f t="shared" si="26"/>
        <v>3</v>
      </c>
      <c r="D173" s="6">
        <f t="shared" si="26"/>
        <v>3</v>
      </c>
      <c r="E173" s="6">
        <f t="shared" si="26"/>
        <v>4</v>
      </c>
      <c r="F173" s="6">
        <f t="shared" si="26"/>
        <v>4</v>
      </c>
      <c r="G173" s="6">
        <f t="shared" si="26"/>
        <v>0</v>
      </c>
      <c r="H173" s="6">
        <f t="shared" si="26"/>
        <v>0</v>
      </c>
      <c r="I173" s="6">
        <f t="shared" si="26"/>
        <v>1</v>
      </c>
      <c r="J173" s="6">
        <f t="shared" si="26"/>
        <v>4</v>
      </c>
      <c r="K173" s="6">
        <f t="shared" si="26"/>
        <v>2</v>
      </c>
      <c r="L173" s="6">
        <f t="shared" si="26"/>
        <v>7</v>
      </c>
      <c r="M173" s="6">
        <f t="shared" si="26"/>
        <v>1</v>
      </c>
      <c r="N173" s="6">
        <f t="shared" si="26"/>
        <v>2</v>
      </c>
      <c r="O173" s="6">
        <f t="shared" si="26"/>
        <v>1</v>
      </c>
      <c r="P173" s="6">
        <f t="shared" si="26"/>
        <v>2</v>
      </c>
      <c r="Q173" s="6">
        <f t="shared" si="26"/>
        <v>2</v>
      </c>
      <c r="R173" s="6">
        <f t="shared" si="26"/>
        <v>5</v>
      </c>
      <c r="S173" s="6">
        <f t="shared" si="26"/>
        <v>5</v>
      </c>
      <c r="T173" s="6">
        <f t="shared" si="26"/>
        <v>10</v>
      </c>
      <c r="U173" s="6">
        <f t="shared" si="26"/>
        <v>1</v>
      </c>
      <c r="V173" s="6">
        <f t="shared" si="26"/>
        <v>2</v>
      </c>
      <c r="W173" s="6">
        <f t="shared" si="26"/>
        <v>4</v>
      </c>
      <c r="X173" s="6">
        <f t="shared" si="26"/>
        <v>6</v>
      </c>
      <c r="Y173" s="6">
        <f t="shared" si="26"/>
        <v>5</v>
      </c>
      <c r="Z173" s="6">
        <f t="shared" si="26"/>
        <v>6</v>
      </c>
      <c r="AA173" s="6">
        <f t="shared" si="26"/>
        <v>1</v>
      </c>
      <c r="AB173" s="6">
        <f t="shared" si="26"/>
        <v>1</v>
      </c>
      <c r="AC173" s="6">
        <f t="shared" si="26"/>
        <v>0</v>
      </c>
      <c r="AD173" s="6">
        <f t="shared" si="26"/>
        <v>1</v>
      </c>
      <c r="AE173" s="6">
        <f t="shared" si="26"/>
        <v>2</v>
      </c>
      <c r="AF173" s="236">
        <f t="shared" si="26"/>
        <v>2</v>
      </c>
      <c r="AG173" s="7">
        <f t="shared" si="20"/>
        <v>90</v>
      </c>
      <c r="AH173" s="111" t="s">
        <v>111</v>
      </c>
    </row>
    <row r="174" spans="1:34" ht="15.75" customHeight="1" x14ac:dyDescent="0.25">
      <c r="A174" s="123" t="s">
        <v>112</v>
      </c>
      <c r="B174" s="124">
        <v>3</v>
      </c>
      <c r="C174" s="125">
        <v>3</v>
      </c>
      <c r="D174" s="125">
        <v>3</v>
      </c>
      <c r="E174" s="125">
        <v>4</v>
      </c>
      <c r="F174" s="125">
        <v>4</v>
      </c>
      <c r="G174" s="125">
        <v>0</v>
      </c>
      <c r="H174" s="125">
        <v>0</v>
      </c>
      <c r="I174" s="125">
        <v>1</v>
      </c>
      <c r="J174" s="125">
        <v>4</v>
      </c>
      <c r="K174" s="125">
        <v>2</v>
      </c>
      <c r="L174" s="125">
        <v>5</v>
      </c>
      <c r="M174" s="125">
        <v>1</v>
      </c>
      <c r="N174" s="125">
        <v>2</v>
      </c>
      <c r="O174" s="125">
        <v>1</v>
      </c>
      <c r="P174" s="125">
        <v>2</v>
      </c>
      <c r="Q174" s="125">
        <v>2</v>
      </c>
      <c r="R174" s="125">
        <v>4</v>
      </c>
      <c r="S174" s="125">
        <v>5</v>
      </c>
      <c r="T174" s="125">
        <v>9</v>
      </c>
      <c r="U174" s="125">
        <v>0</v>
      </c>
      <c r="V174" s="125">
        <v>2</v>
      </c>
      <c r="W174" s="125">
        <v>3</v>
      </c>
      <c r="X174" s="125">
        <v>5</v>
      </c>
      <c r="Y174" s="125">
        <v>5</v>
      </c>
      <c r="Z174" s="125">
        <v>6</v>
      </c>
      <c r="AA174" s="125">
        <v>1</v>
      </c>
      <c r="AB174" s="125">
        <v>0</v>
      </c>
      <c r="AC174" s="125">
        <v>0</v>
      </c>
      <c r="AD174" s="125">
        <v>1</v>
      </c>
      <c r="AE174" s="125">
        <v>2</v>
      </c>
      <c r="AF174" s="237">
        <v>2</v>
      </c>
      <c r="AG174" s="126">
        <f t="shared" si="20"/>
        <v>82</v>
      </c>
      <c r="AH174" s="111"/>
    </row>
    <row r="175" spans="1:34" ht="15.75" customHeight="1" x14ac:dyDescent="0.25">
      <c r="A175" s="127" t="s">
        <v>113</v>
      </c>
      <c r="B175" s="128"/>
      <c r="C175" s="129"/>
      <c r="D175" s="129"/>
      <c r="E175" s="129"/>
      <c r="F175" s="129"/>
      <c r="G175" s="129">
        <v>0</v>
      </c>
      <c r="H175" s="129">
        <v>0</v>
      </c>
      <c r="I175" s="129">
        <v>0</v>
      </c>
      <c r="J175" s="129">
        <v>0</v>
      </c>
      <c r="K175" s="129">
        <v>0</v>
      </c>
      <c r="L175" s="129">
        <v>2</v>
      </c>
      <c r="M175" s="129">
        <v>0</v>
      </c>
      <c r="N175" s="129">
        <v>0</v>
      </c>
      <c r="O175" s="129">
        <v>0</v>
      </c>
      <c r="P175" s="129">
        <v>0</v>
      </c>
      <c r="Q175" s="129">
        <v>0</v>
      </c>
      <c r="R175" s="129">
        <v>1</v>
      </c>
      <c r="S175" s="129">
        <v>0</v>
      </c>
      <c r="T175" s="129">
        <v>1</v>
      </c>
      <c r="U175" s="129">
        <v>1</v>
      </c>
      <c r="V175" s="129">
        <v>0</v>
      </c>
      <c r="W175" s="129">
        <v>1</v>
      </c>
      <c r="X175" s="129">
        <v>1</v>
      </c>
      <c r="Y175" s="129">
        <v>0</v>
      </c>
      <c r="Z175" s="129"/>
      <c r="AA175" s="129">
        <v>0</v>
      </c>
      <c r="AB175" s="129">
        <v>1</v>
      </c>
      <c r="AC175" s="129">
        <v>0</v>
      </c>
      <c r="AD175" s="129">
        <v>0</v>
      </c>
      <c r="AE175" s="129">
        <v>0</v>
      </c>
      <c r="AF175" s="238">
        <v>0</v>
      </c>
      <c r="AG175" s="130">
        <f t="shared" si="20"/>
        <v>8</v>
      </c>
      <c r="AH175" s="111"/>
    </row>
    <row r="176" spans="1:34" ht="15.75" customHeight="1" thickBot="1" x14ac:dyDescent="0.3">
      <c r="A176" s="131" t="s">
        <v>114</v>
      </c>
      <c r="B176" s="132"/>
      <c r="C176" s="133"/>
      <c r="D176" s="133"/>
      <c r="E176" s="133"/>
      <c r="F176" s="133"/>
      <c r="G176" s="133">
        <v>0</v>
      </c>
      <c r="H176" s="133">
        <v>0</v>
      </c>
      <c r="I176" s="133">
        <v>0</v>
      </c>
      <c r="J176" s="133">
        <v>0</v>
      </c>
      <c r="K176" s="133">
        <v>0</v>
      </c>
      <c r="L176" s="133">
        <v>0</v>
      </c>
      <c r="M176" s="133">
        <v>0</v>
      </c>
      <c r="N176" s="133">
        <v>0</v>
      </c>
      <c r="O176" s="133">
        <v>0</v>
      </c>
      <c r="P176" s="133">
        <v>0</v>
      </c>
      <c r="Q176" s="133">
        <v>0</v>
      </c>
      <c r="R176" s="133">
        <v>0</v>
      </c>
      <c r="S176" s="133">
        <v>0</v>
      </c>
      <c r="T176" s="133">
        <v>0</v>
      </c>
      <c r="U176" s="133">
        <v>0</v>
      </c>
      <c r="V176" s="133">
        <v>0</v>
      </c>
      <c r="W176" s="133">
        <v>0</v>
      </c>
      <c r="X176" s="133">
        <v>0</v>
      </c>
      <c r="Y176" s="133">
        <v>0</v>
      </c>
      <c r="Z176" s="133"/>
      <c r="AA176" s="133">
        <v>0</v>
      </c>
      <c r="AB176" s="133">
        <v>0</v>
      </c>
      <c r="AC176" s="133">
        <v>0</v>
      </c>
      <c r="AD176" s="133">
        <v>0</v>
      </c>
      <c r="AE176" s="133">
        <v>0</v>
      </c>
      <c r="AF176" s="239">
        <v>0</v>
      </c>
      <c r="AG176" s="134">
        <f t="shared" si="20"/>
        <v>0</v>
      </c>
      <c r="AH176" s="111"/>
    </row>
    <row r="177" spans="1:35" ht="15.75" customHeight="1" thickBot="1" x14ac:dyDescent="0.3">
      <c r="A177" s="53" t="s">
        <v>115</v>
      </c>
      <c r="B177" s="135">
        <f t="shared" ref="B177:AF177" si="27">SUM(B178:B179)</f>
        <v>3</v>
      </c>
      <c r="C177" s="136">
        <f t="shared" si="27"/>
        <v>2</v>
      </c>
      <c r="D177" s="136">
        <f t="shared" si="27"/>
        <v>5</v>
      </c>
      <c r="E177" s="136">
        <f t="shared" si="27"/>
        <v>3</v>
      </c>
      <c r="F177" s="136">
        <f t="shared" si="27"/>
        <v>7</v>
      </c>
      <c r="G177" s="136">
        <f t="shared" si="27"/>
        <v>6</v>
      </c>
      <c r="H177" s="136">
        <f t="shared" si="27"/>
        <v>3</v>
      </c>
      <c r="I177" s="136">
        <f t="shared" si="27"/>
        <v>2</v>
      </c>
      <c r="J177" s="136">
        <f t="shared" si="27"/>
        <v>1</v>
      </c>
      <c r="K177" s="136">
        <f t="shared" si="27"/>
        <v>4</v>
      </c>
      <c r="L177" s="136">
        <f t="shared" si="27"/>
        <v>1</v>
      </c>
      <c r="M177" s="136">
        <f t="shared" si="27"/>
        <v>2</v>
      </c>
      <c r="N177" s="136">
        <f t="shared" si="27"/>
        <v>2</v>
      </c>
      <c r="O177" s="136">
        <f t="shared" si="27"/>
        <v>4</v>
      </c>
      <c r="P177" s="136">
        <f t="shared" si="27"/>
        <v>8</v>
      </c>
      <c r="Q177" s="136">
        <f t="shared" si="27"/>
        <v>3</v>
      </c>
      <c r="R177" s="136">
        <f t="shared" si="27"/>
        <v>4</v>
      </c>
      <c r="S177" s="136">
        <f t="shared" si="27"/>
        <v>1</v>
      </c>
      <c r="T177" s="136">
        <f t="shared" si="27"/>
        <v>0</v>
      </c>
      <c r="U177" s="136">
        <f t="shared" si="27"/>
        <v>1</v>
      </c>
      <c r="V177" s="136">
        <f t="shared" si="27"/>
        <v>4</v>
      </c>
      <c r="W177" s="136">
        <f t="shared" si="27"/>
        <v>2</v>
      </c>
      <c r="X177" s="136">
        <f t="shared" si="27"/>
        <v>8</v>
      </c>
      <c r="Y177" s="136">
        <f t="shared" si="27"/>
        <v>3</v>
      </c>
      <c r="Z177" s="136">
        <f t="shared" si="27"/>
        <v>3</v>
      </c>
      <c r="AA177" s="136">
        <f t="shared" si="27"/>
        <v>5</v>
      </c>
      <c r="AB177" s="136">
        <f t="shared" si="27"/>
        <v>7</v>
      </c>
      <c r="AC177" s="136">
        <f t="shared" si="27"/>
        <v>2</v>
      </c>
      <c r="AD177" s="136">
        <f t="shared" si="27"/>
        <v>2</v>
      </c>
      <c r="AE177" s="136">
        <f t="shared" si="27"/>
        <v>3</v>
      </c>
      <c r="AF177" s="240">
        <f t="shared" si="27"/>
        <v>3</v>
      </c>
      <c r="AG177" s="137">
        <f t="shared" si="20"/>
        <v>104</v>
      </c>
      <c r="AH177" s="111" t="s">
        <v>116</v>
      </c>
    </row>
    <row r="178" spans="1:35" ht="15.75" customHeight="1" x14ac:dyDescent="0.25">
      <c r="A178" s="138" t="s">
        <v>117</v>
      </c>
      <c r="B178" s="139">
        <v>1</v>
      </c>
      <c r="C178" s="140">
        <v>0</v>
      </c>
      <c r="D178" s="140">
        <v>2</v>
      </c>
      <c r="E178" s="140">
        <v>0</v>
      </c>
      <c r="F178" s="140">
        <v>1</v>
      </c>
      <c r="G178" s="140">
        <v>0</v>
      </c>
      <c r="H178" s="140">
        <v>0</v>
      </c>
      <c r="I178" s="140">
        <v>0</v>
      </c>
      <c r="J178" s="140">
        <v>0</v>
      </c>
      <c r="K178" s="140">
        <v>1</v>
      </c>
      <c r="L178" s="140">
        <v>0</v>
      </c>
      <c r="M178" s="140">
        <v>0</v>
      </c>
      <c r="N178" s="140">
        <v>0</v>
      </c>
      <c r="O178" s="140">
        <v>0</v>
      </c>
      <c r="P178" s="140">
        <v>0</v>
      </c>
      <c r="Q178" s="140">
        <v>0</v>
      </c>
      <c r="R178" s="140">
        <v>1</v>
      </c>
      <c r="S178" s="140">
        <v>1</v>
      </c>
      <c r="T178" s="140">
        <v>0</v>
      </c>
      <c r="U178" s="140">
        <v>0</v>
      </c>
      <c r="V178" s="140">
        <v>0</v>
      </c>
      <c r="W178" s="140">
        <v>1</v>
      </c>
      <c r="X178" s="140">
        <v>2</v>
      </c>
      <c r="Y178" s="140">
        <v>0</v>
      </c>
      <c r="Z178" s="140">
        <v>0</v>
      </c>
      <c r="AA178" s="140">
        <v>0</v>
      </c>
      <c r="AB178" s="140">
        <v>2</v>
      </c>
      <c r="AC178" s="140">
        <v>0</v>
      </c>
      <c r="AD178" s="140">
        <v>0</v>
      </c>
      <c r="AE178" s="140">
        <v>3</v>
      </c>
      <c r="AF178" s="241">
        <v>0</v>
      </c>
      <c r="AG178" s="141">
        <f t="shared" si="20"/>
        <v>15</v>
      </c>
      <c r="AH178" s="111" t="s">
        <v>116</v>
      </c>
    </row>
    <row r="179" spans="1:35" ht="15.75" customHeight="1" thickBot="1" x14ac:dyDescent="0.3">
      <c r="A179" s="58" t="s">
        <v>118</v>
      </c>
      <c r="B179" s="142">
        <v>2</v>
      </c>
      <c r="C179" s="143">
        <v>2</v>
      </c>
      <c r="D179" s="143">
        <v>3</v>
      </c>
      <c r="E179" s="143">
        <v>3</v>
      </c>
      <c r="F179" s="143">
        <v>6</v>
      </c>
      <c r="G179" s="143">
        <v>6</v>
      </c>
      <c r="H179" s="143">
        <v>3</v>
      </c>
      <c r="I179" s="143">
        <v>2</v>
      </c>
      <c r="J179" s="143">
        <v>1</v>
      </c>
      <c r="K179" s="143">
        <v>3</v>
      </c>
      <c r="L179" s="143">
        <v>1</v>
      </c>
      <c r="M179" s="143">
        <v>2</v>
      </c>
      <c r="N179" s="143">
        <v>2</v>
      </c>
      <c r="O179" s="143">
        <v>4</v>
      </c>
      <c r="P179" s="143">
        <v>8</v>
      </c>
      <c r="Q179" s="143">
        <v>3</v>
      </c>
      <c r="R179" s="143">
        <v>3</v>
      </c>
      <c r="S179" s="143">
        <v>0</v>
      </c>
      <c r="T179" s="143">
        <v>0</v>
      </c>
      <c r="U179" s="143">
        <v>1</v>
      </c>
      <c r="V179" s="143">
        <v>4</v>
      </c>
      <c r="W179" s="143">
        <v>1</v>
      </c>
      <c r="X179" s="143">
        <v>6</v>
      </c>
      <c r="Y179" s="143">
        <v>3</v>
      </c>
      <c r="Z179" s="143">
        <v>3</v>
      </c>
      <c r="AA179" s="143">
        <v>5</v>
      </c>
      <c r="AB179" s="143">
        <v>5</v>
      </c>
      <c r="AC179" s="143">
        <v>2</v>
      </c>
      <c r="AD179" s="143">
        <v>2</v>
      </c>
      <c r="AE179" s="143">
        <v>0</v>
      </c>
      <c r="AF179" s="242">
        <v>3</v>
      </c>
      <c r="AG179" s="144">
        <f t="shared" si="20"/>
        <v>89</v>
      </c>
      <c r="AH179" s="111" t="s">
        <v>116</v>
      </c>
    </row>
    <row r="180" spans="1:35" ht="15.75" customHeight="1" x14ac:dyDescent="0.25">
      <c r="A180" s="145" t="s">
        <v>119</v>
      </c>
      <c r="B180" s="146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243"/>
      <c r="AG180" s="148">
        <f t="shared" si="20"/>
        <v>0</v>
      </c>
    </row>
    <row r="181" spans="1:35" ht="15.75" customHeight="1" thickBot="1" x14ac:dyDescent="0.3">
      <c r="A181" s="149" t="s">
        <v>120</v>
      </c>
      <c r="B181" s="150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244"/>
      <c r="AG181" s="152">
        <f t="shared" si="20"/>
        <v>0</v>
      </c>
    </row>
    <row r="182" spans="1:35" ht="15.75" customHeight="1" thickBot="1" x14ac:dyDescent="0.3">
      <c r="A182" s="153" t="s">
        <v>121</v>
      </c>
      <c r="B182" s="154">
        <f t="shared" ref="B182:AF182" si="28">SUM(B183:B208)</f>
        <v>51</v>
      </c>
      <c r="C182" s="155">
        <f t="shared" si="28"/>
        <v>62</v>
      </c>
      <c r="D182" s="155">
        <f t="shared" si="28"/>
        <v>57</v>
      </c>
      <c r="E182" s="155">
        <f t="shared" si="28"/>
        <v>47</v>
      </c>
      <c r="F182" s="155">
        <f t="shared" si="28"/>
        <v>34</v>
      </c>
      <c r="G182" s="155">
        <f t="shared" si="28"/>
        <v>78</v>
      </c>
      <c r="H182" s="155">
        <f t="shared" si="28"/>
        <v>60</v>
      </c>
      <c r="I182" s="155">
        <f t="shared" si="28"/>
        <v>83</v>
      </c>
      <c r="J182" s="155">
        <f t="shared" si="28"/>
        <v>74</v>
      </c>
      <c r="K182" s="155">
        <f t="shared" si="28"/>
        <v>68</v>
      </c>
      <c r="L182" s="155">
        <f t="shared" si="28"/>
        <v>59</v>
      </c>
      <c r="M182" s="155">
        <f t="shared" si="28"/>
        <v>58</v>
      </c>
      <c r="N182" s="155">
        <f t="shared" si="28"/>
        <v>76</v>
      </c>
      <c r="O182" s="155">
        <f t="shared" si="28"/>
        <v>60</v>
      </c>
      <c r="P182" s="155">
        <f t="shared" si="28"/>
        <v>95</v>
      </c>
      <c r="Q182" s="155">
        <f t="shared" si="28"/>
        <v>76</v>
      </c>
      <c r="R182" s="155">
        <f t="shared" si="28"/>
        <v>57</v>
      </c>
      <c r="S182" s="155">
        <f t="shared" si="28"/>
        <v>66</v>
      </c>
      <c r="T182" s="155">
        <f t="shared" si="28"/>
        <v>68</v>
      </c>
      <c r="U182" s="155">
        <f t="shared" si="28"/>
        <v>61</v>
      </c>
      <c r="V182" s="155">
        <f t="shared" si="28"/>
        <v>52</v>
      </c>
      <c r="W182" s="155">
        <f t="shared" si="28"/>
        <v>55</v>
      </c>
      <c r="X182" s="155">
        <f t="shared" si="28"/>
        <v>60</v>
      </c>
      <c r="Y182" s="155">
        <f t="shared" si="28"/>
        <v>70</v>
      </c>
      <c r="Z182" s="155">
        <f t="shared" si="28"/>
        <v>52</v>
      </c>
      <c r="AA182" s="155">
        <f t="shared" si="28"/>
        <v>63</v>
      </c>
      <c r="AB182" s="155">
        <f t="shared" si="28"/>
        <v>66</v>
      </c>
      <c r="AC182" s="155">
        <f t="shared" si="28"/>
        <v>70</v>
      </c>
      <c r="AD182" s="155">
        <f t="shared" si="28"/>
        <v>66</v>
      </c>
      <c r="AE182" s="155">
        <f t="shared" si="28"/>
        <v>63</v>
      </c>
      <c r="AF182" s="245">
        <f t="shared" si="28"/>
        <v>63</v>
      </c>
      <c r="AG182" s="91">
        <f t="shared" si="20"/>
        <v>1970</v>
      </c>
      <c r="AH182" s="78"/>
    </row>
    <row r="183" spans="1:35" ht="15.75" customHeight="1" x14ac:dyDescent="0.25">
      <c r="A183" s="156" t="s">
        <v>122</v>
      </c>
      <c r="B183" s="157">
        <v>8</v>
      </c>
      <c r="C183" s="158">
        <v>11</v>
      </c>
      <c r="D183" s="158">
        <v>4</v>
      </c>
      <c r="E183" s="158">
        <v>9</v>
      </c>
      <c r="F183" s="158">
        <v>5</v>
      </c>
      <c r="G183" s="158">
        <v>4</v>
      </c>
      <c r="H183" s="158">
        <v>5</v>
      </c>
      <c r="I183" s="158">
        <v>3</v>
      </c>
      <c r="J183" s="158">
        <v>6</v>
      </c>
      <c r="K183" s="158">
        <v>4</v>
      </c>
      <c r="L183" s="158">
        <v>3</v>
      </c>
      <c r="M183" s="158">
        <v>5</v>
      </c>
      <c r="N183" s="158">
        <v>6</v>
      </c>
      <c r="O183" s="158">
        <v>5</v>
      </c>
      <c r="P183" s="158">
        <v>7</v>
      </c>
      <c r="Q183" s="158">
        <v>4</v>
      </c>
      <c r="R183" s="158">
        <v>1</v>
      </c>
      <c r="S183" s="158">
        <v>10</v>
      </c>
      <c r="T183" s="158">
        <v>9</v>
      </c>
      <c r="U183" s="158">
        <v>2</v>
      </c>
      <c r="V183" s="158">
        <v>1</v>
      </c>
      <c r="W183" s="158">
        <v>5</v>
      </c>
      <c r="X183" s="158">
        <v>10</v>
      </c>
      <c r="Y183" s="158">
        <v>7</v>
      </c>
      <c r="Z183" s="158">
        <v>1</v>
      </c>
      <c r="AA183" s="158">
        <v>4</v>
      </c>
      <c r="AB183" s="158">
        <v>2</v>
      </c>
      <c r="AC183" s="158">
        <v>2</v>
      </c>
      <c r="AD183" s="158">
        <v>6</v>
      </c>
      <c r="AE183" s="158">
        <v>2</v>
      </c>
      <c r="AF183" s="246">
        <v>6</v>
      </c>
      <c r="AG183" s="159">
        <f t="shared" si="20"/>
        <v>157</v>
      </c>
    </row>
    <row r="184" spans="1:35" ht="15.75" customHeight="1" x14ac:dyDescent="0.25">
      <c r="A184" s="160" t="s">
        <v>123</v>
      </c>
      <c r="B184" s="65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222"/>
      <c r="AG184" s="15">
        <f t="shared" si="20"/>
        <v>0</v>
      </c>
    </row>
    <row r="185" spans="1:35" ht="15.75" customHeight="1" x14ac:dyDescent="0.25">
      <c r="A185" s="160" t="s">
        <v>124</v>
      </c>
      <c r="B185" s="65"/>
      <c r="C185" s="66"/>
      <c r="D185" s="66"/>
      <c r="E185" s="66">
        <v>1</v>
      </c>
      <c r="F185" s="66"/>
      <c r="G185" s="66">
        <v>6</v>
      </c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>
        <v>1</v>
      </c>
      <c r="AA185" s="66"/>
      <c r="AB185" s="66"/>
      <c r="AC185" s="66"/>
      <c r="AD185" s="66"/>
      <c r="AE185" s="66"/>
      <c r="AF185" s="222"/>
      <c r="AG185" s="15">
        <f t="shared" si="20"/>
        <v>8</v>
      </c>
    </row>
    <row r="186" spans="1:35" ht="15.75" customHeight="1" x14ac:dyDescent="0.25">
      <c r="A186" s="160" t="s">
        <v>125</v>
      </c>
      <c r="B186" s="65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222"/>
      <c r="AG186" s="15">
        <f t="shared" si="20"/>
        <v>0</v>
      </c>
    </row>
    <row r="187" spans="1:35" ht="15.75" customHeight="1" x14ac:dyDescent="0.25">
      <c r="A187" s="161" t="s">
        <v>126</v>
      </c>
      <c r="B187" s="162">
        <v>33</v>
      </c>
      <c r="C187" s="163">
        <v>44</v>
      </c>
      <c r="D187" s="163">
        <v>49</v>
      </c>
      <c r="E187" s="163">
        <v>30</v>
      </c>
      <c r="F187" s="163">
        <v>27</v>
      </c>
      <c r="G187" s="163">
        <v>65</v>
      </c>
      <c r="H187" s="163">
        <v>50</v>
      </c>
      <c r="I187" s="163">
        <v>75</v>
      </c>
      <c r="J187" s="163">
        <v>64</v>
      </c>
      <c r="K187" s="163">
        <v>58</v>
      </c>
      <c r="L187" s="163">
        <v>55</v>
      </c>
      <c r="M187" s="163">
        <v>49</v>
      </c>
      <c r="N187" s="163">
        <v>67</v>
      </c>
      <c r="O187" s="163">
        <v>53</v>
      </c>
      <c r="P187" s="163">
        <v>85</v>
      </c>
      <c r="Q187" s="163">
        <v>68</v>
      </c>
      <c r="R187" s="163">
        <v>53</v>
      </c>
      <c r="S187" s="163">
        <v>48</v>
      </c>
      <c r="T187" s="163">
        <v>53</v>
      </c>
      <c r="U187" s="163">
        <v>55</v>
      </c>
      <c r="V187" s="163">
        <v>45</v>
      </c>
      <c r="W187" s="163">
        <v>49</v>
      </c>
      <c r="X187" s="163">
        <v>47</v>
      </c>
      <c r="Y187" s="163">
        <v>57</v>
      </c>
      <c r="Z187" s="163">
        <v>50</v>
      </c>
      <c r="AA187" s="163">
        <v>54</v>
      </c>
      <c r="AB187" s="163">
        <v>61</v>
      </c>
      <c r="AC187" s="163">
        <v>65</v>
      </c>
      <c r="AD187" s="163">
        <v>57</v>
      </c>
      <c r="AE187" s="163">
        <v>57</v>
      </c>
      <c r="AF187" s="247">
        <v>53</v>
      </c>
      <c r="AG187" s="164">
        <f t="shared" si="20"/>
        <v>1676</v>
      </c>
      <c r="AH187" s="165"/>
      <c r="AI187" s="165"/>
    </row>
    <row r="188" spans="1:35" ht="15.75" customHeight="1" x14ac:dyDescent="0.25">
      <c r="A188" s="160" t="s">
        <v>127</v>
      </c>
      <c r="B188" s="65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222"/>
      <c r="AG188" s="15">
        <f t="shared" si="20"/>
        <v>0</v>
      </c>
    </row>
    <row r="189" spans="1:35" ht="15.75" customHeight="1" x14ac:dyDescent="0.25">
      <c r="A189" s="160" t="s">
        <v>128</v>
      </c>
      <c r="B189" s="65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222"/>
      <c r="AG189" s="15">
        <f t="shared" si="20"/>
        <v>0</v>
      </c>
    </row>
    <row r="190" spans="1:35" ht="15.75" customHeight="1" x14ac:dyDescent="0.25">
      <c r="A190" s="160" t="s">
        <v>129</v>
      </c>
      <c r="B190" s="65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222"/>
      <c r="AG190" s="15">
        <f t="shared" si="20"/>
        <v>0</v>
      </c>
    </row>
    <row r="191" spans="1:35" ht="15.75" customHeight="1" x14ac:dyDescent="0.25">
      <c r="A191" s="160" t="s">
        <v>130</v>
      </c>
      <c r="B191" s="65"/>
      <c r="C191" s="66"/>
      <c r="D191" s="66"/>
      <c r="E191" s="66"/>
      <c r="F191" s="66"/>
      <c r="G191" s="66"/>
      <c r="H191" s="66"/>
      <c r="I191" s="66"/>
      <c r="J191" s="66"/>
      <c r="K191" s="66">
        <v>1</v>
      </c>
      <c r="L191" s="66"/>
      <c r="M191" s="66"/>
      <c r="N191" s="66"/>
      <c r="O191" s="66"/>
      <c r="P191" s="66">
        <v>1</v>
      </c>
      <c r="Q191" s="66"/>
      <c r="R191" s="66"/>
      <c r="S191" s="66"/>
      <c r="T191" s="66"/>
      <c r="U191" s="66">
        <v>4</v>
      </c>
      <c r="V191" s="66"/>
      <c r="W191" s="66"/>
      <c r="X191" s="66"/>
      <c r="Y191" s="66"/>
      <c r="Z191" s="66"/>
      <c r="AA191" s="66"/>
      <c r="AB191" s="66">
        <v>1</v>
      </c>
      <c r="AC191" s="66"/>
      <c r="AD191" s="66"/>
      <c r="AE191" s="66"/>
      <c r="AF191" s="222"/>
      <c r="AG191" s="15">
        <f t="shared" si="20"/>
        <v>7</v>
      </c>
    </row>
    <row r="192" spans="1:35" ht="15.75" customHeight="1" x14ac:dyDescent="0.25">
      <c r="A192" s="64" t="s">
        <v>131</v>
      </c>
      <c r="B192" s="65">
        <v>9</v>
      </c>
      <c r="C192" s="66">
        <v>6</v>
      </c>
      <c r="D192" s="66">
        <v>2</v>
      </c>
      <c r="E192" s="66">
        <v>2</v>
      </c>
      <c r="F192" s="66"/>
      <c r="G192" s="66"/>
      <c r="H192" s="66">
        <v>4</v>
      </c>
      <c r="I192" s="66">
        <v>4</v>
      </c>
      <c r="J192" s="66">
        <v>4</v>
      </c>
      <c r="K192" s="66">
        <v>1</v>
      </c>
      <c r="L192" s="66">
        <v>1</v>
      </c>
      <c r="M192" s="66"/>
      <c r="N192" s="66"/>
      <c r="O192" s="66"/>
      <c r="P192" s="66"/>
      <c r="Q192" s="66">
        <v>1</v>
      </c>
      <c r="R192" s="66">
        <v>2</v>
      </c>
      <c r="S192" s="66">
        <v>1</v>
      </c>
      <c r="T192" s="66"/>
      <c r="U192" s="66"/>
      <c r="V192" s="66">
        <v>3</v>
      </c>
      <c r="W192" s="66">
        <v>1</v>
      </c>
      <c r="X192" s="66">
        <v>3</v>
      </c>
      <c r="Y192" s="66">
        <v>3</v>
      </c>
      <c r="Z192" s="66"/>
      <c r="AA192" s="66">
        <v>1</v>
      </c>
      <c r="AB192" s="66"/>
      <c r="AC192" s="66">
        <v>2</v>
      </c>
      <c r="AD192" s="66">
        <v>1</v>
      </c>
      <c r="AE192" s="66">
        <v>3</v>
      </c>
      <c r="AF192" s="222">
        <v>1</v>
      </c>
      <c r="AG192" s="15">
        <f t="shared" si="20"/>
        <v>55</v>
      </c>
    </row>
    <row r="193" spans="1:33" ht="15.75" customHeight="1" x14ac:dyDescent="0.25">
      <c r="A193" s="64" t="s">
        <v>132</v>
      </c>
      <c r="B193" s="65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>
        <v>1</v>
      </c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222"/>
      <c r="AG193" s="15">
        <f t="shared" si="20"/>
        <v>1</v>
      </c>
    </row>
    <row r="194" spans="1:33" ht="15.75" customHeight="1" x14ac:dyDescent="0.25">
      <c r="A194" s="64" t="s">
        <v>133</v>
      </c>
      <c r="B194" s="65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222"/>
      <c r="AG194" s="15">
        <f t="shared" si="20"/>
        <v>0</v>
      </c>
    </row>
    <row r="195" spans="1:33" ht="15.75" customHeight="1" x14ac:dyDescent="0.25">
      <c r="A195" s="64" t="s">
        <v>134</v>
      </c>
      <c r="B195" s="65"/>
      <c r="C195" s="66"/>
      <c r="D195" s="66"/>
      <c r="E195" s="66"/>
      <c r="F195" s="66"/>
      <c r="G195" s="66">
        <v>1</v>
      </c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222"/>
      <c r="AG195" s="15">
        <f t="shared" si="20"/>
        <v>1</v>
      </c>
    </row>
    <row r="196" spans="1:33" ht="15.75" customHeight="1" x14ac:dyDescent="0.25">
      <c r="A196" s="166" t="s">
        <v>135</v>
      </c>
      <c r="B196" s="167"/>
      <c r="C196" s="168">
        <v>1</v>
      </c>
      <c r="D196" s="168">
        <v>2</v>
      </c>
      <c r="E196" s="168">
        <v>3</v>
      </c>
      <c r="F196" s="168">
        <v>1</v>
      </c>
      <c r="G196" s="168"/>
      <c r="H196" s="168">
        <v>1</v>
      </c>
      <c r="I196" s="168"/>
      <c r="J196" s="168"/>
      <c r="K196" s="168">
        <v>3</v>
      </c>
      <c r="L196" s="168"/>
      <c r="M196" s="168">
        <v>2</v>
      </c>
      <c r="N196" s="168">
        <v>1</v>
      </c>
      <c r="O196" s="168">
        <v>2</v>
      </c>
      <c r="P196" s="168">
        <v>1</v>
      </c>
      <c r="Q196" s="168">
        <v>2</v>
      </c>
      <c r="R196" s="168"/>
      <c r="S196" s="168">
        <v>3</v>
      </c>
      <c r="T196" s="168">
        <v>4</v>
      </c>
      <c r="U196" s="168"/>
      <c r="V196" s="168">
        <v>2</v>
      </c>
      <c r="W196" s="168"/>
      <c r="X196" s="168"/>
      <c r="Y196" s="168">
        <v>2</v>
      </c>
      <c r="Z196" s="168"/>
      <c r="AA196" s="168">
        <v>4</v>
      </c>
      <c r="AB196" s="168">
        <v>1</v>
      </c>
      <c r="AC196" s="168">
        <v>1</v>
      </c>
      <c r="AD196" s="168"/>
      <c r="AE196" s="168">
        <v>1</v>
      </c>
      <c r="AF196" s="248">
        <v>2</v>
      </c>
      <c r="AG196" s="169">
        <f t="shared" si="20"/>
        <v>39</v>
      </c>
    </row>
    <row r="197" spans="1:33" ht="15.75" customHeight="1" x14ac:dyDescent="0.25">
      <c r="A197" s="170" t="s">
        <v>136</v>
      </c>
      <c r="B197" s="65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222"/>
      <c r="AG197" s="15">
        <f t="shared" si="20"/>
        <v>0</v>
      </c>
    </row>
    <row r="198" spans="1:33" ht="15.75" customHeight="1" x14ac:dyDescent="0.25">
      <c r="A198" s="170" t="s">
        <v>137</v>
      </c>
      <c r="B198" s="65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222"/>
      <c r="AG198" s="15">
        <f t="shared" si="20"/>
        <v>0</v>
      </c>
    </row>
    <row r="199" spans="1:33" ht="15.75" customHeight="1" x14ac:dyDescent="0.25">
      <c r="A199" s="170" t="s">
        <v>138</v>
      </c>
      <c r="B199" s="65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222"/>
      <c r="AG199" s="15">
        <f t="shared" si="20"/>
        <v>0</v>
      </c>
    </row>
    <row r="200" spans="1:33" ht="15.75" customHeight="1" x14ac:dyDescent="0.25">
      <c r="A200" s="170" t="s">
        <v>139</v>
      </c>
      <c r="B200" s="65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222"/>
      <c r="AG200" s="15">
        <f t="shared" si="20"/>
        <v>0</v>
      </c>
    </row>
    <row r="201" spans="1:33" ht="15.75" customHeight="1" x14ac:dyDescent="0.25">
      <c r="A201" s="170" t="s">
        <v>140</v>
      </c>
      <c r="B201" s="65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222"/>
      <c r="AG201" s="15">
        <f t="shared" si="20"/>
        <v>0</v>
      </c>
    </row>
    <row r="202" spans="1:33" ht="15.75" customHeight="1" x14ac:dyDescent="0.25">
      <c r="A202" s="170" t="s">
        <v>141</v>
      </c>
      <c r="B202" s="65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222"/>
      <c r="AG202" s="15">
        <f t="shared" si="20"/>
        <v>0</v>
      </c>
    </row>
    <row r="203" spans="1:33" ht="15.75" customHeight="1" x14ac:dyDescent="0.25">
      <c r="A203" s="64" t="s">
        <v>142</v>
      </c>
      <c r="B203" s="65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222"/>
      <c r="AG203" s="15">
        <f t="shared" si="20"/>
        <v>0</v>
      </c>
    </row>
    <row r="204" spans="1:33" ht="15.75" customHeight="1" x14ac:dyDescent="0.25">
      <c r="A204" s="64" t="s">
        <v>143</v>
      </c>
      <c r="B204" s="65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222"/>
      <c r="AG204" s="15">
        <f t="shared" si="20"/>
        <v>0</v>
      </c>
    </row>
    <row r="205" spans="1:33" ht="15.75" customHeight="1" x14ac:dyDescent="0.25">
      <c r="A205" s="64" t="s">
        <v>144</v>
      </c>
      <c r="B205" s="65">
        <v>1</v>
      </c>
      <c r="C205" s="66"/>
      <c r="D205" s="66"/>
      <c r="E205" s="66"/>
      <c r="F205" s="66">
        <v>1</v>
      </c>
      <c r="G205" s="66">
        <v>1</v>
      </c>
      <c r="H205" s="66"/>
      <c r="I205" s="66"/>
      <c r="J205" s="66"/>
      <c r="K205" s="66"/>
      <c r="L205" s="66"/>
      <c r="M205" s="66">
        <v>1</v>
      </c>
      <c r="N205" s="66"/>
      <c r="O205" s="66"/>
      <c r="P205" s="66"/>
      <c r="Q205" s="66"/>
      <c r="R205" s="66">
        <v>1</v>
      </c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222"/>
      <c r="AG205" s="15">
        <f t="shared" si="20"/>
        <v>5</v>
      </c>
    </row>
    <row r="206" spans="1:33" ht="15.75" customHeight="1" x14ac:dyDescent="0.25">
      <c r="A206" s="64" t="s">
        <v>145</v>
      </c>
      <c r="B206" s="171"/>
      <c r="C206" s="172"/>
      <c r="D206" s="172"/>
      <c r="E206" s="172">
        <v>1</v>
      </c>
      <c r="F206" s="172"/>
      <c r="G206" s="172">
        <v>1</v>
      </c>
      <c r="H206" s="172"/>
      <c r="I206" s="172"/>
      <c r="J206" s="172"/>
      <c r="K206" s="172">
        <v>1</v>
      </c>
      <c r="L206" s="172"/>
      <c r="M206" s="172">
        <v>1</v>
      </c>
      <c r="N206" s="172">
        <v>1</v>
      </c>
      <c r="O206" s="172"/>
      <c r="P206" s="172"/>
      <c r="Q206" s="172"/>
      <c r="R206" s="172"/>
      <c r="S206" s="172">
        <v>3</v>
      </c>
      <c r="T206" s="172">
        <v>2</v>
      </c>
      <c r="U206" s="172"/>
      <c r="V206" s="172">
        <v>1</v>
      </c>
      <c r="W206" s="172"/>
      <c r="X206" s="172"/>
      <c r="Y206" s="172"/>
      <c r="Z206" s="172"/>
      <c r="AA206" s="172"/>
      <c r="AB206" s="172">
        <v>1</v>
      </c>
      <c r="AC206" s="172"/>
      <c r="AD206" s="172">
        <v>1</v>
      </c>
      <c r="AE206" s="172"/>
      <c r="AF206" s="249">
        <v>1</v>
      </c>
      <c r="AG206" s="15">
        <f t="shared" si="20"/>
        <v>14</v>
      </c>
    </row>
    <row r="207" spans="1:33" ht="15.75" customHeight="1" x14ac:dyDescent="0.25">
      <c r="A207" s="173" t="s">
        <v>146</v>
      </c>
      <c r="B207" s="171"/>
      <c r="C207" s="172"/>
      <c r="D207" s="172"/>
      <c r="E207" s="172">
        <v>1</v>
      </c>
      <c r="F207" s="172"/>
      <c r="G207" s="172"/>
      <c r="H207" s="172"/>
      <c r="I207" s="172">
        <v>1</v>
      </c>
      <c r="J207" s="172"/>
      <c r="K207" s="172"/>
      <c r="L207" s="172"/>
      <c r="M207" s="172"/>
      <c r="N207" s="172"/>
      <c r="O207" s="172"/>
      <c r="P207" s="172"/>
      <c r="Q207" s="172"/>
      <c r="R207" s="172"/>
      <c r="S207" s="172">
        <v>1</v>
      </c>
      <c r="T207" s="172"/>
      <c r="U207" s="172"/>
      <c r="V207" s="172"/>
      <c r="W207" s="172"/>
      <c r="X207" s="172"/>
      <c r="Y207" s="172">
        <v>1</v>
      </c>
      <c r="Z207" s="172"/>
      <c r="AA207" s="172"/>
      <c r="AB207" s="172"/>
      <c r="AC207" s="172"/>
      <c r="AD207" s="172">
        <v>1</v>
      </c>
      <c r="AE207" s="172"/>
      <c r="AF207" s="249"/>
      <c r="AG207" s="15">
        <f t="shared" si="20"/>
        <v>5</v>
      </c>
    </row>
    <row r="208" spans="1:33" ht="15.75" customHeight="1" thickBot="1" x14ac:dyDescent="0.3">
      <c r="A208" s="174" t="s">
        <v>147</v>
      </c>
      <c r="B208" s="171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>
        <v>1</v>
      </c>
      <c r="O208" s="172"/>
      <c r="P208" s="172"/>
      <c r="Q208" s="172">
        <v>1</v>
      </c>
      <c r="R208" s="172"/>
      <c r="S208" s="172"/>
      <c r="T208" s="172"/>
      <c r="U208" s="172"/>
      <c r="V208" s="172"/>
      <c r="W208" s="172"/>
      <c r="X208" s="172"/>
      <c r="Y208" s="172"/>
      <c r="Z208" s="172"/>
      <c r="AA208" s="172"/>
      <c r="AB208" s="172"/>
      <c r="AC208" s="172"/>
      <c r="AD208" s="172"/>
      <c r="AE208" s="172"/>
      <c r="AF208" s="249"/>
      <c r="AG208" s="106">
        <f t="shared" si="20"/>
        <v>2</v>
      </c>
    </row>
    <row r="209" spans="1:34" ht="15.75" customHeight="1" thickBot="1" x14ac:dyDescent="0.3">
      <c r="A209" s="175" t="s">
        <v>148</v>
      </c>
      <c r="B209" s="176">
        <f t="shared" ref="B209:AF209" si="29">SUM(B210:B214)</f>
        <v>200</v>
      </c>
      <c r="C209" s="177">
        <f t="shared" si="29"/>
        <v>183</v>
      </c>
      <c r="D209" s="177">
        <f t="shared" si="29"/>
        <v>178</v>
      </c>
      <c r="E209" s="177">
        <f t="shared" si="29"/>
        <v>180</v>
      </c>
      <c r="F209" s="177">
        <f t="shared" si="29"/>
        <v>140</v>
      </c>
      <c r="G209" s="177">
        <f t="shared" si="29"/>
        <v>194</v>
      </c>
      <c r="H209" s="177">
        <f t="shared" si="29"/>
        <v>208</v>
      </c>
      <c r="I209" s="177">
        <f t="shared" si="29"/>
        <v>227</v>
      </c>
      <c r="J209" s="177">
        <f t="shared" si="29"/>
        <v>233</v>
      </c>
      <c r="K209" s="177">
        <f t="shared" si="29"/>
        <v>182</v>
      </c>
      <c r="L209" s="177">
        <f t="shared" si="29"/>
        <v>169</v>
      </c>
      <c r="M209" s="177">
        <f t="shared" si="29"/>
        <v>179</v>
      </c>
      <c r="N209" s="177">
        <f t="shared" si="29"/>
        <v>198</v>
      </c>
      <c r="O209" s="177">
        <f t="shared" si="29"/>
        <v>218</v>
      </c>
      <c r="P209" s="177">
        <f t="shared" si="29"/>
        <v>226</v>
      </c>
      <c r="Q209" s="177">
        <f t="shared" si="29"/>
        <v>194</v>
      </c>
      <c r="R209" s="177">
        <f t="shared" si="29"/>
        <v>192</v>
      </c>
      <c r="S209" s="177">
        <f t="shared" si="29"/>
        <v>203</v>
      </c>
      <c r="T209" s="177">
        <f t="shared" si="29"/>
        <v>217</v>
      </c>
      <c r="U209" s="177">
        <f t="shared" si="29"/>
        <v>187</v>
      </c>
      <c r="V209" s="177">
        <f t="shared" si="29"/>
        <v>210</v>
      </c>
      <c r="W209" s="177">
        <f t="shared" si="29"/>
        <v>209</v>
      </c>
      <c r="X209" s="177">
        <f t="shared" si="29"/>
        <v>192</v>
      </c>
      <c r="Y209" s="177">
        <f t="shared" si="29"/>
        <v>193</v>
      </c>
      <c r="Z209" s="177">
        <f t="shared" si="29"/>
        <v>176</v>
      </c>
      <c r="AA209" s="177">
        <f t="shared" si="29"/>
        <v>192</v>
      </c>
      <c r="AB209" s="177">
        <f t="shared" si="29"/>
        <v>198</v>
      </c>
      <c r="AC209" s="177">
        <f t="shared" si="29"/>
        <v>213</v>
      </c>
      <c r="AD209" s="177">
        <f t="shared" si="29"/>
        <v>202</v>
      </c>
      <c r="AE209" s="177">
        <f t="shared" si="29"/>
        <v>198</v>
      </c>
      <c r="AF209" s="250">
        <f t="shared" si="29"/>
        <v>189</v>
      </c>
      <c r="AG209" s="178">
        <f t="shared" si="20"/>
        <v>6080</v>
      </c>
      <c r="AH209" s="40" t="str">
        <f>IF(AG209&lt;&gt;AG93,"X","")</f>
        <v/>
      </c>
    </row>
    <row r="210" spans="1:34" ht="15.75" customHeight="1" x14ac:dyDescent="0.25">
      <c r="A210" s="179" t="s">
        <v>149</v>
      </c>
      <c r="B210" s="180"/>
      <c r="C210" s="181"/>
      <c r="D210" s="181">
        <v>1</v>
      </c>
      <c r="E210" s="181"/>
      <c r="F210" s="181"/>
      <c r="G210" s="181">
        <v>0</v>
      </c>
      <c r="H210" s="181">
        <v>0</v>
      </c>
      <c r="I210" s="181">
        <v>0</v>
      </c>
      <c r="J210" s="181">
        <v>1</v>
      </c>
      <c r="K210" s="181">
        <v>0</v>
      </c>
      <c r="L210" s="181">
        <v>1</v>
      </c>
      <c r="M210" s="181">
        <v>0</v>
      </c>
      <c r="N210" s="181">
        <v>0</v>
      </c>
      <c r="O210" s="181">
        <v>0</v>
      </c>
      <c r="P210" s="181">
        <v>0</v>
      </c>
      <c r="Q210" s="181">
        <v>0</v>
      </c>
      <c r="R210" s="181">
        <v>0</v>
      </c>
      <c r="S210" s="181">
        <v>0</v>
      </c>
      <c r="T210" s="181">
        <v>0</v>
      </c>
      <c r="U210" s="181">
        <v>0</v>
      </c>
      <c r="V210" s="181">
        <v>0</v>
      </c>
      <c r="W210" s="181">
        <v>0</v>
      </c>
      <c r="X210" s="181">
        <v>0</v>
      </c>
      <c r="Y210" s="181">
        <v>0</v>
      </c>
      <c r="Z210" s="181"/>
      <c r="AA210" s="181">
        <v>0</v>
      </c>
      <c r="AB210" s="181">
        <v>1</v>
      </c>
      <c r="AC210" s="181">
        <v>0</v>
      </c>
      <c r="AD210" s="181">
        <v>0</v>
      </c>
      <c r="AE210" s="181">
        <v>0</v>
      </c>
      <c r="AF210" s="251">
        <v>0</v>
      </c>
      <c r="AG210" s="182">
        <f t="shared" si="20"/>
        <v>4</v>
      </c>
    </row>
    <row r="211" spans="1:34" ht="15.75" customHeight="1" x14ac:dyDescent="0.25">
      <c r="A211" s="183" t="s">
        <v>51</v>
      </c>
      <c r="B211" s="184">
        <v>3</v>
      </c>
      <c r="C211" s="185">
        <v>3</v>
      </c>
      <c r="D211" s="185">
        <v>5</v>
      </c>
      <c r="E211" s="185">
        <v>4</v>
      </c>
      <c r="F211" s="185">
        <v>4</v>
      </c>
      <c r="G211" s="185">
        <v>3</v>
      </c>
      <c r="H211" s="185">
        <v>3</v>
      </c>
      <c r="I211" s="185">
        <v>2</v>
      </c>
      <c r="J211" s="185">
        <v>1</v>
      </c>
      <c r="K211" s="185">
        <v>4</v>
      </c>
      <c r="L211" s="185">
        <v>2</v>
      </c>
      <c r="M211" s="185">
        <v>3</v>
      </c>
      <c r="N211" s="185">
        <v>3</v>
      </c>
      <c r="O211" s="185">
        <v>3</v>
      </c>
      <c r="P211" s="185">
        <v>5</v>
      </c>
      <c r="Q211" s="185">
        <v>3</v>
      </c>
      <c r="R211" s="185">
        <v>0</v>
      </c>
      <c r="S211" s="185">
        <v>2</v>
      </c>
      <c r="T211" s="185">
        <v>4</v>
      </c>
      <c r="U211" s="185">
        <v>2</v>
      </c>
      <c r="V211" s="185">
        <v>1</v>
      </c>
      <c r="W211" s="185">
        <v>1</v>
      </c>
      <c r="X211" s="185">
        <v>3</v>
      </c>
      <c r="Y211" s="185">
        <v>3</v>
      </c>
      <c r="Z211" s="185">
        <v>1</v>
      </c>
      <c r="AA211" s="185">
        <v>1</v>
      </c>
      <c r="AB211" s="185">
        <v>5</v>
      </c>
      <c r="AC211" s="185">
        <v>2</v>
      </c>
      <c r="AD211" s="185">
        <v>0</v>
      </c>
      <c r="AE211" s="185">
        <v>2</v>
      </c>
      <c r="AF211" s="252">
        <v>0</v>
      </c>
      <c r="AG211" s="186">
        <f t="shared" si="20"/>
        <v>78</v>
      </c>
    </row>
    <row r="212" spans="1:34" ht="15.75" customHeight="1" x14ac:dyDescent="0.25">
      <c r="A212" s="183" t="s">
        <v>52</v>
      </c>
      <c r="B212" s="184">
        <v>34</v>
      </c>
      <c r="C212" s="185">
        <v>41</v>
      </c>
      <c r="D212" s="185">
        <v>40</v>
      </c>
      <c r="E212" s="185">
        <v>26</v>
      </c>
      <c r="F212" s="185">
        <v>18</v>
      </c>
      <c r="G212" s="185">
        <v>17</v>
      </c>
      <c r="H212" s="185">
        <v>36</v>
      </c>
      <c r="I212" s="185">
        <v>31</v>
      </c>
      <c r="J212" s="185">
        <v>30</v>
      </c>
      <c r="K212" s="185">
        <v>36</v>
      </c>
      <c r="L212" s="185">
        <v>24</v>
      </c>
      <c r="M212" s="185">
        <v>22</v>
      </c>
      <c r="N212" s="185">
        <v>28</v>
      </c>
      <c r="O212" s="185">
        <v>39</v>
      </c>
      <c r="P212" s="185">
        <v>30</v>
      </c>
      <c r="Q212" s="185">
        <v>37</v>
      </c>
      <c r="R212" s="185">
        <v>23</v>
      </c>
      <c r="S212" s="185">
        <v>37</v>
      </c>
      <c r="T212" s="185">
        <v>45</v>
      </c>
      <c r="U212" s="185">
        <v>32</v>
      </c>
      <c r="V212" s="185">
        <v>25</v>
      </c>
      <c r="W212" s="185">
        <v>39</v>
      </c>
      <c r="X212" s="185">
        <v>35</v>
      </c>
      <c r="Y212" s="185">
        <v>35</v>
      </c>
      <c r="Z212" s="185">
        <v>20</v>
      </c>
      <c r="AA212" s="185">
        <v>25</v>
      </c>
      <c r="AB212" s="185">
        <v>29</v>
      </c>
      <c r="AC212" s="185">
        <v>21</v>
      </c>
      <c r="AD212" s="185">
        <v>40</v>
      </c>
      <c r="AE212" s="185">
        <v>38</v>
      </c>
      <c r="AF212" s="252">
        <v>27</v>
      </c>
      <c r="AG212" s="186">
        <f t="shared" si="20"/>
        <v>960</v>
      </c>
    </row>
    <row r="213" spans="1:34" ht="15.75" customHeight="1" x14ac:dyDescent="0.25">
      <c r="A213" s="183" t="s">
        <v>53</v>
      </c>
      <c r="B213" s="184">
        <v>145</v>
      </c>
      <c r="C213" s="185">
        <v>126</v>
      </c>
      <c r="D213" s="185">
        <v>113</v>
      </c>
      <c r="E213" s="185">
        <v>133</v>
      </c>
      <c r="F213" s="185">
        <v>100</v>
      </c>
      <c r="G213" s="185">
        <v>144</v>
      </c>
      <c r="H213" s="185">
        <v>142</v>
      </c>
      <c r="I213" s="185">
        <v>158</v>
      </c>
      <c r="J213" s="185">
        <v>166</v>
      </c>
      <c r="K213" s="185">
        <v>122</v>
      </c>
      <c r="L213" s="185">
        <v>120</v>
      </c>
      <c r="M213" s="185">
        <v>131</v>
      </c>
      <c r="N213" s="185">
        <v>138</v>
      </c>
      <c r="O213" s="185">
        <v>149</v>
      </c>
      <c r="P213" s="185">
        <v>140</v>
      </c>
      <c r="Q213" s="185">
        <v>139</v>
      </c>
      <c r="R213" s="185">
        <v>146</v>
      </c>
      <c r="S213" s="185">
        <v>141</v>
      </c>
      <c r="T213" s="185">
        <v>126</v>
      </c>
      <c r="U213" s="185">
        <v>123</v>
      </c>
      <c r="V213" s="185">
        <v>172</v>
      </c>
      <c r="W213" s="185">
        <v>153</v>
      </c>
      <c r="X213" s="185">
        <v>137</v>
      </c>
      <c r="Y213" s="185">
        <v>145</v>
      </c>
      <c r="Z213" s="185">
        <v>140</v>
      </c>
      <c r="AA213" s="185">
        <v>143</v>
      </c>
      <c r="AB213" s="185">
        <v>132</v>
      </c>
      <c r="AC213" s="185">
        <v>174</v>
      </c>
      <c r="AD213" s="185">
        <v>141</v>
      </c>
      <c r="AE213" s="185">
        <v>136</v>
      </c>
      <c r="AF213" s="252">
        <v>116</v>
      </c>
      <c r="AG213" s="186">
        <f t="shared" si="20"/>
        <v>4291</v>
      </c>
    </row>
    <row r="214" spans="1:34" ht="15.75" customHeight="1" thickBot="1" x14ac:dyDescent="0.3">
      <c r="A214" s="187" t="s">
        <v>54</v>
      </c>
      <c r="B214" s="188">
        <v>18</v>
      </c>
      <c r="C214" s="189">
        <v>13</v>
      </c>
      <c r="D214" s="189">
        <v>19</v>
      </c>
      <c r="E214" s="189">
        <v>17</v>
      </c>
      <c r="F214" s="189">
        <v>18</v>
      </c>
      <c r="G214" s="189">
        <v>30</v>
      </c>
      <c r="H214" s="189">
        <v>27</v>
      </c>
      <c r="I214" s="189">
        <v>36</v>
      </c>
      <c r="J214" s="189">
        <v>35</v>
      </c>
      <c r="K214" s="189">
        <v>20</v>
      </c>
      <c r="L214" s="189">
        <v>22</v>
      </c>
      <c r="M214" s="189">
        <v>23</v>
      </c>
      <c r="N214" s="189">
        <v>29</v>
      </c>
      <c r="O214" s="189">
        <v>27</v>
      </c>
      <c r="P214" s="189">
        <v>51</v>
      </c>
      <c r="Q214" s="189">
        <v>15</v>
      </c>
      <c r="R214" s="189">
        <v>23</v>
      </c>
      <c r="S214" s="189">
        <v>23</v>
      </c>
      <c r="T214" s="189">
        <v>42</v>
      </c>
      <c r="U214" s="189">
        <v>30</v>
      </c>
      <c r="V214" s="189">
        <v>12</v>
      </c>
      <c r="W214" s="189">
        <v>16</v>
      </c>
      <c r="X214" s="189">
        <v>17</v>
      </c>
      <c r="Y214" s="189">
        <v>10</v>
      </c>
      <c r="Z214" s="189">
        <v>15</v>
      </c>
      <c r="AA214" s="189">
        <v>23</v>
      </c>
      <c r="AB214" s="189">
        <v>31</v>
      </c>
      <c r="AC214" s="189">
        <v>16</v>
      </c>
      <c r="AD214" s="189">
        <v>21</v>
      </c>
      <c r="AE214" s="189">
        <v>22</v>
      </c>
      <c r="AF214" s="253">
        <v>46</v>
      </c>
      <c r="AG214" s="190">
        <f t="shared" si="20"/>
        <v>747</v>
      </c>
    </row>
    <row r="215" spans="1:34" ht="15.75" customHeight="1" thickBot="1" x14ac:dyDescent="0.3">
      <c r="A215" s="113" t="s">
        <v>150</v>
      </c>
      <c r="B215" s="114">
        <f t="shared" ref="B215:AF215" si="30">SUM(B216:B218)</f>
        <v>0</v>
      </c>
      <c r="C215" s="115">
        <f t="shared" si="30"/>
        <v>0</v>
      </c>
      <c r="D215" s="115">
        <f t="shared" si="30"/>
        <v>0</v>
      </c>
      <c r="E215" s="115">
        <f t="shared" si="30"/>
        <v>0</v>
      </c>
      <c r="F215" s="115">
        <f t="shared" si="30"/>
        <v>0</v>
      </c>
      <c r="G215" s="115">
        <f t="shared" si="30"/>
        <v>0</v>
      </c>
      <c r="H215" s="115">
        <f t="shared" si="30"/>
        <v>0</v>
      </c>
      <c r="I215" s="115">
        <f t="shared" si="30"/>
        <v>0</v>
      </c>
      <c r="J215" s="115">
        <f t="shared" si="30"/>
        <v>0</v>
      </c>
      <c r="K215" s="115">
        <f t="shared" si="30"/>
        <v>0</v>
      </c>
      <c r="L215" s="115">
        <f t="shared" si="30"/>
        <v>0</v>
      </c>
      <c r="M215" s="115">
        <f t="shared" si="30"/>
        <v>0</v>
      </c>
      <c r="N215" s="115">
        <f t="shared" si="30"/>
        <v>0</v>
      </c>
      <c r="O215" s="115">
        <f t="shared" si="30"/>
        <v>0</v>
      </c>
      <c r="P215" s="115">
        <f t="shared" si="30"/>
        <v>0</v>
      </c>
      <c r="Q215" s="115">
        <f t="shared" si="30"/>
        <v>0</v>
      </c>
      <c r="R215" s="115">
        <f t="shared" si="30"/>
        <v>0</v>
      </c>
      <c r="S215" s="115">
        <f t="shared" si="30"/>
        <v>0</v>
      </c>
      <c r="T215" s="115">
        <f t="shared" si="30"/>
        <v>0</v>
      </c>
      <c r="U215" s="115">
        <f t="shared" si="30"/>
        <v>0</v>
      </c>
      <c r="V215" s="115">
        <f t="shared" si="30"/>
        <v>0</v>
      </c>
      <c r="W215" s="115">
        <f t="shared" si="30"/>
        <v>0</v>
      </c>
      <c r="X215" s="115">
        <f t="shared" si="30"/>
        <v>0</v>
      </c>
      <c r="Y215" s="115">
        <f t="shared" si="30"/>
        <v>0</v>
      </c>
      <c r="Z215" s="115">
        <f t="shared" si="30"/>
        <v>0</v>
      </c>
      <c r="AA215" s="115">
        <f t="shared" si="30"/>
        <v>0</v>
      </c>
      <c r="AB215" s="115">
        <f t="shared" si="30"/>
        <v>0</v>
      </c>
      <c r="AC215" s="115">
        <f t="shared" si="30"/>
        <v>0</v>
      </c>
      <c r="AD215" s="115">
        <f t="shared" si="30"/>
        <v>0</v>
      </c>
      <c r="AE215" s="115">
        <f t="shared" si="30"/>
        <v>0</v>
      </c>
      <c r="AF215" s="234">
        <f t="shared" si="30"/>
        <v>0</v>
      </c>
      <c r="AG215" s="116">
        <f t="shared" si="20"/>
        <v>0</v>
      </c>
    </row>
    <row r="216" spans="1:34" ht="15.75" customHeight="1" x14ac:dyDescent="0.25">
      <c r="A216" s="191" t="s">
        <v>151</v>
      </c>
      <c r="B216" s="192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254"/>
      <c r="AG216" s="194">
        <f t="shared" si="20"/>
        <v>0</v>
      </c>
    </row>
    <row r="217" spans="1:34" ht="15.75" customHeight="1" x14ac:dyDescent="0.25">
      <c r="A217" s="195" t="s">
        <v>152</v>
      </c>
      <c r="B217" s="196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255"/>
      <c r="AG217" s="164">
        <f t="shared" si="20"/>
        <v>0</v>
      </c>
    </row>
    <row r="218" spans="1:34" ht="15.75" customHeight="1" thickBot="1" x14ac:dyDescent="0.3">
      <c r="A218" s="195" t="s">
        <v>153</v>
      </c>
      <c r="B218" s="196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255"/>
      <c r="AG218" s="164">
        <f t="shared" si="20"/>
        <v>0</v>
      </c>
    </row>
    <row r="219" spans="1:34" ht="15.75" customHeight="1" thickBot="1" x14ac:dyDescent="0.3">
      <c r="A219" s="88" t="s">
        <v>154</v>
      </c>
      <c r="B219" s="89">
        <f t="shared" ref="B219:AF219" si="31">SUM(B220:B222)</f>
        <v>0</v>
      </c>
      <c r="C219" s="90">
        <f t="shared" si="31"/>
        <v>0</v>
      </c>
      <c r="D219" s="90">
        <f t="shared" si="31"/>
        <v>0</v>
      </c>
      <c r="E219" s="90">
        <f t="shared" si="31"/>
        <v>0</v>
      </c>
      <c r="F219" s="90">
        <f t="shared" si="31"/>
        <v>0</v>
      </c>
      <c r="G219" s="90">
        <f t="shared" si="31"/>
        <v>0</v>
      </c>
      <c r="H219" s="90">
        <f t="shared" si="31"/>
        <v>0</v>
      </c>
      <c r="I219" s="90">
        <f t="shared" si="31"/>
        <v>0</v>
      </c>
      <c r="J219" s="90">
        <f t="shared" si="31"/>
        <v>0</v>
      </c>
      <c r="K219" s="90">
        <f t="shared" si="31"/>
        <v>0</v>
      </c>
      <c r="L219" s="90">
        <f t="shared" si="31"/>
        <v>0</v>
      </c>
      <c r="M219" s="90">
        <f t="shared" si="31"/>
        <v>0</v>
      </c>
      <c r="N219" s="90">
        <f t="shared" si="31"/>
        <v>0</v>
      </c>
      <c r="O219" s="90">
        <f t="shared" si="31"/>
        <v>0</v>
      </c>
      <c r="P219" s="90">
        <f t="shared" si="31"/>
        <v>0</v>
      </c>
      <c r="Q219" s="90">
        <f t="shared" si="31"/>
        <v>0</v>
      </c>
      <c r="R219" s="90">
        <f t="shared" si="31"/>
        <v>0</v>
      </c>
      <c r="S219" s="90">
        <f t="shared" si="31"/>
        <v>0</v>
      </c>
      <c r="T219" s="90">
        <f t="shared" si="31"/>
        <v>0</v>
      </c>
      <c r="U219" s="90">
        <f t="shared" si="31"/>
        <v>0</v>
      </c>
      <c r="V219" s="90">
        <f t="shared" si="31"/>
        <v>0</v>
      </c>
      <c r="W219" s="90">
        <f t="shared" si="31"/>
        <v>0</v>
      </c>
      <c r="X219" s="90">
        <f t="shared" si="31"/>
        <v>0</v>
      </c>
      <c r="Y219" s="90">
        <f t="shared" si="31"/>
        <v>0</v>
      </c>
      <c r="Z219" s="90">
        <f t="shared" si="31"/>
        <v>0</v>
      </c>
      <c r="AA219" s="90">
        <f t="shared" si="31"/>
        <v>0</v>
      </c>
      <c r="AB219" s="90">
        <f t="shared" si="31"/>
        <v>0</v>
      </c>
      <c r="AC219" s="90">
        <f t="shared" si="31"/>
        <v>0</v>
      </c>
      <c r="AD219" s="90">
        <f t="shared" si="31"/>
        <v>0</v>
      </c>
      <c r="AE219" s="90">
        <f t="shared" si="31"/>
        <v>0</v>
      </c>
      <c r="AF219" s="90">
        <f t="shared" si="31"/>
        <v>0</v>
      </c>
      <c r="AG219" s="91">
        <f t="shared" si="20"/>
        <v>0</v>
      </c>
    </row>
    <row r="220" spans="1:34" ht="15.75" customHeight="1" x14ac:dyDescent="0.25">
      <c r="A220" s="198" t="s">
        <v>155</v>
      </c>
      <c r="B220" s="199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1">
        <f t="shared" si="20"/>
        <v>0</v>
      </c>
    </row>
    <row r="221" spans="1:34" ht="15.75" customHeight="1" x14ac:dyDescent="0.25">
      <c r="A221" s="202" t="s">
        <v>156</v>
      </c>
      <c r="B221" s="120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2">
        <f t="shared" si="20"/>
        <v>0</v>
      </c>
    </row>
    <row r="222" spans="1:34" ht="15.75" customHeight="1" thickBot="1" x14ac:dyDescent="0.3">
      <c r="A222" s="74" t="s">
        <v>157</v>
      </c>
      <c r="B222" s="75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112">
        <f t="shared" si="20"/>
        <v>0</v>
      </c>
    </row>
    <row r="223" spans="1:34" ht="15.75" customHeight="1" x14ac:dyDescent="0.25">
      <c r="A223" s="203" t="s">
        <v>158</v>
      </c>
      <c r="B223" s="85">
        <f t="shared" ref="B223:AF223" si="32">SUM(B224:B226)</f>
        <v>3</v>
      </c>
      <c r="C223" s="86">
        <f t="shared" si="32"/>
        <v>2</v>
      </c>
      <c r="D223" s="86">
        <f t="shared" si="32"/>
        <v>6</v>
      </c>
      <c r="E223" s="86">
        <f t="shared" si="32"/>
        <v>1</v>
      </c>
      <c r="F223" s="86">
        <f t="shared" si="32"/>
        <v>3</v>
      </c>
      <c r="G223" s="86">
        <f t="shared" si="32"/>
        <v>2</v>
      </c>
      <c r="H223" s="86">
        <f t="shared" si="32"/>
        <v>1</v>
      </c>
      <c r="I223" s="86">
        <f t="shared" si="32"/>
        <v>3</v>
      </c>
      <c r="J223" s="86">
        <f t="shared" si="32"/>
        <v>3</v>
      </c>
      <c r="K223" s="86">
        <f t="shared" si="32"/>
        <v>5</v>
      </c>
      <c r="L223" s="86">
        <f t="shared" si="32"/>
        <v>5</v>
      </c>
      <c r="M223" s="86">
        <f t="shared" si="32"/>
        <v>4</v>
      </c>
      <c r="N223" s="86">
        <f t="shared" si="32"/>
        <v>2</v>
      </c>
      <c r="O223" s="86">
        <f t="shared" si="32"/>
        <v>7</v>
      </c>
      <c r="P223" s="86">
        <f t="shared" si="32"/>
        <v>3</v>
      </c>
      <c r="Q223" s="86">
        <f t="shared" si="32"/>
        <v>6</v>
      </c>
      <c r="R223" s="86">
        <f t="shared" si="32"/>
        <v>3</v>
      </c>
      <c r="S223" s="86">
        <f t="shared" si="32"/>
        <v>2</v>
      </c>
      <c r="T223" s="86">
        <f t="shared" si="32"/>
        <v>1</v>
      </c>
      <c r="U223" s="86">
        <f t="shared" si="32"/>
        <v>2</v>
      </c>
      <c r="V223" s="86">
        <f t="shared" si="32"/>
        <v>2</v>
      </c>
      <c r="W223" s="86">
        <f t="shared" si="32"/>
        <v>2</v>
      </c>
      <c r="X223" s="86">
        <f t="shared" si="32"/>
        <v>4</v>
      </c>
      <c r="Y223" s="86">
        <f t="shared" si="32"/>
        <v>3</v>
      </c>
      <c r="Z223" s="86">
        <f t="shared" si="32"/>
        <v>4</v>
      </c>
      <c r="AA223" s="86">
        <f t="shared" si="32"/>
        <v>4</v>
      </c>
      <c r="AB223" s="86">
        <f t="shared" si="32"/>
        <v>5</v>
      </c>
      <c r="AC223" s="86">
        <f t="shared" si="32"/>
        <v>3</v>
      </c>
      <c r="AD223" s="86">
        <f t="shared" si="32"/>
        <v>1</v>
      </c>
      <c r="AE223" s="86">
        <f t="shared" si="32"/>
        <v>3</v>
      </c>
      <c r="AF223" s="86">
        <f t="shared" si="32"/>
        <v>0</v>
      </c>
      <c r="AG223" s="110">
        <f t="shared" si="20"/>
        <v>95</v>
      </c>
      <c r="AH223" s="364" t="s">
        <v>159</v>
      </c>
    </row>
    <row r="224" spans="1:34" ht="15.75" customHeight="1" x14ac:dyDescent="0.25">
      <c r="A224" s="204" t="s">
        <v>160</v>
      </c>
      <c r="B224" s="205">
        <v>0</v>
      </c>
      <c r="C224" s="206">
        <v>1</v>
      </c>
      <c r="D224" s="206">
        <v>3</v>
      </c>
      <c r="E224" s="206">
        <v>0</v>
      </c>
      <c r="F224" s="206">
        <v>2</v>
      </c>
      <c r="G224" s="206">
        <v>0</v>
      </c>
      <c r="H224" s="206">
        <v>0</v>
      </c>
      <c r="I224" s="206">
        <v>1</v>
      </c>
      <c r="J224" s="206">
        <v>1</v>
      </c>
      <c r="K224" s="206">
        <v>3</v>
      </c>
      <c r="L224" s="206">
        <v>2</v>
      </c>
      <c r="M224" s="206">
        <v>2</v>
      </c>
      <c r="N224" s="205">
        <v>1</v>
      </c>
      <c r="O224" s="206">
        <v>1</v>
      </c>
      <c r="P224" s="206">
        <v>1</v>
      </c>
      <c r="Q224" s="206">
        <v>3</v>
      </c>
      <c r="R224" s="206">
        <v>1</v>
      </c>
      <c r="S224" s="206">
        <v>2</v>
      </c>
      <c r="T224" s="206">
        <v>0</v>
      </c>
      <c r="U224" s="206">
        <v>1</v>
      </c>
      <c r="V224" s="206">
        <v>0</v>
      </c>
      <c r="W224" s="206">
        <v>1</v>
      </c>
      <c r="X224" s="206">
        <v>1</v>
      </c>
      <c r="Y224" s="206">
        <v>1</v>
      </c>
      <c r="Z224" s="256">
        <v>1</v>
      </c>
      <c r="AA224" s="206">
        <v>2</v>
      </c>
      <c r="AB224" s="206">
        <v>3</v>
      </c>
      <c r="AC224" s="206">
        <v>2</v>
      </c>
      <c r="AD224" s="206">
        <v>1</v>
      </c>
      <c r="AE224" s="206">
        <v>1</v>
      </c>
      <c r="AF224" s="257"/>
      <c r="AG224" s="207">
        <f t="shared" si="20"/>
        <v>38</v>
      </c>
      <c r="AH224" s="365"/>
    </row>
    <row r="225" spans="1:34" ht="15.75" customHeight="1" x14ac:dyDescent="0.25">
      <c r="A225" s="204" t="s">
        <v>161</v>
      </c>
      <c r="B225" s="205">
        <v>3</v>
      </c>
      <c r="C225" s="206">
        <v>1</v>
      </c>
      <c r="D225" s="206">
        <v>3</v>
      </c>
      <c r="E225" s="206">
        <v>1</v>
      </c>
      <c r="F225" s="206">
        <v>1</v>
      </c>
      <c r="G225" s="206">
        <v>2</v>
      </c>
      <c r="H225" s="206">
        <v>1</v>
      </c>
      <c r="I225" s="206">
        <v>2</v>
      </c>
      <c r="J225" s="206">
        <v>2</v>
      </c>
      <c r="K225" s="206">
        <v>2</v>
      </c>
      <c r="L225" s="206">
        <v>3</v>
      </c>
      <c r="M225" s="206">
        <v>2</v>
      </c>
      <c r="N225" s="205">
        <v>1</v>
      </c>
      <c r="O225" s="206">
        <v>6</v>
      </c>
      <c r="P225" s="206">
        <v>2</v>
      </c>
      <c r="Q225" s="206">
        <v>3</v>
      </c>
      <c r="R225" s="206">
        <v>2</v>
      </c>
      <c r="S225" s="206">
        <v>0</v>
      </c>
      <c r="T225" s="206">
        <v>1</v>
      </c>
      <c r="U225" s="206">
        <v>1</v>
      </c>
      <c r="V225" s="206">
        <v>2</v>
      </c>
      <c r="W225" s="206">
        <v>1</v>
      </c>
      <c r="X225" s="206">
        <v>3</v>
      </c>
      <c r="Y225" s="206">
        <v>2</v>
      </c>
      <c r="Z225" s="256">
        <v>3</v>
      </c>
      <c r="AA225" s="206">
        <v>2</v>
      </c>
      <c r="AB225" s="206">
        <v>2</v>
      </c>
      <c r="AC225" s="206">
        <v>1</v>
      </c>
      <c r="AD225" s="206">
        <v>0</v>
      </c>
      <c r="AE225" s="206">
        <v>2</v>
      </c>
      <c r="AF225" s="257"/>
      <c r="AG225" s="207">
        <f t="shared" si="20"/>
        <v>57</v>
      </c>
      <c r="AH225" s="365"/>
    </row>
    <row r="226" spans="1:34" ht="15.75" customHeight="1" thickBot="1" x14ac:dyDescent="0.3">
      <c r="A226" s="208" t="s">
        <v>162</v>
      </c>
      <c r="B226" s="209"/>
      <c r="C226" s="210"/>
      <c r="D226" s="210"/>
      <c r="E226" s="210"/>
      <c r="F226" s="210"/>
      <c r="G226" s="210"/>
      <c r="H226" s="210"/>
      <c r="I226" s="210"/>
      <c r="J226" s="210"/>
      <c r="K226" s="211"/>
      <c r="L226" s="211"/>
      <c r="M226" s="211"/>
      <c r="N226" s="258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60"/>
      <c r="AG226" s="106">
        <f t="shared" si="20"/>
        <v>0</v>
      </c>
      <c r="AH226" s="366"/>
    </row>
    <row r="227" spans="1:34" ht="15.75" customHeight="1" x14ac:dyDescent="0.25"/>
    <row r="228" spans="1:34" ht="15.75" customHeight="1" x14ac:dyDescent="0.25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</row>
    <row r="229" spans="1:34" ht="15.75" customHeight="1" x14ac:dyDescent="0.25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</row>
    <row r="230" spans="1:34" ht="15.75" customHeight="1" x14ac:dyDescent="0.25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</row>
    <row r="231" spans="1:34" ht="15.75" customHeight="1" x14ac:dyDescent="0.25"/>
    <row r="232" spans="1:34" ht="15.75" customHeight="1" x14ac:dyDescent="0.25"/>
    <row r="233" spans="1:34" ht="15.75" customHeight="1" x14ac:dyDescent="0.25"/>
    <row r="234" spans="1:34" ht="15.75" customHeight="1" x14ac:dyDescent="0.25"/>
    <row r="235" spans="1:34" ht="15.75" customHeight="1" x14ac:dyDescent="0.25"/>
    <row r="236" spans="1:34" ht="15.75" customHeight="1" x14ac:dyDescent="0.25"/>
    <row r="237" spans="1:34" ht="15.75" customHeight="1" x14ac:dyDescent="0.25"/>
    <row r="238" spans="1:34" ht="15.75" customHeight="1" x14ac:dyDescent="0.25"/>
    <row r="239" spans="1:34" ht="15.75" customHeight="1" x14ac:dyDescent="0.25"/>
    <row r="240" spans="1:3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9.5" customHeight="1" x14ac:dyDescent="0.25"/>
    <row r="258" ht="15.75" customHeight="1" x14ac:dyDescent="0.25"/>
    <row r="259" ht="18.75" customHeight="1" x14ac:dyDescent="0.25"/>
    <row r="260" ht="15.75" customHeight="1" x14ac:dyDescent="0.25"/>
    <row r="261" ht="15.75" customHeight="1" x14ac:dyDescent="0.25"/>
    <row r="262" ht="18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G1"/>
    <mergeCell ref="AI84:AI86"/>
    <mergeCell ref="AH223:AH226"/>
  </mergeCells>
  <conditionalFormatting sqref="B54:B77">
    <cfRule type="cellIs" dxfId="36" priority="1" operator="lessThan">
      <formula>0</formula>
    </cfRule>
  </conditionalFormatting>
  <conditionalFormatting sqref="B29:AF52">
    <cfRule type="cellIs" dxfId="35" priority="6" operator="lessThan">
      <formula>0</formula>
    </cfRule>
  </conditionalFormatting>
  <conditionalFormatting sqref="D54:D77">
    <cfRule type="cellIs" dxfId="34" priority="10" operator="lessThan">
      <formula>0</formula>
    </cfRule>
  </conditionalFormatting>
  <conditionalFormatting sqref="G54:G77">
    <cfRule type="cellIs" dxfId="33" priority="11" operator="lessThan">
      <formula>0</formula>
    </cfRule>
  </conditionalFormatting>
  <conditionalFormatting sqref="AH81">
    <cfRule type="cellIs" dxfId="32" priority="8" operator="equal">
      <formula>"*"</formula>
    </cfRule>
  </conditionalFormatting>
  <conditionalFormatting sqref="AH84 AH87">
    <cfRule type="cellIs" dxfId="31" priority="7" operator="equal">
      <formula>"*"</formula>
    </cfRule>
  </conditionalFormatting>
  <conditionalFormatting sqref="AH93">
    <cfRule type="cellIs" dxfId="30" priority="2" operator="equal">
      <formula>"*"</formula>
    </cfRule>
  </conditionalFormatting>
  <conditionalFormatting sqref="AH130">
    <cfRule type="cellIs" dxfId="29" priority="4" operator="equal">
      <formula>"*"</formula>
    </cfRule>
  </conditionalFormatting>
  <conditionalFormatting sqref="AH144:AH145">
    <cfRule type="cellIs" dxfId="28" priority="3" operator="equal">
      <formula>"*"</formula>
    </cfRule>
  </conditionalFormatting>
  <conditionalFormatting sqref="AH182">
    <cfRule type="cellIs" dxfId="27" priority="5" operator="equal">
      <formula>"*"</formula>
    </cfRule>
  </conditionalFormatting>
  <conditionalFormatting sqref="AH209">
    <cfRule type="cellIs" dxfId="26" priority="9" operator="equal">
      <formula>"X"</formula>
    </cfRule>
  </conditionalFormatting>
  <dataValidations disablePrompts="1" count="1">
    <dataValidation type="decimal" allowBlank="1" showInputMessage="1" showErrorMessage="1" prompt="ERROR - Por favor ingrese solo Números" sqref="A98:A99 A101:A115" xr:uid="{00000000-0002-0000-0900-000000000000}">
      <formula1>0</formula1>
      <formula2>1000000000</formula2>
    </dataValidation>
  </dataValidation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AI1000"/>
  <sheetViews>
    <sheetView zoomScale="80" zoomScaleNormal="80" workbookViewId="0">
      <pane xSplit="1" ySplit="1" topLeftCell="B2" activePane="bottomRight" state="frozen"/>
      <selection activeCell="A192" sqref="A192:XFD192"/>
      <selection pane="topRight" activeCell="A192" sqref="A192:XFD192"/>
      <selection pane="bottomLeft" activeCell="A192" sqref="A192:XFD192"/>
      <selection pane="bottomRight" activeCell="A192" sqref="A192:XFD192"/>
    </sheetView>
  </sheetViews>
  <sheetFormatPr baseColWidth="10" defaultColWidth="14.42578125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  <col min="35" max="35" width="10.7109375" customWidth="1"/>
  </cols>
  <sheetData>
    <row r="1" spans="1:33" ht="21.75" thickBot="1" x14ac:dyDescent="0.3">
      <c r="A1" s="358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60"/>
    </row>
    <row r="2" spans="1:33" ht="29.25" thickBot="1" x14ac:dyDescent="0.3">
      <c r="A2" s="1" t="s">
        <v>0</v>
      </c>
      <c r="B2" s="2">
        <v>1</v>
      </c>
      <c r="C2" s="212">
        <f t="shared" ref="C2:AA2" si="0">+B2+1</f>
        <v>2</v>
      </c>
      <c r="D2" s="212">
        <f t="shared" si="0"/>
        <v>3</v>
      </c>
      <c r="E2" s="212">
        <f t="shared" si="0"/>
        <v>4</v>
      </c>
      <c r="F2" s="212">
        <f t="shared" si="0"/>
        <v>5</v>
      </c>
      <c r="G2" s="212">
        <f t="shared" si="0"/>
        <v>6</v>
      </c>
      <c r="H2" s="212">
        <f t="shared" si="0"/>
        <v>7</v>
      </c>
      <c r="I2" s="212">
        <f t="shared" si="0"/>
        <v>8</v>
      </c>
      <c r="J2" s="212">
        <f t="shared" si="0"/>
        <v>9</v>
      </c>
      <c r="K2" s="212">
        <f t="shared" si="0"/>
        <v>10</v>
      </c>
      <c r="L2" s="212">
        <f t="shared" si="0"/>
        <v>11</v>
      </c>
      <c r="M2" s="212">
        <f t="shared" si="0"/>
        <v>12</v>
      </c>
      <c r="N2" s="212">
        <f t="shared" si="0"/>
        <v>13</v>
      </c>
      <c r="O2" s="212">
        <f t="shared" si="0"/>
        <v>14</v>
      </c>
      <c r="P2" s="212">
        <f t="shared" si="0"/>
        <v>15</v>
      </c>
      <c r="Q2" s="212">
        <f t="shared" si="0"/>
        <v>16</v>
      </c>
      <c r="R2" s="212">
        <f t="shared" si="0"/>
        <v>17</v>
      </c>
      <c r="S2" s="212">
        <f t="shared" si="0"/>
        <v>18</v>
      </c>
      <c r="T2" s="212">
        <f t="shared" si="0"/>
        <v>19</v>
      </c>
      <c r="U2" s="212">
        <f t="shared" si="0"/>
        <v>20</v>
      </c>
      <c r="V2" s="212">
        <f t="shared" si="0"/>
        <v>21</v>
      </c>
      <c r="W2" s="212">
        <f t="shared" si="0"/>
        <v>22</v>
      </c>
      <c r="X2" s="212">
        <f t="shared" si="0"/>
        <v>23</v>
      </c>
      <c r="Y2" s="212">
        <f t="shared" si="0"/>
        <v>24</v>
      </c>
      <c r="Z2" s="212">
        <f t="shared" si="0"/>
        <v>25</v>
      </c>
      <c r="AA2" s="212">
        <f t="shared" si="0"/>
        <v>26</v>
      </c>
      <c r="AB2" s="212">
        <v>27</v>
      </c>
      <c r="AC2" s="212">
        <f>+AB2+1</f>
        <v>28</v>
      </c>
      <c r="AD2" s="212">
        <v>29</v>
      </c>
      <c r="AE2" s="212">
        <v>30</v>
      </c>
      <c r="AF2" s="212">
        <v>31</v>
      </c>
      <c r="AG2" s="3" t="s">
        <v>13</v>
      </c>
    </row>
    <row r="3" spans="1:33" ht="19.5" thickBot="1" x14ac:dyDescent="0.3">
      <c r="A3" s="4" t="s">
        <v>14</v>
      </c>
      <c r="B3" s="5">
        <f t="shared" ref="B3:AF3" si="1">SUM(B4:B27)</f>
        <v>235</v>
      </c>
      <c r="C3" s="6">
        <f t="shared" si="1"/>
        <v>176</v>
      </c>
      <c r="D3" s="6">
        <f t="shared" si="1"/>
        <v>205</v>
      </c>
      <c r="E3" s="6">
        <f t="shared" si="1"/>
        <v>258</v>
      </c>
      <c r="F3" s="6">
        <f t="shared" si="1"/>
        <v>230</v>
      </c>
      <c r="G3" s="6">
        <f t="shared" si="1"/>
        <v>235</v>
      </c>
      <c r="H3" s="6">
        <f t="shared" si="1"/>
        <v>269</v>
      </c>
      <c r="I3" s="6">
        <f t="shared" si="1"/>
        <v>256</v>
      </c>
      <c r="J3" s="6">
        <f t="shared" si="1"/>
        <v>183</v>
      </c>
      <c r="K3" s="6">
        <f t="shared" si="1"/>
        <v>187</v>
      </c>
      <c r="L3" s="6">
        <f t="shared" si="1"/>
        <v>268</v>
      </c>
      <c r="M3" s="6">
        <f t="shared" si="1"/>
        <v>232</v>
      </c>
      <c r="N3" s="6">
        <f t="shared" si="1"/>
        <v>208</v>
      </c>
      <c r="O3" s="6">
        <f t="shared" si="1"/>
        <v>204</v>
      </c>
      <c r="P3" s="6">
        <f t="shared" si="1"/>
        <v>225</v>
      </c>
      <c r="Q3" s="6">
        <f t="shared" si="1"/>
        <v>199</v>
      </c>
      <c r="R3" s="6">
        <f t="shared" si="1"/>
        <v>188</v>
      </c>
      <c r="S3" s="6">
        <f t="shared" si="1"/>
        <v>188</v>
      </c>
      <c r="T3" s="6">
        <f t="shared" si="1"/>
        <v>234</v>
      </c>
      <c r="U3" s="6">
        <f t="shared" si="1"/>
        <v>325</v>
      </c>
      <c r="V3" s="6">
        <f t="shared" si="1"/>
        <v>285</v>
      </c>
      <c r="W3" s="6">
        <f t="shared" si="1"/>
        <v>274</v>
      </c>
      <c r="X3" s="6">
        <f t="shared" si="1"/>
        <v>253</v>
      </c>
      <c r="Y3" s="6">
        <f t="shared" si="1"/>
        <v>280</v>
      </c>
      <c r="Z3" s="6">
        <f t="shared" si="1"/>
        <v>301</v>
      </c>
      <c r="AA3" s="6">
        <f t="shared" si="1"/>
        <v>301</v>
      </c>
      <c r="AB3" s="6">
        <f t="shared" si="1"/>
        <v>272</v>
      </c>
      <c r="AC3" s="6">
        <f t="shared" si="1"/>
        <v>277</v>
      </c>
      <c r="AD3" s="6">
        <f t="shared" si="1"/>
        <v>213</v>
      </c>
      <c r="AE3" s="6">
        <f t="shared" si="1"/>
        <v>239</v>
      </c>
      <c r="AF3" s="6">
        <f t="shared" si="1"/>
        <v>0</v>
      </c>
      <c r="AG3" s="7">
        <f t="shared" ref="AG3:AG145" si="2">SUM(B3:AF3)</f>
        <v>7200</v>
      </c>
    </row>
    <row r="4" spans="1:33" ht="18.75" x14ac:dyDescent="0.25">
      <c r="A4" s="8" t="s">
        <v>15</v>
      </c>
      <c r="B4" s="9">
        <v>8</v>
      </c>
      <c r="C4" s="10">
        <v>11</v>
      </c>
      <c r="D4" s="10">
        <v>5</v>
      </c>
      <c r="E4" s="10">
        <v>6</v>
      </c>
      <c r="F4" s="10">
        <v>13</v>
      </c>
      <c r="G4" s="10">
        <v>15</v>
      </c>
      <c r="H4" s="10">
        <v>10</v>
      </c>
      <c r="I4" s="10">
        <v>14</v>
      </c>
      <c r="J4" s="10">
        <v>5</v>
      </c>
      <c r="K4" s="10">
        <v>10</v>
      </c>
      <c r="L4" s="10">
        <v>12</v>
      </c>
      <c r="M4" s="10">
        <v>11</v>
      </c>
      <c r="N4" s="10">
        <v>8</v>
      </c>
      <c r="O4" s="10">
        <v>11</v>
      </c>
      <c r="P4" s="10">
        <v>11</v>
      </c>
      <c r="Q4" s="10">
        <v>6</v>
      </c>
      <c r="R4" s="10">
        <v>6</v>
      </c>
      <c r="S4" s="10">
        <v>4</v>
      </c>
      <c r="T4" s="10">
        <v>8</v>
      </c>
      <c r="U4" s="10">
        <v>16</v>
      </c>
      <c r="V4" s="10">
        <v>22</v>
      </c>
      <c r="W4" s="10">
        <v>8</v>
      </c>
      <c r="X4" s="10">
        <v>12</v>
      </c>
      <c r="Y4" s="10">
        <v>13</v>
      </c>
      <c r="Z4" s="10">
        <v>24</v>
      </c>
      <c r="AA4" s="10">
        <v>13</v>
      </c>
      <c r="AB4" s="10">
        <v>8</v>
      </c>
      <c r="AC4" s="10">
        <v>16</v>
      </c>
      <c r="AD4" s="10">
        <v>9</v>
      </c>
      <c r="AE4" s="10">
        <v>13</v>
      </c>
      <c r="AF4" s="213"/>
      <c r="AG4" s="11">
        <f t="shared" si="2"/>
        <v>328</v>
      </c>
    </row>
    <row r="5" spans="1:33" ht="18.75" x14ac:dyDescent="0.25">
      <c r="A5" s="12" t="s">
        <v>16</v>
      </c>
      <c r="B5" s="13">
        <v>12</v>
      </c>
      <c r="C5" s="14">
        <v>11</v>
      </c>
      <c r="D5" s="14">
        <v>9</v>
      </c>
      <c r="E5" s="14">
        <v>14</v>
      </c>
      <c r="F5" s="14">
        <v>11</v>
      </c>
      <c r="G5" s="14">
        <v>12</v>
      </c>
      <c r="H5" s="14">
        <v>9</v>
      </c>
      <c r="I5" s="14">
        <v>13</v>
      </c>
      <c r="J5" s="14">
        <v>11</v>
      </c>
      <c r="K5" s="14">
        <v>10</v>
      </c>
      <c r="L5" s="14">
        <v>22</v>
      </c>
      <c r="M5" s="14">
        <v>19</v>
      </c>
      <c r="N5" s="14">
        <v>11</v>
      </c>
      <c r="O5" s="14">
        <v>10</v>
      </c>
      <c r="P5" s="14">
        <v>11</v>
      </c>
      <c r="Q5" s="14">
        <v>14</v>
      </c>
      <c r="R5" s="14">
        <v>8</v>
      </c>
      <c r="S5" s="14">
        <v>4</v>
      </c>
      <c r="T5" s="14">
        <v>15</v>
      </c>
      <c r="U5" s="14">
        <v>19</v>
      </c>
      <c r="V5" s="14">
        <v>16</v>
      </c>
      <c r="W5" s="14">
        <v>16</v>
      </c>
      <c r="X5" s="14">
        <v>20</v>
      </c>
      <c r="Y5" s="14">
        <v>9</v>
      </c>
      <c r="Z5" s="14">
        <v>24</v>
      </c>
      <c r="AA5" s="14">
        <v>28</v>
      </c>
      <c r="AB5" s="14">
        <v>12</v>
      </c>
      <c r="AC5" s="14">
        <v>21</v>
      </c>
      <c r="AD5" s="14">
        <v>12</v>
      </c>
      <c r="AE5" s="14">
        <v>15</v>
      </c>
      <c r="AF5" s="214"/>
      <c r="AG5" s="15">
        <f t="shared" si="2"/>
        <v>418</v>
      </c>
    </row>
    <row r="6" spans="1:33" ht="18.75" x14ac:dyDescent="0.25">
      <c r="A6" s="12" t="s">
        <v>17</v>
      </c>
      <c r="B6" s="13">
        <v>26</v>
      </c>
      <c r="C6" s="14">
        <v>15</v>
      </c>
      <c r="D6" s="14">
        <v>12</v>
      </c>
      <c r="E6" s="14">
        <v>21</v>
      </c>
      <c r="F6" s="14">
        <v>9</v>
      </c>
      <c r="G6" s="14">
        <v>17</v>
      </c>
      <c r="H6" s="14">
        <v>20</v>
      </c>
      <c r="I6" s="14">
        <v>25</v>
      </c>
      <c r="J6" s="14">
        <v>6</v>
      </c>
      <c r="K6" s="14">
        <v>20</v>
      </c>
      <c r="L6" s="14">
        <v>11</v>
      </c>
      <c r="M6" s="14">
        <v>10</v>
      </c>
      <c r="N6" s="14">
        <v>14</v>
      </c>
      <c r="O6" s="14">
        <v>9</v>
      </c>
      <c r="P6" s="14">
        <v>8</v>
      </c>
      <c r="Q6" s="14">
        <v>13</v>
      </c>
      <c r="R6" s="14">
        <v>15</v>
      </c>
      <c r="S6" s="14">
        <v>12</v>
      </c>
      <c r="T6" s="14">
        <v>11</v>
      </c>
      <c r="U6" s="14">
        <v>22</v>
      </c>
      <c r="V6" s="14">
        <v>12</v>
      </c>
      <c r="W6" s="14">
        <v>20</v>
      </c>
      <c r="X6" s="14">
        <v>11</v>
      </c>
      <c r="Y6" s="14">
        <v>20</v>
      </c>
      <c r="Z6" s="14">
        <v>24</v>
      </c>
      <c r="AA6" s="14">
        <v>37</v>
      </c>
      <c r="AB6" s="14">
        <v>22</v>
      </c>
      <c r="AC6" s="14">
        <v>16</v>
      </c>
      <c r="AD6" s="14">
        <v>16</v>
      </c>
      <c r="AE6" s="14">
        <v>17</v>
      </c>
      <c r="AF6" s="214"/>
      <c r="AG6" s="15">
        <f t="shared" si="2"/>
        <v>491</v>
      </c>
    </row>
    <row r="7" spans="1:33" ht="18.75" x14ac:dyDescent="0.25">
      <c r="A7" s="12" t="s">
        <v>18</v>
      </c>
      <c r="B7" s="13">
        <v>14</v>
      </c>
      <c r="C7" s="14">
        <v>12</v>
      </c>
      <c r="D7" s="14">
        <v>9</v>
      </c>
      <c r="E7" s="14">
        <v>24</v>
      </c>
      <c r="F7" s="14">
        <v>19</v>
      </c>
      <c r="G7" s="14">
        <v>10</v>
      </c>
      <c r="H7" s="14">
        <v>18</v>
      </c>
      <c r="I7" s="14">
        <v>28</v>
      </c>
      <c r="J7" s="14">
        <v>13</v>
      </c>
      <c r="K7" s="14">
        <v>15</v>
      </c>
      <c r="L7" s="14">
        <v>19</v>
      </c>
      <c r="M7" s="14">
        <v>16</v>
      </c>
      <c r="N7" s="14">
        <v>15</v>
      </c>
      <c r="O7" s="14">
        <v>13</v>
      </c>
      <c r="P7" s="14">
        <v>19</v>
      </c>
      <c r="Q7" s="14">
        <v>10</v>
      </c>
      <c r="R7" s="14">
        <v>16</v>
      </c>
      <c r="S7" s="14">
        <v>12</v>
      </c>
      <c r="T7" s="14">
        <v>27</v>
      </c>
      <c r="U7" s="14">
        <v>18</v>
      </c>
      <c r="V7" s="14">
        <v>17</v>
      </c>
      <c r="W7" s="14">
        <v>14</v>
      </c>
      <c r="X7" s="14">
        <v>21</v>
      </c>
      <c r="Y7" s="14">
        <v>18</v>
      </c>
      <c r="Z7" s="14">
        <v>17</v>
      </c>
      <c r="AA7" s="14">
        <v>13</v>
      </c>
      <c r="AB7" s="14">
        <v>15</v>
      </c>
      <c r="AC7" s="14">
        <v>20</v>
      </c>
      <c r="AD7" s="14">
        <v>8</v>
      </c>
      <c r="AE7" s="14">
        <v>18</v>
      </c>
      <c r="AF7" s="214"/>
      <c r="AG7" s="15">
        <f t="shared" si="2"/>
        <v>488</v>
      </c>
    </row>
    <row r="8" spans="1:33" ht="18.75" x14ac:dyDescent="0.25">
      <c r="A8" s="12" t="s">
        <v>19</v>
      </c>
      <c r="B8" s="13">
        <v>13</v>
      </c>
      <c r="C8" s="14">
        <v>18</v>
      </c>
      <c r="D8" s="14">
        <v>26</v>
      </c>
      <c r="E8" s="14">
        <v>15</v>
      </c>
      <c r="F8" s="14">
        <v>16</v>
      </c>
      <c r="G8" s="14">
        <v>14</v>
      </c>
      <c r="H8" s="14">
        <v>19</v>
      </c>
      <c r="I8" s="14">
        <v>14</v>
      </c>
      <c r="J8" s="14">
        <v>12</v>
      </c>
      <c r="K8" s="14">
        <v>13</v>
      </c>
      <c r="L8" s="14">
        <v>12</v>
      </c>
      <c r="M8" s="14">
        <v>9</v>
      </c>
      <c r="N8" s="14">
        <v>12</v>
      </c>
      <c r="O8" s="14">
        <v>10</v>
      </c>
      <c r="P8" s="14">
        <v>8</v>
      </c>
      <c r="Q8" s="14">
        <v>13</v>
      </c>
      <c r="R8" s="14">
        <v>14</v>
      </c>
      <c r="S8" s="14">
        <v>22</v>
      </c>
      <c r="T8" s="14">
        <v>16</v>
      </c>
      <c r="U8" s="14">
        <v>27</v>
      </c>
      <c r="V8" s="14">
        <v>15</v>
      </c>
      <c r="W8" s="14">
        <v>28</v>
      </c>
      <c r="X8" s="14">
        <v>16</v>
      </c>
      <c r="Y8" s="14">
        <v>19</v>
      </c>
      <c r="Z8" s="14">
        <v>16</v>
      </c>
      <c r="AA8" s="14">
        <v>17</v>
      </c>
      <c r="AB8" s="14">
        <v>17</v>
      </c>
      <c r="AC8" s="14">
        <v>14</v>
      </c>
      <c r="AD8" s="14">
        <v>6</v>
      </c>
      <c r="AE8" s="14">
        <v>15</v>
      </c>
      <c r="AF8" s="214"/>
      <c r="AG8" s="15">
        <f t="shared" si="2"/>
        <v>466</v>
      </c>
    </row>
    <row r="9" spans="1:33" ht="18.75" x14ac:dyDescent="0.25">
      <c r="A9" s="12" t="s">
        <v>20</v>
      </c>
      <c r="B9" s="13">
        <v>8</v>
      </c>
      <c r="C9" s="14">
        <v>13</v>
      </c>
      <c r="D9" s="14">
        <v>16</v>
      </c>
      <c r="E9" s="14">
        <v>16</v>
      </c>
      <c r="F9" s="14">
        <v>11</v>
      </c>
      <c r="G9" s="14">
        <v>9</v>
      </c>
      <c r="H9" s="14">
        <v>10</v>
      </c>
      <c r="I9" s="14">
        <v>16</v>
      </c>
      <c r="J9" s="14">
        <v>4</v>
      </c>
      <c r="K9" s="14">
        <v>14</v>
      </c>
      <c r="L9" s="14">
        <v>18</v>
      </c>
      <c r="M9" s="14">
        <v>14</v>
      </c>
      <c r="N9" s="14">
        <v>12</v>
      </c>
      <c r="O9" s="14">
        <v>13</v>
      </c>
      <c r="P9" s="14">
        <v>13</v>
      </c>
      <c r="Q9" s="14">
        <v>14</v>
      </c>
      <c r="R9" s="14">
        <v>15</v>
      </c>
      <c r="S9" s="14">
        <v>16</v>
      </c>
      <c r="T9" s="14">
        <v>19</v>
      </c>
      <c r="U9" s="14">
        <v>25</v>
      </c>
      <c r="V9" s="14">
        <v>12</v>
      </c>
      <c r="W9" s="14">
        <v>22</v>
      </c>
      <c r="X9" s="14">
        <v>21</v>
      </c>
      <c r="Y9" s="14">
        <v>16</v>
      </c>
      <c r="Z9" s="14">
        <v>15</v>
      </c>
      <c r="AA9" s="14">
        <v>13</v>
      </c>
      <c r="AB9" s="14">
        <v>12</v>
      </c>
      <c r="AC9" s="14">
        <v>12</v>
      </c>
      <c r="AD9" s="14">
        <v>13</v>
      </c>
      <c r="AE9" s="14">
        <v>11</v>
      </c>
      <c r="AF9" s="214"/>
      <c r="AG9" s="15">
        <f t="shared" si="2"/>
        <v>423</v>
      </c>
    </row>
    <row r="10" spans="1:33" ht="18.75" x14ac:dyDescent="0.25">
      <c r="A10" s="12" t="s">
        <v>21</v>
      </c>
      <c r="B10" s="13">
        <v>17</v>
      </c>
      <c r="C10" s="14">
        <v>15</v>
      </c>
      <c r="D10" s="14">
        <v>20</v>
      </c>
      <c r="E10" s="14">
        <v>14</v>
      </c>
      <c r="F10" s="14">
        <v>14</v>
      </c>
      <c r="G10" s="14">
        <v>12</v>
      </c>
      <c r="H10" s="14">
        <v>16</v>
      </c>
      <c r="I10" s="14">
        <v>15</v>
      </c>
      <c r="J10" s="14">
        <v>11</v>
      </c>
      <c r="K10" s="14">
        <v>9</v>
      </c>
      <c r="L10" s="14">
        <v>20</v>
      </c>
      <c r="M10" s="14">
        <v>10</v>
      </c>
      <c r="N10" s="14">
        <v>11</v>
      </c>
      <c r="O10" s="14">
        <v>10</v>
      </c>
      <c r="P10" s="14">
        <v>13</v>
      </c>
      <c r="Q10" s="14">
        <v>12</v>
      </c>
      <c r="R10" s="14">
        <v>12</v>
      </c>
      <c r="S10" s="14">
        <v>4</v>
      </c>
      <c r="T10" s="14">
        <v>8</v>
      </c>
      <c r="U10" s="14">
        <v>19</v>
      </c>
      <c r="V10" s="14">
        <v>20</v>
      </c>
      <c r="W10" s="14">
        <v>12</v>
      </c>
      <c r="X10" s="14">
        <v>13</v>
      </c>
      <c r="Y10" s="14">
        <v>27</v>
      </c>
      <c r="Z10" s="14">
        <v>14</v>
      </c>
      <c r="AA10" s="14">
        <v>22</v>
      </c>
      <c r="AB10" s="14">
        <v>18</v>
      </c>
      <c r="AC10" s="14">
        <v>13</v>
      </c>
      <c r="AD10" s="14">
        <v>12</v>
      </c>
      <c r="AE10" s="14">
        <v>12</v>
      </c>
      <c r="AF10" s="214"/>
      <c r="AG10" s="15">
        <f t="shared" si="2"/>
        <v>425</v>
      </c>
    </row>
    <row r="11" spans="1:33" ht="18.75" x14ac:dyDescent="0.25">
      <c r="A11" s="12" t="s">
        <v>22</v>
      </c>
      <c r="B11" s="13">
        <v>15</v>
      </c>
      <c r="C11" s="14">
        <v>10</v>
      </c>
      <c r="D11" s="14">
        <v>13</v>
      </c>
      <c r="E11" s="14">
        <v>20</v>
      </c>
      <c r="F11" s="14">
        <v>22</v>
      </c>
      <c r="G11" s="14">
        <v>23</v>
      </c>
      <c r="H11" s="14">
        <v>22</v>
      </c>
      <c r="I11" s="14">
        <v>13</v>
      </c>
      <c r="J11" s="14">
        <v>17</v>
      </c>
      <c r="K11" s="14">
        <v>10</v>
      </c>
      <c r="L11" s="14">
        <v>17</v>
      </c>
      <c r="M11" s="14">
        <v>16</v>
      </c>
      <c r="N11" s="14">
        <v>9</v>
      </c>
      <c r="O11" s="14">
        <v>16</v>
      </c>
      <c r="P11" s="14">
        <v>16</v>
      </c>
      <c r="Q11" s="14">
        <v>13</v>
      </c>
      <c r="R11" s="14">
        <v>7</v>
      </c>
      <c r="S11" s="14">
        <v>9</v>
      </c>
      <c r="T11" s="14">
        <v>20</v>
      </c>
      <c r="U11" s="14">
        <v>20</v>
      </c>
      <c r="V11" s="14">
        <v>19</v>
      </c>
      <c r="W11" s="14">
        <v>19</v>
      </c>
      <c r="X11" s="14">
        <v>13</v>
      </c>
      <c r="Y11" s="14">
        <v>21</v>
      </c>
      <c r="Z11" s="14">
        <v>21</v>
      </c>
      <c r="AA11" s="14">
        <v>16</v>
      </c>
      <c r="AB11" s="14">
        <v>21</v>
      </c>
      <c r="AC11" s="14">
        <v>24</v>
      </c>
      <c r="AD11" s="14">
        <v>14</v>
      </c>
      <c r="AE11" s="14">
        <v>21</v>
      </c>
      <c r="AF11" s="214"/>
      <c r="AG11" s="15">
        <f t="shared" si="2"/>
        <v>497</v>
      </c>
    </row>
    <row r="12" spans="1:33" ht="18.75" x14ac:dyDescent="0.25">
      <c r="A12" s="12" t="s">
        <v>23</v>
      </c>
      <c r="B12" s="13">
        <v>25</v>
      </c>
      <c r="C12" s="14">
        <v>12</v>
      </c>
      <c r="D12" s="14">
        <v>14</v>
      </c>
      <c r="E12" s="14">
        <v>20</v>
      </c>
      <c r="F12" s="14">
        <v>22</v>
      </c>
      <c r="G12" s="14">
        <v>19</v>
      </c>
      <c r="H12" s="14">
        <v>21</v>
      </c>
      <c r="I12" s="14">
        <v>15</v>
      </c>
      <c r="J12" s="14">
        <v>14</v>
      </c>
      <c r="K12" s="14">
        <v>1</v>
      </c>
      <c r="L12" s="14">
        <v>25</v>
      </c>
      <c r="M12" s="14">
        <v>23</v>
      </c>
      <c r="N12" s="14">
        <v>15</v>
      </c>
      <c r="O12" s="14">
        <v>14</v>
      </c>
      <c r="P12" s="14">
        <v>17</v>
      </c>
      <c r="Q12" s="14">
        <v>17</v>
      </c>
      <c r="R12" s="14">
        <v>17</v>
      </c>
      <c r="S12" s="14">
        <v>11</v>
      </c>
      <c r="T12" s="14">
        <v>15</v>
      </c>
      <c r="U12" s="14">
        <v>33</v>
      </c>
      <c r="V12" s="14">
        <v>18</v>
      </c>
      <c r="W12" s="14">
        <v>24</v>
      </c>
      <c r="X12" s="14">
        <v>22</v>
      </c>
      <c r="Y12" s="14">
        <v>16</v>
      </c>
      <c r="Z12" s="14">
        <v>22</v>
      </c>
      <c r="AA12" s="14">
        <v>25</v>
      </c>
      <c r="AB12" s="14">
        <v>20</v>
      </c>
      <c r="AC12" s="14">
        <v>25</v>
      </c>
      <c r="AD12" s="14">
        <v>19</v>
      </c>
      <c r="AE12" s="14">
        <v>15</v>
      </c>
      <c r="AF12" s="214"/>
      <c r="AG12" s="15">
        <f t="shared" si="2"/>
        <v>556</v>
      </c>
    </row>
    <row r="13" spans="1:33" ht="18.75" x14ac:dyDescent="0.25">
      <c r="A13" s="12" t="s">
        <v>24</v>
      </c>
      <c r="B13" s="13">
        <v>17</v>
      </c>
      <c r="C13" s="14">
        <v>18</v>
      </c>
      <c r="D13" s="14">
        <v>17</v>
      </c>
      <c r="E13" s="14">
        <v>17</v>
      </c>
      <c r="F13" s="14">
        <v>12</v>
      </c>
      <c r="G13" s="14">
        <v>18</v>
      </c>
      <c r="H13" s="14">
        <v>19</v>
      </c>
      <c r="I13" s="14">
        <v>19</v>
      </c>
      <c r="J13" s="14">
        <v>10</v>
      </c>
      <c r="K13" s="14">
        <v>13</v>
      </c>
      <c r="L13" s="14">
        <v>26</v>
      </c>
      <c r="M13" s="14">
        <v>15</v>
      </c>
      <c r="N13" s="14">
        <v>25</v>
      </c>
      <c r="O13" s="14">
        <v>17</v>
      </c>
      <c r="P13" s="14">
        <v>9</v>
      </c>
      <c r="Q13" s="14">
        <v>10</v>
      </c>
      <c r="R13" s="14">
        <v>8</v>
      </c>
      <c r="S13" s="14">
        <v>17</v>
      </c>
      <c r="T13" s="14">
        <v>8</v>
      </c>
      <c r="U13" s="14">
        <v>17</v>
      </c>
      <c r="V13" s="14">
        <v>21</v>
      </c>
      <c r="W13" s="14">
        <v>16</v>
      </c>
      <c r="X13" s="14">
        <v>24</v>
      </c>
      <c r="Y13" s="14">
        <v>20</v>
      </c>
      <c r="Z13" s="14">
        <v>24</v>
      </c>
      <c r="AA13" s="14">
        <v>15</v>
      </c>
      <c r="AB13" s="14">
        <v>18</v>
      </c>
      <c r="AC13" s="14">
        <v>24</v>
      </c>
      <c r="AD13" s="14">
        <v>12</v>
      </c>
      <c r="AE13" s="14">
        <v>16</v>
      </c>
      <c r="AF13" s="214"/>
      <c r="AG13" s="15">
        <f t="shared" si="2"/>
        <v>502</v>
      </c>
    </row>
    <row r="14" spans="1:33" ht="18.75" x14ac:dyDescent="0.25">
      <c r="A14" s="12" t="s">
        <v>25</v>
      </c>
      <c r="B14" s="13">
        <v>12</v>
      </c>
      <c r="C14" s="14">
        <v>7</v>
      </c>
      <c r="D14" s="14">
        <v>13</v>
      </c>
      <c r="E14" s="14">
        <v>24</v>
      </c>
      <c r="F14" s="14">
        <v>9</v>
      </c>
      <c r="G14" s="14">
        <v>23</v>
      </c>
      <c r="H14" s="14">
        <v>21</v>
      </c>
      <c r="I14" s="14">
        <v>15</v>
      </c>
      <c r="J14" s="14">
        <v>13</v>
      </c>
      <c r="K14" s="14">
        <v>12</v>
      </c>
      <c r="L14" s="14">
        <v>15</v>
      </c>
      <c r="M14" s="14">
        <v>19</v>
      </c>
      <c r="N14" s="14">
        <v>13</v>
      </c>
      <c r="O14" s="14">
        <v>12</v>
      </c>
      <c r="P14" s="14">
        <v>16</v>
      </c>
      <c r="Q14" s="14">
        <v>10</v>
      </c>
      <c r="R14" s="14">
        <v>7</v>
      </c>
      <c r="S14" s="14">
        <v>9</v>
      </c>
      <c r="T14" s="14">
        <v>12</v>
      </c>
      <c r="U14" s="14">
        <v>23</v>
      </c>
      <c r="V14" s="14">
        <v>14</v>
      </c>
      <c r="W14" s="14">
        <v>14</v>
      </c>
      <c r="X14" s="14">
        <v>13</v>
      </c>
      <c r="Y14" s="14">
        <v>14</v>
      </c>
      <c r="Z14" s="14">
        <v>22</v>
      </c>
      <c r="AA14" s="14">
        <v>23</v>
      </c>
      <c r="AB14" s="14">
        <v>18</v>
      </c>
      <c r="AC14" s="14">
        <v>12</v>
      </c>
      <c r="AD14" s="14">
        <v>10</v>
      </c>
      <c r="AE14" s="14">
        <v>15</v>
      </c>
      <c r="AF14" s="214"/>
      <c r="AG14" s="15">
        <f t="shared" si="2"/>
        <v>440</v>
      </c>
    </row>
    <row r="15" spans="1:33" ht="18.75" x14ac:dyDescent="0.25">
      <c r="A15" s="12" t="s">
        <v>26</v>
      </c>
      <c r="B15" s="13">
        <v>15</v>
      </c>
      <c r="C15" s="14">
        <v>7</v>
      </c>
      <c r="D15" s="14">
        <v>14</v>
      </c>
      <c r="E15" s="14">
        <v>10</v>
      </c>
      <c r="F15" s="14">
        <v>15</v>
      </c>
      <c r="G15" s="14">
        <v>13</v>
      </c>
      <c r="H15" s="14">
        <v>17</v>
      </c>
      <c r="I15" s="14">
        <v>14</v>
      </c>
      <c r="J15" s="14">
        <v>8</v>
      </c>
      <c r="K15" s="14">
        <v>14</v>
      </c>
      <c r="L15" s="14">
        <v>19</v>
      </c>
      <c r="M15" s="14">
        <v>9</v>
      </c>
      <c r="N15" s="14">
        <v>17</v>
      </c>
      <c r="O15" s="14">
        <v>15</v>
      </c>
      <c r="P15" s="14">
        <v>10</v>
      </c>
      <c r="Q15" s="14">
        <v>11</v>
      </c>
      <c r="R15" s="14">
        <v>9</v>
      </c>
      <c r="S15" s="14">
        <v>9</v>
      </c>
      <c r="T15" s="14">
        <v>13</v>
      </c>
      <c r="U15" s="14">
        <v>14</v>
      </c>
      <c r="V15" s="14">
        <v>15</v>
      </c>
      <c r="W15" s="14">
        <v>15</v>
      </c>
      <c r="X15" s="14">
        <v>12</v>
      </c>
      <c r="Y15" s="14">
        <v>18</v>
      </c>
      <c r="Z15" s="14">
        <v>25</v>
      </c>
      <c r="AA15" s="14">
        <v>17</v>
      </c>
      <c r="AB15" s="14">
        <v>16</v>
      </c>
      <c r="AC15" s="14">
        <v>15</v>
      </c>
      <c r="AD15" s="14">
        <v>14</v>
      </c>
      <c r="AE15" s="14">
        <v>11</v>
      </c>
      <c r="AF15" s="214"/>
      <c r="AG15" s="15">
        <f t="shared" si="2"/>
        <v>411</v>
      </c>
    </row>
    <row r="16" spans="1:33" ht="18.75" x14ac:dyDescent="0.25">
      <c r="A16" s="12" t="s">
        <v>27</v>
      </c>
      <c r="B16" s="13">
        <v>6</v>
      </c>
      <c r="C16" s="14">
        <v>1</v>
      </c>
      <c r="D16" s="14">
        <v>12</v>
      </c>
      <c r="E16" s="14">
        <v>19</v>
      </c>
      <c r="F16" s="14">
        <v>19</v>
      </c>
      <c r="G16" s="14">
        <v>16</v>
      </c>
      <c r="H16" s="14">
        <v>8</v>
      </c>
      <c r="I16" s="14">
        <v>11</v>
      </c>
      <c r="J16" s="14">
        <v>10</v>
      </c>
      <c r="K16" s="14">
        <v>12</v>
      </c>
      <c r="L16" s="14">
        <v>14</v>
      </c>
      <c r="M16" s="14">
        <v>12</v>
      </c>
      <c r="N16" s="14">
        <v>9</v>
      </c>
      <c r="O16" s="14">
        <v>15</v>
      </c>
      <c r="P16" s="14">
        <v>15</v>
      </c>
      <c r="Q16" s="14">
        <v>14</v>
      </c>
      <c r="R16" s="14">
        <v>8</v>
      </c>
      <c r="S16" s="14">
        <v>17</v>
      </c>
      <c r="T16" s="14">
        <v>14</v>
      </c>
      <c r="U16" s="14">
        <v>19</v>
      </c>
      <c r="V16" s="14">
        <v>27</v>
      </c>
      <c r="W16" s="14">
        <v>16</v>
      </c>
      <c r="X16" s="14">
        <v>13</v>
      </c>
      <c r="Y16" s="14">
        <v>18</v>
      </c>
      <c r="Z16" s="14">
        <v>13</v>
      </c>
      <c r="AA16" s="14">
        <v>19</v>
      </c>
      <c r="AB16" s="14">
        <v>15</v>
      </c>
      <c r="AC16" s="14">
        <v>10</v>
      </c>
      <c r="AD16" s="14">
        <v>15</v>
      </c>
      <c r="AE16" s="14">
        <v>11</v>
      </c>
      <c r="AF16" s="214"/>
      <c r="AG16" s="15">
        <f t="shared" si="2"/>
        <v>408</v>
      </c>
    </row>
    <row r="17" spans="1:33" ht="18.75" x14ac:dyDescent="0.25">
      <c r="A17" s="12" t="s">
        <v>28</v>
      </c>
      <c r="B17" s="13">
        <v>13</v>
      </c>
      <c r="C17" s="14">
        <v>4</v>
      </c>
      <c r="D17" s="14">
        <v>8</v>
      </c>
      <c r="E17" s="14">
        <v>16</v>
      </c>
      <c r="F17" s="14">
        <v>6</v>
      </c>
      <c r="G17" s="14">
        <v>7</v>
      </c>
      <c r="H17" s="14">
        <v>17</v>
      </c>
      <c r="I17" s="14">
        <v>12</v>
      </c>
      <c r="J17" s="14">
        <v>10</v>
      </c>
      <c r="K17" s="14">
        <v>7</v>
      </c>
      <c r="L17" s="14">
        <v>13</v>
      </c>
      <c r="M17" s="14">
        <v>17</v>
      </c>
      <c r="N17" s="14">
        <v>11</v>
      </c>
      <c r="O17" s="14">
        <v>10</v>
      </c>
      <c r="P17" s="14">
        <v>15</v>
      </c>
      <c r="Q17" s="14">
        <v>13</v>
      </c>
      <c r="R17" s="14">
        <v>8</v>
      </c>
      <c r="S17" s="14">
        <v>13</v>
      </c>
      <c r="T17" s="14">
        <v>9</v>
      </c>
      <c r="U17" s="14">
        <v>18</v>
      </c>
      <c r="V17" s="14">
        <v>16</v>
      </c>
      <c r="W17" s="14">
        <v>10</v>
      </c>
      <c r="X17" s="14">
        <v>13</v>
      </c>
      <c r="Y17" s="14">
        <v>8</v>
      </c>
      <c r="Z17" s="14">
        <v>11</v>
      </c>
      <c r="AA17" s="14">
        <v>10</v>
      </c>
      <c r="AB17" s="14">
        <v>16</v>
      </c>
      <c r="AC17" s="14">
        <v>19</v>
      </c>
      <c r="AD17" s="14">
        <v>10</v>
      </c>
      <c r="AE17" s="14">
        <v>10</v>
      </c>
      <c r="AF17" s="214"/>
      <c r="AG17" s="15">
        <f t="shared" si="2"/>
        <v>350</v>
      </c>
    </row>
    <row r="18" spans="1:33" ht="18.75" x14ac:dyDescent="0.25">
      <c r="A18" s="12" t="s">
        <v>29</v>
      </c>
      <c r="B18" s="13">
        <v>10</v>
      </c>
      <c r="C18" s="14">
        <v>3</v>
      </c>
      <c r="D18" s="14">
        <v>5</v>
      </c>
      <c r="E18" s="14">
        <v>10</v>
      </c>
      <c r="F18" s="14">
        <v>5</v>
      </c>
      <c r="G18" s="14">
        <v>10</v>
      </c>
      <c r="H18" s="14">
        <v>11</v>
      </c>
      <c r="I18" s="14">
        <v>7</v>
      </c>
      <c r="J18" s="14">
        <v>7</v>
      </c>
      <c r="K18" s="14">
        <v>8</v>
      </c>
      <c r="L18" s="14">
        <v>8</v>
      </c>
      <c r="M18" s="14">
        <v>12</v>
      </c>
      <c r="N18" s="14">
        <v>7</v>
      </c>
      <c r="O18" s="14">
        <v>9</v>
      </c>
      <c r="P18" s="14">
        <v>8</v>
      </c>
      <c r="Q18" s="14">
        <v>8</v>
      </c>
      <c r="R18" s="14">
        <v>12</v>
      </c>
      <c r="S18" s="14">
        <v>8</v>
      </c>
      <c r="T18" s="14">
        <v>11</v>
      </c>
      <c r="U18" s="14">
        <v>8</v>
      </c>
      <c r="V18" s="14">
        <v>12</v>
      </c>
      <c r="W18" s="14">
        <v>7</v>
      </c>
      <c r="X18" s="14">
        <v>5</v>
      </c>
      <c r="Y18" s="14">
        <v>16</v>
      </c>
      <c r="Z18" s="14">
        <v>12</v>
      </c>
      <c r="AA18" s="14">
        <v>14</v>
      </c>
      <c r="AB18" s="14">
        <v>19</v>
      </c>
      <c r="AC18" s="14">
        <v>11</v>
      </c>
      <c r="AD18" s="14">
        <v>12</v>
      </c>
      <c r="AE18" s="14">
        <v>13</v>
      </c>
      <c r="AF18" s="214"/>
      <c r="AG18" s="15">
        <f t="shared" si="2"/>
        <v>288</v>
      </c>
    </row>
    <row r="19" spans="1:33" ht="18.75" x14ac:dyDescent="0.25">
      <c r="A19" s="12" t="s">
        <v>30</v>
      </c>
      <c r="B19" s="13">
        <v>6</v>
      </c>
      <c r="C19" s="14">
        <v>5</v>
      </c>
      <c r="D19" s="14">
        <v>5</v>
      </c>
      <c r="E19" s="14">
        <v>4</v>
      </c>
      <c r="F19" s="14">
        <v>8</v>
      </c>
      <c r="G19" s="14">
        <v>6</v>
      </c>
      <c r="H19" s="14">
        <v>8</v>
      </c>
      <c r="I19" s="14">
        <v>8</v>
      </c>
      <c r="J19" s="14">
        <v>3</v>
      </c>
      <c r="K19" s="14">
        <v>3</v>
      </c>
      <c r="L19" s="14">
        <v>9</v>
      </c>
      <c r="M19" s="14">
        <v>5</v>
      </c>
      <c r="N19" s="14">
        <v>7</v>
      </c>
      <c r="O19" s="14">
        <v>6</v>
      </c>
      <c r="P19" s="14">
        <v>16</v>
      </c>
      <c r="Q19" s="14">
        <v>6</v>
      </c>
      <c r="R19" s="14">
        <v>5</v>
      </c>
      <c r="S19" s="14">
        <v>6</v>
      </c>
      <c r="T19" s="14">
        <v>8</v>
      </c>
      <c r="U19" s="14">
        <v>5</v>
      </c>
      <c r="V19" s="14">
        <v>11</v>
      </c>
      <c r="W19" s="14">
        <v>13</v>
      </c>
      <c r="X19" s="14">
        <v>11</v>
      </c>
      <c r="Y19" s="14">
        <v>7</v>
      </c>
      <c r="Z19" s="14">
        <v>2</v>
      </c>
      <c r="AA19" s="14">
        <v>6</v>
      </c>
      <c r="AB19" s="14">
        <v>9</v>
      </c>
      <c r="AC19" s="14">
        <v>5</v>
      </c>
      <c r="AD19" s="14">
        <v>8</v>
      </c>
      <c r="AE19" s="14">
        <v>5</v>
      </c>
      <c r="AF19" s="214"/>
      <c r="AG19" s="15">
        <f t="shared" si="2"/>
        <v>206</v>
      </c>
    </row>
    <row r="20" spans="1:33" ht="18.75" x14ac:dyDescent="0.25">
      <c r="A20" s="12" t="s">
        <v>31</v>
      </c>
      <c r="B20" s="13">
        <v>4</v>
      </c>
      <c r="C20" s="14">
        <v>3</v>
      </c>
      <c r="D20" s="14">
        <v>0</v>
      </c>
      <c r="E20" s="14">
        <v>1</v>
      </c>
      <c r="F20" s="14">
        <v>8</v>
      </c>
      <c r="G20" s="14">
        <v>2</v>
      </c>
      <c r="H20" s="14">
        <v>3</v>
      </c>
      <c r="I20" s="14">
        <v>5</v>
      </c>
      <c r="J20" s="14">
        <v>9</v>
      </c>
      <c r="K20" s="14">
        <v>2</v>
      </c>
      <c r="L20" s="14">
        <v>0</v>
      </c>
      <c r="M20" s="14">
        <v>3</v>
      </c>
      <c r="N20" s="14">
        <v>7</v>
      </c>
      <c r="O20" s="14">
        <v>4</v>
      </c>
      <c r="P20" s="14">
        <v>3</v>
      </c>
      <c r="Q20" s="14">
        <v>4</v>
      </c>
      <c r="R20" s="14">
        <v>6</v>
      </c>
      <c r="S20" s="14">
        <v>4</v>
      </c>
      <c r="T20" s="14">
        <v>6</v>
      </c>
      <c r="U20" s="14">
        <v>4</v>
      </c>
      <c r="V20" s="14">
        <v>6</v>
      </c>
      <c r="W20" s="14">
        <v>4</v>
      </c>
      <c r="X20" s="14">
        <v>2</v>
      </c>
      <c r="Y20" s="14">
        <v>3</v>
      </c>
      <c r="Z20" s="14">
        <v>4</v>
      </c>
      <c r="AA20" s="14">
        <v>2</v>
      </c>
      <c r="AB20" s="14">
        <v>2</v>
      </c>
      <c r="AC20" s="14">
        <v>5</v>
      </c>
      <c r="AD20" s="14">
        <v>3</v>
      </c>
      <c r="AE20" s="14">
        <v>3</v>
      </c>
      <c r="AF20" s="214"/>
      <c r="AG20" s="15">
        <f t="shared" si="2"/>
        <v>112</v>
      </c>
    </row>
    <row r="21" spans="1:33" ht="15.75" customHeight="1" x14ac:dyDescent="0.25">
      <c r="A21" s="12" t="s">
        <v>32</v>
      </c>
      <c r="B21" s="13">
        <v>2</v>
      </c>
      <c r="C21" s="14">
        <v>4</v>
      </c>
      <c r="D21" s="14">
        <v>4</v>
      </c>
      <c r="E21" s="14">
        <v>1</v>
      </c>
      <c r="F21" s="14">
        <v>2</v>
      </c>
      <c r="G21" s="14">
        <v>2</v>
      </c>
      <c r="H21" s="14">
        <v>6</v>
      </c>
      <c r="I21" s="14">
        <v>2</v>
      </c>
      <c r="J21" s="14">
        <v>8</v>
      </c>
      <c r="K21" s="14">
        <v>2</v>
      </c>
      <c r="L21" s="14">
        <v>3</v>
      </c>
      <c r="M21" s="14">
        <v>3</v>
      </c>
      <c r="N21" s="14">
        <v>3</v>
      </c>
      <c r="O21" s="14">
        <v>1</v>
      </c>
      <c r="P21" s="14">
        <v>2</v>
      </c>
      <c r="Q21" s="14">
        <v>3</v>
      </c>
      <c r="R21" s="14">
        <v>2</v>
      </c>
      <c r="S21" s="14">
        <v>0</v>
      </c>
      <c r="T21" s="14">
        <v>3</v>
      </c>
      <c r="U21" s="14">
        <v>4</v>
      </c>
      <c r="V21" s="14">
        <v>2</v>
      </c>
      <c r="W21" s="14">
        <v>4</v>
      </c>
      <c r="X21" s="14">
        <v>0</v>
      </c>
      <c r="Y21" s="14">
        <v>6</v>
      </c>
      <c r="Z21" s="14">
        <v>2</v>
      </c>
      <c r="AA21" s="14">
        <v>2</v>
      </c>
      <c r="AB21" s="14">
        <v>3</v>
      </c>
      <c r="AC21" s="14">
        <v>2</v>
      </c>
      <c r="AD21" s="14">
        <v>3</v>
      </c>
      <c r="AE21" s="14">
        <v>8</v>
      </c>
      <c r="AF21" s="214"/>
      <c r="AG21" s="15">
        <f t="shared" si="2"/>
        <v>89</v>
      </c>
    </row>
    <row r="22" spans="1:33" ht="15.75" customHeight="1" x14ac:dyDescent="0.25">
      <c r="A22" s="12" t="s">
        <v>33</v>
      </c>
      <c r="B22" s="13">
        <v>0</v>
      </c>
      <c r="C22" s="14">
        <v>1</v>
      </c>
      <c r="D22" s="14">
        <v>3</v>
      </c>
      <c r="E22" s="14">
        <v>0</v>
      </c>
      <c r="F22" s="14">
        <v>2</v>
      </c>
      <c r="G22" s="14">
        <v>3</v>
      </c>
      <c r="H22" s="14">
        <v>3</v>
      </c>
      <c r="I22" s="14">
        <v>0</v>
      </c>
      <c r="J22" s="14">
        <v>2</v>
      </c>
      <c r="K22" s="14">
        <v>2</v>
      </c>
      <c r="L22" s="14">
        <v>2</v>
      </c>
      <c r="M22" s="14">
        <v>1</v>
      </c>
      <c r="N22" s="14">
        <v>0</v>
      </c>
      <c r="O22" s="14">
        <v>3</v>
      </c>
      <c r="P22" s="14">
        <v>3</v>
      </c>
      <c r="Q22" s="14">
        <v>1</v>
      </c>
      <c r="R22" s="14">
        <v>2</v>
      </c>
      <c r="S22" s="14">
        <v>4</v>
      </c>
      <c r="T22" s="14">
        <v>1</v>
      </c>
      <c r="U22" s="14">
        <v>2</v>
      </c>
      <c r="V22" s="14">
        <v>0</v>
      </c>
      <c r="W22" s="14">
        <v>1</v>
      </c>
      <c r="X22" s="14">
        <v>1</v>
      </c>
      <c r="Y22" s="14">
        <v>1</v>
      </c>
      <c r="Z22" s="14">
        <v>0</v>
      </c>
      <c r="AA22" s="14">
        <v>0</v>
      </c>
      <c r="AB22" s="14">
        <v>1</v>
      </c>
      <c r="AC22" s="14">
        <v>0</v>
      </c>
      <c r="AD22" s="14">
        <v>6</v>
      </c>
      <c r="AE22" s="14">
        <v>1</v>
      </c>
      <c r="AF22" s="214"/>
      <c r="AG22" s="15">
        <f t="shared" si="2"/>
        <v>46</v>
      </c>
    </row>
    <row r="23" spans="1:33" ht="15.75" customHeight="1" x14ac:dyDescent="0.25">
      <c r="A23" s="12" t="s">
        <v>34</v>
      </c>
      <c r="B23" s="13">
        <v>1</v>
      </c>
      <c r="C23" s="14">
        <v>1</v>
      </c>
      <c r="D23" s="14">
        <v>0</v>
      </c>
      <c r="E23" s="14">
        <v>0</v>
      </c>
      <c r="F23" s="14">
        <v>0</v>
      </c>
      <c r="G23" s="14">
        <v>1</v>
      </c>
      <c r="H23" s="14">
        <v>3</v>
      </c>
      <c r="I23" s="14">
        <v>2</v>
      </c>
      <c r="J23" s="14">
        <v>4</v>
      </c>
      <c r="K23" s="14">
        <v>1</v>
      </c>
      <c r="L23" s="14">
        <v>0</v>
      </c>
      <c r="M23" s="14">
        <v>1</v>
      </c>
      <c r="N23" s="14">
        <v>0</v>
      </c>
      <c r="O23" s="14">
        <v>0</v>
      </c>
      <c r="P23" s="14">
        <v>1</v>
      </c>
      <c r="Q23" s="14">
        <v>1</v>
      </c>
      <c r="R23" s="14">
        <v>5</v>
      </c>
      <c r="S23" s="14">
        <v>3</v>
      </c>
      <c r="T23" s="14">
        <v>3</v>
      </c>
      <c r="U23" s="14">
        <v>3</v>
      </c>
      <c r="V23" s="14">
        <v>2</v>
      </c>
      <c r="W23" s="14">
        <v>1</v>
      </c>
      <c r="X23" s="14">
        <v>1</v>
      </c>
      <c r="Y23" s="14">
        <v>1</v>
      </c>
      <c r="Z23" s="14">
        <v>2</v>
      </c>
      <c r="AA23" s="14">
        <v>1</v>
      </c>
      <c r="AB23" s="14">
        <v>3</v>
      </c>
      <c r="AC23" s="14">
        <v>1</v>
      </c>
      <c r="AD23" s="14">
        <v>2</v>
      </c>
      <c r="AE23" s="14">
        <v>0</v>
      </c>
      <c r="AF23" s="214"/>
      <c r="AG23" s="15">
        <f t="shared" si="2"/>
        <v>44</v>
      </c>
    </row>
    <row r="24" spans="1:33" ht="15.75" customHeight="1" x14ac:dyDescent="0.25">
      <c r="A24" s="12" t="s">
        <v>35</v>
      </c>
      <c r="B24" s="13">
        <v>1</v>
      </c>
      <c r="C24" s="14">
        <v>0</v>
      </c>
      <c r="D24" s="14">
        <v>0</v>
      </c>
      <c r="E24" s="14">
        <v>1</v>
      </c>
      <c r="F24" s="14">
        <v>3</v>
      </c>
      <c r="G24" s="14">
        <v>0</v>
      </c>
      <c r="H24" s="14">
        <v>1</v>
      </c>
      <c r="I24" s="14">
        <v>1</v>
      </c>
      <c r="J24" s="14">
        <v>0</v>
      </c>
      <c r="K24" s="14">
        <v>2</v>
      </c>
      <c r="L24" s="14">
        <v>0</v>
      </c>
      <c r="M24" s="14">
        <v>0</v>
      </c>
      <c r="N24" s="14">
        <v>1</v>
      </c>
      <c r="O24" s="14">
        <v>1</v>
      </c>
      <c r="P24" s="14">
        <v>2</v>
      </c>
      <c r="Q24" s="14">
        <v>0</v>
      </c>
      <c r="R24" s="14">
        <v>2</v>
      </c>
      <c r="S24" s="14">
        <v>2</v>
      </c>
      <c r="T24" s="14">
        <v>5</v>
      </c>
      <c r="U24" s="14">
        <v>1</v>
      </c>
      <c r="V24" s="14">
        <v>6</v>
      </c>
      <c r="W24" s="14">
        <v>3</v>
      </c>
      <c r="X24" s="14">
        <v>2</v>
      </c>
      <c r="Y24" s="14">
        <v>2</v>
      </c>
      <c r="Z24" s="14">
        <v>2</v>
      </c>
      <c r="AA24" s="14">
        <v>2</v>
      </c>
      <c r="AB24" s="14">
        <v>0</v>
      </c>
      <c r="AC24" s="14">
        <v>4</v>
      </c>
      <c r="AD24" s="14">
        <v>2</v>
      </c>
      <c r="AE24" s="14">
        <v>0</v>
      </c>
      <c r="AF24" s="214"/>
      <c r="AG24" s="15">
        <f t="shared" si="2"/>
        <v>46</v>
      </c>
    </row>
    <row r="25" spans="1:33" ht="15.75" customHeight="1" x14ac:dyDescent="0.25">
      <c r="A25" s="12" t="s">
        <v>36</v>
      </c>
      <c r="B25" s="13">
        <v>2</v>
      </c>
      <c r="C25" s="14">
        <v>3</v>
      </c>
      <c r="D25" s="14">
        <v>0</v>
      </c>
      <c r="E25" s="14">
        <v>0</v>
      </c>
      <c r="F25" s="14">
        <v>2</v>
      </c>
      <c r="G25" s="14">
        <v>1</v>
      </c>
      <c r="H25" s="14">
        <v>2</v>
      </c>
      <c r="I25" s="14">
        <v>3</v>
      </c>
      <c r="J25" s="14">
        <v>2</v>
      </c>
      <c r="K25" s="14">
        <v>2</v>
      </c>
      <c r="L25" s="14">
        <v>0</v>
      </c>
      <c r="M25" s="14">
        <v>0</v>
      </c>
      <c r="N25" s="14">
        <v>0</v>
      </c>
      <c r="O25" s="14">
        <v>3</v>
      </c>
      <c r="P25" s="14">
        <v>2</v>
      </c>
      <c r="Q25" s="14">
        <v>2</v>
      </c>
      <c r="R25" s="14">
        <v>0</v>
      </c>
      <c r="S25" s="14">
        <v>0</v>
      </c>
      <c r="T25" s="14">
        <v>0</v>
      </c>
      <c r="U25" s="14">
        <v>3</v>
      </c>
      <c r="V25" s="14">
        <v>0</v>
      </c>
      <c r="W25" s="14">
        <v>1</v>
      </c>
      <c r="X25" s="14">
        <v>0</v>
      </c>
      <c r="Y25" s="14">
        <v>1</v>
      </c>
      <c r="Z25" s="14">
        <v>1</v>
      </c>
      <c r="AA25" s="14">
        <v>1</v>
      </c>
      <c r="AB25" s="14">
        <v>4</v>
      </c>
      <c r="AC25" s="14">
        <v>3</v>
      </c>
      <c r="AD25" s="14">
        <v>2</v>
      </c>
      <c r="AE25" s="14">
        <v>3</v>
      </c>
      <c r="AF25" s="214"/>
      <c r="AG25" s="15">
        <f t="shared" si="2"/>
        <v>43</v>
      </c>
    </row>
    <row r="26" spans="1:33" ht="15.75" customHeight="1" x14ac:dyDescent="0.25">
      <c r="A26" s="12" t="s">
        <v>37</v>
      </c>
      <c r="B26" s="13">
        <v>0</v>
      </c>
      <c r="C26" s="14">
        <v>0</v>
      </c>
      <c r="D26" s="14">
        <v>0</v>
      </c>
      <c r="E26" s="14">
        <v>2</v>
      </c>
      <c r="F26" s="14">
        <v>0</v>
      </c>
      <c r="G26" s="14">
        <v>1</v>
      </c>
      <c r="H26" s="14">
        <v>4</v>
      </c>
      <c r="I26" s="14">
        <v>2</v>
      </c>
      <c r="J26" s="14">
        <v>3</v>
      </c>
      <c r="K26" s="14">
        <v>1</v>
      </c>
      <c r="L26" s="14">
        <v>0</v>
      </c>
      <c r="M26" s="14">
        <v>4</v>
      </c>
      <c r="N26" s="14">
        <v>0</v>
      </c>
      <c r="O26" s="14">
        <v>0</v>
      </c>
      <c r="P26" s="14">
        <v>5</v>
      </c>
      <c r="Q26" s="14">
        <v>3</v>
      </c>
      <c r="R26" s="14">
        <v>2</v>
      </c>
      <c r="S26" s="14">
        <v>1</v>
      </c>
      <c r="T26" s="14">
        <v>2</v>
      </c>
      <c r="U26" s="14">
        <v>0</v>
      </c>
      <c r="V26" s="14">
        <v>1</v>
      </c>
      <c r="W26" s="14">
        <v>1</v>
      </c>
      <c r="X26" s="14">
        <v>4</v>
      </c>
      <c r="Y26" s="14">
        <v>4</v>
      </c>
      <c r="Z26" s="14">
        <v>1</v>
      </c>
      <c r="AA26" s="14">
        <v>2</v>
      </c>
      <c r="AB26" s="14">
        <v>0</v>
      </c>
      <c r="AC26" s="14">
        <v>2</v>
      </c>
      <c r="AD26" s="14">
        <v>1</v>
      </c>
      <c r="AE26" s="14">
        <v>2</v>
      </c>
      <c r="AF26" s="214"/>
      <c r="AG26" s="15">
        <f t="shared" si="2"/>
        <v>48</v>
      </c>
    </row>
    <row r="27" spans="1:33" ht="15.75" customHeight="1" thickBot="1" x14ac:dyDescent="0.3">
      <c r="A27" s="16" t="s">
        <v>38</v>
      </c>
      <c r="B27" s="17">
        <v>8</v>
      </c>
      <c r="C27" s="18">
        <v>2</v>
      </c>
      <c r="D27" s="18">
        <v>0</v>
      </c>
      <c r="E27" s="18">
        <v>3</v>
      </c>
      <c r="F27" s="18">
        <v>2</v>
      </c>
      <c r="G27" s="18">
        <v>1</v>
      </c>
      <c r="H27" s="18">
        <v>1</v>
      </c>
      <c r="I27" s="18">
        <v>2</v>
      </c>
      <c r="J27" s="18">
        <v>1</v>
      </c>
      <c r="K27" s="18">
        <v>4</v>
      </c>
      <c r="L27" s="18">
        <v>3</v>
      </c>
      <c r="M27" s="18">
        <v>3</v>
      </c>
      <c r="N27" s="18">
        <v>1</v>
      </c>
      <c r="O27" s="18">
        <v>2</v>
      </c>
      <c r="P27" s="18">
        <v>2</v>
      </c>
      <c r="Q27" s="18">
        <v>1</v>
      </c>
      <c r="R27" s="18">
        <v>2</v>
      </c>
      <c r="S27" s="18">
        <v>1</v>
      </c>
      <c r="T27" s="18">
        <v>0</v>
      </c>
      <c r="U27" s="18">
        <v>5</v>
      </c>
      <c r="V27" s="18">
        <v>1</v>
      </c>
      <c r="W27" s="18">
        <v>5</v>
      </c>
      <c r="X27" s="18">
        <v>3</v>
      </c>
      <c r="Y27" s="18">
        <v>2</v>
      </c>
      <c r="Z27" s="18">
        <v>3</v>
      </c>
      <c r="AA27" s="18">
        <v>3</v>
      </c>
      <c r="AB27" s="18">
        <v>3</v>
      </c>
      <c r="AC27" s="18">
        <v>3</v>
      </c>
      <c r="AD27" s="18">
        <v>4</v>
      </c>
      <c r="AE27" s="18">
        <v>4</v>
      </c>
      <c r="AF27" s="215"/>
      <c r="AG27" s="15">
        <f t="shared" si="2"/>
        <v>75</v>
      </c>
    </row>
    <row r="28" spans="1:33" ht="15.75" customHeight="1" x14ac:dyDescent="0.25">
      <c r="A28" s="19" t="s">
        <v>39</v>
      </c>
      <c r="B28" s="20">
        <f t="shared" ref="B28:AF28" si="3">SUM(B29:B52)</f>
        <v>211</v>
      </c>
      <c r="C28" s="21">
        <f t="shared" si="3"/>
        <v>174</v>
      </c>
      <c r="D28" s="21">
        <f t="shared" si="3"/>
        <v>200</v>
      </c>
      <c r="E28" s="21">
        <f t="shared" si="3"/>
        <v>226</v>
      </c>
      <c r="F28" s="21">
        <f t="shared" si="3"/>
        <v>206</v>
      </c>
      <c r="G28" s="21">
        <f t="shared" si="3"/>
        <v>201</v>
      </c>
      <c r="H28" s="21">
        <f t="shared" si="3"/>
        <v>213</v>
      </c>
      <c r="I28" s="21">
        <f t="shared" si="3"/>
        <v>200</v>
      </c>
      <c r="J28" s="21">
        <f t="shared" si="3"/>
        <v>180</v>
      </c>
      <c r="K28" s="21">
        <f t="shared" si="3"/>
        <v>181</v>
      </c>
      <c r="L28" s="21">
        <f t="shared" si="3"/>
        <v>243</v>
      </c>
      <c r="M28" s="21">
        <f t="shared" si="3"/>
        <v>232</v>
      </c>
      <c r="N28" s="21">
        <f t="shared" si="3"/>
        <v>183</v>
      </c>
      <c r="O28" s="21">
        <f t="shared" si="3"/>
        <v>199</v>
      </c>
      <c r="P28" s="21">
        <f t="shared" si="3"/>
        <v>196</v>
      </c>
      <c r="Q28" s="21">
        <f t="shared" si="3"/>
        <v>194</v>
      </c>
      <c r="R28" s="21">
        <f t="shared" si="3"/>
        <v>187</v>
      </c>
      <c r="S28" s="21">
        <f t="shared" si="3"/>
        <v>186</v>
      </c>
      <c r="T28" s="21">
        <f t="shared" si="3"/>
        <v>233</v>
      </c>
      <c r="U28" s="21">
        <f t="shared" si="3"/>
        <v>229</v>
      </c>
      <c r="V28" s="21">
        <f t="shared" si="3"/>
        <v>254</v>
      </c>
      <c r="W28" s="21">
        <f t="shared" si="3"/>
        <v>219</v>
      </c>
      <c r="X28" s="21">
        <f t="shared" si="3"/>
        <v>245</v>
      </c>
      <c r="Y28" s="21">
        <f t="shared" si="3"/>
        <v>265</v>
      </c>
      <c r="Z28" s="21">
        <f t="shared" si="3"/>
        <v>216</v>
      </c>
      <c r="AA28" s="21">
        <f t="shared" si="3"/>
        <v>259</v>
      </c>
      <c r="AB28" s="21">
        <f t="shared" si="3"/>
        <v>240</v>
      </c>
      <c r="AC28" s="21">
        <f t="shared" si="3"/>
        <v>261</v>
      </c>
      <c r="AD28" s="21">
        <f t="shared" si="3"/>
        <v>193</v>
      </c>
      <c r="AE28" s="21">
        <f t="shared" si="3"/>
        <v>232</v>
      </c>
      <c r="AF28" s="21">
        <f t="shared" si="3"/>
        <v>0</v>
      </c>
      <c r="AG28" s="22">
        <f t="shared" si="2"/>
        <v>6458</v>
      </c>
    </row>
    <row r="29" spans="1:33" ht="15.75" customHeight="1" x14ac:dyDescent="0.25">
      <c r="A29" s="12" t="s">
        <v>15</v>
      </c>
      <c r="B29" s="13">
        <v>6</v>
      </c>
      <c r="C29" s="14">
        <v>6</v>
      </c>
      <c r="D29" s="14">
        <v>0</v>
      </c>
      <c r="E29" s="14">
        <v>4</v>
      </c>
      <c r="F29" s="14">
        <v>4</v>
      </c>
      <c r="G29" s="14">
        <v>7</v>
      </c>
      <c r="H29" s="14">
        <v>1</v>
      </c>
      <c r="I29" s="14">
        <v>6</v>
      </c>
      <c r="J29" s="14">
        <v>2</v>
      </c>
      <c r="K29" s="14">
        <v>6</v>
      </c>
      <c r="L29" s="14">
        <v>7</v>
      </c>
      <c r="M29" s="14">
        <v>7</v>
      </c>
      <c r="N29" s="14">
        <v>3</v>
      </c>
      <c r="O29" s="14">
        <v>5</v>
      </c>
      <c r="P29" s="14">
        <v>5</v>
      </c>
      <c r="Q29" s="14">
        <v>3</v>
      </c>
      <c r="R29" s="14">
        <v>3</v>
      </c>
      <c r="S29" s="14">
        <v>4</v>
      </c>
      <c r="T29" s="14">
        <v>3</v>
      </c>
      <c r="U29" s="14">
        <v>8</v>
      </c>
      <c r="V29" s="14">
        <v>7</v>
      </c>
      <c r="W29" s="14">
        <v>7</v>
      </c>
      <c r="X29" s="14">
        <v>7</v>
      </c>
      <c r="Y29" s="14">
        <v>2</v>
      </c>
      <c r="Z29" s="14">
        <v>8</v>
      </c>
      <c r="AA29" s="14">
        <v>11</v>
      </c>
      <c r="AB29" s="14">
        <v>6</v>
      </c>
      <c r="AC29" s="14">
        <v>12</v>
      </c>
      <c r="AD29" s="14">
        <v>7</v>
      </c>
      <c r="AE29" s="14">
        <v>1</v>
      </c>
      <c r="AF29" s="214"/>
      <c r="AG29" s="15">
        <f t="shared" si="2"/>
        <v>158</v>
      </c>
    </row>
    <row r="30" spans="1:33" ht="15.75" customHeight="1" x14ac:dyDescent="0.25">
      <c r="A30" s="12" t="s">
        <v>16</v>
      </c>
      <c r="B30" s="13">
        <v>9</v>
      </c>
      <c r="C30" s="14">
        <v>10</v>
      </c>
      <c r="D30" s="14">
        <v>9</v>
      </c>
      <c r="E30" s="14">
        <v>8</v>
      </c>
      <c r="F30" s="14">
        <v>12</v>
      </c>
      <c r="G30" s="14">
        <v>7</v>
      </c>
      <c r="H30" s="14">
        <v>10</v>
      </c>
      <c r="I30" s="14">
        <v>8</v>
      </c>
      <c r="J30" s="14">
        <v>4</v>
      </c>
      <c r="K30" s="14">
        <v>8</v>
      </c>
      <c r="L30" s="14">
        <v>11</v>
      </c>
      <c r="M30" s="14">
        <v>11</v>
      </c>
      <c r="N30" s="14">
        <v>4</v>
      </c>
      <c r="O30" s="14">
        <v>8</v>
      </c>
      <c r="P30" s="14">
        <v>9</v>
      </c>
      <c r="Q30" s="14">
        <v>8</v>
      </c>
      <c r="R30" s="14">
        <v>10</v>
      </c>
      <c r="S30" s="14">
        <v>5</v>
      </c>
      <c r="T30" s="14">
        <v>12</v>
      </c>
      <c r="U30" s="14">
        <v>10</v>
      </c>
      <c r="V30" s="14">
        <v>13</v>
      </c>
      <c r="W30" s="14">
        <v>8</v>
      </c>
      <c r="X30" s="14">
        <v>10</v>
      </c>
      <c r="Y30" s="14">
        <v>12</v>
      </c>
      <c r="Z30" s="14">
        <v>11</v>
      </c>
      <c r="AA30" s="14">
        <v>11</v>
      </c>
      <c r="AB30" s="14">
        <v>9</v>
      </c>
      <c r="AC30" s="14">
        <v>12</v>
      </c>
      <c r="AD30" s="14">
        <v>6</v>
      </c>
      <c r="AE30" s="14">
        <v>13</v>
      </c>
      <c r="AF30" s="214"/>
      <c r="AG30" s="15">
        <f t="shared" si="2"/>
        <v>278</v>
      </c>
    </row>
    <row r="31" spans="1:33" ht="15.75" customHeight="1" x14ac:dyDescent="0.25">
      <c r="A31" s="12" t="s">
        <v>17</v>
      </c>
      <c r="B31" s="13">
        <v>9</v>
      </c>
      <c r="C31" s="14">
        <v>11</v>
      </c>
      <c r="D31" s="14">
        <v>9</v>
      </c>
      <c r="E31" s="14">
        <v>10</v>
      </c>
      <c r="F31" s="14">
        <v>8</v>
      </c>
      <c r="G31" s="14">
        <v>4</v>
      </c>
      <c r="H31" s="14">
        <v>4</v>
      </c>
      <c r="I31" s="14">
        <v>5</v>
      </c>
      <c r="J31" s="14">
        <v>14</v>
      </c>
      <c r="K31" s="14">
        <v>8</v>
      </c>
      <c r="L31" s="14">
        <v>12</v>
      </c>
      <c r="M31" s="14">
        <v>10</v>
      </c>
      <c r="N31" s="14">
        <v>6</v>
      </c>
      <c r="O31" s="14">
        <v>7</v>
      </c>
      <c r="P31" s="14">
        <v>9</v>
      </c>
      <c r="Q31" s="14">
        <v>15</v>
      </c>
      <c r="R31" s="14">
        <v>10</v>
      </c>
      <c r="S31" s="14">
        <v>11</v>
      </c>
      <c r="T31" s="14">
        <v>18</v>
      </c>
      <c r="U31" s="14">
        <v>7</v>
      </c>
      <c r="V31" s="14">
        <v>10</v>
      </c>
      <c r="W31" s="14">
        <v>8</v>
      </c>
      <c r="X31" s="14">
        <v>16</v>
      </c>
      <c r="Y31" s="14">
        <v>12</v>
      </c>
      <c r="Z31" s="14">
        <v>5</v>
      </c>
      <c r="AA31" s="14">
        <v>17</v>
      </c>
      <c r="AB31" s="14">
        <v>12</v>
      </c>
      <c r="AC31" s="14">
        <v>10</v>
      </c>
      <c r="AD31" s="14">
        <v>6</v>
      </c>
      <c r="AE31" s="14">
        <v>20</v>
      </c>
      <c r="AF31" s="214"/>
      <c r="AG31" s="15">
        <f t="shared" si="2"/>
        <v>303</v>
      </c>
    </row>
    <row r="32" spans="1:33" ht="15.75" customHeight="1" x14ac:dyDescent="0.25">
      <c r="A32" s="12" t="s">
        <v>18</v>
      </c>
      <c r="B32" s="13">
        <v>8</v>
      </c>
      <c r="C32" s="14">
        <v>13</v>
      </c>
      <c r="D32" s="14">
        <v>12</v>
      </c>
      <c r="E32" s="14">
        <v>12</v>
      </c>
      <c r="F32" s="14">
        <v>13</v>
      </c>
      <c r="G32" s="14">
        <v>8</v>
      </c>
      <c r="H32" s="14">
        <v>5</v>
      </c>
      <c r="I32" s="14">
        <v>7</v>
      </c>
      <c r="J32" s="14">
        <v>7</v>
      </c>
      <c r="K32" s="14">
        <v>10</v>
      </c>
      <c r="L32" s="14">
        <v>15</v>
      </c>
      <c r="M32" s="14">
        <v>10</v>
      </c>
      <c r="N32" s="14">
        <v>8</v>
      </c>
      <c r="O32" s="14">
        <v>7</v>
      </c>
      <c r="P32" s="14">
        <v>8</v>
      </c>
      <c r="Q32" s="14">
        <v>9</v>
      </c>
      <c r="R32" s="14">
        <v>18</v>
      </c>
      <c r="S32" s="14">
        <v>11</v>
      </c>
      <c r="T32" s="14">
        <v>17</v>
      </c>
      <c r="U32" s="14">
        <v>6</v>
      </c>
      <c r="V32" s="14">
        <v>2</v>
      </c>
      <c r="W32" s="14">
        <v>9</v>
      </c>
      <c r="X32" s="14">
        <v>18</v>
      </c>
      <c r="Y32" s="14">
        <v>12</v>
      </c>
      <c r="Z32" s="14">
        <v>9</v>
      </c>
      <c r="AA32" s="14">
        <v>9</v>
      </c>
      <c r="AB32" s="14">
        <v>11</v>
      </c>
      <c r="AC32" s="14">
        <v>16</v>
      </c>
      <c r="AD32" s="14">
        <v>11</v>
      </c>
      <c r="AE32" s="14">
        <v>18</v>
      </c>
      <c r="AF32" s="214"/>
      <c r="AG32" s="15">
        <f t="shared" si="2"/>
        <v>319</v>
      </c>
    </row>
    <row r="33" spans="1:33" ht="15.75" customHeight="1" x14ac:dyDescent="0.25">
      <c r="A33" s="12" t="s">
        <v>19</v>
      </c>
      <c r="B33" s="13">
        <v>14</v>
      </c>
      <c r="C33" s="14">
        <v>8</v>
      </c>
      <c r="D33" s="14">
        <v>12</v>
      </c>
      <c r="E33" s="14">
        <v>16</v>
      </c>
      <c r="F33" s="14">
        <v>12</v>
      </c>
      <c r="G33" s="14">
        <v>6</v>
      </c>
      <c r="H33" s="14">
        <v>7</v>
      </c>
      <c r="I33" s="14">
        <v>13</v>
      </c>
      <c r="J33" s="14">
        <v>17</v>
      </c>
      <c r="K33" s="14">
        <v>6</v>
      </c>
      <c r="L33" s="14">
        <v>9</v>
      </c>
      <c r="M33" s="14">
        <v>9</v>
      </c>
      <c r="N33" s="14">
        <v>4</v>
      </c>
      <c r="O33" s="14">
        <v>14</v>
      </c>
      <c r="P33" s="14">
        <v>8</v>
      </c>
      <c r="Q33" s="14">
        <v>14</v>
      </c>
      <c r="R33" s="14">
        <v>13</v>
      </c>
      <c r="S33" s="14">
        <v>18</v>
      </c>
      <c r="T33" s="14">
        <v>23</v>
      </c>
      <c r="U33" s="14">
        <v>6</v>
      </c>
      <c r="V33" s="14">
        <v>13</v>
      </c>
      <c r="W33" s="14">
        <v>7</v>
      </c>
      <c r="X33" s="14">
        <v>13</v>
      </c>
      <c r="Y33" s="14">
        <v>13</v>
      </c>
      <c r="Z33" s="14">
        <v>7</v>
      </c>
      <c r="AA33" s="14">
        <v>6</v>
      </c>
      <c r="AB33" s="14">
        <v>9</v>
      </c>
      <c r="AC33" s="14">
        <v>19</v>
      </c>
      <c r="AD33" s="14">
        <v>9</v>
      </c>
      <c r="AE33" s="14">
        <v>11</v>
      </c>
      <c r="AF33" s="214"/>
      <c r="AG33" s="15">
        <f t="shared" si="2"/>
        <v>336</v>
      </c>
    </row>
    <row r="34" spans="1:33" ht="15.75" customHeight="1" x14ac:dyDescent="0.25">
      <c r="A34" s="12" t="s">
        <v>20</v>
      </c>
      <c r="B34" s="13">
        <v>10</v>
      </c>
      <c r="C34" s="14">
        <v>16</v>
      </c>
      <c r="D34" s="14">
        <v>11</v>
      </c>
      <c r="E34" s="14">
        <v>8</v>
      </c>
      <c r="F34" s="14">
        <v>6</v>
      </c>
      <c r="G34" s="14">
        <v>7</v>
      </c>
      <c r="H34" s="14">
        <v>8</v>
      </c>
      <c r="I34" s="14">
        <v>4</v>
      </c>
      <c r="J34" s="14">
        <v>5</v>
      </c>
      <c r="K34" s="14">
        <v>10</v>
      </c>
      <c r="L34" s="14">
        <v>12</v>
      </c>
      <c r="M34" s="14">
        <v>6</v>
      </c>
      <c r="N34" s="14">
        <v>4</v>
      </c>
      <c r="O34" s="14">
        <v>11</v>
      </c>
      <c r="P34" s="14">
        <v>4</v>
      </c>
      <c r="Q34" s="14">
        <v>13</v>
      </c>
      <c r="R34" s="14">
        <v>15</v>
      </c>
      <c r="S34" s="14">
        <v>14</v>
      </c>
      <c r="T34" s="14">
        <v>15</v>
      </c>
      <c r="U34" s="14">
        <v>5</v>
      </c>
      <c r="V34" s="14">
        <v>10</v>
      </c>
      <c r="W34" s="14">
        <v>6</v>
      </c>
      <c r="X34" s="14">
        <v>17</v>
      </c>
      <c r="Y34" s="14">
        <v>23</v>
      </c>
      <c r="Z34" s="14">
        <v>4</v>
      </c>
      <c r="AA34" s="14">
        <v>8</v>
      </c>
      <c r="AB34" s="14">
        <v>7</v>
      </c>
      <c r="AC34" s="14">
        <v>11</v>
      </c>
      <c r="AD34" s="14">
        <v>3</v>
      </c>
      <c r="AE34" s="14">
        <v>11</v>
      </c>
      <c r="AF34" s="214"/>
      <c r="AG34" s="15">
        <f t="shared" si="2"/>
        <v>284</v>
      </c>
    </row>
    <row r="35" spans="1:33" ht="15.75" customHeight="1" x14ac:dyDescent="0.25">
      <c r="A35" s="12" t="s">
        <v>21</v>
      </c>
      <c r="B35" s="13">
        <v>10</v>
      </c>
      <c r="C35" s="14">
        <v>13</v>
      </c>
      <c r="D35" s="14">
        <v>18</v>
      </c>
      <c r="E35" s="14">
        <v>12</v>
      </c>
      <c r="F35" s="14">
        <v>8</v>
      </c>
      <c r="G35" s="14">
        <v>11</v>
      </c>
      <c r="H35" s="14">
        <v>11</v>
      </c>
      <c r="I35" s="14">
        <v>11</v>
      </c>
      <c r="J35" s="14">
        <v>4</v>
      </c>
      <c r="K35" s="14">
        <v>14</v>
      </c>
      <c r="L35" s="14">
        <v>7</v>
      </c>
      <c r="M35" s="14">
        <v>8</v>
      </c>
      <c r="N35" s="14">
        <v>9</v>
      </c>
      <c r="O35" s="14">
        <v>15</v>
      </c>
      <c r="P35" s="14">
        <v>6</v>
      </c>
      <c r="Q35" s="14">
        <v>9</v>
      </c>
      <c r="R35" s="14">
        <v>10</v>
      </c>
      <c r="S35" s="14">
        <v>11</v>
      </c>
      <c r="T35" s="14">
        <v>13</v>
      </c>
      <c r="U35" s="14">
        <v>8</v>
      </c>
      <c r="V35" s="14">
        <v>15</v>
      </c>
      <c r="W35" s="14">
        <v>9</v>
      </c>
      <c r="X35" s="14">
        <v>12</v>
      </c>
      <c r="Y35" s="14">
        <v>14</v>
      </c>
      <c r="Z35" s="14">
        <v>9</v>
      </c>
      <c r="AA35" s="14">
        <v>14</v>
      </c>
      <c r="AB35" s="14">
        <v>15</v>
      </c>
      <c r="AC35" s="14">
        <v>12</v>
      </c>
      <c r="AD35" s="14">
        <v>3</v>
      </c>
      <c r="AE35" s="14">
        <v>11</v>
      </c>
      <c r="AF35" s="214"/>
      <c r="AG35" s="15">
        <f t="shared" si="2"/>
        <v>322</v>
      </c>
    </row>
    <row r="36" spans="1:33" ht="15.75" customHeight="1" x14ac:dyDescent="0.25">
      <c r="A36" s="12" t="s">
        <v>22</v>
      </c>
      <c r="B36" s="13">
        <v>9</v>
      </c>
      <c r="C36" s="14">
        <v>11</v>
      </c>
      <c r="D36" s="14">
        <v>23</v>
      </c>
      <c r="E36" s="14">
        <v>12</v>
      </c>
      <c r="F36" s="14">
        <v>12</v>
      </c>
      <c r="G36" s="14">
        <v>8</v>
      </c>
      <c r="H36" s="14">
        <v>10</v>
      </c>
      <c r="I36" s="14">
        <v>7</v>
      </c>
      <c r="J36" s="14">
        <v>18</v>
      </c>
      <c r="K36" s="14">
        <v>20</v>
      </c>
      <c r="L36" s="14">
        <v>15</v>
      </c>
      <c r="M36" s="14">
        <v>8</v>
      </c>
      <c r="N36" s="14">
        <v>11</v>
      </c>
      <c r="O36" s="14">
        <v>14</v>
      </c>
      <c r="P36" s="14">
        <v>6</v>
      </c>
      <c r="Q36" s="14">
        <v>12</v>
      </c>
      <c r="R36" s="14">
        <v>11</v>
      </c>
      <c r="S36" s="14">
        <v>7</v>
      </c>
      <c r="T36" s="14">
        <v>16</v>
      </c>
      <c r="U36" s="14">
        <v>9</v>
      </c>
      <c r="V36" s="14">
        <v>16</v>
      </c>
      <c r="W36" s="14">
        <v>7</v>
      </c>
      <c r="X36" s="14">
        <v>18</v>
      </c>
      <c r="Y36" s="14">
        <v>17</v>
      </c>
      <c r="Z36" s="14">
        <v>12</v>
      </c>
      <c r="AA36" s="14">
        <v>13</v>
      </c>
      <c r="AB36" s="14">
        <v>16</v>
      </c>
      <c r="AC36" s="14">
        <v>19</v>
      </c>
      <c r="AD36" s="14">
        <v>9</v>
      </c>
      <c r="AE36" s="14">
        <v>15</v>
      </c>
      <c r="AF36" s="214"/>
      <c r="AG36" s="15">
        <f t="shared" si="2"/>
        <v>381</v>
      </c>
    </row>
    <row r="37" spans="1:33" ht="15.75" customHeight="1" x14ac:dyDescent="0.25">
      <c r="A37" s="12" t="s">
        <v>23</v>
      </c>
      <c r="B37" s="13">
        <v>6</v>
      </c>
      <c r="C37" s="14">
        <v>24</v>
      </c>
      <c r="D37" s="14">
        <v>22</v>
      </c>
      <c r="E37" s="14">
        <v>10</v>
      </c>
      <c r="F37" s="14">
        <v>12</v>
      </c>
      <c r="G37" s="14">
        <v>11</v>
      </c>
      <c r="H37" s="14">
        <v>8</v>
      </c>
      <c r="I37" s="14">
        <v>6</v>
      </c>
      <c r="J37" s="14">
        <v>15</v>
      </c>
      <c r="K37" s="14">
        <v>17</v>
      </c>
      <c r="L37" s="14">
        <v>14</v>
      </c>
      <c r="M37" s="14">
        <v>23</v>
      </c>
      <c r="N37" s="14">
        <v>9</v>
      </c>
      <c r="O37" s="14">
        <v>12</v>
      </c>
      <c r="P37" s="14">
        <v>6</v>
      </c>
      <c r="Q37" s="14">
        <v>17</v>
      </c>
      <c r="R37" s="14">
        <v>12</v>
      </c>
      <c r="S37" s="14">
        <v>11</v>
      </c>
      <c r="T37" s="14">
        <v>15</v>
      </c>
      <c r="U37" s="14">
        <v>9</v>
      </c>
      <c r="V37" s="14">
        <v>13</v>
      </c>
      <c r="W37" s="14">
        <v>8</v>
      </c>
      <c r="X37" s="14">
        <v>20</v>
      </c>
      <c r="Y37" s="14">
        <v>12</v>
      </c>
      <c r="Z37" s="14">
        <v>9</v>
      </c>
      <c r="AA37" s="14">
        <v>15</v>
      </c>
      <c r="AB37" s="14">
        <v>15</v>
      </c>
      <c r="AC37" s="14">
        <v>8</v>
      </c>
      <c r="AD37" s="14">
        <v>9</v>
      </c>
      <c r="AE37" s="14">
        <v>16</v>
      </c>
      <c r="AF37" s="214"/>
      <c r="AG37" s="15">
        <f t="shared" si="2"/>
        <v>384</v>
      </c>
    </row>
    <row r="38" spans="1:33" ht="15.75" customHeight="1" x14ac:dyDescent="0.25">
      <c r="A38" s="12" t="s">
        <v>24</v>
      </c>
      <c r="B38" s="13">
        <v>7</v>
      </c>
      <c r="C38" s="14">
        <v>12</v>
      </c>
      <c r="D38" s="14">
        <v>13</v>
      </c>
      <c r="E38" s="14">
        <v>14</v>
      </c>
      <c r="F38" s="14">
        <v>9</v>
      </c>
      <c r="G38" s="14">
        <v>11</v>
      </c>
      <c r="H38" s="14">
        <v>11</v>
      </c>
      <c r="I38" s="14">
        <v>7</v>
      </c>
      <c r="J38" s="14">
        <v>8</v>
      </c>
      <c r="K38" s="14">
        <v>10</v>
      </c>
      <c r="L38" s="14">
        <v>12</v>
      </c>
      <c r="M38" s="14">
        <v>14</v>
      </c>
      <c r="N38" s="14">
        <v>12</v>
      </c>
      <c r="O38" s="14">
        <v>6</v>
      </c>
      <c r="P38" s="14">
        <v>9</v>
      </c>
      <c r="Q38" s="14">
        <v>11</v>
      </c>
      <c r="R38" s="14">
        <v>17</v>
      </c>
      <c r="S38" s="14">
        <v>12</v>
      </c>
      <c r="T38" s="14">
        <v>14</v>
      </c>
      <c r="U38" s="14">
        <v>15</v>
      </c>
      <c r="V38" s="14">
        <v>13</v>
      </c>
      <c r="W38" s="14">
        <v>6</v>
      </c>
      <c r="X38" s="14">
        <v>13</v>
      </c>
      <c r="Y38" s="14">
        <v>20</v>
      </c>
      <c r="Z38" s="14">
        <v>7</v>
      </c>
      <c r="AA38" s="14">
        <v>19</v>
      </c>
      <c r="AB38" s="14">
        <v>7</v>
      </c>
      <c r="AC38" s="14">
        <v>11</v>
      </c>
      <c r="AD38" s="14">
        <v>8</v>
      </c>
      <c r="AE38" s="14">
        <v>11</v>
      </c>
      <c r="AF38" s="214"/>
      <c r="AG38" s="15">
        <f t="shared" si="2"/>
        <v>339</v>
      </c>
    </row>
    <row r="39" spans="1:33" ht="15.75" customHeight="1" x14ac:dyDescent="0.25">
      <c r="A39" s="12" t="s">
        <v>25</v>
      </c>
      <c r="B39" s="13">
        <v>27</v>
      </c>
      <c r="C39" s="14">
        <v>15</v>
      </c>
      <c r="D39" s="14">
        <v>14</v>
      </c>
      <c r="E39" s="14">
        <v>22</v>
      </c>
      <c r="F39" s="14">
        <v>20</v>
      </c>
      <c r="G39" s="14">
        <v>18</v>
      </c>
      <c r="H39" s="14">
        <v>13</v>
      </c>
      <c r="I39" s="14">
        <v>26</v>
      </c>
      <c r="J39" s="14">
        <v>9</v>
      </c>
      <c r="K39" s="14">
        <v>14</v>
      </c>
      <c r="L39" s="14">
        <v>18</v>
      </c>
      <c r="M39" s="14">
        <v>17</v>
      </c>
      <c r="N39" s="14">
        <v>23</v>
      </c>
      <c r="O39" s="14">
        <v>19</v>
      </c>
      <c r="P39" s="14">
        <v>19</v>
      </c>
      <c r="Q39" s="14">
        <v>8</v>
      </c>
      <c r="R39" s="14">
        <v>2</v>
      </c>
      <c r="S39" s="14">
        <v>14</v>
      </c>
      <c r="T39" s="14">
        <v>8</v>
      </c>
      <c r="U39" s="14">
        <v>20</v>
      </c>
      <c r="V39" s="14">
        <v>19</v>
      </c>
      <c r="W39" s="14">
        <v>27</v>
      </c>
      <c r="X39" s="14">
        <v>19</v>
      </c>
      <c r="Y39" s="14">
        <v>19</v>
      </c>
      <c r="Z39" s="14">
        <v>23</v>
      </c>
      <c r="AA39" s="14">
        <v>21</v>
      </c>
      <c r="AB39" s="14">
        <v>18</v>
      </c>
      <c r="AC39" s="14">
        <v>20</v>
      </c>
      <c r="AD39" s="14">
        <v>25</v>
      </c>
      <c r="AE39" s="14">
        <v>19</v>
      </c>
      <c r="AF39" s="214"/>
      <c r="AG39" s="15">
        <f t="shared" si="2"/>
        <v>536</v>
      </c>
    </row>
    <row r="40" spans="1:33" ht="15.75" customHeight="1" x14ac:dyDescent="0.25">
      <c r="A40" s="12" t="s">
        <v>26</v>
      </c>
      <c r="B40" s="13">
        <v>14</v>
      </c>
      <c r="C40" s="14">
        <v>7</v>
      </c>
      <c r="D40" s="14">
        <v>15</v>
      </c>
      <c r="E40" s="14">
        <v>14</v>
      </c>
      <c r="F40" s="14">
        <v>23</v>
      </c>
      <c r="G40" s="14">
        <v>26</v>
      </c>
      <c r="H40" s="14">
        <v>19</v>
      </c>
      <c r="I40" s="14">
        <v>21</v>
      </c>
      <c r="J40" s="14">
        <v>13</v>
      </c>
      <c r="K40" s="14">
        <v>12</v>
      </c>
      <c r="L40" s="14">
        <v>22</v>
      </c>
      <c r="M40" s="14">
        <v>23</v>
      </c>
      <c r="N40" s="14">
        <v>18</v>
      </c>
      <c r="O40" s="14">
        <v>22</v>
      </c>
      <c r="P40" s="14">
        <v>28</v>
      </c>
      <c r="Q40" s="14">
        <v>10</v>
      </c>
      <c r="R40" s="14">
        <v>11</v>
      </c>
      <c r="S40" s="14">
        <v>8</v>
      </c>
      <c r="T40" s="14">
        <v>13</v>
      </c>
      <c r="U40" s="14">
        <v>23</v>
      </c>
      <c r="V40" s="14">
        <v>24</v>
      </c>
      <c r="W40" s="14">
        <v>19</v>
      </c>
      <c r="X40" s="14">
        <v>12</v>
      </c>
      <c r="Y40" s="14">
        <v>19</v>
      </c>
      <c r="Z40" s="14">
        <v>24</v>
      </c>
      <c r="AA40" s="14">
        <v>27</v>
      </c>
      <c r="AB40" s="14">
        <v>26</v>
      </c>
      <c r="AC40" s="14">
        <v>25</v>
      </c>
      <c r="AD40" s="14">
        <v>25</v>
      </c>
      <c r="AE40" s="14">
        <v>13</v>
      </c>
      <c r="AF40" s="214"/>
      <c r="AG40" s="15">
        <f t="shared" si="2"/>
        <v>556</v>
      </c>
    </row>
    <row r="41" spans="1:33" ht="15.75" customHeight="1" x14ac:dyDescent="0.25">
      <c r="A41" s="12" t="s">
        <v>27</v>
      </c>
      <c r="B41" s="13">
        <v>27</v>
      </c>
      <c r="C41" s="14">
        <v>3</v>
      </c>
      <c r="D41" s="14">
        <v>12</v>
      </c>
      <c r="E41" s="14">
        <v>19</v>
      </c>
      <c r="F41" s="14">
        <v>19</v>
      </c>
      <c r="G41" s="14">
        <v>22</v>
      </c>
      <c r="H41" s="14">
        <v>16</v>
      </c>
      <c r="I41" s="14">
        <v>19</v>
      </c>
      <c r="J41" s="14">
        <v>7</v>
      </c>
      <c r="K41" s="14">
        <v>6</v>
      </c>
      <c r="L41" s="14">
        <v>20</v>
      </c>
      <c r="M41" s="14">
        <v>25</v>
      </c>
      <c r="N41" s="14">
        <v>20</v>
      </c>
      <c r="O41" s="14">
        <v>16</v>
      </c>
      <c r="P41" s="14">
        <v>17</v>
      </c>
      <c r="Q41" s="14">
        <v>9</v>
      </c>
      <c r="R41" s="14">
        <v>6</v>
      </c>
      <c r="S41" s="14">
        <v>13</v>
      </c>
      <c r="T41" s="14">
        <v>13</v>
      </c>
      <c r="U41" s="14">
        <v>23</v>
      </c>
      <c r="V41" s="14">
        <v>23</v>
      </c>
      <c r="W41" s="14">
        <v>24</v>
      </c>
      <c r="X41" s="14">
        <v>12</v>
      </c>
      <c r="Y41" s="14">
        <v>12</v>
      </c>
      <c r="Z41" s="14">
        <v>15</v>
      </c>
      <c r="AA41" s="14">
        <v>29</v>
      </c>
      <c r="AB41" s="14">
        <v>23</v>
      </c>
      <c r="AC41" s="14">
        <v>30</v>
      </c>
      <c r="AD41" s="14">
        <v>19</v>
      </c>
      <c r="AE41" s="14">
        <v>9</v>
      </c>
      <c r="AF41" s="214"/>
      <c r="AG41" s="15">
        <f t="shared" si="2"/>
        <v>508</v>
      </c>
    </row>
    <row r="42" spans="1:33" ht="15.75" customHeight="1" x14ac:dyDescent="0.25">
      <c r="A42" s="12" t="s">
        <v>28</v>
      </c>
      <c r="B42" s="13">
        <v>21</v>
      </c>
      <c r="C42" s="14">
        <v>2</v>
      </c>
      <c r="D42" s="14">
        <v>8</v>
      </c>
      <c r="E42" s="14">
        <v>17</v>
      </c>
      <c r="F42" s="14">
        <v>10</v>
      </c>
      <c r="G42" s="14">
        <v>15</v>
      </c>
      <c r="H42" s="14">
        <v>20</v>
      </c>
      <c r="I42" s="14">
        <v>15</v>
      </c>
      <c r="J42" s="14">
        <v>10</v>
      </c>
      <c r="K42" s="14">
        <v>12</v>
      </c>
      <c r="L42" s="14">
        <v>20</v>
      </c>
      <c r="M42" s="14">
        <v>25</v>
      </c>
      <c r="N42" s="14">
        <v>16</v>
      </c>
      <c r="O42" s="14">
        <v>8</v>
      </c>
      <c r="P42" s="14">
        <v>13</v>
      </c>
      <c r="Q42" s="14">
        <v>14</v>
      </c>
      <c r="R42" s="14">
        <v>7</v>
      </c>
      <c r="S42" s="14">
        <v>10</v>
      </c>
      <c r="T42" s="14">
        <v>11</v>
      </c>
      <c r="U42" s="14">
        <v>17</v>
      </c>
      <c r="V42" s="14">
        <v>18</v>
      </c>
      <c r="W42" s="14">
        <v>25</v>
      </c>
      <c r="X42" s="14">
        <v>11</v>
      </c>
      <c r="Y42" s="14">
        <v>17</v>
      </c>
      <c r="Z42" s="14">
        <v>18</v>
      </c>
      <c r="AA42" s="14">
        <v>20</v>
      </c>
      <c r="AB42" s="14">
        <v>15</v>
      </c>
      <c r="AC42" s="14">
        <v>11</v>
      </c>
      <c r="AD42" s="14">
        <v>11</v>
      </c>
      <c r="AE42" s="14">
        <v>7</v>
      </c>
      <c r="AF42" s="214"/>
      <c r="AG42" s="15">
        <f t="shared" si="2"/>
        <v>424</v>
      </c>
    </row>
    <row r="43" spans="1:33" ht="15.75" customHeight="1" x14ac:dyDescent="0.25">
      <c r="A43" s="12" t="s">
        <v>29</v>
      </c>
      <c r="B43" s="13">
        <v>11</v>
      </c>
      <c r="C43" s="14">
        <v>5</v>
      </c>
      <c r="D43" s="14">
        <v>7</v>
      </c>
      <c r="E43" s="14">
        <v>11</v>
      </c>
      <c r="F43" s="14">
        <v>10</v>
      </c>
      <c r="G43" s="14">
        <v>11</v>
      </c>
      <c r="H43" s="14">
        <v>22</v>
      </c>
      <c r="I43" s="14">
        <v>16</v>
      </c>
      <c r="J43" s="14">
        <v>10</v>
      </c>
      <c r="K43" s="14">
        <v>6</v>
      </c>
      <c r="L43" s="14">
        <v>11</v>
      </c>
      <c r="M43" s="14">
        <v>14</v>
      </c>
      <c r="N43" s="14">
        <v>11</v>
      </c>
      <c r="O43" s="14">
        <v>13</v>
      </c>
      <c r="P43" s="14">
        <v>15</v>
      </c>
      <c r="Q43" s="14">
        <v>8</v>
      </c>
      <c r="R43" s="14">
        <v>11</v>
      </c>
      <c r="S43" s="14">
        <v>8</v>
      </c>
      <c r="T43" s="14">
        <v>8</v>
      </c>
      <c r="U43" s="14">
        <v>12</v>
      </c>
      <c r="V43" s="14">
        <v>21</v>
      </c>
      <c r="W43" s="14">
        <v>16</v>
      </c>
      <c r="X43" s="14">
        <v>12</v>
      </c>
      <c r="Y43" s="14">
        <v>13</v>
      </c>
      <c r="Z43" s="14">
        <v>11</v>
      </c>
      <c r="AA43" s="14">
        <v>16</v>
      </c>
      <c r="AB43" s="14">
        <v>15</v>
      </c>
      <c r="AC43" s="14">
        <v>19</v>
      </c>
      <c r="AD43" s="14">
        <v>11</v>
      </c>
      <c r="AE43" s="14">
        <v>7</v>
      </c>
      <c r="AF43" s="214"/>
      <c r="AG43" s="15">
        <f t="shared" si="2"/>
        <v>361</v>
      </c>
    </row>
    <row r="44" spans="1:33" ht="15.75" customHeight="1" x14ac:dyDescent="0.25">
      <c r="A44" s="12" t="s">
        <v>30</v>
      </c>
      <c r="B44" s="13">
        <v>8</v>
      </c>
      <c r="C44" s="14">
        <v>4</v>
      </c>
      <c r="D44" s="14">
        <v>4</v>
      </c>
      <c r="E44" s="14">
        <v>7</v>
      </c>
      <c r="F44" s="14">
        <v>6</v>
      </c>
      <c r="G44" s="14">
        <v>12</v>
      </c>
      <c r="H44" s="14">
        <v>18</v>
      </c>
      <c r="I44" s="14">
        <v>5</v>
      </c>
      <c r="J44" s="14">
        <v>5</v>
      </c>
      <c r="K44" s="14">
        <v>8</v>
      </c>
      <c r="L44" s="14">
        <v>13</v>
      </c>
      <c r="M44" s="14">
        <v>6</v>
      </c>
      <c r="N44" s="14">
        <v>10</v>
      </c>
      <c r="O44" s="14">
        <v>5</v>
      </c>
      <c r="P44" s="14">
        <v>6</v>
      </c>
      <c r="Q44" s="14">
        <v>10</v>
      </c>
      <c r="R44" s="14">
        <v>7</v>
      </c>
      <c r="S44" s="14">
        <v>12</v>
      </c>
      <c r="T44" s="14">
        <v>7</v>
      </c>
      <c r="U44" s="14">
        <v>15</v>
      </c>
      <c r="V44" s="14">
        <v>14</v>
      </c>
      <c r="W44" s="14">
        <v>5</v>
      </c>
      <c r="X44" s="14">
        <v>15</v>
      </c>
      <c r="Y44" s="14">
        <v>7</v>
      </c>
      <c r="Z44" s="14">
        <v>8</v>
      </c>
      <c r="AA44" s="14">
        <v>8</v>
      </c>
      <c r="AB44" s="14">
        <v>8</v>
      </c>
      <c r="AC44" s="14">
        <v>7</v>
      </c>
      <c r="AD44" s="14">
        <v>4</v>
      </c>
      <c r="AE44" s="14">
        <v>10</v>
      </c>
      <c r="AF44" s="214"/>
      <c r="AG44" s="15">
        <f t="shared" si="2"/>
        <v>254</v>
      </c>
    </row>
    <row r="45" spans="1:33" ht="15.75" customHeight="1" x14ac:dyDescent="0.25">
      <c r="A45" s="12" t="s">
        <v>31</v>
      </c>
      <c r="B45" s="13">
        <v>2</v>
      </c>
      <c r="C45" s="14">
        <v>2</v>
      </c>
      <c r="D45" s="14">
        <v>4</v>
      </c>
      <c r="E45" s="14">
        <v>10</v>
      </c>
      <c r="F45" s="14">
        <v>6</v>
      </c>
      <c r="G45" s="14">
        <v>6</v>
      </c>
      <c r="H45" s="14">
        <v>10</v>
      </c>
      <c r="I45" s="14">
        <v>13</v>
      </c>
      <c r="J45" s="14">
        <v>3</v>
      </c>
      <c r="K45" s="14">
        <v>3</v>
      </c>
      <c r="L45" s="14">
        <v>9</v>
      </c>
      <c r="M45" s="14">
        <v>3</v>
      </c>
      <c r="N45" s="14">
        <v>7</v>
      </c>
      <c r="O45" s="14">
        <v>5</v>
      </c>
      <c r="P45" s="14">
        <v>12</v>
      </c>
      <c r="Q45" s="14">
        <v>5</v>
      </c>
      <c r="R45" s="14">
        <v>5</v>
      </c>
      <c r="S45" s="14">
        <v>4</v>
      </c>
      <c r="T45" s="14">
        <v>12</v>
      </c>
      <c r="U45" s="14">
        <v>15</v>
      </c>
      <c r="V45" s="14">
        <v>3</v>
      </c>
      <c r="W45" s="14">
        <v>3</v>
      </c>
      <c r="X45" s="14">
        <v>5</v>
      </c>
      <c r="Y45" s="14">
        <v>9</v>
      </c>
      <c r="Z45" s="14">
        <v>8</v>
      </c>
      <c r="AA45" s="14">
        <v>4</v>
      </c>
      <c r="AB45" s="14">
        <v>8</v>
      </c>
      <c r="AC45" s="14">
        <v>4</v>
      </c>
      <c r="AD45" s="14">
        <v>6</v>
      </c>
      <c r="AE45" s="14">
        <v>14</v>
      </c>
      <c r="AF45" s="214"/>
      <c r="AG45" s="15">
        <f t="shared" si="2"/>
        <v>200</v>
      </c>
    </row>
    <row r="46" spans="1:33" ht="15.75" customHeight="1" x14ac:dyDescent="0.25">
      <c r="A46" s="12" t="s">
        <v>32</v>
      </c>
      <c r="B46" s="13">
        <v>3</v>
      </c>
      <c r="C46" s="14">
        <v>6</v>
      </c>
      <c r="D46" s="14">
        <v>1</v>
      </c>
      <c r="E46" s="14">
        <v>6</v>
      </c>
      <c r="F46" s="14">
        <v>1</v>
      </c>
      <c r="G46" s="14">
        <v>5</v>
      </c>
      <c r="H46" s="14">
        <v>3</v>
      </c>
      <c r="I46" s="14">
        <v>3</v>
      </c>
      <c r="J46" s="14">
        <v>5</v>
      </c>
      <c r="K46" s="14">
        <v>2</v>
      </c>
      <c r="L46" s="14">
        <v>11</v>
      </c>
      <c r="M46" s="14">
        <v>3</v>
      </c>
      <c r="N46" s="14">
        <v>5</v>
      </c>
      <c r="O46" s="14">
        <v>4</v>
      </c>
      <c r="P46" s="14">
        <v>5</v>
      </c>
      <c r="Q46" s="14">
        <v>5</v>
      </c>
      <c r="R46" s="14">
        <v>4</v>
      </c>
      <c r="S46" s="14">
        <v>3</v>
      </c>
      <c r="T46" s="14">
        <v>2</v>
      </c>
      <c r="U46" s="14">
        <v>9</v>
      </c>
      <c r="V46" s="14">
        <v>9</v>
      </c>
      <c r="W46" s="14">
        <v>8</v>
      </c>
      <c r="X46" s="14">
        <v>2</v>
      </c>
      <c r="Y46" s="14">
        <v>11</v>
      </c>
      <c r="Z46" s="14">
        <v>11</v>
      </c>
      <c r="AA46" s="14">
        <v>1</v>
      </c>
      <c r="AB46" s="14">
        <v>9</v>
      </c>
      <c r="AC46" s="14">
        <v>1</v>
      </c>
      <c r="AD46" s="14">
        <v>5</v>
      </c>
      <c r="AE46" s="14">
        <v>7</v>
      </c>
      <c r="AF46" s="214"/>
      <c r="AG46" s="15">
        <f t="shared" si="2"/>
        <v>150</v>
      </c>
    </row>
    <row r="47" spans="1:33" ht="15.75" customHeight="1" x14ac:dyDescent="0.25">
      <c r="A47" s="12" t="s">
        <v>33</v>
      </c>
      <c r="B47" s="13">
        <v>3</v>
      </c>
      <c r="C47" s="14">
        <v>1</v>
      </c>
      <c r="D47" s="14">
        <v>3</v>
      </c>
      <c r="E47" s="14">
        <v>5</v>
      </c>
      <c r="F47" s="14">
        <v>4</v>
      </c>
      <c r="G47" s="14">
        <v>3</v>
      </c>
      <c r="H47" s="14">
        <v>7</v>
      </c>
      <c r="I47" s="14">
        <v>0</v>
      </c>
      <c r="J47" s="14">
        <v>7</v>
      </c>
      <c r="K47" s="14">
        <v>1</v>
      </c>
      <c r="L47" s="14">
        <v>3</v>
      </c>
      <c r="M47" s="14">
        <v>3</v>
      </c>
      <c r="N47" s="14">
        <v>1</v>
      </c>
      <c r="O47" s="14">
        <v>2</v>
      </c>
      <c r="P47" s="14">
        <v>3</v>
      </c>
      <c r="Q47" s="14">
        <v>4</v>
      </c>
      <c r="R47" s="14">
        <v>3</v>
      </c>
      <c r="S47" s="14">
        <v>2</v>
      </c>
      <c r="T47" s="14">
        <v>2</v>
      </c>
      <c r="U47" s="14">
        <v>4</v>
      </c>
      <c r="V47" s="14">
        <v>2</v>
      </c>
      <c r="W47" s="14">
        <v>6</v>
      </c>
      <c r="X47" s="14">
        <v>1</v>
      </c>
      <c r="Y47" s="14">
        <v>12</v>
      </c>
      <c r="Z47" s="14">
        <v>6</v>
      </c>
      <c r="AA47" s="14">
        <v>1</v>
      </c>
      <c r="AB47" s="14">
        <v>3</v>
      </c>
      <c r="AC47" s="14">
        <v>5</v>
      </c>
      <c r="AD47" s="14">
        <v>5</v>
      </c>
      <c r="AE47" s="14">
        <v>8</v>
      </c>
      <c r="AF47" s="214"/>
      <c r="AG47" s="15">
        <f t="shared" si="2"/>
        <v>110</v>
      </c>
    </row>
    <row r="48" spans="1:33" ht="15.75" customHeight="1" x14ac:dyDescent="0.25">
      <c r="A48" s="12" t="s">
        <v>34</v>
      </c>
      <c r="B48" s="13">
        <v>0</v>
      </c>
      <c r="C48" s="14">
        <v>0</v>
      </c>
      <c r="D48" s="14">
        <v>3</v>
      </c>
      <c r="E48" s="14">
        <v>3</v>
      </c>
      <c r="F48" s="14">
        <v>6</v>
      </c>
      <c r="G48" s="14">
        <v>3</v>
      </c>
      <c r="H48" s="14">
        <v>4</v>
      </c>
      <c r="I48" s="14">
        <v>0</v>
      </c>
      <c r="J48" s="14">
        <v>2</v>
      </c>
      <c r="K48" s="14">
        <v>1</v>
      </c>
      <c r="L48" s="14">
        <v>0</v>
      </c>
      <c r="M48" s="14">
        <v>2</v>
      </c>
      <c r="N48" s="14">
        <v>0</v>
      </c>
      <c r="O48" s="14">
        <v>2</v>
      </c>
      <c r="P48" s="14">
        <v>1</v>
      </c>
      <c r="Q48" s="14">
        <v>1</v>
      </c>
      <c r="R48" s="14">
        <v>4</v>
      </c>
      <c r="S48" s="14">
        <v>4</v>
      </c>
      <c r="T48" s="14">
        <v>4</v>
      </c>
      <c r="U48" s="14">
        <v>3</v>
      </c>
      <c r="V48" s="14">
        <v>3</v>
      </c>
      <c r="W48" s="14">
        <v>2</v>
      </c>
      <c r="X48" s="14">
        <v>1</v>
      </c>
      <c r="Y48" s="14">
        <v>1</v>
      </c>
      <c r="Z48" s="14">
        <v>4</v>
      </c>
      <c r="AA48" s="14">
        <v>3</v>
      </c>
      <c r="AB48" s="14">
        <v>3</v>
      </c>
      <c r="AC48" s="14">
        <v>1</v>
      </c>
      <c r="AD48" s="14">
        <v>4</v>
      </c>
      <c r="AE48" s="14">
        <v>2</v>
      </c>
      <c r="AF48" s="214"/>
      <c r="AG48" s="15">
        <f t="shared" si="2"/>
        <v>67</v>
      </c>
    </row>
    <row r="49" spans="1:33" ht="15.75" customHeight="1" x14ac:dyDescent="0.25">
      <c r="A49" s="12" t="s">
        <v>35</v>
      </c>
      <c r="B49" s="13">
        <v>2</v>
      </c>
      <c r="C49" s="14">
        <v>1</v>
      </c>
      <c r="D49" s="14">
        <v>0</v>
      </c>
      <c r="E49" s="14">
        <v>0</v>
      </c>
      <c r="F49" s="14">
        <v>4</v>
      </c>
      <c r="G49" s="14">
        <v>0</v>
      </c>
      <c r="H49" s="14">
        <v>1</v>
      </c>
      <c r="I49" s="14">
        <v>0</v>
      </c>
      <c r="J49" s="14">
        <v>4</v>
      </c>
      <c r="K49" s="14">
        <v>2</v>
      </c>
      <c r="L49" s="14">
        <v>0</v>
      </c>
      <c r="M49" s="14">
        <v>0</v>
      </c>
      <c r="N49" s="14">
        <v>1</v>
      </c>
      <c r="O49" s="14">
        <v>1</v>
      </c>
      <c r="P49" s="14">
        <v>0</v>
      </c>
      <c r="Q49" s="14">
        <v>0</v>
      </c>
      <c r="R49" s="14">
        <v>2</v>
      </c>
      <c r="S49" s="14">
        <v>2</v>
      </c>
      <c r="T49" s="14">
        <v>3</v>
      </c>
      <c r="U49" s="14">
        <v>1</v>
      </c>
      <c r="V49" s="14">
        <v>2</v>
      </c>
      <c r="W49" s="14">
        <v>9</v>
      </c>
      <c r="X49" s="14">
        <v>2</v>
      </c>
      <c r="Y49" s="14">
        <v>2</v>
      </c>
      <c r="Z49" s="14">
        <v>0</v>
      </c>
      <c r="AA49" s="14">
        <v>1</v>
      </c>
      <c r="AB49" s="14">
        <v>0</v>
      </c>
      <c r="AC49" s="14">
        <v>4</v>
      </c>
      <c r="AD49" s="14">
        <v>2</v>
      </c>
      <c r="AE49" s="14">
        <v>0</v>
      </c>
      <c r="AF49" s="214"/>
      <c r="AG49" s="15">
        <f t="shared" si="2"/>
        <v>46</v>
      </c>
    </row>
    <row r="50" spans="1:33" ht="15.75" customHeight="1" x14ac:dyDescent="0.25">
      <c r="A50" s="12" t="s">
        <v>36</v>
      </c>
      <c r="B50" s="13">
        <v>0</v>
      </c>
      <c r="C50" s="14">
        <v>2</v>
      </c>
      <c r="D50" s="14">
        <v>0</v>
      </c>
      <c r="E50" s="14">
        <v>1</v>
      </c>
      <c r="F50" s="14">
        <v>0</v>
      </c>
      <c r="G50" s="14">
        <v>0</v>
      </c>
      <c r="H50" s="14">
        <v>1</v>
      </c>
      <c r="I50" s="14">
        <v>1</v>
      </c>
      <c r="J50" s="14">
        <v>11</v>
      </c>
      <c r="K50" s="14">
        <v>3</v>
      </c>
      <c r="L50" s="14">
        <v>0</v>
      </c>
      <c r="M50" s="14">
        <v>0</v>
      </c>
      <c r="N50" s="14">
        <v>0</v>
      </c>
      <c r="O50" s="14">
        <v>1</v>
      </c>
      <c r="P50" s="14">
        <v>1</v>
      </c>
      <c r="Q50" s="14">
        <v>1</v>
      </c>
      <c r="R50" s="14">
        <v>3</v>
      </c>
      <c r="S50" s="14">
        <v>1</v>
      </c>
      <c r="T50" s="14">
        <v>2</v>
      </c>
      <c r="U50" s="14">
        <v>0</v>
      </c>
      <c r="V50" s="14">
        <v>2</v>
      </c>
      <c r="W50" s="14">
        <v>0</v>
      </c>
      <c r="X50" s="14">
        <v>0</v>
      </c>
      <c r="Y50" s="14">
        <v>0</v>
      </c>
      <c r="Z50" s="14">
        <v>1</v>
      </c>
      <c r="AA50" s="14">
        <v>1</v>
      </c>
      <c r="AB50" s="14">
        <v>3</v>
      </c>
      <c r="AC50" s="14">
        <v>3</v>
      </c>
      <c r="AD50" s="14">
        <v>2</v>
      </c>
      <c r="AE50" s="14">
        <v>1</v>
      </c>
      <c r="AF50" s="214"/>
      <c r="AG50" s="15">
        <f t="shared" si="2"/>
        <v>41</v>
      </c>
    </row>
    <row r="51" spans="1:33" ht="15.75" customHeight="1" x14ac:dyDescent="0.25">
      <c r="A51" s="12" t="s">
        <v>37</v>
      </c>
      <c r="B51" s="13">
        <v>2</v>
      </c>
      <c r="C51" s="14">
        <v>1</v>
      </c>
      <c r="D51" s="14">
        <v>0</v>
      </c>
      <c r="E51" s="14">
        <v>2</v>
      </c>
      <c r="F51" s="14">
        <v>0</v>
      </c>
      <c r="G51" s="14">
        <v>0</v>
      </c>
      <c r="H51" s="14">
        <v>1</v>
      </c>
      <c r="I51" s="14">
        <v>6</v>
      </c>
      <c r="J51" s="14">
        <v>0</v>
      </c>
      <c r="K51" s="14">
        <v>0</v>
      </c>
      <c r="L51" s="14">
        <v>0</v>
      </c>
      <c r="M51" s="14">
        <v>2</v>
      </c>
      <c r="N51" s="14">
        <v>0</v>
      </c>
      <c r="O51" s="14">
        <v>2</v>
      </c>
      <c r="P51" s="14">
        <v>3</v>
      </c>
      <c r="Q51" s="14">
        <v>2</v>
      </c>
      <c r="R51" s="14">
        <v>2</v>
      </c>
      <c r="S51" s="14">
        <v>1</v>
      </c>
      <c r="T51" s="14">
        <v>2</v>
      </c>
      <c r="U51" s="14">
        <v>3</v>
      </c>
      <c r="V51" s="14">
        <v>1</v>
      </c>
      <c r="W51" s="14">
        <v>0</v>
      </c>
      <c r="X51" s="14">
        <v>4</v>
      </c>
      <c r="Y51" s="14">
        <v>4</v>
      </c>
      <c r="Z51" s="14">
        <v>4</v>
      </c>
      <c r="AA51" s="14">
        <v>3</v>
      </c>
      <c r="AB51" s="14">
        <v>1</v>
      </c>
      <c r="AC51" s="14">
        <v>0</v>
      </c>
      <c r="AD51" s="14">
        <v>2</v>
      </c>
      <c r="AE51" s="14">
        <v>3</v>
      </c>
      <c r="AF51" s="214"/>
      <c r="AG51" s="15">
        <f t="shared" si="2"/>
        <v>51</v>
      </c>
    </row>
    <row r="52" spans="1:33" ht="15.75" customHeight="1" thickBot="1" x14ac:dyDescent="0.3">
      <c r="A52" s="23" t="s">
        <v>38</v>
      </c>
      <c r="B52" s="24">
        <v>3</v>
      </c>
      <c r="C52" s="25">
        <v>1</v>
      </c>
      <c r="D52" s="25">
        <v>0</v>
      </c>
      <c r="E52" s="25">
        <v>3</v>
      </c>
      <c r="F52" s="25">
        <v>1</v>
      </c>
      <c r="G52" s="25">
        <v>0</v>
      </c>
      <c r="H52" s="25">
        <v>3</v>
      </c>
      <c r="I52" s="25">
        <v>1</v>
      </c>
      <c r="J52" s="25">
        <v>0</v>
      </c>
      <c r="K52" s="25">
        <v>2</v>
      </c>
      <c r="L52" s="25">
        <v>2</v>
      </c>
      <c r="M52" s="25">
        <v>3</v>
      </c>
      <c r="N52" s="25">
        <v>1</v>
      </c>
      <c r="O52" s="25">
        <v>0</v>
      </c>
      <c r="P52" s="25">
        <v>3</v>
      </c>
      <c r="Q52" s="25">
        <v>6</v>
      </c>
      <c r="R52" s="25">
        <v>1</v>
      </c>
      <c r="S52" s="25">
        <v>0</v>
      </c>
      <c r="T52" s="25">
        <v>0</v>
      </c>
      <c r="U52" s="25">
        <v>1</v>
      </c>
      <c r="V52" s="25">
        <v>1</v>
      </c>
      <c r="W52" s="25">
        <v>0</v>
      </c>
      <c r="X52" s="25">
        <v>5</v>
      </c>
      <c r="Y52" s="25">
        <v>2</v>
      </c>
      <c r="Z52" s="25">
        <v>2</v>
      </c>
      <c r="AA52" s="25">
        <v>1</v>
      </c>
      <c r="AB52" s="25">
        <v>1</v>
      </c>
      <c r="AC52" s="25">
        <v>1</v>
      </c>
      <c r="AD52" s="25">
        <v>1</v>
      </c>
      <c r="AE52" s="25">
        <v>5</v>
      </c>
      <c r="AF52" s="216"/>
      <c r="AG52" s="26">
        <f t="shared" si="2"/>
        <v>50</v>
      </c>
    </row>
    <row r="53" spans="1:33" ht="15.75" customHeight="1" thickBot="1" x14ac:dyDescent="0.3">
      <c r="A53" s="4" t="s">
        <v>40</v>
      </c>
      <c r="B53" s="5">
        <f t="shared" ref="B53:AF53" si="4">SUM(B54:B77)</f>
        <v>24</v>
      </c>
      <c r="C53" s="6">
        <f t="shared" si="4"/>
        <v>2</v>
      </c>
      <c r="D53" s="6">
        <f t="shared" si="4"/>
        <v>5</v>
      </c>
      <c r="E53" s="6">
        <f t="shared" si="4"/>
        <v>32</v>
      </c>
      <c r="F53" s="6">
        <f t="shared" si="4"/>
        <v>24</v>
      </c>
      <c r="G53" s="6">
        <f t="shared" si="4"/>
        <v>33</v>
      </c>
      <c r="H53" s="6">
        <f t="shared" si="4"/>
        <v>56</v>
      </c>
      <c r="I53" s="6">
        <f t="shared" si="4"/>
        <v>56</v>
      </c>
      <c r="J53" s="6">
        <f t="shared" si="4"/>
        <v>3</v>
      </c>
      <c r="K53" s="6">
        <f t="shared" si="4"/>
        <v>6</v>
      </c>
      <c r="L53" s="6">
        <f t="shared" si="4"/>
        <v>25</v>
      </c>
      <c r="M53" s="6">
        <f t="shared" si="4"/>
        <v>25</v>
      </c>
      <c r="N53" s="6">
        <f t="shared" si="4"/>
        <v>25</v>
      </c>
      <c r="O53" s="6">
        <f t="shared" si="4"/>
        <v>5</v>
      </c>
      <c r="P53" s="6">
        <f t="shared" si="4"/>
        <v>29</v>
      </c>
      <c r="Q53" s="6">
        <f t="shared" si="4"/>
        <v>5</v>
      </c>
      <c r="R53" s="6">
        <f t="shared" si="4"/>
        <v>1</v>
      </c>
      <c r="S53" s="6">
        <f t="shared" si="4"/>
        <v>2</v>
      </c>
      <c r="T53" s="6">
        <f t="shared" si="4"/>
        <v>1</v>
      </c>
      <c r="U53" s="6">
        <f t="shared" si="4"/>
        <v>96</v>
      </c>
      <c r="V53" s="6">
        <f t="shared" si="4"/>
        <v>31</v>
      </c>
      <c r="W53" s="6">
        <f t="shared" si="4"/>
        <v>55</v>
      </c>
      <c r="X53" s="6">
        <f t="shared" si="4"/>
        <v>8</v>
      </c>
      <c r="Y53" s="6">
        <f t="shared" si="4"/>
        <v>15</v>
      </c>
      <c r="Z53" s="6">
        <f t="shared" si="4"/>
        <v>85</v>
      </c>
      <c r="AA53" s="6">
        <f t="shared" si="4"/>
        <v>42</v>
      </c>
      <c r="AB53" s="6">
        <f t="shared" si="4"/>
        <v>32</v>
      </c>
      <c r="AC53" s="6">
        <f t="shared" si="4"/>
        <v>16</v>
      </c>
      <c r="AD53" s="6">
        <f t="shared" si="4"/>
        <v>20</v>
      </c>
      <c r="AE53" s="6">
        <f t="shared" si="4"/>
        <v>7</v>
      </c>
      <c r="AF53" s="6">
        <f t="shared" si="4"/>
        <v>0</v>
      </c>
      <c r="AG53" s="27">
        <f t="shared" si="2"/>
        <v>766</v>
      </c>
    </row>
    <row r="54" spans="1:33" ht="15.75" customHeight="1" x14ac:dyDescent="0.25">
      <c r="A54" s="8" t="s">
        <v>15</v>
      </c>
      <c r="B54" s="9">
        <v>0</v>
      </c>
      <c r="C54" s="265">
        <v>0</v>
      </c>
      <c r="D54" s="14">
        <v>1</v>
      </c>
      <c r="E54" s="10">
        <v>1</v>
      </c>
      <c r="F54" s="10">
        <v>1</v>
      </c>
      <c r="G54" s="14">
        <v>0</v>
      </c>
      <c r="H54" s="10">
        <v>1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1</v>
      </c>
      <c r="V54" s="10">
        <v>1</v>
      </c>
      <c r="W54" s="10">
        <v>0</v>
      </c>
      <c r="X54" s="10">
        <v>0</v>
      </c>
      <c r="Y54" s="10">
        <v>0</v>
      </c>
      <c r="Z54" s="10">
        <v>1</v>
      </c>
      <c r="AA54" s="10">
        <v>1</v>
      </c>
      <c r="AB54" s="10">
        <v>1</v>
      </c>
      <c r="AC54" s="10">
        <v>0</v>
      </c>
      <c r="AD54" s="10">
        <v>1</v>
      </c>
      <c r="AE54" s="10">
        <v>0</v>
      </c>
      <c r="AF54" s="213"/>
      <c r="AG54" s="11">
        <f t="shared" si="2"/>
        <v>10</v>
      </c>
    </row>
    <row r="55" spans="1:33" ht="15.75" customHeight="1" x14ac:dyDescent="0.25">
      <c r="A55" s="12" t="s">
        <v>16</v>
      </c>
      <c r="B55" s="13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1</v>
      </c>
      <c r="I55" s="14">
        <v>0</v>
      </c>
      <c r="J55" s="14">
        <v>0</v>
      </c>
      <c r="K55" s="14">
        <v>1</v>
      </c>
      <c r="L55" s="14">
        <v>0</v>
      </c>
      <c r="M55" s="14">
        <v>1</v>
      </c>
      <c r="N55" s="14">
        <v>0</v>
      </c>
      <c r="O55" s="14">
        <v>0</v>
      </c>
      <c r="P55" s="14">
        <v>2</v>
      </c>
      <c r="Q55" s="14">
        <v>0</v>
      </c>
      <c r="R55" s="14">
        <v>0</v>
      </c>
      <c r="S55" s="14">
        <v>1</v>
      </c>
      <c r="T55" s="14">
        <v>0</v>
      </c>
      <c r="U55" s="14">
        <v>1</v>
      </c>
      <c r="V55" s="14">
        <v>1</v>
      </c>
      <c r="W55" s="14">
        <v>0</v>
      </c>
      <c r="X55" s="14">
        <v>0</v>
      </c>
      <c r="Y55" s="14">
        <v>0</v>
      </c>
      <c r="Z55" s="14">
        <v>0</v>
      </c>
      <c r="AA55" s="14">
        <v>1</v>
      </c>
      <c r="AB55" s="14">
        <v>0</v>
      </c>
      <c r="AC55" s="14">
        <v>0</v>
      </c>
      <c r="AD55" s="14">
        <v>1</v>
      </c>
      <c r="AE55" s="14">
        <v>0</v>
      </c>
      <c r="AF55" s="214"/>
      <c r="AG55" s="15">
        <f t="shared" si="2"/>
        <v>10</v>
      </c>
    </row>
    <row r="56" spans="1:33" ht="15.75" customHeight="1" x14ac:dyDescent="0.25">
      <c r="A56" s="12" t="s">
        <v>17</v>
      </c>
      <c r="B56" s="13">
        <v>1</v>
      </c>
      <c r="C56" s="14">
        <v>0</v>
      </c>
      <c r="D56" s="14">
        <v>0</v>
      </c>
      <c r="E56" s="14">
        <v>0</v>
      </c>
      <c r="F56" s="14">
        <v>0</v>
      </c>
      <c r="G56" s="14">
        <v>1</v>
      </c>
      <c r="H56" s="14">
        <v>0</v>
      </c>
      <c r="I56" s="14">
        <v>1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1</v>
      </c>
      <c r="P56" s="14">
        <v>1</v>
      </c>
      <c r="Q56" s="14">
        <v>0</v>
      </c>
      <c r="R56" s="14">
        <v>0</v>
      </c>
      <c r="S56" s="14">
        <v>0</v>
      </c>
      <c r="T56" s="14">
        <v>0</v>
      </c>
      <c r="U56" s="14">
        <v>1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2</v>
      </c>
      <c r="AC56" s="14">
        <v>0</v>
      </c>
      <c r="AD56" s="14">
        <v>0</v>
      </c>
      <c r="AE56" s="14">
        <v>1</v>
      </c>
      <c r="AF56" s="214"/>
      <c r="AG56" s="15">
        <f t="shared" si="2"/>
        <v>9</v>
      </c>
    </row>
    <row r="57" spans="1:33" ht="15.75" customHeight="1" x14ac:dyDescent="0.25">
      <c r="A57" s="12" t="s">
        <v>18</v>
      </c>
      <c r="B57" s="13">
        <v>0</v>
      </c>
      <c r="C57" s="14">
        <v>0</v>
      </c>
      <c r="D57" s="14">
        <v>0</v>
      </c>
      <c r="E57" s="14">
        <v>1</v>
      </c>
      <c r="F57" s="14">
        <v>1</v>
      </c>
      <c r="G57" s="14">
        <v>1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1</v>
      </c>
      <c r="V57" s="14">
        <v>0</v>
      </c>
      <c r="W57" s="14">
        <v>0</v>
      </c>
      <c r="X57" s="14">
        <v>0</v>
      </c>
      <c r="Y57" s="14">
        <v>0</v>
      </c>
      <c r="Z57" s="14">
        <v>2</v>
      </c>
      <c r="AA57" s="14">
        <v>3</v>
      </c>
      <c r="AB57" s="14">
        <v>0</v>
      </c>
      <c r="AC57" s="14">
        <v>2</v>
      </c>
      <c r="AD57" s="14">
        <v>1</v>
      </c>
      <c r="AE57" s="14">
        <v>0</v>
      </c>
      <c r="AF57" s="214"/>
      <c r="AG57" s="15">
        <f t="shared" si="2"/>
        <v>12</v>
      </c>
    </row>
    <row r="58" spans="1:33" ht="15.75" customHeight="1" x14ac:dyDescent="0.25">
      <c r="A58" s="12" t="s">
        <v>19</v>
      </c>
      <c r="B58" s="13">
        <v>0</v>
      </c>
      <c r="C58" s="14">
        <v>1</v>
      </c>
      <c r="D58" s="14">
        <v>0</v>
      </c>
      <c r="E58" s="14">
        <v>3</v>
      </c>
      <c r="F58" s="14">
        <v>1</v>
      </c>
      <c r="G58" s="14">
        <v>1</v>
      </c>
      <c r="H58" s="14">
        <v>0</v>
      </c>
      <c r="I58" s="14">
        <v>4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2</v>
      </c>
      <c r="V58" s="14">
        <v>1</v>
      </c>
      <c r="W58" s="14">
        <v>1</v>
      </c>
      <c r="X58" s="14">
        <v>0</v>
      </c>
      <c r="Y58" s="14">
        <v>0</v>
      </c>
      <c r="Z58" s="14">
        <v>4</v>
      </c>
      <c r="AA58" s="14">
        <v>2</v>
      </c>
      <c r="AB58" s="14">
        <v>2</v>
      </c>
      <c r="AC58" s="14">
        <v>2</v>
      </c>
      <c r="AD58" s="14">
        <v>0</v>
      </c>
      <c r="AE58" s="14">
        <v>0</v>
      </c>
      <c r="AF58" s="214"/>
      <c r="AG58" s="15">
        <f t="shared" si="2"/>
        <v>24</v>
      </c>
    </row>
    <row r="59" spans="1:33" ht="15.75" customHeight="1" x14ac:dyDescent="0.25">
      <c r="A59" s="12" t="s">
        <v>20</v>
      </c>
      <c r="B59" s="13">
        <v>0</v>
      </c>
      <c r="C59" s="14">
        <v>1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2</v>
      </c>
      <c r="J59" s="14">
        <v>0</v>
      </c>
      <c r="K59" s="14">
        <v>0</v>
      </c>
      <c r="L59" s="14">
        <v>1</v>
      </c>
      <c r="M59" s="14">
        <v>1</v>
      </c>
      <c r="N59" s="14">
        <v>2</v>
      </c>
      <c r="O59" s="14">
        <v>0</v>
      </c>
      <c r="P59" s="14">
        <v>1</v>
      </c>
      <c r="Q59" s="14">
        <v>0</v>
      </c>
      <c r="R59" s="14">
        <v>0</v>
      </c>
      <c r="S59" s="14">
        <v>0</v>
      </c>
      <c r="T59" s="14">
        <v>0</v>
      </c>
      <c r="U59" s="14">
        <v>3</v>
      </c>
      <c r="V59" s="14">
        <v>0</v>
      </c>
      <c r="W59" s="14">
        <v>2</v>
      </c>
      <c r="X59" s="14">
        <v>2</v>
      </c>
      <c r="Y59" s="14">
        <v>1</v>
      </c>
      <c r="Z59" s="14">
        <v>0</v>
      </c>
      <c r="AA59" s="14">
        <v>0</v>
      </c>
      <c r="AB59" s="14">
        <v>0</v>
      </c>
      <c r="AC59" s="14">
        <v>0</v>
      </c>
      <c r="AD59" s="14">
        <v>1</v>
      </c>
      <c r="AE59" s="14">
        <v>0</v>
      </c>
      <c r="AF59" s="214"/>
      <c r="AG59" s="15">
        <f t="shared" si="2"/>
        <v>17</v>
      </c>
    </row>
    <row r="60" spans="1:33" ht="15.75" customHeight="1" x14ac:dyDescent="0.25">
      <c r="A60" s="12" t="s">
        <v>21</v>
      </c>
      <c r="B60" s="13">
        <v>0</v>
      </c>
      <c r="C60" s="14">
        <v>0</v>
      </c>
      <c r="D60" s="14">
        <v>2</v>
      </c>
      <c r="E60" s="14">
        <v>1</v>
      </c>
      <c r="F60" s="14">
        <v>1</v>
      </c>
      <c r="G60" s="14">
        <v>6</v>
      </c>
      <c r="H60" s="14">
        <v>1</v>
      </c>
      <c r="I60" s="14">
        <v>6</v>
      </c>
      <c r="J60" s="14">
        <v>0</v>
      </c>
      <c r="K60" s="14">
        <v>1</v>
      </c>
      <c r="L60" s="14">
        <v>1</v>
      </c>
      <c r="M60" s="14">
        <v>2</v>
      </c>
      <c r="N60" s="14">
        <v>5</v>
      </c>
      <c r="O60" s="14">
        <v>2</v>
      </c>
      <c r="P60" s="14">
        <v>0</v>
      </c>
      <c r="Q60" s="14">
        <v>1</v>
      </c>
      <c r="R60" s="14">
        <v>0</v>
      </c>
      <c r="S60" s="14">
        <v>0</v>
      </c>
      <c r="T60" s="14">
        <v>0</v>
      </c>
      <c r="U60" s="14">
        <v>13</v>
      </c>
      <c r="V60" s="14">
        <v>2</v>
      </c>
      <c r="W60" s="14">
        <v>9</v>
      </c>
      <c r="X60" s="14">
        <v>0</v>
      </c>
      <c r="Y60" s="14">
        <v>0</v>
      </c>
      <c r="Z60" s="14">
        <v>1</v>
      </c>
      <c r="AA60" s="14">
        <v>8</v>
      </c>
      <c r="AB60" s="14">
        <v>2</v>
      </c>
      <c r="AC60" s="14">
        <v>0</v>
      </c>
      <c r="AD60" s="14">
        <v>0</v>
      </c>
      <c r="AE60" s="14">
        <v>0</v>
      </c>
      <c r="AF60" s="214"/>
      <c r="AG60" s="15">
        <f t="shared" si="2"/>
        <v>64</v>
      </c>
    </row>
    <row r="61" spans="1:33" ht="15.75" customHeight="1" x14ac:dyDescent="0.25">
      <c r="A61" s="12" t="s">
        <v>22</v>
      </c>
      <c r="B61" s="13">
        <v>1</v>
      </c>
      <c r="C61" s="14">
        <v>0</v>
      </c>
      <c r="D61" s="14">
        <v>1</v>
      </c>
      <c r="E61" s="14">
        <v>3</v>
      </c>
      <c r="F61" s="14">
        <v>1</v>
      </c>
      <c r="G61" s="14">
        <v>2</v>
      </c>
      <c r="H61" s="14">
        <v>3</v>
      </c>
      <c r="I61" s="14">
        <v>4</v>
      </c>
      <c r="J61" s="14">
        <v>1</v>
      </c>
      <c r="K61" s="14">
        <v>3</v>
      </c>
      <c r="L61" s="14">
        <v>2</v>
      </c>
      <c r="M61" s="14">
        <v>1</v>
      </c>
      <c r="N61" s="14">
        <v>13</v>
      </c>
      <c r="O61" s="14">
        <v>0</v>
      </c>
      <c r="P61" s="14">
        <v>1</v>
      </c>
      <c r="Q61" s="14">
        <v>0</v>
      </c>
      <c r="R61" s="14">
        <v>0</v>
      </c>
      <c r="S61" s="14">
        <v>0</v>
      </c>
      <c r="T61" s="14">
        <v>0</v>
      </c>
      <c r="U61" s="14">
        <v>6</v>
      </c>
      <c r="V61" s="14">
        <v>5</v>
      </c>
      <c r="W61" s="14">
        <v>4</v>
      </c>
      <c r="X61" s="14">
        <v>0</v>
      </c>
      <c r="Y61" s="14">
        <v>1</v>
      </c>
      <c r="Z61" s="14">
        <v>15</v>
      </c>
      <c r="AA61" s="14">
        <v>4</v>
      </c>
      <c r="AB61" s="14">
        <v>11</v>
      </c>
      <c r="AC61" s="14">
        <v>1</v>
      </c>
      <c r="AD61" s="14">
        <v>0</v>
      </c>
      <c r="AE61" s="14">
        <v>1</v>
      </c>
      <c r="AF61" s="214"/>
      <c r="AG61" s="15">
        <f t="shared" si="2"/>
        <v>84</v>
      </c>
    </row>
    <row r="62" spans="1:33" ht="15.75" customHeight="1" x14ac:dyDescent="0.25">
      <c r="A62" s="12" t="s">
        <v>23</v>
      </c>
      <c r="B62" s="13">
        <v>15</v>
      </c>
      <c r="C62" s="14">
        <v>0</v>
      </c>
      <c r="D62" s="14">
        <v>0</v>
      </c>
      <c r="E62" s="14">
        <v>2</v>
      </c>
      <c r="F62" s="14">
        <v>2</v>
      </c>
      <c r="G62" s="14">
        <v>0</v>
      </c>
      <c r="H62" s="14">
        <v>6</v>
      </c>
      <c r="I62" s="14">
        <v>7</v>
      </c>
      <c r="J62" s="14">
        <v>1</v>
      </c>
      <c r="K62" s="14">
        <v>0</v>
      </c>
      <c r="L62" s="14">
        <v>1</v>
      </c>
      <c r="M62" s="14">
        <v>1</v>
      </c>
      <c r="N62" s="14">
        <v>0</v>
      </c>
      <c r="O62" s="14">
        <v>0</v>
      </c>
      <c r="P62" s="14">
        <v>2</v>
      </c>
      <c r="Q62" s="14">
        <v>1</v>
      </c>
      <c r="R62" s="14">
        <v>0</v>
      </c>
      <c r="S62" s="14">
        <v>0</v>
      </c>
      <c r="T62" s="14">
        <v>0</v>
      </c>
      <c r="U62" s="14">
        <v>18</v>
      </c>
      <c r="V62" s="14">
        <v>2</v>
      </c>
      <c r="W62" s="14">
        <v>5</v>
      </c>
      <c r="X62" s="14">
        <v>1</v>
      </c>
      <c r="Y62" s="14">
        <v>1</v>
      </c>
      <c r="Z62" s="14">
        <v>5</v>
      </c>
      <c r="AA62" s="14">
        <v>0</v>
      </c>
      <c r="AB62" s="14">
        <v>1</v>
      </c>
      <c r="AC62" s="14">
        <v>0</v>
      </c>
      <c r="AD62" s="14">
        <v>2</v>
      </c>
      <c r="AE62" s="14">
        <v>0</v>
      </c>
      <c r="AF62" s="214"/>
      <c r="AG62" s="15">
        <f t="shared" si="2"/>
        <v>73</v>
      </c>
    </row>
    <row r="63" spans="1:33" ht="15.75" customHeight="1" x14ac:dyDescent="0.25">
      <c r="A63" s="12" t="s">
        <v>24</v>
      </c>
      <c r="B63" s="13">
        <v>2</v>
      </c>
      <c r="C63" s="14">
        <v>0</v>
      </c>
      <c r="D63" s="14">
        <v>1</v>
      </c>
      <c r="E63" s="14">
        <v>0</v>
      </c>
      <c r="F63" s="14">
        <v>0</v>
      </c>
      <c r="G63" s="14">
        <v>4</v>
      </c>
      <c r="H63" s="14">
        <v>2</v>
      </c>
      <c r="I63" s="14">
        <v>1</v>
      </c>
      <c r="J63" s="14">
        <v>0</v>
      </c>
      <c r="K63" s="14">
        <v>0</v>
      </c>
      <c r="L63" s="14">
        <v>0</v>
      </c>
      <c r="M63" s="14">
        <v>5</v>
      </c>
      <c r="N63" s="14">
        <v>1</v>
      </c>
      <c r="O63" s="14">
        <v>1</v>
      </c>
      <c r="P63" s="14">
        <v>4</v>
      </c>
      <c r="Q63" s="14">
        <v>1</v>
      </c>
      <c r="R63" s="14">
        <v>0</v>
      </c>
      <c r="S63" s="14">
        <v>0</v>
      </c>
      <c r="T63" s="14">
        <v>0</v>
      </c>
      <c r="U63" s="14">
        <v>4</v>
      </c>
      <c r="V63" s="14">
        <v>1</v>
      </c>
      <c r="W63" s="14">
        <v>3</v>
      </c>
      <c r="X63" s="14">
        <v>0</v>
      </c>
      <c r="Y63" s="14">
        <v>1</v>
      </c>
      <c r="Z63" s="14">
        <v>2</v>
      </c>
      <c r="AA63" s="14">
        <v>13</v>
      </c>
      <c r="AB63" s="14">
        <v>0</v>
      </c>
      <c r="AC63" s="14">
        <v>2</v>
      </c>
      <c r="AD63" s="14">
        <v>3</v>
      </c>
      <c r="AE63" s="14">
        <v>0</v>
      </c>
      <c r="AF63" s="214"/>
      <c r="AG63" s="15">
        <f t="shared" si="2"/>
        <v>51</v>
      </c>
    </row>
    <row r="64" spans="1:33" ht="15.75" customHeight="1" x14ac:dyDescent="0.25">
      <c r="A64" s="12" t="s">
        <v>25</v>
      </c>
      <c r="B64" s="13">
        <v>3</v>
      </c>
      <c r="C64" s="14">
        <v>0</v>
      </c>
      <c r="D64" s="14">
        <v>0</v>
      </c>
      <c r="E64" s="14">
        <v>1</v>
      </c>
      <c r="F64" s="14">
        <v>9</v>
      </c>
      <c r="G64" s="14">
        <v>8</v>
      </c>
      <c r="H64" s="14">
        <v>17</v>
      </c>
      <c r="I64" s="14">
        <v>28</v>
      </c>
      <c r="J64" s="14">
        <v>1</v>
      </c>
      <c r="K64" s="14">
        <v>0</v>
      </c>
      <c r="L64" s="14">
        <v>1</v>
      </c>
      <c r="M64" s="14">
        <v>2</v>
      </c>
      <c r="N64" s="14">
        <v>1</v>
      </c>
      <c r="O64" s="14">
        <v>1</v>
      </c>
      <c r="P64" s="14">
        <v>3</v>
      </c>
      <c r="Q64" s="14">
        <v>1</v>
      </c>
      <c r="R64" s="14">
        <v>0</v>
      </c>
      <c r="S64" s="14">
        <v>0</v>
      </c>
      <c r="T64" s="14">
        <v>0</v>
      </c>
      <c r="U64" s="14">
        <v>8</v>
      </c>
      <c r="V64" s="14">
        <v>7</v>
      </c>
      <c r="W64" s="14">
        <v>17</v>
      </c>
      <c r="X64" s="14">
        <v>0</v>
      </c>
      <c r="Y64" s="14">
        <v>3</v>
      </c>
      <c r="Z64" s="14">
        <v>12</v>
      </c>
      <c r="AA64" s="14">
        <v>3</v>
      </c>
      <c r="AB64" s="14">
        <v>5</v>
      </c>
      <c r="AC64" s="14">
        <v>3</v>
      </c>
      <c r="AD64" s="14">
        <v>9</v>
      </c>
      <c r="AE64" s="14">
        <v>1</v>
      </c>
      <c r="AF64" s="214"/>
      <c r="AG64" s="15">
        <f t="shared" si="2"/>
        <v>144</v>
      </c>
    </row>
    <row r="65" spans="1:33" ht="15.75" customHeight="1" x14ac:dyDescent="0.25">
      <c r="A65" s="12" t="s">
        <v>26</v>
      </c>
      <c r="B65" s="13">
        <v>0</v>
      </c>
      <c r="C65" s="14">
        <v>0</v>
      </c>
      <c r="D65" s="14">
        <v>0</v>
      </c>
      <c r="E65" s="14">
        <v>8</v>
      </c>
      <c r="F65" s="14">
        <v>4</v>
      </c>
      <c r="G65" s="14">
        <v>4</v>
      </c>
      <c r="H65" s="14">
        <v>7</v>
      </c>
      <c r="I65" s="14">
        <v>0</v>
      </c>
      <c r="J65" s="14">
        <v>0</v>
      </c>
      <c r="K65" s="14">
        <v>0</v>
      </c>
      <c r="L65" s="14">
        <v>7</v>
      </c>
      <c r="M65" s="14">
        <v>6</v>
      </c>
      <c r="N65" s="14">
        <v>2</v>
      </c>
      <c r="O65" s="14">
        <v>0</v>
      </c>
      <c r="P65" s="14">
        <v>8</v>
      </c>
      <c r="Q65" s="14">
        <v>0</v>
      </c>
      <c r="R65" s="14">
        <v>0</v>
      </c>
      <c r="S65" s="14">
        <v>1</v>
      </c>
      <c r="T65" s="14">
        <v>1</v>
      </c>
      <c r="U65" s="14">
        <v>11</v>
      </c>
      <c r="V65" s="14">
        <v>7</v>
      </c>
      <c r="W65" s="14">
        <v>10</v>
      </c>
      <c r="X65" s="14">
        <v>1</v>
      </c>
      <c r="Y65" s="14">
        <v>0</v>
      </c>
      <c r="Z65" s="14">
        <v>4</v>
      </c>
      <c r="AA65" s="14">
        <v>1</v>
      </c>
      <c r="AB65" s="14">
        <v>4</v>
      </c>
      <c r="AC65" s="14">
        <v>3</v>
      </c>
      <c r="AD65" s="14">
        <v>0</v>
      </c>
      <c r="AE65" s="14">
        <v>0</v>
      </c>
      <c r="AF65" s="214"/>
      <c r="AG65" s="15">
        <f t="shared" si="2"/>
        <v>89</v>
      </c>
    </row>
    <row r="66" spans="1:33" ht="15.75" customHeight="1" x14ac:dyDescent="0.25">
      <c r="A66" s="12" t="s">
        <v>27</v>
      </c>
      <c r="B66" s="13">
        <v>1</v>
      </c>
      <c r="C66" s="14">
        <v>0</v>
      </c>
      <c r="D66" s="14">
        <v>0</v>
      </c>
      <c r="E66" s="14">
        <v>3</v>
      </c>
      <c r="F66" s="14">
        <v>2</v>
      </c>
      <c r="G66" s="14">
        <v>4</v>
      </c>
      <c r="H66" s="14">
        <v>4</v>
      </c>
      <c r="I66" s="14">
        <v>2</v>
      </c>
      <c r="J66" s="14">
        <v>0</v>
      </c>
      <c r="K66" s="14">
        <v>0</v>
      </c>
      <c r="L66" s="14">
        <v>3</v>
      </c>
      <c r="M66" s="14">
        <v>3</v>
      </c>
      <c r="N66" s="14">
        <v>1</v>
      </c>
      <c r="O66" s="14">
        <v>0</v>
      </c>
      <c r="P66" s="14">
        <v>7</v>
      </c>
      <c r="Q66" s="14">
        <v>0</v>
      </c>
      <c r="R66" s="14">
        <v>0</v>
      </c>
      <c r="S66" s="14">
        <v>0</v>
      </c>
      <c r="T66" s="14">
        <v>0</v>
      </c>
      <c r="U66" s="14">
        <v>13</v>
      </c>
      <c r="V66" s="14">
        <v>2</v>
      </c>
      <c r="W66" s="14">
        <v>2</v>
      </c>
      <c r="X66" s="14">
        <v>0</v>
      </c>
      <c r="Y66" s="14">
        <v>1</v>
      </c>
      <c r="Z66" s="14">
        <v>11</v>
      </c>
      <c r="AA66" s="14">
        <v>4</v>
      </c>
      <c r="AB66" s="14">
        <v>3</v>
      </c>
      <c r="AC66" s="14">
        <v>2</v>
      </c>
      <c r="AD66" s="14">
        <v>0</v>
      </c>
      <c r="AE66" s="14">
        <v>0</v>
      </c>
      <c r="AF66" s="214"/>
      <c r="AG66" s="15">
        <f t="shared" si="2"/>
        <v>68</v>
      </c>
    </row>
    <row r="67" spans="1:33" ht="15.75" customHeight="1" x14ac:dyDescent="0.25">
      <c r="A67" s="12" t="s">
        <v>28</v>
      </c>
      <c r="B67" s="13">
        <v>0</v>
      </c>
      <c r="C67" s="14">
        <v>0</v>
      </c>
      <c r="D67" s="14">
        <v>0</v>
      </c>
      <c r="E67" s="14">
        <v>1</v>
      </c>
      <c r="F67" s="14">
        <v>1</v>
      </c>
      <c r="G67" s="14">
        <v>0</v>
      </c>
      <c r="H67" s="14">
        <v>6</v>
      </c>
      <c r="I67" s="14">
        <v>0</v>
      </c>
      <c r="J67" s="14">
        <v>0</v>
      </c>
      <c r="K67" s="14">
        <v>0</v>
      </c>
      <c r="L67" s="14">
        <v>4</v>
      </c>
      <c r="M67" s="14">
        <v>2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4</v>
      </c>
      <c r="V67" s="14">
        <v>1</v>
      </c>
      <c r="W67" s="14">
        <v>1</v>
      </c>
      <c r="X67" s="14">
        <v>1</v>
      </c>
      <c r="Y67" s="14">
        <v>0</v>
      </c>
      <c r="Z67" s="14">
        <v>7</v>
      </c>
      <c r="AA67" s="14">
        <v>2</v>
      </c>
      <c r="AB67" s="14">
        <v>0</v>
      </c>
      <c r="AC67" s="14">
        <v>0</v>
      </c>
      <c r="AD67" s="14">
        <v>0</v>
      </c>
      <c r="AE67" s="14">
        <v>0</v>
      </c>
      <c r="AF67" s="214"/>
      <c r="AG67" s="15">
        <f t="shared" si="2"/>
        <v>30</v>
      </c>
    </row>
    <row r="68" spans="1:33" ht="15.75" customHeight="1" x14ac:dyDescent="0.25">
      <c r="A68" s="12" t="s">
        <v>29</v>
      </c>
      <c r="B68" s="13">
        <v>0</v>
      </c>
      <c r="C68" s="14">
        <v>0</v>
      </c>
      <c r="D68" s="14">
        <v>0</v>
      </c>
      <c r="E68" s="14">
        <v>3</v>
      </c>
      <c r="F68" s="14">
        <v>0</v>
      </c>
      <c r="G68" s="14">
        <v>0</v>
      </c>
      <c r="H68" s="14">
        <v>4</v>
      </c>
      <c r="I68" s="14">
        <v>0</v>
      </c>
      <c r="J68" s="14">
        <v>0</v>
      </c>
      <c r="K68" s="14">
        <v>0</v>
      </c>
      <c r="L68" s="14">
        <v>3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1</v>
      </c>
      <c r="S68" s="14">
        <v>0</v>
      </c>
      <c r="T68" s="14">
        <v>0</v>
      </c>
      <c r="U68" s="14">
        <v>2</v>
      </c>
      <c r="V68" s="14">
        <v>1</v>
      </c>
      <c r="W68" s="14">
        <v>1</v>
      </c>
      <c r="X68" s="14">
        <v>2</v>
      </c>
      <c r="Y68" s="14">
        <v>0</v>
      </c>
      <c r="Z68" s="14">
        <v>2</v>
      </c>
      <c r="AA68" s="14">
        <v>0</v>
      </c>
      <c r="AB68" s="14">
        <v>0</v>
      </c>
      <c r="AC68" s="14">
        <v>0</v>
      </c>
      <c r="AD68" s="14">
        <v>1</v>
      </c>
      <c r="AE68" s="14">
        <v>1</v>
      </c>
      <c r="AF68" s="214"/>
      <c r="AG68" s="15">
        <f t="shared" si="2"/>
        <v>21</v>
      </c>
    </row>
    <row r="69" spans="1:33" ht="15.75" customHeight="1" x14ac:dyDescent="0.25">
      <c r="A69" s="12" t="s">
        <v>30</v>
      </c>
      <c r="B69" s="13">
        <v>0</v>
      </c>
      <c r="C69" s="14">
        <v>0</v>
      </c>
      <c r="D69" s="14">
        <v>0</v>
      </c>
      <c r="E69" s="14">
        <v>0</v>
      </c>
      <c r="F69" s="14">
        <v>0</v>
      </c>
      <c r="G69" s="14">
        <v>2</v>
      </c>
      <c r="H69" s="14">
        <v>3</v>
      </c>
      <c r="I69" s="14">
        <v>1</v>
      </c>
      <c r="J69" s="14">
        <v>0</v>
      </c>
      <c r="K69" s="14">
        <v>1</v>
      </c>
      <c r="L69" s="14">
        <v>1</v>
      </c>
      <c r="M69" s="14">
        <v>0</v>
      </c>
      <c r="N69" s="14">
        <v>0</v>
      </c>
      <c r="O69" s="14">
        <v>0</v>
      </c>
      <c r="P69" s="14">
        <v>0</v>
      </c>
      <c r="Q69" s="14">
        <v>1</v>
      </c>
      <c r="R69" s="14">
        <v>0</v>
      </c>
      <c r="S69" s="14">
        <v>0</v>
      </c>
      <c r="T69" s="14">
        <v>0</v>
      </c>
      <c r="U69" s="14">
        <v>3</v>
      </c>
      <c r="V69" s="14">
        <v>0</v>
      </c>
      <c r="W69" s="14">
        <v>0</v>
      </c>
      <c r="X69" s="14">
        <v>1</v>
      </c>
      <c r="Y69" s="14">
        <v>2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2</v>
      </c>
      <c r="AF69" s="214"/>
      <c r="AG69" s="15">
        <f t="shared" si="2"/>
        <v>17</v>
      </c>
    </row>
    <row r="70" spans="1:33" ht="15.75" customHeight="1" x14ac:dyDescent="0.25">
      <c r="A70" s="12" t="s">
        <v>31</v>
      </c>
      <c r="B70" s="9">
        <v>0</v>
      </c>
      <c r="C70" s="10">
        <v>0</v>
      </c>
      <c r="D70" s="14">
        <v>0</v>
      </c>
      <c r="E70" s="10">
        <v>1</v>
      </c>
      <c r="F70" s="10">
        <v>1</v>
      </c>
      <c r="G70" s="14">
        <v>0</v>
      </c>
      <c r="H70" s="10">
        <v>0</v>
      </c>
      <c r="I70" s="14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2</v>
      </c>
      <c r="V70" s="10">
        <v>0</v>
      </c>
      <c r="W70" s="10">
        <v>0</v>
      </c>
      <c r="X70" s="10">
        <v>0</v>
      </c>
      <c r="Y70" s="10">
        <v>2</v>
      </c>
      <c r="Z70" s="10">
        <v>2</v>
      </c>
      <c r="AA70" s="10">
        <v>0</v>
      </c>
      <c r="AB70" s="10">
        <v>0</v>
      </c>
      <c r="AC70" s="10">
        <v>0</v>
      </c>
      <c r="AD70" s="10">
        <v>1</v>
      </c>
      <c r="AE70" s="10">
        <v>1</v>
      </c>
      <c r="AF70" s="213"/>
      <c r="AG70" s="15">
        <f t="shared" si="2"/>
        <v>10</v>
      </c>
    </row>
    <row r="71" spans="1:33" ht="15.75" customHeight="1" x14ac:dyDescent="0.25">
      <c r="A71" s="12" t="s">
        <v>32</v>
      </c>
      <c r="B71" s="9">
        <v>0</v>
      </c>
      <c r="C71" s="10">
        <v>0</v>
      </c>
      <c r="D71" s="14">
        <v>0</v>
      </c>
      <c r="E71" s="10">
        <v>0</v>
      </c>
      <c r="F71" s="10">
        <v>0</v>
      </c>
      <c r="G71" s="14">
        <v>0</v>
      </c>
      <c r="H71" s="10">
        <v>0</v>
      </c>
      <c r="I71" s="14">
        <v>0</v>
      </c>
      <c r="J71" s="10">
        <v>0</v>
      </c>
      <c r="K71" s="10">
        <v>0</v>
      </c>
      <c r="L71" s="10">
        <v>1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3</v>
      </c>
      <c r="V71" s="10">
        <v>0</v>
      </c>
      <c r="W71" s="10">
        <v>0</v>
      </c>
      <c r="X71" s="10">
        <v>0</v>
      </c>
      <c r="Y71" s="10">
        <v>2</v>
      </c>
      <c r="Z71" s="10">
        <v>12</v>
      </c>
      <c r="AA71" s="10">
        <v>0</v>
      </c>
      <c r="AB71" s="10">
        <v>1</v>
      </c>
      <c r="AC71" s="10">
        <v>0</v>
      </c>
      <c r="AD71" s="10">
        <v>0</v>
      </c>
      <c r="AE71" s="10">
        <v>0</v>
      </c>
      <c r="AF71" s="213"/>
      <c r="AG71" s="15">
        <f t="shared" si="2"/>
        <v>19</v>
      </c>
    </row>
    <row r="72" spans="1:33" ht="15.75" customHeight="1" x14ac:dyDescent="0.25">
      <c r="A72" s="12" t="s">
        <v>33</v>
      </c>
      <c r="B72" s="9">
        <v>0</v>
      </c>
      <c r="C72" s="10">
        <v>0</v>
      </c>
      <c r="D72" s="14">
        <v>0</v>
      </c>
      <c r="E72" s="10">
        <v>4</v>
      </c>
      <c r="F72" s="10">
        <v>0</v>
      </c>
      <c r="G72" s="14">
        <v>0</v>
      </c>
      <c r="H72" s="10">
        <v>0</v>
      </c>
      <c r="I72" s="14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1</v>
      </c>
      <c r="Z72" s="10">
        <v>5</v>
      </c>
      <c r="AA72" s="10">
        <v>0</v>
      </c>
      <c r="AB72" s="10">
        <v>0</v>
      </c>
      <c r="AC72" s="10">
        <v>1</v>
      </c>
      <c r="AD72" s="10">
        <v>0</v>
      </c>
      <c r="AE72" s="10">
        <v>0</v>
      </c>
      <c r="AF72" s="213"/>
      <c r="AG72" s="15">
        <f t="shared" si="2"/>
        <v>11</v>
      </c>
    </row>
    <row r="73" spans="1:33" ht="15.75" customHeight="1" x14ac:dyDescent="0.25">
      <c r="A73" s="12" t="s">
        <v>34</v>
      </c>
      <c r="B73" s="9">
        <v>0</v>
      </c>
      <c r="C73" s="10">
        <v>0</v>
      </c>
      <c r="D73" s="14">
        <v>0</v>
      </c>
      <c r="E73" s="10">
        <v>0</v>
      </c>
      <c r="F73" s="10">
        <v>0</v>
      </c>
      <c r="G73" s="14">
        <v>0</v>
      </c>
      <c r="H73" s="10">
        <v>0</v>
      </c>
      <c r="I73" s="14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213"/>
      <c r="AG73" s="15">
        <f t="shared" si="2"/>
        <v>0</v>
      </c>
    </row>
    <row r="74" spans="1:33" ht="15.75" customHeight="1" x14ac:dyDescent="0.25">
      <c r="A74" s="12" t="s">
        <v>35</v>
      </c>
      <c r="B74" s="9">
        <v>0</v>
      </c>
      <c r="C74" s="10">
        <v>0</v>
      </c>
      <c r="D74" s="14">
        <v>0</v>
      </c>
      <c r="E74" s="10">
        <v>0</v>
      </c>
      <c r="F74" s="10">
        <v>0</v>
      </c>
      <c r="G74" s="14">
        <v>0</v>
      </c>
      <c r="H74" s="10">
        <v>1</v>
      </c>
      <c r="I74" s="14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213"/>
      <c r="AG74" s="15">
        <f t="shared" si="2"/>
        <v>1</v>
      </c>
    </row>
    <row r="75" spans="1:33" ht="15.75" customHeight="1" x14ac:dyDescent="0.25">
      <c r="A75" s="12" t="s">
        <v>36</v>
      </c>
      <c r="B75" s="9">
        <v>0</v>
      </c>
      <c r="C75" s="10">
        <v>0</v>
      </c>
      <c r="D75" s="14">
        <v>0</v>
      </c>
      <c r="E75" s="10">
        <v>0</v>
      </c>
      <c r="F75" s="10">
        <v>0</v>
      </c>
      <c r="G75" s="14">
        <v>0</v>
      </c>
      <c r="H75" s="10">
        <v>0</v>
      </c>
      <c r="I75" s="14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213"/>
      <c r="AG75" s="15">
        <f t="shared" si="2"/>
        <v>0</v>
      </c>
    </row>
    <row r="76" spans="1:33" ht="15.75" customHeight="1" x14ac:dyDescent="0.25">
      <c r="A76" s="12" t="s">
        <v>37</v>
      </c>
      <c r="B76" s="9">
        <v>0</v>
      </c>
      <c r="C76" s="10">
        <v>0</v>
      </c>
      <c r="D76" s="14">
        <v>0</v>
      </c>
      <c r="E76" s="10">
        <v>0</v>
      </c>
      <c r="F76" s="10">
        <v>0</v>
      </c>
      <c r="G76" s="14">
        <v>0</v>
      </c>
      <c r="H76" s="10">
        <v>0</v>
      </c>
      <c r="I76" s="14">
        <v>0</v>
      </c>
      <c r="J76" s="10">
        <v>0</v>
      </c>
      <c r="K76" s="10">
        <v>0</v>
      </c>
      <c r="L76" s="10">
        <v>0</v>
      </c>
      <c r="M76" s="10">
        <v>1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213"/>
      <c r="AG76" s="15">
        <f t="shared" si="2"/>
        <v>1</v>
      </c>
    </row>
    <row r="77" spans="1:33" ht="15.75" customHeight="1" thickBot="1" x14ac:dyDescent="0.3">
      <c r="A77" s="28" t="s">
        <v>38</v>
      </c>
      <c r="B77" s="29">
        <v>1</v>
      </c>
      <c r="C77" s="30">
        <v>0</v>
      </c>
      <c r="D77" s="25">
        <v>0</v>
      </c>
      <c r="E77" s="30">
        <v>0</v>
      </c>
      <c r="F77" s="30">
        <v>0</v>
      </c>
      <c r="G77" s="25">
        <v>0</v>
      </c>
      <c r="H77" s="30">
        <v>0</v>
      </c>
      <c r="I77" s="25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217"/>
      <c r="AG77" s="26">
        <f t="shared" si="2"/>
        <v>1</v>
      </c>
    </row>
    <row r="78" spans="1:33" ht="19.5" hidden="1" customHeight="1" x14ac:dyDescent="0.25">
      <c r="A78" s="31" t="s">
        <v>41</v>
      </c>
      <c r="B78" s="32">
        <f t="shared" ref="B78:AF78" si="5">SUM(B79:B80)</f>
        <v>235</v>
      </c>
      <c r="C78" s="33">
        <f t="shared" si="5"/>
        <v>176</v>
      </c>
      <c r="D78" s="33">
        <f t="shared" si="5"/>
        <v>205</v>
      </c>
      <c r="E78" s="34">
        <f t="shared" si="5"/>
        <v>258</v>
      </c>
      <c r="F78" s="34">
        <f t="shared" si="5"/>
        <v>230</v>
      </c>
      <c r="G78" s="34">
        <f t="shared" si="5"/>
        <v>235</v>
      </c>
      <c r="H78" s="34">
        <f t="shared" si="5"/>
        <v>269</v>
      </c>
      <c r="I78" s="34">
        <f t="shared" si="5"/>
        <v>256</v>
      </c>
      <c r="J78" s="34">
        <f t="shared" si="5"/>
        <v>183</v>
      </c>
      <c r="K78" s="34">
        <f t="shared" si="5"/>
        <v>187</v>
      </c>
      <c r="L78" s="34">
        <f t="shared" si="5"/>
        <v>268</v>
      </c>
      <c r="M78" s="34">
        <f t="shared" si="5"/>
        <v>232</v>
      </c>
      <c r="N78" s="34">
        <f t="shared" si="5"/>
        <v>208</v>
      </c>
      <c r="O78" s="34">
        <f t="shared" si="5"/>
        <v>204</v>
      </c>
      <c r="P78" s="34">
        <f t="shared" si="5"/>
        <v>225</v>
      </c>
      <c r="Q78" s="34">
        <f t="shared" si="5"/>
        <v>199</v>
      </c>
      <c r="R78" s="34">
        <f t="shared" si="5"/>
        <v>188</v>
      </c>
      <c r="S78" s="34">
        <f t="shared" si="5"/>
        <v>188</v>
      </c>
      <c r="T78" s="34">
        <f t="shared" si="5"/>
        <v>234</v>
      </c>
      <c r="U78" s="34">
        <f t="shared" si="5"/>
        <v>325</v>
      </c>
      <c r="V78" s="34">
        <f t="shared" si="5"/>
        <v>285</v>
      </c>
      <c r="W78" s="34">
        <f t="shared" si="5"/>
        <v>274</v>
      </c>
      <c r="X78" s="34">
        <f t="shared" si="5"/>
        <v>253</v>
      </c>
      <c r="Y78" s="34">
        <f t="shared" si="5"/>
        <v>280</v>
      </c>
      <c r="Z78" s="34">
        <f t="shared" si="5"/>
        <v>301</v>
      </c>
      <c r="AA78" s="34">
        <f t="shared" si="5"/>
        <v>301</v>
      </c>
      <c r="AB78" s="34">
        <f t="shared" si="5"/>
        <v>272</v>
      </c>
      <c r="AC78" s="34">
        <f t="shared" si="5"/>
        <v>277</v>
      </c>
      <c r="AD78" s="34">
        <f t="shared" si="5"/>
        <v>213</v>
      </c>
      <c r="AE78" s="34">
        <f t="shared" si="5"/>
        <v>239</v>
      </c>
      <c r="AF78" s="218">
        <f t="shared" si="5"/>
        <v>0</v>
      </c>
      <c r="AG78" s="27">
        <f t="shared" si="2"/>
        <v>7200</v>
      </c>
    </row>
    <row r="79" spans="1:33" ht="19.5" hidden="1" customHeight="1" x14ac:dyDescent="0.25">
      <c r="A79" s="35" t="s">
        <v>42</v>
      </c>
      <c r="B79" s="9">
        <f t="shared" ref="B79:AF79" si="6">SUM(B4:B27)-B80</f>
        <v>235</v>
      </c>
      <c r="C79" s="10">
        <f t="shared" si="6"/>
        <v>176</v>
      </c>
      <c r="D79" s="10">
        <f t="shared" si="6"/>
        <v>205</v>
      </c>
      <c r="E79" s="10">
        <f t="shared" si="6"/>
        <v>258</v>
      </c>
      <c r="F79" s="10">
        <f t="shared" si="6"/>
        <v>93</v>
      </c>
      <c r="G79" s="10">
        <f t="shared" si="6"/>
        <v>104</v>
      </c>
      <c r="H79" s="10">
        <f t="shared" si="6"/>
        <v>124</v>
      </c>
      <c r="I79" s="10">
        <f t="shared" si="6"/>
        <v>256</v>
      </c>
      <c r="J79" s="10">
        <f t="shared" si="6"/>
        <v>183</v>
      </c>
      <c r="K79" s="10">
        <f t="shared" si="6"/>
        <v>187</v>
      </c>
      <c r="L79" s="10">
        <f t="shared" si="6"/>
        <v>268</v>
      </c>
      <c r="M79" s="10">
        <f t="shared" si="6"/>
        <v>104</v>
      </c>
      <c r="N79" s="10">
        <f t="shared" si="6"/>
        <v>101</v>
      </c>
      <c r="O79" s="10">
        <f t="shared" si="6"/>
        <v>98</v>
      </c>
      <c r="P79" s="10">
        <f t="shared" si="6"/>
        <v>225</v>
      </c>
      <c r="Q79" s="10">
        <f t="shared" si="6"/>
        <v>199</v>
      </c>
      <c r="R79" s="10">
        <f t="shared" si="6"/>
        <v>78</v>
      </c>
      <c r="S79" s="10">
        <f t="shared" si="6"/>
        <v>94</v>
      </c>
      <c r="T79" s="10">
        <f t="shared" si="6"/>
        <v>95</v>
      </c>
      <c r="U79" s="10">
        <f t="shared" si="6"/>
        <v>126</v>
      </c>
      <c r="V79" s="10">
        <f t="shared" si="6"/>
        <v>134</v>
      </c>
      <c r="W79" s="10">
        <f t="shared" si="6"/>
        <v>274</v>
      </c>
      <c r="X79" s="10">
        <f t="shared" si="6"/>
        <v>253</v>
      </c>
      <c r="Y79" s="10">
        <f t="shared" si="6"/>
        <v>121</v>
      </c>
      <c r="Z79" s="10">
        <f t="shared" si="6"/>
        <v>301</v>
      </c>
      <c r="AA79" s="10">
        <f t="shared" si="6"/>
        <v>117</v>
      </c>
      <c r="AB79" s="10">
        <f t="shared" si="6"/>
        <v>127</v>
      </c>
      <c r="AC79" s="10">
        <f t="shared" si="6"/>
        <v>116</v>
      </c>
      <c r="AD79" s="10">
        <f t="shared" si="6"/>
        <v>213</v>
      </c>
      <c r="AE79" s="10">
        <f t="shared" si="6"/>
        <v>239</v>
      </c>
      <c r="AF79" s="10">
        <f t="shared" si="6"/>
        <v>0</v>
      </c>
      <c r="AG79" s="11">
        <f t="shared" si="2"/>
        <v>5104</v>
      </c>
    </row>
    <row r="80" spans="1:33" ht="19.5" hidden="1" customHeight="1" x14ac:dyDescent="0.25">
      <c r="A80" s="36" t="s">
        <v>43</v>
      </c>
      <c r="B80" s="37"/>
      <c r="C80" s="38"/>
      <c r="D80" s="25">
        <v>0</v>
      </c>
      <c r="E80" s="25">
        <v>0</v>
      </c>
      <c r="F80" s="25">
        <f>SUM(F4:F12)</f>
        <v>137</v>
      </c>
      <c r="G80" s="25">
        <f>SUM(G4:G12)</f>
        <v>131</v>
      </c>
      <c r="H80" s="25">
        <f>SUM(H4:H12)</f>
        <v>145</v>
      </c>
      <c r="I80" s="38"/>
      <c r="J80" s="38"/>
      <c r="K80" s="25">
        <v>0</v>
      </c>
      <c r="L80" s="25">
        <v>0</v>
      </c>
      <c r="M80" s="25">
        <f>SUM(M4:M12)</f>
        <v>128</v>
      </c>
      <c r="N80" s="25">
        <f>SUM(N4:N12)</f>
        <v>107</v>
      </c>
      <c r="O80" s="25">
        <f>SUM(O4:O12)</f>
        <v>106</v>
      </c>
      <c r="P80" s="38"/>
      <c r="Q80" s="38"/>
      <c r="R80" s="25">
        <f>SUM(R4:R12)</f>
        <v>110</v>
      </c>
      <c r="S80" s="25">
        <f>SUM(S4:S12)</f>
        <v>94</v>
      </c>
      <c r="T80" s="25">
        <f>SUM(T4:T12)</f>
        <v>139</v>
      </c>
      <c r="U80" s="25">
        <f>SUM(U4:U12)</f>
        <v>199</v>
      </c>
      <c r="V80" s="25">
        <f>SUM(V4:V12)</f>
        <v>151</v>
      </c>
      <c r="W80" s="38"/>
      <c r="X80" s="38"/>
      <c r="Y80" s="25">
        <f>SUM(Y4:Y12)</f>
        <v>159</v>
      </c>
      <c r="Z80" s="38"/>
      <c r="AA80" s="25">
        <f>SUM(AA4:AA12)</f>
        <v>184</v>
      </c>
      <c r="AB80" s="25">
        <f>SUM(AB4:AB12)</f>
        <v>145</v>
      </c>
      <c r="AC80" s="25">
        <f>SUM(AC4:AC12)</f>
        <v>161</v>
      </c>
      <c r="AD80" s="38"/>
      <c r="AE80" s="38"/>
      <c r="AF80" s="25">
        <f>SUM(AF4:AF12)</f>
        <v>0</v>
      </c>
      <c r="AG80" s="26">
        <f t="shared" si="2"/>
        <v>2096</v>
      </c>
    </row>
    <row r="81" spans="1:35" ht="15.75" customHeight="1" thickBot="1" x14ac:dyDescent="0.3">
      <c r="A81" s="31" t="s">
        <v>44</v>
      </c>
      <c r="B81" s="39">
        <f t="shared" ref="B81:AF81" si="7">SUM(B82:B83)</f>
        <v>24</v>
      </c>
      <c r="C81" s="34">
        <f t="shared" si="7"/>
        <v>2</v>
      </c>
      <c r="D81" s="34">
        <f t="shared" si="7"/>
        <v>5</v>
      </c>
      <c r="E81" s="34">
        <f t="shared" si="7"/>
        <v>32</v>
      </c>
      <c r="F81" s="34">
        <f t="shared" si="7"/>
        <v>24</v>
      </c>
      <c r="G81" s="34">
        <f t="shared" si="7"/>
        <v>33</v>
      </c>
      <c r="H81" s="34">
        <f t="shared" si="7"/>
        <v>56</v>
      </c>
      <c r="I81" s="34">
        <f t="shared" si="7"/>
        <v>56</v>
      </c>
      <c r="J81" s="34">
        <f t="shared" si="7"/>
        <v>3</v>
      </c>
      <c r="K81" s="34">
        <f t="shared" si="7"/>
        <v>6</v>
      </c>
      <c r="L81" s="34">
        <f t="shared" si="7"/>
        <v>25</v>
      </c>
      <c r="M81" s="34">
        <f t="shared" si="7"/>
        <v>25</v>
      </c>
      <c r="N81" s="34">
        <f t="shared" si="7"/>
        <v>25</v>
      </c>
      <c r="O81" s="34">
        <f t="shared" si="7"/>
        <v>5</v>
      </c>
      <c r="P81" s="34">
        <f t="shared" si="7"/>
        <v>29</v>
      </c>
      <c r="Q81" s="34">
        <f t="shared" si="7"/>
        <v>5</v>
      </c>
      <c r="R81" s="34">
        <f t="shared" si="7"/>
        <v>1</v>
      </c>
      <c r="S81" s="34">
        <f t="shared" si="7"/>
        <v>2</v>
      </c>
      <c r="T81" s="34">
        <f t="shared" si="7"/>
        <v>1</v>
      </c>
      <c r="U81" s="34">
        <f t="shared" si="7"/>
        <v>96</v>
      </c>
      <c r="V81" s="34">
        <f t="shared" si="7"/>
        <v>31</v>
      </c>
      <c r="W81" s="34">
        <f t="shared" si="7"/>
        <v>55</v>
      </c>
      <c r="X81" s="34">
        <f t="shared" si="7"/>
        <v>8</v>
      </c>
      <c r="Y81" s="34">
        <f t="shared" si="7"/>
        <v>15</v>
      </c>
      <c r="Z81" s="34">
        <f t="shared" si="7"/>
        <v>85</v>
      </c>
      <c r="AA81" s="34">
        <f t="shared" si="7"/>
        <v>42</v>
      </c>
      <c r="AB81" s="34">
        <f t="shared" si="7"/>
        <v>32</v>
      </c>
      <c r="AC81" s="34">
        <f t="shared" si="7"/>
        <v>16</v>
      </c>
      <c r="AD81" s="34">
        <f t="shared" si="7"/>
        <v>20</v>
      </c>
      <c r="AE81" s="34">
        <f t="shared" si="7"/>
        <v>7</v>
      </c>
      <c r="AF81" s="34">
        <f t="shared" si="7"/>
        <v>0</v>
      </c>
      <c r="AG81" s="27">
        <f t="shared" si="2"/>
        <v>766</v>
      </c>
      <c r="AH81" s="40" t="str">
        <f>IF(AG81&lt;&gt;AG53,"*","")</f>
        <v/>
      </c>
    </row>
    <row r="82" spans="1:35" ht="15.75" customHeight="1" x14ac:dyDescent="0.25">
      <c r="A82" s="35" t="s">
        <v>43</v>
      </c>
      <c r="B82" s="9">
        <f t="shared" ref="B82:AF82" si="8">SUM(B54:B62)</f>
        <v>17</v>
      </c>
      <c r="C82" s="10">
        <f t="shared" si="8"/>
        <v>2</v>
      </c>
      <c r="D82" s="10">
        <f t="shared" si="8"/>
        <v>4</v>
      </c>
      <c r="E82" s="10">
        <f t="shared" si="8"/>
        <v>11</v>
      </c>
      <c r="F82" s="10">
        <f t="shared" si="8"/>
        <v>7</v>
      </c>
      <c r="G82" s="10">
        <f t="shared" si="8"/>
        <v>11</v>
      </c>
      <c r="H82" s="10">
        <f t="shared" si="8"/>
        <v>12</v>
      </c>
      <c r="I82" s="10">
        <f t="shared" si="8"/>
        <v>24</v>
      </c>
      <c r="J82" s="10">
        <f t="shared" si="8"/>
        <v>2</v>
      </c>
      <c r="K82" s="10">
        <f t="shared" si="8"/>
        <v>5</v>
      </c>
      <c r="L82" s="10">
        <f t="shared" si="8"/>
        <v>5</v>
      </c>
      <c r="M82" s="10">
        <f t="shared" si="8"/>
        <v>6</v>
      </c>
      <c r="N82" s="10">
        <f t="shared" si="8"/>
        <v>20</v>
      </c>
      <c r="O82" s="10">
        <f t="shared" si="8"/>
        <v>3</v>
      </c>
      <c r="P82" s="10">
        <f t="shared" si="8"/>
        <v>7</v>
      </c>
      <c r="Q82" s="10">
        <f t="shared" si="8"/>
        <v>2</v>
      </c>
      <c r="R82" s="10">
        <f t="shared" si="8"/>
        <v>0</v>
      </c>
      <c r="S82" s="10">
        <f t="shared" si="8"/>
        <v>1</v>
      </c>
      <c r="T82" s="10">
        <f t="shared" si="8"/>
        <v>0</v>
      </c>
      <c r="U82" s="10">
        <f t="shared" si="8"/>
        <v>46</v>
      </c>
      <c r="V82" s="10">
        <f t="shared" si="8"/>
        <v>12</v>
      </c>
      <c r="W82" s="10">
        <f t="shared" si="8"/>
        <v>21</v>
      </c>
      <c r="X82" s="10">
        <f t="shared" si="8"/>
        <v>3</v>
      </c>
      <c r="Y82" s="10">
        <f t="shared" si="8"/>
        <v>3</v>
      </c>
      <c r="Z82" s="10">
        <f t="shared" si="8"/>
        <v>28</v>
      </c>
      <c r="AA82" s="10">
        <f t="shared" si="8"/>
        <v>19</v>
      </c>
      <c r="AB82" s="10">
        <f t="shared" si="8"/>
        <v>19</v>
      </c>
      <c r="AC82" s="10">
        <f t="shared" si="8"/>
        <v>5</v>
      </c>
      <c r="AD82" s="10">
        <f t="shared" si="8"/>
        <v>6</v>
      </c>
      <c r="AE82" s="10">
        <f t="shared" si="8"/>
        <v>2</v>
      </c>
      <c r="AF82" s="10">
        <f t="shared" si="8"/>
        <v>0</v>
      </c>
      <c r="AG82" s="11">
        <f t="shared" si="2"/>
        <v>303</v>
      </c>
    </row>
    <row r="83" spans="1:35" ht="15.75" customHeight="1" thickBot="1" x14ac:dyDescent="0.3">
      <c r="A83" s="36" t="s">
        <v>42</v>
      </c>
      <c r="B83" s="24">
        <f t="shared" ref="B83:AF83" si="9">SUM(B54:B77)-B82</f>
        <v>7</v>
      </c>
      <c r="C83" s="25">
        <f t="shared" si="9"/>
        <v>0</v>
      </c>
      <c r="D83" s="25">
        <f t="shared" si="9"/>
        <v>1</v>
      </c>
      <c r="E83" s="25">
        <f t="shared" si="9"/>
        <v>21</v>
      </c>
      <c r="F83" s="25">
        <f t="shared" si="9"/>
        <v>17</v>
      </c>
      <c r="G83" s="25">
        <f t="shared" si="9"/>
        <v>22</v>
      </c>
      <c r="H83" s="25">
        <f t="shared" si="9"/>
        <v>44</v>
      </c>
      <c r="I83" s="25">
        <f t="shared" si="9"/>
        <v>32</v>
      </c>
      <c r="J83" s="25">
        <f t="shared" si="9"/>
        <v>1</v>
      </c>
      <c r="K83" s="25">
        <f t="shared" si="9"/>
        <v>1</v>
      </c>
      <c r="L83" s="25">
        <f t="shared" si="9"/>
        <v>20</v>
      </c>
      <c r="M83" s="25">
        <f t="shared" si="9"/>
        <v>19</v>
      </c>
      <c r="N83" s="25">
        <f t="shared" si="9"/>
        <v>5</v>
      </c>
      <c r="O83" s="25">
        <f t="shared" si="9"/>
        <v>2</v>
      </c>
      <c r="P83" s="25">
        <f t="shared" si="9"/>
        <v>22</v>
      </c>
      <c r="Q83" s="25">
        <f t="shared" si="9"/>
        <v>3</v>
      </c>
      <c r="R83" s="25">
        <f t="shared" si="9"/>
        <v>1</v>
      </c>
      <c r="S83" s="25">
        <f t="shared" si="9"/>
        <v>1</v>
      </c>
      <c r="T83" s="25">
        <f t="shared" si="9"/>
        <v>1</v>
      </c>
      <c r="U83" s="25">
        <f t="shared" si="9"/>
        <v>50</v>
      </c>
      <c r="V83" s="25">
        <f t="shared" si="9"/>
        <v>19</v>
      </c>
      <c r="W83" s="25">
        <f t="shared" si="9"/>
        <v>34</v>
      </c>
      <c r="X83" s="25">
        <f t="shared" si="9"/>
        <v>5</v>
      </c>
      <c r="Y83" s="25">
        <f t="shared" si="9"/>
        <v>12</v>
      </c>
      <c r="Z83" s="25">
        <f t="shared" si="9"/>
        <v>57</v>
      </c>
      <c r="AA83" s="25">
        <f t="shared" si="9"/>
        <v>23</v>
      </c>
      <c r="AB83" s="25">
        <f t="shared" si="9"/>
        <v>13</v>
      </c>
      <c r="AC83" s="25">
        <f t="shared" si="9"/>
        <v>11</v>
      </c>
      <c r="AD83" s="25">
        <f t="shared" si="9"/>
        <v>14</v>
      </c>
      <c r="AE83" s="25">
        <f t="shared" si="9"/>
        <v>5</v>
      </c>
      <c r="AF83" s="25">
        <f t="shared" si="9"/>
        <v>0</v>
      </c>
      <c r="AG83" s="15">
        <f t="shared" si="2"/>
        <v>463</v>
      </c>
    </row>
    <row r="84" spans="1:35" ht="15.75" customHeight="1" thickBot="1" x14ac:dyDescent="0.3">
      <c r="A84" s="41" t="s">
        <v>45</v>
      </c>
      <c r="B84" s="42">
        <f t="shared" ref="B84:AF84" si="10">SUM(B85:B86)</f>
        <v>24</v>
      </c>
      <c r="C84" s="43">
        <f t="shared" si="10"/>
        <v>2</v>
      </c>
      <c r="D84" s="43">
        <f t="shared" si="10"/>
        <v>5</v>
      </c>
      <c r="E84" s="43">
        <f t="shared" si="10"/>
        <v>32</v>
      </c>
      <c r="F84" s="43">
        <f t="shared" si="10"/>
        <v>24</v>
      </c>
      <c r="G84" s="43">
        <f t="shared" si="10"/>
        <v>33</v>
      </c>
      <c r="H84" s="43">
        <f t="shared" si="10"/>
        <v>56</v>
      </c>
      <c r="I84" s="43">
        <f t="shared" si="10"/>
        <v>56</v>
      </c>
      <c r="J84" s="43">
        <f t="shared" si="10"/>
        <v>3</v>
      </c>
      <c r="K84" s="43">
        <f t="shared" si="10"/>
        <v>6</v>
      </c>
      <c r="L84" s="43">
        <f t="shared" si="10"/>
        <v>25</v>
      </c>
      <c r="M84" s="43">
        <f t="shared" si="10"/>
        <v>25</v>
      </c>
      <c r="N84" s="43">
        <f t="shared" si="10"/>
        <v>25</v>
      </c>
      <c r="O84" s="43">
        <f t="shared" si="10"/>
        <v>5</v>
      </c>
      <c r="P84" s="43">
        <f t="shared" si="10"/>
        <v>29</v>
      </c>
      <c r="Q84" s="43">
        <f t="shared" si="10"/>
        <v>5</v>
      </c>
      <c r="R84" s="43">
        <f t="shared" si="10"/>
        <v>1</v>
      </c>
      <c r="S84" s="43">
        <f t="shared" si="10"/>
        <v>2</v>
      </c>
      <c r="T84" s="43">
        <f t="shared" si="10"/>
        <v>1</v>
      </c>
      <c r="U84" s="43">
        <f t="shared" si="10"/>
        <v>96</v>
      </c>
      <c r="V84" s="43">
        <f t="shared" si="10"/>
        <v>31</v>
      </c>
      <c r="W84" s="43">
        <f t="shared" si="10"/>
        <v>55</v>
      </c>
      <c r="X84" s="43">
        <f t="shared" si="10"/>
        <v>8</v>
      </c>
      <c r="Y84" s="43">
        <f t="shared" si="10"/>
        <v>15</v>
      </c>
      <c r="Z84" s="43">
        <f t="shared" si="10"/>
        <v>85</v>
      </c>
      <c r="AA84" s="43">
        <f t="shared" si="10"/>
        <v>42</v>
      </c>
      <c r="AB84" s="43">
        <f t="shared" si="10"/>
        <v>32</v>
      </c>
      <c r="AC84" s="43">
        <f t="shared" si="10"/>
        <v>16</v>
      </c>
      <c r="AD84" s="43">
        <f t="shared" si="10"/>
        <v>20</v>
      </c>
      <c r="AE84" s="43">
        <f t="shared" si="10"/>
        <v>7</v>
      </c>
      <c r="AF84" s="43">
        <f t="shared" si="10"/>
        <v>0</v>
      </c>
      <c r="AG84" s="44">
        <f t="shared" si="2"/>
        <v>766</v>
      </c>
      <c r="AH84" s="40" t="str">
        <f>IF(AG84&lt;&gt;AG82+AG83,"*","")</f>
        <v/>
      </c>
      <c r="AI84" s="361" t="s">
        <v>46</v>
      </c>
    </row>
    <row r="85" spans="1:35" ht="15.75" customHeight="1" x14ac:dyDescent="0.25">
      <c r="A85" s="45" t="s">
        <v>47</v>
      </c>
      <c r="B85" s="46">
        <v>5</v>
      </c>
      <c r="C85" s="47">
        <v>0</v>
      </c>
      <c r="D85" s="47">
        <v>1</v>
      </c>
      <c r="E85" s="47">
        <v>3</v>
      </c>
      <c r="F85" s="47">
        <v>4</v>
      </c>
      <c r="G85" s="47">
        <v>8</v>
      </c>
      <c r="H85" s="47">
        <v>9</v>
      </c>
      <c r="I85" s="47">
        <v>12</v>
      </c>
      <c r="J85" s="47">
        <v>0</v>
      </c>
      <c r="K85" s="47">
        <v>2</v>
      </c>
      <c r="L85" s="47">
        <v>7</v>
      </c>
      <c r="M85" s="47">
        <v>11</v>
      </c>
      <c r="N85" s="47">
        <v>7</v>
      </c>
      <c r="O85" s="47">
        <v>1</v>
      </c>
      <c r="P85" s="47">
        <v>7</v>
      </c>
      <c r="Q85" s="47">
        <v>0</v>
      </c>
      <c r="R85" s="47">
        <v>0</v>
      </c>
      <c r="S85" s="47">
        <v>0</v>
      </c>
      <c r="T85" s="47">
        <v>0</v>
      </c>
      <c r="U85" s="47">
        <v>23</v>
      </c>
      <c r="V85" s="47">
        <v>5</v>
      </c>
      <c r="W85" s="47">
        <v>15</v>
      </c>
      <c r="X85" s="47">
        <v>2</v>
      </c>
      <c r="Y85" s="47">
        <v>2</v>
      </c>
      <c r="Z85" s="47">
        <v>15</v>
      </c>
      <c r="AA85" s="47">
        <v>6</v>
      </c>
      <c r="AB85" s="47">
        <v>7</v>
      </c>
      <c r="AC85" s="47">
        <v>5</v>
      </c>
      <c r="AD85" s="47">
        <v>2</v>
      </c>
      <c r="AE85" s="47">
        <v>1</v>
      </c>
      <c r="AF85" s="219"/>
      <c r="AG85" s="48">
        <f t="shared" si="2"/>
        <v>160</v>
      </c>
      <c r="AI85" s="362"/>
    </row>
    <row r="86" spans="1:35" ht="15.75" customHeight="1" thickBot="1" x14ac:dyDescent="0.3">
      <c r="A86" s="49" t="s">
        <v>48</v>
      </c>
      <c r="B86" s="50">
        <v>19</v>
      </c>
      <c r="C86" s="51">
        <v>2</v>
      </c>
      <c r="D86" s="51">
        <v>4</v>
      </c>
      <c r="E86" s="51">
        <v>29</v>
      </c>
      <c r="F86" s="51">
        <v>20</v>
      </c>
      <c r="G86" s="51">
        <v>25</v>
      </c>
      <c r="H86" s="51">
        <v>47</v>
      </c>
      <c r="I86" s="51">
        <v>44</v>
      </c>
      <c r="J86" s="51">
        <v>3</v>
      </c>
      <c r="K86" s="51">
        <v>4</v>
      </c>
      <c r="L86" s="51">
        <v>18</v>
      </c>
      <c r="M86" s="51">
        <v>14</v>
      </c>
      <c r="N86" s="51">
        <v>18</v>
      </c>
      <c r="O86" s="51">
        <v>4</v>
      </c>
      <c r="P86" s="51">
        <v>22</v>
      </c>
      <c r="Q86" s="51">
        <v>5</v>
      </c>
      <c r="R86" s="51">
        <v>1</v>
      </c>
      <c r="S86" s="51">
        <v>2</v>
      </c>
      <c r="T86" s="51">
        <v>1</v>
      </c>
      <c r="U86" s="51">
        <v>73</v>
      </c>
      <c r="V86" s="51">
        <v>26</v>
      </c>
      <c r="W86" s="51">
        <v>40</v>
      </c>
      <c r="X86" s="51">
        <v>6</v>
      </c>
      <c r="Y86" s="51">
        <v>13</v>
      </c>
      <c r="Z86" s="51">
        <v>70</v>
      </c>
      <c r="AA86" s="51">
        <v>36</v>
      </c>
      <c r="AB86" s="51">
        <v>25</v>
      </c>
      <c r="AC86" s="51">
        <v>11</v>
      </c>
      <c r="AD86" s="51">
        <v>18</v>
      </c>
      <c r="AE86" s="51">
        <v>6</v>
      </c>
      <c r="AF86" s="220"/>
      <c r="AG86" s="52">
        <f t="shared" si="2"/>
        <v>606</v>
      </c>
      <c r="AI86" s="363"/>
    </row>
    <row r="87" spans="1:35" ht="15.75" customHeight="1" thickBot="1" x14ac:dyDescent="0.3">
      <c r="A87" s="53" t="s">
        <v>49</v>
      </c>
      <c r="B87" s="54">
        <f t="shared" ref="B87:AF87" si="11">SUM(B88:B92)</f>
        <v>24</v>
      </c>
      <c r="C87" s="55">
        <f t="shared" si="11"/>
        <v>2</v>
      </c>
      <c r="D87" s="55">
        <f t="shared" si="11"/>
        <v>5</v>
      </c>
      <c r="E87" s="55">
        <f t="shared" si="11"/>
        <v>32</v>
      </c>
      <c r="F87" s="55">
        <f t="shared" si="11"/>
        <v>24</v>
      </c>
      <c r="G87" s="55">
        <f t="shared" si="11"/>
        <v>33</v>
      </c>
      <c r="H87" s="55">
        <f t="shared" si="11"/>
        <v>56</v>
      </c>
      <c r="I87" s="55">
        <f t="shared" si="11"/>
        <v>56</v>
      </c>
      <c r="J87" s="55">
        <f t="shared" si="11"/>
        <v>3</v>
      </c>
      <c r="K87" s="55">
        <f t="shared" si="11"/>
        <v>6</v>
      </c>
      <c r="L87" s="55">
        <f t="shared" si="11"/>
        <v>25</v>
      </c>
      <c r="M87" s="55">
        <f t="shared" si="11"/>
        <v>25</v>
      </c>
      <c r="N87" s="55">
        <f t="shared" si="11"/>
        <v>25</v>
      </c>
      <c r="O87" s="55">
        <f t="shared" si="11"/>
        <v>5</v>
      </c>
      <c r="P87" s="55">
        <f t="shared" si="11"/>
        <v>29</v>
      </c>
      <c r="Q87" s="55">
        <f t="shared" si="11"/>
        <v>5</v>
      </c>
      <c r="R87" s="55">
        <f t="shared" si="11"/>
        <v>1</v>
      </c>
      <c r="S87" s="55">
        <f t="shared" si="11"/>
        <v>2</v>
      </c>
      <c r="T87" s="55">
        <f t="shared" si="11"/>
        <v>1</v>
      </c>
      <c r="U87" s="55">
        <f t="shared" si="11"/>
        <v>96</v>
      </c>
      <c r="V87" s="55">
        <f t="shared" si="11"/>
        <v>31</v>
      </c>
      <c r="W87" s="55">
        <f t="shared" si="11"/>
        <v>55</v>
      </c>
      <c r="X87" s="55">
        <f t="shared" si="11"/>
        <v>8</v>
      </c>
      <c r="Y87" s="55">
        <f t="shared" si="11"/>
        <v>15</v>
      </c>
      <c r="Z87" s="55">
        <f t="shared" si="11"/>
        <v>85</v>
      </c>
      <c r="AA87" s="55">
        <f t="shared" si="11"/>
        <v>42</v>
      </c>
      <c r="AB87" s="55">
        <f t="shared" si="11"/>
        <v>32</v>
      </c>
      <c r="AC87" s="55">
        <f t="shared" si="11"/>
        <v>16</v>
      </c>
      <c r="AD87" s="55">
        <f t="shared" si="11"/>
        <v>20</v>
      </c>
      <c r="AE87" s="55">
        <f t="shared" si="11"/>
        <v>7</v>
      </c>
      <c r="AF87" s="55">
        <f t="shared" si="11"/>
        <v>0</v>
      </c>
      <c r="AG87" s="56">
        <f t="shared" si="2"/>
        <v>766</v>
      </c>
      <c r="AH87" s="57" t="str">
        <f>IF(AG87&lt;&gt;AG84,"*","")</f>
        <v/>
      </c>
    </row>
    <row r="88" spans="1:35" ht="15.75" customHeight="1" x14ac:dyDescent="0.25">
      <c r="A88" s="58" t="s">
        <v>50</v>
      </c>
      <c r="B88" s="29">
        <v>4</v>
      </c>
      <c r="C88" s="30">
        <v>1</v>
      </c>
      <c r="D88" s="30">
        <v>3</v>
      </c>
      <c r="E88" s="30">
        <v>5</v>
      </c>
      <c r="F88" s="30">
        <v>4</v>
      </c>
      <c r="G88" s="30">
        <v>5</v>
      </c>
      <c r="H88" s="30">
        <v>9</v>
      </c>
      <c r="I88" s="30">
        <v>5</v>
      </c>
      <c r="J88" s="30">
        <v>3</v>
      </c>
      <c r="K88" s="30">
        <v>3</v>
      </c>
      <c r="L88" s="30">
        <v>3</v>
      </c>
      <c r="M88" s="30">
        <v>3</v>
      </c>
      <c r="N88" s="30">
        <v>1</v>
      </c>
      <c r="O88" s="30">
        <v>2</v>
      </c>
      <c r="P88" s="30">
        <v>4</v>
      </c>
      <c r="Q88" s="30">
        <v>3</v>
      </c>
      <c r="R88" s="30">
        <v>1</v>
      </c>
      <c r="S88" s="30">
        <v>2</v>
      </c>
      <c r="T88" s="30">
        <v>1</v>
      </c>
      <c r="U88" s="30">
        <v>12</v>
      </c>
      <c r="V88" s="30">
        <v>10</v>
      </c>
      <c r="W88" s="30">
        <v>10</v>
      </c>
      <c r="X88" s="30">
        <v>2</v>
      </c>
      <c r="Y88" s="30">
        <v>4</v>
      </c>
      <c r="Z88" s="30">
        <v>13</v>
      </c>
      <c r="AA88" s="30">
        <v>7</v>
      </c>
      <c r="AB88" s="30">
        <v>6</v>
      </c>
      <c r="AC88" s="30">
        <v>5</v>
      </c>
      <c r="AD88" s="30">
        <v>8</v>
      </c>
      <c r="AE88" s="30">
        <v>2</v>
      </c>
      <c r="AF88" s="217"/>
      <c r="AG88" s="11">
        <f t="shared" si="2"/>
        <v>141</v>
      </c>
    </row>
    <row r="89" spans="1:35" ht="15.75" customHeight="1" x14ac:dyDescent="0.25">
      <c r="A89" s="59" t="s">
        <v>51</v>
      </c>
      <c r="B89" s="24">
        <v>0</v>
      </c>
      <c r="C89" s="25">
        <v>0</v>
      </c>
      <c r="D89" s="25">
        <v>0</v>
      </c>
      <c r="E89" s="25">
        <v>0</v>
      </c>
      <c r="F89" s="25">
        <v>0</v>
      </c>
      <c r="G89" s="25">
        <v>0</v>
      </c>
      <c r="H89" s="25">
        <v>1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5">
        <v>0</v>
      </c>
      <c r="W89" s="25">
        <v>0</v>
      </c>
      <c r="X89" s="25">
        <v>0</v>
      </c>
      <c r="Y89" s="25">
        <v>0</v>
      </c>
      <c r="Z89" s="25">
        <v>0</v>
      </c>
      <c r="AA89" s="25">
        <v>0</v>
      </c>
      <c r="AB89" s="25">
        <v>0</v>
      </c>
      <c r="AC89" s="25">
        <v>0</v>
      </c>
      <c r="AD89" s="25">
        <v>0</v>
      </c>
      <c r="AE89" s="25">
        <v>0</v>
      </c>
      <c r="AF89" s="216"/>
      <c r="AG89" s="15">
        <f t="shared" si="2"/>
        <v>1</v>
      </c>
    </row>
    <row r="90" spans="1:35" ht="15.75" customHeight="1" x14ac:dyDescent="0.25">
      <c r="A90" s="59" t="s">
        <v>52</v>
      </c>
      <c r="B90" s="24">
        <v>0</v>
      </c>
      <c r="C90" s="25">
        <v>0</v>
      </c>
      <c r="D90" s="25">
        <v>0</v>
      </c>
      <c r="E90" s="25">
        <v>1</v>
      </c>
      <c r="F90" s="25">
        <v>0</v>
      </c>
      <c r="G90" s="25">
        <v>0</v>
      </c>
      <c r="H90" s="25">
        <v>1</v>
      </c>
      <c r="I90" s="25">
        <v>1</v>
      </c>
      <c r="J90" s="25">
        <v>0</v>
      </c>
      <c r="K90" s="25">
        <v>0</v>
      </c>
      <c r="L90" s="25">
        <v>0</v>
      </c>
      <c r="M90" s="25">
        <v>1</v>
      </c>
      <c r="N90" s="25">
        <v>1</v>
      </c>
      <c r="O90" s="25">
        <v>0</v>
      </c>
      <c r="P90" s="25">
        <v>1</v>
      </c>
      <c r="Q90" s="25">
        <v>0</v>
      </c>
      <c r="R90" s="25">
        <v>0</v>
      </c>
      <c r="S90" s="25">
        <v>0</v>
      </c>
      <c r="T90" s="25">
        <v>0</v>
      </c>
      <c r="U90" s="25">
        <v>7</v>
      </c>
      <c r="V90" s="25">
        <v>0</v>
      </c>
      <c r="W90" s="25">
        <v>2</v>
      </c>
      <c r="X90" s="25">
        <v>0</v>
      </c>
      <c r="Y90" s="25">
        <v>0</v>
      </c>
      <c r="Z90" s="25">
        <v>0</v>
      </c>
      <c r="AA90" s="25">
        <v>1</v>
      </c>
      <c r="AB90" s="25">
        <v>0</v>
      </c>
      <c r="AC90" s="25">
        <v>0</v>
      </c>
      <c r="AD90" s="25">
        <v>0</v>
      </c>
      <c r="AE90" s="25">
        <v>0</v>
      </c>
      <c r="AF90" s="216"/>
      <c r="AG90" s="15">
        <f t="shared" si="2"/>
        <v>16</v>
      </c>
    </row>
    <row r="91" spans="1:35" ht="15.75" customHeight="1" x14ac:dyDescent="0.25">
      <c r="A91" s="59" t="s">
        <v>53</v>
      </c>
      <c r="B91" s="24">
        <v>7</v>
      </c>
      <c r="C91" s="25">
        <v>1</v>
      </c>
      <c r="D91" s="25">
        <v>2</v>
      </c>
      <c r="E91" s="25">
        <v>15</v>
      </c>
      <c r="F91" s="25">
        <v>9</v>
      </c>
      <c r="G91" s="25">
        <v>18</v>
      </c>
      <c r="H91" s="25">
        <v>34</v>
      </c>
      <c r="I91" s="25">
        <v>21</v>
      </c>
      <c r="J91" s="25">
        <v>0</v>
      </c>
      <c r="K91" s="25">
        <v>0</v>
      </c>
      <c r="L91" s="25">
        <v>16</v>
      </c>
      <c r="M91" s="25">
        <v>13</v>
      </c>
      <c r="N91" s="25">
        <v>15</v>
      </c>
      <c r="O91" s="25">
        <v>1</v>
      </c>
      <c r="P91" s="25">
        <v>11</v>
      </c>
      <c r="Q91" s="25">
        <v>0</v>
      </c>
      <c r="R91" s="25">
        <v>0</v>
      </c>
      <c r="S91" s="25">
        <v>0</v>
      </c>
      <c r="T91" s="25">
        <v>0</v>
      </c>
      <c r="U91" s="25">
        <v>31</v>
      </c>
      <c r="V91" s="25">
        <v>16</v>
      </c>
      <c r="W91" s="25">
        <v>34</v>
      </c>
      <c r="X91" s="25">
        <v>2</v>
      </c>
      <c r="Y91" s="25">
        <v>4</v>
      </c>
      <c r="Z91" s="25">
        <v>51</v>
      </c>
      <c r="AA91" s="25">
        <v>22</v>
      </c>
      <c r="AB91" s="25">
        <v>9</v>
      </c>
      <c r="AC91" s="25">
        <v>3</v>
      </c>
      <c r="AD91" s="25">
        <v>10</v>
      </c>
      <c r="AE91" s="25">
        <v>3</v>
      </c>
      <c r="AF91" s="216"/>
      <c r="AG91" s="15">
        <f t="shared" si="2"/>
        <v>348</v>
      </c>
    </row>
    <row r="92" spans="1:35" ht="15.75" customHeight="1" thickBot="1" x14ac:dyDescent="0.3">
      <c r="A92" s="59" t="s">
        <v>54</v>
      </c>
      <c r="B92" s="24">
        <v>13</v>
      </c>
      <c r="C92" s="25">
        <v>0</v>
      </c>
      <c r="D92" s="25">
        <v>0</v>
      </c>
      <c r="E92" s="25">
        <v>11</v>
      </c>
      <c r="F92" s="25">
        <v>11</v>
      </c>
      <c r="G92" s="25">
        <v>10</v>
      </c>
      <c r="H92" s="25">
        <v>11</v>
      </c>
      <c r="I92" s="25">
        <v>29</v>
      </c>
      <c r="J92" s="25">
        <v>0</v>
      </c>
      <c r="K92" s="25">
        <v>3</v>
      </c>
      <c r="L92" s="25">
        <v>6</v>
      </c>
      <c r="M92" s="25">
        <v>8</v>
      </c>
      <c r="N92" s="25">
        <v>8</v>
      </c>
      <c r="O92" s="25">
        <v>2</v>
      </c>
      <c r="P92" s="25">
        <v>13</v>
      </c>
      <c r="Q92" s="25">
        <v>2</v>
      </c>
      <c r="R92" s="25">
        <v>0</v>
      </c>
      <c r="S92" s="25">
        <v>0</v>
      </c>
      <c r="T92" s="25">
        <v>0</v>
      </c>
      <c r="U92" s="25">
        <v>46</v>
      </c>
      <c r="V92" s="25">
        <v>5</v>
      </c>
      <c r="W92" s="25">
        <v>9</v>
      </c>
      <c r="X92" s="25">
        <v>4</v>
      </c>
      <c r="Y92" s="25">
        <v>7</v>
      </c>
      <c r="Z92" s="25">
        <v>21</v>
      </c>
      <c r="AA92" s="25">
        <v>12</v>
      </c>
      <c r="AB92" s="25">
        <v>17</v>
      </c>
      <c r="AC92" s="25">
        <v>8</v>
      </c>
      <c r="AD92" s="25">
        <v>2</v>
      </c>
      <c r="AE92" s="25">
        <v>2</v>
      </c>
      <c r="AF92" s="216"/>
      <c r="AG92" s="15">
        <f t="shared" si="2"/>
        <v>260</v>
      </c>
    </row>
    <row r="93" spans="1:35" ht="15.75" customHeight="1" x14ac:dyDescent="0.25">
      <c r="A93" s="60" t="s">
        <v>55</v>
      </c>
      <c r="B93" s="61">
        <f t="shared" ref="B93:AF93" si="12">+B94+B100</f>
        <v>211</v>
      </c>
      <c r="C93" s="62">
        <f t="shared" si="12"/>
        <v>174</v>
      </c>
      <c r="D93" s="62">
        <f t="shared" si="12"/>
        <v>200</v>
      </c>
      <c r="E93" s="62">
        <f t="shared" si="12"/>
        <v>226</v>
      </c>
      <c r="F93" s="62">
        <f t="shared" si="12"/>
        <v>206</v>
      </c>
      <c r="G93" s="62">
        <f t="shared" si="12"/>
        <v>202</v>
      </c>
      <c r="H93" s="62">
        <f t="shared" si="12"/>
        <v>213</v>
      </c>
      <c r="I93" s="62">
        <f t="shared" si="12"/>
        <v>200</v>
      </c>
      <c r="J93" s="62">
        <f t="shared" si="12"/>
        <v>180</v>
      </c>
      <c r="K93" s="62">
        <f t="shared" si="12"/>
        <v>181</v>
      </c>
      <c r="L93" s="62">
        <f t="shared" si="12"/>
        <v>243</v>
      </c>
      <c r="M93" s="62">
        <f t="shared" si="12"/>
        <v>207</v>
      </c>
      <c r="N93" s="62">
        <f t="shared" si="12"/>
        <v>183</v>
      </c>
      <c r="O93" s="62">
        <f t="shared" si="12"/>
        <v>199</v>
      </c>
      <c r="P93" s="62">
        <f t="shared" si="12"/>
        <v>196</v>
      </c>
      <c r="Q93" s="62">
        <f t="shared" si="12"/>
        <v>194</v>
      </c>
      <c r="R93" s="62">
        <f t="shared" si="12"/>
        <v>187</v>
      </c>
      <c r="S93" s="62">
        <f t="shared" si="12"/>
        <v>186</v>
      </c>
      <c r="T93" s="62">
        <f t="shared" si="12"/>
        <v>233</v>
      </c>
      <c r="U93" s="62">
        <f t="shared" si="12"/>
        <v>229</v>
      </c>
      <c r="V93" s="62">
        <f t="shared" si="12"/>
        <v>254</v>
      </c>
      <c r="W93" s="62">
        <f t="shared" si="12"/>
        <v>219</v>
      </c>
      <c r="X93" s="62">
        <f t="shared" si="12"/>
        <v>245</v>
      </c>
      <c r="Y93" s="62">
        <f t="shared" si="12"/>
        <v>265</v>
      </c>
      <c r="Z93" s="62">
        <f t="shared" si="12"/>
        <v>216</v>
      </c>
      <c r="AA93" s="62">
        <f t="shared" si="12"/>
        <v>259</v>
      </c>
      <c r="AB93" s="62">
        <f t="shared" si="12"/>
        <v>240</v>
      </c>
      <c r="AC93" s="62">
        <f t="shared" si="12"/>
        <v>261</v>
      </c>
      <c r="AD93" s="62">
        <f t="shared" si="12"/>
        <v>193</v>
      </c>
      <c r="AE93" s="62">
        <f t="shared" si="12"/>
        <v>232</v>
      </c>
      <c r="AF93" s="221">
        <f t="shared" si="12"/>
        <v>0</v>
      </c>
      <c r="AG93" s="22">
        <f t="shared" si="2"/>
        <v>6434</v>
      </c>
      <c r="AH93" s="63" t="str">
        <f>IF(AG93&lt;&gt;AG28,"*","")</f>
        <v>*</v>
      </c>
    </row>
    <row r="94" spans="1:35" ht="15.75" customHeight="1" x14ac:dyDescent="0.25">
      <c r="A94" s="64" t="s">
        <v>56</v>
      </c>
      <c r="B94" s="65">
        <f t="shared" ref="B94:AF94" si="13">SUM(B95:B99)</f>
        <v>35</v>
      </c>
      <c r="C94" s="66">
        <f t="shared" si="13"/>
        <v>21</v>
      </c>
      <c r="D94" s="66">
        <f t="shared" si="13"/>
        <v>48</v>
      </c>
      <c r="E94" s="66">
        <f t="shared" si="13"/>
        <v>41</v>
      </c>
      <c r="F94" s="66">
        <f t="shared" si="13"/>
        <v>48</v>
      </c>
      <c r="G94" s="66">
        <f t="shared" si="13"/>
        <v>44</v>
      </c>
      <c r="H94" s="66">
        <f t="shared" si="13"/>
        <v>48</v>
      </c>
      <c r="I94" s="66">
        <f t="shared" si="13"/>
        <v>31</v>
      </c>
      <c r="J94" s="66">
        <f t="shared" si="13"/>
        <v>27</v>
      </c>
      <c r="K94" s="66">
        <f t="shared" si="13"/>
        <v>39</v>
      </c>
      <c r="L94" s="66">
        <f t="shared" si="13"/>
        <v>52</v>
      </c>
      <c r="M94" s="66">
        <f t="shared" si="13"/>
        <v>41</v>
      </c>
      <c r="N94" s="66">
        <f t="shared" si="13"/>
        <v>47</v>
      </c>
      <c r="O94" s="66">
        <f t="shared" si="13"/>
        <v>33</v>
      </c>
      <c r="P94" s="66">
        <f t="shared" si="13"/>
        <v>30</v>
      </c>
      <c r="Q94" s="66">
        <f t="shared" si="13"/>
        <v>39</v>
      </c>
      <c r="R94" s="66">
        <f t="shared" si="13"/>
        <v>37</v>
      </c>
      <c r="S94" s="66">
        <f t="shared" si="13"/>
        <v>41</v>
      </c>
      <c r="T94" s="66">
        <f t="shared" si="13"/>
        <v>49</v>
      </c>
      <c r="U94" s="66">
        <f t="shared" si="13"/>
        <v>31</v>
      </c>
      <c r="V94" s="66">
        <f t="shared" si="13"/>
        <v>32</v>
      </c>
      <c r="W94" s="66">
        <f t="shared" si="13"/>
        <v>25</v>
      </c>
      <c r="X94" s="66">
        <f t="shared" si="13"/>
        <v>45</v>
      </c>
      <c r="Y94" s="66">
        <f t="shared" si="13"/>
        <v>62</v>
      </c>
      <c r="Z94" s="66">
        <f t="shared" si="13"/>
        <v>33</v>
      </c>
      <c r="AA94" s="66">
        <f t="shared" si="13"/>
        <v>42</v>
      </c>
      <c r="AB94" s="66">
        <f t="shared" si="13"/>
        <v>49</v>
      </c>
      <c r="AC94" s="66">
        <f t="shared" si="13"/>
        <v>45</v>
      </c>
      <c r="AD94" s="66">
        <f t="shared" si="13"/>
        <v>43</v>
      </c>
      <c r="AE94" s="66">
        <f t="shared" si="13"/>
        <v>38</v>
      </c>
      <c r="AF94" s="222">
        <f t="shared" si="13"/>
        <v>0</v>
      </c>
      <c r="AG94" s="15">
        <f t="shared" si="2"/>
        <v>1196</v>
      </c>
    </row>
    <row r="95" spans="1:35" ht="15.75" customHeight="1" x14ac:dyDescent="0.25">
      <c r="A95" s="67" t="s">
        <v>57</v>
      </c>
      <c r="B95" s="13">
        <v>0</v>
      </c>
      <c r="C95" s="14">
        <v>0</v>
      </c>
      <c r="D95" s="14">
        <v>2</v>
      </c>
      <c r="E95" s="14">
        <v>0</v>
      </c>
      <c r="F95" s="14">
        <v>0</v>
      </c>
      <c r="G95" s="14">
        <v>0</v>
      </c>
      <c r="H95" s="14">
        <v>1</v>
      </c>
      <c r="I95" s="14">
        <v>0</v>
      </c>
      <c r="J95" s="14">
        <v>2</v>
      </c>
      <c r="K95" s="14">
        <v>2</v>
      </c>
      <c r="L95" s="14">
        <v>0</v>
      </c>
      <c r="M95" s="14">
        <v>1</v>
      </c>
      <c r="N95" s="14">
        <v>3</v>
      </c>
      <c r="O95" s="14">
        <v>0</v>
      </c>
      <c r="P95" s="14">
        <v>2</v>
      </c>
      <c r="Q95" s="14">
        <v>0</v>
      </c>
      <c r="R95" s="14">
        <v>1</v>
      </c>
      <c r="S95" s="14">
        <v>0</v>
      </c>
      <c r="T95" s="14">
        <v>1</v>
      </c>
      <c r="U95" s="14">
        <v>0</v>
      </c>
      <c r="V95" s="14">
        <v>2</v>
      </c>
      <c r="W95" s="14">
        <v>0</v>
      </c>
      <c r="X95" s="14">
        <v>2</v>
      </c>
      <c r="Y95" s="14">
        <v>1</v>
      </c>
      <c r="Z95" s="14">
        <v>0</v>
      </c>
      <c r="AA95" s="14">
        <v>0</v>
      </c>
      <c r="AB95" s="14">
        <v>0</v>
      </c>
      <c r="AC95" s="14">
        <v>2</v>
      </c>
      <c r="AD95" s="14">
        <v>2</v>
      </c>
      <c r="AE95" s="14">
        <v>0</v>
      </c>
      <c r="AF95" s="214"/>
      <c r="AG95" s="15">
        <f t="shared" si="2"/>
        <v>24</v>
      </c>
    </row>
    <row r="96" spans="1:35" ht="15.75" customHeight="1" x14ac:dyDescent="0.25">
      <c r="A96" s="68" t="s">
        <v>58</v>
      </c>
      <c r="B96" s="13">
        <v>3</v>
      </c>
      <c r="C96" s="14">
        <v>3</v>
      </c>
      <c r="D96" s="14">
        <v>2</v>
      </c>
      <c r="E96" s="14">
        <v>1</v>
      </c>
      <c r="F96" s="14">
        <v>1</v>
      </c>
      <c r="G96" s="14">
        <v>2</v>
      </c>
      <c r="H96" s="14">
        <v>3</v>
      </c>
      <c r="I96" s="14">
        <v>0</v>
      </c>
      <c r="J96" s="14">
        <v>0</v>
      </c>
      <c r="K96" s="14">
        <v>0</v>
      </c>
      <c r="L96" s="14">
        <v>4</v>
      </c>
      <c r="M96" s="14">
        <v>0</v>
      </c>
      <c r="N96" s="14">
        <v>2</v>
      </c>
      <c r="O96" s="14">
        <v>2</v>
      </c>
      <c r="P96" s="14">
        <v>3</v>
      </c>
      <c r="Q96" s="14">
        <v>4</v>
      </c>
      <c r="R96" s="14">
        <v>1</v>
      </c>
      <c r="S96" s="223">
        <v>4</v>
      </c>
      <c r="T96" s="14">
        <v>1</v>
      </c>
      <c r="U96" s="14">
        <v>1</v>
      </c>
      <c r="V96" s="14">
        <v>2</v>
      </c>
      <c r="W96" s="14">
        <v>0</v>
      </c>
      <c r="X96" s="14">
        <v>2</v>
      </c>
      <c r="Y96" s="14">
        <v>3</v>
      </c>
      <c r="Z96" s="14">
        <v>2</v>
      </c>
      <c r="AA96" s="14">
        <v>2</v>
      </c>
      <c r="AB96" s="14">
        <v>2</v>
      </c>
      <c r="AC96" s="14">
        <v>2</v>
      </c>
      <c r="AD96" s="14">
        <v>1</v>
      </c>
      <c r="AE96" s="14">
        <v>1</v>
      </c>
      <c r="AF96" s="214"/>
      <c r="AG96" s="15">
        <f t="shared" si="2"/>
        <v>54</v>
      </c>
    </row>
    <row r="97" spans="1:33" ht="15.75" customHeight="1" x14ac:dyDescent="0.25">
      <c r="A97" s="69" t="s">
        <v>59</v>
      </c>
      <c r="B97" s="13">
        <v>8</v>
      </c>
      <c r="C97" s="14">
        <v>6</v>
      </c>
      <c r="D97" s="14">
        <v>12</v>
      </c>
      <c r="E97" s="14">
        <v>6</v>
      </c>
      <c r="F97" s="14">
        <v>4</v>
      </c>
      <c r="G97" s="14">
        <v>6</v>
      </c>
      <c r="H97" s="14">
        <v>12</v>
      </c>
      <c r="I97" s="14">
        <v>6</v>
      </c>
      <c r="J97" s="14">
        <v>3</v>
      </c>
      <c r="K97" s="14">
        <v>7</v>
      </c>
      <c r="L97" s="14">
        <v>7</v>
      </c>
      <c r="M97" s="14">
        <v>3</v>
      </c>
      <c r="N97" s="14">
        <v>10</v>
      </c>
      <c r="O97" s="14">
        <v>12</v>
      </c>
      <c r="P97" s="14">
        <v>3</v>
      </c>
      <c r="Q97" s="14">
        <v>3</v>
      </c>
      <c r="R97" s="14">
        <v>8</v>
      </c>
      <c r="S97" s="14">
        <v>6</v>
      </c>
      <c r="T97" s="14">
        <v>14</v>
      </c>
      <c r="U97" s="14">
        <v>4</v>
      </c>
      <c r="V97" s="14">
        <v>4</v>
      </c>
      <c r="W97" s="14">
        <v>6</v>
      </c>
      <c r="X97" s="14">
        <v>6</v>
      </c>
      <c r="Y97" s="14">
        <v>10</v>
      </c>
      <c r="Z97" s="14">
        <v>5</v>
      </c>
      <c r="AA97" s="14">
        <v>7</v>
      </c>
      <c r="AB97" s="14">
        <v>8</v>
      </c>
      <c r="AC97" s="14">
        <v>9</v>
      </c>
      <c r="AD97" s="14">
        <v>13</v>
      </c>
      <c r="AE97" s="14">
        <v>7</v>
      </c>
      <c r="AF97" s="214"/>
      <c r="AG97" s="15">
        <f t="shared" si="2"/>
        <v>215</v>
      </c>
    </row>
    <row r="98" spans="1:33" ht="15.75" customHeight="1" x14ac:dyDescent="0.25">
      <c r="A98" s="70" t="s">
        <v>60</v>
      </c>
      <c r="B98" s="13">
        <v>10</v>
      </c>
      <c r="C98" s="14">
        <v>8</v>
      </c>
      <c r="D98" s="14">
        <v>17</v>
      </c>
      <c r="E98" s="14">
        <v>16</v>
      </c>
      <c r="F98" s="14">
        <v>17</v>
      </c>
      <c r="G98" s="14">
        <v>14</v>
      </c>
      <c r="H98" s="14">
        <v>21</v>
      </c>
      <c r="I98" s="14">
        <v>15</v>
      </c>
      <c r="J98" s="14">
        <v>12</v>
      </c>
      <c r="K98" s="14">
        <v>14</v>
      </c>
      <c r="L98" s="14">
        <v>28</v>
      </c>
      <c r="M98" s="14">
        <v>20</v>
      </c>
      <c r="N98" s="14">
        <v>18</v>
      </c>
      <c r="O98" s="14">
        <v>11</v>
      </c>
      <c r="P98" s="14">
        <v>12</v>
      </c>
      <c r="Q98" s="14">
        <v>19</v>
      </c>
      <c r="R98" s="14">
        <v>16</v>
      </c>
      <c r="S98" s="14">
        <v>17</v>
      </c>
      <c r="T98" s="14">
        <v>23</v>
      </c>
      <c r="U98" s="14">
        <v>10</v>
      </c>
      <c r="V98" s="14">
        <v>10</v>
      </c>
      <c r="W98" s="14">
        <v>7</v>
      </c>
      <c r="X98" s="14">
        <v>23</v>
      </c>
      <c r="Y98" s="14">
        <v>30</v>
      </c>
      <c r="Z98" s="14">
        <v>10</v>
      </c>
      <c r="AA98" s="14">
        <v>19</v>
      </c>
      <c r="AB98" s="14">
        <v>20</v>
      </c>
      <c r="AC98" s="14">
        <v>19</v>
      </c>
      <c r="AD98" s="14">
        <v>15</v>
      </c>
      <c r="AE98" s="14">
        <v>21</v>
      </c>
      <c r="AF98" s="214"/>
      <c r="AG98" s="15">
        <f t="shared" si="2"/>
        <v>492</v>
      </c>
    </row>
    <row r="99" spans="1:33" ht="15.75" customHeight="1" x14ac:dyDescent="0.25">
      <c r="A99" s="71" t="s">
        <v>61</v>
      </c>
      <c r="B99" s="13">
        <v>14</v>
      </c>
      <c r="C99" s="14">
        <v>4</v>
      </c>
      <c r="D99" s="14">
        <v>15</v>
      </c>
      <c r="E99" s="14">
        <v>18</v>
      </c>
      <c r="F99" s="14">
        <v>26</v>
      </c>
      <c r="G99" s="14">
        <v>22</v>
      </c>
      <c r="H99" s="14">
        <v>11</v>
      </c>
      <c r="I99" s="14">
        <v>10</v>
      </c>
      <c r="J99" s="14">
        <v>10</v>
      </c>
      <c r="K99" s="14">
        <v>16</v>
      </c>
      <c r="L99" s="14">
        <v>13</v>
      </c>
      <c r="M99" s="14">
        <v>17</v>
      </c>
      <c r="N99" s="14">
        <v>14</v>
      </c>
      <c r="O99" s="14">
        <v>8</v>
      </c>
      <c r="P99" s="14">
        <v>10</v>
      </c>
      <c r="Q99" s="14">
        <v>13</v>
      </c>
      <c r="R99" s="14">
        <v>11</v>
      </c>
      <c r="S99" s="14">
        <v>14</v>
      </c>
      <c r="T99" s="14">
        <v>10</v>
      </c>
      <c r="U99" s="14">
        <v>16</v>
      </c>
      <c r="V99" s="14">
        <v>14</v>
      </c>
      <c r="W99" s="14">
        <v>12</v>
      </c>
      <c r="X99" s="14">
        <v>12</v>
      </c>
      <c r="Y99" s="14">
        <v>18</v>
      </c>
      <c r="Z99" s="14">
        <v>16</v>
      </c>
      <c r="AA99" s="14">
        <v>14</v>
      </c>
      <c r="AB99" s="14">
        <v>19</v>
      </c>
      <c r="AC99" s="14">
        <v>13</v>
      </c>
      <c r="AD99" s="14">
        <v>12</v>
      </c>
      <c r="AE99" s="14">
        <v>9</v>
      </c>
      <c r="AF99" s="214"/>
      <c r="AG99" s="15">
        <f t="shared" si="2"/>
        <v>411</v>
      </c>
    </row>
    <row r="100" spans="1:33" ht="15.75" customHeight="1" x14ac:dyDescent="0.25">
      <c r="A100" s="64" t="s">
        <v>62</v>
      </c>
      <c r="B100" s="65">
        <f t="shared" ref="B100:AF100" si="14">SUM(B101:B115)</f>
        <v>176</v>
      </c>
      <c r="C100" s="66">
        <f t="shared" si="14"/>
        <v>153</v>
      </c>
      <c r="D100" s="66">
        <f t="shared" si="14"/>
        <v>152</v>
      </c>
      <c r="E100" s="66">
        <f t="shared" si="14"/>
        <v>185</v>
      </c>
      <c r="F100" s="66">
        <f t="shared" si="14"/>
        <v>158</v>
      </c>
      <c r="G100" s="66">
        <f t="shared" si="14"/>
        <v>158</v>
      </c>
      <c r="H100" s="66">
        <f t="shared" si="14"/>
        <v>165</v>
      </c>
      <c r="I100" s="66">
        <f t="shared" si="14"/>
        <v>169</v>
      </c>
      <c r="J100" s="66">
        <f t="shared" si="14"/>
        <v>153</v>
      </c>
      <c r="K100" s="66">
        <f t="shared" si="14"/>
        <v>142</v>
      </c>
      <c r="L100" s="66">
        <f t="shared" si="14"/>
        <v>191</v>
      </c>
      <c r="M100" s="66">
        <f t="shared" si="14"/>
        <v>166</v>
      </c>
      <c r="N100" s="66">
        <f t="shared" si="14"/>
        <v>136</v>
      </c>
      <c r="O100" s="66">
        <f t="shared" si="14"/>
        <v>166</v>
      </c>
      <c r="P100" s="66">
        <f t="shared" si="14"/>
        <v>166</v>
      </c>
      <c r="Q100" s="66">
        <f t="shared" si="14"/>
        <v>155</v>
      </c>
      <c r="R100" s="66">
        <f t="shared" si="14"/>
        <v>150</v>
      </c>
      <c r="S100" s="66">
        <f t="shared" si="14"/>
        <v>145</v>
      </c>
      <c r="T100" s="66">
        <f t="shared" si="14"/>
        <v>184</v>
      </c>
      <c r="U100" s="66">
        <f t="shared" si="14"/>
        <v>198</v>
      </c>
      <c r="V100" s="66">
        <f t="shared" si="14"/>
        <v>222</v>
      </c>
      <c r="W100" s="66">
        <f t="shared" si="14"/>
        <v>194</v>
      </c>
      <c r="X100" s="66">
        <f t="shared" si="14"/>
        <v>200</v>
      </c>
      <c r="Y100" s="66">
        <f t="shared" si="14"/>
        <v>203</v>
      </c>
      <c r="Z100" s="66">
        <f t="shared" si="14"/>
        <v>183</v>
      </c>
      <c r="AA100" s="66">
        <f t="shared" si="14"/>
        <v>217</v>
      </c>
      <c r="AB100" s="66">
        <f t="shared" si="14"/>
        <v>191</v>
      </c>
      <c r="AC100" s="66">
        <f t="shared" si="14"/>
        <v>216</v>
      </c>
      <c r="AD100" s="66">
        <f t="shared" si="14"/>
        <v>150</v>
      </c>
      <c r="AE100" s="66">
        <f t="shared" si="14"/>
        <v>194</v>
      </c>
      <c r="AF100" s="222">
        <f t="shared" si="14"/>
        <v>0</v>
      </c>
      <c r="AG100" s="15">
        <f t="shared" si="2"/>
        <v>5238</v>
      </c>
    </row>
    <row r="101" spans="1:33" ht="15.75" customHeight="1" x14ac:dyDescent="0.25">
      <c r="A101" s="71" t="s">
        <v>63</v>
      </c>
      <c r="B101" s="13">
        <v>18</v>
      </c>
      <c r="C101" s="14">
        <v>12</v>
      </c>
      <c r="D101" s="14">
        <v>13</v>
      </c>
      <c r="E101" s="14">
        <v>20</v>
      </c>
      <c r="F101" s="14">
        <v>13</v>
      </c>
      <c r="G101" s="14">
        <v>13</v>
      </c>
      <c r="H101" s="14">
        <v>16</v>
      </c>
      <c r="I101" s="14">
        <v>11</v>
      </c>
      <c r="J101" s="14">
        <v>11</v>
      </c>
      <c r="K101" s="14">
        <v>12</v>
      </c>
      <c r="L101" s="14">
        <v>12</v>
      </c>
      <c r="M101" s="14">
        <v>17</v>
      </c>
      <c r="N101" s="14">
        <v>9</v>
      </c>
      <c r="O101" s="14">
        <v>8</v>
      </c>
      <c r="P101" s="14">
        <v>6</v>
      </c>
      <c r="Q101" s="14">
        <v>6</v>
      </c>
      <c r="R101" s="14">
        <v>12</v>
      </c>
      <c r="S101" s="14">
        <v>9</v>
      </c>
      <c r="T101" s="14">
        <v>11</v>
      </c>
      <c r="U101" s="14">
        <v>11</v>
      </c>
      <c r="V101" s="14">
        <v>12</v>
      </c>
      <c r="W101" s="14">
        <v>12</v>
      </c>
      <c r="X101" s="14">
        <v>16</v>
      </c>
      <c r="Y101" s="14">
        <v>15</v>
      </c>
      <c r="Z101" s="14">
        <v>20</v>
      </c>
      <c r="AA101" s="14">
        <v>25</v>
      </c>
      <c r="AB101" s="14">
        <v>18</v>
      </c>
      <c r="AC101" s="14">
        <v>30</v>
      </c>
      <c r="AD101" s="14">
        <v>17</v>
      </c>
      <c r="AE101" s="14">
        <v>16</v>
      </c>
      <c r="AF101" s="214"/>
      <c r="AG101" s="15">
        <f t="shared" si="2"/>
        <v>421</v>
      </c>
    </row>
    <row r="102" spans="1:33" ht="15.75" customHeight="1" x14ac:dyDescent="0.25">
      <c r="A102" s="71" t="s">
        <v>64</v>
      </c>
      <c r="B102" s="13">
        <v>18</v>
      </c>
      <c r="C102" s="14">
        <v>14</v>
      </c>
      <c r="D102" s="14">
        <v>14</v>
      </c>
      <c r="E102" s="14">
        <v>20</v>
      </c>
      <c r="F102" s="14">
        <v>19</v>
      </c>
      <c r="G102" s="14">
        <v>30</v>
      </c>
      <c r="H102" s="14">
        <v>11</v>
      </c>
      <c r="I102" s="14">
        <v>14</v>
      </c>
      <c r="J102" s="14">
        <v>16</v>
      </c>
      <c r="K102" s="14">
        <v>9</v>
      </c>
      <c r="L102" s="14">
        <v>23</v>
      </c>
      <c r="M102" s="14">
        <v>19</v>
      </c>
      <c r="N102" s="14">
        <v>13</v>
      </c>
      <c r="O102" s="14">
        <v>14</v>
      </c>
      <c r="P102" s="14">
        <v>24</v>
      </c>
      <c r="Q102" s="14">
        <v>20</v>
      </c>
      <c r="R102" s="14">
        <v>12</v>
      </c>
      <c r="S102" s="14">
        <v>12</v>
      </c>
      <c r="T102" s="14">
        <v>12</v>
      </c>
      <c r="U102" s="14">
        <v>18</v>
      </c>
      <c r="V102" s="14">
        <v>22</v>
      </c>
      <c r="W102" s="14">
        <v>9</v>
      </c>
      <c r="X102" s="14">
        <v>14</v>
      </c>
      <c r="Y102" s="14">
        <v>17</v>
      </c>
      <c r="Z102" s="14">
        <v>14</v>
      </c>
      <c r="AA102" s="14">
        <v>17</v>
      </c>
      <c r="AB102" s="14">
        <v>20</v>
      </c>
      <c r="AC102" s="14">
        <v>15</v>
      </c>
      <c r="AD102" s="14">
        <v>15</v>
      </c>
      <c r="AE102" s="14">
        <v>18</v>
      </c>
      <c r="AF102" s="214"/>
      <c r="AG102" s="15">
        <f t="shared" si="2"/>
        <v>493</v>
      </c>
    </row>
    <row r="103" spans="1:33" ht="15.75" customHeight="1" x14ac:dyDescent="0.25">
      <c r="A103" s="67" t="s">
        <v>65</v>
      </c>
      <c r="B103" s="13">
        <v>17</v>
      </c>
      <c r="C103" s="14">
        <v>16</v>
      </c>
      <c r="D103" s="14">
        <v>18</v>
      </c>
      <c r="E103" s="14">
        <v>14</v>
      </c>
      <c r="F103" s="14">
        <v>21</v>
      </c>
      <c r="G103" s="14">
        <v>10</v>
      </c>
      <c r="H103" s="14">
        <v>14</v>
      </c>
      <c r="I103" s="14">
        <v>10</v>
      </c>
      <c r="J103" s="14">
        <v>9</v>
      </c>
      <c r="K103" s="14">
        <v>15</v>
      </c>
      <c r="L103" s="14">
        <v>20</v>
      </c>
      <c r="M103" s="14">
        <v>16</v>
      </c>
      <c r="N103" s="14">
        <v>17</v>
      </c>
      <c r="O103" s="14">
        <v>15</v>
      </c>
      <c r="P103" s="14">
        <v>19</v>
      </c>
      <c r="Q103" s="14">
        <v>12</v>
      </c>
      <c r="R103" s="14">
        <v>9</v>
      </c>
      <c r="S103" s="14">
        <v>19</v>
      </c>
      <c r="T103" s="14">
        <v>17</v>
      </c>
      <c r="U103" s="14">
        <v>10</v>
      </c>
      <c r="V103" s="14">
        <v>22</v>
      </c>
      <c r="W103" s="14">
        <v>22</v>
      </c>
      <c r="X103" s="14">
        <v>9</v>
      </c>
      <c r="Y103" s="14">
        <v>21</v>
      </c>
      <c r="Z103" s="14">
        <v>16</v>
      </c>
      <c r="AA103" s="14">
        <v>21</v>
      </c>
      <c r="AB103" s="14">
        <v>10</v>
      </c>
      <c r="AC103" s="14">
        <v>21</v>
      </c>
      <c r="AD103" s="14">
        <v>9</v>
      </c>
      <c r="AE103" s="14">
        <v>11</v>
      </c>
      <c r="AF103" s="214"/>
      <c r="AG103" s="15">
        <f t="shared" si="2"/>
        <v>460</v>
      </c>
    </row>
    <row r="104" spans="1:33" ht="15.75" customHeight="1" x14ac:dyDescent="0.25">
      <c r="A104" s="67" t="s">
        <v>66</v>
      </c>
      <c r="B104" s="13">
        <v>13</v>
      </c>
      <c r="C104" s="14">
        <v>9</v>
      </c>
      <c r="D104" s="14">
        <v>12</v>
      </c>
      <c r="E104" s="14">
        <v>10</v>
      </c>
      <c r="F104" s="14">
        <v>15</v>
      </c>
      <c r="G104" s="14">
        <v>7</v>
      </c>
      <c r="H104" s="14">
        <v>13</v>
      </c>
      <c r="I104" s="14">
        <v>18</v>
      </c>
      <c r="J104" s="14">
        <v>17</v>
      </c>
      <c r="K104" s="14">
        <v>14</v>
      </c>
      <c r="L104" s="14">
        <v>16</v>
      </c>
      <c r="M104" s="14">
        <v>9</v>
      </c>
      <c r="N104" s="14">
        <v>14</v>
      </c>
      <c r="O104" s="14">
        <v>17</v>
      </c>
      <c r="P104" s="14">
        <v>11</v>
      </c>
      <c r="Q104" s="14">
        <v>5</v>
      </c>
      <c r="R104" s="14">
        <v>14</v>
      </c>
      <c r="S104" s="14">
        <v>13</v>
      </c>
      <c r="T104" s="14">
        <v>19</v>
      </c>
      <c r="U104" s="14">
        <v>11</v>
      </c>
      <c r="V104" s="14">
        <v>15</v>
      </c>
      <c r="W104" s="14">
        <v>21</v>
      </c>
      <c r="X104" s="14">
        <v>19</v>
      </c>
      <c r="Y104" s="14">
        <v>21</v>
      </c>
      <c r="Z104" s="14">
        <v>10</v>
      </c>
      <c r="AA104" s="14">
        <v>20</v>
      </c>
      <c r="AB104" s="14">
        <v>17</v>
      </c>
      <c r="AC104" s="14">
        <v>13</v>
      </c>
      <c r="AD104" s="14">
        <v>12</v>
      </c>
      <c r="AE104" s="14">
        <v>19</v>
      </c>
      <c r="AF104" s="214"/>
      <c r="AG104" s="15">
        <f t="shared" si="2"/>
        <v>424</v>
      </c>
    </row>
    <row r="105" spans="1:33" ht="15.75" customHeight="1" x14ac:dyDescent="0.25">
      <c r="A105" s="67" t="s">
        <v>67</v>
      </c>
      <c r="B105" s="13">
        <v>12</v>
      </c>
      <c r="C105" s="14">
        <v>10</v>
      </c>
      <c r="D105" s="14">
        <v>10</v>
      </c>
      <c r="E105" s="14">
        <v>19</v>
      </c>
      <c r="F105" s="14">
        <v>11</v>
      </c>
      <c r="G105" s="14">
        <v>7</v>
      </c>
      <c r="H105" s="14">
        <v>16</v>
      </c>
      <c r="I105" s="14">
        <v>11</v>
      </c>
      <c r="J105" s="14">
        <v>7</v>
      </c>
      <c r="K105" s="14">
        <v>11</v>
      </c>
      <c r="L105" s="14">
        <v>17</v>
      </c>
      <c r="M105" s="14">
        <v>9</v>
      </c>
      <c r="N105" s="14">
        <v>9</v>
      </c>
      <c r="O105" s="14">
        <v>14</v>
      </c>
      <c r="P105" s="14">
        <v>12</v>
      </c>
      <c r="Q105" s="14">
        <v>11</v>
      </c>
      <c r="R105" s="14">
        <v>10</v>
      </c>
      <c r="S105" s="14">
        <v>12</v>
      </c>
      <c r="T105" s="14">
        <v>21</v>
      </c>
      <c r="U105" s="14">
        <v>14</v>
      </c>
      <c r="V105" s="14">
        <v>20</v>
      </c>
      <c r="W105" s="14">
        <v>19</v>
      </c>
      <c r="X105" s="14">
        <v>20</v>
      </c>
      <c r="Y105" s="14">
        <v>13</v>
      </c>
      <c r="Z105" s="14">
        <v>17</v>
      </c>
      <c r="AA105" s="14">
        <v>8</v>
      </c>
      <c r="AB105" s="14">
        <v>11</v>
      </c>
      <c r="AC105" s="14">
        <v>16</v>
      </c>
      <c r="AD105" s="14">
        <v>9</v>
      </c>
      <c r="AE105" s="14">
        <v>7</v>
      </c>
      <c r="AF105" s="214"/>
      <c r="AG105" s="15">
        <f t="shared" si="2"/>
        <v>383</v>
      </c>
    </row>
    <row r="106" spans="1:33" ht="15.75" customHeight="1" x14ac:dyDescent="0.25">
      <c r="A106" s="67" t="s">
        <v>68</v>
      </c>
      <c r="B106" s="13">
        <v>12</v>
      </c>
      <c r="C106" s="14">
        <v>11</v>
      </c>
      <c r="D106" s="14">
        <v>21</v>
      </c>
      <c r="E106" s="14">
        <v>18</v>
      </c>
      <c r="F106" s="14">
        <v>14</v>
      </c>
      <c r="G106" s="14">
        <v>11</v>
      </c>
      <c r="H106" s="14">
        <v>9</v>
      </c>
      <c r="I106" s="14">
        <v>10</v>
      </c>
      <c r="J106" s="14">
        <v>11</v>
      </c>
      <c r="K106" s="14">
        <v>14</v>
      </c>
      <c r="L106" s="14">
        <v>12</v>
      </c>
      <c r="M106" s="14">
        <v>7</v>
      </c>
      <c r="N106" s="14">
        <v>8</v>
      </c>
      <c r="O106" s="14">
        <v>10</v>
      </c>
      <c r="P106" s="14">
        <v>11</v>
      </c>
      <c r="Q106" s="14">
        <v>11</v>
      </c>
      <c r="R106" s="14">
        <v>12</v>
      </c>
      <c r="S106" s="14">
        <v>11</v>
      </c>
      <c r="T106" s="14">
        <v>18</v>
      </c>
      <c r="U106" s="14">
        <v>19</v>
      </c>
      <c r="V106" s="14">
        <v>22</v>
      </c>
      <c r="W106" s="14">
        <v>16</v>
      </c>
      <c r="X106" s="14">
        <v>21</v>
      </c>
      <c r="Y106" s="14">
        <v>19</v>
      </c>
      <c r="Z106" s="14">
        <v>9</v>
      </c>
      <c r="AA106" s="14">
        <v>12</v>
      </c>
      <c r="AB106" s="14">
        <v>20</v>
      </c>
      <c r="AC106" s="14">
        <v>18</v>
      </c>
      <c r="AD106" s="14">
        <v>7</v>
      </c>
      <c r="AE106" s="14">
        <v>17</v>
      </c>
      <c r="AF106" s="214"/>
      <c r="AG106" s="15">
        <f t="shared" si="2"/>
        <v>411</v>
      </c>
    </row>
    <row r="107" spans="1:33" ht="15.75" customHeight="1" x14ac:dyDescent="0.25">
      <c r="A107" s="67" t="s">
        <v>69</v>
      </c>
      <c r="B107" s="13">
        <v>15</v>
      </c>
      <c r="C107" s="14">
        <v>12</v>
      </c>
      <c r="D107" s="14">
        <v>5</v>
      </c>
      <c r="E107" s="14">
        <v>17</v>
      </c>
      <c r="F107" s="14">
        <v>9</v>
      </c>
      <c r="G107" s="14">
        <v>12</v>
      </c>
      <c r="H107" s="14">
        <v>10</v>
      </c>
      <c r="I107" s="14">
        <v>12</v>
      </c>
      <c r="J107" s="14">
        <v>16</v>
      </c>
      <c r="K107" s="14">
        <v>8</v>
      </c>
      <c r="L107" s="14">
        <v>9</v>
      </c>
      <c r="M107" s="14">
        <v>10</v>
      </c>
      <c r="N107" s="14">
        <v>8</v>
      </c>
      <c r="O107" s="14">
        <v>8</v>
      </c>
      <c r="P107" s="14">
        <v>11</v>
      </c>
      <c r="Q107" s="14">
        <v>10</v>
      </c>
      <c r="R107" s="14">
        <v>8</v>
      </c>
      <c r="S107" s="14">
        <v>7</v>
      </c>
      <c r="T107" s="14">
        <v>12</v>
      </c>
      <c r="U107" s="14">
        <v>15</v>
      </c>
      <c r="V107" s="14">
        <v>11</v>
      </c>
      <c r="W107" s="14">
        <v>7</v>
      </c>
      <c r="X107" s="14">
        <v>14</v>
      </c>
      <c r="Y107" s="14">
        <v>12</v>
      </c>
      <c r="Z107" s="14">
        <v>9</v>
      </c>
      <c r="AA107" s="14">
        <v>12</v>
      </c>
      <c r="AB107" s="14">
        <v>10</v>
      </c>
      <c r="AC107" s="14">
        <v>13</v>
      </c>
      <c r="AD107" s="14">
        <v>7</v>
      </c>
      <c r="AE107" s="14">
        <v>9</v>
      </c>
      <c r="AF107" s="214"/>
      <c r="AG107" s="15">
        <f t="shared" si="2"/>
        <v>318</v>
      </c>
    </row>
    <row r="108" spans="1:33" ht="15.75" customHeight="1" x14ac:dyDescent="0.25">
      <c r="A108" s="67" t="s">
        <v>70</v>
      </c>
      <c r="B108" s="13">
        <v>15</v>
      </c>
      <c r="C108" s="14">
        <v>11</v>
      </c>
      <c r="D108" s="14">
        <v>15</v>
      </c>
      <c r="E108" s="14">
        <v>13</v>
      </c>
      <c r="F108" s="14">
        <v>13</v>
      </c>
      <c r="G108" s="14">
        <v>13</v>
      </c>
      <c r="H108" s="14">
        <v>14</v>
      </c>
      <c r="I108" s="14">
        <v>11</v>
      </c>
      <c r="J108" s="14">
        <v>12</v>
      </c>
      <c r="K108" s="14">
        <v>12</v>
      </c>
      <c r="L108" s="14">
        <v>11</v>
      </c>
      <c r="M108" s="14">
        <v>11</v>
      </c>
      <c r="N108" s="14">
        <v>9</v>
      </c>
      <c r="O108" s="14">
        <v>12</v>
      </c>
      <c r="P108" s="14">
        <v>13</v>
      </c>
      <c r="Q108" s="14">
        <v>19</v>
      </c>
      <c r="R108" s="14">
        <v>13</v>
      </c>
      <c r="S108" s="14">
        <v>10</v>
      </c>
      <c r="T108" s="14">
        <v>13</v>
      </c>
      <c r="U108" s="14">
        <v>16</v>
      </c>
      <c r="V108" s="14">
        <v>21</v>
      </c>
      <c r="W108" s="14">
        <v>15</v>
      </c>
      <c r="X108" s="14">
        <v>21</v>
      </c>
      <c r="Y108" s="14">
        <v>17</v>
      </c>
      <c r="Z108" s="14">
        <v>16</v>
      </c>
      <c r="AA108" s="14">
        <v>15</v>
      </c>
      <c r="AB108" s="14">
        <v>14</v>
      </c>
      <c r="AC108" s="14">
        <v>15</v>
      </c>
      <c r="AD108" s="14">
        <v>15</v>
      </c>
      <c r="AE108" s="14">
        <v>17</v>
      </c>
      <c r="AF108" s="214"/>
      <c r="AG108" s="15">
        <f t="shared" si="2"/>
        <v>422</v>
      </c>
    </row>
    <row r="109" spans="1:33" ht="15.75" customHeight="1" x14ac:dyDescent="0.25">
      <c r="A109" s="67" t="s">
        <v>71</v>
      </c>
      <c r="B109" s="13">
        <v>14</v>
      </c>
      <c r="C109" s="14">
        <v>14</v>
      </c>
      <c r="D109" s="14">
        <v>10</v>
      </c>
      <c r="E109" s="14">
        <v>7</v>
      </c>
      <c r="F109" s="14">
        <v>9</v>
      </c>
      <c r="G109" s="14">
        <v>9</v>
      </c>
      <c r="H109" s="14">
        <v>14</v>
      </c>
      <c r="I109" s="14">
        <v>14</v>
      </c>
      <c r="J109" s="14">
        <v>16</v>
      </c>
      <c r="K109" s="14">
        <v>7</v>
      </c>
      <c r="L109" s="14">
        <v>15</v>
      </c>
      <c r="M109" s="14">
        <v>14</v>
      </c>
      <c r="N109" s="14">
        <v>9</v>
      </c>
      <c r="O109" s="14">
        <v>13</v>
      </c>
      <c r="P109" s="14">
        <v>5</v>
      </c>
      <c r="Q109" s="14">
        <v>14</v>
      </c>
      <c r="R109" s="14">
        <v>15</v>
      </c>
      <c r="S109" s="14">
        <v>9</v>
      </c>
      <c r="T109" s="14">
        <v>16</v>
      </c>
      <c r="U109" s="14">
        <v>21</v>
      </c>
      <c r="V109" s="14">
        <v>18</v>
      </c>
      <c r="W109" s="14">
        <v>8</v>
      </c>
      <c r="X109" s="14">
        <v>13</v>
      </c>
      <c r="Y109" s="14">
        <v>14</v>
      </c>
      <c r="Z109" s="14">
        <v>16</v>
      </c>
      <c r="AA109" s="14">
        <v>15</v>
      </c>
      <c r="AB109" s="14">
        <v>11</v>
      </c>
      <c r="AC109" s="14">
        <v>21</v>
      </c>
      <c r="AD109" s="14">
        <v>14</v>
      </c>
      <c r="AE109" s="14">
        <v>22</v>
      </c>
      <c r="AF109" s="214"/>
      <c r="AG109" s="15">
        <f t="shared" si="2"/>
        <v>397</v>
      </c>
    </row>
    <row r="110" spans="1:33" ht="15.75" customHeight="1" x14ac:dyDescent="0.25">
      <c r="A110" s="67" t="s">
        <v>72</v>
      </c>
      <c r="B110" s="13">
        <v>10</v>
      </c>
      <c r="C110" s="14">
        <v>10</v>
      </c>
      <c r="D110" s="14">
        <v>9</v>
      </c>
      <c r="E110" s="14">
        <v>13</v>
      </c>
      <c r="F110" s="14">
        <v>7</v>
      </c>
      <c r="G110" s="14">
        <v>9</v>
      </c>
      <c r="H110" s="14">
        <v>11</v>
      </c>
      <c r="I110" s="14">
        <v>9</v>
      </c>
      <c r="J110" s="14">
        <v>8</v>
      </c>
      <c r="K110" s="14">
        <v>10</v>
      </c>
      <c r="L110" s="14">
        <v>15</v>
      </c>
      <c r="M110" s="14">
        <v>13</v>
      </c>
      <c r="N110" s="14">
        <v>12</v>
      </c>
      <c r="O110" s="14">
        <v>13</v>
      </c>
      <c r="P110" s="14">
        <v>14</v>
      </c>
      <c r="Q110" s="14">
        <v>9</v>
      </c>
      <c r="R110" s="14">
        <v>11</v>
      </c>
      <c r="S110" s="14">
        <v>11</v>
      </c>
      <c r="T110" s="14">
        <v>7</v>
      </c>
      <c r="U110" s="14">
        <v>16</v>
      </c>
      <c r="V110" s="14">
        <v>16</v>
      </c>
      <c r="W110" s="14">
        <v>18</v>
      </c>
      <c r="X110" s="14">
        <v>12</v>
      </c>
      <c r="Y110" s="14">
        <v>15</v>
      </c>
      <c r="Z110" s="14">
        <v>14</v>
      </c>
      <c r="AA110" s="14">
        <v>23</v>
      </c>
      <c r="AB110" s="14">
        <v>15</v>
      </c>
      <c r="AC110" s="14">
        <v>16</v>
      </c>
      <c r="AD110" s="14">
        <v>8</v>
      </c>
      <c r="AE110" s="14">
        <v>16</v>
      </c>
      <c r="AF110" s="214"/>
      <c r="AG110" s="15">
        <f t="shared" si="2"/>
        <v>370</v>
      </c>
    </row>
    <row r="111" spans="1:33" ht="15.75" customHeight="1" x14ac:dyDescent="0.25">
      <c r="A111" s="67" t="s">
        <v>73</v>
      </c>
      <c r="B111" s="13">
        <v>11</v>
      </c>
      <c r="C111" s="14">
        <v>8</v>
      </c>
      <c r="D111" s="14">
        <v>6</v>
      </c>
      <c r="E111" s="14">
        <v>11</v>
      </c>
      <c r="F111" s="14">
        <v>7</v>
      </c>
      <c r="G111" s="14">
        <v>14</v>
      </c>
      <c r="H111" s="14">
        <v>7</v>
      </c>
      <c r="I111" s="14">
        <v>12</v>
      </c>
      <c r="J111" s="14">
        <v>7</v>
      </c>
      <c r="K111" s="14">
        <v>11</v>
      </c>
      <c r="L111" s="14">
        <v>10</v>
      </c>
      <c r="M111" s="14">
        <v>10</v>
      </c>
      <c r="N111" s="14">
        <v>8</v>
      </c>
      <c r="O111" s="14">
        <v>12</v>
      </c>
      <c r="P111" s="14">
        <v>8</v>
      </c>
      <c r="Q111" s="14">
        <v>14</v>
      </c>
      <c r="R111" s="14">
        <v>11</v>
      </c>
      <c r="S111" s="14">
        <v>14</v>
      </c>
      <c r="T111" s="14">
        <v>13</v>
      </c>
      <c r="U111" s="14">
        <v>11</v>
      </c>
      <c r="V111" s="14">
        <v>10</v>
      </c>
      <c r="W111" s="14">
        <v>14</v>
      </c>
      <c r="X111" s="14">
        <v>19</v>
      </c>
      <c r="Y111" s="14">
        <v>15</v>
      </c>
      <c r="Z111" s="14">
        <v>11</v>
      </c>
      <c r="AA111" s="14">
        <v>14</v>
      </c>
      <c r="AB111" s="14">
        <v>15</v>
      </c>
      <c r="AC111" s="14">
        <v>8</v>
      </c>
      <c r="AD111" s="14">
        <v>4</v>
      </c>
      <c r="AE111" s="14">
        <v>7</v>
      </c>
      <c r="AF111" s="214"/>
      <c r="AG111" s="15">
        <f t="shared" si="2"/>
        <v>322</v>
      </c>
    </row>
    <row r="112" spans="1:33" ht="15.75" customHeight="1" x14ac:dyDescent="0.25">
      <c r="A112" s="67" t="s">
        <v>74</v>
      </c>
      <c r="B112" s="13">
        <v>6</v>
      </c>
      <c r="C112" s="14">
        <v>10</v>
      </c>
      <c r="D112" s="14">
        <v>5</v>
      </c>
      <c r="E112" s="14">
        <v>11</v>
      </c>
      <c r="F112" s="14">
        <v>8</v>
      </c>
      <c r="G112" s="14">
        <v>4</v>
      </c>
      <c r="H112" s="14">
        <v>9</v>
      </c>
      <c r="I112" s="14">
        <v>15</v>
      </c>
      <c r="J112" s="14">
        <v>7</v>
      </c>
      <c r="K112" s="14">
        <v>8</v>
      </c>
      <c r="L112" s="14">
        <v>9</v>
      </c>
      <c r="M112" s="14">
        <v>9</v>
      </c>
      <c r="N112" s="14">
        <v>8</v>
      </c>
      <c r="O112" s="14">
        <v>16</v>
      </c>
      <c r="P112" s="14">
        <v>8</v>
      </c>
      <c r="Q112" s="14">
        <v>10</v>
      </c>
      <c r="R112" s="14">
        <v>7</v>
      </c>
      <c r="S112" s="14">
        <v>6</v>
      </c>
      <c r="T112" s="14">
        <v>8</v>
      </c>
      <c r="U112" s="14">
        <v>14</v>
      </c>
      <c r="V112" s="14">
        <v>12</v>
      </c>
      <c r="W112" s="14">
        <v>9</v>
      </c>
      <c r="X112" s="14">
        <v>5</v>
      </c>
      <c r="Y112" s="14">
        <v>8</v>
      </c>
      <c r="Z112" s="14">
        <v>12</v>
      </c>
      <c r="AA112" s="14">
        <v>9</v>
      </c>
      <c r="AB112" s="14">
        <v>9</v>
      </c>
      <c r="AC112" s="14">
        <v>8</v>
      </c>
      <c r="AD112" s="14">
        <v>9</v>
      </c>
      <c r="AE112" s="14">
        <v>9</v>
      </c>
      <c r="AF112" s="214"/>
      <c r="AG112" s="15">
        <f t="shared" si="2"/>
        <v>268</v>
      </c>
    </row>
    <row r="113" spans="1:33" ht="15.75" customHeight="1" x14ac:dyDescent="0.25">
      <c r="A113" s="67" t="s">
        <v>75</v>
      </c>
      <c r="B113" s="13">
        <v>5</v>
      </c>
      <c r="C113" s="14">
        <v>8</v>
      </c>
      <c r="D113" s="14">
        <v>9</v>
      </c>
      <c r="E113" s="14">
        <v>6</v>
      </c>
      <c r="F113" s="14">
        <v>3</v>
      </c>
      <c r="G113" s="14">
        <v>7</v>
      </c>
      <c r="H113" s="14">
        <v>10</v>
      </c>
      <c r="I113" s="14">
        <v>10</v>
      </c>
      <c r="J113" s="14">
        <v>9</v>
      </c>
      <c r="K113" s="14">
        <v>3</v>
      </c>
      <c r="L113" s="14">
        <v>13</v>
      </c>
      <c r="M113" s="14">
        <v>11</v>
      </c>
      <c r="N113" s="14">
        <v>3</v>
      </c>
      <c r="O113" s="14">
        <v>4</v>
      </c>
      <c r="P113" s="14">
        <v>11</v>
      </c>
      <c r="Q113" s="14">
        <v>6</v>
      </c>
      <c r="R113" s="14">
        <v>11</v>
      </c>
      <c r="S113" s="14">
        <v>5</v>
      </c>
      <c r="T113" s="14">
        <v>11</v>
      </c>
      <c r="U113" s="14">
        <v>13</v>
      </c>
      <c r="V113" s="14">
        <v>10</v>
      </c>
      <c r="W113" s="14">
        <v>14</v>
      </c>
      <c r="X113" s="14">
        <v>9</v>
      </c>
      <c r="Y113" s="14">
        <v>8</v>
      </c>
      <c r="Z113" s="14">
        <v>11</v>
      </c>
      <c r="AA113" s="14">
        <v>11</v>
      </c>
      <c r="AB113" s="14">
        <v>10</v>
      </c>
      <c r="AC113" s="14">
        <v>7</v>
      </c>
      <c r="AD113" s="14">
        <v>11</v>
      </c>
      <c r="AE113" s="14">
        <v>14</v>
      </c>
      <c r="AF113" s="214"/>
      <c r="AG113" s="15">
        <f t="shared" si="2"/>
        <v>263</v>
      </c>
    </row>
    <row r="114" spans="1:33" ht="15.75" customHeight="1" x14ac:dyDescent="0.25">
      <c r="A114" s="67" t="s">
        <v>76</v>
      </c>
      <c r="B114" s="13">
        <v>10</v>
      </c>
      <c r="C114" s="14">
        <v>8</v>
      </c>
      <c r="D114" s="14">
        <v>5</v>
      </c>
      <c r="E114" s="14">
        <v>6</v>
      </c>
      <c r="F114" s="14">
        <v>9</v>
      </c>
      <c r="G114" s="14">
        <v>12</v>
      </c>
      <c r="H114" s="14">
        <v>11</v>
      </c>
      <c r="I114" s="14">
        <v>12</v>
      </c>
      <c r="J114" s="14">
        <v>7</v>
      </c>
      <c r="K114" s="14">
        <v>8</v>
      </c>
      <c r="L114" s="14">
        <v>9</v>
      </c>
      <c r="M114" s="14">
        <v>11</v>
      </c>
      <c r="N114" s="14">
        <v>9</v>
      </c>
      <c r="O114" s="14">
        <v>10</v>
      </c>
      <c r="P114" s="14">
        <v>13</v>
      </c>
      <c r="Q114" s="14">
        <v>8</v>
      </c>
      <c r="R114" s="14">
        <v>5</v>
      </c>
      <c r="S114" s="14">
        <v>7</v>
      </c>
      <c r="T114" s="14">
        <v>6</v>
      </c>
      <c r="U114" s="14">
        <v>9</v>
      </c>
      <c r="V114" s="14">
        <v>11</v>
      </c>
      <c r="W114" s="14">
        <v>10</v>
      </c>
      <c r="X114" s="14">
        <v>8</v>
      </c>
      <c r="Y114" s="14">
        <v>8</v>
      </c>
      <c r="Z114" s="14">
        <v>8</v>
      </c>
      <c r="AA114" s="14">
        <v>15</v>
      </c>
      <c r="AB114" s="14">
        <v>11</v>
      </c>
      <c r="AC114" s="14">
        <v>15</v>
      </c>
      <c r="AD114" s="14">
        <v>13</v>
      </c>
      <c r="AE114" s="14">
        <v>12</v>
      </c>
      <c r="AF114" s="214"/>
      <c r="AG114" s="15">
        <f t="shared" si="2"/>
        <v>286</v>
      </c>
    </row>
    <row r="115" spans="1:33" ht="15.75" customHeight="1" thickBot="1" x14ac:dyDescent="0.3">
      <c r="A115" s="72"/>
      <c r="B115" s="37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224"/>
      <c r="AG115" s="15">
        <f t="shared" si="2"/>
        <v>0</v>
      </c>
    </row>
    <row r="116" spans="1:33" ht="15.75" customHeight="1" x14ac:dyDescent="0.25">
      <c r="A116" s="60" t="s">
        <v>77</v>
      </c>
      <c r="B116" s="61">
        <f t="shared" ref="B116:AF116" si="15">SUM(B117:B129)</f>
        <v>46</v>
      </c>
      <c r="C116" s="62">
        <f t="shared" si="15"/>
        <v>50</v>
      </c>
      <c r="D116" s="62">
        <f t="shared" si="15"/>
        <v>17</v>
      </c>
      <c r="E116" s="62">
        <f t="shared" si="15"/>
        <v>59</v>
      </c>
      <c r="F116" s="62">
        <f t="shared" si="15"/>
        <v>60</v>
      </c>
      <c r="G116" s="62">
        <f t="shared" si="15"/>
        <v>44</v>
      </c>
      <c r="H116" s="62">
        <f t="shared" si="15"/>
        <v>74</v>
      </c>
      <c r="I116" s="62">
        <f t="shared" si="15"/>
        <v>73</v>
      </c>
      <c r="J116" s="62">
        <f t="shared" si="15"/>
        <v>50</v>
      </c>
      <c r="K116" s="62">
        <f t="shared" si="15"/>
        <v>42</v>
      </c>
      <c r="L116" s="62">
        <f t="shared" si="15"/>
        <v>73</v>
      </c>
      <c r="M116" s="62">
        <f t="shared" si="15"/>
        <v>65</v>
      </c>
      <c r="N116" s="62">
        <f t="shared" si="15"/>
        <v>52</v>
      </c>
      <c r="O116" s="62">
        <f t="shared" si="15"/>
        <v>52</v>
      </c>
      <c r="P116" s="62">
        <f t="shared" si="15"/>
        <v>65</v>
      </c>
      <c r="Q116" s="62">
        <f t="shared" si="15"/>
        <v>57</v>
      </c>
      <c r="R116" s="62">
        <f t="shared" si="15"/>
        <v>52</v>
      </c>
      <c r="S116" s="62">
        <f t="shared" si="15"/>
        <v>40</v>
      </c>
      <c r="T116" s="62">
        <f t="shared" si="15"/>
        <v>66</v>
      </c>
      <c r="U116" s="62">
        <f t="shared" si="15"/>
        <v>97</v>
      </c>
      <c r="V116" s="62">
        <f t="shared" si="15"/>
        <v>63</v>
      </c>
      <c r="W116" s="62">
        <f t="shared" si="15"/>
        <v>56</v>
      </c>
      <c r="X116" s="62">
        <f t="shared" si="15"/>
        <v>50</v>
      </c>
      <c r="Y116" s="62">
        <f t="shared" si="15"/>
        <v>59</v>
      </c>
      <c r="Z116" s="62">
        <f t="shared" si="15"/>
        <v>78</v>
      </c>
      <c r="AA116" s="62">
        <f t="shared" si="15"/>
        <v>83</v>
      </c>
      <c r="AB116" s="62">
        <f t="shared" si="15"/>
        <v>67</v>
      </c>
      <c r="AC116" s="62">
        <f t="shared" si="15"/>
        <v>70</v>
      </c>
      <c r="AD116" s="62">
        <f t="shared" si="15"/>
        <v>57</v>
      </c>
      <c r="AE116" s="62">
        <f t="shared" si="15"/>
        <v>59</v>
      </c>
      <c r="AF116" s="221">
        <f t="shared" si="15"/>
        <v>0</v>
      </c>
      <c r="AG116" s="15">
        <f t="shared" si="2"/>
        <v>1776</v>
      </c>
    </row>
    <row r="117" spans="1:33" ht="15.75" customHeight="1" x14ac:dyDescent="0.25">
      <c r="A117" s="73" t="s">
        <v>78</v>
      </c>
      <c r="B117" s="13">
        <v>39</v>
      </c>
      <c r="C117" s="14">
        <v>39</v>
      </c>
      <c r="D117" s="14">
        <v>13</v>
      </c>
      <c r="E117" s="14">
        <v>54</v>
      </c>
      <c r="F117" s="14">
        <v>53</v>
      </c>
      <c r="G117" s="14">
        <v>32</v>
      </c>
      <c r="H117" s="14">
        <v>56</v>
      </c>
      <c r="I117" s="14">
        <v>56</v>
      </c>
      <c r="J117" s="14">
        <v>42</v>
      </c>
      <c r="K117" s="14">
        <v>35</v>
      </c>
      <c r="L117" s="14">
        <v>51</v>
      </c>
      <c r="M117" s="14">
        <v>56</v>
      </c>
      <c r="N117" s="14">
        <v>41</v>
      </c>
      <c r="O117" s="14">
        <v>41</v>
      </c>
      <c r="P117" s="14">
        <v>48</v>
      </c>
      <c r="Q117" s="14">
        <v>45</v>
      </c>
      <c r="R117" s="14">
        <v>41</v>
      </c>
      <c r="S117" s="14">
        <v>30</v>
      </c>
      <c r="T117" s="14">
        <v>50</v>
      </c>
      <c r="U117" s="14">
        <v>78</v>
      </c>
      <c r="V117" s="14">
        <v>49</v>
      </c>
      <c r="W117" s="14">
        <v>43</v>
      </c>
      <c r="X117" s="14">
        <v>37</v>
      </c>
      <c r="Y117" s="14">
        <v>46</v>
      </c>
      <c r="Z117" s="14">
        <v>67</v>
      </c>
      <c r="AA117" s="14">
        <v>58</v>
      </c>
      <c r="AB117" s="14">
        <v>46</v>
      </c>
      <c r="AC117" s="14">
        <v>52</v>
      </c>
      <c r="AD117" s="14">
        <v>44</v>
      </c>
      <c r="AE117" s="14">
        <v>51</v>
      </c>
      <c r="AF117" s="214"/>
      <c r="AG117" s="15">
        <f t="shared" si="2"/>
        <v>1393</v>
      </c>
    </row>
    <row r="118" spans="1:33" ht="19.5" hidden="1" customHeight="1" x14ac:dyDescent="0.25">
      <c r="A118" s="73" t="s">
        <v>79</v>
      </c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214"/>
      <c r="AG118" s="15">
        <f t="shared" si="2"/>
        <v>0</v>
      </c>
    </row>
    <row r="119" spans="1:33" ht="19.5" hidden="1" customHeight="1" x14ac:dyDescent="0.25">
      <c r="A119" s="73" t="s">
        <v>80</v>
      </c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214"/>
      <c r="AG119" s="15">
        <f t="shared" si="2"/>
        <v>0</v>
      </c>
    </row>
    <row r="120" spans="1:33" ht="19.5" hidden="1" customHeight="1" x14ac:dyDescent="0.25">
      <c r="A120" s="73" t="s">
        <v>81</v>
      </c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214"/>
      <c r="AG120" s="15">
        <f t="shared" si="2"/>
        <v>0</v>
      </c>
    </row>
    <row r="121" spans="1:33" ht="19.5" hidden="1" customHeight="1" x14ac:dyDescent="0.25">
      <c r="A121" s="73" t="s">
        <v>82</v>
      </c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214"/>
      <c r="AG121" s="15">
        <f t="shared" si="2"/>
        <v>0</v>
      </c>
    </row>
    <row r="122" spans="1:33" ht="19.5" hidden="1" customHeight="1" x14ac:dyDescent="0.25">
      <c r="A122" s="73" t="s">
        <v>83</v>
      </c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214"/>
      <c r="AG122" s="15">
        <f t="shared" si="2"/>
        <v>0</v>
      </c>
    </row>
    <row r="123" spans="1:33" ht="19.5" hidden="1" customHeight="1" x14ac:dyDescent="0.25">
      <c r="A123" s="73" t="s">
        <v>84</v>
      </c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214"/>
      <c r="AG123" s="15">
        <f t="shared" si="2"/>
        <v>0</v>
      </c>
    </row>
    <row r="124" spans="1:33" ht="19.5" hidden="1" customHeight="1" x14ac:dyDescent="0.25">
      <c r="A124" s="73" t="s">
        <v>85</v>
      </c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214"/>
      <c r="AG124" s="15">
        <f t="shared" si="2"/>
        <v>0</v>
      </c>
    </row>
    <row r="125" spans="1:33" ht="19.5" hidden="1" customHeight="1" x14ac:dyDescent="0.25">
      <c r="A125" s="12" t="s">
        <v>86</v>
      </c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214"/>
      <c r="AG125" s="15">
        <f t="shared" si="2"/>
        <v>0</v>
      </c>
    </row>
    <row r="126" spans="1:33" ht="19.5" hidden="1" customHeight="1" x14ac:dyDescent="0.25">
      <c r="A126" s="12" t="s">
        <v>87</v>
      </c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214"/>
      <c r="AG126" s="15">
        <f t="shared" si="2"/>
        <v>0</v>
      </c>
    </row>
    <row r="127" spans="1:33" ht="19.5" hidden="1" customHeight="1" x14ac:dyDescent="0.25">
      <c r="A127" s="12" t="s">
        <v>88</v>
      </c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214"/>
      <c r="AG127" s="15">
        <f t="shared" si="2"/>
        <v>0</v>
      </c>
    </row>
    <row r="128" spans="1:33" ht="19.5" hidden="1" customHeight="1" x14ac:dyDescent="0.25">
      <c r="A128" s="73" t="s">
        <v>89</v>
      </c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214"/>
      <c r="AG128" s="15">
        <f t="shared" si="2"/>
        <v>0</v>
      </c>
    </row>
    <row r="129" spans="1:35" ht="15.75" customHeight="1" thickBot="1" x14ac:dyDescent="0.3">
      <c r="A129" s="74" t="s">
        <v>90</v>
      </c>
      <c r="B129" s="75">
        <v>7</v>
      </c>
      <c r="C129" s="76">
        <v>11</v>
      </c>
      <c r="D129" s="76">
        <v>4</v>
      </c>
      <c r="E129" s="76">
        <v>5</v>
      </c>
      <c r="F129" s="76">
        <v>7</v>
      </c>
      <c r="G129" s="76">
        <v>12</v>
      </c>
      <c r="H129" s="76">
        <v>18</v>
      </c>
      <c r="I129" s="76">
        <v>17</v>
      </c>
      <c r="J129" s="76">
        <v>8</v>
      </c>
      <c r="K129" s="76">
        <v>7</v>
      </c>
      <c r="L129" s="76">
        <v>22</v>
      </c>
      <c r="M129" s="76">
        <v>9</v>
      </c>
      <c r="N129" s="76">
        <v>11</v>
      </c>
      <c r="O129" s="76">
        <v>11</v>
      </c>
      <c r="P129" s="76">
        <v>17</v>
      </c>
      <c r="Q129" s="76">
        <v>12</v>
      </c>
      <c r="R129" s="76">
        <v>11</v>
      </c>
      <c r="S129" s="76">
        <v>10</v>
      </c>
      <c r="T129" s="76">
        <v>16</v>
      </c>
      <c r="U129" s="76">
        <v>19</v>
      </c>
      <c r="V129" s="76">
        <v>14</v>
      </c>
      <c r="W129" s="76">
        <v>13</v>
      </c>
      <c r="X129" s="76">
        <v>13</v>
      </c>
      <c r="Y129" s="76">
        <v>13</v>
      </c>
      <c r="Z129" s="76">
        <v>11</v>
      </c>
      <c r="AA129" s="76">
        <v>25</v>
      </c>
      <c r="AB129" s="76">
        <v>21</v>
      </c>
      <c r="AC129" s="76">
        <v>18</v>
      </c>
      <c r="AD129" s="76">
        <v>13</v>
      </c>
      <c r="AE129" s="76">
        <v>8</v>
      </c>
      <c r="AF129" s="225"/>
      <c r="AG129" s="15">
        <f t="shared" si="2"/>
        <v>383</v>
      </c>
    </row>
    <row r="130" spans="1:35" ht="15.75" customHeight="1" x14ac:dyDescent="0.25">
      <c r="A130" s="60" t="s">
        <v>91</v>
      </c>
      <c r="B130" s="61">
        <f t="shared" ref="B130:AF130" si="16">SUM(B131:B143)</f>
        <v>211</v>
      </c>
      <c r="C130" s="62">
        <f t="shared" si="16"/>
        <v>174</v>
      </c>
      <c r="D130" s="62">
        <f t="shared" si="16"/>
        <v>200</v>
      </c>
      <c r="E130" s="62">
        <f t="shared" si="16"/>
        <v>226</v>
      </c>
      <c r="F130" s="62">
        <f t="shared" si="16"/>
        <v>206</v>
      </c>
      <c r="G130" s="62">
        <f t="shared" si="16"/>
        <v>202</v>
      </c>
      <c r="H130" s="62">
        <f t="shared" si="16"/>
        <v>213</v>
      </c>
      <c r="I130" s="62">
        <f t="shared" si="16"/>
        <v>200</v>
      </c>
      <c r="J130" s="62">
        <f t="shared" si="16"/>
        <v>180</v>
      </c>
      <c r="K130" s="62">
        <f t="shared" si="16"/>
        <v>181</v>
      </c>
      <c r="L130" s="62">
        <f t="shared" si="16"/>
        <v>243</v>
      </c>
      <c r="M130" s="62">
        <f t="shared" si="16"/>
        <v>207</v>
      </c>
      <c r="N130" s="62">
        <f t="shared" si="16"/>
        <v>183</v>
      </c>
      <c r="O130" s="62">
        <f t="shared" si="16"/>
        <v>199</v>
      </c>
      <c r="P130" s="62">
        <f t="shared" si="16"/>
        <v>196</v>
      </c>
      <c r="Q130" s="62">
        <f t="shared" si="16"/>
        <v>194</v>
      </c>
      <c r="R130" s="62">
        <f t="shared" si="16"/>
        <v>187</v>
      </c>
      <c r="S130" s="62">
        <f t="shared" si="16"/>
        <v>186</v>
      </c>
      <c r="T130" s="62">
        <f t="shared" si="16"/>
        <v>233</v>
      </c>
      <c r="U130" s="62">
        <f t="shared" si="16"/>
        <v>229</v>
      </c>
      <c r="V130" s="62">
        <f t="shared" si="16"/>
        <v>254</v>
      </c>
      <c r="W130" s="62">
        <f t="shared" si="16"/>
        <v>219</v>
      </c>
      <c r="X130" s="62">
        <f t="shared" si="16"/>
        <v>245</v>
      </c>
      <c r="Y130" s="62">
        <f t="shared" si="16"/>
        <v>265</v>
      </c>
      <c r="Z130" s="62">
        <f t="shared" si="16"/>
        <v>216</v>
      </c>
      <c r="AA130" s="62">
        <f t="shared" si="16"/>
        <v>259</v>
      </c>
      <c r="AB130" s="62">
        <f t="shared" si="16"/>
        <v>240</v>
      </c>
      <c r="AC130" s="62">
        <f t="shared" si="16"/>
        <v>261</v>
      </c>
      <c r="AD130" s="62">
        <f t="shared" si="16"/>
        <v>193</v>
      </c>
      <c r="AE130" s="62">
        <f t="shared" si="16"/>
        <v>232</v>
      </c>
      <c r="AF130" s="221">
        <f t="shared" si="16"/>
        <v>0</v>
      </c>
      <c r="AG130" s="22">
        <f t="shared" si="2"/>
        <v>6434</v>
      </c>
      <c r="AH130" s="77" t="str">
        <f>IF(AG130&lt;&gt;AG93,"*","")</f>
        <v/>
      </c>
    </row>
    <row r="131" spans="1:35" ht="15.75" customHeight="1" x14ac:dyDescent="0.25">
      <c r="A131" s="73" t="s">
        <v>78</v>
      </c>
      <c r="B131" s="13">
        <v>35</v>
      </c>
      <c r="C131" s="14">
        <v>37</v>
      </c>
      <c r="D131" s="14">
        <v>13</v>
      </c>
      <c r="E131" s="14">
        <v>45</v>
      </c>
      <c r="F131" s="14">
        <v>48</v>
      </c>
      <c r="G131" s="14">
        <v>26</v>
      </c>
      <c r="H131" s="14">
        <v>42</v>
      </c>
      <c r="I131" s="14">
        <v>40</v>
      </c>
      <c r="J131" s="14">
        <v>40</v>
      </c>
      <c r="K131" s="14">
        <v>34</v>
      </c>
      <c r="L131" s="14">
        <v>49</v>
      </c>
      <c r="M131" s="14">
        <v>48</v>
      </c>
      <c r="N131" s="14">
        <v>36</v>
      </c>
      <c r="O131" s="14">
        <v>40</v>
      </c>
      <c r="P131" s="14">
        <v>44</v>
      </c>
      <c r="Q131" s="14">
        <v>44</v>
      </c>
      <c r="R131" s="14">
        <v>41</v>
      </c>
      <c r="S131" s="14">
        <v>30</v>
      </c>
      <c r="T131" s="14">
        <v>50</v>
      </c>
      <c r="U131" s="14">
        <v>56</v>
      </c>
      <c r="V131" s="14">
        <v>42</v>
      </c>
      <c r="W131" s="14">
        <v>38</v>
      </c>
      <c r="X131" s="14">
        <v>34</v>
      </c>
      <c r="Y131" s="14">
        <v>42</v>
      </c>
      <c r="Z131" s="14">
        <v>47</v>
      </c>
      <c r="AA131" s="14">
        <v>50</v>
      </c>
      <c r="AB131" s="14">
        <v>40</v>
      </c>
      <c r="AC131" s="14">
        <v>51</v>
      </c>
      <c r="AD131" s="14">
        <v>41</v>
      </c>
      <c r="AE131" s="14">
        <v>50</v>
      </c>
      <c r="AF131" s="214"/>
      <c r="AG131" s="15">
        <f t="shared" si="2"/>
        <v>1233</v>
      </c>
    </row>
    <row r="132" spans="1:35" ht="15.75" customHeight="1" x14ac:dyDescent="0.25">
      <c r="A132" s="73" t="s">
        <v>79</v>
      </c>
      <c r="B132" s="13">
        <v>7</v>
      </c>
      <c r="C132" s="14">
        <v>6</v>
      </c>
      <c r="D132" s="14">
        <v>2</v>
      </c>
      <c r="E132" s="14">
        <v>7</v>
      </c>
      <c r="F132" s="14">
        <v>5</v>
      </c>
      <c r="G132" s="14">
        <v>6</v>
      </c>
      <c r="H132" s="14">
        <v>7</v>
      </c>
      <c r="I132" s="14">
        <v>9</v>
      </c>
      <c r="J132" s="14">
        <v>7</v>
      </c>
      <c r="K132" s="14">
        <v>6</v>
      </c>
      <c r="L132" s="14">
        <v>5</v>
      </c>
      <c r="M132" s="14">
        <v>11</v>
      </c>
      <c r="N132" s="14">
        <v>10</v>
      </c>
      <c r="O132" s="14">
        <v>4</v>
      </c>
      <c r="P132" s="14">
        <v>6</v>
      </c>
      <c r="Q132" s="14">
        <v>8</v>
      </c>
      <c r="R132" s="14">
        <v>8</v>
      </c>
      <c r="S132" s="14">
        <v>9</v>
      </c>
      <c r="T132" s="14">
        <v>12</v>
      </c>
      <c r="U132" s="14">
        <v>11</v>
      </c>
      <c r="V132" s="14">
        <v>13</v>
      </c>
      <c r="W132" s="14">
        <v>13</v>
      </c>
      <c r="X132" s="14">
        <v>10</v>
      </c>
      <c r="Y132" s="14">
        <v>10</v>
      </c>
      <c r="Z132" s="14">
        <v>4</v>
      </c>
      <c r="AA132" s="14">
        <v>6</v>
      </c>
      <c r="AB132" s="14">
        <v>11</v>
      </c>
      <c r="AC132" s="14">
        <v>12</v>
      </c>
      <c r="AD132" s="14">
        <v>7</v>
      </c>
      <c r="AE132" s="14">
        <v>5</v>
      </c>
      <c r="AF132" s="214"/>
      <c r="AG132" s="15">
        <f t="shared" si="2"/>
        <v>237</v>
      </c>
    </row>
    <row r="133" spans="1:35" ht="15.75" customHeight="1" x14ac:dyDescent="0.25">
      <c r="A133" s="73" t="s">
        <v>80</v>
      </c>
      <c r="B133" s="13">
        <v>3</v>
      </c>
      <c r="C133" s="14">
        <v>7</v>
      </c>
      <c r="D133" s="14">
        <v>7</v>
      </c>
      <c r="E133" s="14">
        <v>11</v>
      </c>
      <c r="F133" s="14">
        <v>5</v>
      </c>
      <c r="G133" s="14">
        <v>8</v>
      </c>
      <c r="H133" s="14">
        <v>12</v>
      </c>
      <c r="I133" s="14">
        <v>15</v>
      </c>
      <c r="J133" s="14">
        <v>6</v>
      </c>
      <c r="K133" s="14">
        <v>8</v>
      </c>
      <c r="L133" s="14">
        <v>9</v>
      </c>
      <c r="M133" s="14">
        <v>6</v>
      </c>
      <c r="N133" s="14">
        <v>3</v>
      </c>
      <c r="O133" s="14">
        <v>16</v>
      </c>
      <c r="P133" s="14">
        <v>10</v>
      </c>
      <c r="Q133" s="14">
        <v>15</v>
      </c>
      <c r="R133" s="14">
        <v>11</v>
      </c>
      <c r="S133" s="14">
        <v>9</v>
      </c>
      <c r="T133" s="14">
        <v>17</v>
      </c>
      <c r="U133" s="14">
        <v>14</v>
      </c>
      <c r="V133" s="14">
        <v>18</v>
      </c>
      <c r="W133" s="14">
        <v>13</v>
      </c>
      <c r="X133" s="14">
        <v>6</v>
      </c>
      <c r="Y133" s="14">
        <v>12</v>
      </c>
      <c r="Z133" s="14">
        <v>13</v>
      </c>
      <c r="AA133" s="14">
        <v>16</v>
      </c>
      <c r="AB133" s="14">
        <v>7</v>
      </c>
      <c r="AC133" s="14">
        <v>8</v>
      </c>
      <c r="AD133" s="14">
        <v>9</v>
      </c>
      <c r="AE133" s="14">
        <v>14</v>
      </c>
      <c r="AF133" s="214"/>
      <c r="AG133" s="15">
        <f t="shared" si="2"/>
        <v>308</v>
      </c>
    </row>
    <row r="134" spans="1:35" ht="15.75" customHeight="1" x14ac:dyDescent="0.25">
      <c r="A134" s="73" t="s">
        <v>81</v>
      </c>
      <c r="B134" s="13">
        <v>14</v>
      </c>
      <c r="C134" s="14">
        <v>16</v>
      </c>
      <c r="D134" s="14">
        <v>5</v>
      </c>
      <c r="E134" s="14">
        <v>18</v>
      </c>
      <c r="F134" s="14">
        <v>9</v>
      </c>
      <c r="G134" s="14">
        <v>15</v>
      </c>
      <c r="H134" s="14">
        <v>7</v>
      </c>
      <c r="I134" s="14">
        <v>11</v>
      </c>
      <c r="J134" s="14">
        <v>9</v>
      </c>
      <c r="K134" s="14">
        <v>10</v>
      </c>
      <c r="L134" s="14">
        <v>10</v>
      </c>
      <c r="M134" s="14">
        <v>10</v>
      </c>
      <c r="N134" s="14">
        <v>5</v>
      </c>
      <c r="O134" s="14">
        <v>10</v>
      </c>
      <c r="P134" s="14">
        <v>6</v>
      </c>
      <c r="Q134" s="14">
        <v>15</v>
      </c>
      <c r="R134" s="14">
        <v>10</v>
      </c>
      <c r="S134" s="14">
        <v>6</v>
      </c>
      <c r="T134" s="14">
        <v>14</v>
      </c>
      <c r="U134" s="14">
        <v>12</v>
      </c>
      <c r="V134" s="14">
        <v>12</v>
      </c>
      <c r="W134" s="14">
        <v>10</v>
      </c>
      <c r="X134" s="14">
        <v>11</v>
      </c>
      <c r="Y134" s="14">
        <v>12</v>
      </c>
      <c r="Z134" s="14">
        <v>10</v>
      </c>
      <c r="AA134" s="14">
        <v>10</v>
      </c>
      <c r="AB134" s="14">
        <v>10</v>
      </c>
      <c r="AC134" s="14">
        <v>19</v>
      </c>
      <c r="AD134" s="14">
        <v>10</v>
      </c>
      <c r="AE134" s="14">
        <v>6</v>
      </c>
      <c r="AF134" s="214"/>
      <c r="AG134" s="15">
        <f t="shared" si="2"/>
        <v>322</v>
      </c>
    </row>
    <row r="135" spans="1:35" ht="15.75" customHeight="1" x14ac:dyDescent="0.25">
      <c r="A135" s="73" t="s">
        <v>82</v>
      </c>
      <c r="B135" s="13">
        <v>21</v>
      </c>
      <c r="C135" s="14">
        <v>11</v>
      </c>
      <c r="D135" s="14">
        <v>7</v>
      </c>
      <c r="E135" s="14">
        <v>11</v>
      </c>
      <c r="F135" s="14">
        <v>12</v>
      </c>
      <c r="G135" s="14">
        <v>6</v>
      </c>
      <c r="H135" s="14">
        <v>17</v>
      </c>
      <c r="I135" s="14">
        <v>18</v>
      </c>
      <c r="J135" s="14">
        <v>10</v>
      </c>
      <c r="K135" s="14">
        <v>10</v>
      </c>
      <c r="L135" s="14">
        <v>14</v>
      </c>
      <c r="M135" s="14">
        <v>14</v>
      </c>
      <c r="N135" s="14">
        <v>16</v>
      </c>
      <c r="O135" s="14">
        <v>7</v>
      </c>
      <c r="P135" s="14">
        <v>9</v>
      </c>
      <c r="Q135" s="14">
        <v>5</v>
      </c>
      <c r="R135" s="14">
        <v>5</v>
      </c>
      <c r="S135" s="14">
        <v>14</v>
      </c>
      <c r="T135" s="14">
        <v>10</v>
      </c>
      <c r="U135" s="14">
        <v>17</v>
      </c>
      <c r="V135" s="14">
        <v>22</v>
      </c>
      <c r="W135" s="14">
        <v>11</v>
      </c>
      <c r="X135" s="14">
        <v>21</v>
      </c>
      <c r="Y135" s="14">
        <v>12</v>
      </c>
      <c r="Z135" s="14">
        <v>8</v>
      </c>
      <c r="AA135" s="14">
        <v>21</v>
      </c>
      <c r="AB135" s="14">
        <v>13</v>
      </c>
      <c r="AC135" s="14">
        <v>20</v>
      </c>
      <c r="AD135" s="14">
        <v>13</v>
      </c>
      <c r="AE135" s="14">
        <v>14</v>
      </c>
      <c r="AF135" s="214"/>
      <c r="AG135" s="15">
        <f t="shared" si="2"/>
        <v>389</v>
      </c>
    </row>
    <row r="136" spans="1:35" ht="15.75" customHeight="1" x14ac:dyDescent="0.25">
      <c r="A136" s="73" t="s">
        <v>83</v>
      </c>
      <c r="B136" s="13">
        <v>105</v>
      </c>
      <c r="C136" s="14">
        <v>66</v>
      </c>
      <c r="D136" s="14">
        <v>156</v>
      </c>
      <c r="E136" s="14">
        <v>110</v>
      </c>
      <c r="F136" s="14">
        <v>107</v>
      </c>
      <c r="G136" s="14">
        <v>107</v>
      </c>
      <c r="H136" s="14">
        <v>99</v>
      </c>
      <c r="I136" s="14">
        <v>77</v>
      </c>
      <c r="J136" s="14">
        <v>83</v>
      </c>
      <c r="K136" s="14">
        <v>93</v>
      </c>
      <c r="L136" s="14">
        <v>117</v>
      </c>
      <c r="M136" s="14">
        <v>94</v>
      </c>
      <c r="N136" s="14">
        <v>90</v>
      </c>
      <c r="O136" s="14">
        <v>94</v>
      </c>
      <c r="P136" s="14">
        <v>90</v>
      </c>
      <c r="Q136" s="14">
        <v>78</v>
      </c>
      <c r="R136" s="14">
        <v>87</v>
      </c>
      <c r="S136" s="14">
        <v>90</v>
      </c>
      <c r="T136" s="14">
        <v>96</v>
      </c>
      <c r="U136" s="14">
        <v>95</v>
      </c>
      <c r="V136" s="14">
        <v>113</v>
      </c>
      <c r="W136" s="14">
        <v>107</v>
      </c>
      <c r="X136" s="14">
        <v>129</v>
      </c>
      <c r="Y136" s="14">
        <v>139</v>
      </c>
      <c r="Z136" s="14">
        <v>107</v>
      </c>
      <c r="AA136" s="14">
        <v>110</v>
      </c>
      <c r="AB136" s="14">
        <v>116</v>
      </c>
      <c r="AC136" s="14">
        <v>105</v>
      </c>
      <c r="AD136" s="14">
        <v>81</v>
      </c>
      <c r="AE136" s="14">
        <v>113</v>
      </c>
      <c r="AF136" s="214"/>
      <c r="AG136" s="15">
        <f t="shared" si="2"/>
        <v>3054</v>
      </c>
    </row>
    <row r="137" spans="1:35" ht="15.75" customHeight="1" x14ac:dyDescent="0.25">
      <c r="A137" s="73" t="s">
        <v>84</v>
      </c>
      <c r="B137" s="13">
        <v>6</v>
      </c>
      <c r="C137" s="14">
        <v>9</v>
      </c>
      <c r="D137" s="14">
        <v>0</v>
      </c>
      <c r="E137" s="14">
        <v>3</v>
      </c>
      <c r="F137" s="14">
        <v>2</v>
      </c>
      <c r="G137" s="14">
        <v>3</v>
      </c>
      <c r="H137" s="14">
        <v>2</v>
      </c>
      <c r="I137" s="14">
        <v>7</v>
      </c>
      <c r="J137" s="14">
        <v>6</v>
      </c>
      <c r="K137" s="14">
        <v>2</v>
      </c>
      <c r="L137" s="14">
        <v>3</v>
      </c>
      <c r="M137" s="14">
        <v>4</v>
      </c>
      <c r="N137" s="14">
        <v>3</v>
      </c>
      <c r="O137" s="14">
        <v>3</v>
      </c>
      <c r="P137" s="14">
        <v>4</v>
      </c>
      <c r="Q137" s="14">
        <v>4</v>
      </c>
      <c r="R137" s="14">
        <v>3</v>
      </c>
      <c r="S137" s="14">
        <v>5</v>
      </c>
      <c r="T137" s="14">
        <v>5</v>
      </c>
      <c r="U137" s="14">
        <v>4</v>
      </c>
      <c r="V137" s="14">
        <v>3</v>
      </c>
      <c r="W137" s="14">
        <v>7</v>
      </c>
      <c r="X137" s="14">
        <v>3</v>
      </c>
      <c r="Y137" s="14">
        <v>7</v>
      </c>
      <c r="Z137" s="14">
        <v>5</v>
      </c>
      <c r="AA137" s="14">
        <v>5</v>
      </c>
      <c r="AB137" s="14">
        <v>6</v>
      </c>
      <c r="AC137" s="14">
        <v>8</v>
      </c>
      <c r="AD137" s="14">
        <v>2</v>
      </c>
      <c r="AE137" s="14">
        <v>4</v>
      </c>
      <c r="AF137" s="214"/>
      <c r="AG137" s="15">
        <f t="shared" si="2"/>
        <v>128</v>
      </c>
    </row>
    <row r="138" spans="1:35" ht="15.75" customHeight="1" x14ac:dyDescent="0.25">
      <c r="A138" s="73" t="s">
        <v>85</v>
      </c>
      <c r="B138" s="13">
        <v>1</v>
      </c>
      <c r="C138" s="14">
        <v>1</v>
      </c>
      <c r="D138" s="14">
        <v>0</v>
      </c>
      <c r="E138" s="14">
        <v>2</v>
      </c>
      <c r="F138" s="14">
        <v>0</v>
      </c>
      <c r="G138" s="14">
        <v>1</v>
      </c>
      <c r="H138" s="14">
        <v>1</v>
      </c>
      <c r="I138" s="14">
        <v>2</v>
      </c>
      <c r="J138" s="14">
        <v>3</v>
      </c>
      <c r="K138" s="14">
        <v>1</v>
      </c>
      <c r="L138" s="14">
        <v>2</v>
      </c>
      <c r="M138" s="14">
        <v>1</v>
      </c>
      <c r="N138" s="14">
        <v>0</v>
      </c>
      <c r="O138" s="14">
        <v>2</v>
      </c>
      <c r="P138" s="14">
        <v>2</v>
      </c>
      <c r="Q138" s="14">
        <v>1</v>
      </c>
      <c r="R138" s="14">
        <v>1</v>
      </c>
      <c r="S138" s="14">
        <v>4</v>
      </c>
      <c r="T138" s="14">
        <v>2</v>
      </c>
      <c r="U138" s="14">
        <v>1</v>
      </c>
      <c r="V138" s="14">
        <v>2</v>
      </c>
      <c r="W138" s="14">
        <v>5</v>
      </c>
      <c r="X138" s="14">
        <v>4</v>
      </c>
      <c r="Y138" s="14">
        <v>4</v>
      </c>
      <c r="Z138" s="14">
        <v>3</v>
      </c>
      <c r="AA138" s="14">
        <v>5</v>
      </c>
      <c r="AB138" s="14">
        <v>4</v>
      </c>
      <c r="AC138" s="14">
        <v>5</v>
      </c>
      <c r="AD138" s="14">
        <v>4</v>
      </c>
      <c r="AE138" s="14">
        <v>1</v>
      </c>
      <c r="AF138" s="214"/>
      <c r="AG138" s="15">
        <f t="shared" si="2"/>
        <v>65</v>
      </c>
    </row>
    <row r="139" spans="1:35" ht="15.75" customHeight="1" x14ac:dyDescent="0.25">
      <c r="A139" s="12" t="s">
        <v>86</v>
      </c>
      <c r="B139" s="13">
        <v>1</v>
      </c>
      <c r="C139" s="14">
        <v>4</v>
      </c>
      <c r="D139" s="14">
        <v>0</v>
      </c>
      <c r="E139" s="14">
        <v>2</v>
      </c>
      <c r="F139" s="14">
        <v>3</v>
      </c>
      <c r="G139" s="14">
        <v>3</v>
      </c>
      <c r="H139" s="14">
        <v>1</v>
      </c>
      <c r="I139" s="14">
        <v>2</v>
      </c>
      <c r="J139" s="14">
        <v>0</v>
      </c>
      <c r="K139" s="14">
        <v>3</v>
      </c>
      <c r="L139" s="14">
        <v>2</v>
      </c>
      <c r="M139" s="14">
        <v>4</v>
      </c>
      <c r="N139" s="14">
        <v>2</v>
      </c>
      <c r="O139" s="14">
        <v>0</v>
      </c>
      <c r="P139" s="14">
        <v>2</v>
      </c>
      <c r="Q139" s="14">
        <v>5</v>
      </c>
      <c r="R139" s="14">
        <v>1</v>
      </c>
      <c r="S139" s="14">
        <v>2</v>
      </c>
      <c r="T139" s="14">
        <v>0</v>
      </c>
      <c r="U139" s="14">
        <v>2</v>
      </c>
      <c r="V139" s="14">
        <v>5</v>
      </c>
      <c r="W139" s="14">
        <v>0</v>
      </c>
      <c r="X139" s="14">
        <v>3</v>
      </c>
      <c r="Y139" s="14">
        <v>5</v>
      </c>
      <c r="Z139" s="14">
        <v>1</v>
      </c>
      <c r="AA139" s="14">
        <v>2</v>
      </c>
      <c r="AB139" s="14">
        <v>2</v>
      </c>
      <c r="AC139" s="14">
        <v>5</v>
      </c>
      <c r="AD139" s="14">
        <v>4</v>
      </c>
      <c r="AE139" s="14">
        <v>1</v>
      </c>
      <c r="AF139" s="214"/>
      <c r="AG139" s="15">
        <f t="shared" si="2"/>
        <v>67</v>
      </c>
    </row>
    <row r="140" spans="1:35" ht="15.75" customHeight="1" x14ac:dyDescent="0.25">
      <c r="A140" s="12" t="s">
        <v>87</v>
      </c>
      <c r="B140" s="13">
        <v>2</v>
      </c>
      <c r="C140" s="14">
        <v>1</v>
      </c>
      <c r="D140" s="14">
        <v>0</v>
      </c>
      <c r="E140" s="14">
        <v>2</v>
      </c>
      <c r="F140" s="14">
        <v>1</v>
      </c>
      <c r="G140" s="14">
        <v>2</v>
      </c>
      <c r="H140" s="14">
        <v>0</v>
      </c>
      <c r="I140" s="14">
        <v>0</v>
      </c>
      <c r="J140" s="14">
        <v>0</v>
      </c>
      <c r="K140" s="14">
        <v>0</v>
      </c>
      <c r="L140" s="14">
        <v>2</v>
      </c>
      <c r="M140" s="14">
        <v>3</v>
      </c>
      <c r="N140" s="14">
        <v>2</v>
      </c>
      <c r="O140" s="14">
        <v>3</v>
      </c>
      <c r="P140" s="14">
        <v>0</v>
      </c>
      <c r="Q140" s="14">
        <v>2</v>
      </c>
      <c r="R140" s="14">
        <v>0</v>
      </c>
      <c r="S140" s="14">
        <v>1</v>
      </c>
      <c r="T140" s="14">
        <v>2</v>
      </c>
      <c r="U140" s="14">
        <v>1</v>
      </c>
      <c r="V140" s="14">
        <v>3</v>
      </c>
      <c r="W140" s="14">
        <v>2</v>
      </c>
      <c r="X140" s="14">
        <v>3</v>
      </c>
      <c r="Y140" s="14">
        <v>4</v>
      </c>
      <c r="Z140" s="14">
        <v>1</v>
      </c>
      <c r="AA140" s="14">
        <v>1</v>
      </c>
      <c r="AB140" s="14">
        <v>2</v>
      </c>
      <c r="AC140" s="14">
        <v>2</v>
      </c>
      <c r="AD140" s="14">
        <v>2</v>
      </c>
      <c r="AE140" s="14">
        <v>3</v>
      </c>
      <c r="AF140" s="214"/>
      <c r="AG140" s="15">
        <f t="shared" si="2"/>
        <v>47</v>
      </c>
    </row>
    <row r="141" spans="1:35" ht="15.75" customHeight="1" x14ac:dyDescent="0.25">
      <c r="A141" s="12" t="s">
        <v>88</v>
      </c>
      <c r="B141" s="13">
        <v>1</v>
      </c>
      <c r="C141" s="14">
        <v>0</v>
      </c>
      <c r="D141" s="14">
        <v>0</v>
      </c>
      <c r="E141" s="14">
        <v>2</v>
      </c>
      <c r="F141" s="14">
        <v>0</v>
      </c>
      <c r="G141" s="14">
        <v>0</v>
      </c>
      <c r="H141" s="14">
        <v>3</v>
      </c>
      <c r="I141" s="14">
        <v>0</v>
      </c>
      <c r="J141" s="14">
        <v>2</v>
      </c>
      <c r="K141" s="14">
        <v>1</v>
      </c>
      <c r="L141" s="14">
        <v>1</v>
      </c>
      <c r="M141" s="14">
        <v>0</v>
      </c>
      <c r="N141" s="14">
        <v>0</v>
      </c>
      <c r="O141" s="14">
        <v>0</v>
      </c>
      <c r="P141" s="14">
        <v>1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1</v>
      </c>
      <c r="W141" s="14">
        <v>1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2</v>
      </c>
      <c r="AD141" s="14">
        <v>1</v>
      </c>
      <c r="AE141" s="14">
        <v>2</v>
      </c>
      <c r="AF141" s="214"/>
      <c r="AG141" s="15">
        <f t="shared" si="2"/>
        <v>18</v>
      </c>
    </row>
    <row r="142" spans="1:35" ht="15.75" customHeight="1" x14ac:dyDescent="0.25">
      <c r="A142" s="73" t="s">
        <v>89</v>
      </c>
      <c r="B142" s="13">
        <v>9</v>
      </c>
      <c r="C142" s="14">
        <v>5</v>
      </c>
      <c r="D142" s="14">
        <v>7</v>
      </c>
      <c r="E142" s="14">
        <v>8</v>
      </c>
      <c r="F142" s="14">
        <v>7</v>
      </c>
      <c r="G142" s="14">
        <v>13</v>
      </c>
      <c r="H142" s="14">
        <v>10</v>
      </c>
      <c r="I142" s="14">
        <v>5</v>
      </c>
      <c r="J142" s="14">
        <v>6</v>
      </c>
      <c r="K142" s="14">
        <v>6</v>
      </c>
      <c r="L142" s="14">
        <v>10</v>
      </c>
      <c r="M142" s="14">
        <v>3</v>
      </c>
      <c r="N142" s="14">
        <v>5</v>
      </c>
      <c r="O142" s="14">
        <v>9</v>
      </c>
      <c r="P142" s="14">
        <v>9</v>
      </c>
      <c r="Q142" s="14">
        <v>8</v>
      </c>
      <c r="R142" s="14">
        <v>9</v>
      </c>
      <c r="S142" s="14">
        <v>6</v>
      </c>
      <c r="T142" s="14">
        <v>9</v>
      </c>
      <c r="U142" s="14">
        <v>4</v>
      </c>
      <c r="V142" s="14">
        <v>5</v>
      </c>
      <c r="W142" s="14">
        <v>5</v>
      </c>
      <c r="X142" s="14">
        <v>8</v>
      </c>
      <c r="Y142" s="14">
        <v>6</v>
      </c>
      <c r="Z142" s="14">
        <v>10</v>
      </c>
      <c r="AA142" s="14">
        <v>11</v>
      </c>
      <c r="AB142" s="14">
        <v>10</v>
      </c>
      <c r="AC142" s="14">
        <v>7</v>
      </c>
      <c r="AD142" s="14">
        <v>6</v>
      </c>
      <c r="AE142" s="14">
        <v>11</v>
      </c>
      <c r="AF142" s="214"/>
      <c r="AG142" s="15">
        <f t="shared" si="2"/>
        <v>227</v>
      </c>
    </row>
    <row r="143" spans="1:35" ht="15.75" customHeight="1" thickBot="1" x14ac:dyDescent="0.3">
      <c r="A143" s="74" t="s">
        <v>90</v>
      </c>
      <c r="B143" s="75">
        <v>6</v>
      </c>
      <c r="C143" s="76">
        <v>11</v>
      </c>
      <c r="D143" s="76">
        <v>3</v>
      </c>
      <c r="E143" s="76">
        <v>5</v>
      </c>
      <c r="F143" s="76">
        <v>7</v>
      </c>
      <c r="G143" s="76">
        <v>12</v>
      </c>
      <c r="H143" s="76">
        <v>12</v>
      </c>
      <c r="I143" s="76">
        <v>14</v>
      </c>
      <c r="J143" s="76">
        <v>8</v>
      </c>
      <c r="K143" s="76">
        <v>7</v>
      </c>
      <c r="L143" s="76">
        <v>19</v>
      </c>
      <c r="M143" s="76">
        <v>9</v>
      </c>
      <c r="N143" s="76">
        <v>11</v>
      </c>
      <c r="O143" s="76">
        <v>11</v>
      </c>
      <c r="P143" s="76">
        <v>13</v>
      </c>
      <c r="Q143" s="76">
        <v>9</v>
      </c>
      <c r="R143" s="76">
        <v>11</v>
      </c>
      <c r="S143" s="76">
        <v>10</v>
      </c>
      <c r="T143" s="76">
        <v>16</v>
      </c>
      <c r="U143" s="76">
        <v>12</v>
      </c>
      <c r="V143" s="76">
        <v>15</v>
      </c>
      <c r="W143" s="76">
        <v>7</v>
      </c>
      <c r="X143" s="76">
        <v>13</v>
      </c>
      <c r="Y143" s="76">
        <v>12</v>
      </c>
      <c r="Z143" s="76">
        <v>7</v>
      </c>
      <c r="AA143" s="76">
        <v>22</v>
      </c>
      <c r="AB143" s="76">
        <v>19</v>
      </c>
      <c r="AC143" s="76">
        <v>17</v>
      </c>
      <c r="AD143" s="76">
        <v>13</v>
      </c>
      <c r="AE143" s="76">
        <v>8</v>
      </c>
      <c r="AF143" s="225"/>
      <c r="AG143" s="26">
        <f t="shared" si="2"/>
        <v>339</v>
      </c>
    </row>
    <row r="144" spans="1:35" ht="15.75" customHeight="1" thickBot="1" x14ac:dyDescent="0.3">
      <c r="A144" s="41" t="s">
        <v>92</v>
      </c>
      <c r="B144" s="42">
        <f t="shared" ref="B144:AF144" si="17">+B146+B156+B158+B167</f>
        <v>211</v>
      </c>
      <c r="C144" s="43">
        <f t="shared" si="17"/>
        <v>174</v>
      </c>
      <c r="D144" s="43">
        <f t="shared" si="17"/>
        <v>200</v>
      </c>
      <c r="E144" s="43">
        <f t="shared" si="17"/>
        <v>226</v>
      </c>
      <c r="F144" s="43">
        <v>206</v>
      </c>
      <c r="G144" s="43">
        <f t="shared" si="17"/>
        <v>202</v>
      </c>
      <c r="H144" s="43">
        <f t="shared" si="17"/>
        <v>213</v>
      </c>
      <c r="I144" s="43">
        <f t="shared" si="17"/>
        <v>200</v>
      </c>
      <c r="J144" s="43">
        <f t="shared" si="17"/>
        <v>180</v>
      </c>
      <c r="K144" s="43">
        <f t="shared" si="17"/>
        <v>181</v>
      </c>
      <c r="L144" s="43">
        <f t="shared" si="17"/>
        <v>243</v>
      </c>
      <c r="M144" s="43">
        <f t="shared" si="17"/>
        <v>207</v>
      </c>
      <c r="N144" s="43">
        <f t="shared" si="17"/>
        <v>183</v>
      </c>
      <c r="O144" s="43">
        <f t="shared" si="17"/>
        <v>199</v>
      </c>
      <c r="P144" s="43">
        <f t="shared" si="17"/>
        <v>196</v>
      </c>
      <c r="Q144" s="43">
        <f t="shared" si="17"/>
        <v>194</v>
      </c>
      <c r="R144" s="43">
        <f t="shared" si="17"/>
        <v>187</v>
      </c>
      <c r="S144" s="43">
        <f t="shared" si="17"/>
        <v>186</v>
      </c>
      <c r="T144" s="43">
        <f t="shared" si="17"/>
        <v>234</v>
      </c>
      <c r="U144" s="43">
        <f t="shared" si="17"/>
        <v>229</v>
      </c>
      <c r="V144" s="43">
        <f t="shared" si="17"/>
        <v>254</v>
      </c>
      <c r="W144" s="43">
        <f t="shared" si="17"/>
        <v>219</v>
      </c>
      <c r="X144" s="43">
        <f t="shared" si="17"/>
        <v>245</v>
      </c>
      <c r="Y144" s="43">
        <f t="shared" si="17"/>
        <v>265</v>
      </c>
      <c r="Z144" s="43">
        <f t="shared" si="17"/>
        <v>216</v>
      </c>
      <c r="AA144" s="43">
        <f t="shared" si="17"/>
        <v>259</v>
      </c>
      <c r="AB144" s="43">
        <f t="shared" si="17"/>
        <v>240</v>
      </c>
      <c r="AC144" s="43">
        <f t="shared" si="17"/>
        <v>261</v>
      </c>
      <c r="AD144" s="43">
        <f t="shared" si="17"/>
        <v>193</v>
      </c>
      <c r="AE144" s="43">
        <f t="shared" si="17"/>
        <v>232</v>
      </c>
      <c r="AF144" s="43">
        <f t="shared" si="17"/>
        <v>0</v>
      </c>
      <c r="AG144" s="27">
        <f t="shared" si="2"/>
        <v>6435</v>
      </c>
      <c r="AH144" s="78" t="str">
        <f>IF(AG144&lt;&gt;AG93,"*","")</f>
        <v>*</v>
      </c>
      <c r="AI144" s="79" t="s">
        <v>93</v>
      </c>
    </row>
    <row r="145" spans="1:35" ht="15.75" customHeight="1" thickBot="1" x14ac:dyDescent="0.3">
      <c r="A145" s="80" t="s">
        <v>44</v>
      </c>
      <c r="B145" s="81">
        <f t="shared" ref="B145:AF145" si="18">+B149+B155+B157+B172</f>
        <v>24</v>
      </c>
      <c r="C145" s="82">
        <f t="shared" si="18"/>
        <v>2</v>
      </c>
      <c r="D145" s="82">
        <f t="shared" si="18"/>
        <v>5</v>
      </c>
      <c r="E145" s="82">
        <f t="shared" si="18"/>
        <v>32</v>
      </c>
      <c r="F145" s="82">
        <f t="shared" si="18"/>
        <v>24</v>
      </c>
      <c r="G145" s="82">
        <f t="shared" si="18"/>
        <v>33</v>
      </c>
      <c r="H145" s="82">
        <f t="shared" si="18"/>
        <v>56</v>
      </c>
      <c r="I145" s="82">
        <f t="shared" si="18"/>
        <v>56</v>
      </c>
      <c r="J145" s="82">
        <f t="shared" si="18"/>
        <v>3</v>
      </c>
      <c r="K145" s="82">
        <f t="shared" si="18"/>
        <v>6</v>
      </c>
      <c r="L145" s="82">
        <f t="shared" si="18"/>
        <v>25</v>
      </c>
      <c r="M145" s="82">
        <f t="shared" si="18"/>
        <v>25</v>
      </c>
      <c r="N145" s="82">
        <f t="shared" si="18"/>
        <v>25</v>
      </c>
      <c r="O145" s="82">
        <f t="shared" si="18"/>
        <v>5</v>
      </c>
      <c r="P145" s="82">
        <f t="shared" si="18"/>
        <v>29</v>
      </c>
      <c r="Q145" s="82">
        <f t="shared" si="18"/>
        <v>5</v>
      </c>
      <c r="R145" s="82">
        <f t="shared" si="18"/>
        <v>1</v>
      </c>
      <c r="S145" s="82">
        <f t="shared" si="18"/>
        <v>2</v>
      </c>
      <c r="T145" s="82">
        <f t="shared" si="18"/>
        <v>1</v>
      </c>
      <c r="U145" s="82">
        <f t="shared" si="18"/>
        <v>96</v>
      </c>
      <c r="V145" s="82">
        <f t="shared" si="18"/>
        <v>31</v>
      </c>
      <c r="W145" s="82">
        <f t="shared" si="18"/>
        <v>55</v>
      </c>
      <c r="X145" s="82">
        <f t="shared" si="18"/>
        <v>8</v>
      </c>
      <c r="Y145" s="82">
        <f t="shared" si="18"/>
        <v>15</v>
      </c>
      <c r="Z145" s="82">
        <f t="shared" si="18"/>
        <v>85</v>
      </c>
      <c r="AA145" s="82">
        <f t="shared" si="18"/>
        <v>42</v>
      </c>
      <c r="AB145" s="82">
        <f t="shared" si="18"/>
        <v>32</v>
      </c>
      <c r="AC145" s="82">
        <f t="shared" si="18"/>
        <v>16</v>
      </c>
      <c r="AD145" s="82">
        <f t="shared" si="18"/>
        <v>20</v>
      </c>
      <c r="AE145" s="82">
        <f t="shared" si="18"/>
        <v>7</v>
      </c>
      <c r="AF145" s="226">
        <f t="shared" si="18"/>
        <v>0</v>
      </c>
      <c r="AG145" s="83">
        <f t="shared" si="2"/>
        <v>766</v>
      </c>
      <c r="AH145" s="77"/>
    </row>
    <row r="146" spans="1:35" ht="15.75" customHeight="1" thickBot="1" x14ac:dyDescent="0.3">
      <c r="A146" s="84" t="s">
        <v>94</v>
      </c>
      <c r="B146" s="85">
        <f t="shared" ref="B146:AG147" si="19">+B148+B154</f>
        <v>0</v>
      </c>
      <c r="C146" s="86">
        <f t="shared" si="19"/>
        <v>0</v>
      </c>
      <c r="D146" s="86">
        <f t="shared" si="19"/>
        <v>0</v>
      </c>
      <c r="E146" s="86">
        <f t="shared" si="19"/>
        <v>0</v>
      </c>
      <c r="F146" s="86">
        <f t="shared" si="19"/>
        <v>0</v>
      </c>
      <c r="G146" s="86">
        <f t="shared" si="19"/>
        <v>0</v>
      </c>
      <c r="H146" s="86">
        <f t="shared" si="19"/>
        <v>0</v>
      </c>
      <c r="I146" s="86">
        <f t="shared" si="19"/>
        <v>0</v>
      </c>
      <c r="J146" s="86">
        <f t="shared" si="19"/>
        <v>0</v>
      </c>
      <c r="K146" s="86">
        <f t="shared" si="19"/>
        <v>0</v>
      </c>
      <c r="L146" s="86">
        <f t="shared" si="19"/>
        <v>0</v>
      </c>
      <c r="M146" s="86">
        <f t="shared" si="19"/>
        <v>0</v>
      </c>
      <c r="N146" s="86">
        <f t="shared" si="19"/>
        <v>0</v>
      </c>
      <c r="O146" s="86">
        <f t="shared" si="19"/>
        <v>0</v>
      </c>
      <c r="P146" s="86">
        <f t="shared" si="19"/>
        <v>0</v>
      </c>
      <c r="Q146" s="86">
        <f t="shared" si="19"/>
        <v>0</v>
      </c>
      <c r="R146" s="86">
        <f t="shared" si="19"/>
        <v>0</v>
      </c>
      <c r="S146" s="86">
        <f t="shared" si="19"/>
        <v>0</v>
      </c>
      <c r="T146" s="86">
        <f t="shared" si="19"/>
        <v>0</v>
      </c>
      <c r="U146" s="86">
        <f t="shared" si="19"/>
        <v>0</v>
      </c>
      <c r="V146" s="86">
        <f t="shared" si="19"/>
        <v>0</v>
      </c>
      <c r="W146" s="86">
        <f t="shared" si="19"/>
        <v>0</v>
      </c>
      <c r="X146" s="86">
        <f t="shared" si="19"/>
        <v>0</v>
      </c>
      <c r="Y146" s="86">
        <f t="shared" si="19"/>
        <v>0</v>
      </c>
      <c r="Z146" s="86">
        <f t="shared" si="19"/>
        <v>0</v>
      </c>
      <c r="AA146" s="86">
        <f t="shared" si="19"/>
        <v>0</v>
      </c>
      <c r="AB146" s="86">
        <f t="shared" si="19"/>
        <v>0</v>
      </c>
      <c r="AC146" s="86">
        <f t="shared" si="19"/>
        <v>0</v>
      </c>
      <c r="AD146" s="86">
        <f t="shared" si="19"/>
        <v>0</v>
      </c>
      <c r="AE146" s="86">
        <f t="shared" si="19"/>
        <v>0</v>
      </c>
      <c r="AF146" s="227">
        <f t="shared" si="19"/>
        <v>0</v>
      </c>
      <c r="AG146" s="87">
        <f t="shared" si="19"/>
        <v>0</v>
      </c>
    </row>
    <row r="147" spans="1:35" ht="15.75" customHeight="1" thickBot="1" x14ac:dyDescent="0.3">
      <c r="A147" s="88" t="s">
        <v>95</v>
      </c>
      <c r="B147" s="89">
        <f t="shared" si="19"/>
        <v>0</v>
      </c>
      <c r="C147" s="90">
        <f t="shared" si="19"/>
        <v>0</v>
      </c>
      <c r="D147" s="90">
        <f t="shared" si="19"/>
        <v>0</v>
      </c>
      <c r="E147" s="90">
        <f t="shared" si="19"/>
        <v>0</v>
      </c>
      <c r="F147" s="90">
        <f t="shared" si="19"/>
        <v>0</v>
      </c>
      <c r="G147" s="90">
        <f t="shared" si="19"/>
        <v>0</v>
      </c>
      <c r="H147" s="90">
        <f t="shared" si="19"/>
        <v>0</v>
      </c>
      <c r="I147" s="90">
        <f t="shared" si="19"/>
        <v>0</v>
      </c>
      <c r="J147" s="90">
        <f t="shared" si="19"/>
        <v>0</v>
      </c>
      <c r="K147" s="90">
        <f t="shared" si="19"/>
        <v>0</v>
      </c>
      <c r="L147" s="90">
        <f t="shared" si="19"/>
        <v>0</v>
      </c>
      <c r="M147" s="90">
        <f t="shared" si="19"/>
        <v>0</v>
      </c>
      <c r="N147" s="90">
        <f t="shared" si="19"/>
        <v>0</v>
      </c>
      <c r="O147" s="90">
        <f t="shared" si="19"/>
        <v>0</v>
      </c>
      <c r="P147" s="90">
        <f t="shared" si="19"/>
        <v>0</v>
      </c>
      <c r="Q147" s="90">
        <f t="shared" si="19"/>
        <v>0</v>
      </c>
      <c r="R147" s="90">
        <f t="shared" si="19"/>
        <v>0</v>
      </c>
      <c r="S147" s="90">
        <f t="shared" si="19"/>
        <v>0</v>
      </c>
      <c r="T147" s="90">
        <f t="shared" si="19"/>
        <v>0</v>
      </c>
      <c r="U147" s="90">
        <f t="shared" si="19"/>
        <v>0</v>
      </c>
      <c r="V147" s="90">
        <f t="shared" si="19"/>
        <v>0</v>
      </c>
      <c r="W147" s="90">
        <f t="shared" si="19"/>
        <v>0</v>
      </c>
      <c r="X147" s="90">
        <f t="shared" si="19"/>
        <v>0</v>
      </c>
      <c r="Y147" s="90">
        <f t="shared" si="19"/>
        <v>0</v>
      </c>
      <c r="Z147" s="90">
        <f t="shared" si="19"/>
        <v>0</v>
      </c>
      <c r="AA147" s="90">
        <f t="shared" si="19"/>
        <v>0</v>
      </c>
      <c r="AB147" s="90">
        <f t="shared" si="19"/>
        <v>0</v>
      </c>
      <c r="AC147" s="90">
        <f t="shared" si="19"/>
        <v>0</v>
      </c>
      <c r="AD147" s="90">
        <f t="shared" si="19"/>
        <v>0</v>
      </c>
      <c r="AE147" s="90">
        <f t="shared" si="19"/>
        <v>0</v>
      </c>
      <c r="AF147" s="228"/>
      <c r="AG147" s="91">
        <f t="shared" ref="AG147:AG226" si="20">SUM(B147:AF147)</f>
        <v>0</v>
      </c>
    </row>
    <row r="148" spans="1:35" ht="15.75" customHeight="1" thickBot="1" x14ac:dyDescent="0.3">
      <c r="A148" s="92" t="s">
        <v>96</v>
      </c>
      <c r="B148" s="93">
        <f t="shared" ref="B148:AF148" si="21">SUM(B150:B153)</f>
        <v>0</v>
      </c>
      <c r="C148" s="94">
        <f t="shared" si="21"/>
        <v>0</v>
      </c>
      <c r="D148" s="94">
        <f t="shared" si="21"/>
        <v>0</v>
      </c>
      <c r="E148" s="94">
        <f t="shared" si="21"/>
        <v>0</v>
      </c>
      <c r="F148" s="94">
        <f t="shared" si="21"/>
        <v>0</v>
      </c>
      <c r="G148" s="94">
        <f t="shared" si="21"/>
        <v>0</v>
      </c>
      <c r="H148" s="94">
        <f t="shared" si="21"/>
        <v>0</v>
      </c>
      <c r="I148" s="94">
        <f t="shared" si="21"/>
        <v>0</v>
      </c>
      <c r="J148" s="94">
        <f t="shared" si="21"/>
        <v>0</v>
      </c>
      <c r="K148" s="94">
        <f t="shared" si="21"/>
        <v>0</v>
      </c>
      <c r="L148" s="94">
        <f t="shared" si="21"/>
        <v>0</v>
      </c>
      <c r="M148" s="94">
        <f t="shared" si="21"/>
        <v>0</v>
      </c>
      <c r="N148" s="94">
        <f t="shared" si="21"/>
        <v>0</v>
      </c>
      <c r="O148" s="94">
        <f t="shared" si="21"/>
        <v>0</v>
      </c>
      <c r="P148" s="94">
        <f t="shared" si="21"/>
        <v>0</v>
      </c>
      <c r="Q148" s="94">
        <f t="shared" si="21"/>
        <v>0</v>
      </c>
      <c r="R148" s="94">
        <f t="shared" si="21"/>
        <v>0</v>
      </c>
      <c r="S148" s="94">
        <f t="shared" si="21"/>
        <v>0</v>
      </c>
      <c r="T148" s="94">
        <f t="shared" si="21"/>
        <v>0</v>
      </c>
      <c r="U148" s="94">
        <f t="shared" si="21"/>
        <v>0</v>
      </c>
      <c r="V148" s="94">
        <f t="shared" si="21"/>
        <v>0</v>
      </c>
      <c r="W148" s="94">
        <f t="shared" si="21"/>
        <v>0</v>
      </c>
      <c r="X148" s="94">
        <f t="shared" si="21"/>
        <v>0</v>
      </c>
      <c r="Y148" s="94">
        <f t="shared" si="21"/>
        <v>0</v>
      </c>
      <c r="Z148" s="94">
        <f t="shared" si="21"/>
        <v>0</v>
      </c>
      <c r="AA148" s="94">
        <f t="shared" si="21"/>
        <v>0</v>
      </c>
      <c r="AB148" s="94">
        <f t="shared" si="21"/>
        <v>0</v>
      </c>
      <c r="AC148" s="94">
        <f t="shared" si="21"/>
        <v>0</v>
      </c>
      <c r="AD148" s="94">
        <f t="shared" si="21"/>
        <v>0</v>
      </c>
      <c r="AE148" s="94">
        <f t="shared" si="21"/>
        <v>0</v>
      </c>
      <c r="AF148" s="229">
        <f t="shared" si="21"/>
        <v>0</v>
      </c>
      <c r="AG148" s="95">
        <f t="shared" si="20"/>
        <v>0</v>
      </c>
    </row>
    <row r="149" spans="1:35" ht="15.75" customHeight="1" thickBot="1" x14ac:dyDescent="0.3">
      <c r="A149" s="88" t="s">
        <v>97</v>
      </c>
      <c r="B149" s="89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228"/>
      <c r="AG149" s="91">
        <f t="shared" si="20"/>
        <v>0</v>
      </c>
    </row>
    <row r="150" spans="1:35" ht="15.75" customHeight="1" x14ac:dyDescent="0.25">
      <c r="A150" s="96" t="s">
        <v>98</v>
      </c>
      <c r="B150" s="97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230"/>
      <c r="AG150" s="11">
        <f t="shared" si="20"/>
        <v>0</v>
      </c>
      <c r="AI150" s="99"/>
    </row>
    <row r="151" spans="1:35" ht="15.75" customHeight="1" x14ac:dyDescent="0.25">
      <c r="A151" s="100" t="s">
        <v>99</v>
      </c>
      <c r="B151" s="101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231"/>
      <c r="AG151" s="15">
        <f t="shared" si="20"/>
        <v>0</v>
      </c>
      <c r="AI151" s="99"/>
    </row>
    <row r="152" spans="1:35" ht="15.75" customHeight="1" x14ac:dyDescent="0.25">
      <c r="A152" s="100" t="s">
        <v>100</v>
      </c>
      <c r="B152" s="101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231"/>
      <c r="AG152" s="15">
        <f t="shared" si="20"/>
        <v>0</v>
      </c>
    </row>
    <row r="153" spans="1:35" ht="15.75" customHeight="1" thickBot="1" x14ac:dyDescent="0.3">
      <c r="A153" s="103" t="s">
        <v>101</v>
      </c>
      <c r="B153" s="104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232"/>
      <c r="AG153" s="106">
        <f t="shared" si="20"/>
        <v>0</v>
      </c>
    </row>
    <row r="154" spans="1:35" ht="15.75" customHeight="1" thickBot="1" x14ac:dyDescent="0.3">
      <c r="A154" s="92" t="s">
        <v>102</v>
      </c>
      <c r="B154" s="93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229"/>
      <c r="AG154" s="95">
        <f t="shared" si="20"/>
        <v>0</v>
      </c>
    </row>
    <row r="155" spans="1:35" ht="15.75" customHeight="1" thickBot="1" x14ac:dyDescent="0.3">
      <c r="A155" s="88" t="s">
        <v>103</v>
      </c>
      <c r="B155" s="89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228"/>
      <c r="AG155" s="91">
        <f t="shared" si="20"/>
        <v>0</v>
      </c>
    </row>
    <row r="156" spans="1:35" ht="15.75" customHeight="1" x14ac:dyDescent="0.25">
      <c r="A156" s="107" t="s">
        <v>104</v>
      </c>
      <c r="B156" s="108">
        <v>211</v>
      </c>
      <c r="C156" s="109">
        <v>174</v>
      </c>
      <c r="D156" s="109">
        <v>200</v>
      </c>
      <c r="E156" s="109">
        <v>226</v>
      </c>
      <c r="F156" s="109">
        <v>230</v>
      </c>
      <c r="G156" s="109">
        <v>202</v>
      </c>
      <c r="H156" s="109">
        <v>213</v>
      </c>
      <c r="I156" s="109">
        <v>200</v>
      </c>
      <c r="J156" s="109">
        <v>180</v>
      </c>
      <c r="K156" s="109">
        <v>181</v>
      </c>
      <c r="L156" s="109">
        <v>243</v>
      </c>
      <c r="M156" s="109">
        <v>207</v>
      </c>
      <c r="N156" s="109">
        <v>183</v>
      </c>
      <c r="O156" s="109">
        <v>199</v>
      </c>
      <c r="P156" s="109">
        <v>196</v>
      </c>
      <c r="Q156" s="109">
        <v>194</v>
      </c>
      <c r="R156" s="109">
        <v>187</v>
      </c>
      <c r="S156" s="109">
        <v>186</v>
      </c>
      <c r="T156" s="109">
        <v>234</v>
      </c>
      <c r="U156" s="109">
        <v>229</v>
      </c>
      <c r="V156" s="109">
        <v>254</v>
      </c>
      <c r="W156" s="109">
        <v>219</v>
      </c>
      <c r="X156" s="109">
        <v>245</v>
      </c>
      <c r="Y156" s="109">
        <v>265</v>
      </c>
      <c r="Z156" s="109">
        <v>216</v>
      </c>
      <c r="AA156" s="109">
        <v>259</v>
      </c>
      <c r="AB156" s="109">
        <v>240</v>
      </c>
      <c r="AC156" s="109">
        <v>261</v>
      </c>
      <c r="AD156" s="109">
        <v>193</v>
      </c>
      <c r="AE156" s="109">
        <v>232</v>
      </c>
      <c r="AF156" s="233"/>
      <c r="AG156" s="110">
        <f t="shared" si="20"/>
        <v>6459</v>
      </c>
      <c r="AH156" s="111" t="s">
        <v>105</v>
      </c>
    </row>
    <row r="157" spans="1:35" ht="15.75" customHeight="1" thickBot="1" x14ac:dyDescent="0.3">
      <c r="A157" s="74" t="s">
        <v>46</v>
      </c>
      <c r="B157" s="75">
        <v>24</v>
      </c>
      <c r="C157" s="76">
        <v>2</v>
      </c>
      <c r="D157" s="76">
        <v>5</v>
      </c>
      <c r="E157" s="76">
        <v>32</v>
      </c>
      <c r="F157" s="76">
        <v>24</v>
      </c>
      <c r="G157" s="76">
        <v>33</v>
      </c>
      <c r="H157" s="76">
        <v>56</v>
      </c>
      <c r="I157" s="76">
        <v>56</v>
      </c>
      <c r="J157" s="76">
        <v>3</v>
      </c>
      <c r="K157" s="76">
        <v>6</v>
      </c>
      <c r="L157" s="76">
        <v>25</v>
      </c>
      <c r="M157" s="76">
        <v>25</v>
      </c>
      <c r="N157" s="76">
        <v>25</v>
      </c>
      <c r="O157" s="76">
        <v>5</v>
      </c>
      <c r="P157" s="76">
        <v>29</v>
      </c>
      <c r="Q157" s="76">
        <v>5</v>
      </c>
      <c r="R157" s="76">
        <v>1</v>
      </c>
      <c r="S157" s="76">
        <v>2</v>
      </c>
      <c r="T157" s="76">
        <v>1</v>
      </c>
      <c r="U157" s="76">
        <v>96</v>
      </c>
      <c r="V157" s="76">
        <v>31</v>
      </c>
      <c r="W157" s="76">
        <v>55</v>
      </c>
      <c r="X157" s="76">
        <v>8</v>
      </c>
      <c r="Y157" s="76">
        <v>15</v>
      </c>
      <c r="Z157" s="76">
        <v>85</v>
      </c>
      <c r="AA157" s="76">
        <v>42</v>
      </c>
      <c r="AB157" s="76">
        <v>32</v>
      </c>
      <c r="AC157" s="76">
        <v>16</v>
      </c>
      <c r="AD157" s="76">
        <v>20</v>
      </c>
      <c r="AE157" s="76">
        <v>7</v>
      </c>
      <c r="AF157" s="225"/>
      <c r="AG157" s="112">
        <f t="shared" si="20"/>
        <v>766</v>
      </c>
      <c r="AH157" s="111"/>
    </row>
    <row r="158" spans="1:35" ht="15.75" customHeight="1" thickBot="1" x14ac:dyDescent="0.3">
      <c r="A158" s="113" t="s">
        <v>106</v>
      </c>
      <c r="B158" s="114">
        <f t="shared" ref="B158:AF158" si="22">SUM(B159:B166)</f>
        <v>0</v>
      </c>
      <c r="C158" s="115">
        <f t="shared" si="22"/>
        <v>0</v>
      </c>
      <c r="D158" s="115">
        <f t="shared" si="22"/>
        <v>0</v>
      </c>
      <c r="E158" s="115">
        <f t="shared" si="22"/>
        <v>0</v>
      </c>
      <c r="F158" s="115">
        <f t="shared" si="22"/>
        <v>0</v>
      </c>
      <c r="G158" s="115">
        <f t="shared" si="22"/>
        <v>0</v>
      </c>
      <c r="H158" s="115">
        <f t="shared" si="22"/>
        <v>0</v>
      </c>
      <c r="I158" s="115">
        <f t="shared" si="22"/>
        <v>0</v>
      </c>
      <c r="J158" s="115">
        <f t="shared" si="22"/>
        <v>0</v>
      </c>
      <c r="K158" s="115">
        <f t="shared" si="22"/>
        <v>0</v>
      </c>
      <c r="L158" s="115">
        <f t="shared" si="22"/>
        <v>0</v>
      </c>
      <c r="M158" s="115">
        <f t="shared" si="22"/>
        <v>0</v>
      </c>
      <c r="N158" s="115">
        <f t="shared" si="22"/>
        <v>0</v>
      </c>
      <c r="O158" s="115">
        <f t="shared" si="22"/>
        <v>0</v>
      </c>
      <c r="P158" s="115">
        <f t="shared" si="22"/>
        <v>0</v>
      </c>
      <c r="Q158" s="115">
        <f t="shared" si="22"/>
        <v>0</v>
      </c>
      <c r="R158" s="115">
        <f t="shared" si="22"/>
        <v>0</v>
      </c>
      <c r="S158" s="115">
        <f t="shared" si="22"/>
        <v>0</v>
      </c>
      <c r="T158" s="115">
        <f t="shared" si="22"/>
        <v>0</v>
      </c>
      <c r="U158" s="115">
        <f t="shared" si="22"/>
        <v>0</v>
      </c>
      <c r="V158" s="115">
        <f t="shared" si="22"/>
        <v>0</v>
      </c>
      <c r="W158" s="115">
        <f t="shared" si="22"/>
        <v>0</v>
      </c>
      <c r="X158" s="115">
        <f t="shared" si="22"/>
        <v>0</v>
      </c>
      <c r="Y158" s="115">
        <f t="shared" si="22"/>
        <v>0</v>
      </c>
      <c r="Z158" s="115">
        <f t="shared" si="22"/>
        <v>0</v>
      </c>
      <c r="AA158" s="115">
        <f t="shared" si="22"/>
        <v>0</v>
      </c>
      <c r="AB158" s="115">
        <f t="shared" si="22"/>
        <v>0</v>
      </c>
      <c r="AC158" s="115">
        <f t="shared" si="22"/>
        <v>0</v>
      </c>
      <c r="AD158" s="115">
        <f t="shared" si="22"/>
        <v>0</v>
      </c>
      <c r="AE158" s="115">
        <f t="shared" si="22"/>
        <v>0</v>
      </c>
      <c r="AF158" s="234">
        <f t="shared" si="22"/>
        <v>0</v>
      </c>
      <c r="AG158" s="116">
        <f t="shared" si="20"/>
        <v>0</v>
      </c>
    </row>
    <row r="159" spans="1:35" ht="15.75" customHeight="1" x14ac:dyDescent="0.25">
      <c r="A159" s="96" t="s">
        <v>79</v>
      </c>
      <c r="B159" s="97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230"/>
      <c r="AG159" s="11">
        <f t="shared" si="20"/>
        <v>0</v>
      </c>
    </row>
    <row r="160" spans="1:35" ht="15.75" customHeight="1" x14ac:dyDescent="0.25">
      <c r="A160" s="100" t="s">
        <v>80</v>
      </c>
      <c r="B160" s="101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231"/>
      <c r="AG160" s="15">
        <f t="shared" si="20"/>
        <v>0</v>
      </c>
    </row>
    <row r="161" spans="1:34" ht="15.75" customHeight="1" x14ac:dyDescent="0.25">
      <c r="A161" s="100" t="s">
        <v>78</v>
      </c>
      <c r="B161" s="101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231"/>
      <c r="AG161" s="15">
        <f t="shared" si="20"/>
        <v>0</v>
      </c>
    </row>
    <row r="162" spans="1:34" ht="15.75" customHeight="1" x14ac:dyDescent="0.25">
      <c r="A162" s="100" t="s">
        <v>81</v>
      </c>
      <c r="B162" s="101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231"/>
      <c r="AG162" s="15">
        <f t="shared" si="20"/>
        <v>0</v>
      </c>
    </row>
    <row r="163" spans="1:34" ht="15.75" customHeight="1" x14ac:dyDescent="0.25">
      <c r="A163" s="100" t="s">
        <v>82</v>
      </c>
      <c r="B163" s="101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231"/>
      <c r="AG163" s="15">
        <f t="shared" si="20"/>
        <v>0</v>
      </c>
    </row>
    <row r="164" spans="1:34" ht="15.75" customHeight="1" x14ac:dyDescent="0.25">
      <c r="A164" s="100" t="s">
        <v>83</v>
      </c>
      <c r="B164" s="101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231"/>
      <c r="AG164" s="15">
        <f t="shared" si="20"/>
        <v>0</v>
      </c>
    </row>
    <row r="165" spans="1:34" ht="15.75" customHeight="1" x14ac:dyDescent="0.25">
      <c r="A165" s="100" t="s">
        <v>84</v>
      </c>
      <c r="B165" s="101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231"/>
      <c r="AG165" s="15">
        <f t="shared" si="20"/>
        <v>0</v>
      </c>
    </row>
    <row r="166" spans="1:34" ht="15.75" customHeight="1" thickBot="1" x14ac:dyDescent="0.3">
      <c r="A166" s="103" t="s">
        <v>85</v>
      </c>
      <c r="B166" s="104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232"/>
      <c r="AG166" s="106">
        <f t="shared" si="20"/>
        <v>0</v>
      </c>
    </row>
    <row r="167" spans="1:34" ht="15.75" customHeight="1" x14ac:dyDescent="0.25">
      <c r="A167" s="107" t="s">
        <v>107</v>
      </c>
      <c r="B167" s="108">
        <f t="shared" ref="B167:AF167" si="23">SUM(B168:B171)</f>
        <v>0</v>
      </c>
      <c r="C167" s="109">
        <f t="shared" si="23"/>
        <v>0</v>
      </c>
      <c r="D167" s="109">
        <f t="shared" si="23"/>
        <v>0</v>
      </c>
      <c r="E167" s="109">
        <f t="shared" si="23"/>
        <v>0</v>
      </c>
      <c r="F167" s="109">
        <f t="shared" si="23"/>
        <v>0</v>
      </c>
      <c r="G167" s="109">
        <f t="shared" si="23"/>
        <v>0</v>
      </c>
      <c r="H167" s="109">
        <f t="shared" si="23"/>
        <v>0</v>
      </c>
      <c r="I167" s="109">
        <f t="shared" si="23"/>
        <v>0</v>
      </c>
      <c r="J167" s="109">
        <f t="shared" si="23"/>
        <v>0</v>
      </c>
      <c r="K167" s="109">
        <f t="shared" si="23"/>
        <v>0</v>
      </c>
      <c r="L167" s="109">
        <f t="shared" si="23"/>
        <v>0</v>
      </c>
      <c r="M167" s="109">
        <f t="shared" si="23"/>
        <v>0</v>
      </c>
      <c r="N167" s="109">
        <f t="shared" si="23"/>
        <v>0</v>
      </c>
      <c r="O167" s="109">
        <f t="shared" si="23"/>
        <v>0</v>
      </c>
      <c r="P167" s="109">
        <f t="shared" si="23"/>
        <v>0</v>
      </c>
      <c r="Q167" s="109">
        <f t="shared" si="23"/>
        <v>0</v>
      </c>
      <c r="R167" s="109">
        <f t="shared" si="23"/>
        <v>0</v>
      </c>
      <c r="S167" s="109">
        <f t="shared" si="23"/>
        <v>0</v>
      </c>
      <c r="T167" s="109">
        <f t="shared" si="23"/>
        <v>0</v>
      </c>
      <c r="U167" s="109">
        <f t="shared" si="23"/>
        <v>0</v>
      </c>
      <c r="V167" s="109">
        <f t="shared" si="23"/>
        <v>0</v>
      </c>
      <c r="W167" s="109">
        <f t="shared" si="23"/>
        <v>0</v>
      </c>
      <c r="X167" s="109">
        <f t="shared" si="23"/>
        <v>0</v>
      </c>
      <c r="Y167" s="109">
        <f t="shared" si="23"/>
        <v>0</v>
      </c>
      <c r="Z167" s="109">
        <f t="shared" si="23"/>
        <v>0</v>
      </c>
      <c r="AA167" s="109">
        <f t="shared" si="23"/>
        <v>0</v>
      </c>
      <c r="AB167" s="109">
        <f t="shared" si="23"/>
        <v>0</v>
      </c>
      <c r="AC167" s="109">
        <f t="shared" si="23"/>
        <v>0</v>
      </c>
      <c r="AD167" s="109">
        <f t="shared" si="23"/>
        <v>0</v>
      </c>
      <c r="AE167" s="109">
        <f t="shared" si="23"/>
        <v>0</v>
      </c>
      <c r="AF167" s="233">
        <f t="shared" si="23"/>
        <v>0</v>
      </c>
      <c r="AG167" s="110">
        <f t="shared" si="20"/>
        <v>0</v>
      </c>
    </row>
    <row r="168" spans="1:34" ht="15.75" customHeight="1" x14ac:dyDescent="0.25">
      <c r="A168" s="117" t="s">
        <v>86</v>
      </c>
      <c r="B168" s="101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231"/>
      <c r="AG168" s="15">
        <f t="shared" si="20"/>
        <v>0</v>
      </c>
    </row>
    <row r="169" spans="1:34" ht="15.75" customHeight="1" x14ac:dyDescent="0.25">
      <c r="A169" s="117" t="s">
        <v>87</v>
      </c>
      <c r="B169" s="101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231"/>
      <c r="AG169" s="15">
        <f t="shared" si="20"/>
        <v>0</v>
      </c>
    </row>
    <row r="170" spans="1:34" ht="15.75" customHeight="1" x14ac:dyDescent="0.25">
      <c r="A170" s="117" t="s">
        <v>88</v>
      </c>
      <c r="B170" s="101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231"/>
      <c r="AG170" s="15">
        <f t="shared" si="20"/>
        <v>0</v>
      </c>
    </row>
    <row r="171" spans="1:34" ht="15.75" customHeight="1" thickBot="1" x14ac:dyDescent="0.3">
      <c r="A171" s="118" t="s">
        <v>108</v>
      </c>
      <c r="B171" s="104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232"/>
      <c r="AG171" s="106">
        <f t="shared" si="20"/>
        <v>0</v>
      </c>
    </row>
    <row r="172" spans="1:34" ht="15.75" customHeight="1" thickBot="1" x14ac:dyDescent="0.3">
      <c r="A172" s="119" t="s">
        <v>109</v>
      </c>
      <c r="B172" s="120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235"/>
      <c r="AG172" s="122">
        <f t="shared" si="20"/>
        <v>0</v>
      </c>
    </row>
    <row r="173" spans="1:34" ht="15.75" customHeight="1" thickBot="1" x14ac:dyDescent="0.3">
      <c r="A173" s="4" t="s">
        <v>110</v>
      </c>
      <c r="B173" s="5">
        <f t="shared" ref="B173:AF173" si="24">SUM(B174:B176)</f>
        <v>0</v>
      </c>
      <c r="C173" s="6">
        <f t="shared" si="24"/>
        <v>1</v>
      </c>
      <c r="D173" s="6">
        <f t="shared" si="24"/>
        <v>0</v>
      </c>
      <c r="E173" s="6">
        <f t="shared" si="24"/>
        <v>1</v>
      </c>
      <c r="F173" s="6">
        <f t="shared" si="24"/>
        <v>2</v>
      </c>
      <c r="G173" s="6">
        <f t="shared" si="24"/>
        <v>0</v>
      </c>
      <c r="H173" s="6">
        <f t="shared" si="24"/>
        <v>0</v>
      </c>
      <c r="I173" s="6">
        <f t="shared" si="24"/>
        <v>1</v>
      </c>
      <c r="J173" s="6">
        <f t="shared" si="24"/>
        <v>0</v>
      </c>
      <c r="K173" s="6">
        <f t="shared" si="24"/>
        <v>0</v>
      </c>
      <c r="L173" s="6">
        <f t="shared" si="24"/>
        <v>0</v>
      </c>
      <c r="M173" s="6">
        <f t="shared" si="24"/>
        <v>2</v>
      </c>
      <c r="N173" s="6">
        <f t="shared" si="24"/>
        <v>0</v>
      </c>
      <c r="O173" s="6">
        <f t="shared" si="24"/>
        <v>0</v>
      </c>
      <c r="P173" s="6">
        <f t="shared" si="24"/>
        <v>2</v>
      </c>
      <c r="Q173" s="6">
        <f t="shared" si="24"/>
        <v>2</v>
      </c>
      <c r="R173" s="6">
        <f t="shared" si="24"/>
        <v>0</v>
      </c>
      <c r="S173" s="6">
        <f t="shared" si="24"/>
        <v>0</v>
      </c>
      <c r="T173" s="6">
        <f t="shared" si="24"/>
        <v>0</v>
      </c>
      <c r="U173" s="6">
        <f t="shared" si="24"/>
        <v>0</v>
      </c>
      <c r="V173" s="6">
        <f t="shared" si="24"/>
        <v>0</v>
      </c>
      <c r="W173" s="6">
        <f t="shared" si="24"/>
        <v>3</v>
      </c>
      <c r="X173" s="6">
        <f t="shared" si="24"/>
        <v>0</v>
      </c>
      <c r="Y173" s="6">
        <f t="shared" si="24"/>
        <v>1</v>
      </c>
      <c r="Z173" s="6">
        <f t="shared" si="24"/>
        <v>0</v>
      </c>
      <c r="AA173" s="6">
        <f t="shared" si="24"/>
        <v>5</v>
      </c>
      <c r="AB173" s="6">
        <f t="shared" si="24"/>
        <v>2</v>
      </c>
      <c r="AC173" s="6">
        <f t="shared" si="24"/>
        <v>3</v>
      </c>
      <c r="AD173" s="6">
        <f t="shared" si="24"/>
        <v>1</v>
      </c>
      <c r="AE173" s="6">
        <f t="shared" si="24"/>
        <v>1</v>
      </c>
      <c r="AF173" s="236">
        <f t="shared" si="24"/>
        <v>0</v>
      </c>
      <c r="AG173" s="7">
        <f t="shared" si="20"/>
        <v>27</v>
      </c>
      <c r="AH173" s="111" t="s">
        <v>111</v>
      </c>
    </row>
    <row r="174" spans="1:34" ht="15.75" customHeight="1" x14ac:dyDescent="0.25">
      <c r="A174" s="123" t="s">
        <v>112</v>
      </c>
      <c r="B174" s="124">
        <v>0</v>
      </c>
      <c r="C174" s="125">
        <v>0</v>
      </c>
      <c r="D174" s="125">
        <v>0</v>
      </c>
      <c r="E174" s="125">
        <v>1</v>
      </c>
      <c r="F174" s="125">
        <v>2</v>
      </c>
      <c r="G174" s="125">
        <v>0</v>
      </c>
      <c r="H174" s="125">
        <v>0</v>
      </c>
      <c r="I174" s="125">
        <v>1</v>
      </c>
      <c r="J174" s="125">
        <v>0</v>
      </c>
      <c r="K174" s="125">
        <v>0</v>
      </c>
      <c r="L174" s="125">
        <v>0</v>
      </c>
      <c r="M174" s="125">
        <v>1</v>
      </c>
      <c r="N174" s="125">
        <v>0</v>
      </c>
      <c r="O174" s="125">
        <v>0</v>
      </c>
      <c r="P174" s="125">
        <v>2</v>
      </c>
      <c r="Q174" s="125">
        <v>2</v>
      </c>
      <c r="R174" s="125">
        <v>0</v>
      </c>
      <c r="S174" s="125">
        <v>0</v>
      </c>
      <c r="T174" s="125">
        <v>0</v>
      </c>
      <c r="U174" s="125">
        <v>0</v>
      </c>
      <c r="V174" s="125">
        <v>0</v>
      </c>
      <c r="W174" s="125">
        <v>3</v>
      </c>
      <c r="X174" s="125">
        <v>0</v>
      </c>
      <c r="Y174" s="125">
        <v>0</v>
      </c>
      <c r="Z174" s="125">
        <v>0</v>
      </c>
      <c r="AA174" s="125">
        <v>4</v>
      </c>
      <c r="AB174" s="125">
        <v>2</v>
      </c>
      <c r="AC174" s="125">
        <v>3</v>
      </c>
      <c r="AD174" s="125">
        <v>1</v>
      </c>
      <c r="AE174" s="125">
        <v>1</v>
      </c>
      <c r="AF174" s="237"/>
      <c r="AG174" s="126">
        <f t="shared" si="20"/>
        <v>23</v>
      </c>
      <c r="AH174" s="111"/>
    </row>
    <row r="175" spans="1:34" ht="15.75" customHeight="1" x14ac:dyDescent="0.25">
      <c r="A175" s="127" t="s">
        <v>113</v>
      </c>
      <c r="B175" s="128">
        <v>0</v>
      </c>
      <c r="C175" s="129">
        <v>1</v>
      </c>
      <c r="D175" s="129">
        <v>0</v>
      </c>
      <c r="E175" s="129">
        <v>0</v>
      </c>
      <c r="F175" s="129">
        <v>0</v>
      </c>
      <c r="G175" s="129">
        <v>0</v>
      </c>
      <c r="H175" s="129">
        <v>0</v>
      </c>
      <c r="I175" s="129">
        <v>0</v>
      </c>
      <c r="J175" s="129">
        <v>0</v>
      </c>
      <c r="K175" s="129">
        <v>0</v>
      </c>
      <c r="L175" s="129">
        <v>0</v>
      </c>
      <c r="M175" s="129">
        <v>1</v>
      </c>
      <c r="N175" s="129">
        <v>0</v>
      </c>
      <c r="O175" s="129">
        <v>0</v>
      </c>
      <c r="P175" s="129">
        <v>0</v>
      </c>
      <c r="Q175" s="129">
        <v>0</v>
      </c>
      <c r="R175" s="129">
        <v>0</v>
      </c>
      <c r="S175" s="129">
        <v>0</v>
      </c>
      <c r="T175" s="129">
        <v>0</v>
      </c>
      <c r="U175" s="129">
        <v>0</v>
      </c>
      <c r="V175" s="129">
        <v>0</v>
      </c>
      <c r="W175" s="129">
        <v>0</v>
      </c>
      <c r="X175" s="129">
        <v>0</v>
      </c>
      <c r="Y175" s="129">
        <v>1</v>
      </c>
      <c r="Z175" s="129">
        <v>0</v>
      </c>
      <c r="AA175" s="129">
        <v>1</v>
      </c>
      <c r="AB175" s="129">
        <v>0</v>
      </c>
      <c r="AC175" s="129">
        <v>0</v>
      </c>
      <c r="AD175" s="129">
        <v>0</v>
      </c>
      <c r="AE175" s="129">
        <v>0</v>
      </c>
      <c r="AF175" s="238"/>
      <c r="AG175" s="130">
        <f t="shared" si="20"/>
        <v>4</v>
      </c>
      <c r="AH175" s="111"/>
    </row>
    <row r="176" spans="1:34" ht="15.75" customHeight="1" thickBot="1" x14ac:dyDescent="0.3">
      <c r="A176" s="131" t="s">
        <v>114</v>
      </c>
      <c r="B176" s="132">
        <v>0</v>
      </c>
      <c r="C176" s="133">
        <v>0</v>
      </c>
      <c r="D176" s="133">
        <v>0</v>
      </c>
      <c r="E176" s="133">
        <v>0</v>
      </c>
      <c r="F176" s="133">
        <v>0</v>
      </c>
      <c r="G176" s="133">
        <v>0</v>
      </c>
      <c r="H176" s="133">
        <v>0</v>
      </c>
      <c r="I176" s="133">
        <v>0</v>
      </c>
      <c r="J176" s="133">
        <v>0</v>
      </c>
      <c r="K176" s="133">
        <v>0</v>
      </c>
      <c r="L176" s="133">
        <v>0</v>
      </c>
      <c r="M176" s="133">
        <v>0</v>
      </c>
      <c r="N176" s="133">
        <v>0</v>
      </c>
      <c r="O176" s="133">
        <v>0</v>
      </c>
      <c r="P176" s="133">
        <v>0</v>
      </c>
      <c r="Q176" s="133">
        <v>0</v>
      </c>
      <c r="R176" s="133">
        <v>0</v>
      </c>
      <c r="S176" s="133">
        <v>0</v>
      </c>
      <c r="T176" s="133">
        <v>0</v>
      </c>
      <c r="U176" s="133">
        <v>0</v>
      </c>
      <c r="V176" s="133">
        <v>0</v>
      </c>
      <c r="W176" s="133">
        <v>0</v>
      </c>
      <c r="X176" s="133">
        <v>0</v>
      </c>
      <c r="Y176" s="133">
        <v>0</v>
      </c>
      <c r="Z176" s="133">
        <v>0</v>
      </c>
      <c r="AA176" s="133">
        <v>0</v>
      </c>
      <c r="AB176" s="133">
        <v>0</v>
      </c>
      <c r="AC176" s="133">
        <v>0</v>
      </c>
      <c r="AD176" s="133">
        <v>0</v>
      </c>
      <c r="AE176" s="133">
        <v>0</v>
      </c>
      <c r="AF176" s="239"/>
      <c r="AG176" s="134">
        <f t="shared" si="20"/>
        <v>0</v>
      </c>
      <c r="AH176" s="111"/>
    </row>
    <row r="177" spans="1:35" ht="15.75" customHeight="1" thickBot="1" x14ac:dyDescent="0.3">
      <c r="A177" s="53" t="s">
        <v>115</v>
      </c>
      <c r="B177" s="135">
        <f t="shared" ref="B177:AF177" si="25">SUM(B178:B179)</f>
        <v>3</v>
      </c>
      <c r="C177" s="136">
        <f t="shared" si="25"/>
        <v>5</v>
      </c>
      <c r="D177" s="136">
        <f t="shared" si="25"/>
        <v>1</v>
      </c>
      <c r="E177" s="136">
        <f t="shared" si="25"/>
        <v>1</v>
      </c>
      <c r="F177" s="136">
        <f t="shared" si="25"/>
        <v>2</v>
      </c>
      <c r="G177" s="136">
        <f t="shared" si="25"/>
        <v>4</v>
      </c>
      <c r="H177" s="136">
        <f t="shared" si="25"/>
        <v>2</v>
      </c>
      <c r="I177" s="136">
        <f t="shared" si="25"/>
        <v>3</v>
      </c>
      <c r="J177" s="136">
        <f t="shared" si="25"/>
        <v>1</v>
      </c>
      <c r="K177" s="136">
        <f t="shared" si="25"/>
        <v>1</v>
      </c>
      <c r="L177" s="136">
        <f t="shared" si="25"/>
        <v>3</v>
      </c>
      <c r="M177" s="136">
        <f t="shared" si="25"/>
        <v>3</v>
      </c>
      <c r="N177" s="136">
        <f t="shared" si="25"/>
        <v>3</v>
      </c>
      <c r="O177" s="136">
        <f t="shared" si="25"/>
        <v>7</v>
      </c>
      <c r="P177" s="136">
        <f t="shared" si="25"/>
        <v>2</v>
      </c>
      <c r="Q177" s="136">
        <f t="shared" si="25"/>
        <v>3</v>
      </c>
      <c r="R177" s="136">
        <f t="shared" si="25"/>
        <v>4</v>
      </c>
      <c r="S177" s="136">
        <f t="shared" si="25"/>
        <v>0</v>
      </c>
      <c r="T177" s="136">
        <f t="shared" si="25"/>
        <v>1</v>
      </c>
      <c r="U177" s="136">
        <f t="shared" si="25"/>
        <v>6</v>
      </c>
      <c r="V177" s="136">
        <f t="shared" si="25"/>
        <v>6</v>
      </c>
      <c r="W177" s="136">
        <f t="shared" si="25"/>
        <v>2</v>
      </c>
      <c r="X177" s="136">
        <f t="shared" si="25"/>
        <v>4</v>
      </c>
      <c r="Y177" s="136">
        <f t="shared" si="25"/>
        <v>4</v>
      </c>
      <c r="Z177" s="136">
        <f t="shared" si="25"/>
        <v>2</v>
      </c>
      <c r="AA177" s="136">
        <f t="shared" si="25"/>
        <v>2</v>
      </c>
      <c r="AB177" s="136">
        <f t="shared" si="25"/>
        <v>8</v>
      </c>
      <c r="AC177" s="136">
        <f t="shared" si="25"/>
        <v>1</v>
      </c>
      <c r="AD177" s="136">
        <f t="shared" si="25"/>
        <v>4</v>
      </c>
      <c r="AE177" s="136">
        <f t="shared" si="25"/>
        <v>3</v>
      </c>
      <c r="AF177" s="240">
        <f t="shared" si="25"/>
        <v>0</v>
      </c>
      <c r="AG177" s="137">
        <f t="shared" si="20"/>
        <v>91</v>
      </c>
      <c r="AH177" s="111" t="s">
        <v>116</v>
      </c>
    </row>
    <row r="178" spans="1:35" ht="15.75" customHeight="1" x14ac:dyDescent="0.25">
      <c r="A178" s="138" t="s">
        <v>117</v>
      </c>
      <c r="B178" s="139">
        <v>0</v>
      </c>
      <c r="C178" s="140">
        <v>1</v>
      </c>
      <c r="D178" s="140">
        <v>0</v>
      </c>
      <c r="E178" s="140">
        <v>0</v>
      </c>
      <c r="F178" s="140">
        <v>0</v>
      </c>
      <c r="G178" s="140">
        <v>0</v>
      </c>
      <c r="H178" s="140">
        <v>0</v>
      </c>
      <c r="I178" s="140">
        <v>1</v>
      </c>
      <c r="J178" s="140">
        <v>0</v>
      </c>
      <c r="K178" s="140">
        <v>0</v>
      </c>
      <c r="L178" s="140">
        <v>1</v>
      </c>
      <c r="M178" s="140">
        <v>0</v>
      </c>
      <c r="N178" s="140">
        <v>1</v>
      </c>
      <c r="O178" s="140">
        <v>0</v>
      </c>
      <c r="P178" s="140">
        <v>0</v>
      </c>
      <c r="Q178" s="140">
        <v>0</v>
      </c>
      <c r="R178" s="140">
        <v>0</v>
      </c>
      <c r="S178" s="140">
        <v>0</v>
      </c>
      <c r="T178" s="140">
        <v>1</v>
      </c>
      <c r="U178" s="140">
        <v>1</v>
      </c>
      <c r="V178" s="140">
        <v>0</v>
      </c>
      <c r="W178" s="140">
        <v>0</v>
      </c>
      <c r="X178" s="140">
        <v>2</v>
      </c>
      <c r="Y178" s="140">
        <v>2</v>
      </c>
      <c r="Z178" s="140">
        <v>0</v>
      </c>
      <c r="AA178" s="140">
        <v>0</v>
      </c>
      <c r="AB178" s="140">
        <v>2</v>
      </c>
      <c r="AC178" s="140">
        <v>0</v>
      </c>
      <c r="AD178" s="140">
        <v>2</v>
      </c>
      <c r="AE178" s="140">
        <v>0</v>
      </c>
      <c r="AF178" s="241"/>
      <c r="AG178" s="141">
        <f t="shared" si="20"/>
        <v>14</v>
      </c>
      <c r="AH178" s="111" t="s">
        <v>116</v>
      </c>
    </row>
    <row r="179" spans="1:35" ht="15.75" customHeight="1" thickBot="1" x14ac:dyDescent="0.3">
      <c r="A179" s="58" t="s">
        <v>118</v>
      </c>
      <c r="B179" s="142">
        <v>3</v>
      </c>
      <c r="C179" s="143">
        <v>4</v>
      </c>
      <c r="D179" s="143">
        <v>1</v>
      </c>
      <c r="E179" s="143">
        <v>1</v>
      </c>
      <c r="F179" s="143">
        <v>2</v>
      </c>
      <c r="G179" s="143">
        <v>4</v>
      </c>
      <c r="H179" s="143">
        <v>2</v>
      </c>
      <c r="I179" s="143">
        <v>2</v>
      </c>
      <c r="J179" s="143">
        <v>1</v>
      </c>
      <c r="K179" s="143">
        <v>1</v>
      </c>
      <c r="L179" s="143">
        <v>2</v>
      </c>
      <c r="M179" s="143">
        <v>3</v>
      </c>
      <c r="N179" s="143">
        <v>2</v>
      </c>
      <c r="O179" s="143">
        <v>7</v>
      </c>
      <c r="P179" s="143">
        <v>2</v>
      </c>
      <c r="Q179" s="143">
        <v>3</v>
      </c>
      <c r="R179" s="143">
        <v>4</v>
      </c>
      <c r="S179" s="143">
        <v>0</v>
      </c>
      <c r="T179" s="143">
        <v>0</v>
      </c>
      <c r="U179" s="143">
        <v>5</v>
      </c>
      <c r="V179" s="143">
        <v>6</v>
      </c>
      <c r="W179" s="143">
        <v>2</v>
      </c>
      <c r="X179" s="143">
        <v>2</v>
      </c>
      <c r="Y179" s="143">
        <v>2</v>
      </c>
      <c r="Z179" s="143">
        <v>2</v>
      </c>
      <c r="AA179" s="143">
        <v>2</v>
      </c>
      <c r="AB179" s="143">
        <v>6</v>
      </c>
      <c r="AC179" s="143">
        <v>1</v>
      </c>
      <c r="AD179" s="143">
        <v>2</v>
      </c>
      <c r="AE179" s="143">
        <v>3</v>
      </c>
      <c r="AF179" s="242"/>
      <c r="AG179" s="144">
        <f t="shared" si="20"/>
        <v>77</v>
      </c>
      <c r="AH179" s="111" t="s">
        <v>116</v>
      </c>
    </row>
    <row r="180" spans="1:35" ht="15.75" customHeight="1" x14ac:dyDescent="0.25">
      <c r="A180" s="145" t="s">
        <v>119</v>
      </c>
      <c r="B180" s="146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243"/>
      <c r="AG180" s="148">
        <f t="shared" si="20"/>
        <v>0</v>
      </c>
    </row>
    <row r="181" spans="1:35" ht="15.75" customHeight="1" thickBot="1" x14ac:dyDescent="0.3">
      <c r="A181" s="149" t="s">
        <v>120</v>
      </c>
      <c r="B181" s="150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244"/>
      <c r="AG181" s="152">
        <f t="shared" si="20"/>
        <v>0</v>
      </c>
    </row>
    <row r="182" spans="1:35" ht="15.75" customHeight="1" thickBot="1" x14ac:dyDescent="0.3">
      <c r="A182" s="153" t="s">
        <v>121</v>
      </c>
      <c r="B182" s="154">
        <f t="shared" ref="B182:AF182" si="26">SUM(B183:B208)</f>
        <v>54</v>
      </c>
      <c r="C182" s="155">
        <f t="shared" si="26"/>
        <v>59</v>
      </c>
      <c r="D182" s="155">
        <f t="shared" si="26"/>
        <v>95</v>
      </c>
      <c r="E182" s="155">
        <f t="shared" si="26"/>
        <v>89</v>
      </c>
      <c r="F182" s="155">
        <f t="shared" si="26"/>
        <v>80</v>
      </c>
      <c r="G182" s="155">
        <f t="shared" si="26"/>
        <v>71</v>
      </c>
      <c r="H182" s="155">
        <f t="shared" si="26"/>
        <v>79</v>
      </c>
      <c r="I182" s="155">
        <f t="shared" si="26"/>
        <v>59</v>
      </c>
      <c r="J182" s="155">
        <f t="shared" si="26"/>
        <v>52</v>
      </c>
      <c r="K182" s="155">
        <f t="shared" si="26"/>
        <v>85</v>
      </c>
      <c r="L182" s="155">
        <f t="shared" si="26"/>
        <v>107</v>
      </c>
      <c r="M182" s="155">
        <f t="shared" si="26"/>
        <v>82</v>
      </c>
      <c r="N182" s="155">
        <f t="shared" si="26"/>
        <v>64</v>
      </c>
      <c r="O182" s="155">
        <f t="shared" si="26"/>
        <v>70</v>
      </c>
      <c r="P182" s="155">
        <f t="shared" si="26"/>
        <v>60</v>
      </c>
      <c r="Q182" s="155">
        <f t="shared" si="26"/>
        <v>63</v>
      </c>
      <c r="R182" s="155">
        <f t="shared" si="26"/>
        <v>67</v>
      </c>
      <c r="S182" s="155">
        <f t="shared" si="26"/>
        <v>72</v>
      </c>
      <c r="T182" s="155">
        <f t="shared" si="26"/>
        <v>96</v>
      </c>
      <c r="U182" s="155">
        <f t="shared" si="26"/>
        <v>82</v>
      </c>
      <c r="V182" s="155">
        <f t="shared" si="26"/>
        <v>88</v>
      </c>
      <c r="W182" s="155">
        <f t="shared" si="26"/>
        <v>88</v>
      </c>
      <c r="X182" s="155">
        <f t="shared" si="26"/>
        <v>110</v>
      </c>
      <c r="Y182" s="155">
        <f t="shared" si="26"/>
        <v>112</v>
      </c>
      <c r="Z182" s="155">
        <f t="shared" si="26"/>
        <v>80</v>
      </c>
      <c r="AA182" s="155">
        <f t="shared" si="26"/>
        <v>96</v>
      </c>
      <c r="AB182" s="155">
        <f t="shared" si="26"/>
        <v>83</v>
      </c>
      <c r="AC182" s="155">
        <f t="shared" si="26"/>
        <v>95</v>
      </c>
      <c r="AD182" s="155">
        <f t="shared" si="26"/>
        <v>64</v>
      </c>
      <c r="AE182" s="155">
        <f t="shared" si="26"/>
        <v>97</v>
      </c>
      <c r="AF182" s="245">
        <f t="shared" si="26"/>
        <v>0</v>
      </c>
      <c r="AG182" s="91">
        <f t="shared" si="20"/>
        <v>2399</v>
      </c>
      <c r="AH182" s="78"/>
    </row>
    <row r="183" spans="1:35" ht="15.75" customHeight="1" x14ac:dyDescent="0.25">
      <c r="A183" s="156" t="s">
        <v>122</v>
      </c>
      <c r="B183" s="157">
        <v>8</v>
      </c>
      <c r="C183" s="158">
        <v>6</v>
      </c>
      <c r="D183" s="158">
        <v>5</v>
      </c>
      <c r="E183" s="158">
        <v>4</v>
      </c>
      <c r="F183" s="158">
        <v>5</v>
      </c>
      <c r="G183" s="158">
        <v>6</v>
      </c>
      <c r="H183" s="158">
        <v>6</v>
      </c>
      <c r="I183" s="158">
        <v>7</v>
      </c>
      <c r="J183" s="158">
        <v>1</v>
      </c>
      <c r="K183" s="158">
        <v>5</v>
      </c>
      <c r="L183" s="158">
        <v>4</v>
      </c>
      <c r="M183" s="158">
        <v>2</v>
      </c>
      <c r="N183" s="158">
        <v>4</v>
      </c>
      <c r="O183" s="158">
        <v>9</v>
      </c>
      <c r="P183" s="158">
        <v>8</v>
      </c>
      <c r="Q183" s="158">
        <v>6</v>
      </c>
      <c r="R183" s="158">
        <v>7</v>
      </c>
      <c r="S183" s="158">
        <v>7</v>
      </c>
      <c r="T183" s="158">
        <v>8</v>
      </c>
      <c r="U183" s="158">
        <v>5</v>
      </c>
      <c r="V183" s="158">
        <v>3</v>
      </c>
      <c r="W183" s="158">
        <v>4</v>
      </c>
      <c r="X183" s="158">
        <v>8</v>
      </c>
      <c r="Y183" s="158">
        <v>4</v>
      </c>
      <c r="Z183" s="158">
        <v>9</v>
      </c>
      <c r="AA183" s="158">
        <v>4</v>
      </c>
      <c r="AB183" s="158">
        <v>6</v>
      </c>
      <c r="AC183" s="158">
        <v>7</v>
      </c>
      <c r="AD183" s="158">
        <v>3</v>
      </c>
      <c r="AE183" s="158">
        <v>10</v>
      </c>
      <c r="AF183" s="246"/>
      <c r="AG183" s="159">
        <f t="shared" si="20"/>
        <v>171</v>
      </c>
    </row>
    <row r="184" spans="1:35" ht="15.75" customHeight="1" x14ac:dyDescent="0.25">
      <c r="A184" s="160" t="s">
        <v>123</v>
      </c>
      <c r="B184" s="65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222"/>
      <c r="AG184" s="15">
        <f t="shared" si="20"/>
        <v>0</v>
      </c>
    </row>
    <row r="185" spans="1:35" ht="15.75" customHeight="1" x14ac:dyDescent="0.25">
      <c r="A185" s="160" t="s">
        <v>124</v>
      </c>
      <c r="B185" s="65"/>
      <c r="C185" s="66"/>
      <c r="D185" s="66">
        <v>6</v>
      </c>
      <c r="E185" s="66"/>
      <c r="F185" s="66"/>
      <c r="G185" s="66"/>
      <c r="H185" s="66"/>
      <c r="I185" s="66"/>
      <c r="J185" s="66"/>
      <c r="K185" s="66"/>
      <c r="L185" s="66">
        <v>1</v>
      </c>
      <c r="M185" s="66"/>
      <c r="N185" s="66"/>
      <c r="O185" s="66"/>
      <c r="P185" s="66">
        <v>2</v>
      </c>
      <c r="Q185" s="66"/>
      <c r="R185" s="66">
        <v>1</v>
      </c>
      <c r="S185" s="66"/>
      <c r="T185" s="66"/>
      <c r="U185" s="66"/>
      <c r="V185" s="66">
        <v>1</v>
      </c>
      <c r="W185" s="66"/>
      <c r="X185" s="66"/>
      <c r="Y185" s="66"/>
      <c r="Z185" s="66"/>
      <c r="AA185" s="66"/>
      <c r="AB185" s="66">
        <v>1</v>
      </c>
      <c r="AC185" s="66"/>
      <c r="AD185" s="66"/>
      <c r="AE185" s="66"/>
      <c r="AF185" s="222"/>
      <c r="AG185" s="15">
        <f t="shared" si="20"/>
        <v>12</v>
      </c>
    </row>
    <row r="186" spans="1:35" ht="15.75" customHeight="1" x14ac:dyDescent="0.25">
      <c r="A186" s="160" t="s">
        <v>125</v>
      </c>
      <c r="B186" s="65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222"/>
      <c r="AG186" s="15">
        <f t="shared" si="20"/>
        <v>0</v>
      </c>
    </row>
    <row r="187" spans="1:35" ht="15.75" customHeight="1" x14ac:dyDescent="0.25">
      <c r="A187" s="161" t="s">
        <v>126</v>
      </c>
      <c r="B187" s="162">
        <v>40</v>
      </c>
      <c r="C187" s="163">
        <v>50</v>
      </c>
      <c r="D187" s="163">
        <v>80</v>
      </c>
      <c r="E187" s="163">
        <v>83</v>
      </c>
      <c r="F187" s="163">
        <v>70</v>
      </c>
      <c r="G187" s="163">
        <v>62</v>
      </c>
      <c r="H187" s="163">
        <v>68</v>
      </c>
      <c r="I187" s="163">
        <v>50</v>
      </c>
      <c r="J187" s="163">
        <v>50</v>
      </c>
      <c r="K187" s="163">
        <v>80</v>
      </c>
      <c r="L187" s="163">
        <v>98</v>
      </c>
      <c r="M187" s="163">
        <v>75</v>
      </c>
      <c r="N187" s="163">
        <v>60</v>
      </c>
      <c r="O187" s="163">
        <v>59</v>
      </c>
      <c r="P187" s="163">
        <v>46</v>
      </c>
      <c r="Q187" s="163">
        <v>56</v>
      </c>
      <c r="R187" s="163">
        <v>51</v>
      </c>
      <c r="S187" s="163">
        <v>65</v>
      </c>
      <c r="T187" s="163">
        <v>86</v>
      </c>
      <c r="U187" s="163">
        <v>76</v>
      </c>
      <c r="V187" s="163">
        <v>81</v>
      </c>
      <c r="W187" s="163">
        <v>82</v>
      </c>
      <c r="X187" s="163">
        <v>99</v>
      </c>
      <c r="Y187" s="163">
        <v>104</v>
      </c>
      <c r="Z187" s="163">
        <v>67</v>
      </c>
      <c r="AA187" s="163">
        <v>87</v>
      </c>
      <c r="AB187" s="163">
        <v>70</v>
      </c>
      <c r="AC187" s="163">
        <v>78</v>
      </c>
      <c r="AD187" s="163">
        <v>57</v>
      </c>
      <c r="AE187" s="163">
        <v>86</v>
      </c>
      <c r="AF187" s="247"/>
      <c r="AG187" s="164">
        <f t="shared" si="20"/>
        <v>2116</v>
      </c>
      <c r="AH187" s="165"/>
      <c r="AI187" s="165"/>
    </row>
    <row r="188" spans="1:35" ht="15.75" customHeight="1" x14ac:dyDescent="0.25">
      <c r="A188" s="160" t="s">
        <v>127</v>
      </c>
      <c r="B188" s="65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222"/>
      <c r="AG188" s="15">
        <f t="shared" si="20"/>
        <v>0</v>
      </c>
    </row>
    <row r="189" spans="1:35" ht="15.75" customHeight="1" x14ac:dyDescent="0.25">
      <c r="A189" s="160" t="s">
        <v>128</v>
      </c>
      <c r="B189" s="65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222"/>
      <c r="AG189" s="15">
        <f t="shared" si="20"/>
        <v>0</v>
      </c>
    </row>
    <row r="190" spans="1:35" ht="15.75" customHeight="1" x14ac:dyDescent="0.25">
      <c r="A190" s="160" t="s">
        <v>129</v>
      </c>
      <c r="B190" s="65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222"/>
      <c r="AG190" s="15">
        <f t="shared" si="20"/>
        <v>0</v>
      </c>
    </row>
    <row r="191" spans="1:35" ht="15.75" customHeight="1" x14ac:dyDescent="0.25">
      <c r="A191" s="160" t="s">
        <v>130</v>
      </c>
      <c r="B191" s="65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>
        <v>4</v>
      </c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>
        <v>1</v>
      </c>
      <c r="AD191" s="66"/>
      <c r="AE191" s="66"/>
      <c r="AF191" s="222"/>
      <c r="AG191" s="15">
        <f t="shared" si="20"/>
        <v>5</v>
      </c>
    </row>
    <row r="192" spans="1:35" ht="15.75" customHeight="1" x14ac:dyDescent="0.25">
      <c r="A192" s="64" t="s">
        <v>131</v>
      </c>
      <c r="B192" s="65">
        <v>3</v>
      </c>
      <c r="C192" s="66">
        <v>1</v>
      </c>
      <c r="D192" s="66"/>
      <c r="E192" s="66">
        <v>2</v>
      </c>
      <c r="F192" s="66">
        <v>5</v>
      </c>
      <c r="G192" s="66">
        <v>2</v>
      </c>
      <c r="H192" s="66">
        <v>4</v>
      </c>
      <c r="I192" s="66">
        <v>2</v>
      </c>
      <c r="J192" s="66"/>
      <c r="K192" s="66"/>
      <c r="L192" s="66">
        <v>2</v>
      </c>
      <c r="M192" s="66">
        <v>3</v>
      </c>
      <c r="N192" s="66"/>
      <c r="O192" s="66">
        <v>1</v>
      </c>
      <c r="P192" s="66"/>
      <c r="Q192" s="66"/>
      <c r="R192" s="66"/>
      <c r="S192" s="66"/>
      <c r="T192" s="66"/>
      <c r="U192" s="66"/>
      <c r="V192" s="66">
        <v>1</v>
      </c>
      <c r="W192" s="66"/>
      <c r="X192" s="66"/>
      <c r="Y192" s="66"/>
      <c r="Z192" s="66">
        <v>2</v>
      </c>
      <c r="AA192" s="66">
        <v>4</v>
      </c>
      <c r="AB192" s="66">
        <v>5</v>
      </c>
      <c r="AC192" s="66">
        <v>5</v>
      </c>
      <c r="AD192" s="66">
        <v>1</v>
      </c>
      <c r="AE192" s="66"/>
      <c r="AF192" s="222"/>
      <c r="AG192" s="15">
        <f t="shared" si="20"/>
        <v>43</v>
      </c>
    </row>
    <row r="193" spans="1:33" ht="15.75" customHeight="1" x14ac:dyDescent="0.25">
      <c r="A193" s="64" t="s">
        <v>132</v>
      </c>
      <c r="B193" s="65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222"/>
      <c r="AG193" s="15">
        <f t="shared" si="20"/>
        <v>0</v>
      </c>
    </row>
    <row r="194" spans="1:33" ht="15.75" customHeight="1" x14ac:dyDescent="0.25">
      <c r="A194" s="64" t="s">
        <v>133</v>
      </c>
      <c r="B194" s="65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>
        <v>1</v>
      </c>
      <c r="AC194" s="66"/>
      <c r="AD194" s="66"/>
      <c r="AE194" s="66"/>
      <c r="AF194" s="222"/>
      <c r="AG194" s="15">
        <f t="shared" si="20"/>
        <v>1</v>
      </c>
    </row>
    <row r="195" spans="1:33" ht="15.75" customHeight="1" x14ac:dyDescent="0.25">
      <c r="A195" s="64" t="s">
        <v>134</v>
      </c>
      <c r="B195" s="65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222"/>
      <c r="AG195" s="15">
        <f t="shared" si="20"/>
        <v>0</v>
      </c>
    </row>
    <row r="196" spans="1:33" ht="15.75" customHeight="1" x14ac:dyDescent="0.25">
      <c r="A196" s="166" t="s">
        <v>135</v>
      </c>
      <c r="B196" s="167">
        <v>2</v>
      </c>
      <c r="C196" s="168">
        <v>2</v>
      </c>
      <c r="D196" s="168">
        <v>2</v>
      </c>
      <c r="E196" s="168"/>
      <c r="F196" s="168"/>
      <c r="G196" s="168"/>
      <c r="H196" s="168"/>
      <c r="I196" s="168"/>
      <c r="J196" s="168"/>
      <c r="K196" s="168"/>
      <c r="L196" s="168">
        <v>1</v>
      </c>
      <c r="M196" s="168"/>
      <c r="N196" s="168"/>
      <c r="O196" s="168">
        <v>1</v>
      </c>
      <c r="P196" s="168">
        <v>3</v>
      </c>
      <c r="Q196" s="168"/>
      <c r="R196" s="168">
        <v>4</v>
      </c>
      <c r="S196" s="168"/>
      <c r="T196" s="168">
        <v>1</v>
      </c>
      <c r="U196" s="168">
        <v>1</v>
      </c>
      <c r="V196" s="168"/>
      <c r="W196" s="168"/>
      <c r="X196" s="168">
        <v>1</v>
      </c>
      <c r="Y196" s="168">
        <v>2</v>
      </c>
      <c r="Z196" s="168">
        <v>2</v>
      </c>
      <c r="AA196" s="168"/>
      <c r="AB196" s="168"/>
      <c r="AC196" s="168">
        <v>2</v>
      </c>
      <c r="AD196" s="168">
        <v>1</v>
      </c>
      <c r="AE196" s="168"/>
      <c r="AF196" s="248"/>
      <c r="AG196" s="169">
        <f t="shared" si="20"/>
        <v>25</v>
      </c>
    </row>
    <row r="197" spans="1:33" ht="15.75" customHeight="1" x14ac:dyDescent="0.25">
      <c r="A197" s="170" t="s">
        <v>136</v>
      </c>
      <c r="B197" s="65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222"/>
      <c r="AG197" s="15">
        <f t="shared" si="20"/>
        <v>0</v>
      </c>
    </row>
    <row r="198" spans="1:33" ht="15.75" customHeight="1" x14ac:dyDescent="0.25">
      <c r="A198" s="170" t="s">
        <v>137</v>
      </c>
      <c r="B198" s="65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222"/>
      <c r="AG198" s="15">
        <f t="shared" si="20"/>
        <v>0</v>
      </c>
    </row>
    <row r="199" spans="1:33" ht="15.75" customHeight="1" x14ac:dyDescent="0.25">
      <c r="A199" s="170" t="s">
        <v>138</v>
      </c>
      <c r="B199" s="65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222"/>
      <c r="AG199" s="15">
        <f t="shared" si="20"/>
        <v>0</v>
      </c>
    </row>
    <row r="200" spans="1:33" ht="15.75" customHeight="1" x14ac:dyDescent="0.25">
      <c r="A200" s="170" t="s">
        <v>139</v>
      </c>
      <c r="B200" s="65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222"/>
      <c r="AG200" s="15">
        <f t="shared" si="20"/>
        <v>0</v>
      </c>
    </row>
    <row r="201" spans="1:33" ht="15.75" customHeight="1" x14ac:dyDescent="0.25">
      <c r="A201" s="170" t="s">
        <v>140</v>
      </c>
      <c r="B201" s="65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222"/>
      <c r="AG201" s="15">
        <f t="shared" si="20"/>
        <v>0</v>
      </c>
    </row>
    <row r="202" spans="1:33" ht="15.75" customHeight="1" x14ac:dyDescent="0.25">
      <c r="A202" s="170" t="s">
        <v>141</v>
      </c>
      <c r="B202" s="65"/>
      <c r="C202" s="66"/>
      <c r="D202" s="66"/>
      <c r="E202" s="66"/>
      <c r="F202" s="66"/>
      <c r="G202" s="66"/>
      <c r="H202" s="66"/>
      <c r="I202" s="66"/>
      <c r="J202" s="66"/>
      <c r="K202" s="66"/>
      <c r="L202" s="66">
        <v>1</v>
      </c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222"/>
      <c r="AG202" s="15">
        <f t="shared" si="20"/>
        <v>1</v>
      </c>
    </row>
    <row r="203" spans="1:33" ht="15.75" customHeight="1" x14ac:dyDescent="0.25">
      <c r="A203" s="64" t="s">
        <v>142</v>
      </c>
      <c r="B203" s="65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222"/>
      <c r="AG203" s="15">
        <f t="shared" si="20"/>
        <v>0</v>
      </c>
    </row>
    <row r="204" spans="1:33" ht="15.75" customHeight="1" x14ac:dyDescent="0.25">
      <c r="A204" s="64" t="s">
        <v>143</v>
      </c>
      <c r="B204" s="65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222"/>
      <c r="AG204" s="15">
        <f t="shared" si="20"/>
        <v>0</v>
      </c>
    </row>
    <row r="205" spans="1:33" ht="15.75" customHeight="1" x14ac:dyDescent="0.25">
      <c r="A205" s="64" t="s">
        <v>144</v>
      </c>
      <c r="B205" s="65"/>
      <c r="C205" s="66"/>
      <c r="D205" s="66"/>
      <c r="E205" s="66"/>
      <c r="F205" s="66"/>
      <c r="G205" s="66"/>
      <c r="H205" s="66"/>
      <c r="I205" s="66"/>
      <c r="J205" s="66">
        <v>1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222"/>
      <c r="AG205" s="15">
        <f t="shared" si="20"/>
        <v>1</v>
      </c>
    </row>
    <row r="206" spans="1:33" ht="15.75" customHeight="1" x14ac:dyDescent="0.25">
      <c r="A206" s="64" t="s">
        <v>145</v>
      </c>
      <c r="B206" s="171">
        <v>1</v>
      </c>
      <c r="C206" s="172"/>
      <c r="D206" s="172">
        <v>2</v>
      </c>
      <c r="E206" s="172"/>
      <c r="F206" s="172"/>
      <c r="G206" s="172">
        <v>1</v>
      </c>
      <c r="H206" s="172">
        <v>1</v>
      </c>
      <c r="I206" s="172"/>
      <c r="J206" s="172"/>
      <c r="K206" s="172"/>
      <c r="L206" s="172"/>
      <c r="M206" s="172">
        <v>1</v>
      </c>
      <c r="N206" s="172"/>
      <c r="O206" s="172"/>
      <c r="P206" s="172">
        <v>1</v>
      </c>
      <c r="Q206" s="172">
        <v>1</v>
      </c>
      <c r="R206" s="172"/>
      <c r="S206" s="172"/>
      <c r="T206" s="172"/>
      <c r="U206" s="172"/>
      <c r="V206" s="172">
        <v>2</v>
      </c>
      <c r="W206" s="172">
        <v>2</v>
      </c>
      <c r="X206" s="172">
        <v>1</v>
      </c>
      <c r="Y206" s="172">
        <v>2</v>
      </c>
      <c r="Z206" s="172"/>
      <c r="AA206" s="172">
        <v>1</v>
      </c>
      <c r="AB206" s="172"/>
      <c r="AC206" s="172">
        <v>1</v>
      </c>
      <c r="AD206" s="172">
        <v>1</v>
      </c>
      <c r="AE206" s="172">
        <v>1</v>
      </c>
      <c r="AF206" s="249"/>
      <c r="AG206" s="15">
        <f t="shared" si="20"/>
        <v>19</v>
      </c>
    </row>
    <row r="207" spans="1:33" ht="15.75" customHeight="1" x14ac:dyDescent="0.25">
      <c r="A207" s="173" t="s">
        <v>146</v>
      </c>
      <c r="B207" s="171"/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>
        <v>1</v>
      </c>
      <c r="N207" s="172"/>
      <c r="O207" s="172"/>
      <c r="P207" s="172"/>
      <c r="Q207" s="172"/>
      <c r="R207" s="172"/>
      <c r="S207" s="172"/>
      <c r="T207" s="172">
        <v>1</v>
      </c>
      <c r="U207" s="172"/>
      <c r="V207" s="172"/>
      <c r="W207" s="172"/>
      <c r="X207" s="172">
        <v>1</v>
      </c>
      <c r="Y207" s="172"/>
      <c r="Z207" s="172"/>
      <c r="AA207" s="172"/>
      <c r="AB207" s="172"/>
      <c r="AC207" s="172">
        <v>1</v>
      </c>
      <c r="AD207" s="172">
        <v>1</v>
      </c>
      <c r="AE207" s="172"/>
      <c r="AF207" s="249"/>
      <c r="AG207" s="15">
        <f t="shared" si="20"/>
        <v>5</v>
      </c>
    </row>
    <row r="208" spans="1:33" ht="15.75" customHeight="1" thickBot="1" x14ac:dyDescent="0.3">
      <c r="A208" s="174" t="s">
        <v>147</v>
      </c>
      <c r="B208" s="171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  <c r="AA208" s="172"/>
      <c r="AB208" s="172"/>
      <c r="AC208" s="172"/>
      <c r="AD208" s="172"/>
      <c r="AE208" s="172"/>
      <c r="AF208" s="249"/>
      <c r="AG208" s="106">
        <f t="shared" si="20"/>
        <v>0</v>
      </c>
    </row>
    <row r="209" spans="1:34" ht="15.75" customHeight="1" thickBot="1" x14ac:dyDescent="0.3">
      <c r="A209" s="175" t="s">
        <v>148</v>
      </c>
      <c r="B209" s="176">
        <f t="shared" ref="B209:AF209" si="27">SUM(B210:B214)</f>
        <v>211</v>
      </c>
      <c r="C209" s="177">
        <f t="shared" si="27"/>
        <v>174</v>
      </c>
      <c r="D209" s="177">
        <f t="shared" si="27"/>
        <v>200</v>
      </c>
      <c r="E209" s="177">
        <f t="shared" si="27"/>
        <v>226</v>
      </c>
      <c r="F209" s="177">
        <f t="shared" si="27"/>
        <v>206</v>
      </c>
      <c r="G209" s="177">
        <f t="shared" si="27"/>
        <v>202</v>
      </c>
      <c r="H209" s="177">
        <f t="shared" si="27"/>
        <v>213</v>
      </c>
      <c r="I209" s="177">
        <f t="shared" si="27"/>
        <v>200</v>
      </c>
      <c r="J209" s="177">
        <f t="shared" si="27"/>
        <v>180</v>
      </c>
      <c r="K209" s="177">
        <f t="shared" si="27"/>
        <v>181</v>
      </c>
      <c r="L209" s="177">
        <f t="shared" si="27"/>
        <v>243</v>
      </c>
      <c r="M209" s="177">
        <f t="shared" si="27"/>
        <v>207</v>
      </c>
      <c r="N209" s="177">
        <f t="shared" si="27"/>
        <v>183</v>
      </c>
      <c r="O209" s="177">
        <f t="shared" si="27"/>
        <v>199</v>
      </c>
      <c r="P209" s="177">
        <f t="shared" si="27"/>
        <v>196</v>
      </c>
      <c r="Q209" s="177">
        <f t="shared" si="27"/>
        <v>194</v>
      </c>
      <c r="R209" s="177">
        <f t="shared" si="27"/>
        <v>187</v>
      </c>
      <c r="S209" s="177">
        <f t="shared" si="27"/>
        <v>186</v>
      </c>
      <c r="T209" s="177">
        <f t="shared" si="27"/>
        <v>233</v>
      </c>
      <c r="U209" s="177">
        <f t="shared" si="27"/>
        <v>229</v>
      </c>
      <c r="V209" s="177">
        <f t="shared" si="27"/>
        <v>254</v>
      </c>
      <c r="W209" s="177">
        <f t="shared" si="27"/>
        <v>219</v>
      </c>
      <c r="X209" s="177">
        <f t="shared" si="27"/>
        <v>245</v>
      </c>
      <c r="Y209" s="177">
        <f t="shared" si="27"/>
        <v>265</v>
      </c>
      <c r="Z209" s="177">
        <f t="shared" si="27"/>
        <v>216</v>
      </c>
      <c r="AA209" s="177">
        <f t="shared" si="27"/>
        <v>259</v>
      </c>
      <c r="AB209" s="177">
        <f t="shared" si="27"/>
        <v>240</v>
      </c>
      <c r="AC209" s="177">
        <f t="shared" si="27"/>
        <v>261</v>
      </c>
      <c r="AD209" s="177">
        <f t="shared" si="27"/>
        <v>193</v>
      </c>
      <c r="AE209" s="177">
        <f t="shared" si="27"/>
        <v>232</v>
      </c>
      <c r="AF209" s="250">
        <f t="shared" si="27"/>
        <v>0</v>
      </c>
      <c r="AG209" s="178">
        <f t="shared" si="20"/>
        <v>6434</v>
      </c>
      <c r="AH209" s="40" t="str">
        <f>IF(AG209&lt;&gt;AG93,"X","")</f>
        <v/>
      </c>
    </row>
    <row r="210" spans="1:34" ht="15.75" customHeight="1" x14ac:dyDescent="0.25">
      <c r="A210" s="179" t="s">
        <v>149</v>
      </c>
      <c r="B210" s="180">
        <v>0</v>
      </c>
      <c r="C210" s="181">
        <v>0</v>
      </c>
      <c r="D210" s="181">
        <v>0</v>
      </c>
      <c r="E210" s="181">
        <v>0</v>
      </c>
      <c r="F210" s="181">
        <v>0</v>
      </c>
      <c r="G210" s="181">
        <v>0</v>
      </c>
      <c r="H210" s="181">
        <v>0</v>
      </c>
      <c r="I210" s="181">
        <v>0</v>
      </c>
      <c r="J210" s="181">
        <v>0</v>
      </c>
      <c r="K210" s="181">
        <v>0</v>
      </c>
      <c r="L210" s="181">
        <v>0</v>
      </c>
      <c r="M210" s="181">
        <v>0</v>
      </c>
      <c r="N210" s="181">
        <v>0</v>
      </c>
      <c r="O210" s="181">
        <v>0</v>
      </c>
      <c r="P210" s="181">
        <v>0</v>
      </c>
      <c r="Q210" s="181">
        <v>0</v>
      </c>
      <c r="R210" s="181">
        <v>0</v>
      </c>
      <c r="S210" s="181">
        <v>0</v>
      </c>
      <c r="T210" s="181">
        <v>0</v>
      </c>
      <c r="U210" s="181">
        <v>0</v>
      </c>
      <c r="V210" s="181">
        <v>0</v>
      </c>
      <c r="W210" s="181">
        <v>4</v>
      </c>
      <c r="X210" s="181">
        <v>0</v>
      </c>
      <c r="Y210" s="181">
        <v>0</v>
      </c>
      <c r="Z210" s="181">
        <v>0</v>
      </c>
      <c r="AA210" s="181">
        <v>0</v>
      </c>
      <c r="AB210" s="181">
        <v>0</v>
      </c>
      <c r="AC210" s="181">
        <v>0</v>
      </c>
      <c r="AD210" s="181">
        <v>0</v>
      </c>
      <c r="AE210" s="181">
        <v>0</v>
      </c>
      <c r="AF210" s="251"/>
      <c r="AG210" s="182">
        <f t="shared" si="20"/>
        <v>4</v>
      </c>
    </row>
    <row r="211" spans="1:34" ht="15.75" customHeight="1" x14ac:dyDescent="0.25">
      <c r="A211" s="183" t="s">
        <v>51</v>
      </c>
      <c r="B211" s="184">
        <v>4</v>
      </c>
      <c r="C211" s="185">
        <v>3</v>
      </c>
      <c r="D211" s="185">
        <v>1</v>
      </c>
      <c r="E211" s="185">
        <v>3</v>
      </c>
      <c r="F211" s="185">
        <v>0</v>
      </c>
      <c r="G211" s="185">
        <v>0</v>
      </c>
      <c r="H211" s="185">
        <v>3</v>
      </c>
      <c r="I211" s="185">
        <v>3</v>
      </c>
      <c r="J211" s="185">
        <v>0</v>
      </c>
      <c r="K211" s="185">
        <v>6</v>
      </c>
      <c r="L211" s="185">
        <v>2</v>
      </c>
      <c r="M211" s="185">
        <v>3</v>
      </c>
      <c r="N211" s="185">
        <v>1</v>
      </c>
      <c r="O211" s="185">
        <v>2</v>
      </c>
      <c r="P211" s="185">
        <v>2</v>
      </c>
      <c r="Q211" s="185">
        <v>0</v>
      </c>
      <c r="R211" s="185">
        <v>0</v>
      </c>
      <c r="S211" s="185">
        <v>1</v>
      </c>
      <c r="T211" s="185">
        <v>1</v>
      </c>
      <c r="U211" s="185">
        <v>2</v>
      </c>
      <c r="V211" s="185">
        <v>2</v>
      </c>
      <c r="W211" s="185">
        <v>30</v>
      </c>
      <c r="X211" s="185">
        <v>0</v>
      </c>
      <c r="Y211" s="185">
        <v>6</v>
      </c>
      <c r="Z211" s="185">
        <v>5</v>
      </c>
      <c r="AA211" s="185">
        <v>4</v>
      </c>
      <c r="AB211" s="185">
        <v>0</v>
      </c>
      <c r="AC211" s="185">
        <v>4</v>
      </c>
      <c r="AD211" s="185">
        <v>8</v>
      </c>
      <c r="AE211" s="185">
        <v>6</v>
      </c>
      <c r="AF211" s="252"/>
      <c r="AG211" s="186">
        <f t="shared" si="20"/>
        <v>102</v>
      </c>
    </row>
    <row r="212" spans="1:34" ht="15.75" customHeight="1" x14ac:dyDescent="0.25">
      <c r="A212" s="183" t="s">
        <v>52</v>
      </c>
      <c r="B212" s="184">
        <v>39</v>
      </c>
      <c r="C212" s="185">
        <v>26</v>
      </c>
      <c r="D212" s="185">
        <v>21</v>
      </c>
      <c r="E212" s="185">
        <v>27</v>
      </c>
      <c r="F212" s="185">
        <v>35</v>
      </c>
      <c r="G212" s="185">
        <v>29</v>
      </c>
      <c r="H212" s="185">
        <v>42</v>
      </c>
      <c r="I212" s="185">
        <v>35</v>
      </c>
      <c r="J212" s="185">
        <v>22</v>
      </c>
      <c r="K212" s="185">
        <v>21</v>
      </c>
      <c r="L212" s="185">
        <v>35</v>
      </c>
      <c r="M212" s="185">
        <v>24</v>
      </c>
      <c r="N212" s="185">
        <v>24</v>
      </c>
      <c r="O212" s="185">
        <v>17</v>
      </c>
      <c r="P212" s="185">
        <v>35</v>
      </c>
      <c r="Q212" s="185">
        <v>29</v>
      </c>
      <c r="R212" s="185">
        <v>32</v>
      </c>
      <c r="S212" s="185">
        <v>19</v>
      </c>
      <c r="T212" s="185">
        <v>36</v>
      </c>
      <c r="U212" s="185">
        <v>35</v>
      </c>
      <c r="V212" s="185">
        <v>41</v>
      </c>
      <c r="W212" s="185">
        <v>139</v>
      </c>
      <c r="X212" s="185">
        <v>33</v>
      </c>
      <c r="Y212" s="185">
        <v>38</v>
      </c>
      <c r="Z212" s="185">
        <v>47</v>
      </c>
      <c r="AA212" s="185">
        <v>36</v>
      </c>
      <c r="AB212" s="185">
        <v>34</v>
      </c>
      <c r="AC212" s="185">
        <v>40</v>
      </c>
      <c r="AD212" s="185">
        <v>24</v>
      </c>
      <c r="AE212" s="185">
        <v>32</v>
      </c>
      <c r="AF212" s="252"/>
      <c r="AG212" s="186">
        <f t="shared" si="20"/>
        <v>1047</v>
      </c>
    </row>
    <row r="213" spans="1:34" ht="15.75" customHeight="1" x14ac:dyDescent="0.25">
      <c r="A213" s="183" t="s">
        <v>53</v>
      </c>
      <c r="B213" s="184">
        <v>157</v>
      </c>
      <c r="C213" s="185">
        <v>122</v>
      </c>
      <c r="D213" s="185">
        <v>123</v>
      </c>
      <c r="E213" s="185">
        <v>134</v>
      </c>
      <c r="F213" s="185">
        <v>121</v>
      </c>
      <c r="G213" s="185">
        <v>132</v>
      </c>
      <c r="H213" s="185">
        <v>138</v>
      </c>
      <c r="I213" s="185">
        <v>120</v>
      </c>
      <c r="J213" s="185">
        <v>110</v>
      </c>
      <c r="K213" s="185">
        <v>106</v>
      </c>
      <c r="L213" s="185">
        <v>137</v>
      </c>
      <c r="M213" s="185">
        <v>128</v>
      </c>
      <c r="N213" s="185">
        <v>105</v>
      </c>
      <c r="O213" s="185">
        <v>122</v>
      </c>
      <c r="P213" s="185">
        <v>115</v>
      </c>
      <c r="Q213" s="185">
        <v>100</v>
      </c>
      <c r="R213" s="185">
        <v>98</v>
      </c>
      <c r="S213" s="185">
        <v>117</v>
      </c>
      <c r="T213" s="185">
        <v>111</v>
      </c>
      <c r="U213" s="185">
        <v>147</v>
      </c>
      <c r="V213" s="185">
        <v>153</v>
      </c>
      <c r="W213" s="185">
        <v>46</v>
      </c>
      <c r="X213" s="185">
        <v>119</v>
      </c>
      <c r="Y213" s="185">
        <v>147</v>
      </c>
      <c r="Z213" s="185">
        <v>135</v>
      </c>
      <c r="AA213" s="185">
        <v>165</v>
      </c>
      <c r="AB213" s="185">
        <v>136</v>
      </c>
      <c r="AC213" s="185">
        <v>140</v>
      </c>
      <c r="AD213" s="185">
        <v>122</v>
      </c>
      <c r="AE213" s="185">
        <v>135</v>
      </c>
      <c r="AF213" s="252"/>
      <c r="AG213" s="186">
        <f t="shared" si="20"/>
        <v>3741</v>
      </c>
    </row>
    <row r="214" spans="1:34" ht="15.75" customHeight="1" thickBot="1" x14ac:dyDescent="0.3">
      <c r="A214" s="187" t="s">
        <v>54</v>
      </c>
      <c r="B214" s="188">
        <v>11</v>
      </c>
      <c r="C214" s="189">
        <v>23</v>
      </c>
      <c r="D214" s="189">
        <v>55</v>
      </c>
      <c r="E214" s="189">
        <v>62</v>
      </c>
      <c r="F214" s="189">
        <v>50</v>
      </c>
      <c r="G214" s="189">
        <v>41</v>
      </c>
      <c r="H214" s="189">
        <v>30</v>
      </c>
      <c r="I214" s="189">
        <v>42</v>
      </c>
      <c r="J214" s="189">
        <v>48</v>
      </c>
      <c r="K214" s="189">
        <v>48</v>
      </c>
      <c r="L214" s="189">
        <v>69</v>
      </c>
      <c r="M214" s="189">
        <v>52</v>
      </c>
      <c r="N214" s="189">
        <v>53</v>
      </c>
      <c r="O214" s="189">
        <v>58</v>
      </c>
      <c r="P214" s="189">
        <v>44</v>
      </c>
      <c r="Q214" s="189">
        <v>65</v>
      </c>
      <c r="R214" s="189">
        <v>57</v>
      </c>
      <c r="S214" s="189">
        <v>49</v>
      </c>
      <c r="T214" s="189">
        <v>85</v>
      </c>
      <c r="U214" s="189">
        <v>45</v>
      </c>
      <c r="V214" s="189">
        <v>58</v>
      </c>
      <c r="W214" s="189"/>
      <c r="X214" s="189">
        <v>93</v>
      </c>
      <c r="Y214" s="189">
        <v>74</v>
      </c>
      <c r="Z214" s="189">
        <v>29</v>
      </c>
      <c r="AA214" s="189">
        <v>54</v>
      </c>
      <c r="AB214" s="189">
        <v>70</v>
      </c>
      <c r="AC214" s="189">
        <v>77</v>
      </c>
      <c r="AD214" s="189">
        <v>39</v>
      </c>
      <c r="AE214" s="189">
        <v>59</v>
      </c>
      <c r="AF214" s="253"/>
      <c r="AG214" s="190">
        <f t="shared" si="20"/>
        <v>1540</v>
      </c>
    </row>
    <row r="215" spans="1:34" ht="15.75" customHeight="1" thickBot="1" x14ac:dyDescent="0.3">
      <c r="A215" s="113" t="s">
        <v>150</v>
      </c>
      <c r="B215" s="114">
        <f t="shared" ref="B215:AF215" si="28">SUM(B216:B218)</f>
        <v>0</v>
      </c>
      <c r="C215" s="115">
        <f t="shared" si="28"/>
        <v>0</v>
      </c>
      <c r="D215" s="115">
        <f t="shared" si="28"/>
        <v>0</v>
      </c>
      <c r="E215" s="115">
        <f t="shared" si="28"/>
        <v>0</v>
      </c>
      <c r="F215" s="115">
        <f t="shared" si="28"/>
        <v>0</v>
      </c>
      <c r="G215" s="115">
        <f t="shared" si="28"/>
        <v>0</v>
      </c>
      <c r="H215" s="115">
        <f t="shared" si="28"/>
        <v>0</v>
      </c>
      <c r="I215" s="115">
        <f t="shared" si="28"/>
        <v>0</v>
      </c>
      <c r="J215" s="115">
        <f t="shared" si="28"/>
        <v>0</v>
      </c>
      <c r="K215" s="115">
        <f t="shared" si="28"/>
        <v>0</v>
      </c>
      <c r="L215" s="115">
        <f t="shared" si="28"/>
        <v>0</v>
      </c>
      <c r="M215" s="115">
        <f t="shared" si="28"/>
        <v>0</v>
      </c>
      <c r="N215" s="115">
        <f t="shared" si="28"/>
        <v>0</v>
      </c>
      <c r="O215" s="115">
        <f t="shared" si="28"/>
        <v>0</v>
      </c>
      <c r="P215" s="115">
        <f t="shared" si="28"/>
        <v>0</v>
      </c>
      <c r="Q215" s="115">
        <f t="shared" si="28"/>
        <v>0</v>
      </c>
      <c r="R215" s="115">
        <f t="shared" si="28"/>
        <v>0</v>
      </c>
      <c r="S215" s="115">
        <f t="shared" si="28"/>
        <v>0</v>
      </c>
      <c r="T215" s="115">
        <f t="shared" si="28"/>
        <v>0</v>
      </c>
      <c r="U215" s="115">
        <f t="shared" si="28"/>
        <v>0</v>
      </c>
      <c r="V215" s="115">
        <f t="shared" si="28"/>
        <v>0</v>
      </c>
      <c r="W215" s="115">
        <f t="shared" si="28"/>
        <v>0</v>
      </c>
      <c r="X215" s="115">
        <f t="shared" si="28"/>
        <v>0</v>
      </c>
      <c r="Y215" s="115">
        <f t="shared" si="28"/>
        <v>0</v>
      </c>
      <c r="Z215" s="115">
        <f t="shared" si="28"/>
        <v>0</v>
      </c>
      <c r="AA215" s="115">
        <f t="shared" si="28"/>
        <v>0</v>
      </c>
      <c r="AB215" s="115">
        <f t="shared" si="28"/>
        <v>0</v>
      </c>
      <c r="AC215" s="115">
        <f t="shared" si="28"/>
        <v>0</v>
      </c>
      <c r="AD215" s="115">
        <f t="shared" si="28"/>
        <v>0</v>
      </c>
      <c r="AE215" s="115">
        <f t="shared" si="28"/>
        <v>0</v>
      </c>
      <c r="AF215" s="234">
        <f t="shared" si="28"/>
        <v>0</v>
      </c>
      <c r="AG215" s="116">
        <f t="shared" si="20"/>
        <v>0</v>
      </c>
    </row>
    <row r="216" spans="1:34" ht="15.75" customHeight="1" x14ac:dyDescent="0.25">
      <c r="A216" s="191" t="s">
        <v>151</v>
      </c>
      <c r="B216" s="192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254"/>
      <c r="AG216" s="194">
        <f t="shared" si="20"/>
        <v>0</v>
      </c>
    </row>
    <row r="217" spans="1:34" ht="15.75" customHeight="1" x14ac:dyDescent="0.25">
      <c r="A217" s="195" t="s">
        <v>152</v>
      </c>
      <c r="B217" s="196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255"/>
      <c r="AG217" s="164">
        <f t="shared" si="20"/>
        <v>0</v>
      </c>
    </row>
    <row r="218" spans="1:34" ht="15.75" customHeight="1" thickBot="1" x14ac:dyDescent="0.3">
      <c r="A218" s="195" t="s">
        <v>153</v>
      </c>
      <c r="B218" s="196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255"/>
      <c r="AG218" s="164">
        <f t="shared" si="20"/>
        <v>0</v>
      </c>
    </row>
    <row r="219" spans="1:34" ht="15.75" customHeight="1" thickBot="1" x14ac:dyDescent="0.3">
      <c r="A219" s="88" t="s">
        <v>154</v>
      </c>
      <c r="B219" s="89">
        <f t="shared" ref="B219:AF219" si="29">SUM(B220:B222)</f>
        <v>0</v>
      </c>
      <c r="C219" s="90">
        <f t="shared" si="29"/>
        <v>0</v>
      </c>
      <c r="D219" s="90">
        <f t="shared" si="29"/>
        <v>0</v>
      </c>
      <c r="E219" s="90">
        <f t="shared" si="29"/>
        <v>0</v>
      </c>
      <c r="F219" s="90">
        <f t="shared" si="29"/>
        <v>0</v>
      </c>
      <c r="G219" s="90">
        <f t="shared" si="29"/>
        <v>0</v>
      </c>
      <c r="H219" s="90">
        <f t="shared" si="29"/>
        <v>0</v>
      </c>
      <c r="I219" s="90">
        <f t="shared" si="29"/>
        <v>0</v>
      </c>
      <c r="J219" s="90">
        <f t="shared" si="29"/>
        <v>0</v>
      </c>
      <c r="K219" s="90">
        <f t="shared" si="29"/>
        <v>0</v>
      </c>
      <c r="L219" s="90">
        <f t="shared" si="29"/>
        <v>0</v>
      </c>
      <c r="M219" s="90">
        <f t="shared" si="29"/>
        <v>0</v>
      </c>
      <c r="N219" s="90">
        <f t="shared" si="29"/>
        <v>0</v>
      </c>
      <c r="O219" s="90">
        <f t="shared" si="29"/>
        <v>0</v>
      </c>
      <c r="P219" s="90">
        <f t="shared" si="29"/>
        <v>0</v>
      </c>
      <c r="Q219" s="90">
        <f t="shared" si="29"/>
        <v>0</v>
      </c>
      <c r="R219" s="90">
        <f t="shared" si="29"/>
        <v>0</v>
      </c>
      <c r="S219" s="90">
        <f t="shared" si="29"/>
        <v>0</v>
      </c>
      <c r="T219" s="90">
        <f t="shared" si="29"/>
        <v>0</v>
      </c>
      <c r="U219" s="90">
        <f t="shared" si="29"/>
        <v>0</v>
      </c>
      <c r="V219" s="90">
        <f t="shared" si="29"/>
        <v>0</v>
      </c>
      <c r="W219" s="90">
        <f t="shared" si="29"/>
        <v>0</v>
      </c>
      <c r="X219" s="90">
        <f t="shared" si="29"/>
        <v>0</v>
      </c>
      <c r="Y219" s="90">
        <f t="shared" si="29"/>
        <v>0</v>
      </c>
      <c r="Z219" s="90">
        <f t="shared" si="29"/>
        <v>0</v>
      </c>
      <c r="AA219" s="90">
        <f t="shared" si="29"/>
        <v>0</v>
      </c>
      <c r="AB219" s="90">
        <f t="shared" si="29"/>
        <v>0</v>
      </c>
      <c r="AC219" s="90">
        <f t="shared" si="29"/>
        <v>0</v>
      </c>
      <c r="AD219" s="90">
        <f t="shared" si="29"/>
        <v>0</v>
      </c>
      <c r="AE219" s="90">
        <f t="shared" si="29"/>
        <v>0</v>
      </c>
      <c r="AF219" s="90">
        <f t="shared" si="29"/>
        <v>0</v>
      </c>
      <c r="AG219" s="91">
        <f t="shared" si="20"/>
        <v>0</v>
      </c>
    </row>
    <row r="220" spans="1:34" ht="15.75" customHeight="1" x14ac:dyDescent="0.25">
      <c r="A220" s="198" t="s">
        <v>155</v>
      </c>
      <c r="B220" s="199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1">
        <f t="shared" si="20"/>
        <v>0</v>
      </c>
    </row>
    <row r="221" spans="1:34" ht="15.75" customHeight="1" x14ac:dyDescent="0.25">
      <c r="A221" s="202" t="s">
        <v>156</v>
      </c>
      <c r="B221" s="120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2">
        <f t="shared" si="20"/>
        <v>0</v>
      </c>
    </row>
    <row r="222" spans="1:34" ht="15.75" customHeight="1" thickBot="1" x14ac:dyDescent="0.3">
      <c r="A222" s="74" t="s">
        <v>157</v>
      </c>
      <c r="B222" s="75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112">
        <f t="shared" si="20"/>
        <v>0</v>
      </c>
    </row>
    <row r="223" spans="1:34" ht="15.75" customHeight="1" x14ac:dyDescent="0.25">
      <c r="A223" s="203" t="s">
        <v>158</v>
      </c>
      <c r="B223" s="85">
        <f t="shared" ref="B223:AF223" si="30">SUM(B224:B226)</f>
        <v>0</v>
      </c>
      <c r="C223" s="86">
        <f t="shared" si="30"/>
        <v>0</v>
      </c>
      <c r="D223" s="86">
        <f t="shared" si="30"/>
        <v>0</v>
      </c>
      <c r="E223" s="86">
        <f t="shared" si="30"/>
        <v>0</v>
      </c>
      <c r="F223" s="86">
        <f t="shared" si="30"/>
        <v>0</v>
      </c>
      <c r="G223" s="86">
        <f t="shared" si="30"/>
        <v>0</v>
      </c>
      <c r="H223" s="86">
        <f t="shared" si="30"/>
        <v>0</v>
      </c>
      <c r="I223" s="86">
        <f t="shared" si="30"/>
        <v>0</v>
      </c>
      <c r="J223" s="86">
        <f t="shared" si="30"/>
        <v>0</v>
      </c>
      <c r="K223" s="86">
        <f t="shared" si="30"/>
        <v>0</v>
      </c>
      <c r="L223" s="86">
        <f t="shared" si="30"/>
        <v>0</v>
      </c>
      <c r="M223" s="86">
        <f t="shared" si="30"/>
        <v>0</v>
      </c>
      <c r="N223" s="86">
        <f t="shared" si="30"/>
        <v>0</v>
      </c>
      <c r="O223" s="86">
        <f t="shared" si="30"/>
        <v>0</v>
      </c>
      <c r="P223" s="86">
        <f t="shared" si="30"/>
        <v>0</v>
      </c>
      <c r="Q223" s="86">
        <f t="shared" si="30"/>
        <v>0</v>
      </c>
      <c r="R223" s="86">
        <f t="shared" si="30"/>
        <v>0</v>
      </c>
      <c r="S223" s="86">
        <f t="shared" si="30"/>
        <v>0</v>
      </c>
      <c r="T223" s="86">
        <f t="shared" si="30"/>
        <v>0</v>
      </c>
      <c r="U223" s="86">
        <f t="shared" si="30"/>
        <v>0</v>
      </c>
      <c r="V223" s="86">
        <f t="shared" si="30"/>
        <v>0</v>
      </c>
      <c r="W223" s="86">
        <f t="shared" si="30"/>
        <v>0</v>
      </c>
      <c r="X223" s="86">
        <f t="shared" si="30"/>
        <v>0</v>
      </c>
      <c r="Y223" s="86">
        <f t="shared" si="30"/>
        <v>0</v>
      </c>
      <c r="Z223" s="86">
        <f t="shared" si="30"/>
        <v>0</v>
      </c>
      <c r="AA223" s="86">
        <f t="shared" si="30"/>
        <v>0</v>
      </c>
      <c r="AB223" s="86">
        <f t="shared" si="30"/>
        <v>0</v>
      </c>
      <c r="AC223" s="86">
        <f t="shared" si="30"/>
        <v>0</v>
      </c>
      <c r="AD223" s="86">
        <f t="shared" si="30"/>
        <v>0</v>
      </c>
      <c r="AE223" s="86">
        <f t="shared" si="30"/>
        <v>0</v>
      </c>
      <c r="AF223" s="86">
        <f t="shared" si="30"/>
        <v>0</v>
      </c>
      <c r="AG223" s="110">
        <f t="shared" si="20"/>
        <v>0</v>
      </c>
      <c r="AH223" s="364" t="s">
        <v>159</v>
      </c>
    </row>
    <row r="224" spans="1:34" ht="15.75" customHeight="1" x14ac:dyDescent="0.25">
      <c r="A224" s="204" t="s">
        <v>160</v>
      </c>
      <c r="B224" s="205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5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56"/>
      <c r="AA224" s="206"/>
      <c r="AB224" s="206"/>
      <c r="AC224" s="206"/>
      <c r="AD224" s="206"/>
      <c r="AE224" s="206"/>
      <c r="AF224" s="257"/>
      <c r="AG224" s="207">
        <f t="shared" si="20"/>
        <v>0</v>
      </c>
      <c r="AH224" s="365"/>
    </row>
    <row r="225" spans="1:34" ht="15.75" customHeight="1" x14ac:dyDescent="0.25">
      <c r="A225" s="204" t="s">
        <v>161</v>
      </c>
      <c r="B225" s="205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5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56"/>
      <c r="AA225" s="206"/>
      <c r="AB225" s="206"/>
      <c r="AC225" s="206"/>
      <c r="AD225" s="206"/>
      <c r="AE225" s="206"/>
      <c r="AF225" s="257"/>
      <c r="AG225" s="207">
        <f t="shared" si="20"/>
        <v>0</v>
      </c>
      <c r="AH225" s="365"/>
    </row>
    <row r="226" spans="1:34" ht="15.75" customHeight="1" thickBot="1" x14ac:dyDescent="0.3">
      <c r="A226" s="208" t="s">
        <v>162</v>
      </c>
      <c r="B226" s="209"/>
      <c r="C226" s="210"/>
      <c r="D226" s="210"/>
      <c r="E226" s="210"/>
      <c r="F226" s="210"/>
      <c r="G226" s="210"/>
      <c r="H226" s="210"/>
      <c r="I226" s="210"/>
      <c r="J226" s="210"/>
      <c r="K226" s="211"/>
      <c r="L226" s="211"/>
      <c r="M226" s="211"/>
      <c r="N226" s="258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60"/>
      <c r="AG226" s="106">
        <f t="shared" si="20"/>
        <v>0</v>
      </c>
      <c r="AH226" s="366"/>
    </row>
    <row r="227" spans="1:34" ht="15.75" customHeight="1" x14ac:dyDescent="0.25"/>
    <row r="228" spans="1:34" ht="15.75" customHeight="1" x14ac:dyDescent="0.25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</row>
    <row r="229" spans="1:34" ht="15.75" customHeight="1" x14ac:dyDescent="0.25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</row>
    <row r="230" spans="1:34" ht="15.75" customHeight="1" x14ac:dyDescent="0.25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</row>
    <row r="231" spans="1:34" ht="15.75" customHeight="1" x14ac:dyDescent="0.25"/>
    <row r="232" spans="1:34" ht="15.75" customHeight="1" x14ac:dyDescent="0.25"/>
    <row r="233" spans="1:34" ht="15.75" customHeight="1" x14ac:dyDescent="0.25"/>
    <row r="234" spans="1:34" ht="15.75" customHeight="1" x14ac:dyDescent="0.25"/>
    <row r="235" spans="1:34" ht="15.75" customHeight="1" x14ac:dyDescent="0.25"/>
    <row r="236" spans="1:34" ht="15.75" customHeight="1" x14ac:dyDescent="0.25"/>
    <row r="237" spans="1:34" ht="15.75" customHeight="1" x14ac:dyDescent="0.25"/>
    <row r="238" spans="1:34" ht="15.75" customHeight="1" x14ac:dyDescent="0.25"/>
    <row r="239" spans="1:34" ht="15.75" customHeight="1" x14ac:dyDescent="0.25"/>
    <row r="240" spans="1:3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9.5" customHeight="1" x14ac:dyDescent="0.25"/>
    <row r="258" ht="15.75" customHeight="1" x14ac:dyDescent="0.25"/>
    <row r="259" ht="18.75" customHeight="1" x14ac:dyDescent="0.25"/>
    <row r="260" ht="15.75" customHeight="1" x14ac:dyDescent="0.25"/>
    <row r="261" ht="15.75" customHeight="1" x14ac:dyDescent="0.25"/>
    <row r="262" ht="18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G1"/>
    <mergeCell ref="AI84:AI86"/>
    <mergeCell ref="AH223:AH226"/>
  </mergeCells>
  <conditionalFormatting sqref="B29:AF52">
    <cfRule type="cellIs" dxfId="25" priority="5" operator="lessThan">
      <formula>0</formula>
    </cfRule>
  </conditionalFormatting>
  <conditionalFormatting sqref="D54:D77">
    <cfRule type="cellIs" dxfId="24" priority="9" operator="lessThan">
      <formula>0</formula>
    </cfRule>
  </conditionalFormatting>
  <conditionalFormatting sqref="G54:G77">
    <cfRule type="cellIs" dxfId="23" priority="10" operator="lessThan">
      <formula>0</formula>
    </cfRule>
  </conditionalFormatting>
  <conditionalFormatting sqref="AH81">
    <cfRule type="cellIs" dxfId="22" priority="7" operator="equal">
      <formula>"*"</formula>
    </cfRule>
  </conditionalFormatting>
  <conditionalFormatting sqref="AH84 AH87">
    <cfRule type="cellIs" dxfId="21" priority="6" operator="equal">
      <formula>"*"</formula>
    </cfRule>
  </conditionalFormatting>
  <conditionalFormatting sqref="AH93">
    <cfRule type="cellIs" dxfId="20" priority="1" operator="equal">
      <formula>"*"</formula>
    </cfRule>
  </conditionalFormatting>
  <conditionalFormatting sqref="AH130">
    <cfRule type="cellIs" dxfId="19" priority="3" operator="equal">
      <formula>"*"</formula>
    </cfRule>
  </conditionalFormatting>
  <conditionalFormatting sqref="AH144:AH145">
    <cfRule type="cellIs" dxfId="18" priority="2" operator="equal">
      <formula>"*"</formula>
    </cfRule>
  </conditionalFormatting>
  <conditionalFormatting sqref="AH182">
    <cfRule type="cellIs" dxfId="17" priority="4" operator="equal">
      <formula>"*"</formula>
    </cfRule>
  </conditionalFormatting>
  <conditionalFormatting sqref="AH209">
    <cfRule type="cellIs" dxfId="16" priority="8" operator="equal">
      <formula>"X"</formula>
    </cfRule>
  </conditionalFormatting>
  <dataValidations count="1">
    <dataValidation type="decimal" allowBlank="1" showInputMessage="1" showErrorMessage="1" prompt="ERROR - Por favor ingrese solo Números" sqref="A98:A99 A101:A115" xr:uid="{00000000-0002-0000-0A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AI973"/>
  <sheetViews>
    <sheetView topLeftCell="A99" zoomScale="80" zoomScaleNormal="80" workbookViewId="0">
      <selection activeCell="A192" sqref="A192:XFD192"/>
    </sheetView>
  </sheetViews>
  <sheetFormatPr baseColWidth="10" defaultColWidth="14.42578125" defaultRowHeight="15" x14ac:dyDescent="0.25"/>
  <cols>
    <col min="1" max="1" width="34.7109375" customWidth="1"/>
    <col min="2" max="2" width="8.28515625" customWidth="1"/>
    <col min="3" max="3" width="9.7109375" customWidth="1"/>
    <col min="4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  <col min="35" max="35" width="10.7109375" customWidth="1"/>
  </cols>
  <sheetData>
    <row r="1" spans="1:35" ht="21.75" thickBot="1" x14ac:dyDescent="0.3">
      <c r="A1" s="358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60"/>
    </row>
    <row r="2" spans="1:35" ht="29.25" thickBot="1" x14ac:dyDescent="0.3">
      <c r="A2" s="1" t="s">
        <v>0</v>
      </c>
      <c r="B2" s="2">
        <v>1</v>
      </c>
      <c r="C2" s="267">
        <f>+B2+1</f>
        <v>2</v>
      </c>
      <c r="D2" s="212">
        <f>+C2+1</f>
        <v>3</v>
      </c>
      <c r="E2" s="212">
        <f t="shared" ref="E2:AA2" si="0">+D2+1</f>
        <v>4</v>
      </c>
      <c r="F2" s="212">
        <f t="shared" si="0"/>
        <v>5</v>
      </c>
      <c r="G2" s="212">
        <f t="shared" si="0"/>
        <v>6</v>
      </c>
      <c r="H2" s="212">
        <f t="shared" si="0"/>
        <v>7</v>
      </c>
      <c r="I2" s="212">
        <f t="shared" si="0"/>
        <v>8</v>
      </c>
      <c r="J2" s="212">
        <f t="shared" si="0"/>
        <v>9</v>
      </c>
      <c r="K2" s="212">
        <f t="shared" si="0"/>
        <v>10</v>
      </c>
      <c r="L2" s="212">
        <f t="shared" si="0"/>
        <v>11</v>
      </c>
      <c r="M2" s="212">
        <f t="shared" si="0"/>
        <v>12</v>
      </c>
      <c r="N2" s="212">
        <f t="shared" si="0"/>
        <v>13</v>
      </c>
      <c r="O2" s="212">
        <f t="shared" si="0"/>
        <v>14</v>
      </c>
      <c r="P2" s="212">
        <f t="shared" si="0"/>
        <v>15</v>
      </c>
      <c r="Q2" s="212">
        <f t="shared" si="0"/>
        <v>16</v>
      </c>
      <c r="R2" s="212">
        <f t="shared" si="0"/>
        <v>17</v>
      </c>
      <c r="S2" s="212">
        <f t="shared" si="0"/>
        <v>18</v>
      </c>
      <c r="T2" s="212">
        <f t="shared" si="0"/>
        <v>19</v>
      </c>
      <c r="U2" s="212">
        <f t="shared" si="0"/>
        <v>20</v>
      </c>
      <c r="V2" s="212">
        <f t="shared" si="0"/>
        <v>21</v>
      </c>
      <c r="W2" s="212">
        <f t="shared" si="0"/>
        <v>22</v>
      </c>
      <c r="X2" s="212">
        <f t="shared" si="0"/>
        <v>23</v>
      </c>
      <c r="Y2" s="212">
        <f t="shared" si="0"/>
        <v>24</v>
      </c>
      <c r="Z2" s="212">
        <f t="shared" si="0"/>
        <v>25</v>
      </c>
      <c r="AA2" s="212">
        <f t="shared" si="0"/>
        <v>26</v>
      </c>
      <c r="AB2" s="212">
        <v>27</v>
      </c>
      <c r="AC2" s="212">
        <f>+AB2+1</f>
        <v>28</v>
      </c>
      <c r="AD2" s="212">
        <v>29</v>
      </c>
      <c r="AE2" s="212">
        <v>30</v>
      </c>
      <c r="AF2" s="212">
        <v>31</v>
      </c>
      <c r="AG2" s="3" t="s">
        <v>13</v>
      </c>
    </row>
    <row r="3" spans="1:35" ht="19.5" thickBot="1" x14ac:dyDescent="0.3">
      <c r="A3" s="4" t="s">
        <v>14</v>
      </c>
      <c r="B3" s="6">
        <f t="shared" ref="B3:AF3" si="1">SUM(B4:B27)</f>
        <v>241</v>
      </c>
      <c r="C3" s="6">
        <f t="shared" si="1"/>
        <v>299</v>
      </c>
      <c r="D3" s="6">
        <f t="shared" si="1"/>
        <v>266</v>
      </c>
      <c r="E3" s="6">
        <f t="shared" si="1"/>
        <v>246</v>
      </c>
      <c r="F3" s="6">
        <f t="shared" si="1"/>
        <v>247</v>
      </c>
      <c r="G3" s="6">
        <f t="shared" si="1"/>
        <v>271</v>
      </c>
      <c r="H3" s="6">
        <f t="shared" si="1"/>
        <v>256</v>
      </c>
      <c r="I3" s="6">
        <f t="shared" si="1"/>
        <v>235</v>
      </c>
      <c r="J3" s="6">
        <f t="shared" si="1"/>
        <v>277</v>
      </c>
      <c r="K3" s="6">
        <f t="shared" si="1"/>
        <v>339</v>
      </c>
      <c r="L3" s="6">
        <f t="shared" si="1"/>
        <v>287</v>
      </c>
      <c r="M3" s="6">
        <f t="shared" si="1"/>
        <v>291</v>
      </c>
      <c r="N3" s="6">
        <f t="shared" si="1"/>
        <v>250</v>
      </c>
      <c r="O3" s="6">
        <f t="shared" si="1"/>
        <v>245</v>
      </c>
      <c r="P3" s="6">
        <f t="shared" si="1"/>
        <v>265</v>
      </c>
      <c r="Q3" s="6">
        <f t="shared" si="1"/>
        <v>325</v>
      </c>
      <c r="R3" s="6">
        <f t="shared" si="1"/>
        <v>342</v>
      </c>
      <c r="S3" s="6">
        <f t="shared" si="1"/>
        <v>307</v>
      </c>
      <c r="T3" s="6">
        <f t="shared" si="1"/>
        <v>265</v>
      </c>
      <c r="U3" s="6">
        <f t="shared" si="1"/>
        <v>259</v>
      </c>
      <c r="V3" s="6">
        <f t="shared" si="1"/>
        <v>224</v>
      </c>
      <c r="W3" s="6">
        <f t="shared" si="1"/>
        <v>268</v>
      </c>
      <c r="X3" s="6">
        <f t="shared" si="1"/>
        <v>316</v>
      </c>
      <c r="Y3" s="6">
        <f t="shared" si="1"/>
        <v>280</v>
      </c>
      <c r="Z3" s="6">
        <f t="shared" si="1"/>
        <v>268</v>
      </c>
      <c r="AA3" s="6">
        <f t="shared" si="1"/>
        <v>261</v>
      </c>
      <c r="AB3" s="6">
        <f t="shared" si="1"/>
        <v>273</v>
      </c>
      <c r="AC3" s="6">
        <f t="shared" si="1"/>
        <v>227</v>
      </c>
      <c r="AD3" s="6">
        <f t="shared" si="1"/>
        <v>244</v>
      </c>
      <c r="AE3" s="6">
        <f t="shared" si="1"/>
        <v>325</v>
      </c>
      <c r="AF3" s="6">
        <f t="shared" si="1"/>
        <v>268</v>
      </c>
      <c r="AG3" s="7">
        <f t="shared" ref="AG3:AG34" si="2">SUM(B3:AF3)</f>
        <v>8467</v>
      </c>
      <c r="AI3">
        <v>299</v>
      </c>
    </row>
    <row r="4" spans="1:35" ht="18.75" x14ac:dyDescent="0.25">
      <c r="A4" s="8" t="s">
        <v>15</v>
      </c>
      <c r="B4" s="9">
        <v>0</v>
      </c>
      <c r="C4" s="10">
        <v>17</v>
      </c>
      <c r="D4" s="10">
        <v>10</v>
      </c>
      <c r="E4" s="10">
        <v>11</v>
      </c>
      <c r="F4" s="10">
        <v>17</v>
      </c>
      <c r="G4" s="10">
        <v>18</v>
      </c>
      <c r="H4" s="10">
        <v>18</v>
      </c>
      <c r="I4" s="10">
        <v>9</v>
      </c>
      <c r="J4" s="10">
        <v>10</v>
      </c>
      <c r="K4" s="10">
        <v>19</v>
      </c>
      <c r="L4" s="10">
        <v>18</v>
      </c>
      <c r="M4" s="10">
        <v>16</v>
      </c>
      <c r="N4" s="10">
        <v>21</v>
      </c>
      <c r="O4" s="10">
        <v>15</v>
      </c>
      <c r="P4" s="10">
        <v>8</v>
      </c>
      <c r="Q4" s="10">
        <v>23</v>
      </c>
      <c r="R4" s="10">
        <v>22</v>
      </c>
      <c r="S4" s="10">
        <v>26</v>
      </c>
      <c r="T4" s="10">
        <v>17</v>
      </c>
      <c r="U4" s="10">
        <v>18</v>
      </c>
      <c r="V4" s="10">
        <v>13</v>
      </c>
      <c r="W4" s="10">
        <v>9</v>
      </c>
      <c r="X4" s="10">
        <v>29</v>
      </c>
      <c r="Y4" s="10">
        <v>22</v>
      </c>
      <c r="Z4" s="10">
        <v>15</v>
      </c>
      <c r="AA4" s="10">
        <v>23</v>
      </c>
      <c r="AB4" s="10">
        <v>12</v>
      </c>
      <c r="AC4" s="10">
        <v>18</v>
      </c>
      <c r="AD4" s="10">
        <v>10</v>
      </c>
      <c r="AE4" s="10">
        <v>24</v>
      </c>
      <c r="AF4" s="213">
        <v>19</v>
      </c>
      <c r="AG4" s="11">
        <f t="shared" si="2"/>
        <v>507</v>
      </c>
      <c r="AH4">
        <v>0</v>
      </c>
      <c r="AI4">
        <v>17</v>
      </c>
    </row>
    <row r="5" spans="1:35" ht="18.75" x14ac:dyDescent="0.25">
      <c r="A5" s="12" t="s">
        <v>16</v>
      </c>
      <c r="B5" s="13">
        <v>6</v>
      </c>
      <c r="C5" s="14">
        <v>19</v>
      </c>
      <c r="D5" s="14">
        <v>19</v>
      </c>
      <c r="E5" s="14">
        <v>18</v>
      </c>
      <c r="F5" s="14">
        <v>12</v>
      </c>
      <c r="G5" s="14">
        <v>22</v>
      </c>
      <c r="H5" s="14">
        <v>14</v>
      </c>
      <c r="I5" s="14">
        <v>10</v>
      </c>
      <c r="J5" s="14">
        <v>10</v>
      </c>
      <c r="K5" s="14">
        <v>32</v>
      </c>
      <c r="L5" s="14">
        <v>23</v>
      </c>
      <c r="M5" s="14">
        <v>17</v>
      </c>
      <c r="N5" s="14">
        <v>17</v>
      </c>
      <c r="O5" s="14">
        <v>17</v>
      </c>
      <c r="P5" s="14">
        <v>11</v>
      </c>
      <c r="Q5" s="14">
        <v>26</v>
      </c>
      <c r="R5" s="14">
        <v>20</v>
      </c>
      <c r="S5" s="14">
        <v>19</v>
      </c>
      <c r="T5" s="14">
        <v>20</v>
      </c>
      <c r="U5" s="14">
        <v>19</v>
      </c>
      <c r="V5" s="14">
        <v>12</v>
      </c>
      <c r="W5" s="14">
        <v>20</v>
      </c>
      <c r="X5" s="14">
        <v>26</v>
      </c>
      <c r="Y5" s="14">
        <v>20</v>
      </c>
      <c r="Z5" s="14">
        <v>18</v>
      </c>
      <c r="AA5" s="14">
        <v>20</v>
      </c>
      <c r="AB5" s="14">
        <v>11</v>
      </c>
      <c r="AC5" s="14">
        <v>10</v>
      </c>
      <c r="AD5" s="14">
        <v>14</v>
      </c>
      <c r="AE5" s="14">
        <v>21</v>
      </c>
      <c r="AF5" s="214">
        <v>23</v>
      </c>
      <c r="AG5" s="15">
        <f t="shared" si="2"/>
        <v>546</v>
      </c>
      <c r="AH5">
        <v>6</v>
      </c>
      <c r="AI5">
        <v>19</v>
      </c>
    </row>
    <row r="6" spans="1:35" ht="18.75" x14ac:dyDescent="0.25">
      <c r="A6" s="12" t="s">
        <v>17</v>
      </c>
      <c r="B6" s="13">
        <v>20</v>
      </c>
      <c r="C6" s="14">
        <v>14</v>
      </c>
      <c r="D6" s="14">
        <v>22</v>
      </c>
      <c r="E6" s="14">
        <v>18</v>
      </c>
      <c r="F6" s="14">
        <v>15</v>
      </c>
      <c r="G6" s="14">
        <v>9</v>
      </c>
      <c r="H6" s="14">
        <v>21</v>
      </c>
      <c r="I6" s="14">
        <v>24</v>
      </c>
      <c r="J6" s="14">
        <v>20</v>
      </c>
      <c r="K6" s="14">
        <v>26</v>
      </c>
      <c r="L6" s="14">
        <v>18</v>
      </c>
      <c r="M6" s="14">
        <v>22</v>
      </c>
      <c r="N6" s="14">
        <v>12</v>
      </c>
      <c r="O6" s="14">
        <v>22</v>
      </c>
      <c r="P6" s="14">
        <v>22</v>
      </c>
      <c r="Q6" s="14">
        <v>20</v>
      </c>
      <c r="R6" s="14">
        <v>19</v>
      </c>
      <c r="S6" s="14">
        <v>26</v>
      </c>
      <c r="T6" s="14">
        <v>9</v>
      </c>
      <c r="U6" s="14">
        <v>13</v>
      </c>
      <c r="V6" s="14">
        <v>24</v>
      </c>
      <c r="W6" s="14">
        <v>20</v>
      </c>
      <c r="X6" s="14">
        <v>18</v>
      </c>
      <c r="Y6" s="14">
        <v>17</v>
      </c>
      <c r="Z6" s="14">
        <v>22</v>
      </c>
      <c r="AA6" s="14">
        <v>20</v>
      </c>
      <c r="AB6" s="14">
        <v>28</v>
      </c>
      <c r="AC6" s="14">
        <v>13</v>
      </c>
      <c r="AD6" s="14">
        <v>18</v>
      </c>
      <c r="AE6" s="14">
        <v>21</v>
      </c>
      <c r="AF6" s="214">
        <v>16</v>
      </c>
      <c r="AG6" s="15">
        <f t="shared" si="2"/>
        <v>589</v>
      </c>
      <c r="AH6">
        <v>20</v>
      </c>
      <c r="AI6">
        <v>14</v>
      </c>
    </row>
    <row r="7" spans="1:35" ht="18.75" x14ac:dyDescent="0.25">
      <c r="A7" s="12" t="s">
        <v>18</v>
      </c>
      <c r="B7" s="13">
        <v>16</v>
      </c>
      <c r="C7" s="14">
        <v>16</v>
      </c>
      <c r="D7" s="14">
        <v>14</v>
      </c>
      <c r="E7" s="14">
        <v>15</v>
      </c>
      <c r="F7" s="14">
        <v>22</v>
      </c>
      <c r="G7" s="14">
        <v>25</v>
      </c>
      <c r="H7" s="14">
        <v>23</v>
      </c>
      <c r="I7" s="14">
        <v>15</v>
      </c>
      <c r="J7" s="14">
        <v>27</v>
      </c>
      <c r="K7" s="14">
        <v>16</v>
      </c>
      <c r="L7" s="14">
        <v>24</v>
      </c>
      <c r="M7" s="14">
        <v>18</v>
      </c>
      <c r="N7" s="14">
        <v>12</v>
      </c>
      <c r="O7" s="14">
        <v>17</v>
      </c>
      <c r="P7" s="14">
        <v>27</v>
      </c>
      <c r="Q7" s="14">
        <v>20</v>
      </c>
      <c r="R7" s="14">
        <v>20</v>
      </c>
      <c r="S7" s="14">
        <v>9</v>
      </c>
      <c r="T7" s="14">
        <v>19</v>
      </c>
      <c r="U7" s="14">
        <v>25</v>
      </c>
      <c r="V7" s="14">
        <v>11</v>
      </c>
      <c r="W7" s="14">
        <v>30</v>
      </c>
      <c r="X7" s="14">
        <v>18</v>
      </c>
      <c r="Y7" s="14">
        <v>15</v>
      </c>
      <c r="Z7" s="14">
        <v>19</v>
      </c>
      <c r="AA7" s="14">
        <v>17</v>
      </c>
      <c r="AB7" s="14">
        <v>20</v>
      </c>
      <c r="AC7" s="14">
        <v>20</v>
      </c>
      <c r="AD7" s="14">
        <v>27</v>
      </c>
      <c r="AE7" s="14">
        <v>24</v>
      </c>
      <c r="AF7" s="214">
        <v>22</v>
      </c>
      <c r="AG7" s="15">
        <f t="shared" si="2"/>
        <v>603</v>
      </c>
      <c r="AH7">
        <v>16</v>
      </c>
      <c r="AI7">
        <v>16</v>
      </c>
    </row>
    <row r="8" spans="1:35" ht="18.75" x14ac:dyDescent="0.25">
      <c r="A8" s="12" t="s">
        <v>19</v>
      </c>
      <c r="B8" s="13">
        <v>20</v>
      </c>
      <c r="C8" s="14">
        <v>19</v>
      </c>
      <c r="D8" s="14">
        <v>16</v>
      </c>
      <c r="E8" s="14">
        <v>13</v>
      </c>
      <c r="F8" s="14">
        <v>14</v>
      </c>
      <c r="G8" s="14">
        <v>16</v>
      </c>
      <c r="H8" s="14">
        <v>21</v>
      </c>
      <c r="I8" s="14">
        <v>25</v>
      </c>
      <c r="J8" s="14">
        <v>17</v>
      </c>
      <c r="K8" s="14">
        <v>19</v>
      </c>
      <c r="L8" s="14">
        <v>15</v>
      </c>
      <c r="M8" s="14">
        <v>16</v>
      </c>
      <c r="N8" s="14">
        <v>14</v>
      </c>
      <c r="O8" s="14">
        <v>20</v>
      </c>
      <c r="P8" s="14">
        <v>21</v>
      </c>
      <c r="Q8" s="14">
        <v>24</v>
      </c>
      <c r="R8" s="14">
        <v>23</v>
      </c>
      <c r="S8" s="14">
        <v>20</v>
      </c>
      <c r="T8" s="14">
        <v>12</v>
      </c>
      <c r="U8" s="14">
        <v>21</v>
      </c>
      <c r="V8" s="14">
        <v>19</v>
      </c>
      <c r="W8" s="14">
        <v>10</v>
      </c>
      <c r="X8" s="14">
        <v>14</v>
      </c>
      <c r="Y8" s="14">
        <v>19</v>
      </c>
      <c r="Z8" s="14">
        <v>16</v>
      </c>
      <c r="AA8" s="14">
        <v>22</v>
      </c>
      <c r="AB8" s="14">
        <v>15</v>
      </c>
      <c r="AC8" s="14">
        <v>17</v>
      </c>
      <c r="AD8" s="14">
        <v>16</v>
      </c>
      <c r="AE8" s="14">
        <v>16</v>
      </c>
      <c r="AF8" s="214">
        <v>14</v>
      </c>
      <c r="AG8" s="15">
        <f t="shared" si="2"/>
        <v>544</v>
      </c>
      <c r="AH8">
        <v>20</v>
      </c>
      <c r="AI8">
        <v>19</v>
      </c>
    </row>
    <row r="9" spans="1:35" ht="18.75" x14ac:dyDescent="0.25">
      <c r="A9" s="12" t="s">
        <v>20</v>
      </c>
      <c r="B9" s="13">
        <v>17</v>
      </c>
      <c r="C9" s="14">
        <v>10</v>
      </c>
      <c r="D9" s="14">
        <v>17</v>
      </c>
      <c r="E9" s="14">
        <v>17</v>
      </c>
      <c r="F9" s="14">
        <v>13</v>
      </c>
      <c r="G9" s="14">
        <v>13</v>
      </c>
      <c r="H9" s="14">
        <v>9</v>
      </c>
      <c r="I9" s="14">
        <v>13</v>
      </c>
      <c r="J9" s="14">
        <v>21</v>
      </c>
      <c r="K9" s="14">
        <v>20</v>
      </c>
      <c r="L9" s="14">
        <v>8</v>
      </c>
      <c r="M9" s="14">
        <v>14</v>
      </c>
      <c r="N9" s="14">
        <v>13</v>
      </c>
      <c r="O9" s="14">
        <v>17</v>
      </c>
      <c r="P9" s="14">
        <v>17</v>
      </c>
      <c r="Q9" s="14">
        <v>21</v>
      </c>
      <c r="R9" s="14">
        <v>28</v>
      </c>
      <c r="S9" s="14">
        <v>21</v>
      </c>
      <c r="T9" s="14">
        <v>17</v>
      </c>
      <c r="U9" s="14">
        <v>13</v>
      </c>
      <c r="V9" s="14">
        <v>12</v>
      </c>
      <c r="W9" s="14">
        <v>15</v>
      </c>
      <c r="X9" s="14">
        <v>16</v>
      </c>
      <c r="Y9" s="14">
        <v>18</v>
      </c>
      <c r="Z9" s="14">
        <v>7</v>
      </c>
      <c r="AA9" s="14">
        <v>9</v>
      </c>
      <c r="AB9" s="14">
        <v>12</v>
      </c>
      <c r="AC9" s="14">
        <v>15</v>
      </c>
      <c r="AD9" s="14">
        <v>16</v>
      </c>
      <c r="AE9" s="14">
        <v>19</v>
      </c>
      <c r="AF9" s="214">
        <v>10</v>
      </c>
      <c r="AG9" s="15">
        <f t="shared" si="2"/>
        <v>468</v>
      </c>
      <c r="AH9">
        <v>17</v>
      </c>
      <c r="AI9">
        <v>10</v>
      </c>
    </row>
    <row r="10" spans="1:35" ht="18.75" x14ac:dyDescent="0.25">
      <c r="A10" s="12" t="s">
        <v>21</v>
      </c>
      <c r="B10" s="13">
        <v>25</v>
      </c>
      <c r="C10" s="14">
        <v>13</v>
      </c>
      <c r="D10" s="14">
        <v>17</v>
      </c>
      <c r="E10" s="14">
        <v>21</v>
      </c>
      <c r="F10" s="14">
        <v>12</v>
      </c>
      <c r="G10" s="14">
        <v>12</v>
      </c>
      <c r="H10" s="14">
        <v>11</v>
      </c>
      <c r="I10" s="14">
        <v>16</v>
      </c>
      <c r="J10" s="14">
        <v>16</v>
      </c>
      <c r="K10" s="14">
        <v>17</v>
      </c>
      <c r="L10" s="14">
        <v>14</v>
      </c>
      <c r="M10" s="14">
        <v>13</v>
      </c>
      <c r="N10" s="14">
        <v>19</v>
      </c>
      <c r="O10" s="14">
        <v>15</v>
      </c>
      <c r="P10" s="14">
        <v>16</v>
      </c>
      <c r="Q10" s="14">
        <v>8</v>
      </c>
      <c r="R10" s="14">
        <v>12</v>
      </c>
      <c r="S10" s="14">
        <v>11</v>
      </c>
      <c r="T10" s="14">
        <v>22</v>
      </c>
      <c r="U10" s="14">
        <v>10</v>
      </c>
      <c r="V10" s="14">
        <v>15</v>
      </c>
      <c r="W10" s="14">
        <v>9</v>
      </c>
      <c r="X10" s="14">
        <v>21</v>
      </c>
      <c r="Y10" s="14">
        <v>10</v>
      </c>
      <c r="Z10" s="14">
        <v>15</v>
      </c>
      <c r="AA10" s="14">
        <v>14</v>
      </c>
      <c r="AB10" s="14">
        <v>17</v>
      </c>
      <c r="AC10" s="14">
        <v>18</v>
      </c>
      <c r="AD10" s="14">
        <v>18</v>
      </c>
      <c r="AE10" s="14">
        <v>23</v>
      </c>
      <c r="AF10" s="214">
        <v>14</v>
      </c>
      <c r="AG10" s="15">
        <f t="shared" si="2"/>
        <v>474</v>
      </c>
      <c r="AH10">
        <v>25</v>
      </c>
      <c r="AI10">
        <v>13</v>
      </c>
    </row>
    <row r="11" spans="1:35" ht="18.75" x14ac:dyDescent="0.25">
      <c r="A11" s="12" t="s">
        <v>22</v>
      </c>
      <c r="B11" s="13">
        <v>17</v>
      </c>
      <c r="C11" s="14">
        <v>30</v>
      </c>
      <c r="D11" s="14">
        <v>12</v>
      </c>
      <c r="E11" s="14">
        <v>14</v>
      </c>
      <c r="F11" s="14">
        <v>16</v>
      </c>
      <c r="G11" s="14">
        <v>22</v>
      </c>
      <c r="H11" s="14">
        <v>13</v>
      </c>
      <c r="I11" s="14">
        <v>11</v>
      </c>
      <c r="J11" s="14">
        <v>21</v>
      </c>
      <c r="K11" s="14">
        <v>22</v>
      </c>
      <c r="L11" s="14">
        <v>14</v>
      </c>
      <c r="M11" s="14">
        <v>19</v>
      </c>
      <c r="N11" s="14">
        <v>19</v>
      </c>
      <c r="O11" s="14">
        <v>20</v>
      </c>
      <c r="P11" s="14">
        <v>12</v>
      </c>
      <c r="Q11" s="14">
        <v>23</v>
      </c>
      <c r="R11" s="14">
        <v>20</v>
      </c>
      <c r="S11" s="14">
        <v>23</v>
      </c>
      <c r="T11" s="14">
        <v>13</v>
      </c>
      <c r="U11" s="14">
        <v>18</v>
      </c>
      <c r="V11" s="14">
        <v>17</v>
      </c>
      <c r="W11" s="14">
        <v>14</v>
      </c>
      <c r="X11" s="14">
        <v>14</v>
      </c>
      <c r="Y11" s="14">
        <v>22</v>
      </c>
      <c r="Z11" s="14">
        <v>15</v>
      </c>
      <c r="AA11" s="14">
        <v>12</v>
      </c>
      <c r="AB11" s="14">
        <v>15</v>
      </c>
      <c r="AC11" s="14">
        <v>15</v>
      </c>
      <c r="AD11" s="14">
        <v>20</v>
      </c>
      <c r="AE11" s="14">
        <v>25</v>
      </c>
      <c r="AF11" s="214">
        <v>15</v>
      </c>
      <c r="AG11" s="15">
        <f t="shared" si="2"/>
        <v>543</v>
      </c>
      <c r="AH11">
        <v>17</v>
      </c>
      <c r="AI11">
        <v>30</v>
      </c>
    </row>
    <row r="12" spans="1:35" ht="18.75" x14ac:dyDescent="0.25">
      <c r="A12" s="12" t="s">
        <v>23</v>
      </c>
      <c r="B12" s="13">
        <v>16</v>
      </c>
      <c r="C12" s="14">
        <v>20</v>
      </c>
      <c r="D12" s="14">
        <v>20</v>
      </c>
      <c r="E12" s="14">
        <v>10</v>
      </c>
      <c r="F12" s="14">
        <v>13</v>
      </c>
      <c r="G12" s="14">
        <v>26</v>
      </c>
      <c r="H12" s="14">
        <v>17</v>
      </c>
      <c r="I12" s="14">
        <v>14</v>
      </c>
      <c r="J12" s="14">
        <v>21</v>
      </c>
      <c r="K12" s="14">
        <v>24</v>
      </c>
      <c r="L12" s="14">
        <v>19</v>
      </c>
      <c r="M12" s="14">
        <v>22</v>
      </c>
      <c r="N12" s="14">
        <v>21</v>
      </c>
      <c r="O12" s="14">
        <v>15</v>
      </c>
      <c r="P12" s="14">
        <v>18</v>
      </c>
      <c r="Q12" s="14">
        <v>14</v>
      </c>
      <c r="R12" s="14">
        <v>29</v>
      </c>
      <c r="S12" s="14">
        <v>18</v>
      </c>
      <c r="T12" s="14">
        <v>16</v>
      </c>
      <c r="U12" s="14">
        <v>20</v>
      </c>
      <c r="V12" s="14">
        <v>13</v>
      </c>
      <c r="W12" s="14">
        <v>15</v>
      </c>
      <c r="X12" s="14">
        <v>21</v>
      </c>
      <c r="Y12" s="14">
        <v>14</v>
      </c>
      <c r="Z12" s="14">
        <v>12</v>
      </c>
      <c r="AA12" s="14">
        <v>22</v>
      </c>
      <c r="AB12" s="14">
        <v>28</v>
      </c>
      <c r="AC12" s="14">
        <v>12</v>
      </c>
      <c r="AD12" s="14">
        <v>7</v>
      </c>
      <c r="AE12" s="14">
        <v>22</v>
      </c>
      <c r="AF12" s="214">
        <v>16</v>
      </c>
      <c r="AG12" s="15">
        <f t="shared" si="2"/>
        <v>555</v>
      </c>
      <c r="AH12">
        <v>16</v>
      </c>
      <c r="AI12">
        <v>20</v>
      </c>
    </row>
    <row r="13" spans="1:35" ht="18.75" x14ac:dyDescent="0.25">
      <c r="A13" s="12" t="s">
        <v>24</v>
      </c>
      <c r="B13" s="13">
        <v>14</v>
      </c>
      <c r="C13" s="14">
        <v>32</v>
      </c>
      <c r="D13" s="14">
        <v>40</v>
      </c>
      <c r="E13" s="14">
        <v>15</v>
      </c>
      <c r="F13" s="14">
        <v>14</v>
      </c>
      <c r="G13" s="14">
        <v>17</v>
      </c>
      <c r="H13" s="14">
        <v>14</v>
      </c>
      <c r="I13" s="14">
        <v>16</v>
      </c>
      <c r="J13" s="14">
        <v>21</v>
      </c>
      <c r="K13" s="14">
        <v>26</v>
      </c>
      <c r="L13" s="14">
        <v>21</v>
      </c>
      <c r="M13" s="14">
        <v>26</v>
      </c>
      <c r="N13" s="14">
        <v>7</v>
      </c>
      <c r="O13" s="14">
        <v>9</v>
      </c>
      <c r="P13" s="14">
        <v>16</v>
      </c>
      <c r="Q13" s="14">
        <v>30</v>
      </c>
      <c r="R13" s="14">
        <v>25</v>
      </c>
      <c r="S13" s="14">
        <v>24</v>
      </c>
      <c r="T13" s="14">
        <v>27</v>
      </c>
      <c r="U13" s="14">
        <v>20</v>
      </c>
      <c r="V13" s="14">
        <v>16</v>
      </c>
      <c r="W13" s="14">
        <v>15</v>
      </c>
      <c r="X13" s="14">
        <v>24</v>
      </c>
      <c r="Y13" s="14">
        <v>23</v>
      </c>
      <c r="Z13" s="14">
        <v>23</v>
      </c>
      <c r="AA13" s="14">
        <v>16</v>
      </c>
      <c r="AB13" s="14">
        <v>13</v>
      </c>
      <c r="AC13" s="14">
        <v>9</v>
      </c>
      <c r="AD13" s="14">
        <v>14</v>
      </c>
      <c r="AE13" s="14">
        <v>33</v>
      </c>
      <c r="AF13" s="214">
        <v>13</v>
      </c>
      <c r="AG13" s="15">
        <f t="shared" si="2"/>
        <v>613</v>
      </c>
      <c r="AH13">
        <v>14</v>
      </c>
      <c r="AI13">
        <v>32</v>
      </c>
    </row>
    <row r="14" spans="1:35" ht="18.75" x14ac:dyDescent="0.25">
      <c r="A14" s="12" t="s">
        <v>25</v>
      </c>
      <c r="B14" s="13">
        <v>18</v>
      </c>
      <c r="C14" s="14">
        <v>13</v>
      </c>
      <c r="D14" s="14">
        <v>12</v>
      </c>
      <c r="E14" s="14">
        <v>15</v>
      </c>
      <c r="F14" s="14">
        <v>13</v>
      </c>
      <c r="G14" s="14">
        <v>12</v>
      </c>
      <c r="H14" s="14">
        <v>11</v>
      </c>
      <c r="I14" s="14">
        <v>7</v>
      </c>
      <c r="J14" s="14">
        <v>9</v>
      </c>
      <c r="K14" s="14">
        <v>22</v>
      </c>
      <c r="L14" s="14">
        <v>18</v>
      </c>
      <c r="M14" s="14">
        <v>21</v>
      </c>
      <c r="N14" s="14">
        <v>11</v>
      </c>
      <c r="O14" s="14">
        <v>9</v>
      </c>
      <c r="P14" s="14">
        <v>10</v>
      </c>
      <c r="Q14" s="14">
        <v>21</v>
      </c>
      <c r="R14" s="14">
        <v>26</v>
      </c>
      <c r="S14" s="14">
        <v>17</v>
      </c>
      <c r="T14" s="14">
        <v>17</v>
      </c>
      <c r="U14" s="14">
        <v>15</v>
      </c>
      <c r="V14" s="14">
        <v>12</v>
      </c>
      <c r="W14" s="14">
        <v>18</v>
      </c>
      <c r="X14" s="14">
        <v>17</v>
      </c>
      <c r="Y14" s="14">
        <v>19</v>
      </c>
      <c r="Z14" s="14">
        <v>18</v>
      </c>
      <c r="AA14" s="14">
        <v>13</v>
      </c>
      <c r="AB14" s="14">
        <v>14</v>
      </c>
      <c r="AC14" s="14">
        <v>11</v>
      </c>
      <c r="AD14" s="14">
        <v>16</v>
      </c>
      <c r="AE14" s="14">
        <v>21</v>
      </c>
      <c r="AF14" s="214">
        <v>25</v>
      </c>
      <c r="AG14" s="15">
        <f t="shared" si="2"/>
        <v>481</v>
      </c>
      <c r="AH14">
        <v>18</v>
      </c>
      <c r="AI14">
        <v>13</v>
      </c>
    </row>
    <row r="15" spans="1:35" ht="18.75" x14ac:dyDescent="0.25">
      <c r="A15" s="12" t="s">
        <v>26</v>
      </c>
      <c r="B15" s="13">
        <v>14</v>
      </c>
      <c r="C15" s="14">
        <v>22</v>
      </c>
      <c r="D15" s="14">
        <v>13</v>
      </c>
      <c r="E15" s="14">
        <v>14</v>
      </c>
      <c r="F15" s="14">
        <v>18</v>
      </c>
      <c r="G15" s="14">
        <v>20</v>
      </c>
      <c r="H15" s="14">
        <v>14</v>
      </c>
      <c r="I15" s="14">
        <v>17</v>
      </c>
      <c r="J15" s="14">
        <v>26</v>
      </c>
      <c r="K15" s="14">
        <v>18</v>
      </c>
      <c r="L15" s="14">
        <v>21</v>
      </c>
      <c r="M15" s="14">
        <v>14</v>
      </c>
      <c r="N15" s="14">
        <v>17</v>
      </c>
      <c r="O15" s="14">
        <v>7</v>
      </c>
      <c r="P15" s="14">
        <v>14</v>
      </c>
      <c r="Q15" s="14">
        <v>28</v>
      </c>
      <c r="R15" s="14">
        <v>14</v>
      </c>
      <c r="S15" s="14">
        <v>11</v>
      </c>
      <c r="T15" s="14">
        <v>18</v>
      </c>
      <c r="U15" s="14">
        <v>15</v>
      </c>
      <c r="V15" s="14">
        <v>8</v>
      </c>
      <c r="W15" s="14">
        <v>12</v>
      </c>
      <c r="X15" s="14">
        <v>33</v>
      </c>
      <c r="Y15" s="14">
        <v>16</v>
      </c>
      <c r="Z15" s="14">
        <v>24</v>
      </c>
      <c r="AA15" s="14">
        <v>5</v>
      </c>
      <c r="AB15" s="14">
        <v>12</v>
      </c>
      <c r="AC15" s="14">
        <v>9</v>
      </c>
      <c r="AD15" s="14">
        <v>12</v>
      </c>
      <c r="AE15" s="14">
        <v>20</v>
      </c>
      <c r="AF15" s="214">
        <v>21</v>
      </c>
      <c r="AG15" s="15">
        <f t="shared" si="2"/>
        <v>507</v>
      </c>
      <c r="AH15">
        <v>14</v>
      </c>
      <c r="AI15">
        <v>22</v>
      </c>
    </row>
    <row r="16" spans="1:35" ht="18.75" x14ac:dyDescent="0.25">
      <c r="A16" s="12" t="s">
        <v>27</v>
      </c>
      <c r="B16" s="13">
        <v>14</v>
      </c>
      <c r="C16" s="14">
        <v>10</v>
      </c>
      <c r="D16" s="14">
        <v>19</v>
      </c>
      <c r="E16" s="14">
        <v>20</v>
      </c>
      <c r="F16" s="14">
        <v>16</v>
      </c>
      <c r="G16" s="14">
        <v>9</v>
      </c>
      <c r="H16" s="14">
        <v>13</v>
      </c>
      <c r="I16" s="14">
        <v>4</v>
      </c>
      <c r="J16" s="14">
        <v>15</v>
      </c>
      <c r="K16" s="14">
        <v>25</v>
      </c>
      <c r="L16" s="14">
        <v>20</v>
      </c>
      <c r="M16" s="14">
        <v>10</v>
      </c>
      <c r="N16" s="14">
        <v>15</v>
      </c>
      <c r="O16" s="14">
        <v>19</v>
      </c>
      <c r="P16" s="14">
        <v>13</v>
      </c>
      <c r="Q16" s="14">
        <v>20</v>
      </c>
      <c r="R16" s="14">
        <v>17</v>
      </c>
      <c r="S16" s="14">
        <v>31</v>
      </c>
      <c r="T16" s="14">
        <v>12</v>
      </c>
      <c r="U16" s="14">
        <v>10</v>
      </c>
      <c r="V16" s="14">
        <v>12</v>
      </c>
      <c r="W16" s="14">
        <v>17</v>
      </c>
      <c r="X16" s="14">
        <v>15</v>
      </c>
      <c r="Y16" s="14">
        <v>9</v>
      </c>
      <c r="Z16" s="14">
        <v>21</v>
      </c>
      <c r="AA16" s="14">
        <v>21</v>
      </c>
      <c r="AB16" s="14">
        <v>19</v>
      </c>
      <c r="AC16" s="14">
        <v>9</v>
      </c>
      <c r="AD16" s="14">
        <v>9</v>
      </c>
      <c r="AE16" s="14">
        <v>12</v>
      </c>
      <c r="AF16" s="214">
        <v>13</v>
      </c>
      <c r="AG16" s="15">
        <f t="shared" si="2"/>
        <v>469</v>
      </c>
      <c r="AH16">
        <v>14</v>
      </c>
      <c r="AI16">
        <v>10</v>
      </c>
    </row>
    <row r="17" spans="1:35" ht="18.75" x14ac:dyDescent="0.25">
      <c r="A17" s="12" t="s">
        <v>28</v>
      </c>
      <c r="B17" s="13">
        <v>11</v>
      </c>
      <c r="C17" s="14">
        <v>17</v>
      </c>
      <c r="D17" s="14">
        <v>10</v>
      </c>
      <c r="E17" s="14">
        <v>9</v>
      </c>
      <c r="F17" s="14">
        <v>14</v>
      </c>
      <c r="G17" s="14">
        <v>14</v>
      </c>
      <c r="H17" s="14">
        <v>14</v>
      </c>
      <c r="I17" s="14">
        <v>14</v>
      </c>
      <c r="J17" s="14">
        <v>13</v>
      </c>
      <c r="K17" s="14">
        <v>18</v>
      </c>
      <c r="L17" s="14">
        <v>20</v>
      </c>
      <c r="M17" s="14">
        <v>11</v>
      </c>
      <c r="N17" s="14">
        <v>12</v>
      </c>
      <c r="O17" s="14">
        <v>11</v>
      </c>
      <c r="P17" s="14">
        <v>19</v>
      </c>
      <c r="Q17" s="14">
        <v>14</v>
      </c>
      <c r="R17" s="14">
        <v>21</v>
      </c>
      <c r="S17" s="14">
        <v>10</v>
      </c>
      <c r="T17" s="14">
        <v>8</v>
      </c>
      <c r="U17" s="14">
        <v>10</v>
      </c>
      <c r="V17" s="14">
        <v>13</v>
      </c>
      <c r="W17" s="14">
        <v>15</v>
      </c>
      <c r="X17" s="14">
        <v>12</v>
      </c>
      <c r="Y17" s="14">
        <v>18</v>
      </c>
      <c r="Z17" s="14">
        <v>14</v>
      </c>
      <c r="AA17" s="14">
        <v>17</v>
      </c>
      <c r="AB17" s="14">
        <v>9</v>
      </c>
      <c r="AC17" s="14">
        <v>14</v>
      </c>
      <c r="AD17" s="14">
        <v>13</v>
      </c>
      <c r="AE17" s="14">
        <v>18</v>
      </c>
      <c r="AF17" s="214">
        <v>13</v>
      </c>
      <c r="AG17" s="15">
        <f t="shared" si="2"/>
        <v>426</v>
      </c>
      <c r="AH17">
        <v>11</v>
      </c>
      <c r="AI17">
        <v>17</v>
      </c>
    </row>
    <row r="18" spans="1:35" ht="18.75" x14ac:dyDescent="0.25">
      <c r="A18" s="12" t="s">
        <v>29</v>
      </c>
      <c r="B18" s="13">
        <v>5</v>
      </c>
      <c r="C18" s="14">
        <v>9</v>
      </c>
      <c r="D18" s="14">
        <v>6</v>
      </c>
      <c r="E18" s="14">
        <v>12</v>
      </c>
      <c r="F18" s="14">
        <v>12</v>
      </c>
      <c r="G18" s="14">
        <v>15</v>
      </c>
      <c r="H18" s="14">
        <v>11</v>
      </c>
      <c r="I18" s="14">
        <v>11</v>
      </c>
      <c r="J18" s="14">
        <v>6</v>
      </c>
      <c r="K18" s="14">
        <v>13</v>
      </c>
      <c r="L18" s="14">
        <v>7</v>
      </c>
      <c r="M18" s="14">
        <v>9</v>
      </c>
      <c r="N18" s="14">
        <v>2</v>
      </c>
      <c r="O18" s="14">
        <v>13</v>
      </c>
      <c r="P18" s="14">
        <v>11</v>
      </c>
      <c r="Q18" s="14">
        <v>16</v>
      </c>
      <c r="R18" s="14">
        <v>17</v>
      </c>
      <c r="S18" s="14">
        <v>12</v>
      </c>
      <c r="T18" s="14">
        <v>10</v>
      </c>
      <c r="U18" s="14">
        <v>14</v>
      </c>
      <c r="V18" s="14">
        <v>4</v>
      </c>
      <c r="W18" s="14">
        <v>15</v>
      </c>
      <c r="X18" s="14">
        <v>12</v>
      </c>
      <c r="Y18" s="14">
        <v>12</v>
      </c>
      <c r="Z18" s="14">
        <v>8</v>
      </c>
      <c r="AA18" s="14">
        <v>8</v>
      </c>
      <c r="AB18" s="14">
        <v>12</v>
      </c>
      <c r="AC18" s="14">
        <v>5</v>
      </c>
      <c r="AD18" s="14">
        <v>7</v>
      </c>
      <c r="AE18" s="14">
        <v>7</v>
      </c>
      <c r="AF18" s="214">
        <v>6</v>
      </c>
      <c r="AG18" s="15">
        <f t="shared" si="2"/>
        <v>307</v>
      </c>
      <c r="AH18">
        <v>5</v>
      </c>
      <c r="AI18">
        <v>9</v>
      </c>
    </row>
    <row r="19" spans="1:35" ht="18.75" x14ac:dyDescent="0.25">
      <c r="A19" s="12" t="s">
        <v>30</v>
      </c>
      <c r="B19" s="13">
        <v>4</v>
      </c>
      <c r="C19" s="14">
        <v>11</v>
      </c>
      <c r="D19" s="14">
        <v>2</v>
      </c>
      <c r="E19" s="14">
        <v>4</v>
      </c>
      <c r="F19" s="14">
        <v>9</v>
      </c>
      <c r="G19" s="14">
        <v>7</v>
      </c>
      <c r="H19" s="14">
        <v>5</v>
      </c>
      <c r="I19" s="14">
        <v>6</v>
      </c>
      <c r="J19" s="14">
        <v>4</v>
      </c>
      <c r="K19" s="14">
        <v>7</v>
      </c>
      <c r="L19" s="14">
        <v>10</v>
      </c>
      <c r="M19" s="14">
        <v>12</v>
      </c>
      <c r="N19" s="14">
        <v>17</v>
      </c>
      <c r="O19" s="14">
        <v>3</v>
      </c>
      <c r="P19" s="14">
        <v>12</v>
      </c>
      <c r="Q19" s="14">
        <v>4</v>
      </c>
      <c r="R19" s="14">
        <v>7</v>
      </c>
      <c r="S19" s="14">
        <v>5</v>
      </c>
      <c r="T19" s="14">
        <v>8</v>
      </c>
      <c r="U19" s="14">
        <v>8</v>
      </c>
      <c r="V19" s="14">
        <v>9</v>
      </c>
      <c r="W19" s="14">
        <v>6</v>
      </c>
      <c r="X19" s="14">
        <v>11</v>
      </c>
      <c r="Y19" s="14">
        <v>6</v>
      </c>
      <c r="Z19" s="14">
        <v>6</v>
      </c>
      <c r="AA19" s="14">
        <v>7</v>
      </c>
      <c r="AB19" s="14">
        <v>8</v>
      </c>
      <c r="AC19" s="14">
        <v>8</v>
      </c>
      <c r="AD19" s="14">
        <v>5</v>
      </c>
      <c r="AE19" s="14">
        <v>4</v>
      </c>
      <c r="AF19" s="214">
        <v>7</v>
      </c>
      <c r="AG19" s="15">
        <f t="shared" si="2"/>
        <v>222</v>
      </c>
      <c r="AH19">
        <v>4</v>
      </c>
      <c r="AI19">
        <v>11</v>
      </c>
    </row>
    <row r="20" spans="1:35" ht="18.75" x14ac:dyDescent="0.25">
      <c r="A20" s="12" t="s">
        <v>31</v>
      </c>
      <c r="B20" s="13">
        <v>5</v>
      </c>
      <c r="C20" s="14">
        <v>7</v>
      </c>
      <c r="D20" s="14">
        <v>3</v>
      </c>
      <c r="E20" s="14">
        <v>0</v>
      </c>
      <c r="F20" s="14">
        <v>3</v>
      </c>
      <c r="G20" s="14">
        <v>2</v>
      </c>
      <c r="H20" s="14">
        <v>6</v>
      </c>
      <c r="I20" s="14">
        <v>3</v>
      </c>
      <c r="J20" s="14">
        <v>5</v>
      </c>
      <c r="K20" s="14">
        <v>1</v>
      </c>
      <c r="L20" s="14">
        <v>2</v>
      </c>
      <c r="M20" s="14">
        <v>5</v>
      </c>
      <c r="N20" s="14">
        <v>3</v>
      </c>
      <c r="O20" s="14">
        <v>3</v>
      </c>
      <c r="P20" s="14">
        <v>3</v>
      </c>
      <c r="Q20" s="14">
        <v>3</v>
      </c>
      <c r="R20" s="14">
        <v>4</v>
      </c>
      <c r="S20" s="14">
        <v>3</v>
      </c>
      <c r="T20" s="14">
        <v>8</v>
      </c>
      <c r="U20" s="14">
        <v>1</v>
      </c>
      <c r="V20" s="14">
        <v>2</v>
      </c>
      <c r="W20" s="14">
        <v>4</v>
      </c>
      <c r="X20" s="14">
        <v>1</v>
      </c>
      <c r="Y20" s="14">
        <v>2</v>
      </c>
      <c r="Z20" s="14">
        <v>1</v>
      </c>
      <c r="AA20" s="14">
        <v>6</v>
      </c>
      <c r="AB20" s="14">
        <v>4</v>
      </c>
      <c r="AC20" s="14">
        <v>5</v>
      </c>
      <c r="AD20" s="14">
        <v>6</v>
      </c>
      <c r="AE20" s="14">
        <v>2</v>
      </c>
      <c r="AF20" s="214">
        <v>7</v>
      </c>
      <c r="AG20" s="15">
        <f t="shared" si="2"/>
        <v>110</v>
      </c>
      <c r="AH20">
        <v>5</v>
      </c>
      <c r="AI20">
        <v>7</v>
      </c>
    </row>
    <row r="21" spans="1:35" ht="15.75" customHeight="1" x14ac:dyDescent="0.25">
      <c r="A21" s="12" t="s">
        <v>32</v>
      </c>
      <c r="B21" s="13">
        <v>4</v>
      </c>
      <c r="C21" s="14">
        <v>6</v>
      </c>
      <c r="D21" s="14">
        <v>3</v>
      </c>
      <c r="E21" s="14">
        <v>5</v>
      </c>
      <c r="F21" s="14">
        <v>3</v>
      </c>
      <c r="G21" s="14">
        <v>4</v>
      </c>
      <c r="H21" s="14">
        <v>5</v>
      </c>
      <c r="I21" s="14">
        <v>5</v>
      </c>
      <c r="J21" s="14">
        <v>3</v>
      </c>
      <c r="K21" s="14">
        <v>1</v>
      </c>
      <c r="L21" s="14">
        <v>1</v>
      </c>
      <c r="M21" s="14">
        <v>2</v>
      </c>
      <c r="N21" s="14">
        <v>2</v>
      </c>
      <c r="O21" s="14">
        <v>4</v>
      </c>
      <c r="P21" s="14">
        <v>5</v>
      </c>
      <c r="Q21" s="14">
        <v>1</v>
      </c>
      <c r="R21" s="14">
        <v>4</v>
      </c>
      <c r="S21" s="14">
        <v>2</v>
      </c>
      <c r="T21" s="14">
        <v>3</v>
      </c>
      <c r="U21" s="14">
        <v>2</v>
      </c>
      <c r="V21" s="14">
        <v>2</v>
      </c>
      <c r="W21" s="14">
        <v>7</v>
      </c>
      <c r="X21" s="14">
        <v>1</v>
      </c>
      <c r="Y21" s="14">
        <v>1</v>
      </c>
      <c r="Z21" s="14">
        <v>3</v>
      </c>
      <c r="AA21" s="14">
        <v>2</v>
      </c>
      <c r="AB21" s="14">
        <v>1</v>
      </c>
      <c r="AC21" s="14">
        <v>7</v>
      </c>
      <c r="AD21" s="14">
        <v>5</v>
      </c>
      <c r="AE21" s="14">
        <v>1</v>
      </c>
      <c r="AF21" s="214">
        <v>2</v>
      </c>
      <c r="AG21" s="15">
        <f t="shared" si="2"/>
        <v>97</v>
      </c>
      <c r="AH21">
        <v>4</v>
      </c>
      <c r="AI21">
        <v>6</v>
      </c>
    </row>
    <row r="22" spans="1:35" ht="15.75" customHeight="1" x14ac:dyDescent="0.25">
      <c r="A22" s="12" t="s">
        <v>33</v>
      </c>
      <c r="B22" s="13">
        <v>5</v>
      </c>
      <c r="C22" s="14">
        <v>4</v>
      </c>
      <c r="D22" s="14">
        <v>0</v>
      </c>
      <c r="E22" s="14">
        <v>2</v>
      </c>
      <c r="F22" s="14">
        <v>1</v>
      </c>
      <c r="G22" s="14">
        <v>2</v>
      </c>
      <c r="H22" s="14">
        <v>2</v>
      </c>
      <c r="I22" s="14">
        <v>3</v>
      </c>
      <c r="J22" s="14">
        <v>1</v>
      </c>
      <c r="K22" s="14">
        <v>2</v>
      </c>
      <c r="L22" s="14">
        <v>1</v>
      </c>
      <c r="M22" s="14">
        <v>2</v>
      </c>
      <c r="N22" s="14">
        <v>3</v>
      </c>
      <c r="O22" s="14">
        <v>2</v>
      </c>
      <c r="P22" s="14">
        <v>1</v>
      </c>
      <c r="Q22" s="14">
        <v>1</v>
      </c>
      <c r="R22" s="14">
        <v>4</v>
      </c>
      <c r="S22" s="14">
        <v>5</v>
      </c>
      <c r="T22" s="14">
        <v>1</v>
      </c>
      <c r="U22" s="14">
        <v>0</v>
      </c>
      <c r="V22" s="14">
        <v>1</v>
      </c>
      <c r="W22" s="14">
        <v>1</v>
      </c>
      <c r="X22" s="14">
        <v>1</v>
      </c>
      <c r="Y22" s="14">
        <v>0</v>
      </c>
      <c r="Z22" s="14">
        <v>3</v>
      </c>
      <c r="AA22" s="14">
        <v>2</v>
      </c>
      <c r="AB22" s="14">
        <v>5</v>
      </c>
      <c r="AC22" s="14">
        <v>1</v>
      </c>
      <c r="AD22" s="14">
        <v>2</v>
      </c>
      <c r="AE22" s="14">
        <v>3</v>
      </c>
      <c r="AF22" s="214">
        <v>0</v>
      </c>
      <c r="AG22" s="15">
        <f t="shared" si="2"/>
        <v>61</v>
      </c>
      <c r="AH22">
        <v>5</v>
      </c>
      <c r="AI22">
        <v>4</v>
      </c>
    </row>
    <row r="23" spans="1:35" ht="15.75" customHeight="1" x14ac:dyDescent="0.25">
      <c r="A23" s="12" t="s">
        <v>34</v>
      </c>
      <c r="B23" s="13">
        <v>1</v>
      </c>
      <c r="C23" s="14">
        <v>3</v>
      </c>
      <c r="D23" s="14">
        <v>4</v>
      </c>
      <c r="E23" s="14">
        <v>1</v>
      </c>
      <c r="F23" s="14">
        <v>3</v>
      </c>
      <c r="G23" s="14">
        <v>3</v>
      </c>
      <c r="H23" s="14">
        <v>4</v>
      </c>
      <c r="I23" s="14">
        <v>5</v>
      </c>
      <c r="J23" s="14">
        <v>2</v>
      </c>
      <c r="K23" s="14">
        <v>1</v>
      </c>
      <c r="L23" s="14">
        <v>0</v>
      </c>
      <c r="M23" s="14">
        <v>2</v>
      </c>
      <c r="N23" s="14">
        <v>2</v>
      </c>
      <c r="O23" s="14">
        <v>3</v>
      </c>
      <c r="P23" s="14"/>
      <c r="Q23" s="14">
        <v>1</v>
      </c>
      <c r="R23" s="14">
        <v>1</v>
      </c>
      <c r="S23" s="14">
        <v>1</v>
      </c>
      <c r="T23" s="14">
        <v>1</v>
      </c>
      <c r="U23" s="14">
        <v>0</v>
      </c>
      <c r="V23" s="14">
        <v>0</v>
      </c>
      <c r="W23" s="14">
        <v>2</v>
      </c>
      <c r="X23" s="14">
        <v>2</v>
      </c>
      <c r="Y23" s="14">
        <v>2</v>
      </c>
      <c r="Z23" s="14">
        <v>4</v>
      </c>
      <c r="AA23" s="14">
        <v>1</v>
      </c>
      <c r="AB23" s="14">
        <v>3</v>
      </c>
      <c r="AC23" s="14">
        <v>3</v>
      </c>
      <c r="AD23" s="14">
        <v>3</v>
      </c>
      <c r="AE23" s="14">
        <v>1</v>
      </c>
      <c r="AF23" s="214">
        <v>3</v>
      </c>
      <c r="AG23" s="15">
        <f t="shared" si="2"/>
        <v>62</v>
      </c>
      <c r="AH23">
        <v>1</v>
      </c>
      <c r="AI23">
        <v>3</v>
      </c>
    </row>
    <row r="24" spans="1:35" ht="15.75" customHeight="1" x14ac:dyDescent="0.25">
      <c r="A24" s="12" t="s">
        <v>35</v>
      </c>
      <c r="B24" s="13">
        <v>1</v>
      </c>
      <c r="C24" s="14">
        <v>1</v>
      </c>
      <c r="D24" s="14">
        <v>1</v>
      </c>
      <c r="E24" s="14">
        <v>2</v>
      </c>
      <c r="F24" s="14">
        <v>1</v>
      </c>
      <c r="G24" s="14">
        <v>0</v>
      </c>
      <c r="H24" s="14">
        <v>1</v>
      </c>
      <c r="I24" s="14">
        <v>1</v>
      </c>
      <c r="J24" s="14">
        <v>4</v>
      </c>
      <c r="K24" s="14">
        <v>0</v>
      </c>
      <c r="L24" s="14">
        <v>2</v>
      </c>
      <c r="M24" s="14">
        <v>5</v>
      </c>
      <c r="N24" s="14">
        <v>2</v>
      </c>
      <c r="O24" s="14">
        <v>1</v>
      </c>
      <c r="P24" s="14">
        <v>1</v>
      </c>
      <c r="Q24" s="14">
        <v>0</v>
      </c>
      <c r="R24" s="14">
        <v>1</v>
      </c>
      <c r="S24" s="14">
        <v>1</v>
      </c>
      <c r="T24" s="14">
        <v>2</v>
      </c>
      <c r="U24" s="14">
        <v>2</v>
      </c>
      <c r="V24" s="14">
        <v>1</v>
      </c>
      <c r="W24" s="14">
        <v>5</v>
      </c>
      <c r="X24" s="14">
        <v>1</v>
      </c>
      <c r="Y24" s="14">
        <v>2</v>
      </c>
      <c r="Z24" s="14">
        <v>1</v>
      </c>
      <c r="AA24" s="14">
        <v>0</v>
      </c>
      <c r="AB24" s="14">
        <v>3</v>
      </c>
      <c r="AC24" s="14">
        <v>1</v>
      </c>
      <c r="AD24" s="14">
        <v>1</v>
      </c>
      <c r="AE24" s="14">
        <v>2</v>
      </c>
      <c r="AF24" s="214">
        <v>0</v>
      </c>
      <c r="AG24" s="15">
        <f t="shared" si="2"/>
        <v>46</v>
      </c>
      <c r="AH24">
        <v>1</v>
      </c>
      <c r="AI24">
        <v>1</v>
      </c>
    </row>
    <row r="25" spans="1:35" ht="15.75" customHeight="1" x14ac:dyDescent="0.25">
      <c r="A25" s="12" t="s">
        <v>36</v>
      </c>
      <c r="B25" s="13">
        <v>4</v>
      </c>
      <c r="C25" s="14">
        <v>2</v>
      </c>
      <c r="D25" s="14">
        <v>1</v>
      </c>
      <c r="E25" s="14">
        <v>2</v>
      </c>
      <c r="F25" s="14">
        <v>0</v>
      </c>
      <c r="G25" s="14">
        <v>2</v>
      </c>
      <c r="H25" s="14">
        <v>0</v>
      </c>
      <c r="I25" s="14">
        <v>0</v>
      </c>
      <c r="J25" s="14">
        <v>1</v>
      </c>
      <c r="K25" s="14">
        <v>2</v>
      </c>
      <c r="L25" s="14">
        <v>0</v>
      </c>
      <c r="M25" s="14">
        <v>4</v>
      </c>
      <c r="N25" s="14">
        <v>1</v>
      </c>
      <c r="O25" s="14">
        <v>0</v>
      </c>
      <c r="P25" s="14">
        <v>3</v>
      </c>
      <c r="Q25" s="14">
        <v>2</v>
      </c>
      <c r="R25" s="14">
        <v>1</v>
      </c>
      <c r="S25" s="14">
        <v>2</v>
      </c>
      <c r="T25" s="14">
        <v>0</v>
      </c>
      <c r="U25" s="14">
        <v>0</v>
      </c>
      <c r="V25" s="14">
        <v>1</v>
      </c>
      <c r="W25" s="14">
        <v>2</v>
      </c>
      <c r="X25" s="14">
        <v>1</v>
      </c>
      <c r="Y25" s="14">
        <v>4</v>
      </c>
      <c r="Z25" s="14">
        <v>1</v>
      </c>
      <c r="AA25" s="14">
        <v>0</v>
      </c>
      <c r="AB25" s="14">
        <v>1</v>
      </c>
      <c r="AC25" s="14">
        <v>1</v>
      </c>
      <c r="AD25" s="14">
        <v>2</v>
      </c>
      <c r="AE25" s="14">
        <v>1</v>
      </c>
      <c r="AF25" s="214">
        <v>3</v>
      </c>
      <c r="AG25" s="15">
        <f t="shared" si="2"/>
        <v>44</v>
      </c>
      <c r="AH25">
        <v>4</v>
      </c>
      <c r="AI25">
        <v>2</v>
      </c>
    </row>
    <row r="26" spans="1:35" ht="15.75" customHeight="1" x14ac:dyDescent="0.25">
      <c r="A26" s="12" t="s">
        <v>37</v>
      </c>
      <c r="B26" s="13">
        <v>1</v>
      </c>
      <c r="C26" s="14">
        <v>3</v>
      </c>
      <c r="D26" s="14">
        <v>0</v>
      </c>
      <c r="E26" s="14">
        <v>2</v>
      </c>
      <c r="F26" s="14">
        <v>2</v>
      </c>
      <c r="G26" s="14">
        <v>0</v>
      </c>
      <c r="H26" s="14">
        <v>1</v>
      </c>
      <c r="I26" s="14">
        <v>2</v>
      </c>
      <c r="J26" s="14">
        <v>1</v>
      </c>
      <c r="K26" s="14">
        <v>4</v>
      </c>
      <c r="L26" s="14">
        <v>5</v>
      </c>
      <c r="M26" s="14">
        <v>2</v>
      </c>
      <c r="N26" s="14">
        <v>3</v>
      </c>
      <c r="O26" s="14">
        <v>2</v>
      </c>
      <c r="P26" s="14">
        <v>1</v>
      </c>
      <c r="Q26" s="14">
        <v>1</v>
      </c>
      <c r="R26" s="14">
        <v>1</v>
      </c>
      <c r="S26" s="14">
        <v>2</v>
      </c>
      <c r="T26" s="14">
        <v>3</v>
      </c>
      <c r="U26" s="14">
        <v>1</v>
      </c>
      <c r="V26" s="14">
        <v>2</v>
      </c>
      <c r="W26" s="14">
        <v>3</v>
      </c>
      <c r="X26" s="14">
        <v>1</v>
      </c>
      <c r="Y26" s="14">
        <v>2</v>
      </c>
      <c r="Z26" s="14">
        <v>0</v>
      </c>
      <c r="AA26" s="14">
        <v>1</v>
      </c>
      <c r="AB26" s="14">
        <v>5</v>
      </c>
      <c r="AC26" s="14">
        <v>2</v>
      </c>
      <c r="AD26" s="14">
        <v>1</v>
      </c>
      <c r="AE26" s="14">
        <v>0</v>
      </c>
      <c r="AF26" s="214">
        <v>1</v>
      </c>
      <c r="AG26" s="15">
        <f t="shared" si="2"/>
        <v>55</v>
      </c>
      <c r="AH26">
        <v>1</v>
      </c>
      <c r="AI26">
        <v>3</v>
      </c>
    </row>
    <row r="27" spans="1:35" ht="15.75" customHeight="1" thickBot="1" x14ac:dyDescent="0.3">
      <c r="A27" s="16" t="s">
        <v>38</v>
      </c>
      <c r="B27" s="17">
        <v>3</v>
      </c>
      <c r="C27" s="18">
        <v>1</v>
      </c>
      <c r="D27" s="18">
        <v>5</v>
      </c>
      <c r="E27" s="18">
        <v>6</v>
      </c>
      <c r="F27" s="18">
        <v>4</v>
      </c>
      <c r="G27" s="18">
        <v>1</v>
      </c>
      <c r="H27" s="18">
        <v>8</v>
      </c>
      <c r="I27" s="18">
        <v>4</v>
      </c>
      <c r="J27" s="18">
        <v>3</v>
      </c>
      <c r="K27" s="18">
        <v>4</v>
      </c>
      <c r="L27" s="18">
        <v>6</v>
      </c>
      <c r="M27" s="18">
        <v>9</v>
      </c>
      <c r="N27" s="18">
        <v>5</v>
      </c>
      <c r="O27" s="18">
        <v>1</v>
      </c>
      <c r="P27" s="18">
        <v>4</v>
      </c>
      <c r="Q27" s="18">
        <v>4</v>
      </c>
      <c r="R27" s="18">
        <v>6</v>
      </c>
      <c r="S27" s="18">
        <v>8</v>
      </c>
      <c r="T27" s="18">
        <v>2</v>
      </c>
      <c r="U27" s="18">
        <v>4</v>
      </c>
      <c r="V27" s="18">
        <v>5</v>
      </c>
      <c r="W27" s="18">
        <v>4</v>
      </c>
      <c r="X27" s="18">
        <v>7</v>
      </c>
      <c r="Y27" s="18">
        <v>7</v>
      </c>
      <c r="Z27" s="18">
        <v>2</v>
      </c>
      <c r="AA27" s="18">
        <v>3</v>
      </c>
      <c r="AB27" s="18">
        <v>6</v>
      </c>
      <c r="AC27" s="18">
        <v>4</v>
      </c>
      <c r="AD27" s="18">
        <v>2</v>
      </c>
      <c r="AE27" s="18">
        <v>5</v>
      </c>
      <c r="AF27" s="215">
        <v>5</v>
      </c>
      <c r="AG27" s="15">
        <f t="shared" si="2"/>
        <v>138</v>
      </c>
      <c r="AH27">
        <v>3</v>
      </c>
      <c r="AI27">
        <v>1</v>
      </c>
    </row>
    <row r="28" spans="1:35" ht="15.75" customHeight="1" x14ac:dyDescent="0.25">
      <c r="A28" s="19" t="s">
        <v>39</v>
      </c>
      <c r="B28" s="20">
        <v>241</v>
      </c>
      <c r="C28" s="21">
        <f t="shared" ref="C28:AF28" si="3">SUM(C29:C52)</f>
        <v>243</v>
      </c>
      <c r="D28" s="21">
        <f t="shared" si="3"/>
        <v>234</v>
      </c>
      <c r="E28" s="21">
        <f t="shared" si="3"/>
        <v>183</v>
      </c>
      <c r="F28" s="21">
        <f t="shared" si="3"/>
        <v>195</v>
      </c>
      <c r="G28" s="21">
        <f t="shared" si="3"/>
        <v>179</v>
      </c>
      <c r="H28" s="21">
        <f t="shared" si="3"/>
        <v>249</v>
      </c>
      <c r="I28" s="21">
        <f t="shared" si="3"/>
        <v>223</v>
      </c>
      <c r="J28" s="21">
        <f t="shared" si="3"/>
        <v>241</v>
      </c>
      <c r="K28" s="21">
        <f t="shared" si="3"/>
        <v>222</v>
      </c>
      <c r="L28" s="21">
        <f t="shared" si="3"/>
        <v>251</v>
      </c>
      <c r="M28" s="21">
        <f t="shared" si="3"/>
        <v>196</v>
      </c>
      <c r="N28" s="21">
        <f t="shared" si="3"/>
        <v>202</v>
      </c>
      <c r="O28" s="21">
        <f t="shared" si="3"/>
        <v>242</v>
      </c>
      <c r="P28" s="21">
        <f t="shared" si="3"/>
        <v>235</v>
      </c>
      <c r="Q28" s="21">
        <f t="shared" si="3"/>
        <v>211</v>
      </c>
      <c r="R28" s="21">
        <f t="shared" si="3"/>
        <v>273</v>
      </c>
      <c r="S28" s="21">
        <f t="shared" si="3"/>
        <v>206</v>
      </c>
      <c r="T28" s="21">
        <f t="shared" si="3"/>
        <v>210</v>
      </c>
      <c r="U28" s="21">
        <f t="shared" si="3"/>
        <v>214</v>
      </c>
      <c r="V28" s="21">
        <f t="shared" si="3"/>
        <v>215</v>
      </c>
      <c r="W28" s="21">
        <f t="shared" si="3"/>
        <v>243</v>
      </c>
      <c r="X28" s="21">
        <f t="shared" si="3"/>
        <v>207</v>
      </c>
      <c r="Y28" s="21">
        <f t="shared" si="3"/>
        <v>248</v>
      </c>
      <c r="Z28" s="21">
        <f t="shared" si="3"/>
        <v>242</v>
      </c>
      <c r="AA28" s="21">
        <f t="shared" si="3"/>
        <v>229</v>
      </c>
      <c r="AB28" s="21">
        <f t="shared" si="3"/>
        <v>265</v>
      </c>
      <c r="AC28" s="21">
        <f t="shared" si="3"/>
        <v>219</v>
      </c>
      <c r="AD28" s="21">
        <f t="shared" si="3"/>
        <v>223</v>
      </c>
      <c r="AE28" s="21">
        <f t="shared" si="3"/>
        <v>225</v>
      </c>
      <c r="AF28" s="21">
        <f t="shared" si="3"/>
        <v>215</v>
      </c>
      <c r="AG28" s="22">
        <f t="shared" si="2"/>
        <v>6981</v>
      </c>
      <c r="AH28">
        <v>241</v>
      </c>
      <c r="AI28">
        <v>243</v>
      </c>
    </row>
    <row r="29" spans="1:35" ht="15.75" customHeight="1" x14ac:dyDescent="0.25">
      <c r="A29" s="12" t="s">
        <v>15</v>
      </c>
      <c r="B29" s="13">
        <v>8</v>
      </c>
      <c r="C29" s="14">
        <v>10</v>
      </c>
      <c r="D29" s="14">
        <v>10</v>
      </c>
      <c r="E29" s="14">
        <v>5</v>
      </c>
      <c r="F29" s="14">
        <v>4</v>
      </c>
      <c r="G29" s="14">
        <v>3</v>
      </c>
      <c r="H29" s="14">
        <v>15</v>
      </c>
      <c r="I29" s="14">
        <v>8</v>
      </c>
      <c r="J29" s="14">
        <v>8</v>
      </c>
      <c r="K29" s="14">
        <v>7</v>
      </c>
      <c r="L29" s="14">
        <v>11</v>
      </c>
      <c r="M29" s="14">
        <v>5</v>
      </c>
      <c r="N29" s="14">
        <v>7</v>
      </c>
      <c r="O29" s="14">
        <v>8</v>
      </c>
      <c r="P29" s="14">
        <v>5</v>
      </c>
      <c r="Q29" s="14">
        <v>9</v>
      </c>
      <c r="R29" s="14">
        <v>14</v>
      </c>
      <c r="S29" s="14">
        <v>4</v>
      </c>
      <c r="T29" s="14">
        <v>6</v>
      </c>
      <c r="U29" s="14">
        <v>8</v>
      </c>
      <c r="V29" s="14">
        <v>14</v>
      </c>
      <c r="W29" s="14">
        <v>5</v>
      </c>
      <c r="X29" s="14">
        <v>10</v>
      </c>
      <c r="Y29" s="14">
        <v>6</v>
      </c>
      <c r="Z29" s="14">
        <v>10</v>
      </c>
      <c r="AA29" s="14">
        <v>6</v>
      </c>
      <c r="AB29" s="14">
        <v>8</v>
      </c>
      <c r="AC29" s="14">
        <v>2</v>
      </c>
      <c r="AD29" s="14">
        <v>5</v>
      </c>
      <c r="AE29" s="14">
        <v>9</v>
      </c>
      <c r="AF29" s="214">
        <v>8</v>
      </c>
      <c r="AG29" s="15">
        <f t="shared" si="2"/>
        <v>238</v>
      </c>
      <c r="AH29">
        <v>8</v>
      </c>
      <c r="AI29">
        <v>10</v>
      </c>
    </row>
    <row r="30" spans="1:35" ht="15.75" customHeight="1" x14ac:dyDescent="0.25">
      <c r="A30" s="12" t="s">
        <v>16</v>
      </c>
      <c r="B30" s="13">
        <v>9</v>
      </c>
      <c r="C30" s="14">
        <v>13</v>
      </c>
      <c r="D30" s="14">
        <v>14</v>
      </c>
      <c r="E30" s="14">
        <v>12</v>
      </c>
      <c r="F30" s="14">
        <v>11</v>
      </c>
      <c r="G30" s="14">
        <v>11</v>
      </c>
      <c r="H30" s="14">
        <v>10</v>
      </c>
      <c r="I30" s="14">
        <v>6</v>
      </c>
      <c r="J30" s="14">
        <v>9</v>
      </c>
      <c r="K30" s="14">
        <v>12</v>
      </c>
      <c r="L30" s="14">
        <v>10</v>
      </c>
      <c r="M30" s="14">
        <v>6</v>
      </c>
      <c r="N30" s="14">
        <v>6</v>
      </c>
      <c r="O30" s="14">
        <v>15</v>
      </c>
      <c r="P30" s="14">
        <v>9</v>
      </c>
      <c r="Q30" s="14">
        <v>11</v>
      </c>
      <c r="R30" s="14">
        <v>12</v>
      </c>
      <c r="S30" s="14">
        <v>6</v>
      </c>
      <c r="T30" s="14">
        <v>5</v>
      </c>
      <c r="U30" s="14">
        <v>8</v>
      </c>
      <c r="V30" s="14">
        <v>4</v>
      </c>
      <c r="W30" s="14">
        <v>12</v>
      </c>
      <c r="X30" s="14">
        <v>11</v>
      </c>
      <c r="Y30" s="14">
        <v>15</v>
      </c>
      <c r="Z30" s="14">
        <v>12</v>
      </c>
      <c r="AA30" s="14">
        <v>11</v>
      </c>
      <c r="AB30" s="14">
        <v>12</v>
      </c>
      <c r="AC30" s="14">
        <v>10</v>
      </c>
      <c r="AD30" s="14">
        <v>13</v>
      </c>
      <c r="AE30" s="14">
        <v>10</v>
      </c>
      <c r="AF30" s="214">
        <v>14</v>
      </c>
      <c r="AG30" s="15">
        <f t="shared" si="2"/>
        <v>319</v>
      </c>
      <c r="AH30">
        <v>9</v>
      </c>
      <c r="AI30">
        <v>13</v>
      </c>
    </row>
    <row r="31" spans="1:35" ht="15.75" customHeight="1" x14ac:dyDescent="0.25">
      <c r="A31" s="12" t="s">
        <v>17</v>
      </c>
      <c r="B31" s="13">
        <v>8</v>
      </c>
      <c r="C31" s="14">
        <v>8</v>
      </c>
      <c r="D31" s="14">
        <v>11</v>
      </c>
      <c r="E31" s="14">
        <v>7</v>
      </c>
      <c r="F31" s="14">
        <v>7</v>
      </c>
      <c r="G31" s="14">
        <v>9</v>
      </c>
      <c r="H31" s="14">
        <v>17</v>
      </c>
      <c r="I31" s="14">
        <v>16</v>
      </c>
      <c r="J31" s="14">
        <v>15</v>
      </c>
      <c r="K31" s="14">
        <v>6</v>
      </c>
      <c r="L31" s="14">
        <v>11</v>
      </c>
      <c r="M31" s="14">
        <v>9</v>
      </c>
      <c r="N31" s="14">
        <v>8</v>
      </c>
      <c r="O31" s="14">
        <v>19</v>
      </c>
      <c r="P31" s="14">
        <v>12</v>
      </c>
      <c r="Q31" s="14">
        <v>6</v>
      </c>
      <c r="R31" s="14">
        <v>12</v>
      </c>
      <c r="S31" s="14">
        <v>5</v>
      </c>
      <c r="T31" s="14">
        <v>5</v>
      </c>
      <c r="U31" s="14">
        <v>13</v>
      </c>
      <c r="V31" s="14">
        <v>13</v>
      </c>
      <c r="W31" s="14">
        <v>15</v>
      </c>
      <c r="X31" s="14">
        <v>11</v>
      </c>
      <c r="Y31" s="14">
        <v>20</v>
      </c>
      <c r="Z31" s="14">
        <v>19</v>
      </c>
      <c r="AA31" s="14">
        <v>14</v>
      </c>
      <c r="AB31" s="14">
        <v>16</v>
      </c>
      <c r="AC31" s="14">
        <v>16</v>
      </c>
      <c r="AD31" s="14">
        <v>12</v>
      </c>
      <c r="AE31" s="14">
        <v>12</v>
      </c>
      <c r="AF31" s="214">
        <v>13</v>
      </c>
      <c r="AG31" s="15">
        <f t="shared" si="2"/>
        <v>365</v>
      </c>
      <c r="AH31">
        <v>8</v>
      </c>
      <c r="AI31">
        <v>8</v>
      </c>
    </row>
    <row r="32" spans="1:35" ht="15.75" customHeight="1" x14ac:dyDescent="0.25">
      <c r="A32" s="12" t="s">
        <v>18</v>
      </c>
      <c r="B32" s="13">
        <v>17</v>
      </c>
      <c r="C32" s="14">
        <v>7</v>
      </c>
      <c r="D32" s="14">
        <v>12</v>
      </c>
      <c r="E32" s="14">
        <v>7</v>
      </c>
      <c r="F32" s="14">
        <v>6</v>
      </c>
      <c r="G32" s="14">
        <v>6</v>
      </c>
      <c r="H32" s="14">
        <v>23</v>
      </c>
      <c r="I32" s="14">
        <v>15</v>
      </c>
      <c r="J32" s="14">
        <v>11</v>
      </c>
      <c r="K32" s="14">
        <v>12</v>
      </c>
      <c r="L32" s="14">
        <v>14</v>
      </c>
      <c r="M32" s="14">
        <v>5</v>
      </c>
      <c r="N32" s="14">
        <v>6</v>
      </c>
      <c r="O32" s="14">
        <v>16</v>
      </c>
      <c r="P32" s="14">
        <v>12</v>
      </c>
      <c r="Q32" s="14">
        <v>9</v>
      </c>
      <c r="R32" s="14">
        <v>16</v>
      </c>
      <c r="S32" s="14">
        <v>6</v>
      </c>
      <c r="T32" s="14">
        <v>4</v>
      </c>
      <c r="U32" s="14">
        <v>6</v>
      </c>
      <c r="V32" s="14">
        <v>12</v>
      </c>
      <c r="W32" s="14">
        <v>13</v>
      </c>
      <c r="X32" s="14">
        <v>9</v>
      </c>
      <c r="Y32" s="14">
        <v>13</v>
      </c>
      <c r="Z32" s="14">
        <v>13</v>
      </c>
      <c r="AA32" s="14">
        <v>7</v>
      </c>
      <c r="AB32" s="14">
        <v>22</v>
      </c>
      <c r="AC32" s="14">
        <v>15</v>
      </c>
      <c r="AD32" s="14">
        <v>19</v>
      </c>
      <c r="AE32" s="14">
        <v>8</v>
      </c>
      <c r="AF32" s="214">
        <v>11</v>
      </c>
      <c r="AG32" s="15">
        <f t="shared" si="2"/>
        <v>352</v>
      </c>
      <c r="AH32">
        <v>17</v>
      </c>
      <c r="AI32">
        <v>7</v>
      </c>
    </row>
    <row r="33" spans="1:35" ht="15.75" customHeight="1" x14ac:dyDescent="0.25">
      <c r="A33" s="12" t="s">
        <v>19</v>
      </c>
      <c r="B33" s="13">
        <v>9</v>
      </c>
      <c r="C33" s="14">
        <v>12</v>
      </c>
      <c r="D33" s="14">
        <v>14</v>
      </c>
      <c r="E33" s="14">
        <v>8</v>
      </c>
      <c r="F33" s="14">
        <v>10</v>
      </c>
      <c r="G33" s="14">
        <v>5</v>
      </c>
      <c r="H33" s="14">
        <v>16</v>
      </c>
      <c r="I33" s="14">
        <v>12</v>
      </c>
      <c r="J33" s="14">
        <v>13</v>
      </c>
      <c r="K33" s="14">
        <v>10</v>
      </c>
      <c r="L33" s="14">
        <v>10</v>
      </c>
      <c r="M33" s="14">
        <v>6</v>
      </c>
      <c r="N33" s="14">
        <v>10</v>
      </c>
      <c r="O33" s="14">
        <v>18</v>
      </c>
      <c r="P33" s="14">
        <v>14</v>
      </c>
      <c r="Q33" s="14">
        <v>2</v>
      </c>
      <c r="R33" s="14">
        <v>14</v>
      </c>
      <c r="S33" s="14">
        <v>3</v>
      </c>
      <c r="T33" s="14">
        <v>3</v>
      </c>
      <c r="U33" s="14">
        <v>10</v>
      </c>
      <c r="V33" s="14">
        <v>20</v>
      </c>
      <c r="W33" s="14">
        <v>12</v>
      </c>
      <c r="X33" s="14">
        <v>7</v>
      </c>
      <c r="Y33" s="14">
        <v>16</v>
      </c>
      <c r="Z33" s="14">
        <v>12</v>
      </c>
      <c r="AA33" s="14">
        <v>10</v>
      </c>
      <c r="AB33" s="14">
        <v>24</v>
      </c>
      <c r="AC33" s="14">
        <v>8</v>
      </c>
      <c r="AD33" s="14">
        <v>18</v>
      </c>
      <c r="AE33" s="14">
        <v>7</v>
      </c>
      <c r="AF33" s="214">
        <v>10</v>
      </c>
      <c r="AG33" s="15">
        <f t="shared" si="2"/>
        <v>343</v>
      </c>
      <c r="AH33">
        <v>9</v>
      </c>
      <c r="AI33">
        <v>12</v>
      </c>
    </row>
    <row r="34" spans="1:35" ht="15.75" customHeight="1" x14ac:dyDescent="0.25">
      <c r="A34" s="12" t="s">
        <v>20</v>
      </c>
      <c r="B34" s="13">
        <v>11</v>
      </c>
      <c r="C34" s="14">
        <v>13</v>
      </c>
      <c r="D34" s="14">
        <v>6</v>
      </c>
      <c r="E34" s="14">
        <v>4</v>
      </c>
      <c r="F34" s="14">
        <v>2</v>
      </c>
      <c r="G34" s="14">
        <v>7</v>
      </c>
      <c r="H34" s="14">
        <v>13</v>
      </c>
      <c r="I34" s="14">
        <v>17</v>
      </c>
      <c r="J34" s="14">
        <v>14</v>
      </c>
      <c r="K34" s="14">
        <v>5</v>
      </c>
      <c r="L34" s="14">
        <v>4</v>
      </c>
      <c r="M34" s="14">
        <v>4</v>
      </c>
      <c r="N34" s="14">
        <v>6</v>
      </c>
      <c r="O34" s="14">
        <v>21</v>
      </c>
      <c r="P34" s="14">
        <v>11</v>
      </c>
      <c r="Q34" s="14">
        <v>6</v>
      </c>
      <c r="R34" s="14">
        <v>6</v>
      </c>
      <c r="S34" s="14">
        <v>7</v>
      </c>
      <c r="T34" s="14">
        <v>4</v>
      </c>
      <c r="U34" s="14">
        <v>9</v>
      </c>
      <c r="V34" s="14">
        <v>15</v>
      </c>
      <c r="W34" s="14">
        <v>16</v>
      </c>
      <c r="X34" s="14">
        <v>10</v>
      </c>
      <c r="Y34" s="14">
        <v>6</v>
      </c>
      <c r="Z34" s="14">
        <v>13</v>
      </c>
      <c r="AA34" s="14">
        <v>8</v>
      </c>
      <c r="AB34" s="14">
        <v>9</v>
      </c>
      <c r="AC34" s="14">
        <v>9</v>
      </c>
      <c r="AD34" s="14">
        <v>10</v>
      </c>
      <c r="AE34" s="14">
        <v>4</v>
      </c>
      <c r="AF34" s="214">
        <v>7</v>
      </c>
      <c r="AG34" s="15">
        <f t="shared" si="2"/>
        <v>277</v>
      </c>
      <c r="AH34">
        <v>11</v>
      </c>
      <c r="AI34" s="266">
        <v>13</v>
      </c>
    </row>
    <row r="35" spans="1:35" ht="15.75" customHeight="1" x14ac:dyDescent="0.25">
      <c r="A35" s="12" t="s">
        <v>21</v>
      </c>
      <c r="B35" s="13">
        <v>9</v>
      </c>
      <c r="C35" s="14">
        <v>10</v>
      </c>
      <c r="D35" s="14">
        <v>18</v>
      </c>
      <c r="E35" s="14">
        <v>6</v>
      </c>
      <c r="F35" s="14">
        <v>7</v>
      </c>
      <c r="G35" s="14">
        <v>4</v>
      </c>
      <c r="H35" s="14">
        <v>14</v>
      </c>
      <c r="I35" s="14">
        <v>11</v>
      </c>
      <c r="J35" s="14">
        <v>11</v>
      </c>
      <c r="K35" s="14">
        <v>12</v>
      </c>
      <c r="L35" s="14">
        <v>11</v>
      </c>
      <c r="M35" s="14">
        <v>10</v>
      </c>
      <c r="N35" s="14">
        <v>4</v>
      </c>
      <c r="O35" s="14">
        <v>12</v>
      </c>
      <c r="P35" s="14">
        <v>4</v>
      </c>
      <c r="Q35" s="14">
        <v>5</v>
      </c>
      <c r="R35" s="14">
        <v>10</v>
      </c>
      <c r="S35" s="14">
        <v>3</v>
      </c>
      <c r="T35" s="14">
        <v>8</v>
      </c>
      <c r="U35" s="14">
        <v>13</v>
      </c>
      <c r="V35" s="14">
        <v>9</v>
      </c>
      <c r="W35" s="14">
        <v>13</v>
      </c>
      <c r="X35" s="14">
        <v>12</v>
      </c>
      <c r="Y35" s="14">
        <v>14</v>
      </c>
      <c r="Z35" s="14">
        <v>5</v>
      </c>
      <c r="AA35" s="14">
        <v>10</v>
      </c>
      <c r="AB35" s="14">
        <v>20</v>
      </c>
      <c r="AC35" s="14">
        <v>10</v>
      </c>
      <c r="AD35" s="14">
        <v>13</v>
      </c>
      <c r="AE35" s="14">
        <v>15</v>
      </c>
      <c r="AF35" s="214">
        <v>11</v>
      </c>
      <c r="AG35" s="15">
        <f t="shared" ref="AG35:AG66" si="4">SUM(B35:AF35)</f>
        <v>314</v>
      </c>
      <c r="AH35">
        <v>9</v>
      </c>
      <c r="AI35" s="266">
        <v>10</v>
      </c>
    </row>
    <row r="36" spans="1:35" ht="15.75" customHeight="1" x14ac:dyDescent="0.25">
      <c r="A36" s="12" t="s">
        <v>22</v>
      </c>
      <c r="B36" s="13">
        <v>17</v>
      </c>
      <c r="C36" s="14">
        <v>14</v>
      </c>
      <c r="D36" s="14">
        <v>6</v>
      </c>
      <c r="E36" s="14">
        <v>4</v>
      </c>
      <c r="F36" s="14">
        <v>8</v>
      </c>
      <c r="G36" s="14">
        <v>6</v>
      </c>
      <c r="H36" s="14">
        <v>19</v>
      </c>
      <c r="I36" s="14">
        <v>18</v>
      </c>
      <c r="J36" s="14">
        <v>12</v>
      </c>
      <c r="K36" s="14">
        <v>11</v>
      </c>
      <c r="L36" s="14">
        <v>9</v>
      </c>
      <c r="M36" s="14">
        <v>15</v>
      </c>
      <c r="N36" s="14">
        <v>11</v>
      </c>
      <c r="O36" s="14">
        <v>13</v>
      </c>
      <c r="P36" s="14">
        <v>17</v>
      </c>
      <c r="Q36" s="14">
        <v>7</v>
      </c>
      <c r="R36" s="14">
        <v>9</v>
      </c>
      <c r="S36" s="14">
        <v>10</v>
      </c>
      <c r="T36" s="14">
        <v>14</v>
      </c>
      <c r="U36" s="14">
        <v>10</v>
      </c>
      <c r="V36" s="14">
        <v>13</v>
      </c>
      <c r="W36" s="14">
        <v>7</v>
      </c>
      <c r="X36" s="14">
        <v>7</v>
      </c>
      <c r="Y36" s="14">
        <v>11</v>
      </c>
      <c r="Z36" s="14">
        <v>5</v>
      </c>
      <c r="AA36" s="14">
        <v>19</v>
      </c>
      <c r="AB36" s="14">
        <v>14</v>
      </c>
      <c r="AC36" s="14">
        <v>17</v>
      </c>
      <c r="AD36" s="14">
        <v>11</v>
      </c>
      <c r="AE36" s="14">
        <v>14</v>
      </c>
      <c r="AF36" s="214">
        <v>7</v>
      </c>
      <c r="AG36" s="15">
        <f t="shared" si="4"/>
        <v>355</v>
      </c>
      <c r="AH36">
        <v>17</v>
      </c>
      <c r="AI36" s="266">
        <v>14</v>
      </c>
    </row>
    <row r="37" spans="1:35" ht="15.75" customHeight="1" x14ac:dyDescent="0.25">
      <c r="A37" s="12" t="s">
        <v>23</v>
      </c>
      <c r="B37" s="13">
        <v>19</v>
      </c>
      <c r="C37" s="14">
        <v>9</v>
      </c>
      <c r="D37" s="14">
        <v>12</v>
      </c>
      <c r="E37" s="14">
        <v>3</v>
      </c>
      <c r="F37" s="14">
        <v>7</v>
      </c>
      <c r="G37" s="14">
        <v>5</v>
      </c>
      <c r="H37" s="14">
        <v>15</v>
      </c>
      <c r="I37" s="14">
        <v>10</v>
      </c>
      <c r="J37" s="14">
        <v>10</v>
      </c>
      <c r="K37" s="14">
        <v>15</v>
      </c>
      <c r="L37" s="14">
        <v>10</v>
      </c>
      <c r="M37" s="14">
        <v>9</v>
      </c>
      <c r="N37" s="14">
        <v>5</v>
      </c>
      <c r="O37" s="14">
        <v>15</v>
      </c>
      <c r="P37" s="14">
        <v>19</v>
      </c>
      <c r="Q37" s="14">
        <v>10</v>
      </c>
      <c r="R37" s="14">
        <v>13</v>
      </c>
      <c r="S37" s="14">
        <v>19</v>
      </c>
      <c r="T37" s="14">
        <v>16</v>
      </c>
      <c r="U37" s="14">
        <v>11</v>
      </c>
      <c r="V37" s="14">
        <v>6</v>
      </c>
      <c r="W37" s="14">
        <v>7</v>
      </c>
      <c r="X37" s="14">
        <v>10</v>
      </c>
      <c r="Y37" s="14">
        <v>21</v>
      </c>
      <c r="Z37" s="14">
        <v>12</v>
      </c>
      <c r="AA37" s="14">
        <v>10</v>
      </c>
      <c r="AB37" s="14">
        <v>14</v>
      </c>
      <c r="AC37" s="14">
        <v>11</v>
      </c>
      <c r="AD37" s="14">
        <v>10</v>
      </c>
      <c r="AE37" s="14">
        <v>15</v>
      </c>
      <c r="AF37" s="214">
        <v>5</v>
      </c>
      <c r="AG37" s="15">
        <f t="shared" si="4"/>
        <v>353</v>
      </c>
      <c r="AH37">
        <v>19</v>
      </c>
      <c r="AI37" s="266">
        <v>9</v>
      </c>
    </row>
    <row r="38" spans="1:35" ht="15.75" customHeight="1" x14ac:dyDescent="0.25">
      <c r="A38" s="12" t="s">
        <v>24</v>
      </c>
      <c r="B38" s="13">
        <v>22</v>
      </c>
      <c r="C38" s="14">
        <v>8</v>
      </c>
      <c r="D38" s="14">
        <v>3</v>
      </c>
      <c r="E38" s="14">
        <v>9</v>
      </c>
      <c r="F38" s="14">
        <v>8</v>
      </c>
      <c r="G38" s="14">
        <v>11</v>
      </c>
      <c r="H38" s="14">
        <v>12</v>
      </c>
      <c r="I38" s="14">
        <v>16</v>
      </c>
      <c r="J38" s="14">
        <v>17</v>
      </c>
      <c r="K38" s="14">
        <v>9</v>
      </c>
      <c r="L38" s="14">
        <v>11</v>
      </c>
      <c r="M38" s="14">
        <v>7</v>
      </c>
      <c r="N38" s="14">
        <v>7</v>
      </c>
      <c r="O38" s="14">
        <v>14</v>
      </c>
      <c r="P38" s="14">
        <v>14</v>
      </c>
      <c r="Q38" s="14">
        <v>7</v>
      </c>
      <c r="R38" s="14">
        <v>11</v>
      </c>
      <c r="S38" s="14">
        <v>9</v>
      </c>
      <c r="T38" s="14">
        <v>8</v>
      </c>
      <c r="U38" s="14">
        <v>12</v>
      </c>
      <c r="V38" s="14">
        <v>9</v>
      </c>
      <c r="W38" s="14">
        <v>10</v>
      </c>
      <c r="X38" s="14">
        <v>5</v>
      </c>
      <c r="Y38" s="14">
        <v>9</v>
      </c>
      <c r="Z38" s="14">
        <v>5</v>
      </c>
      <c r="AA38" s="14">
        <v>9</v>
      </c>
      <c r="AB38" s="14">
        <v>21</v>
      </c>
      <c r="AC38" s="14">
        <v>15</v>
      </c>
      <c r="AD38" s="14">
        <v>10</v>
      </c>
      <c r="AE38" s="14">
        <v>11</v>
      </c>
      <c r="AF38" s="214">
        <v>11</v>
      </c>
      <c r="AG38" s="15">
        <f t="shared" si="4"/>
        <v>330</v>
      </c>
      <c r="AH38">
        <v>22</v>
      </c>
      <c r="AI38">
        <v>8</v>
      </c>
    </row>
    <row r="39" spans="1:35" ht="15.75" customHeight="1" x14ac:dyDescent="0.25">
      <c r="A39" s="12" t="s">
        <v>25</v>
      </c>
      <c r="B39" s="13">
        <v>21</v>
      </c>
      <c r="C39" s="14">
        <v>18</v>
      </c>
      <c r="D39" s="14">
        <v>21</v>
      </c>
      <c r="E39" s="14">
        <v>18</v>
      </c>
      <c r="F39" s="14">
        <v>11</v>
      </c>
      <c r="G39" s="14">
        <v>14</v>
      </c>
      <c r="H39" s="14">
        <v>11</v>
      </c>
      <c r="I39" s="14">
        <v>9</v>
      </c>
      <c r="J39" s="14">
        <v>21</v>
      </c>
      <c r="K39" s="14">
        <v>19</v>
      </c>
      <c r="L39" s="14">
        <v>19</v>
      </c>
      <c r="M39" s="14">
        <v>12</v>
      </c>
      <c r="N39" s="14">
        <v>20</v>
      </c>
      <c r="O39" s="14">
        <v>12</v>
      </c>
      <c r="P39" s="14">
        <v>12</v>
      </c>
      <c r="Q39" s="14">
        <v>20</v>
      </c>
      <c r="R39" s="14">
        <v>16</v>
      </c>
      <c r="S39" s="14">
        <v>12</v>
      </c>
      <c r="T39" s="14">
        <v>18</v>
      </c>
      <c r="U39" s="14">
        <v>16</v>
      </c>
      <c r="V39" s="14">
        <v>11</v>
      </c>
      <c r="W39" s="14">
        <v>14</v>
      </c>
      <c r="X39" s="14">
        <v>12</v>
      </c>
      <c r="Y39" s="14">
        <v>11</v>
      </c>
      <c r="Z39" s="14">
        <v>16</v>
      </c>
      <c r="AA39" s="14">
        <v>17</v>
      </c>
      <c r="AB39" s="14">
        <v>17</v>
      </c>
      <c r="AC39" s="14">
        <v>11</v>
      </c>
      <c r="AD39" s="14">
        <v>13</v>
      </c>
      <c r="AE39" s="14">
        <v>11</v>
      </c>
      <c r="AF39" s="214">
        <v>16</v>
      </c>
      <c r="AG39" s="15">
        <f t="shared" si="4"/>
        <v>469</v>
      </c>
      <c r="AH39">
        <v>21</v>
      </c>
      <c r="AI39">
        <v>18</v>
      </c>
    </row>
    <row r="40" spans="1:35" ht="15.75" customHeight="1" x14ac:dyDescent="0.25">
      <c r="A40" s="12" t="s">
        <v>26</v>
      </c>
      <c r="B40" s="13">
        <v>15</v>
      </c>
      <c r="C40" s="14">
        <v>10</v>
      </c>
      <c r="D40" s="14">
        <v>24</v>
      </c>
      <c r="E40" s="14">
        <v>17</v>
      </c>
      <c r="F40" s="14">
        <v>20</v>
      </c>
      <c r="G40" s="14">
        <v>17</v>
      </c>
      <c r="H40" s="14">
        <v>13</v>
      </c>
      <c r="I40" s="14">
        <v>15</v>
      </c>
      <c r="J40" s="14">
        <v>14</v>
      </c>
      <c r="K40" s="14">
        <v>12</v>
      </c>
      <c r="L40" s="14">
        <v>26</v>
      </c>
      <c r="M40" s="14">
        <v>20</v>
      </c>
      <c r="N40" s="14">
        <v>21</v>
      </c>
      <c r="O40" s="14">
        <v>11</v>
      </c>
      <c r="P40" s="14">
        <v>21</v>
      </c>
      <c r="Q40" s="14">
        <v>16</v>
      </c>
      <c r="R40" s="14">
        <v>25</v>
      </c>
      <c r="S40" s="14">
        <v>21</v>
      </c>
      <c r="T40" s="14">
        <v>20</v>
      </c>
      <c r="U40" s="14">
        <v>18</v>
      </c>
      <c r="V40" s="14">
        <v>17</v>
      </c>
      <c r="W40" s="14">
        <v>21</v>
      </c>
      <c r="X40" s="14">
        <v>13</v>
      </c>
      <c r="Y40" s="14">
        <v>15</v>
      </c>
      <c r="Z40" s="14">
        <v>26</v>
      </c>
      <c r="AA40" s="14">
        <v>18</v>
      </c>
      <c r="AB40" s="14">
        <v>11</v>
      </c>
      <c r="AC40" s="14">
        <v>15</v>
      </c>
      <c r="AD40" s="14">
        <v>14</v>
      </c>
      <c r="AE40" s="14">
        <v>17</v>
      </c>
      <c r="AF40" s="214">
        <v>20</v>
      </c>
      <c r="AG40" s="15">
        <f t="shared" si="4"/>
        <v>543</v>
      </c>
      <c r="AH40">
        <v>15</v>
      </c>
      <c r="AI40">
        <v>10</v>
      </c>
    </row>
    <row r="41" spans="1:35" ht="15.75" customHeight="1" x14ac:dyDescent="0.25">
      <c r="A41" s="12" t="s">
        <v>27</v>
      </c>
      <c r="B41" s="13">
        <v>17</v>
      </c>
      <c r="C41" s="14">
        <v>14</v>
      </c>
      <c r="D41" s="14">
        <v>17</v>
      </c>
      <c r="E41" s="14">
        <v>23</v>
      </c>
      <c r="F41" s="14">
        <v>16</v>
      </c>
      <c r="G41" s="14">
        <v>17</v>
      </c>
      <c r="H41" s="14">
        <v>15</v>
      </c>
      <c r="I41" s="14">
        <v>9</v>
      </c>
      <c r="J41" s="14">
        <v>12</v>
      </c>
      <c r="K41" s="14">
        <v>15</v>
      </c>
      <c r="L41" s="14">
        <v>26</v>
      </c>
      <c r="M41" s="14">
        <v>13</v>
      </c>
      <c r="N41" s="14">
        <v>20</v>
      </c>
      <c r="O41" s="14">
        <v>11</v>
      </c>
      <c r="P41" s="14">
        <v>13</v>
      </c>
      <c r="Q41" s="14">
        <v>19</v>
      </c>
      <c r="R41" s="14">
        <v>21</v>
      </c>
      <c r="S41" s="14">
        <v>19</v>
      </c>
      <c r="T41" s="14">
        <v>20</v>
      </c>
      <c r="U41" s="14">
        <v>20</v>
      </c>
      <c r="V41" s="14">
        <v>18</v>
      </c>
      <c r="W41" s="14">
        <v>17</v>
      </c>
      <c r="X41" s="14">
        <v>12</v>
      </c>
      <c r="Y41" s="14">
        <v>17</v>
      </c>
      <c r="Z41" s="14">
        <v>25</v>
      </c>
      <c r="AA41" s="14">
        <v>20</v>
      </c>
      <c r="AB41" s="14">
        <v>12</v>
      </c>
      <c r="AC41" s="14">
        <v>16</v>
      </c>
      <c r="AD41" s="14">
        <v>13</v>
      </c>
      <c r="AE41" s="14">
        <v>13</v>
      </c>
      <c r="AF41" s="214">
        <v>17</v>
      </c>
      <c r="AG41" s="15">
        <f t="shared" si="4"/>
        <v>517</v>
      </c>
      <c r="AH41">
        <v>17</v>
      </c>
      <c r="AI41">
        <v>14</v>
      </c>
    </row>
    <row r="42" spans="1:35" ht="15.75" customHeight="1" x14ac:dyDescent="0.25">
      <c r="A42" s="12" t="s">
        <v>28</v>
      </c>
      <c r="B42" s="13">
        <v>17</v>
      </c>
      <c r="C42" s="14">
        <v>12</v>
      </c>
      <c r="D42" s="14">
        <v>22</v>
      </c>
      <c r="E42" s="14">
        <v>13</v>
      </c>
      <c r="F42" s="14">
        <v>17</v>
      </c>
      <c r="G42" s="14">
        <v>13</v>
      </c>
      <c r="H42" s="14">
        <v>13</v>
      </c>
      <c r="I42" s="14">
        <v>9</v>
      </c>
      <c r="J42" s="14">
        <v>16</v>
      </c>
      <c r="K42" s="14">
        <v>10</v>
      </c>
      <c r="L42" s="14">
        <v>22</v>
      </c>
      <c r="M42" s="14">
        <v>12</v>
      </c>
      <c r="N42" s="14">
        <v>18</v>
      </c>
      <c r="O42" s="14">
        <v>14</v>
      </c>
      <c r="P42" s="14">
        <v>14</v>
      </c>
      <c r="Q42" s="14">
        <v>14</v>
      </c>
      <c r="R42" s="14">
        <v>17</v>
      </c>
      <c r="S42" s="14">
        <v>18</v>
      </c>
      <c r="T42" s="14">
        <v>20</v>
      </c>
      <c r="U42" s="14">
        <v>19</v>
      </c>
      <c r="V42" s="14">
        <v>13</v>
      </c>
      <c r="W42" s="14">
        <v>19</v>
      </c>
      <c r="X42" s="14">
        <v>11</v>
      </c>
      <c r="Y42" s="14">
        <v>17</v>
      </c>
      <c r="Z42" s="14">
        <v>21</v>
      </c>
      <c r="AA42" s="14">
        <v>18</v>
      </c>
      <c r="AB42" s="14">
        <v>12</v>
      </c>
      <c r="AC42" s="14">
        <v>17</v>
      </c>
      <c r="AD42" s="14">
        <v>13</v>
      </c>
      <c r="AE42" s="14">
        <v>11</v>
      </c>
      <c r="AF42" s="214">
        <v>10</v>
      </c>
      <c r="AG42" s="15">
        <f t="shared" si="4"/>
        <v>472</v>
      </c>
      <c r="AH42">
        <v>17</v>
      </c>
      <c r="AI42" s="266">
        <v>12</v>
      </c>
    </row>
    <row r="43" spans="1:35" ht="15.75" customHeight="1" x14ac:dyDescent="0.25">
      <c r="A43" s="12" t="s">
        <v>29</v>
      </c>
      <c r="B43" s="13">
        <v>13</v>
      </c>
      <c r="C43" s="14">
        <v>18</v>
      </c>
      <c r="D43" s="14">
        <v>14</v>
      </c>
      <c r="E43" s="14">
        <v>8</v>
      </c>
      <c r="F43" s="14">
        <v>20</v>
      </c>
      <c r="G43" s="14">
        <v>11</v>
      </c>
      <c r="H43" s="14">
        <v>9</v>
      </c>
      <c r="I43" s="14">
        <v>6</v>
      </c>
      <c r="J43" s="14">
        <v>9</v>
      </c>
      <c r="K43" s="14">
        <v>11</v>
      </c>
      <c r="L43" s="14">
        <v>13</v>
      </c>
      <c r="M43" s="14">
        <v>13</v>
      </c>
      <c r="N43" s="14">
        <v>17</v>
      </c>
      <c r="O43" s="14">
        <v>11</v>
      </c>
      <c r="P43" s="14">
        <v>12</v>
      </c>
      <c r="Q43" s="14">
        <v>22</v>
      </c>
      <c r="R43" s="14">
        <v>22</v>
      </c>
      <c r="S43" s="14">
        <v>9</v>
      </c>
      <c r="T43" s="14">
        <v>19</v>
      </c>
      <c r="U43" s="14">
        <v>12</v>
      </c>
      <c r="V43" s="14">
        <v>6</v>
      </c>
      <c r="W43" s="14">
        <v>8</v>
      </c>
      <c r="X43" s="14">
        <v>13</v>
      </c>
      <c r="Y43" s="14">
        <v>15</v>
      </c>
      <c r="Z43" s="14">
        <v>19</v>
      </c>
      <c r="AA43" s="14">
        <v>21</v>
      </c>
      <c r="AB43" s="14">
        <v>8</v>
      </c>
      <c r="AC43" s="14">
        <v>7</v>
      </c>
      <c r="AD43" s="14">
        <v>8</v>
      </c>
      <c r="AE43" s="14">
        <v>13</v>
      </c>
      <c r="AF43" s="214">
        <v>15</v>
      </c>
      <c r="AG43" s="15">
        <f t="shared" si="4"/>
        <v>402</v>
      </c>
      <c r="AH43">
        <v>13</v>
      </c>
      <c r="AI43" s="266">
        <v>18</v>
      </c>
    </row>
    <row r="44" spans="1:35" ht="15.75" customHeight="1" x14ac:dyDescent="0.25">
      <c r="A44" s="12" t="s">
        <v>30</v>
      </c>
      <c r="B44" s="13">
        <v>5</v>
      </c>
      <c r="C44" s="14">
        <v>15</v>
      </c>
      <c r="D44" s="14">
        <v>15</v>
      </c>
      <c r="E44" s="14">
        <v>8</v>
      </c>
      <c r="F44" s="14">
        <v>18</v>
      </c>
      <c r="G44" s="14">
        <v>7</v>
      </c>
      <c r="H44" s="14">
        <v>11</v>
      </c>
      <c r="I44" s="14">
        <v>8</v>
      </c>
      <c r="J44" s="14">
        <v>13</v>
      </c>
      <c r="K44" s="14">
        <v>13</v>
      </c>
      <c r="L44" s="14">
        <v>11</v>
      </c>
      <c r="M44" s="14">
        <v>9</v>
      </c>
      <c r="N44" s="14">
        <v>11</v>
      </c>
      <c r="O44" s="14">
        <v>8</v>
      </c>
      <c r="P44" s="14">
        <v>13</v>
      </c>
      <c r="Q44" s="14">
        <v>10</v>
      </c>
      <c r="R44" s="14">
        <v>21</v>
      </c>
      <c r="S44" s="14">
        <v>13</v>
      </c>
      <c r="T44" s="14">
        <v>6</v>
      </c>
      <c r="U44" s="14">
        <v>13</v>
      </c>
      <c r="V44" s="14">
        <v>4</v>
      </c>
      <c r="W44" s="14">
        <v>8</v>
      </c>
      <c r="X44" s="14">
        <v>9</v>
      </c>
      <c r="Y44" s="14">
        <v>16</v>
      </c>
      <c r="Z44" s="14">
        <v>8</v>
      </c>
      <c r="AA44" s="14">
        <v>14</v>
      </c>
      <c r="AB44" s="14">
        <v>8</v>
      </c>
      <c r="AC44" s="14">
        <v>9</v>
      </c>
      <c r="AD44" s="14">
        <v>6</v>
      </c>
      <c r="AE44" s="14">
        <v>7</v>
      </c>
      <c r="AF44" s="214">
        <v>13</v>
      </c>
      <c r="AG44" s="15">
        <f t="shared" si="4"/>
        <v>330</v>
      </c>
      <c r="AH44">
        <v>5</v>
      </c>
      <c r="AI44" s="266">
        <v>15</v>
      </c>
    </row>
    <row r="45" spans="1:35" ht="15.75" customHeight="1" x14ac:dyDescent="0.25">
      <c r="A45" s="12" t="s">
        <v>31</v>
      </c>
      <c r="B45" s="13">
        <v>4</v>
      </c>
      <c r="C45" s="14">
        <v>11</v>
      </c>
      <c r="D45" s="14">
        <v>5</v>
      </c>
      <c r="E45" s="14">
        <v>7</v>
      </c>
      <c r="F45" s="14">
        <v>2</v>
      </c>
      <c r="G45" s="14">
        <v>8</v>
      </c>
      <c r="H45" s="14">
        <v>5</v>
      </c>
      <c r="I45" s="14">
        <v>7</v>
      </c>
      <c r="J45" s="14">
        <v>8</v>
      </c>
      <c r="K45" s="14">
        <v>8</v>
      </c>
      <c r="L45" s="14">
        <v>10</v>
      </c>
      <c r="M45" s="14">
        <v>7</v>
      </c>
      <c r="N45" s="14">
        <v>10</v>
      </c>
      <c r="O45" s="14">
        <v>6</v>
      </c>
      <c r="P45" s="14">
        <v>16</v>
      </c>
      <c r="Q45" s="14">
        <v>8</v>
      </c>
      <c r="R45" s="14">
        <v>13</v>
      </c>
      <c r="S45" s="14">
        <v>7</v>
      </c>
      <c r="T45" s="14">
        <v>10</v>
      </c>
      <c r="U45" s="14">
        <v>10</v>
      </c>
      <c r="V45" s="14">
        <v>10</v>
      </c>
      <c r="W45" s="14">
        <v>9</v>
      </c>
      <c r="X45" s="14">
        <v>9</v>
      </c>
      <c r="Y45" s="14">
        <v>11</v>
      </c>
      <c r="Z45" s="14">
        <v>8</v>
      </c>
      <c r="AA45" s="14">
        <v>3</v>
      </c>
      <c r="AB45" s="14">
        <v>12</v>
      </c>
      <c r="AC45" s="14">
        <v>6</v>
      </c>
      <c r="AD45" s="14">
        <v>5</v>
      </c>
      <c r="AE45" s="14">
        <v>8</v>
      </c>
      <c r="AF45" s="214">
        <v>7</v>
      </c>
      <c r="AG45" s="15">
        <f t="shared" si="4"/>
        <v>250</v>
      </c>
      <c r="AH45">
        <v>4</v>
      </c>
      <c r="AI45" s="266">
        <v>11</v>
      </c>
    </row>
    <row r="46" spans="1:35" ht="15.75" customHeight="1" x14ac:dyDescent="0.25">
      <c r="A46" s="12" t="s">
        <v>32</v>
      </c>
      <c r="B46" s="13">
        <v>2</v>
      </c>
      <c r="C46" s="14">
        <v>14</v>
      </c>
      <c r="D46" s="14">
        <v>1</v>
      </c>
      <c r="E46" s="14">
        <v>10</v>
      </c>
      <c r="F46" s="14">
        <v>7</v>
      </c>
      <c r="G46" s="14">
        <v>7</v>
      </c>
      <c r="H46" s="14">
        <v>1</v>
      </c>
      <c r="I46" s="14">
        <v>12</v>
      </c>
      <c r="J46" s="14">
        <v>8</v>
      </c>
      <c r="K46" s="14">
        <v>8</v>
      </c>
      <c r="L46" s="14">
        <v>12</v>
      </c>
      <c r="M46" s="14">
        <v>4</v>
      </c>
      <c r="N46" s="14">
        <v>3</v>
      </c>
      <c r="O46" s="14">
        <v>5</v>
      </c>
      <c r="P46" s="14">
        <v>9</v>
      </c>
      <c r="Q46" s="14">
        <v>13</v>
      </c>
      <c r="R46" s="14">
        <v>8</v>
      </c>
      <c r="S46" s="14">
        <v>14</v>
      </c>
      <c r="T46" s="14">
        <v>10</v>
      </c>
      <c r="U46" s="14">
        <v>1</v>
      </c>
      <c r="V46" s="14">
        <v>6</v>
      </c>
      <c r="W46" s="14">
        <v>10</v>
      </c>
      <c r="X46" s="14">
        <v>12</v>
      </c>
      <c r="Y46" s="14">
        <v>4</v>
      </c>
      <c r="Z46" s="14">
        <v>2</v>
      </c>
      <c r="AA46" s="14">
        <v>7</v>
      </c>
      <c r="AB46" s="14">
        <v>7</v>
      </c>
      <c r="AC46" s="14">
        <v>9</v>
      </c>
      <c r="AD46" s="14">
        <v>9</v>
      </c>
      <c r="AE46" s="14">
        <v>10</v>
      </c>
      <c r="AF46" s="214">
        <v>2</v>
      </c>
      <c r="AG46" s="15">
        <f t="shared" si="4"/>
        <v>227</v>
      </c>
      <c r="AH46">
        <v>2</v>
      </c>
      <c r="AI46">
        <v>14</v>
      </c>
    </row>
    <row r="47" spans="1:35" ht="15.75" customHeight="1" x14ac:dyDescent="0.25">
      <c r="A47" s="12" t="s">
        <v>33</v>
      </c>
      <c r="B47" s="13">
        <v>7</v>
      </c>
      <c r="C47" s="14">
        <v>14</v>
      </c>
      <c r="D47" s="14">
        <v>3</v>
      </c>
      <c r="E47" s="14">
        <v>7</v>
      </c>
      <c r="F47" s="14">
        <v>8</v>
      </c>
      <c r="G47" s="14">
        <v>7</v>
      </c>
      <c r="H47" s="14">
        <v>2</v>
      </c>
      <c r="I47" s="14">
        <v>8</v>
      </c>
      <c r="J47" s="14">
        <v>4</v>
      </c>
      <c r="K47" s="14">
        <v>13</v>
      </c>
      <c r="L47" s="14">
        <v>1</v>
      </c>
      <c r="M47" s="14">
        <v>14</v>
      </c>
      <c r="N47" s="14">
        <v>2</v>
      </c>
      <c r="O47" s="14">
        <v>2</v>
      </c>
      <c r="P47" s="14">
        <v>2</v>
      </c>
      <c r="Q47" s="14">
        <v>8</v>
      </c>
      <c r="R47" s="14">
        <v>3</v>
      </c>
      <c r="S47" s="14">
        <v>8</v>
      </c>
      <c r="T47" s="14">
        <v>1</v>
      </c>
      <c r="U47" s="14">
        <v>1</v>
      </c>
      <c r="V47" s="14">
        <v>3</v>
      </c>
      <c r="W47" s="14">
        <v>6</v>
      </c>
      <c r="X47" s="14">
        <v>10</v>
      </c>
      <c r="Y47" s="14">
        <v>0</v>
      </c>
      <c r="Z47" s="14">
        <v>4</v>
      </c>
      <c r="AA47" s="14">
        <v>1</v>
      </c>
      <c r="AB47" s="14">
        <v>4</v>
      </c>
      <c r="AC47" s="14">
        <v>4</v>
      </c>
      <c r="AD47" s="14">
        <v>3</v>
      </c>
      <c r="AE47" s="14">
        <v>11</v>
      </c>
      <c r="AF47" s="214">
        <v>4</v>
      </c>
      <c r="AG47" s="15">
        <f t="shared" si="4"/>
        <v>165</v>
      </c>
      <c r="AH47">
        <v>7</v>
      </c>
      <c r="AI47">
        <v>14</v>
      </c>
    </row>
    <row r="48" spans="1:35" ht="15.75" customHeight="1" x14ac:dyDescent="0.25">
      <c r="A48" s="12" t="s">
        <v>34</v>
      </c>
      <c r="B48" s="13">
        <v>4</v>
      </c>
      <c r="C48" s="14">
        <v>4</v>
      </c>
      <c r="D48" s="14">
        <v>2</v>
      </c>
      <c r="E48" s="14">
        <v>1</v>
      </c>
      <c r="F48" s="14">
        <v>1</v>
      </c>
      <c r="G48" s="14">
        <v>7</v>
      </c>
      <c r="H48" s="14">
        <v>4</v>
      </c>
      <c r="I48" s="14">
        <v>6</v>
      </c>
      <c r="J48" s="14">
        <v>7</v>
      </c>
      <c r="K48" s="14">
        <v>7</v>
      </c>
      <c r="L48" s="14">
        <v>2</v>
      </c>
      <c r="M48" s="14">
        <v>4</v>
      </c>
      <c r="N48" s="14">
        <v>2</v>
      </c>
      <c r="O48" s="14">
        <v>3</v>
      </c>
      <c r="P48" s="14">
        <v>1</v>
      </c>
      <c r="Q48" s="14">
        <v>4</v>
      </c>
      <c r="R48" s="14">
        <v>7</v>
      </c>
      <c r="S48" s="14">
        <v>7</v>
      </c>
      <c r="T48" s="14">
        <v>2</v>
      </c>
      <c r="U48" s="14">
        <v>0</v>
      </c>
      <c r="V48" s="14">
        <v>5</v>
      </c>
      <c r="W48" s="14">
        <v>7</v>
      </c>
      <c r="X48" s="14">
        <v>7</v>
      </c>
      <c r="Y48" s="14">
        <v>3</v>
      </c>
      <c r="Z48" s="14">
        <v>3</v>
      </c>
      <c r="AA48" s="14">
        <v>2</v>
      </c>
      <c r="AB48" s="14">
        <v>3</v>
      </c>
      <c r="AC48" s="14">
        <v>3</v>
      </c>
      <c r="AD48" s="14">
        <v>6</v>
      </c>
      <c r="AE48" s="14">
        <v>8</v>
      </c>
      <c r="AF48" s="214">
        <v>8</v>
      </c>
      <c r="AG48" s="15">
        <f t="shared" si="4"/>
        <v>130</v>
      </c>
      <c r="AH48">
        <v>4</v>
      </c>
      <c r="AI48">
        <v>4</v>
      </c>
    </row>
    <row r="49" spans="1:35" ht="15.75" customHeight="1" x14ac:dyDescent="0.25">
      <c r="A49" s="12" t="s">
        <v>35</v>
      </c>
      <c r="B49" s="13">
        <v>1</v>
      </c>
      <c r="C49" s="14">
        <v>2</v>
      </c>
      <c r="D49" s="14">
        <v>2</v>
      </c>
      <c r="E49" s="14">
        <v>1</v>
      </c>
      <c r="F49" s="14">
        <v>3</v>
      </c>
      <c r="G49" s="14">
        <v>4</v>
      </c>
      <c r="H49" s="14">
        <v>5</v>
      </c>
      <c r="I49" s="14">
        <v>1</v>
      </c>
      <c r="J49" s="14">
        <v>0</v>
      </c>
      <c r="K49" s="14">
        <v>1</v>
      </c>
      <c r="L49" s="14">
        <v>1</v>
      </c>
      <c r="M49" s="14">
        <v>2</v>
      </c>
      <c r="N49" s="14">
        <v>4</v>
      </c>
      <c r="O49" s="14">
        <v>1</v>
      </c>
      <c r="P49" s="14">
        <v>0</v>
      </c>
      <c r="Q49" s="14">
        <v>1</v>
      </c>
      <c r="R49" s="14">
        <v>2</v>
      </c>
      <c r="S49" s="14">
        <v>2</v>
      </c>
      <c r="T49" s="14">
        <v>8</v>
      </c>
      <c r="U49" s="14">
        <v>2</v>
      </c>
      <c r="V49" s="14">
        <v>0</v>
      </c>
      <c r="W49" s="14">
        <v>3</v>
      </c>
      <c r="X49" s="14">
        <v>1</v>
      </c>
      <c r="Y49" s="14">
        <v>1</v>
      </c>
      <c r="Z49" s="14">
        <v>1</v>
      </c>
      <c r="AA49" s="14">
        <v>1</v>
      </c>
      <c r="AB49" s="14">
        <v>11</v>
      </c>
      <c r="AC49" s="14">
        <v>5</v>
      </c>
      <c r="AD49" s="14">
        <v>4</v>
      </c>
      <c r="AE49" s="14">
        <v>7</v>
      </c>
      <c r="AF49" s="214">
        <v>2</v>
      </c>
      <c r="AG49" s="15">
        <f t="shared" si="4"/>
        <v>79</v>
      </c>
      <c r="AH49">
        <v>1</v>
      </c>
      <c r="AI49">
        <v>2</v>
      </c>
    </row>
    <row r="50" spans="1:35" ht="15.75" customHeight="1" x14ac:dyDescent="0.25">
      <c r="A50" s="12" t="s">
        <v>36</v>
      </c>
      <c r="B50" s="13">
        <v>0</v>
      </c>
      <c r="C50" s="14">
        <v>3</v>
      </c>
      <c r="D50" s="14">
        <v>1</v>
      </c>
      <c r="E50" s="14">
        <v>1</v>
      </c>
      <c r="F50" s="14">
        <v>0</v>
      </c>
      <c r="G50" s="14">
        <v>0</v>
      </c>
      <c r="H50" s="14">
        <v>3</v>
      </c>
      <c r="I50" s="14">
        <v>0</v>
      </c>
      <c r="J50" s="14">
        <v>3</v>
      </c>
      <c r="K50" s="14">
        <v>1</v>
      </c>
      <c r="L50" s="14">
        <v>1</v>
      </c>
      <c r="M50" s="14">
        <v>2</v>
      </c>
      <c r="N50" s="14">
        <v>1</v>
      </c>
      <c r="O50" s="14">
        <v>1</v>
      </c>
      <c r="P50" s="14">
        <v>2</v>
      </c>
      <c r="Q50" s="14">
        <v>2</v>
      </c>
      <c r="R50" s="14">
        <v>0</v>
      </c>
      <c r="S50" s="14">
        <v>0</v>
      </c>
      <c r="T50" s="14">
        <v>0</v>
      </c>
      <c r="U50" s="14">
        <v>0</v>
      </c>
      <c r="V50" s="14">
        <v>1</v>
      </c>
      <c r="W50" s="14">
        <v>4</v>
      </c>
      <c r="X50" s="14">
        <v>1</v>
      </c>
      <c r="Y50" s="14">
        <v>3</v>
      </c>
      <c r="Z50" s="14">
        <v>1</v>
      </c>
      <c r="AA50" s="14">
        <v>0</v>
      </c>
      <c r="AB50" s="14">
        <v>0</v>
      </c>
      <c r="AC50" s="14">
        <v>0</v>
      </c>
      <c r="AD50" s="14">
        <v>8</v>
      </c>
      <c r="AE50" s="14">
        <v>2</v>
      </c>
      <c r="AF50" s="214">
        <v>2</v>
      </c>
      <c r="AG50" s="15">
        <f t="shared" si="4"/>
        <v>43</v>
      </c>
      <c r="AH50">
        <v>0</v>
      </c>
      <c r="AI50">
        <v>3</v>
      </c>
    </row>
    <row r="51" spans="1:35" ht="15.75" customHeight="1" x14ac:dyDescent="0.25">
      <c r="A51" s="12" t="s">
        <v>37</v>
      </c>
      <c r="B51" s="13">
        <v>4</v>
      </c>
      <c r="C51" s="14">
        <v>3</v>
      </c>
      <c r="D51" s="14">
        <v>1</v>
      </c>
      <c r="E51" s="14">
        <v>2</v>
      </c>
      <c r="F51" s="14">
        <v>1</v>
      </c>
      <c r="G51" s="14">
        <v>0</v>
      </c>
      <c r="H51" s="14">
        <v>0</v>
      </c>
      <c r="I51" s="14">
        <v>1</v>
      </c>
      <c r="J51" s="14">
        <v>2</v>
      </c>
      <c r="K51" s="14">
        <v>3</v>
      </c>
      <c r="L51" s="14">
        <v>2</v>
      </c>
      <c r="M51" s="14">
        <v>6</v>
      </c>
      <c r="N51" s="14">
        <v>0</v>
      </c>
      <c r="O51" s="14">
        <v>2</v>
      </c>
      <c r="P51" s="14">
        <v>3</v>
      </c>
      <c r="Q51" s="14">
        <v>0</v>
      </c>
      <c r="R51" s="14">
        <v>1</v>
      </c>
      <c r="S51" s="14">
        <v>2</v>
      </c>
      <c r="T51" s="14">
        <v>0</v>
      </c>
      <c r="U51" s="14">
        <v>0</v>
      </c>
      <c r="V51" s="14">
        <v>2</v>
      </c>
      <c r="W51" s="14">
        <v>4</v>
      </c>
      <c r="X51" s="14">
        <v>1</v>
      </c>
      <c r="Y51" s="14">
        <v>3</v>
      </c>
      <c r="Z51" s="14">
        <v>1</v>
      </c>
      <c r="AA51" s="14">
        <v>0</v>
      </c>
      <c r="AB51" s="14">
        <v>0</v>
      </c>
      <c r="AC51" s="14">
        <v>1</v>
      </c>
      <c r="AD51" s="14">
        <v>0</v>
      </c>
      <c r="AE51" s="14">
        <v>0</v>
      </c>
      <c r="AF51" s="214">
        <v>1</v>
      </c>
      <c r="AG51" s="15">
        <f t="shared" si="4"/>
        <v>46</v>
      </c>
      <c r="AH51">
        <v>4</v>
      </c>
      <c r="AI51">
        <v>3</v>
      </c>
    </row>
    <row r="52" spans="1:35" ht="15.75" customHeight="1" thickBot="1" x14ac:dyDescent="0.3">
      <c r="A52" s="23" t="s">
        <v>38</v>
      </c>
      <c r="B52" s="24">
        <v>2</v>
      </c>
      <c r="C52" s="25">
        <v>1</v>
      </c>
      <c r="D52" s="25">
        <v>0</v>
      </c>
      <c r="E52" s="25">
        <v>2</v>
      </c>
      <c r="F52" s="25">
        <v>1</v>
      </c>
      <c r="G52" s="25">
        <v>0</v>
      </c>
      <c r="H52" s="25">
        <v>3</v>
      </c>
      <c r="I52" s="25">
        <v>3</v>
      </c>
      <c r="J52" s="25">
        <v>4</v>
      </c>
      <c r="K52" s="25">
        <v>2</v>
      </c>
      <c r="L52" s="25">
        <v>4</v>
      </c>
      <c r="M52" s="25">
        <v>2</v>
      </c>
      <c r="N52" s="25">
        <v>3</v>
      </c>
      <c r="O52" s="25">
        <v>4</v>
      </c>
      <c r="P52" s="25">
        <v>0</v>
      </c>
      <c r="Q52" s="25">
        <v>2</v>
      </c>
      <c r="R52" s="25">
        <v>0</v>
      </c>
      <c r="S52" s="25">
        <v>2</v>
      </c>
      <c r="T52" s="25">
        <v>3</v>
      </c>
      <c r="U52" s="25">
        <v>2</v>
      </c>
      <c r="V52" s="25">
        <v>4</v>
      </c>
      <c r="W52" s="25">
        <v>3</v>
      </c>
      <c r="X52" s="25">
        <v>4</v>
      </c>
      <c r="Y52" s="25">
        <v>1</v>
      </c>
      <c r="Z52" s="25">
        <v>1</v>
      </c>
      <c r="AA52" s="25">
        <v>3</v>
      </c>
      <c r="AB52" s="25">
        <v>0</v>
      </c>
      <c r="AC52" s="25">
        <v>3</v>
      </c>
      <c r="AD52" s="25">
        <v>0</v>
      </c>
      <c r="AE52" s="25">
        <v>2</v>
      </c>
      <c r="AF52" s="216">
        <v>1</v>
      </c>
      <c r="AG52" s="26">
        <f t="shared" si="4"/>
        <v>62</v>
      </c>
      <c r="AH52">
        <v>2</v>
      </c>
      <c r="AI52">
        <v>1</v>
      </c>
    </row>
    <row r="53" spans="1:35" ht="15.75" customHeight="1" thickBot="1" x14ac:dyDescent="0.3">
      <c r="A53" s="4" t="s">
        <v>40</v>
      </c>
      <c r="B53" s="5">
        <v>10</v>
      </c>
      <c r="C53" s="6">
        <f t="shared" ref="C53:AF53" si="5">SUM(C54:C77)</f>
        <v>56</v>
      </c>
      <c r="D53" s="6">
        <f t="shared" si="5"/>
        <v>32</v>
      </c>
      <c r="E53" s="6">
        <f t="shared" si="5"/>
        <v>63</v>
      </c>
      <c r="F53" s="6">
        <f t="shared" si="5"/>
        <v>52</v>
      </c>
      <c r="G53" s="6">
        <f t="shared" si="5"/>
        <v>92</v>
      </c>
      <c r="H53" s="6">
        <f t="shared" si="5"/>
        <v>7</v>
      </c>
      <c r="I53" s="6">
        <f t="shared" si="5"/>
        <v>12</v>
      </c>
      <c r="J53" s="6">
        <f t="shared" si="5"/>
        <v>36</v>
      </c>
      <c r="K53" s="6">
        <f t="shared" si="5"/>
        <v>117</v>
      </c>
      <c r="L53" s="6">
        <f t="shared" si="5"/>
        <v>36</v>
      </c>
      <c r="M53" s="6">
        <f t="shared" si="5"/>
        <v>95</v>
      </c>
      <c r="N53" s="6">
        <f t="shared" si="5"/>
        <v>48</v>
      </c>
      <c r="O53" s="6">
        <f t="shared" si="5"/>
        <v>3</v>
      </c>
      <c r="P53" s="6">
        <f t="shared" si="5"/>
        <v>30</v>
      </c>
      <c r="Q53" s="6">
        <f t="shared" si="5"/>
        <v>114</v>
      </c>
      <c r="R53" s="6">
        <f t="shared" si="5"/>
        <v>69</v>
      </c>
      <c r="S53" s="6">
        <f t="shared" si="5"/>
        <v>101</v>
      </c>
      <c r="T53" s="6">
        <f t="shared" si="5"/>
        <v>55</v>
      </c>
      <c r="U53" s="6">
        <f t="shared" si="5"/>
        <v>45</v>
      </c>
      <c r="V53" s="6">
        <f t="shared" si="5"/>
        <v>9</v>
      </c>
      <c r="W53" s="6">
        <f t="shared" si="5"/>
        <v>25</v>
      </c>
      <c r="X53" s="6">
        <f t="shared" si="5"/>
        <v>109</v>
      </c>
      <c r="Y53" s="6">
        <f t="shared" si="5"/>
        <v>32</v>
      </c>
      <c r="Z53" s="6">
        <f t="shared" si="5"/>
        <v>26</v>
      </c>
      <c r="AA53" s="6">
        <f t="shared" si="5"/>
        <v>32</v>
      </c>
      <c r="AB53" s="6">
        <f t="shared" si="5"/>
        <v>8</v>
      </c>
      <c r="AC53" s="6">
        <f t="shared" si="5"/>
        <v>8</v>
      </c>
      <c r="AD53" s="6">
        <f t="shared" si="5"/>
        <v>21</v>
      </c>
      <c r="AE53" s="6">
        <f t="shared" si="5"/>
        <v>100</v>
      </c>
      <c r="AF53" s="6">
        <f t="shared" si="5"/>
        <v>53</v>
      </c>
      <c r="AG53" s="27">
        <f t="shared" si="4"/>
        <v>1496</v>
      </c>
      <c r="AH53">
        <v>10</v>
      </c>
      <c r="AI53">
        <v>56</v>
      </c>
    </row>
    <row r="54" spans="1:35" ht="15.75" customHeight="1" x14ac:dyDescent="0.25">
      <c r="A54" s="8" t="s">
        <v>15</v>
      </c>
      <c r="B54" s="9">
        <v>1</v>
      </c>
      <c r="C54" s="10">
        <v>0</v>
      </c>
      <c r="D54" s="14">
        <v>0</v>
      </c>
      <c r="E54" s="10">
        <v>0</v>
      </c>
      <c r="F54" s="10">
        <v>0</v>
      </c>
      <c r="G54" s="14">
        <v>0</v>
      </c>
      <c r="H54" s="10">
        <v>0</v>
      </c>
      <c r="I54" s="10">
        <v>0</v>
      </c>
      <c r="J54" s="10">
        <v>0</v>
      </c>
      <c r="K54" s="10">
        <v>0</v>
      </c>
      <c r="L54" s="10">
        <v>1</v>
      </c>
      <c r="M54" s="10">
        <v>1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2</v>
      </c>
      <c r="Y54" s="10">
        <v>0</v>
      </c>
      <c r="Z54" s="10">
        <v>0</v>
      </c>
      <c r="AA54" s="10">
        <v>1</v>
      </c>
      <c r="AB54" s="10">
        <v>0</v>
      </c>
      <c r="AC54" s="10">
        <v>0</v>
      </c>
      <c r="AD54" s="10">
        <v>1</v>
      </c>
      <c r="AE54" s="10">
        <v>0</v>
      </c>
      <c r="AF54" s="213">
        <v>1</v>
      </c>
      <c r="AG54" s="11">
        <f t="shared" si="4"/>
        <v>8</v>
      </c>
      <c r="AH54">
        <v>1</v>
      </c>
      <c r="AI54">
        <v>0</v>
      </c>
    </row>
    <row r="55" spans="1:35" ht="15.75" customHeight="1" x14ac:dyDescent="0.25">
      <c r="A55" s="12" t="s">
        <v>16</v>
      </c>
      <c r="B55" s="13">
        <v>0</v>
      </c>
      <c r="C55" s="14">
        <v>2</v>
      </c>
      <c r="D55" s="14">
        <v>0</v>
      </c>
      <c r="E55" s="14">
        <v>0</v>
      </c>
      <c r="F55" s="14">
        <v>0</v>
      </c>
      <c r="G55" s="14">
        <v>4</v>
      </c>
      <c r="H55" s="14">
        <v>0</v>
      </c>
      <c r="I55" s="14">
        <v>0</v>
      </c>
      <c r="J55" s="14">
        <v>0</v>
      </c>
      <c r="K55" s="14">
        <v>2</v>
      </c>
      <c r="L55" s="14">
        <v>1</v>
      </c>
      <c r="M55" s="14">
        <v>0</v>
      </c>
      <c r="N55" s="14">
        <v>1</v>
      </c>
      <c r="O55" s="14">
        <v>0</v>
      </c>
      <c r="P55" s="14">
        <v>0</v>
      </c>
      <c r="Q55" s="14">
        <v>0</v>
      </c>
      <c r="R55" s="14">
        <v>2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5</v>
      </c>
      <c r="Y55" s="14">
        <v>0</v>
      </c>
      <c r="Z55" s="14">
        <v>0</v>
      </c>
      <c r="AA55" s="14">
        <v>2</v>
      </c>
      <c r="AB55" s="14">
        <v>1</v>
      </c>
      <c r="AC55" s="14">
        <v>0</v>
      </c>
      <c r="AD55" s="14">
        <v>0</v>
      </c>
      <c r="AE55" s="14">
        <v>1</v>
      </c>
      <c r="AF55" s="214">
        <v>1</v>
      </c>
      <c r="AG55" s="15">
        <f t="shared" si="4"/>
        <v>22</v>
      </c>
      <c r="AH55">
        <v>0</v>
      </c>
      <c r="AI55">
        <v>2</v>
      </c>
    </row>
    <row r="56" spans="1:35" ht="15.75" customHeight="1" x14ac:dyDescent="0.25">
      <c r="A56" s="12" t="s">
        <v>17</v>
      </c>
      <c r="B56" s="13">
        <v>1</v>
      </c>
      <c r="C56" s="14">
        <v>0</v>
      </c>
      <c r="D56" s="14">
        <v>0</v>
      </c>
      <c r="E56" s="14">
        <v>1</v>
      </c>
      <c r="F56" s="14">
        <v>2</v>
      </c>
      <c r="G56" s="14">
        <v>0</v>
      </c>
      <c r="H56" s="14">
        <v>0</v>
      </c>
      <c r="I56" s="14">
        <v>0</v>
      </c>
      <c r="J56" s="14">
        <v>0</v>
      </c>
      <c r="K56" s="14">
        <v>1</v>
      </c>
      <c r="L56" s="14">
        <v>0</v>
      </c>
      <c r="M56" s="14">
        <v>1</v>
      </c>
      <c r="N56" s="14">
        <v>0</v>
      </c>
      <c r="O56" s="14">
        <v>0</v>
      </c>
      <c r="P56" s="14">
        <v>0</v>
      </c>
      <c r="Q56" s="14">
        <v>3</v>
      </c>
      <c r="R56" s="14">
        <v>1</v>
      </c>
      <c r="S56" s="14">
        <v>0</v>
      </c>
      <c r="T56" s="14">
        <v>0</v>
      </c>
      <c r="U56" s="14">
        <v>3</v>
      </c>
      <c r="V56" s="14">
        <v>0</v>
      </c>
      <c r="W56" s="14">
        <v>1</v>
      </c>
      <c r="X56" s="14">
        <v>1</v>
      </c>
      <c r="Y56" s="14">
        <v>0</v>
      </c>
      <c r="Z56" s="14">
        <v>0</v>
      </c>
      <c r="AA56" s="14">
        <v>0</v>
      </c>
      <c r="AB56" s="14">
        <v>1</v>
      </c>
      <c r="AC56" s="14">
        <v>0</v>
      </c>
      <c r="AD56" s="14">
        <v>0</v>
      </c>
      <c r="AE56" s="14">
        <v>1</v>
      </c>
      <c r="AF56" s="214">
        <v>0</v>
      </c>
      <c r="AG56" s="15">
        <f t="shared" si="4"/>
        <v>17</v>
      </c>
      <c r="AH56">
        <v>1</v>
      </c>
      <c r="AI56">
        <v>0</v>
      </c>
    </row>
    <row r="57" spans="1:35" ht="15.75" customHeight="1" x14ac:dyDescent="0.25">
      <c r="A57" s="12" t="s">
        <v>18</v>
      </c>
      <c r="B57" s="13">
        <v>0</v>
      </c>
      <c r="C57" s="14">
        <v>2</v>
      </c>
      <c r="D57" s="14">
        <v>1</v>
      </c>
      <c r="E57" s="14">
        <v>1</v>
      </c>
      <c r="F57" s="14">
        <v>0</v>
      </c>
      <c r="G57" s="14">
        <v>1</v>
      </c>
      <c r="H57" s="14">
        <v>0</v>
      </c>
      <c r="I57" s="14">
        <v>0</v>
      </c>
      <c r="J57" s="14">
        <v>0</v>
      </c>
      <c r="K57" s="14">
        <v>3</v>
      </c>
      <c r="L57" s="14">
        <v>1</v>
      </c>
      <c r="M57" s="14">
        <v>1</v>
      </c>
      <c r="N57" s="14">
        <v>0</v>
      </c>
      <c r="O57" s="14">
        <v>0</v>
      </c>
      <c r="P57" s="14">
        <v>0</v>
      </c>
      <c r="Q57" s="14">
        <v>1</v>
      </c>
      <c r="R57" s="14">
        <v>1</v>
      </c>
      <c r="S57" s="14">
        <v>1</v>
      </c>
      <c r="T57" s="14">
        <v>0</v>
      </c>
      <c r="U57" s="14">
        <v>0</v>
      </c>
      <c r="V57" s="14">
        <v>0</v>
      </c>
      <c r="W57" s="14">
        <v>0</v>
      </c>
      <c r="X57" s="14">
        <v>2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1</v>
      </c>
      <c r="AF57" s="214">
        <v>0</v>
      </c>
      <c r="AG57" s="15">
        <f t="shared" si="4"/>
        <v>16</v>
      </c>
      <c r="AH57">
        <v>0</v>
      </c>
      <c r="AI57">
        <v>2</v>
      </c>
    </row>
    <row r="58" spans="1:35" ht="15.75" customHeight="1" x14ac:dyDescent="0.25">
      <c r="A58" s="12" t="s">
        <v>19</v>
      </c>
      <c r="B58" s="13">
        <v>0</v>
      </c>
      <c r="C58" s="14">
        <v>0</v>
      </c>
      <c r="D58" s="14">
        <v>1</v>
      </c>
      <c r="E58" s="14">
        <v>1</v>
      </c>
      <c r="F58" s="14">
        <v>0</v>
      </c>
      <c r="G58" s="14">
        <v>2</v>
      </c>
      <c r="H58" s="14">
        <v>0</v>
      </c>
      <c r="I58" s="14">
        <v>0</v>
      </c>
      <c r="J58" s="14">
        <v>0</v>
      </c>
      <c r="K58" s="14">
        <v>3</v>
      </c>
      <c r="L58" s="14">
        <v>2</v>
      </c>
      <c r="M58" s="14">
        <v>3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1</v>
      </c>
      <c r="V58" s="14">
        <v>0</v>
      </c>
      <c r="W58" s="14">
        <v>0</v>
      </c>
      <c r="X58" s="14">
        <v>6</v>
      </c>
      <c r="Y58" s="14">
        <v>1</v>
      </c>
      <c r="Z58" s="14">
        <v>1</v>
      </c>
      <c r="AA58" s="14">
        <v>1</v>
      </c>
      <c r="AB58" s="14">
        <v>0</v>
      </c>
      <c r="AC58" s="14">
        <v>1</v>
      </c>
      <c r="AD58" s="14">
        <v>0</v>
      </c>
      <c r="AE58" s="14">
        <v>0</v>
      </c>
      <c r="AF58" s="214">
        <v>1</v>
      </c>
      <c r="AG58" s="15">
        <f t="shared" si="4"/>
        <v>24</v>
      </c>
      <c r="AH58">
        <v>0</v>
      </c>
      <c r="AI58">
        <v>0</v>
      </c>
    </row>
    <row r="59" spans="1:35" ht="15.75" customHeight="1" x14ac:dyDescent="0.25">
      <c r="A59" s="12" t="s">
        <v>20</v>
      </c>
      <c r="B59" s="13">
        <v>0</v>
      </c>
      <c r="C59" s="14">
        <v>1</v>
      </c>
      <c r="D59" s="14">
        <v>0</v>
      </c>
      <c r="E59" s="14">
        <v>4</v>
      </c>
      <c r="F59" s="14">
        <v>2</v>
      </c>
      <c r="G59" s="14">
        <v>5</v>
      </c>
      <c r="H59" s="14">
        <v>0</v>
      </c>
      <c r="I59" s="14">
        <v>0</v>
      </c>
      <c r="J59" s="14">
        <v>0</v>
      </c>
      <c r="K59" s="14">
        <v>0</v>
      </c>
      <c r="L59" s="14">
        <v>1</v>
      </c>
      <c r="M59" s="14">
        <v>3</v>
      </c>
      <c r="N59" s="14">
        <v>0</v>
      </c>
      <c r="O59" s="14">
        <v>0</v>
      </c>
      <c r="P59" s="14">
        <v>6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1</v>
      </c>
      <c r="X59" s="14">
        <v>5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2</v>
      </c>
      <c r="AF59" s="214">
        <v>1</v>
      </c>
      <c r="AG59" s="15">
        <f t="shared" si="4"/>
        <v>31</v>
      </c>
      <c r="AH59">
        <v>0</v>
      </c>
      <c r="AI59">
        <v>1</v>
      </c>
    </row>
    <row r="60" spans="1:35" ht="15.75" customHeight="1" x14ac:dyDescent="0.25">
      <c r="A60" s="12" t="s">
        <v>21</v>
      </c>
      <c r="B60" s="13">
        <v>0</v>
      </c>
      <c r="C60" s="14">
        <v>2</v>
      </c>
      <c r="D60" s="14">
        <v>0</v>
      </c>
      <c r="E60" s="14">
        <v>2</v>
      </c>
      <c r="F60" s="14">
        <v>9</v>
      </c>
      <c r="G60" s="14">
        <v>3</v>
      </c>
      <c r="H60" s="14">
        <v>0</v>
      </c>
      <c r="I60" s="14">
        <v>1</v>
      </c>
      <c r="J60" s="14">
        <v>4</v>
      </c>
      <c r="K60" s="14">
        <v>6</v>
      </c>
      <c r="L60" s="14">
        <v>0</v>
      </c>
      <c r="M60" s="14">
        <v>6</v>
      </c>
      <c r="N60" s="14">
        <v>1</v>
      </c>
      <c r="O60" s="14">
        <v>0</v>
      </c>
      <c r="P60" s="14">
        <v>1</v>
      </c>
      <c r="Q60" s="14">
        <v>2</v>
      </c>
      <c r="R60" s="14">
        <v>5</v>
      </c>
      <c r="S60" s="14">
        <v>4</v>
      </c>
      <c r="T60" s="14">
        <v>1</v>
      </c>
      <c r="U60" s="14">
        <v>4</v>
      </c>
      <c r="V60" s="14">
        <v>0</v>
      </c>
      <c r="W60" s="14">
        <v>0</v>
      </c>
      <c r="X60" s="14">
        <v>6</v>
      </c>
      <c r="Y60" s="14">
        <v>2</v>
      </c>
      <c r="Z60" s="14">
        <v>0</v>
      </c>
      <c r="AA60" s="14">
        <v>1</v>
      </c>
      <c r="AB60" s="14">
        <v>0</v>
      </c>
      <c r="AC60" s="14">
        <v>0</v>
      </c>
      <c r="AD60" s="14">
        <v>0</v>
      </c>
      <c r="AE60" s="14">
        <v>1</v>
      </c>
      <c r="AF60" s="214">
        <v>2</v>
      </c>
      <c r="AG60" s="15">
        <f t="shared" si="4"/>
        <v>63</v>
      </c>
      <c r="AH60">
        <v>0</v>
      </c>
      <c r="AI60">
        <v>2</v>
      </c>
    </row>
    <row r="61" spans="1:35" ht="15.75" customHeight="1" x14ac:dyDescent="0.25">
      <c r="A61" s="12" t="s">
        <v>22</v>
      </c>
      <c r="B61" s="13">
        <v>1</v>
      </c>
      <c r="C61" s="14">
        <v>3</v>
      </c>
      <c r="D61" s="14">
        <v>1</v>
      </c>
      <c r="E61" s="14">
        <v>0</v>
      </c>
      <c r="F61" s="14">
        <v>3</v>
      </c>
      <c r="G61" s="14">
        <v>10</v>
      </c>
      <c r="H61" s="14">
        <v>1</v>
      </c>
      <c r="I61" s="14">
        <v>2</v>
      </c>
      <c r="J61" s="14">
        <v>0</v>
      </c>
      <c r="K61" s="14">
        <v>7</v>
      </c>
      <c r="L61" s="14">
        <v>8</v>
      </c>
      <c r="M61" s="14">
        <v>16</v>
      </c>
      <c r="N61" s="14">
        <v>1</v>
      </c>
      <c r="O61" s="14">
        <v>0</v>
      </c>
      <c r="P61" s="14">
        <v>6</v>
      </c>
      <c r="Q61" s="14">
        <v>4</v>
      </c>
      <c r="R61" s="14">
        <v>0</v>
      </c>
      <c r="S61" s="14">
        <v>32</v>
      </c>
      <c r="T61" s="14">
        <v>7</v>
      </c>
      <c r="U61" s="14">
        <v>5</v>
      </c>
      <c r="V61" s="14">
        <v>0</v>
      </c>
      <c r="W61" s="14">
        <v>3</v>
      </c>
      <c r="X61" s="14">
        <v>7</v>
      </c>
      <c r="Y61" s="14">
        <v>0</v>
      </c>
      <c r="Z61" s="14">
        <v>3</v>
      </c>
      <c r="AA61" s="14">
        <v>0</v>
      </c>
      <c r="AB61" s="14">
        <v>0</v>
      </c>
      <c r="AC61" s="14">
        <v>1</v>
      </c>
      <c r="AD61" s="14">
        <v>0</v>
      </c>
      <c r="AE61" s="14">
        <v>1</v>
      </c>
      <c r="AF61" s="214">
        <v>1</v>
      </c>
      <c r="AG61" s="15">
        <f t="shared" si="4"/>
        <v>123</v>
      </c>
      <c r="AH61">
        <v>1</v>
      </c>
      <c r="AI61">
        <v>3</v>
      </c>
    </row>
    <row r="62" spans="1:35" ht="15.75" customHeight="1" x14ac:dyDescent="0.25">
      <c r="A62" s="12" t="s">
        <v>23</v>
      </c>
      <c r="B62" s="13">
        <v>0</v>
      </c>
      <c r="C62" s="14">
        <v>2</v>
      </c>
      <c r="D62" s="14">
        <v>5</v>
      </c>
      <c r="E62" s="14">
        <v>0</v>
      </c>
      <c r="F62" s="14">
        <v>1</v>
      </c>
      <c r="G62" s="14">
        <v>1</v>
      </c>
      <c r="H62" s="14">
        <v>0</v>
      </c>
      <c r="I62" s="14">
        <v>1</v>
      </c>
      <c r="J62" s="14">
        <v>2</v>
      </c>
      <c r="K62" s="14">
        <v>14</v>
      </c>
      <c r="L62" s="14">
        <v>4</v>
      </c>
      <c r="M62" s="14">
        <v>3</v>
      </c>
      <c r="N62" s="14">
        <v>1</v>
      </c>
      <c r="O62" s="14">
        <v>0</v>
      </c>
      <c r="P62" s="14">
        <v>3</v>
      </c>
      <c r="Q62" s="14">
        <v>11</v>
      </c>
      <c r="R62" s="14">
        <v>3</v>
      </c>
      <c r="S62" s="14">
        <v>0</v>
      </c>
      <c r="T62" s="14">
        <v>0</v>
      </c>
      <c r="U62" s="14">
        <v>2</v>
      </c>
      <c r="V62" s="14">
        <v>2</v>
      </c>
      <c r="W62" s="14">
        <v>0</v>
      </c>
      <c r="X62" s="14">
        <v>6</v>
      </c>
      <c r="Y62" s="14">
        <v>2</v>
      </c>
      <c r="Z62" s="14">
        <v>0</v>
      </c>
      <c r="AA62" s="14">
        <v>1</v>
      </c>
      <c r="AB62" s="14">
        <v>0</v>
      </c>
      <c r="AC62" s="14">
        <v>2</v>
      </c>
      <c r="AD62" s="14">
        <v>3</v>
      </c>
      <c r="AE62" s="14">
        <v>10</v>
      </c>
      <c r="AF62" s="214">
        <v>1</v>
      </c>
      <c r="AG62" s="15">
        <f t="shared" si="4"/>
        <v>80</v>
      </c>
      <c r="AH62">
        <v>0</v>
      </c>
      <c r="AI62">
        <v>2</v>
      </c>
    </row>
    <row r="63" spans="1:35" ht="15.75" customHeight="1" x14ac:dyDescent="0.25">
      <c r="A63" s="12" t="s">
        <v>24</v>
      </c>
      <c r="B63" s="13">
        <v>3</v>
      </c>
      <c r="C63" s="14">
        <v>3</v>
      </c>
      <c r="D63" s="14">
        <v>3</v>
      </c>
      <c r="E63" s="14">
        <v>20</v>
      </c>
      <c r="F63" s="14">
        <v>7</v>
      </c>
      <c r="G63" s="14">
        <v>8</v>
      </c>
      <c r="H63" s="14">
        <v>0</v>
      </c>
      <c r="I63" s="14">
        <v>1</v>
      </c>
      <c r="J63" s="14">
        <v>2</v>
      </c>
      <c r="K63" s="14">
        <v>8</v>
      </c>
      <c r="L63" s="14">
        <v>3</v>
      </c>
      <c r="M63" s="14">
        <v>1</v>
      </c>
      <c r="N63" s="14">
        <v>3</v>
      </c>
      <c r="O63" s="14">
        <v>0</v>
      </c>
      <c r="P63" s="14">
        <v>3</v>
      </c>
      <c r="Q63" s="14">
        <v>18</v>
      </c>
      <c r="R63" s="14">
        <v>7</v>
      </c>
      <c r="S63" s="14">
        <v>2</v>
      </c>
      <c r="T63" s="14">
        <v>8</v>
      </c>
      <c r="U63" s="14">
        <v>5</v>
      </c>
      <c r="V63" s="14">
        <v>1</v>
      </c>
      <c r="W63" s="14">
        <v>3</v>
      </c>
      <c r="X63" s="14">
        <v>1</v>
      </c>
      <c r="Y63" s="14">
        <v>0</v>
      </c>
      <c r="Z63" s="14">
        <v>1</v>
      </c>
      <c r="AA63" s="14">
        <v>2</v>
      </c>
      <c r="AB63" s="14">
        <v>0</v>
      </c>
      <c r="AC63" s="14">
        <v>2</v>
      </c>
      <c r="AD63" s="14">
        <v>0</v>
      </c>
      <c r="AE63" s="14">
        <v>19</v>
      </c>
      <c r="AF63" s="214">
        <v>7</v>
      </c>
      <c r="AG63" s="15">
        <f t="shared" si="4"/>
        <v>141</v>
      </c>
      <c r="AH63">
        <v>3</v>
      </c>
      <c r="AI63">
        <v>3</v>
      </c>
    </row>
    <row r="64" spans="1:35" ht="15.75" customHeight="1" x14ac:dyDescent="0.25">
      <c r="A64" s="12" t="s">
        <v>25</v>
      </c>
      <c r="B64" s="13">
        <v>1</v>
      </c>
      <c r="C64" s="14">
        <v>2</v>
      </c>
      <c r="D64" s="14">
        <v>7</v>
      </c>
      <c r="E64" s="14">
        <v>13</v>
      </c>
      <c r="F64" s="14">
        <v>12</v>
      </c>
      <c r="G64" s="14">
        <v>5</v>
      </c>
      <c r="H64" s="14">
        <v>0</v>
      </c>
      <c r="I64" s="14">
        <v>1</v>
      </c>
      <c r="J64" s="14">
        <v>4</v>
      </c>
      <c r="K64" s="14">
        <v>12</v>
      </c>
      <c r="L64" s="14">
        <v>6</v>
      </c>
      <c r="M64" s="14">
        <v>21</v>
      </c>
      <c r="N64" s="14">
        <v>11</v>
      </c>
      <c r="O64" s="14">
        <v>0</v>
      </c>
      <c r="P64" s="14">
        <v>2</v>
      </c>
      <c r="Q64" s="14">
        <v>21</v>
      </c>
      <c r="R64" s="14">
        <v>15</v>
      </c>
      <c r="S64" s="14">
        <v>3</v>
      </c>
      <c r="T64" s="14">
        <v>22</v>
      </c>
      <c r="U64" s="14">
        <v>9</v>
      </c>
      <c r="V64" s="14">
        <v>1</v>
      </c>
      <c r="W64" s="14">
        <v>2</v>
      </c>
      <c r="X64" s="14">
        <v>8</v>
      </c>
      <c r="Y64" s="14">
        <v>5</v>
      </c>
      <c r="Z64" s="14">
        <v>3</v>
      </c>
      <c r="AA64" s="14">
        <v>12</v>
      </c>
      <c r="AB64" s="14">
        <v>0</v>
      </c>
      <c r="AC64" s="14">
        <v>0</v>
      </c>
      <c r="AD64" s="14">
        <v>5</v>
      </c>
      <c r="AE64" s="14">
        <v>4</v>
      </c>
      <c r="AF64" s="214">
        <v>5</v>
      </c>
      <c r="AG64" s="15">
        <f t="shared" si="4"/>
        <v>212</v>
      </c>
      <c r="AH64">
        <v>1</v>
      </c>
      <c r="AI64">
        <v>2</v>
      </c>
    </row>
    <row r="65" spans="1:35" ht="15.75" customHeight="1" x14ac:dyDescent="0.25">
      <c r="A65" s="12" t="s">
        <v>26</v>
      </c>
      <c r="B65" s="13">
        <v>1</v>
      </c>
      <c r="C65" s="14">
        <v>1</v>
      </c>
      <c r="D65" s="14">
        <v>3</v>
      </c>
      <c r="E65" s="14">
        <v>15</v>
      </c>
      <c r="F65" s="14">
        <v>5</v>
      </c>
      <c r="G65" s="14">
        <v>7</v>
      </c>
      <c r="H65" s="14">
        <v>1</v>
      </c>
      <c r="I65" s="14">
        <v>0</v>
      </c>
      <c r="J65" s="14">
        <v>3</v>
      </c>
      <c r="K65" s="14">
        <v>15</v>
      </c>
      <c r="L65" s="14">
        <v>1</v>
      </c>
      <c r="M65" s="14">
        <v>14</v>
      </c>
      <c r="N65" s="14">
        <v>17</v>
      </c>
      <c r="O65" s="14">
        <v>1</v>
      </c>
      <c r="P65" s="14">
        <v>3</v>
      </c>
      <c r="Q65" s="14">
        <v>12</v>
      </c>
      <c r="R65" s="14">
        <v>7</v>
      </c>
      <c r="S65" s="14">
        <v>30</v>
      </c>
      <c r="T65" s="14">
        <v>2</v>
      </c>
      <c r="U65" s="14">
        <v>5</v>
      </c>
      <c r="V65" s="14">
        <v>0</v>
      </c>
      <c r="W65" s="14">
        <v>0</v>
      </c>
      <c r="X65" s="14">
        <v>9</v>
      </c>
      <c r="Y65" s="14">
        <v>2</v>
      </c>
      <c r="Z65" s="14">
        <v>7</v>
      </c>
      <c r="AA65" s="14">
        <v>5</v>
      </c>
      <c r="AB65" s="14">
        <v>0</v>
      </c>
      <c r="AC65" s="14">
        <v>1</v>
      </c>
      <c r="AD65" s="14">
        <v>2</v>
      </c>
      <c r="AE65" s="14">
        <v>13</v>
      </c>
      <c r="AF65" s="214">
        <v>8</v>
      </c>
      <c r="AG65" s="15">
        <f t="shared" si="4"/>
        <v>190</v>
      </c>
      <c r="AH65">
        <v>1</v>
      </c>
      <c r="AI65">
        <v>1</v>
      </c>
    </row>
    <row r="66" spans="1:35" ht="15.75" customHeight="1" x14ac:dyDescent="0.25">
      <c r="A66" s="12" t="s">
        <v>27</v>
      </c>
      <c r="B66" s="13">
        <v>1</v>
      </c>
      <c r="C66" s="14">
        <v>3</v>
      </c>
      <c r="D66" s="14">
        <v>1</v>
      </c>
      <c r="E66" s="14">
        <v>3</v>
      </c>
      <c r="F66" s="14">
        <v>9</v>
      </c>
      <c r="G66" s="14">
        <v>17</v>
      </c>
      <c r="H66" s="14">
        <v>1</v>
      </c>
      <c r="I66" s="14">
        <v>0</v>
      </c>
      <c r="J66" s="14">
        <v>3</v>
      </c>
      <c r="K66" s="14">
        <v>6</v>
      </c>
      <c r="L66" s="14">
        <v>1</v>
      </c>
      <c r="M66" s="14">
        <v>6</v>
      </c>
      <c r="N66" s="14">
        <v>9</v>
      </c>
      <c r="O66" s="14">
        <v>0</v>
      </c>
      <c r="P66" s="14">
        <v>3</v>
      </c>
      <c r="Q66" s="14">
        <v>1</v>
      </c>
      <c r="R66" s="14">
        <v>5</v>
      </c>
      <c r="S66" s="14">
        <v>7</v>
      </c>
      <c r="T66" s="14">
        <v>3</v>
      </c>
      <c r="U66" s="14">
        <v>4</v>
      </c>
      <c r="V66" s="14">
        <v>2</v>
      </c>
      <c r="W66" s="14">
        <v>2</v>
      </c>
      <c r="X66" s="14">
        <v>10</v>
      </c>
      <c r="Y66" s="14">
        <v>4</v>
      </c>
      <c r="Z66" s="14">
        <v>1</v>
      </c>
      <c r="AA66" s="14">
        <v>4</v>
      </c>
      <c r="AB66" s="14">
        <v>0</v>
      </c>
      <c r="AC66" s="14">
        <v>0</v>
      </c>
      <c r="AD66" s="14">
        <v>3</v>
      </c>
      <c r="AE66" s="14">
        <v>2</v>
      </c>
      <c r="AF66" s="214">
        <v>2</v>
      </c>
      <c r="AG66" s="15">
        <f t="shared" si="4"/>
        <v>113</v>
      </c>
      <c r="AH66">
        <v>1</v>
      </c>
      <c r="AI66">
        <v>3</v>
      </c>
    </row>
    <row r="67" spans="1:35" ht="15.75" customHeight="1" x14ac:dyDescent="0.25">
      <c r="A67" s="12" t="s">
        <v>28</v>
      </c>
      <c r="B67" s="13">
        <v>0</v>
      </c>
      <c r="C67" s="14">
        <v>6</v>
      </c>
      <c r="D67" s="14">
        <v>4</v>
      </c>
      <c r="E67" s="14">
        <v>1</v>
      </c>
      <c r="F67" s="14">
        <v>2</v>
      </c>
      <c r="G67" s="14">
        <v>8</v>
      </c>
      <c r="H67" s="14">
        <v>0</v>
      </c>
      <c r="I67" s="14">
        <v>1</v>
      </c>
      <c r="J67" s="14">
        <v>4</v>
      </c>
      <c r="K67" s="14">
        <v>1</v>
      </c>
      <c r="L67" s="14">
        <v>2</v>
      </c>
      <c r="M67" s="14">
        <v>6</v>
      </c>
      <c r="N67" s="14">
        <v>0</v>
      </c>
      <c r="O67" s="14">
        <v>0</v>
      </c>
      <c r="P67" s="14">
        <v>1</v>
      </c>
      <c r="Q67" s="14">
        <v>10</v>
      </c>
      <c r="R67" s="14">
        <v>8</v>
      </c>
      <c r="S67" s="14">
        <v>9</v>
      </c>
      <c r="T67" s="14">
        <v>3</v>
      </c>
      <c r="U67" s="14">
        <v>5</v>
      </c>
      <c r="V67" s="14">
        <v>1</v>
      </c>
      <c r="W67" s="14">
        <v>2</v>
      </c>
      <c r="X67" s="14">
        <v>12</v>
      </c>
      <c r="Y67" s="14">
        <v>0</v>
      </c>
      <c r="Z67" s="14">
        <v>2</v>
      </c>
      <c r="AA67" s="14">
        <v>1</v>
      </c>
      <c r="AB67" s="14">
        <v>0</v>
      </c>
      <c r="AC67" s="14">
        <v>1</v>
      </c>
      <c r="AD67" s="14">
        <v>2</v>
      </c>
      <c r="AE67" s="14">
        <v>14</v>
      </c>
      <c r="AF67" s="214">
        <v>3</v>
      </c>
      <c r="AG67" s="15">
        <f t="shared" ref="AG67:AG98" si="6">SUM(B67:AF67)</f>
        <v>109</v>
      </c>
      <c r="AH67">
        <v>0</v>
      </c>
      <c r="AI67">
        <v>6</v>
      </c>
    </row>
    <row r="68" spans="1:35" ht="15.75" customHeight="1" x14ac:dyDescent="0.25">
      <c r="A68" s="12" t="s">
        <v>29</v>
      </c>
      <c r="B68" s="13">
        <v>1</v>
      </c>
      <c r="C68" s="14">
        <v>9</v>
      </c>
      <c r="D68" s="14">
        <v>3</v>
      </c>
      <c r="E68" s="14">
        <v>0</v>
      </c>
      <c r="F68" s="14">
        <v>0</v>
      </c>
      <c r="G68" s="14">
        <v>1</v>
      </c>
      <c r="H68" s="14">
        <v>0</v>
      </c>
      <c r="I68" s="14">
        <v>1</v>
      </c>
      <c r="J68" s="14">
        <v>4</v>
      </c>
      <c r="K68" s="14">
        <v>2</v>
      </c>
      <c r="L68" s="14">
        <v>0</v>
      </c>
      <c r="M68" s="14">
        <v>1</v>
      </c>
      <c r="N68" s="14">
        <v>1</v>
      </c>
      <c r="O68" s="14">
        <v>0</v>
      </c>
      <c r="P68" s="14">
        <v>1</v>
      </c>
      <c r="Q68" s="14">
        <v>10</v>
      </c>
      <c r="R68" s="14">
        <v>7</v>
      </c>
      <c r="S68" s="14">
        <v>3</v>
      </c>
      <c r="T68" s="14">
        <v>4</v>
      </c>
      <c r="U68" s="14">
        <v>0</v>
      </c>
      <c r="V68" s="14">
        <v>0</v>
      </c>
      <c r="W68" s="14">
        <v>1</v>
      </c>
      <c r="X68" s="14">
        <v>7</v>
      </c>
      <c r="Y68" s="14">
        <v>14</v>
      </c>
      <c r="Z68" s="14">
        <v>5</v>
      </c>
      <c r="AA68" s="14">
        <v>1</v>
      </c>
      <c r="AB68" s="14">
        <v>0</v>
      </c>
      <c r="AC68" s="14">
        <v>0</v>
      </c>
      <c r="AD68" s="14">
        <v>1</v>
      </c>
      <c r="AE68" s="14">
        <v>0</v>
      </c>
      <c r="AF68" s="214">
        <v>0</v>
      </c>
      <c r="AG68" s="15">
        <f t="shared" si="6"/>
        <v>77</v>
      </c>
      <c r="AH68">
        <v>1</v>
      </c>
      <c r="AI68">
        <v>9</v>
      </c>
    </row>
    <row r="69" spans="1:35" ht="15.75" customHeight="1" x14ac:dyDescent="0.25">
      <c r="A69" s="12" t="s">
        <v>30</v>
      </c>
      <c r="B69" s="13">
        <v>0</v>
      </c>
      <c r="C69" s="14">
        <v>7</v>
      </c>
      <c r="D69" s="14">
        <v>2</v>
      </c>
      <c r="E69" s="14">
        <v>0</v>
      </c>
      <c r="F69" s="14">
        <v>0</v>
      </c>
      <c r="G69" s="14">
        <v>1</v>
      </c>
      <c r="H69" s="14">
        <v>0</v>
      </c>
      <c r="I69" s="14">
        <v>0</v>
      </c>
      <c r="J69" s="14">
        <v>0</v>
      </c>
      <c r="K69" s="14">
        <v>13</v>
      </c>
      <c r="L69" s="14">
        <v>2</v>
      </c>
      <c r="M69" s="14">
        <v>0</v>
      </c>
      <c r="N69" s="14">
        <v>1</v>
      </c>
      <c r="O69" s="14">
        <v>0</v>
      </c>
      <c r="P69" s="14">
        <v>0</v>
      </c>
      <c r="Q69" s="14">
        <v>5</v>
      </c>
      <c r="R69" s="14">
        <v>4</v>
      </c>
      <c r="S69" s="14">
        <v>0</v>
      </c>
      <c r="T69" s="14">
        <v>0</v>
      </c>
      <c r="U69" s="14">
        <v>2</v>
      </c>
      <c r="V69" s="14">
        <v>0</v>
      </c>
      <c r="W69" s="14">
        <v>0</v>
      </c>
      <c r="X69" s="14">
        <v>6</v>
      </c>
      <c r="Y69" s="14">
        <v>1</v>
      </c>
      <c r="Z69" s="14">
        <v>2</v>
      </c>
      <c r="AA69" s="14">
        <v>1</v>
      </c>
      <c r="AB69" s="14">
        <v>0</v>
      </c>
      <c r="AC69" s="14">
        <v>0</v>
      </c>
      <c r="AD69" s="14">
        <v>1</v>
      </c>
      <c r="AE69" s="14">
        <v>7</v>
      </c>
      <c r="AF69" s="214">
        <v>0</v>
      </c>
      <c r="AG69" s="15">
        <f t="shared" si="6"/>
        <v>55</v>
      </c>
      <c r="AH69">
        <v>0</v>
      </c>
      <c r="AI69">
        <v>7</v>
      </c>
    </row>
    <row r="70" spans="1:35" ht="15.75" customHeight="1" x14ac:dyDescent="0.25">
      <c r="A70" s="12" t="s">
        <v>31</v>
      </c>
      <c r="B70" s="9">
        <v>0</v>
      </c>
      <c r="C70" s="10">
        <v>6</v>
      </c>
      <c r="D70" s="14">
        <v>0</v>
      </c>
      <c r="E70" s="10">
        <v>0</v>
      </c>
      <c r="F70" s="10">
        <v>0</v>
      </c>
      <c r="G70" s="14">
        <v>3</v>
      </c>
      <c r="H70" s="10">
        <v>0</v>
      </c>
      <c r="I70" s="14">
        <v>0</v>
      </c>
      <c r="J70" s="10">
        <v>5</v>
      </c>
      <c r="K70" s="10">
        <v>10</v>
      </c>
      <c r="L70" s="10">
        <v>0</v>
      </c>
      <c r="M70" s="10">
        <v>2</v>
      </c>
      <c r="N70" s="10">
        <v>0</v>
      </c>
      <c r="O70" s="10">
        <v>1</v>
      </c>
      <c r="P70" s="10">
        <v>1</v>
      </c>
      <c r="Q70" s="10">
        <v>1</v>
      </c>
      <c r="R70" s="10">
        <v>3</v>
      </c>
      <c r="S70" s="10">
        <v>0</v>
      </c>
      <c r="T70" s="10">
        <v>3</v>
      </c>
      <c r="U70" s="10">
        <v>0</v>
      </c>
      <c r="V70" s="10">
        <v>0</v>
      </c>
      <c r="W70" s="10">
        <v>4</v>
      </c>
      <c r="X70" s="10">
        <v>9</v>
      </c>
      <c r="Y70" s="10">
        <v>1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6</v>
      </c>
      <c r="AF70" s="213">
        <v>9</v>
      </c>
      <c r="AG70" s="15">
        <f t="shared" si="6"/>
        <v>64</v>
      </c>
      <c r="AH70">
        <v>0</v>
      </c>
      <c r="AI70">
        <v>6</v>
      </c>
    </row>
    <row r="71" spans="1:35" ht="15.75" customHeight="1" x14ac:dyDescent="0.25">
      <c r="A71" s="12" t="s">
        <v>32</v>
      </c>
      <c r="B71" s="9">
        <v>0</v>
      </c>
      <c r="C71" s="10">
        <v>5</v>
      </c>
      <c r="D71" s="14">
        <v>0</v>
      </c>
      <c r="E71" s="10">
        <v>2</v>
      </c>
      <c r="F71" s="10">
        <v>0</v>
      </c>
      <c r="G71" s="14">
        <v>1</v>
      </c>
      <c r="H71" s="10">
        <v>1</v>
      </c>
      <c r="I71" s="14">
        <v>4</v>
      </c>
      <c r="J71" s="10">
        <v>2</v>
      </c>
      <c r="K71" s="10">
        <v>7</v>
      </c>
      <c r="L71" s="10">
        <v>2</v>
      </c>
      <c r="M71" s="10">
        <v>0</v>
      </c>
      <c r="N71" s="10">
        <v>0</v>
      </c>
      <c r="O71" s="10">
        <v>1</v>
      </c>
      <c r="P71" s="10">
        <v>0</v>
      </c>
      <c r="Q71" s="10">
        <v>6</v>
      </c>
      <c r="R71" s="10">
        <v>1</v>
      </c>
      <c r="S71" s="10">
        <v>3</v>
      </c>
      <c r="T71" s="10">
        <v>2</v>
      </c>
      <c r="U71" s="10">
        <v>0</v>
      </c>
      <c r="V71" s="10">
        <v>1</v>
      </c>
      <c r="W71" s="10">
        <v>0</v>
      </c>
      <c r="X71" s="10">
        <v>5</v>
      </c>
      <c r="Y71" s="10">
        <v>0</v>
      </c>
      <c r="Z71" s="10">
        <v>0</v>
      </c>
      <c r="AA71" s="10">
        <v>0</v>
      </c>
      <c r="AB71" s="10">
        <v>1</v>
      </c>
      <c r="AC71" s="10">
        <v>0</v>
      </c>
      <c r="AD71" s="10">
        <v>2</v>
      </c>
      <c r="AE71" s="10">
        <v>6</v>
      </c>
      <c r="AF71" s="213">
        <v>1</v>
      </c>
      <c r="AG71" s="15">
        <f t="shared" si="6"/>
        <v>53</v>
      </c>
      <c r="AH71">
        <v>0</v>
      </c>
      <c r="AI71">
        <v>5</v>
      </c>
    </row>
    <row r="72" spans="1:35" ht="15.75" customHeight="1" x14ac:dyDescent="0.25">
      <c r="A72" s="12" t="s">
        <v>33</v>
      </c>
      <c r="B72" s="9">
        <v>0</v>
      </c>
      <c r="C72" s="10">
        <v>2</v>
      </c>
      <c r="D72" s="14">
        <v>1</v>
      </c>
      <c r="E72" s="10">
        <v>0</v>
      </c>
      <c r="F72" s="10">
        <v>0</v>
      </c>
      <c r="G72" s="14">
        <v>4</v>
      </c>
      <c r="H72" s="10">
        <v>0</v>
      </c>
      <c r="I72" s="14">
        <v>0</v>
      </c>
      <c r="J72" s="10">
        <v>3</v>
      </c>
      <c r="K72" s="10">
        <v>6</v>
      </c>
      <c r="L72" s="10">
        <v>0</v>
      </c>
      <c r="M72" s="10">
        <v>10</v>
      </c>
      <c r="N72" s="10">
        <v>1</v>
      </c>
      <c r="O72" s="10">
        <v>0</v>
      </c>
      <c r="P72" s="10">
        <v>0</v>
      </c>
      <c r="Q72" s="10">
        <v>2</v>
      </c>
      <c r="R72" s="10">
        <v>0</v>
      </c>
      <c r="S72" s="10">
        <v>3</v>
      </c>
      <c r="T72" s="10">
        <v>0</v>
      </c>
      <c r="U72" s="10">
        <v>0</v>
      </c>
      <c r="V72" s="10">
        <v>1</v>
      </c>
      <c r="W72" s="10">
        <v>4</v>
      </c>
      <c r="X72" s="10">
        <v>2</v>
      </c>
      <c r="Y72" s="10">
        <v>0</v>
      </c>
      <c r="Z72" s="10">
        <v>1</v>
      </c>
      <c r="AA72" s="10">
        <v>0</v>
      </c>
      <c r="AB72" s="10">
        <v>4</v>
      </c>
      <c r="AC72" s="10">
        <v>0</v>
      </c>
      <c r="AD72" s="10">
        <v>0</v>
      </c>
      <c r="AE72" s="10">
        <v>7</v>
      </c>
      <c r="AF72" s="213">
        <v>0</v>
      </c>
      <c r="AG72" s="15">
        <f t="shared" si="6"/>
        <v>51</v>
      </c>
      <c r="AH72">
        <v>0</v>
      </c>
      <c r="AI72">
        <v>2</v>
      </c>
    </row>
    <row r="73" spans="1:35" ht="15.75" customHeight="1" x14ac:dyDescent="0.25">
      <c r="A73" s="12" t="s">
        <v>34</v>
      </c>
      <c r="B73" s="9">
        <v>0</v>
      </c>
      <c r="C73" s="10">
        <v>0</v>
      </c>
      <c r="D73" s="14">
        <v>0</v>
      </c>
      <c r="E73" s="10">
        <v>0</v>
      </c>
      <c r="F73" s="10">
        <v>0</v>
      </c>
      <c r="G73" s="14">
        <v>11</v>
      </c>
      <c r="H73" s="10">
        <v>1</v>
      </c>
      <c r="I73" s="14">
        <v>0</v>
      </c>
      <c r="J73" s="10">
        <v>0</v>
      </c>
      <c r="K73" s="10">
        <v>1</v>
      </c>
      <c r="L73" s="10">
        <v>1</v>
      </c>
      <c r="M73" s="10">
        <v>0</v>
      </c>
      <c r="N73" s="10">
        <v>1</v>
      </c>
      <c r="O73" s="10">
        <v>0</v>
      </c>
      <c r="P73" s="10">
        <v>0</v>
      </c>
      <c r="Q73" s="10">
        <v>7</v>
      </c>
      <c r="R73" s="10">
        <v>0</v>
      </c>
      <c r="S73" s="10">
        <v>4</v>
      </c>
      <c r="T73" s="10">
        <v>0</v>
      </c>
      <c r="U73" s="10">
        <v>0</v>
      </c>
      <c r="V73" s="10">
        <v>0</v>
      </c>
      <c r="W73" s="10">
        <v>2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1</v>
      </c>
      <c r="AE73" s="10">
        <v>5</v>
      </c>
      <c r="AF73" s="213">
        <v>8</v>
      </c>
      <c r="AG73" s="15">
        <f t="shared" si="6"/>
        <v>42</v>
      </c>
      <c r="AH73">
        <v>0</v>
      </c>
      <c r="AI73">
        <v>0</v>
      </c>
    </row>
    <row r="74" spans="1:35" ht="15.75" customHeight="1" x14ac:dyDescent="0.25">
      <c r="A74" s="12" t="s">
        <v>35</v>
      </c>
      <c r="B74" s="9">
        <v>0</v>
      </c>
      <c r="C74" s="10">
        <v>0</v>
      </c>
      <c r="D74" s="14">
        <v>0</v>
      </c>
      <c r="E74" s="10">
        <v>0</v>
      </c>
      <c r="F74" s="10">
        <v>0</v>
      </c>
      <c r="G74" s="14">
        <v>0</v>
      </c>
      <c r="H74" s="10">
        <v>1</v>
      </c>
      <c r="I74" s="14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1</v>
      </c>
      <c r="AC74" s="10">
        <v>0</v>
      </c>
      <c r="AD74" s="10">
        <v>0</v>
      </c>
      <c r="AE74" s="10">
        <v>0</v>
      </c>
      <c r="AF74" s="213">
        <v>2</v>
      </c>
      <c r="AG74" s="15">
        <f t="shared" si="6"/>
        <v>4</v>
      </c>
      <c r="AH74">
        <v>0</v>
      </c>
      <c r="AI74">
        <v>0</v>
      </c>
    </row>
    <row r="75" spans="1:35" ht="15.75" customHeight="1" x14ac:dyDescent="0.25">
      <c r="A75" s="12" t="s">
        <v>36</v>
      </c>
      <c r="B75" s="9">
        <v>0</v>
      </c>
      <c r="C75" s="10">
        <v>0</v>
      </c>
      <c r="D75" s="14">
        <v>0</v>
      </c>
      <c r="E75" s="10">
        <v>0</v>
      </c>
      <c r="F75" s="10">
        <v>0</v>
      </c>
      <c r="G75" s="14">
        <v>0</v>
      </c>
      <c r="H75" s="10">
        <v>0</v>
      </c>
      <c r="I75" s="14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213">
        <v>0</v>
      </c>
      <c r="AG75" s="15">
        <f t="shared" si="6"/>
        <v>0</v>
      </c>
      <c r="AH75">
        <v>0</v>
      </c>
      <c r="AI75">
        <v>0</v>
      </c>
    </row>
    <row r="76" spans="1:35" ht="15.75" customHeight="1" x14ac:dyDescent="0.25">
      <c r="A76" s="12" t="s">
        <v>37</v>
      </c>
      <c r="B76" s="9">
        <v>0</v>
      </c>
      <c r="C76" s="10">
        <v>0</v>
      </c>
      <c r="D76" s="14">
        <v>0</v>
      </c>
      <c r="E76" s="10">
        <v>0</v>
      </c>
      <c r="F76" s="10">
        <v>0</v>
      </c>
      <c r="G76" s="14">
        <v>0</v>
      </c>
      <c r="H76" s="10">
        <v>0</v>
      </c>
      <c r="I76" s="14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213">
        <v>0</v>
      </c>
      <c r="AG76" s="15">
        <f t="shared" si="6"/>
        <v>0</v>
      </c>
      <c r="AH76">
        <v>0</v>
      </c>
      <c r="AI76">
        <v>0</v>
      </c>
    </row>
    <row r="77" spans="1:35" ht="15.75" customHeight="1" thickBot="1" x14ac:dyDescent="0.3">
      <c r="A77" s="28" t="s">
        <v>38</v>
      </c>
      <c r="B77" s="29">
        <v>0</v>
      </c>
      <c r="C77" s="30">
        <v>0</v>
      </c>
      <c r="D77" s="25">
        <v>0</v>
      </c>
      <c r="E77" s="30">
        <v>0</v>
      </c>
      <c r="F77" s="30">
        <v>0</v>
      </c>
      <c r="G77" s="25">
        <v>0</v>
      </c>
      <c r="H77" s="30">
        <v>1</v>
      </c>
      <c r="I77" s="25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217">
        <v>0</v>
      </c>
      <c r="AG77" s="26">
        <f t="shared" si="6"/>
        <v>1</v>
      </c>
      <c r="AH77">
        <v>0</v>
      </c>
      <c r="AI77">
        <v>0</v>
      </c>
    </row>
    <row r="78" spans="1:35" ht="19.5" hidden="1" customHeight="1" thickBot="1" x14ac:dyDescent="0.3">
      <c r="A78" s="31" t="s">
        <v>41</v>
      </c>
      <c r="B78" s="32"/>
      <c r="C78" s="33">
        <f t="shared" ref="C78:AF78" si="7">SUM(C79:C80)</f>
        <v>299</v>
      </c>
      <c r="D78" s="33">
        <f t="shared" si="7"/>
        <v>266</v>
      </c>
      <c r="E78" s="34">
        <f t="shared" si="7"/>
        <v>246</v>
      </c>
      <c r="F78" s="34">
        <f t="shared" si="7"/>
        <v>247</v>
      </c>
      <c r="G78" s="34">
        <f t="shared" si="7"/>
        <v>271</v>
      </c>
      <c r="H78" s="34">
        <f t="shared" si="7"/>
        <v>256</v>
      </c>
      <c r="I78" s="34">
        <f t="shared" si="7"/>
        <v>235</v>
      </c>
      <c r="J78" s="34">
        <f t="shared" si="7"/>
        <v>277</v>
      </c>
      <c r="K78" s="34">
        <f t="shared" si="7"/>
        <v>339</v>
      </c>
      <c r="L78" s="34">
        <f t="shared" si="7"/>
        <v>287</v>
      </c>
      <c r="M78" s="34">
        <f t="shared" si="7"/>
        <v>291</v>
      </c>
      <c r="N78" s="34">
        <f t="shared" si="7"/>
        <v>250</v>
      </c>
      <c r="O78" s="34">
        <f t="shared" si="7"/>
        <v>245</v>
      </c>
      <c r="P78" s="34">
        <f t="shared" si="7"/>
        <v>265</v>
      </c>
      <c r="Q78" s="34">
        <f t="shared" si="7"/>
        <v>325</v>
      </c>
      <c r="R78" s="34">
        <f t="shared" si="7"/>
        <v>342</v>
      </c>
      <c r="S78" s="34">
        <f t="shared" si="7"/>
        <v>307</v>
      </c>
      <c r="T78" s="34">
        <f t="shared" si="7"/>
        <v>265</v>
      </c>
      <c r="U78" s="34">
        <f t="shared" si="7"/>
        <v>259</v>
      </c>
      <c r="V78" s="34">
        <f t="shared" si="7"/>
        <v>224</v>
      </c>
      <c r="W78" s="34">
        <f t="shared" si="7"/>
        <v>268</v>
      </c>
      <c r="X78" s="34">
        <f t="shared" si="7"/>
        <v>316</v>
      </c>
      <c r="Y78" s="34">
        <f t="shared" si="7"/>
        <v>280</v>
      </c>
      <c r="Z78" s="34">
        <f t="shared" si="7"/>
        <v>268</v>
      </c>
      <c r="AA78" s="34">
        <f t="shared" si="7"/>
        <v>261</v>
      </c>
      <c r="AB78" s="34">
        <f t="shared" si="7"/>
        <v>273</v>
      </c>
      <c r="AC78" s="34">
        <f t="shared" si="7"/>
        <v>227</v>
      </c>
      <c r="AD78" s="34">
        <f t="shared" si="7"/>
        <v>244</v>
      </c>
      <c r="AE78" s="34">
        <f t="shared" si="7"/>
        <v>325</v>
      </c>
      <c r="AF78" s="218">
        <f t="shared" si="7"/>
        <v>268</v>
      </c>
      <c r="AG78" s="27">
        <f t="shared" si="6"/>
        <v>8226</v>
      </c>
    </row>
    <row r="79" spans="1:35" ht="19.5" hidden="1" customHeight="1" thickBot="1" x14ac:dyDescent="0.3">
      <c r="A79" s="35" t="s">
        <v>42</v>
      </c>
      <c r="B79" s="9"/>
      <c r="C79" s="10">
        <f t="shared" ref="C79:AF79" si="8">SUM(C4:C27)-C80</f>
        <v>299</v>
      </c>
      <c r="D79" s="10">
        <f t="shared" si="8"/>
        <v>266</v>
      </c>
      <c r="E79" s="10">
        <f t="shared" si="8"/>
        <v>246</v>
      </c>
      <c r="F79" s="10">
        <f t="shared" si="8"/>
        <v>113</v>
      </c>
      <c r="G79" s="10">
        <f t="shared" si="8"/>
        <v>108</v>
      </c>
      <c r="H79" s="10">
        <f t="shared" si="8"/>
        <v>109</v>
      </c>
      <c r="I79" s="10">
        <f t="shared" si="8"/>
        <v>235</v>
      </c>
      <c r="J79" s="10">
        <f t="shared" si="8"/>
        <v>277</v>
      </c>
      <c r="K79" s="10">
        <f t="shared" si="8"/>
        <v>339</v>
      </c>
      <c r="L79" s="10">
        <f t="shared" si="8"/>
        <v>287</v>
      </c>
      <c r="M79" s="10">
        <f t="shared" si="8"/>
        <v>134</v>
      </c>
      <c r="N79" s="10">
        <f t="shared" si="8"/>
        <v>102</v>
      </c>
      <c r="O79" s="10">
        <f t="shared" si="8"/>
        <v>87</v>
      </c>
      <c r="P79" s="10">
        <f t="shared" si="8"/>
        <v>265</v>
      </c>
      <c r="Q79" s="10">
        <f t="shared" si="8"/>
        <v>325</v>
      </c>
      <c r="R79" s="10">
        <f t="shared" si="8"/>
        <v>149</v>
      </c>
      <c r="S79" s="10">
        <f t="shared" si="8"/>
        <v>134</v>
      </c>
      <c r="T79" s="10">
        <f t="shared" si="8"/>
        <v>120</v>
      </c>
      <c r="U79" s="10">
        <f t="shared" si="8"/>
        <v>102</v>
      </c>
      <c r="V79" s="10">
        <f t="shared" si="8"/>
        <v>88</v>
      </c>
      <c r="W79" s="10">
        <f t="shared" si="8"/>
        <v>268</v>
      </c>
      <c r="X79" s="10">
        <f t="shared" si="8"/>
        <v>316</v>
      </c>
      <c r="Y79" s="10">
        <f t="shared" si="8"/>
        <v>123</v>
      </c>
      <c r="Z79" s="10">
        <f t="shared" si="8"/>
        <v>268</v>
      </c>
      <c r="AA79" s="10">
        <f t="shared" si="8"/>
        <v>102</v>
      </c>
      <c r="AB79" s="10">
        <f t="shared" si="8"/>
        <v>115</v>
      </c>
      <c r="AC79" s="10">
        <f t="shared" si="8"/>
        <v>89</v>
      </c>
      <c r="AD79" s="10">
        <f t="shared" si="8"/>
        <v>244</v>
      </c>
      <c r="AE79" s="10">
        <f t="shared" si="8"/>
        <v>325</v>
      </c>
      <c r="AF79" s="10">
        <f t="shared" si="8"/>
        <v>119</v>
      </c>
      <c r="AG79" s="11">
        <f t="shared" si="6"/>
        <v>5754</v>
      </c>
    </row>
    <row r="80" spans="1:35" ht="19.5" hidden="1" customHeight="1" thickBot="1" x14ac:dyDescent="0.3">
      <c r="A80" s="36" t="s">
        <v>43</v>
      </c>
      <c r="B80" s="37"/>
      <c r="C80" s="38"/>
      <c r="D80" s="25">
        <v>0</v>
      </c>
      <c r="E80" s="25">
        <v>0</v>
      </c>
      <c r="F80" s="25">
        <f>SUM(F4:F12)</f>
        <v>134</v>
      </c>
      <c r="G80" s="25">
        <f>SUM(G4:G12)</f>
        <v>163</v>
      </c>
      <c r="H80" s="25">
        <f>SUM(H4:H12)</f>
        <v>147</v>
      </c>
      <c r="I80" s="38"/>
      <c r="J80" s="38"/>
      <c r="K80" s="25">
        <v>0</v>
      </c>
      <c r="L80" s="25">
        <v>0</v>
      </c>
      <c r="M80" s="25">
        <f>SUM(M4:M12)</f>
        <v>157</v>
      </c>
      <c r="N80" s="25">
        <f>SUM(N4:N12)</f>
        <v>148</v>
      </c>
      <c r="O80" s="25">
        <f>SUM(O4:O12)</f>
        <v>158</v>
      </c>
      <c r="P80" s="38"/>
      <c r="Q80" s="38"/>
      <c r="R80" s="25">
        <f>SUM(R4:R12)</f>
        <v>193</v>
      </c>
      <c r="S80" s="25">
        <f>SUM(S4:S12)</f>
        <v>173</v>
      </c>
      <c r="T80" s="25">
        <f>SUM(T4:T12)</f>
        <v>145</v>
      </c>
      <c r="U80" s="25">
        <f>SUM(U4:U12)</f>
        <v>157</v>
      </c>
      <c r="V80" s="25">
        <f>SUM(V4:V12)</f>
        <v>136</v>
      </c>
      <c r="W80" s="38"/>
      <c r="X80" s="38"/>
      <c r="Y80" s="25">
        <f>SUM(Y4:Y12)</f>
        <v>157</v>
      </c>
      <c r="Z80" s="38"/>
      <c r="AA80" s="25">
        <f>SUM(AA4:AA12)</f>
        <v>159</v>
      </c>
      <c r="AB80" s="25">
        <f>SUM(AB4:AB12)</f>
        <v>158</v>
      </c>
      <c r="AC80" s="25">
        <f>SUM(AC4:AC12)</f>
        <v>138</v>
      </c>
      <c r="AD80" s="38"/>
      <c r="AE80" s="38"/>
      <c r="AF80" s="25">
        <f>SUM(AF4:AF12)</f>
        <v>149</v>
      </c>
      <c r="AG80" s="26">
        <f t="shared" si="6"/>
        <v>2472</v>
      </c>
    </row>
    <row r="81" spans="1:35" ht="15.75" customHeight="1" thickBot="1" x14ac:dyDescent="0.3">
      <c r="A81" s="31" t="s">
        <v>44</v>
      </c>
      <c r="B81" s="39" t="str">
        <f>IF(A81&lt;&gt;A53,"*","")</f>
        <v>*</v>
      </c>
      <c r="C81" s="34">
        <f t="shared" ref="C81:AF81" si="9">SUM(C82:C83)</f>
        <v>56</v>
      </c>
      <c r="D81" s="34">
        <f t="shared" si="9"/>
        <v>32</v>
      </c>
      <c r="E81" s="34">
        <f t="shared" si="9"/>
        <v>63</v>
      </c>
      <c r="F81" s="34">
        <f t="shared" si="9"/>
        <v>52</v>
      </c>
      <c r="G81" s="34">
        <f t="shared" si="9"/>
        <v>92</v>
      </c>
      <c r="H81" s="34">
        <f t="shared" si="9"/>
        <v>7</v>
      </c>
      <c r="I81" s="34">
        <f t="shared" si="9"/>
        <v>12</v>
      </c>
      <c r="J81" s="34">
        <f t="shared" si="9"/>
        <v>36</v>
      </c>
      <c r="K81" s="34">
        <f t="shared" si="9"/>
        <v>117</v>
      </c>
      <c r="L81" s="34">
        <f t="shared" si="9"/>
        <v>36</v>
      </c>
      <c r="M81" s="34">
        <f t="shared" si="9"/>
        <v>95</v>
      </c>
      <c r="N81" s="34">
        <f t="shared" si="9"/>
        <v>48</v>
      </c>
      <c r="O81" s="34">
        <f t="shared" si="9"/>
        <v>3</v>
      </c>
      <c r="P81" s="34">
        <f t="shared" si="9"/>
        <v>30</v>
      </c>
      <c r="Q81" s="34">
        <f t="shared" si="9"/>
        <v>114</v>
      </c>
      <c r="R81" s="34">
        <f t="shared" si="9"/>
        <v>69</v>
      </c>
      <c r="S81" s="34">
        <f t="shared" si="9"/>
        <v>101</v>
      </c>
      <c r="T81" s="34">
        <f t="shared" si="9"/>
        <v>55</v>
      </c>
      <c r="U81" s="34">
        <f t="shared" si="9"/>
        <v>45</v>
      </c>
      <c r="V81" s="34">
        <f t="shared" si="9"/>
        <v>9</v>
      </c>
      <c r="W81" s="34">
        <f t="shared" si="9"/>
        <v>25</v>
      </c>
      <c r="X81" s="34">
        <f t="shared" si="9"/>
        <v>109</v>
      </c>
      <c r="Y81" s="34">
        <f t="shared" si="9"/>
        <v>32</v>
      </c>
      <c r="Z81" s="34">
        <f t="shared" si="9"/>
        <v>26</v>
      </c>
      <c r="AA81" s="34">
        <f t="shared" si="9"/>
        <v>32</v>
      </c>
      <c r="AB81" s="34">
        <f t="shared" si="9"/>
        <v>8</v>
      </c>
      <c r="AC81" s="34">
        <f t="shared" si="9"/>
        <v>8</v>
      </c>
      <c r="AD81" s="34">
        <f t="shared" si="9"/>
        <v>21</v>
      </c>
      <c r="AE81" s="34">
        <f t="shared" si="9"/>
        <v>100</v>
      </c>
      <c r="AF81" s="34">
        <f t="shared" si="9"/>
        <v>53</v>
      </c>
      <c r="AG81" s="27">
        <f t="shared" si="6"/>
        <v>1486</v>
      </c>
      <c r="AH81" s="40" t="str">
        <f>IF(AG81&lt;&gt;AG53,"*","")</f>
        <v>*</v>
      </c>
    </row>
    <row r="82" spans="1:35" ht="15.75" customHeight="1" x14ac:dyDescent="0.25">
      <c r="A82" s="35" t="s">
        <v>43</v>
      </c>
      <c r="B82" s="9">
        <f t="shared" ref="B82:AF82" si="10">SUM(B54:B62)</f>
        <v>3</v>
      </c>
      <c r="C82" s="10">
        <f t="shared" si="10"/>
        <v>12</v>
      </c>
      <c r="D82" s="10">
        <f t="shared" si="10"/>
        <v>8</v>
      </c>
      <c r="E82" s="10">
        <f t="shared" si="10"/>
        <v>9</v>
      </c>
      <c r="F82" s="10">
        <f t="shared" si="10"/>
        <v>17</v>
      </c>
      <c r="G82" s="10">
        <f t="shared" si="10"/>
        <v>26</v>
      </c>
      <c r="H82" s="10">
        <f t="shared" si="10"/>
        <v>1</v>
      </c>
      <c r="I82" s="10">
        <f t="shared" si="10"/>
        <v>4</v>
      </c>
      <c r="J82" s="10">
        <f t="shared" si="10"/>
        <v>6</v>
      </c>
      <c r="K82" s="10">
        <f t="shared" si="10"/>
        <v>36</v>
      </c>
      <c r="L82" s="10">
        <f t="shared" si="10"/>
        <v>18</v>
      </c>
      <c r="M82" s="10">
        <f t="shared" si="10"/>
        <v>34</v>
      </c>
      <c r="N82" s="10">
        <f t="shared" si="10"/>
        <v>4</v>
      </c>
      <c r="O82" s="10">
        <f t="shared" si="10"/>
        <v>0</v>
      </c>
      <c r="P82" s="10">
        <f t="shared" si="10"/>
        <v>16</v>
      </c>
      <c r="Q82" s="10">
        <f t="shared" si="10"/>
        <v>21</v>
      </c>
      <c r="R82" s="10">
        <f t="shared" si="10"/>
        <v>12</v>
      </c>
      <c r="S82" s="10">
        <f t="shared" si="10"/>
        <v>37</v>
      </c>
      <c r="T82" s="10">
        <f t="shared" si="10"/>
        <v>8</v>
      </c>
      <c r="U82" s="10">
        <f t="shared" si="10"/>
        <v>15</v>
      </c>
      <c r="V82" s="10">
        <f t="shared" si="10"/>
        <v>2</v>
      </c>
      <c r="W82" s="10">
        <f t="shared" si="10"/>
        <v>5</v>
      </c>
      <c r="X82" s="10">
        <f t="shared" si="10"/>
        <v>40</v>
      </c>
      <c r="Y82" s="10">
        <f t="shared" si="10"/>
        <v>5</v>
      </c>
      <c r="Z82" s="10">
        <f t="shared" si="10"/>
        <v>4</v>
      </c>
      <c r="AA82" s="10">
        <f t="shared" si="10"/>
        <v>6</v>
      </c>
      <c r="AB82" s="10">
        <f t="shared" si="10"/>
        <v>2</v>
      </c>
      <c r="AC82" s="10">
        <f t="shared" si="10"/>
        <v>4</v>
      </c>
      <c r="AD82" s="10">
        <f t="shared" si="10"/>
        <v>4</v>
      </c>
      <c r="AE82" s="10">
        <f t="shared" si="10"/>
        <v>17</v>
      </c>
      <c r="AF82" s="10">
        <f t="shared" si="10"/>
        <v>8</v>
      </c>
      <c r="AG82" s="11">
        <f t="shared" si="6"/>
        <v>384</v>
      </c>
    </row>
    <row r="83" spans="1:35" ht="15.75" customHeight="1" thickBot="1" x14ac:dyDescent="0.3">
      <c r="A83" s="36" t="s">
        <v>42</v>
      </c>
      <c r="B83" s="24">
        <f t="shared" ref="B83:AF83" si="11">SUM(B54:B77)-B82</f>
        <v>7</v>
      </c>
      <c r="C83" s="25">
        <f t="shared" si="11"/>
        <v>44</v>
      </c>
      <c r="D83" s="25">
        <f t="shared" si="11"/>
        <v>24</v>
      </c>
      <c r="E83" s="25">
        <f t="shared" si="11"/>
        <v>54</v>
      </c>
      <c r="F83" s="25">
        <f t="shared" si="11"/>
        <v>35</v>
      </c>
      <c r="G83" s="25">
        <f t="shared" si="11"/>
        <v>66</v>
      </c>
      <c r="H83" s="25">
        <f t="shared" si="11"/>
        <v>6</v>
      </c>
      <c r="I83" s="25">
        <f t="shared" si="11"/>
        <v>8</v>
      </c>
      <c r="J83" s="25">
        <f t="shared" si="11"/>
        <v>30</v>
      </c>
      <c r="K83" s="25">
        <f t="shared" si="11"/>
        <v>81</v>
      </c>
      <c r="L83" s="25">
        <f t="shared" si="11"/>
        <v>18</v>
      </c>
      <c r="M83" s="25">
        <f t="shared" si="11"/>
        <v>61</v>
      </c>
      <c r="N83" s="25">
        <f t="shared" si="11"/>
        <v>44</v>
      </c>
      <c r="O83" s="25">
        <f t="shared" si="11"/>
        <v>3</v>
      </c>
      <c r="P83" s="25">
        <f t="shared" si="11"/>
        <v>14</v>
      </c>
      <c r="Q83" s="25">
        <f t="shared" si="11"/>
        <v>93</v>
      </c>
      <c r="R83" s="25">
        <f t="shared" si="11"/>
        <v>57</v>
      </c>
      <c r="S83" s="25">
        <f t="shared" si="11"/>
        <v>64</v>
      </c>
      <c r="T83" s="25">
        <f t="shared" si="11"/>
        <v>47</v>
      </c>
      <c r="U83" s="25">
        <f t="shared" si="11"/>
        <v>30</v>
      </c>
      <c r="V83" s="25">
        <f t="shared" si="11"/>
        <v>7</v>
      </c>
      <c r="W83" s="25">
        <f t="shared" si="11"/>
        <v>20</v>
      </c>
      <c r="X83" s="25">
        <f t="shared" si="11"/>
        <v>69</v>
      </c>
      <c r="Y83" s="25">
        <f t="shared" si="11"/>
        <v>27</v>
      </c>
      <c r="Z83" s="25">
        <f t="shared" si="11"/>
        <v>22</v>
      </c>
      <c r="AA83" s="25">
        <f t="shared" si="11"/>
        <v>26</v>
      </c>
      <c r="AB83" s="25">
        <f t="shared" si="11"/>
        <v>6</v>
      </c>
      <c r="AC83" s="25">
        <f t="shared" si="11"/>
        <v>4</v>
      </c>
      <c r="AD83" s="25">
        <f t="shared" si="11"/>
        <v>17</v>
      </c>
      <c r="AE83" s="25">
        <f t="shared" si="11"/>
        <v>83</v>
      </c>
      <c r="AF83" s="25">
        <f t="shared" si="11"/>
        <v>45</v>
      </c>
      <c r="AG83" s="15">
        <f t="shared" si="6"/>
        <v>1112</v>
      </c>
    </row>
    <row r="84" spans="1:35" ht="15.75" customHeight="1" thickBot="1" x14ac:dyDescent="0.3">
      <c r="A84" s="41" t="s">
        <v>45</v>
      </c>
      <c r="B84" s="42">
        <f t="shared" ref="B84:AF84" si="12">SUM(B85:B86)</f>
        <v>10</v>
      </c>
      <c r="C84" s="43">
        <f t="shared" si="12"/>
        <v>56</v>
      </c>
      <c r="D84" s="43">
        <f t="shared" si="12"/>
        <v>32</v>
      </c>
      <c r="E84" s="43">
        <f t="shared" si="12"/>
        <v>63</v>
      </c>
      <c r="F84" s="43">
        <f t="shared" si="12"/>
        <v>52</v>
      </c>
      <c r="G84" s="43">
        <f t="shared" si="12"/>
        <v>92</v>
      </c>
      <c r="H84" s="43">
        <f t="shared" si="12"/>
        <v>7</v>
      </c>
      <c r="I84" s="43">
        <f t="shared" si="12"/>
        <v>12</v>
      </c>
      <c r="J84" s="43">
        <f t="shared" si="12"/>
        <v>36</v>
      </c>
      <c r="K84" s="43">
        <f t="shared" si="12"/>
        <v>117</v>
      </c>
      <c r="L84" s="43">
        <f t="shared" si="12"/>
        <v>36</v>
      </c>
      <c r="M84" s="43">
        <f t="shared" si="12"/>
        <v>95</v>
      </c>
      <c r="N84" s="43">
        <f t="shared" si="12"/>
        <v>48</v>
      </c>
      <c r="O84" s="43">
        <f t="shared" si="12"/>
        <v>3</v>
      </c>
      <c r="P84" s="43">
        <f t="shared" si="12"/>
        <v>30</v>
      </c>
      <c r="Q84" s="43">
        <f t="shared" si="12"/>
        <v>114</v>
      </c>
      <c r="R84" s="43">
        <f t="shared" si="12"/>
        <v>69</v>
      </c>
      <c r="S84" s="43">
        <f t="shared" si="12"/>
        <v>101</v>
      </c>
      <c r="T84" s="43">
        <f t="shared" si="12"/>
        <v>55</v>
      </c>
      <c r="U84" s="43">
        <f t="shared" si="12"/>
        <v>45</v>
      </c>
      <c r="V84" s="43">
        <f t="shared" si="12"/>
        <v>9</v>
      </c>
      <c r="W84" s="43">
        <f t="shared" si="12"/>
        <v>25</v>
      </c>
      <c r="X84" s="43">
        <f t="shared" si="12"/>
        <v>109</v>
      </c>
      <c r="Y84" s="43">
        <f t="shared" si="12"/>
        <v>32</v>
      </c>
      <c r="Z84" s="43">
        <f t="shared" si="12"/>
        <v>26</v>
      </c>
      <c r="AA84" s="43">
        <f t="shared" si="12"/>
        <v>32</v>
      </c>
      <c r="AB84" s="43">
        <f t="shared" si="12"/>
        <v>8</v>
      </c>
      <c r="AC84" s="43">
        <f t="shared" si="12"/>
        <v>8</v>
      </c>
      <c r="AD84" s="43">
        <f t="shared" si="12"/>
        <v>21</v>
      </c>
      <c r="AE84" s="43">
        <f t="shared" si="12"/>
        <v>100</v>
      </c>
      <c r="AF84" s="43">
        <f t="shared" si="12"/>
        <v>53</v>
      </c>
      <c r="AG84" s="44">
        <f t="shared" si="6"/>
        <v>1496</v>
      </c>
      <c r="AH84" s="40" t="str">
        <f>IF(AG84&lt;&gt;AG82+AG83,"*","")</f>
        <v/>
      </c>
      <c r="AI84" s="270" t="s">
        <v>46</v>
      </c>
    </row>
    <row r="85" spans="1:35" ht="15.75" customHeight="1" x14ac:dyDescent="0.25">
      <c r="A85" s="45" t="s">
        <v>47</v>
      </c>
      <c r="B85" s="46">
        <v>3</v>
      </c>
      <c r="C85" s="47">
        <v>11</v>
      </c>
      <c r="D85" s="47">
        <v>7</v>
      </c>
      <c r="E85" s="47">
        <v>15</v>
      </c>
      <c r="F85" s="47">
        <v>12</v>
      </c>
      <c r="G85" s="47">
        <v>24</v>
      </c>
      <c r="H85" s="47">
        <v>3</v>
      </c>
      <c r="I85" s="47">
        <v>1</v>
      </c>
      <c r="J85" s="47">
        <v>17</v>
      </c>
      <c r="K85" s="47">
        <v>30</v>
      </c>
      <c r="L85" s="47">
        <v>6</v>
      </c>
      <c r="M85" s="47">
        <v>23</v>
      </c>
      <c r="N85" s="47">
        <v>10</v>
      </c>
      <c r="O85" s="47">
        <v>0</v>
      </c>
      <c r="P85" s="47">
        <v>6</v>
      </c>
      <c r="Q85" s="47">
        <v>25</v>
      </c>
      <c r="R85" s="47">
        <v>17</v>
      </c>
      <c r="S85" s="47">
        <v>26</v>
      </c>
      <c r="T85" s="47">
        <v>17</v>
      </c>
      <c r="U85" s="47">
        <v>6</v>
      </c>
      <c r="V85" s="47">
        <v>5</v>
      </c>
      <c r="W85" s="47">
        <v>6</v>
      </c>
      <c r="X85" s="47">
        <v>19</v>
      </c>
      <c r="Y85" s="47">
        <v>8</v>
      </c>
      <c r="Z85" s="47">
        <v>6</v>
      </c>
      <c r="AA85" s="47">
        <v>6</v>
      </c>
      <c r="AB85" s="47">
        <v>1</v>
      </c>
      <c r="AC85" s="47">
        <v>2</v>
      </c>
      <c r="AD85" s="47">
        <v>5</v>
      </c>
      <c r="AE85" s="47">
        <v>23</v>
      </c>
      <c r="AF85" s="219">
        <v>15</v>
      </c>
      <c r="AG85" s="48">
        <f t="shared" si="6"/>
        <v>355</v>
      </c>
      <c r="AI85" s="268">
        <v>11</v>
      </c>
    </row>
    <row r="86" spans="1:35" ht="15.75" customHeight="1" thickBot="1" x14ac:dyDescent="0.3">
      <c r="A86" s="49" t="s">
        <v>48</v>
      </c>
      <c r="B86" s="50">
        <v>7</v>
      </c>
      <c r="C86" s="51">
        <v>45</v>
      </c>
      <c r="D86" s="51">
        <v>25</v>
      </c>
      <c r="E86" s="51">
        <v>48</v>
      </c>
      <c r="F86" s="51">
        <v>40</v>
      </c>
      <c r="G86" s="51">
        <v>68</v>
      </c>
      <c r="H86" s="51">
        <v>4</v>
      </c>
      <c r="I86" s="51">
        <v>11</v>
      </c>
      <c r="J86" s="51">
        <v>19</v>
      </c>
      <c r="K86" s="51">
        <v>87</v>
      </c>
      <c r="L86" s="51">
        <v>30</v>
      </c>
      <c r="M86" s="51">
        <v>72</v>
      </c>
      <c r="N86" s="51">
        <v>38</v>
      </c>
      <c r="O86" s="51">
        <v>3</v>
      </c>
      <c r="P86" s="51">
        <v>24</v>
      </c>
      <c r="Q86" s="51">
        <v>89</v>
      </c>
      <c r="R86" s="51">
        <v>52</v>
      </c>
      <c r="S86" s="51">
        <v>75</v>
      </c>
      <c r="T86" s="51">
        <v>38</v>
      </c>
      <c r="U86" s="51">
        <v>39</v>
      </c>
      <c r="V86" s="51">
        <v>4</v>
      </c>
      <c r="W86" s="51">
        <v>19</v>
      </c>
      <c r="X86" s="51">
        <v>90</v>
      </c>
      <c r="Y86" s="51">
        <v>24</v>
      </c>
      <c r="Z86" s="51">
        <v>20</v>
      </c>
      <c r="AA86" s="51">
        <v>26</v>
      </c>
      <c r="AB86" s="51">
        <v>7</v>
      </c>
      <c r="AC86" s="51">
        <v>6</v>
      </c>
      <c r="AD86" s="51">
        <v>16</v>
      </c>
      <c r="AE86" s="51">
        <v>77</v>
      </c>
      <c r="AF86" s="220">
        <v>38</v>
      </c>
      <c r="AG86" s="52">
        <f t="shared" si="6"/>
        <v>1141</v>
      </c>
      <c r="AI86" s="269">
        <v>45</v>
      </c>
    </row>
    <row r="87" spans="1:35" ht="15.75" customHeight="1" thickBot="1" x14ac:dyDescent="0.3">
      <c r="A87" s="53" t="s">
        <v>49</v>
      </c>
      <c r="B87" s="54">
        <f t="shared" ref="B87:AF87" si="13">SUM(B88:B92)</f>
        <v>10</v>
      </c>
      <c r="C87" s="55">
        <v>56</v>
      </c>
      <c r="D87" s="55">
        <f t="shared" si="13"/>
        <v>32</v>
      </c>
      <c r="E87" s="55">
        <f t="shared" si="13"/>
        <v>63</v>
      </c>
      <c r="F87" s="55">
        <f t="shared" si="13"/>
        <v>52</v>
      </c>
      <c r="G87" s="55">
        <f t="shared" si="13"/>
        <v>92</v>
      </c>
      <c r="H87" s="55">
        <f t="shared" si="13"/>
        <v>7</v>
      </c>
      <c r="I87" s="55">
        <f t="shared" si="13"/>
        <v>12</v>
      </c>
      <c r="J87" s="55">
        <f t="shared" si="13"/>
        <v>36</v>
      </c>
      <c r="K87" s="55">
        <f t="shared" si="13"/>
        <v>117</v>
      </c>
      <c r="L87" s="55">
        <f t="shared" si="13"/>
        <v>36</v>
      </c>
      <c r="M87" s="55">
        <f t="shared" si="13"/>
        <v>95</v>
      </c>
      <c r="N87" s="55">
        <f t="shared" si="13"/>
        <v>48</v>
      </c>
      <c r="O87" s="55">
        <f t="shared" si="13"/>
        <v>3</v>
      </c>
      <c r="P87" s="55">
        <f t="shared" si="13"/>
        <v>30</v>
      </c>
      <c r="Q87" s="55">
        <f t="shared" si="13"/>
        <v>114</v>
      </c>
      <c r="R87" s="55">
        <f t="shared" si="13"/>
        <v>69</v>
      </c>
      <c r="S87" s="55">
        <f t="shared" si="13"/>
        <v>101</v>
      </c>
      <c r="T87" s="55">
        <f t="shared" si="13"/>
        <v>55</v>
      </c>
      <c r="U87" s="55">
        <f t="shared" si="13"/>
        <v>45</v>
      </c>
      <c r="V87" s="55">
        <f t="shared" si="13"/>
        <v>9</v>
      </c>
      <c r="W87" s="55">
        <f t="shared" si="13"/>
        <v>25</v>
      </c>
      <c r="X87" s="55">
        <f t="shared" si="13"/>
        <v>109</v>
      </c>
      <c r="Y87" s="55">
        <f t="shared" si="13"/>
        <v>32</v>
      </c>
      <c r="Z87" s="55">
        <f t="shared" si="13"/>
        <v>26</v>
      </c>
      <c r="AA87" s="55">
        <f t="shared" si="13"/>
        <v>32</v>
      </c>
      <c r="AB87" s="55">
        <f t="shared" si="13"/>
        <v>8</v>
      </c>
      <c r="AC87" s="55">
        <f t="shared" si="13"/>
        <v>8</v>
      </c>
      <c r="AD87" s="55">
        <f t="shared" si="13"/>
        <v>21</v>
      </c>
      <c r="AE87" s="55">
        <f t="shared" si="13"/>
        <v>100</v>
      </c>
      <c r="AF87" s="55">
        <f t="shared" si="13"/>
        <v>53</v>
      </c>
      <c r="AG87" s="56">
        <f t="shared" si="6"/>
        <v>1496</v>
      </c>
      <c r="AH87" s="57" t="str">
        <f>IF(AG87&lt;&gt;AG84,"*","")</f>
        <v/>
      </c>
      <c r="AI87">
        <v>56</v>
      </c>
    </row>
    <row r="88" spans="1:35" ht="15.75" customHeight="1" x14ac:dyDescent="0.25">
      <c r="A88" s="58" t="s">
        <v>50</v>
      </c>
      <c r="B88" s="29">
        <v>3</v>
      </c>
      <c r="C88" s="25">
        <v>9</v>
      </c>
      <c r="D88" s="30">
        <v>1</v>
      </c>
      <c r="E88" s="30">
        <v>6</v>
      </c>
      <c r="F88" s="30">
        <v>12</v>
      </c>
      <c r="G88" s="30">
        <v>15</v>
      </c>
      <c r="H88" s="30">
        <v>4</v>
      </c>
      <c r="I88" s="30">
        <v>2</v>
      </c>
      <c r="J88" s="30">
        <v>3</v>
      </c>
      <c r="K88" s="30">
        <v>17</v>
      </c>
      <c r="L88" s="30">
        <v>8</v>
      </c>
      <c r="M88" s="30">
        <v>8</v>
      </c>
      <c r="N88" s="30">
        <v>7</v>
      </c>
      <c r="O88" s="30">
        <v>0</v>
      </c>
      <c r="P88" s="30">
        <v>4</v>
      </c>
      <c r="Q88" s="30">
        <v>16</v>
      </c>
      <c r="R88" s="30">
        <v>13</v>
      </c>
      <c r="S88" s="30">
        <v>12</v>
      </c>
      <c r="T88" s="30">
        <v>7</v>
      </c>
      <c r="U88" s="30">
        <v>6</v>
      </c>
      <c r="V88" s="30">
        <v>1</v>
      </c>
      <c r="W88" s="30">
        <v>5</v>
      </c>
      <c r="X88" s="30">
        <v>17</v>
      </c>
      <c r="Y88" s="30">
        <v>3</v>
      </c>
      <c r="Z88" s="30">
        <v>10</v>
      </c>
      <c r="AA88" s="30">
        <v>9</v>
      </c>
      <c r="AB88" s="30">
        <v>3</v>
      </c>
      <c r="AC88" s="30">
        <v>2</v>
      </c>
      <c r="AD88" s="30">
        <v>5</v>
      </c>
      <c r="AE88" s="30">
        <v>19</v>
      </c>
      <c r="AF88" s="217">
        <v>11</v>
      </c>
      <c r="AG88" s="11">
        <f t="shared" si="6"/>
        <v>238</v>
      </c>
      <c r="AI88">
        <v>9</v>
      </c>
    </row>
    <row r="89" spans="1:35" ht="15.75" customHeight="1" x14ac:dyDescent="0.25">
      <c r="A89" s="59" t="s">
        <v>51</v>
      </c>
      <c r="B89" s="24">
        <v>0</v>
      </c>
      <c r="C89" s="25">
        <v>0</v>
      </c>
      <c r="D89" s="25">
        <v>0</v>
      </c>
      <c r="E89" s="25">
        <v>0</v>
      </c>
      <c r="F89" s="25">
        <v>0</v>
      </c>
      <c r="G89" s="25">
        <v>0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5">
        <v>0</v>
      </c>
      <c r="W89" s="25">
        <v>0</v>
      </c>
      <c r="X89" s="25">
        <v>0</v>
      </c>
      <c r="Y89" s="25">
        <v>0</v>
      </c>
      <c r="Z89" s="25">
        <v>0</v>
      </c>
      <c r="AA89" s="25">
        <v>0</v>
      </c>
      <c r="AB89" s="25">
        <v>0</v>
      </c>
      <c r="AC89" s="25">
        <v>0</v>
      </c>
      <c r="AD89" s="25">
        <v>0</v>
      </c>
      <c r="AE89" s="25">
        <v>0</v>
      </c>
      <c r="AF89" s="216">
        <v>0</v>
      </c>
      <c r="AG89" s="15">
        <f t="shared" si="6"/>
        <v>0</v>
      </c>
      <c r="AI89">
        <v>0</v>
      </c>
    </row>
    <row r="90" spans="1:35" ht="15.75" customHeight="1" x14ac:dyDescent="0.25">
      <c r="A90" s="59" t="s">
        <v>52</v>
      </c>
      <c r="B90" s="24">
        <v>0</v>
      </c>
      <c r="C90" s="25">
        <v>3</v>
      </c>
      <c r="D90" s="25">
        <v>2</v>
      </c>
      <c r="E90" s="25">
        <v>1</v>
      </c>
      <c r="F90" s="25">
        <v>1</v>
      </c>
      <c r="G90" s="25">
        <v>1</v>
      </c>
      <c r="H90" s="25">
        <v>0</v>
      </c>
      <c r="I90" s="25">
        <v>0</v>
      </c>
      <c r="J90" s="25">
        <v>1</v>
      </c>
      <c r="K90" s="25">
        <v>5</v>
      </c>
      <c r="L90" s="25">
        <v>2</v>
      </c>
      <c r="M90" s="25">
        <v>1</v>
      </c>
      <c r="N90" s="25">
        <v>2</v>
      </c>
      <c r="O90" s="25">
        <v>0</v>
      </c>
      <c r="P90" s="25">
        <v>1</v>
      </c>
      <c r="Q90" s="25">
        <v>2</v>
      </c>
      <c r="R90" s="25">
        <v>0</v>
      </c>
      <c r="S90" s="25">
        <v>1</v>
      </c>
      <c r="T90" s="25">
        <v>0</v>
      </c>
      <c r="U90" s="25">
        <v>0</v>
      </c>
      <c r="V90" s="25">
        <v>0</v>
      </c>
      <c r="W90" s="25">
        <v>0</v>
      </c>
      <c r="X90" s="25">
        <v>0</v>
      </c>
      <c r="Y90" s="25">
        <v>0</v>
      </c>
      <c r="Z90" s="25">
        <v>0</v>
      </c>
      <c r="AA90" s="25">
        <v>3</v>
      </c>
      <c r="AB90" s="25">
        <v>0</v>
      </c>
      <c r="AC90" s="25">
        <v>0</v>
      </c>
      <c r="AD90" s="25">
        <v>0</v>
      </c>
      <c r="AE90" s="25">
        <v>1</v>
      </c>
      <c r="AF90" s="216">
        <v>0</v>
      </c>
      <c r="AG90" s="15">
        <f t="shared" si="6"/>
        <v>27</v>
      </c>
      <c r="AI90">
        <v>3</v>
      </c>
    </row>
    <row r="91" spans="1:35" ht="15.75" customHeight="1" x14ac:dyDescent="0.25">
      <c r="A91" s="59" t="s">
        <v>53</v>
      </c>
      <c r="B91" s="24">
        <v>3</v>
      </c>
      <c r="C91" s="25">
        <v>26</v>
      </c>
      <c r="D91" s="25">
        <v>13</v>
      </c>
      <c r="E91" s="25">
        <v>32</v>
      </c>
      <c r="F91" s="25">
        <v>13</v>
      </c>
      <c r="G91" s="25">
        <v>45</v>
      </c>
      <c r="H91" s="25">
        <v>2</v>
      </c>
      <c r="I91" s="25">
        <v>7</v>
      </c>
      <c r="J91" s="25">
        <v>24</v>
      </c>
      <c r="K91" s="25">
        <v>55</v>
      </c>
      <c r="L91" s="25">
        <v>14</v>
      </c>
      <c r="M91" s="25">
        <v>49</v>
      </c>
      <c r="N91" s="25">
        <v>25</v>
      </c>
      <c r="O91" s="25">
        <v>2</v>
      </c>
      <c r="P91" s="25">
        <v>13</v>
      </c>
      <c r="Q91" s="25">
        <v>72</v>
      </c>
      <c r="R91" s="25">
        <v>33</v>
      </c>
      <c r="S91" s="25">
        <v>72</v>
      </c>
      <c r="T91" s="25">
        <v>38</v>
      </c>
      <c r="U91" s="25">
        <v>20</v>
      </c>
      <c r="V91" s="25">
        <v>4</v>
      </c>
      <c r="W91" s="25">
        <v>6</v>
      </c>
      <c r="X91" s="25">
        <v>61</v>
      </c>
      <c r="Y91" s="25">
        <v>17</v>
      </c>
      <c r="Z91" s="25">
        <v>9</v>
      </c>
      <c r="AA91" s="25">
        <v>6</v>
      </c>
      <c r="AB91" s="25">
        <v>0</v>
      </c>
      <c r="AC91" s="25">
        <v>2</v>
      </c>
      <c r="AD91" s="25">
        <v>6</v>
      </c>
      <c r="AE91" s="25">
        <v>53</v>
      </c>
      <c r="AF91" s="216">
        <v>31</v>
      </c>
      <c r="AG91" s="15">
        <f t="shared" si="6"/>
        <v>753</v>
      </c>
      <c r="AI91">
        <v>26</v>
      </c>
    </row>
    <row r="92" spans="1:35" ht="15.75" customHeight="1" thickBot="1" x14ac:dyDescent="0.3">
      <c r="A92" s="59" t="s">
        <v>54</v>
      </c>
      <c r="B92" s="24">
        <v>4</v>
      </c>
      <c r="C92" s="25">
        <v>18</v>
      </c>
      <c r="D92" s="25">
        <v>16</v>
      </c>
      <c r="E92" s="25">
        <v>24</v>
      </c>
      <c r="F92" s="25">
        <v>26</v>
      </c>
      <c r="G92" s="25">
        <v>31</v>
      </c>
      <c r="H92" s="25">
        <v>1</v>
      </c>
      <c r="I92" s="25">
        <v>3</v>
      </c>
      <c r="J92" s="25">
        <v>8</v>
      </c>
      <c r="K92" s="25">
        <v>40</v>
      </c>
      <c r="L92" s="25">
        <v>12</v>
      </c>
      <c r="M92" s="25">
        <v>37</v>
      </c>
      <c r="N92" s="25">
        <v>14</v>
      </c>
      <c r="O92" s="25">
        <v>1</v>
      </c>
      <c r="P92" s="25">
        <v>12</v>
      </c>
      <c r="Q92" s="25">
        <v>24</v>
      </c>
      <c r="R92" s="25">
        <v>23</v>
      </c>
      <c r="S92" s="25">
        <v>16</v>
      </c>
      <c r="T92" s="25">
        <v>10</v>
      </c>
      <c r="U92" s="25">
        <v>19</v>
      </c>
      <c r="V92" s="25">
        <v>4</v>
      </c>
      <c r="W92" s="25">
        <v>14</v>
      </c>
      <c r="X92" s="25">
        <v>31</v>
      </c>
      <c r="Y92" s="25">
        <v>12</v>
      </c>
      <c r="Z92" s="25">
        <v>7</v>
      </c>
      <c r="AA92" s="25">
        <v>14</v>
      </c>
      <c r="AB92" s="25">
        <v>5</v>
      </c>
      <c r="AC92" s="25">
        <v>4</v>
      </c>
      <c r="AD92" s="25">
        <v>10</v>
      </c>
      <c r="AE92" s="25">
        <v>27</v>
      </c>
      <c r="AF92" s="216">
        <v>11</v>
      </c>
      <c r="AG92" s="15">
        <f t="shared" si="6"/>
        <v>478</v>
      </c>
      <c r="AI92">
        <v>18</v>
      </c>
    </row>
    <row r="93" spans="1:35" ht="15.75" customHeight="1" x14ac:dyDescent="0.25">
      <c r="A93" s="60" t="s">
        <v>55</v>
      </c>
      <c r="B93" s="61">
        <f t="shared" ref="B93:AF93" si="14">+B94+B100</f>
        <v>241</v>
      </c>
      <c r="C93" s="62">
        <f t="shared" ref="C93" si="15">+C94+C100</f>
        <v>243</v>
      </c>
      <c r="D93" s="62">
        <f t="shared" si="14"/>
        <v>234</v>
      </c>
      <c r="E93" s="62">
        <f t="shared" si="14"/>
        <v>183</v>
      </c>
      <c r="F93" s="62">
        <f t="shared" si="14"/>
        <v>195</v>
      </c>
      <c r="G93" s="62">
        <f t="shared" si="14"/>
        <v>179</v>
      </c>
      <c r="H93" s="62">
        <f t="shared" si="14"/>
        <v>249</v>
      </c>
      <c r="I93" s="62">
        <f t="shared" si="14"/>
        <v>223</v>
      </c>
      <c r="J93" s="62">
        <f t="shared" si="14"/>
        <v>241</v>
      </c>
      <c r="K93" s="62">
        <f t="shared" si="14"/>
        <v>222</v>
      </c>
      <c r="L93" s="62">
        <f t="shared" si="14"/>
        <v>251</v>
      </c>
      <c r="M93" s="62">
        <f t="shared" si="14"/>
        <v>196</v>
      </c>
      <c r="N93" s="62">
        <f t="shared" si="14"/>
        <v>202</v>
      </c>
      <c r="O93" s="62">
        <f t="shared" si="14"/>
        <v>242</v>
      </c>
      <c r="P93" s="62">
        <f t="shared" si="14"/>
        <v>235</v>
      </c>
      <c r="Q93" s="62">
        <f t="shared" si="14"/>
        <v>211</v>
      </c>
      <c r="R93" s="62">
        <f t="shared" si="14"/>
        <v>273</v>
      </c>
      <c r="S93" s="62">
        <f t="shared" si="14"/>
        <v>206</v>
      </c>
      <c r="T93" s="62">
        <f t="shared" si="14"/>
        <v>210</v>
      </c>
      <c r="U93" s="62">
        <f t="shared" si="14"/>
        <v>214</v>
      </c>
      <c r="V93" s="62">
        <f t="shared" si="14"/>
        <v>215</v>
      </c>
      <c r="W93" s="62">
        <f t="shared" si="14"/>
        <v>243</v>
      </c>
      <c r="X93" s="62">
        <f t="shared" si="14"/>
        <v>207</v>
      </c>
      <c r="Y93" s="62">
        <f t="shared" si="14"/>
        <v>248</v>
      </c>
      <c r="Z93" s="62">
        <f t="shared" si="14"/>
        <v>242</v>
      </c>
      <c r="AA93" s="62">
        <f t="shared" si="14"/>
        <v>229</v>
      </c>
      <c r="AB93" s="62">
        <f t="shared" si="14"/>
        <v>265</v>
      </c>
      <c r="AC93" s="62">
        <f t="shared" si="14"/>
        <v>219</v>
      </c>
      <c r="AD93" s="62">
        <f t="shared" si="14"/>
        <v>223</v>
      </c>
      <c r="AE93" s="62">
        <f t="shared" si="14"/>
        <v>225</v>
      </c>
      <c r="AF93" s="221">
        <f t="shared" si="14"/>
        <v>215</v>
      </c>
      <c r="AG93" s="22">
        <f t="shared" si="6"/>
        <v>6981</v>
      </c>
      <c r="AH93" s="63" t="str">
        <f>IF(AG93&lt;&gt;AG28,"*","")</f>
        <v/>
      </c>
      <c r="AI93">
        <v>243</v>
      </c>
    </row>
    <row r="94" spans="1:35" ht="15.75" customHeight="1" x14ac:dyDescent="0.25">
      <c r="A94" s="64" t="s">
        <v>56</v>
      </c>
      <c r="B94" s="65">
        <f t="shared" ref="B94:AF94" si="16">SUM(B95:B99)</f>
        <v>54</v>
      </c>
      <c r="C94" s="66">
        <f t="shared" ref="C94" si="17">SUM(C95:C99)</f>
        <v>48</v>
      </c>
      <c r="D94" s="66">
        <f t="shared" si="16"/>
        <v>46</v>
      </c>
      <c r="E94" s="66">
        <f t="shared" si="16"/>
        <v>31</v>
      </c>
      <c r="F94" s="66">
        <f t="shared" si="16"/>
        <v>39</v>
      </c>
      <c r="G94" s="66">
        <f t="shared" si="16"/>
        <v>28</v>
      </c>
      <c r="H94" s="66">
        <f t="shared" si="16"/>
        <v>43</v>
      </c>
      <c r="I94" s="66">
        <f t="shared" si="16"/>
        <v>45</v>
      </c>
      <c r="J94" s="66">
        <f t="shared" si="16"/>
        <v>46</v>
      </c>
      <c r="K94" s="66">
        <f t="shared" si="16"/>
        <v>48</v>
      </c>
      <c r="L94" s="66">
        <f t="shared" si="16"/>
        <v>52</v>
      </c>
      <c r="M94" s="66">
        <f t="shared" si="16"/>
        <v>22</v>
      </c>
      <c r="N94" s="66">
        <f t="shared" si="16"/>
        <v>31</v>
      </c>
      <c r="O94" s="66">
        <f t="shared" si="16"/>
        <v>38</v>
      </c>
      <c r="P94" s="66">
        <f t="shared" si="16"/>
        <v>56</v>
      </c>
      <c r="Q94" s="66">
        <f t="shared" si="16"/>
        <v>38</v>
      </c>
      <c r="R94" s="66">
        <f t="shared" si="16"/>
        <v>60</v>
      </c>
      <c r="S94" s="66">
        <f t="shared" si="16"/>
        <v>36</v>
      </c>
      <c r="T94" s="66">
        <f t="shared" si="16"/>
        <v>41</v>
      </c>
      <c r="U94" s="66">
        <f t="shared" si="16"/>
        <v>41</v>
      </c>
      <c r="V94" s="66">
        <f t="shared" si="16"/>
        <v>44</v>
      </c>
      <c r="W94" s="66">
        <f t="shared" si="16"/>
        <v>43</v>
      </c>
      <c r="X94" s="66">
        <f t="shared" si="16"/>
        <v>48</v>
      </c>
      <c r="Y94" s="66">
        <f t="shared" si="16"/>
        <v>60</v>
      </c>
      <c r="Z94" s="66">
        <f t="shared" si="16"/>
        <v>60</v>
      </c>
      <c r="AA94" s="66">
        <f t="shared" si="16"/>
        <v>53</v>
      </c>
      <c r="AB94" s="66">
        <f t="shared" si="16"/>
        <v>50</v>
      </c>
      <c r="AC94" s="66">
        <f t="shared" si="16"/>
        <v>37</v>
      </c>
      <c r="AD94" s="66">
        <f t="shared" si="16"/>
        <v>39</v>
      </c>
      <c r="AE94" s="66">
        <f t="shared" si="16"/>
        <v>56</v>
      </c>
      <c r="AF94" s="222">
        <f t="shared" si="16"/>
        <v>37</v>
      </c>
      <c r="AG94" s="15">
        <f t="shared" si="6"/>
        <v>1370</v>
      </c>
      <c r="AI94">
        <v>48</v>
      </c>
    </row>
    <row r="95" spans="1:35" ht="15.75" customHeight="1" x14ac:dyDescent="0.25">
      <c r="A95" s="67" t="s">
        <v>57</v>
      </c>
      <c r="B95" s="13">
        <v>0</v>
      </c>
      <c r="C95" s="14">
        <v>0</v>
      </c>
      <c r="D95" s="14">
        <v>2</v>
      </c>
      <c r="E95" s="14">
        <v>0</v>
      </c>
      <c r="F95" s="14">
        <v>0</v>
      </c>
      <c r="G95" s="14">
        <v>0</v>
      </c>
      <c r="H95" s="14">
        <v>0</v>
      </c>
      <c r="I95" s="14">
        <v>1</v>
      </c>
      <c r="J95" s="14">
        <v>1</v>
      </c>
      <c r="K95" s="14">
        <v>1</v>
      </c>
      <c r="L95" s="14">
        <v>1</v>
      </c>
      <c r="M95" s="14">
        <v>1</v>
      </c>
      <c r="N95" s="14">
        <v>0</v>
      </c>
      <c r="O95" s="14">
        <v>0</v>
      </c>
      <c r="P95" s="14">
        <v>3</v>
      </c>
      <c r="Q95" s="14">
        <v>2</v>
      </c>
      <c r="R95" s="14">
        <v>0</v>
      </c>
      <c r="S95" s="14">
        <v>0</v>
      </c>
      <c r="T95" s="14">
        <v>1</v>
      </c>
      <c r="U95" s="14">
        <v>0</v>
      </c>
      <c r="V95" s="14">
        <v>2</v>
      </c>
      <c r="W95" s="14">
        <v>2</v>
      </c>
      <c r="X95" s="14">
        <v>2</v>
      </c>
      <c r="Y95" s="14">
        <v>3</v>
      </c>
      <c r="Z95" s="14">
        <v>2</v>
      </c>
      <c r="AA95" s="14">
        <v>1</v>
      </c>
      <c r="AB95" s="14">
        <v>1</v>
      </c>
      <c r="AC95" s="14">
        <v>0</v>
      </c>
      <c r="AD95" s="14">
        <v>1</v>
      </c>
      <c r="AE95" s="14">
        <v>3</v>
      </c>
      <c r="AF95" s="214">
        <v>0</v>
      </c>
      <c r="AG95" s="15">
        <f t="shared" si="6"/>
        <v>30</v>
      </c>
      <c r="AI95">
        <v>0</v>
      </c>
    </row>
    <row r="96" spans="1:35" ht="15.75" customHeight="1" x14ac:dyDescent="0.25">
      <c r="A96" s="68" t="s">
        <v>58</v>
      </c>
      <c r="B96" s="13">
        <v>4</v>
      </c>
      <c r="C96" s="14">
        <v>0</v>
      </c>
      <c r="D96" s="14">
        <v>0</v>
      </c>
      <c r="E96" s="14">
        <v>1</v>
      </c>
      <c r="F96" s="14">
        <v>2</v>
      </c>
      <c r="G96" s="14">
        <v>0</v>
      </c>
      <c r="H96" s="14">
        <v>0</v>
      </c>
      <c r="I96" s="14">
        <v>4</v>
      </c>
      <c r="J96" s="14">
        <v>1</v>
      </c>
      <c r="K96" s="14">
        <v>2</v>
      </c>
      <c r="L96" s="14">
        <v>2</v>
      </c>
      <c r="M96" s="14">
        <v>6</v>
      </c>
      <c r="N96" s="14">
        <v>0</v>
      </c>
      <c r="O96" s="14">
        <v>2</v>
      </c>
      <c r="P96" s="14">
        <v>4</v>
      </c>
      <c r="Q96" s="14">
        <v>1</v>
      </c>
      <c r="R96" s="14">
        <v>2</v>
      </c>
      <c r="S96" s="223">
        <v>1</v>
      </c>
      <c r="T96" s="14">
        <v>3</v>
      </c>
      <c r="U96" s="14">
        <v>1</v>
      </c>
      <c r="V96" s="14">
        <v>1</v>
      </c>
      <c r="W96" s="14">
        <v>3</v>
      </c>
      <c r="X96" s="14">
        <v>4</v>
      </c>
      <c r="Y96" s="14">
        <v>4</v>
      </c>
      <c r="Z96" s="14">
        <v>3</v>
      </c>
      <c r="AA96" s="14">
        <v>6</v>
      </c>
      <c r="AB96" s="14">
        <v>3</v>
      </c>
      <c r="AC96" s="14">
        <v>2</v>
      </c>
      <c r="AD96" s="14">
        <v>1</v>
      </c>
      <c r="AE96" s="14">
        <v>2</v>
      </c>
      <c r="AF96" s="214">
        <v>3</v>
      </c>
      <c r="AG96" s="15">
        <f t="shared" si="6"/>
        <v>68</v>
      </c>
      <c r="AI96">
        <v>0</v>
      </c>
    </row>
    <row r="97" spans="1:35" ht="15.75" customHeight="1" x14ac:dyDescent="0.25">
      <c r="A97" s="69" t="s">
        <v>59</v>
      </c>
      <c r="B97" s="13">
        <v>6</v>
      </c>
      <c r="C97" s="14">
        <v>8</v>
      </c>
      <c r="D97" s="14">
        <v>6</v>
      </c>
      <c r="E97" s="14">
        <v>6</v>
      </c>
      <c r="F97" s="14">
        <v>11</v>
      </c>
      <c r="G97" s="14">
        <v>4</v>
      </c>
      <c r="H97" s="14">
        <v>12</v>
      </c>
      <c r="I97" s="14">
        <v>8</v>
      </c>
      <c r="J97" s="14">
        <v>5</v>
      </c>
      <c r="K97" s="14">
        <v>4</v>
      </c>
      <c r="L97" s="14">
        <v>8</v>
      </c>
      <c r="M97" s="14">
        <v>2</v>
      </c>
      <c r="N97" s="14">
        <v>7</v>
      </c>
      <c r="O97" s="14">
        <v>3</v>
      </c>
      <c r="P97" s="14">
        <v>13</v>
      </c>
      <c r="Q97" s="14">
        <v>12</v>
      </c>
      <c r="R97" s="14">
        <v>11</v>
      </c>
      <c r="S97" s="14">
        <v>5</v>
      </c>
      <c r="T97" s="14">
        <v>3</v>
      </c>
      <c r="U97" s="14">
        <v>11</v>
      </c>
      <c r="V97" s="14">
        <v>13</v>
      </c>
      <c r="W97" s="14">
        <v>12</v>
      </c>
      <c r="X97" s="14">
        <v>5</v>
      </c>
      <c r="Y97" s="14">
        <v>7</v>
      </c>
      <c r="Z97" s="14">
        <v>12</v>
      </c>
      <c r="AA97" s="14">
        <v>10</v>
      </c>
      <c r="AB97" s="14">
        <v>12</v>
      </c>
      <c r="AC97" s="14">
        <v>4</v>
      </c>
      <c r="AD97" s="14">
        <v>8</v>
      </c>
      <c r="AE97" s="14">
        <v>8</v>
      </c>
      <c r="AF97" s="214">
        <v>11</v>
      </c>
      <c r="AG97" s="15">
        <f t="shared" si="6"/>
        <v>247</v>
      </c>
      <c r="AI97">
        <v>8</v>
      </c>
    </row>
    <row r="98" spans="1:35" ht="15.75" customHeight="1" x14ac:dyDescent="0.25">
      <c r="A98" s="70" t="s">
        <v>60</v>
      </c>
      <c r="B98" s="13">
        <v>24</v>
      </c>
      <c r="C98" s="14">
        <v>17</v>
      </c>
      <c r="D98" s="14">
        <v>19</v>
      </c>
      <c r="E98" s="14">
        <v>8</v>
      </c>
      <c r="F98" s="14">
        <v>15</v>
      </c>
      <c r="G98" s="14">
        <v>11</v>
      </c>
      <c r="H98" s="14">
        <v>18</v>
      </c>
      <c r="I98" s="14">
        <v>18</v>
      </c>
      <c r="J98" s="14">
        <v>24</v>
      </c>
      <c r="K98" s="14">
        <v>22</v>
      </c>
      <c r="L98" s="14">
        <v>23</v>
      </c>
      <c r="M98" s="14">
        <v>9</v>
      </c>
      <c r="N98" s="14">
        <v>16</v>
      </c>
      <c r="O98" s="14">
        <v>18</v>
      </c>
      <c r="P98" s="14">
        <v>22</v>
      </c>
      <c r="Q98" s="14">
        <v>14</v>
      </c>
      <c r="R98" s="14">
        <v>30</v>
      </c>
      <c r="S98" s="14">
        <v>15</v>
      </c>
      <c r="T98" s="14">
        <v>18</v>
      </c>
      <c r="U98" s="14">
        <v>14</v>
      </c>
      <c r="V98" s="14">
        <v>12</v>
      </c>
      <c r="W98" s="14">
        <v>15</v>
      </c>
      <c r="X98" s="14">
        <v>23</v>
      </c>
      <c r="Y98" s="14">
        <v>27</v>
      </c>
      <c r="Z98" s="14">
        <v>23</v>
      </c>
      <c r="AA98" s="14">
        <v>23</v>
      </c>
      <c r="AB98" s="14">
        <v>26</v>
      </c>
      <c r="AC98" s="14">
        <v>20</v>
      </c>
      <c r="AD98" s="14">
        <v>15</v>
      </c>
      <c r="AE98" s="14">
        <v>26</v>
      </c>
      <c r="AF98" s="214">
        <v>11</v>
      </c>
      <c r="AG98" s="15">
        <f t="shared" si="6"/>
        <v>576</v>
      </c>
      <c r="AI98">
        <v>17</v>
      </c>
    </row>
    <row r="99" spans="1:35" ht="15.75" customHeight="1" x14ac:dyDescent="0.25">
      <c r="A99" s="71" t="s">
        <v>61</v>
      </c>
      <c r="B99" s="13">
        <v>20</v>
      </c>
      <c r="C99" s="14">
        <v>23</v>
      </c>
      <c r="D99" s="14">
        <v>19</v>
      </c>
      <c r="E99" s="14">
        <v>16</v>
      </c>
      <c r="F99" s="14">
        <v>11</v>
      </c>
      <c r="G99" s="14">
        <v>13</v>
      </c>
      <c r="H99" s="14">
        <v>13</v>
      </c>
      <c r="I99" s="14">
        <v>14</v>
      </c>
      <c r="J99" s="14">
        <v>15</v>
      </c>
      <c r="K99" s="14">
        <v>19</v>
      </c>
      <c r="L99" s="14">
        <v>18</v>
      </c>
      <c r="M99" s="14">
        <v>4</v>
      </c>
      <c r="N99" s="14">
        <v>8</v>
      </c>
      <c r="O99" s="14">
        <v>15</v>
      </c>
      <c r="P99" s="14">
        <v>14</v>
      </c>
      <c r="Q99" s="14">
        <v>9</v>
      </c>
      <c r="R99" s="14">
        <v>17</v>
      </c>
      <c r="S99" s="14">
        <v>15</v>
      </c>
      <c r="T99" s="14">
        <v>16</v>
      </c>
      <c r="U99" s="14">
        <v>15</v>
      </c>
      <c r="V99" s="14">
        <v>16</v>
      </c>
      <c r="W99" s="14">
        <v>11</v>
      </c>
      <c r="X99" s="14">
        <v>14</v>
      </c>
      <c r="Y99" s="14">
        <v>19</v>
      </c>
      <c r="Z99" s="14">
        <v>20</v>
      </c>
      <c r="AA99" s="14">
        <v>13</v>
      </c>
      <c r="AB99" s="14">
        <v>8</v>
      </c>
      <c r="AC99" s="14">
        <v>11</v>
      </c>
      <c r="AD99" s="14">
        <v>14</v>
      </c>
      <c r="AE99" s="14">
        <v>17</v>
      </c>
      <c r="AF99" s="214">
        <v>12</v>
      </c>
      <c r="AG99" s="15">
        <f t="shared" ref="AG99:AG130" si="18">SUM(B99:AF99)</f>
        <v>449</v>
      </c>
      <c r="AI99">
        <v>23</v>
      </c>
    </row>
    <row r="100" spans="1:35" ht="15.75" customHeight="1" x14ac:dyDescent="0.25">
      <c r="A100" s="64" t="s">
        <v>62</v>
      </c>
      <c r="B100" s="65">
        <f t="shared" ref="B100:AF100" si="19">SUM(B101:B115)</f>
        <v>187</v>
      </c>
      <c r="C100" s="66">
        <f t="shared" si="19"/>
        <v>195</v>
      </c>
      <c r="D100" s="66">
        <f t="shared" si="19"/>
        <v>188</v>
      </c>
      <c r="E100" s="66">
        <f t="shared" si="19"/>
        <v>152</v>
      </c>
      <c r="F100" s="66">
        <f t="shared" si="19"/>
        <v>156</v>
      </c>
      <c r="G100" s="66">
        <f t="shared" si="19"/>
        <v>151</v>
      </c>
      <c r="H100" s="66">
        <f t="shared" si="19"/>
        <v>206</v>
      </c>
      <c r="I100" s="66">
        <f t="shared" si="19"/>
        <v>178</v>
      </c>
      <c r="J100" s="66">
        <f t="shared" si="19"/>
        <v>195</v>
      </c>
      <c r="K100" s="66">
        <f t="shared" si="19"/>
        <v>174</v>
      </c>
      <c r="L100" s="66">
        <f t="shared" si="19"/>
        <v>199</v>
      </c>
      <c r="M100" s="66">
        <f t="shared" si="19"/>
        <v>174</v>
      </c>
      <c r="N100" s="66">
        <f t="shared" si="19"/>
        <v>171</v>
      </c>
      <c r="O100" s="66">
        <f t="shared" si="19"/>
        <v>204</v>
      </c>
      <c r="P100" s="66">
        <f t="shared" si="19"/>
        <v>179</v>
      </c>
      <c r="Q100" s="66">
        <f t="shared" si="19"/>
        <v>173</v>
      </c>
      <c r="R100" s="66">
        <f t="shared" si="19"/>
        <v>213</v>
      </c>
      <c r="S100" s="66">
        <f t="shared" si="19"/>
        <v>170</v>
      </c>
      <c r="T100" s="66">
        <f t="shared" si="19"/>
        <v>169</v>
      </c>
      <c r="U100" s="66">
        <f t="shared" si="19"/>
        <v>173</v>
      </c>
      <c r="V100" s="66">
        <f t="shared" si="19"/>
        <v>171</v>
      </c>
      <c r="W100" s="66">
        <f t="shared" si="19"/>
        <v>200</v>
      </c>
      <c r="X100" s="66">
        <f t="shared" si="19"/>
        <v>159</v>
      </c>
      <c r="Y100" s="66">
        <f t="shared" si="19"/>
        <v>188</v>
      </c>
      <c r="Z100" s="66">
        <f t="shared" si="19"/>
        <v>182</v>
      </c>
      <c r="AA100" s="66">
        <f t="shared" si="19"/>
        <v>176</v>
      </c>
      <c r="AB100" s="66">
        <f t="shared" si="19"/>
        <v>215</v>
      </c>
      <c r="AC100" s="66">
        <f t="shared" si="19"/>
        <v>182</v>
      </c>
      <c r="AD100" s="66">
        <f t="shared" si="19"/>
        <v>184</v>
      </c>
      <c r="AE100" s="66">
        <f t="shared" si="19"/>
        <v>169</v>
      </c>
      <c r="AF100" s="222">
        <f t="shared" si="19"/>
        <v>178</v>
      </c>
      <c r="AG100" s="15">
        <f t="shared" si="18"/>
        <v>5611</v>
      </c>
      <c r="AI100">
        <v>195</v>
      </c>
    </row>
    <row r="101" spans="1:35" ht="15.75" customHeight="1" x14ac:dyDescent="0.25">
      <c r="A101" s="71" t="s">
        <v>63</v>
      </c>
      <c r="B101" s="13">
        <v>11</v>
      </c>
      <c r="C101" s="14">
        <v>30</v>
      </c>
      <c r="D101" s="14">
        <v>17</v>
      </c>
      <c r="E101" s="14">
        <v>15</v>
      </c>
      <c r="F101" s="14">
        <v>11</v>
      </c>
      <c r="G101" s="14">
        <v>13</v>
      </c>
      <c r="H101" s="14">
        <v>23</v>
      </c>
      <c r="I101" s="14">
        <v>14</v>
      </c>
      <c r="J101" s="14">
        <v>19</v>
      </c>
      <c r="K101" s="14">
        <v>16</v>
      </c>
      <c r="L101" s="14">
        <v>24</v>
      </c>
      <c r="M101" s="14">
        <v>13</v>
      </c>
      <c r="N101" s="14">
        <v>13</v>
      </c>
      <c r="O101" s="14">
        <v>17</v>
      </c>
      <c r="P101" s="14">
        <v>11</v>
      </c>
      <c r="Q101" s="14">
        <v>14</v>
      </c>
      <c r="R101" s="14">
        <v>15</v>
      </c>
      <c r="S101" s="14">
        <v>18</v>
      </c>
      <c r="T101" s="14">
        <v>9</v>
      </c>
      <c r="U101" s="14">
        <v>9</v>
      </c>
      <c r="V101" s="14">
        <v>8</v>
      </c>
      <c r="W101" s="14">
        <v>13</v>
      </c>
      <c r="X101" s="14">
        <v>17</v>
      </c>
      <c r="Y101" s="14">
        <v>16</v>
      </c>
      <c r="Z101" s="14">
        <v>13</v>
      </c>
      <c r="AA101" s="14">
        <v>18</v>
      </c>
      <c r="AB101" s="14">
        <v>12</v>
      </c>
      <c r="AC101" s="14">
        <v>14</v>
      </c>
      <c r="AD101" s="14">
        <v>19</v>
      </c>
      <c r="AE101" s="14">
        <v>14</v>
      </c>
      <c r="AF101" s="214">
        <v>12</v>
      </c>
      <c r="AG101" s="15">
        <f t="shared" si="18"/>
        <v>468</v>
      </c>
      <c r="AI101">
        <v>30</v>
      </c>
    </row>
    <row r="102" spans="1:35" ht="15.75" customHeight="1" x14ac:dyDescent="0.25">
      <c r="A102" s="71" t="s">
        <v>64</v>
      </c>
      <c r="B102" s="13">
        <v>10</v>
      </c>
      <c r="C102" s="14">
        <v>18</v>
      </c>
      <c r="D102" s="14">
        <v>16</v>
      </c>
      <c r="E102" s="14">
        <v>20</v>
      </c>
      <c r="F102" s="14">
        <v>18</v>
      </c>
      <c r="G102" s="14">
        <v>14</v>
      </c>
      <c r="H102" s="14">
        <v>14</v>
      </c>
      <c r="I102" s="14">
        <v>16</v>
      </c>
      <c r="J102" s="14">
        <v>13</v>
      </c>
      <c r="K102" s="14">
        <v>10</v>
      </c>
      <c r="L102" s="14">
        <v>22</v>
      </c>
      <c r="M102" s="14">
        <v>19</v>
      </c>
      <c r="N102" s="14">
        <v>14</v>
      </c>
      <c r="O102" s="14">
        <v>12</v>
      </c>
      <c r="P102" s="14">
        <v>19</v>
      </c>
      <c r="Q102" s="14">
        <v>23</v>
      </c>
      <c r="R102" s="14">
        <v>23</v>
      </c>
      <c r="S102" s="14">
        <v>15</v>
      </c>
      <c r="T102" s="14">
        <v>14</v>
      </c>
      <c r="U102" s="14">
        <v>19</v>
      </c>
      <c r="V102" s="14">
        <v>15</v>
      </c>
      <c r="W102" s="14">
        <v>18</v>
      </c>
      <c r="X102" s="14">
        <v>19</v>
      </c>
      <c r="Y102" s="14">
        <v>21</v>
      </c>
      <c r="Z102" s="14">
        <v>15</v>
      </c>
      <c r="AA102" s="14">
        <v>20</v>
      </c>
      <c r="AB102" s="14">
        <v>15</v>
      </c>
      <c r="AC102" s="14">
        <v>10</v>
      </c>
      <c r="AD102" s="14">
        <v>13</v>
      </c>
      <c r="AE102" s="14">
        <v>19</v>
      </c>
      <c r="AF102" s="214">
        <v>14</v>
      </c>
      <c r="AG102" s="15">
        <f t="shared" si="18"/>
        <v>508</v>
      </c>
      <c r="AI102">
        <v>18</v>
      </c>
    </row>
    <row r="103" spans="1:35" ht="15.75" customHeight="1" x14ac:dyDescent="0.25">
      <c r="A103" s="67" t="s">
        <v>65</v>
      </c>
      <c r="B103" s="13">
        <v>15</v>
      </c>
      <c r="C103" s="14">
        <v>14</v>
      </c>
      <c r="D103" s="14">
        <v>14</v>
      </c>
      <c r="E103" s="14">
        <v>17</v>
      </c>
      <c r="F103" s="14">
        <v>14</v>
      </c>
      <c r="G103" s="14">
        <v>14</v>
      </c>
      <c r="H103" s="14">
        <v>22</v>
      </c>
      <c r="I103" s="14">
        <v>12</v>
      </c>
      <c r="J103" s="14">
        <v>7</v>
      </c>
      <c r="K103" s="14">
        <v>14</v>
      </c>
      <c r="L103" s="14">
        <v>16</v>
      </c>
      <c r="M103" s="14">
        <v>10</v>
      </c>
      <c r="N103" s="14">
        <v>14</v>
      </c>
      <c r="O103" s="14">
        <v>18</v>
      </c>
      <c r="P103" s="14">
        <v>10</v>
      </c>
      <c r="Q103" s="14">
        <v>16</v>
      </c>
      <c r="R103" s="14">
        <v>21</v>
      </c>
      <c r="S103" s="14">
        <v>13</v>
      </c>
      <c r="T103" s="14">
        <v>22</v>
      </c>
      <c r="U103" s="14">
        <v>21</v>
      </c>
      <c r="V103" s="14">
        <v>4</v>
      </c>
      <c r="W103" s="14">
        <v>9</v>
      </c>
      <c r="X103" s="14">
        <v>12</v>
      </c>
      <c r="Y103" s="14">
        <v>18</v>
      </c>
      <c r="Z103" s="14">
        <v>13</v>
      </c>
      <c r="AA103" s="14">
        <v>13</v>
      </c>
      <c r="AB103" s="14">
        <v>13</v>
      </c>
      <c r="AC103" s="14">
        <v>20</v>
      </c>
      <c r="AD103" s="14">
        <v>20</v>
      </c>
      <c r="AE103" s="14">
        <v>11</v>
      </c>
      <c r="AF103" s="214">
        <v>12</v>
      </c>
      <c r="AG103" s="15">
        <f t="shared" si="18"/>
        <v>449</v>
      </c>
      <c r="AI103">
        <v>14</v>
      </c>
    </row>
    <row r="104" spans="1:35" ht="15.75" customHeight="1" x14ac:dyDescent="0.25">
      <c r="A104" s="67" t="s">
        <v>66</v>
      </c>
      <c r="B104" s="13">
        <v>17</v>
      </c>
      <c r="C104" s="14">
        <v>13</v>
      </c>
      <c r="D104" s="14">
        <v>15</v>
      </c>
      <c r="E104" s="14">
        <v>15</v>
      </c>
      <c r="F104" s="14">
        <v>17</v>
      </c>
      <c r="G104" s="14">
        <v>11</v>
      </c>
      <c r="H104" s="14">
        <v>14</v>
      </c>
      <c r="I104" s="14">
        <v>11</v>
      </c>
      <c r="J104" s="14">
        <v>20</v>
      </c>
      <c r="K104" s="14">
        <v>25</v>
      </c>
      <c r="L104" s="14">
        <v>12</v>
      </c>
      <c r="M104" s="14">
        <v>13</v>
      </c>
      <c r="N104" s="14">
        <v>16</v>
      </c>
      <c r="O104" s="14">
        <v>10</v>
      </c>
      <c r="P104" s="14">
        <v>15</v>
      </c>
      <c r="Q104" s="14">
        <v>17</v>
      </c>
      <c r="R104" s="14">
        <v>18</v>
      </c>
      <c r="S104" s="14">
        <v>10</v>
      </c>
      <c r="T104" s="14">
        <v>15</v>
      </c>
      <c r="U104" s="14">
        <v>13</v>
      </c>
      <c r="V104" s="14">
        <v>15</v>
      </c>
      <c r="W104" s="14">
        <v>20</v>
      </c>
      <c r="X104" s="14">
        <v>12</v>
      </c>
      <c r="Y104" s="14">
        <v>18</v>
      </c>
      <c r="Z104" s="14">
        <v>15</v>
      </c>
      <c r="AA104" s="14">
        <v>8</v>
      </c>
      <c r="AB104" s="14">
        <v>19</v>
      </c>
      <c r="AC104" s="14">
        <v>19</v>
      </c>
      <c r="AD104" s="14">
        <v>22</v>
      </c>
      <c r="AE104" s="14">
        <v>10</v>
      </c>
      <c r="AF104" s="214">
        <v>13</v>
      </c>
      <c r="AG104" s="15">
        <f t="shared" si="18"/>
        <v>468</v>
      </c>
      <c r="AI104">
        <v>13</v>
      </c>
    </row>
    <row r="105" spans="1:35" ht="15.75" customHeight="1" x14ac:dyDescent="0.25">
      <c r="A105" s="67" t="s">
        <v>67</v>
      </c>
      <c r="B105" s="13">
        <v>23</v>
      </c>
      <c r="C105" s="14">
        <v>12</v>
      </c>
      <c r="D105" s="14">
        <v>11</v>
      </c>
      <c r="E105" s="14">
        <v>8</v>
      </c>
      <c r="F105" s="14">
        <v>9</v>
      </c>
      <c r="G105" s="14">
        <v>16</v>
      </c>
      <c r="H105" s="14">
        <v>14</v>
      </c>
      <c r="I105" s="14">
        <v>6</v>
      </c>
      <c r="J105" s="14">
        <v>16</v>
      </c>
      <c r="K105" s="14">
        <v>9</v>
      </c>
      <c r="L105" s="14">
        <v>18</v>
      </c>
      <c r="M105" s="14">
        <v>11</v>
      </c>
      <c r="N105" s="14">
        <v>10</v>
      </c>
      <c r="O105" s="14">
        <v>15</v>
      </c>
      <c r="P105" s="14">
        <v>14</v>
      </c>
      <c r="Q105" s="14">
        <v>18</v>
      </c>
      <c r="R105" s="14">
        <v>20</v>
      </c>
      <c r="S105" s="14">
        <v>11</v>
      </c>
      <c r="T105" s="14">
        <v>14</v>
      </c>
      <c r="U105" s="14">
        <v>14</v>
      </c>
      <c r="V105" s="14">
        <v>15</v>
      </c>
      <c r="W105" s="14">
        <v>16</v>
      </c>
      <c r="X105" s="14">
        <v>9</v>
      </c>
      <c r="Y105" s="14">
        <v>20</v>
      </c>
      <c r="Z105" s="14">
        <v>11</v>
      </c>
      <c r="AA105" s="14">
        <v>9</v>
      </c>
      <c r="AB105" s="14">
        <v>24</v>
      </c>
      <c r="AC105" s="14">
        <v>15</v>
      </c>
      <c r="AD105" s="14">
        <v>21</v>
      </c>
      <c r="AE105" s="14">
        <v>10</v>
      </c>
      <c r="AF105" s="214">
        <v>11</v>
      </c>
      <c r="AG105" s="15">
        <f t="shared" si="18"/>
        <v>430</v>
      </c>
      <c r="AI105">
        <v>12</v>
      </c>
    </row>
    <row r="106" spans="1:35" ht="15.75" customHeight="1" x14ac:dyDescent="0.25">
      <c r="A106" s="67" t="s">
        <v>68</v>
      </c>
      <c r="B106" s="13">
        <v>24</v>
      </c>
      <c r="C106" s="14">
        <v>13</v>
      </c>
      <c r="D106" s="14">
        <v>14</v>
      </c>
      <c r="E106" s="14">
        <v>11</v>
      </c>
      <c r="F106" s="14">
        <v>14</v>
      </c>
      <c r="G106" s="14">
        <v>7</v>
      </c>
      <c r="H106" s="14">
        <v>9</v>
      </c>
      <c r="I106" s="14">
        <v>20</v>
      </c>
      <c r="J106" s="14">
        <v>9</v>
      </c>
      <c r="K106" s="14">
        <v>11</v>
      </c>
      <c r="L106" s="14">
        <v>11</v>
      </c>
      <c r="M106" s="14">
        <v>10</v>
      </c>
      <c r="N106" s="14">
        <v>8</v>
      </c>
      <c r="O106" s="14">
        <v>15</v>
      </c>
      <c r="P106" s="14">
        <v>16</v>
      </c>
      <c r="Q106" s="14">
        <v>7</v>
      </c>
      <c r="R106" s="14">
        <v>15</v>
      </c>
      <c r="S106" s="14">
        <v>8</v>
      </c>
      <c r="T106" s="14">
        <v>5</v>
      </c>
      <c r="U106" s="14">
        <v>10</v>
      </c>
      <c r="V106" s="14">
        <v>13</v>
      </c>
      <c r="W106" s="14">
        <v>11</v>
      </c>
      <c r="X106" s="14">
        <v>8</v>
      </c>
      <c r="Y106" s="14">
        <v>7</v>
      </c>
      <c r="Z106" s="14">
        <v>15</v>
      </c>
      <c r="AA106" s="14">
        <v>14</v>
      </c>
      <c r="AB106" s="14">
        <v>16</v>
      </c>
      <c r="AC106" s="14">
        <v>16</v>
      </c>
      <c r="AD106" s="14">
        <v>13</v>
      </c>
      <c r="AE106" s="14">
        <v>8</v>
      </c>
      <c r="AF106" s="214">
        <v>9</v>
      </c>
      <c r="AG106" s="15">
        <f t="shared" si="18"/>
        <v>367</v>
      </c>
      <c r="AI106">
        <v>13</v>
      </c>
    </row>
    <row r="107" spans="1:35" ht="15.75" customHeight="1" x14ac:dyDescent="0.25">
      <c r="A107" s="67" t="s">
        <v>69</v>
      </c>
      <c r="B107" s="13">
        <v>13</v>
      </c>
      <c r="C107" s="14">
        <v>11</v>
      </c>
      <c r="D107" s="14">
        <v>13</v>
      </c>
      <c r="E107" s="14">
        <v>10</v>
      </c>
      <c r="F107" s="14">
        <v>8</v>
      </c>
      <c r="G107" s="14">
        <v>9</v>
      </c>
      <c r="H107" s="14">
        <v>13</v>
      </c>
      <c r="I107" s="14">
        <v>11</v>
      </c>
      <c r="J107" s="14">
        <v>8</v>
      </c>
      <c r="K107" s="14">
        <v>6</v>
      </c>
      <c r="L107" s="14">
        <v>13</v>
      </c>
      <c r="M107" s="14">
        <v>10</v>
      </c>
      <c r="N107" s="14">
        <v>8</v>
      </c>
      <c r="O107" s="14">
        <v>15</v>
      </c>
      <c r="P107" s="14">
        <v>12</v>
      </c>
      <c r="Q107" s="14">
        <v>11</v>
      </c>
      <c r="R107" s="14">
        <v>19</v>
      </c>
      <c r="S107" s="14">
        <v>13</v>
      </c>
      <c r="T107" s="14">
        <v>13</v>
      </c>
      <c r="U107" s="14">
        <v>15</v>
      </c>
      <c r="V107" s="14">
        <v>10</v>
      </c>
      <c r="W107" s="14">
        <v>14</v>
      </c>
      <c r="X107" s="14">
        <v>10</v>
      </c>
      <c r="Y107" s="14">
        <v>11</v>
      </c>
      <c r="Z107" s="14">
        <v>15</v>
      </c>
      <c r="AA107" s="14">
        <v>12</v>
      </c>
      <c r="AB107" s="14">
        <v>18</v>
      </c>
      <c r="AC107" s="14">
        <v>15</v>
      </c>
      <c r="AD107" s="14">
        <v>6</v>
      </c>
      <c r="AE107" s="14">
        <v>16</v>
      </c>
      <c r="AF107" s="214">
        <v>15</v>
      </c>
      <c r="AG107" s="15">
        <f t="shared" si="18"/>
        <v>373</v>
      </c>
      <c r="AI107">
        <v>11</v>
      </c>
    </row>
    <row r="108" spans="1:35" ht="15.75" customHeight="1" x14ac:dyDescent="0.25">
      <c r="A108" s="67" t="s">
        <v>70</v>
      </c>
      <c r="B108" s="13">
        <v>19</v>
      </c>
      <c r="C108" s="14">
        <v>10</v>
      </c>
      <c r="D108" s="14">
        <v>11</v>
      </c>
      <c r="E108" s="14">
        <v>8</v>
      </c>
      <c r="F108" s="14">
        <v>7</v>
      </c>
      <c r="G108" s="14">
        <v>10</v>
      </c>
      <c r="H108" s="14">
        <v>13</v>
      </c>
      <c r="I108" s="14">
        <v>14</v>
      </c>
      <c r="J108" s="14">
        <v>19</v>
      </c>
      <c r="K108" s="14">
        <v>11</v>
      </c>
      <c r="L108" s="14">
        <v>18</v>
      </c>
      <c r="M108" s="14">
        <v>14</v>
      </c>
      <c r="N108" s="14">
        <v>15</v>
      </c>
      <c r="O108" s="14">
        <v>21</v>
      </c>
      <c r="P108" s="14">
        <v>15</v>
      </c>
      <c r="Q108" s="14">
        <v>9</v>
      </c>
      <c r="R108" s="14">
        <v>11</v>
      </c>
      <c r="S108" s="14">
        <v>21</v>
      </c>
      <c r="T108" s="14">
        <v>13</v>
      </c>
      <c r="U108" s="14">
        <v>13</v>
      </c>
      <c r="V108" s="14">
        <v>12</v>
      </c>
      <c r="W108" s="14">
        <v>21</v>
      </c>
      <c r="X108" s="14">
        <v>10</v>
      </c>
      <c r="Y108" s="14">
        <v>14</v>
      </c>
      <c r="Z108" s="14">
        <v>20</v>
      </c>
      <c r="AA108" s="14">
        <v>10</v>
      </c>
      <c r="AB108" s="14">
        <v>14</v>
      </c>
      <c r="AC108" s="14">
        <v>18</v>
      </c>
      <c r="AD108" s="14">
        <v>10</v>
      </c>
      <c r="AE108" s="14">
        <v>18</v>
      </c>
      <c r="AF108" s="214">
        <v>9</v>
      </c>
      <c r="AG108" s="15">
        <f t="shared" si="18"/>
        <v>428</v>
      </c>
      <c r="AI108">
        <v>10</v>
      </c>
    </row>
    <row r="109" spans="1:35" ht="15.75" customHeight="1" x14ac:dyDescent="0.25">
      <c r="A109" s="67" t="s">
        <v>71</v>
      </c>
      <c r="B109" s="13">
        <v>10</v>
      </c>
      <c r="C109" s="14">
        <v>12</v>
      </c>
      <c r="D109" s="14">
        <v>18</v>
      </c>
      <c r="E109" s="14">
        <v>11</v>
      </c>
      <c r="F109" s="14">
        <v>12</v>
      </c>
      <c r="G109" s="14">
        <v>9</v>
      </c>
      <c r="H109" s="14">
        <v>12</v>
      </c>
      <c r="I109" s="14">
        <v>20</v>
      </c>
      <c r="J109" s="14">
        <v>19</v>
      </c>
      <c r="K109" s="14">
        <v>15</v>
      </c>
      <c r="L109" s="14">
        <v>17</v>
      </c>
      <c r="M109" s="14">
        <v>14</v>
      </c>
      <c r="N109" s="14">
        <v>15</v>
      </c>
      <c r="O109" s="14">
        <v>21</v>
      </c>
      <c r="P109" s="14">
        <v>14</v>
      </c>
      <c r="Q109" s="14">
        <v>7</v>
      </c>
      <c r="R109" s="14">
        <v>24</v>
      </c>
      <c r="S109" s="14">
        <v>16</v>
      </c>
      <c r="T109" s="14">
        <v>10</v>
      </c>
      <c r="U109" s="14">
        <v>10</v>
      </c>
      <c r="V109" s="14">
        <v>21</v>
      </c>
      <c r="W109" s="14">
        <v>15</v>
      </c>
      <c r="X109" s="14">
        <v>9</v>
      </c>
      <c r="Y109" s="14">
        <v>16</v>
      </c>
      <c r="Z109" s="14">
        <v>18</v>
      </c>
      <c r="AA109" s="14">
        <v>13</v>
      </c>
      <c r="AB109" s="14">
        <v>17</v>
      </c>
      <c r="AC109" s="14">
        <v>16</v>
      </c>
      <c r="AD109" s="14">
        <v>10</v>
      </c>
      <c r="AE109" s="14">
        <v>11</v>
      </c>
      <c r="AF109" s="214">
        <v>19</v>
      </c>
      <c r="AG109" s="15">
        <f t="shared" si="18"/>
        <v>451</v>
      </c>
      <c r="AI109">
        <v>12</v>
      </c>
    </row>
    <row r="110" spans="1:35" ht="15.75" customHeight="1" x14ac:dyDescent="0.25">
      <c r="A110" s="67" t="s">
        <v>72</v>
      </c>
      <c r="B110" s="13">
        <v>16</v>
      </c>
      <c r="C110" s="14">
        <v>20</v>
      </c>
      <c r="D110" s="14">
        <v>16</v>
      </c>
      <c r="E110" s="14">
        <v>10</v>
      </c>
      <c r="F110" s="14">
        <v>6</v>
      </c>
      <c r="G110" s="14">
        <v>8</v>
      </c>
      <c r="H110" s="14">
        <v>14</v>
      </c>
      <c r="I110" s="14">
        <v>14</v>
      </c>
      <c r="J110" s="14">
        <v>12</v>
      </c>
      <c r="K110" s="14">
        <v>12</v>
      </c>
      <c r="L110" s="14">
        <v>12</v>
      </c>
      <c r="M110" s="14">
        <v>19</v>
      </c>
      <c r="N110" s="14">
        <v>16</v>
      </c>
      <c r="O110" s="14">
        <v>20</v>
      </c>
      <c r="P110" s="14">
        <v>15</v>
      </c>
      <c r="Q110" s="14">
        <v>14</v>
      </c>
      <c r="R110" s="14">
        <v>12</v>
      </c>
      <c r="S110" s="14">
        <v>14</v>
      </c>
      <c r="T110" s="14">
        <v>12</v>
      </c>
      <c r="U110" s="14">
        <v>15</v>
      </c>
      <c r="V110" s="14">
        <v>17</v>
      </c>
      <c r="W110" s="14">
        <v>13</v>
      </c>
      <c r="X110" s="14">
        <v>12</v>
      </c>
      <c r="Y110" s="14">
        <v>16</v>
      </c>
      <c r="Z110" s="14">
        <v>10</v>
      </c>
      <c r="AA110" s="14">
        <v>19</v>
      </c>
      <c r="AB110" s="14">
        <v>14</v>
      </c>
      <c r="AC110" s="14">
        <v>10</v>
      </c>
      <c r="AD110" s="14">
        <v>26</v>
      </c>
      <c r="AE110" s="14">
        <v>14</v>
      </c>
      <c r="AF110" s="214">
        <v>19</v>
      </c>
      <c r="AG110" s="15">
        <f t="shared" si="18"/>
        <v>447</v>
      </c>
      <c r="AI110">
        <v>20</v>
      </c>
    </row>
    <row r="111" spans="1:35" ht="15.75" customHeight="1" x14ac:dyDescent="0.25">
      <c r="A111" s="67" t="s">
        <v>73</v>
      </c>
      <c r="B111" s="13">
        <v>8</v>
      </c>
      <c r="C111" s="14">
        <v>11</v>
      </c>
      <c r="D111" s="14">
        <v>7</v>
      </c>
      <c r="E111" s="14">
        <v>5</v>
      </c>
      <c r="F111" s="14">
        <v>9</v>
      </c>
      <c r="G111" s="14">
        <v>12</v>
      </c>
      <c r="H111" s="14">
        <v>23</v>
      </c>
      <c r="I111" s="14">
        <v>16</v>
      </c>
      <c r="J111" s="14">
        <v>20</v>
      </c>
      <c r="K111" s="14">
        <v>9</v>
      </c>
      <c r="L111" s="14">
        <v>7</v>
      </c>
      <c r="M111" s="14">
        <v>8</v>
      </c>
      <c r="N111" s="14">
        <v>11</v>
      </c>
      <c r="O111" s="14">
        <v>10</v>
      </c>
      <c r="P111" s="14">
        <v>12</v>
      </c>
      <c r="Q111" s="14">
        <v>9</v>
      </c>
      <c r="R111" s="14">
        <v>7</v>
      </c>
      <c r="S111" s="14">
        <v>7</v>
      </c>
      <c r="T111" s="14">
        <v>7</v>
      </c>
      <c r="U111" s="14">
        <v>10</v>
      </c>
      <c r="V111" s="14">
        <v>10</v>
      </c>
      <c r="W111" s="14">
        <v>10</v>
      </c>
      <c r="X111" s="14">
        <v>14</v>
      </c>
      <c r="Y111" s="14">
        <v>9</v>
      </c>
      <c r="Z111" s="14">
        <v>12</v>
      </c>
      <c r="AA111" s="14">
        <v>13</v>
      </c>
      <c r="AB111" s="14">
        <v>15</v>
      </c>
      <c r="AC111" s="14">
        <v>10</v>
      </c>
      <c r="AD111" s="14">
        <v>7</v>
      </c>
      <c r="AE111" s="14">
        <v>10</v>
      </c>
      <c r="AF111" s="214">
        <v>16</v>
      </c>
      <c r="AG111" s="15">
        <f t="shared" si="18"/>
        <v>334</v>
      </c>
      <c r="AI111">
        <v>11</v>
      </c>
    </row>
    <row r="112" spans="1:35" ht="15.75" customHeight="1" x14ac:dyDescent="0.25">
      <c r="A112" s="67" t="s">
        <v>74</v>
      </c>
      <c r="B112" s="13">
        <v>6</v>
      </c>
      <c r="C112" s="14">
        <v>9</v>
      </c>
      <c r="D112" s="14">
        <v>8</v>
      </c>
      <c r="E112" s="14">
        <v>9</v>
      </c>
      <c r="F112" s="14">
        <v>13</v>
      </c>
      <c r="G112" s="14">
        <v>8</v>
      </c>
      <c r="H112" s="14">
        <v>6</v>
      </c>
      <c r="I112" s="14">
        <v>5</v>
      </c>
      <c r="J112" s="14">
        <v>4</v>
      </c>
      <c r="K112" s="14">
        <v>9</v>
      </c>
      <c r="L112" s="14">
        <v>13</v>
      </c>
      <c r="M112" s="14">
        <v>14</v>
      </c>
      <c r="N112" s="14">
        <v>6</v>
      </c>
      <c r="O112" s="14">
        <v>10</v>
      </c>
      <c r="P112" s="14">
        <v>8</v>
      </c>
      <c r="Q112" s="14">
        <v>13</v>
      </c>
      <c r="R112" s="14">
        <v>13</v>
      </c>
      <c r="S112" s="14">
        <v>7</v>
      </c>
      <c r="T112" s="14">
        <v>12</v>
      </c>
      <c r="U112" s="14">
        <v>5</v>
      </c>
      <c r="V112" s="14">
        <v>11</v>
      </c>
      <c r="W112" s="14">
        <v>10</v>
      </c>
      <c r="X112" s="14">
        <v>10</v>
      </c>
      <c r="Y112" s="14">
        <v>8</v>
      </c>
      <c r="Z112" s="14">
        <v>8</v>
      </c>
      <c r="AA112" s="14">
        <v>11</v>
      </c>
      <c r="AB112" s="14">
        <v>11</v>
      </c>
      <c r="AC112" s="14">
        <v>9</v>
      </c>
      <c r="AD112" s="14">
        <v>8</v>
      </c>
      <c r="AE112" s="14">
        <v>5</v>
      </c>
      <c r="AF112" s="214">
        <v>9</v>
      </c>
      <c r="AG112" s="15">
        <f t="shared" si="18"/>
        <v>278</v>
      </c>
      <c r="AI112">
        <v>9</v>
      </c>
    </row>
    <row r="113" spans="1:35" ht="15.75" customHeight="1" x14ac:dyDescent="0.25">
      <c r="A113" s="67" t="s">
        <v>75</v>
      </c>
      <c r="B113" s="13">
        <v>7</v>
      </c>
      <c r="C113" s="14">
        <v>5</v>
      </c>
      <c r="D113" s="14">
        <v>12</v>
      </c>
      <c r="E113" s="14">
        <v>8</v>
      </c>
      <c r="F113" s="14">
        <v>9</v>
      </c>
      <c r="G113" s="14">
        <v>7</v>
      </c>
      <c r="H113" s="14">
        <v>14</v>
      </c>
      <c r="I113" s="14">
        <v>11</v>
      </c>
      <c r="J113" s="14">
        <v>15</v>
      </c>
      <c r="K113" s="14">
        <v>14</v>
      </c>
      <c r="L113" s="14">
        <v>9</v>
      </c>
      <c r="M113" s="14">
        <v>10</v>
      </c>
      <c r="N113" s="14">
        <v>12</v>
      </c>
      <c r="O113" s="14">
        <v>8</v>
      </c>
      <c r="P113" s="14">
        <v>9</v>
      </c>
      <c r="Q113" s="14">
        <v>8</v>
      </c>
      <c r="R113" s="14">
        <v>9</v>
      </c>
      <c r="S113" s="14">
        <v>9</v>
      </c>
      <c r="T113" s="14">
        <v>8</v>
      </c>
      <c r="U113" s="14">
        <v>11</v>
      </c>
      <c r="V113" s="14">
        <v>9</v>
      </c>
      <c r="W113" s="14">
        <v>12</v>
      </c>
      <c r="X113" s="14">
        <v>6</v>
      </c>
      <c r="Y113" s="14">
        <v>8</v>
      </c>
      <c r="Z113" s="14">
        <v>8</v>
      </c>
      <c r="AA113" s="14">
        <v>8</v>
      </c>
      <c r="AB113" s="14">
        <v>10</v>
      </c>
      <c r="AC113" s="14">
        <v>9</v>
      </c>
      <c r="AD113" s="14">
        <v>4</v>
      </c>
      <c r="AE113" s="14">
        <v>6</v>
      </c>
      <c r="AF113" s="214">
        <v>7</v>
      </c>
      <c r="AG113" s="15">
        <f t="shared" si="18"/>
        <v>282</v>
      </c>
      <c r="AI113">
        <v>5</v>
      </c>
    </row>
    <row r="114" spans="1:35" ht="15.75" customHeight="1" x14ac:dyDescent="0.25">
      <c r="A114" s="67" t="s">
        <v>76</v>
      </c>
      <c r="B114" s="13">
        <v>8</v>
      </c>
      <c r="C114" s="14">
        <v>17</v>
      </c>
      <c r="D114" s="14">
        <v>16</v>
      </c>
      <c r="E114" s="14">
        <v>5</v>
      </c>
      <c r="F114" s="14">
        <v>9</v>
      </c>
      <c r="G114" s="14">
        <v>13</v>
      </c>
      <c r="H114" s="14">
        <v>15</v>
      </c>
      <c r="I114" s="14">
        <v>8</v>
      </c>
      <c r="J114" s="14">
        <v>14</v>
      </c>
      <c r="K114" s="14">
        <v>13</v>
      </c>
      <c r="L114" s="14">
        <v>7</v>
      </c>
      <c r="M114" s="14">
        <v>9</v>
      </c>
      <c r="N114" s="14">
        <v>13</v>
      </c>
      <c r="O114" s="14">
        <v>12</v>
      </c>
      <c r="P114" s="14">
        <v>9</v>
      </c>
      <c r="Q114" s="14">
        <v>7</v>
      </c>
      <c r="R114" s="14">
        <v>6</v>
      </c>
      <c r="S114" s="14">
        <v>8</v>
      </c>
      <c r="T114" s="14">
        <v>15</v>
      </c>
      <c r="U114" s="14">
        <v>8</v>
      </c>
      <c r="V114" s="14">
        <v>11</v>
      </c>
      <c r="W114" s="14">
        <v>18</v>
      </c>
      <c r="X114" s="14">
        <v>11</v>
      </c>
      <c r="Y114" s="14">
        <v>6</v>
      </c>
      <c r="Z114" s="14">
        <v>9</v>
      </c>
      <c r="AA114" s="14">
        <v>8</v>
      </c>
      <c r="AB114" s="14">
        <v>17</v>
      </c>
      <c r="AC114" s="14">
        <v>1</v>
      </c>
      <c r="AD114" s="14">
        <v>5</v>
      </c>
      <c r="AE114" s="14">
        <v>17</v>
      </c>
      <c r="AF114" s="214">
        <v>13</v>
      </c>
      <c r="AG114" s="15">
        <f t="shared" si="18"/>
        <v>328</v>
      </c>
      <c r="AI114">
        <v>17</v>
      </c>
    </row>
    <row r="115" spans="1:35" ht="15.75" customHeight="1" thickBot="1" x14ac:dyDescent="0.3">
      <c r="A115" s="72"/>
      <c r="B115" s="37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224"/>
      <c r="AG115" s="15">
        <f t="shared" si="18"/>
        <v>0</v>
      </c>
    </row>
    <row r="116" spans="1:35" ht="15.75" customHeight="1" x14ac:dyDescent="0.25">
      <c r="A116" s="60" t="s">
        <v>77</v>
      </c>
      <c r="B116" s="61">
        <f t="shared" ref="B116:AF116" si="20">SUM(B117:B129)</f>
        <v>73</v>
      </c>
      <c r="C116" s="62">
        <f t="shared" si="20"/>
        <v>92</v>
      </c>
      <c r="D116" s="62">
        <f t="shared" si="20"/>
        <v>83</v>
      </c>
      <c r="E116" s="62">
        <f t="shared" si="20"/>
        <v>56</v>
      </c>
      <c r="F116" s="62">
        <f t="shared" si="20"/>
        <v>60</v>
      </c>
      <c r="G116" s="62">
        <f t="shared" si="20"/>
        <v>82</v>
      </c>
      <c r="H116" s="62">
        <f t="shared" si="20"/>
        <v>68</v>
      </c>
      <c r="I116" s="62">
        <f t="shared" si="20"/>
        <v>67</v>
      </c>
      <c r="J116" s="62">
        <f t="shared" si="20"/>
        <v>73</v>
      </c>
      <c r="K116" s="62">
        <f t="shared" si="20"/>
        <v>96</v>
      </c>
      <c r="L116" s="62">
        <f t="shared" si="20"/>
        <v>92</v>
      </c>
      <c r="M116" s="62">
        <f t="shared" si="20"/>
        <v>90</v>
      </c>
      <c r="N116" s="62">
        <f t="shared" si="20"/>
        <v>71</v>
      </c>
      <c r="O116" s="62">
        <f t="shared" si="20"/>
        <v>72</v>
      </c>
      <c r="P116" s="62">
        <f t="shared" si="20"/>
        <v>68</v>
      </c>
      <c r="Q116" s="62">
        <f t="shared" si="20"/>
        <v>74</v>
      </c>
      <c r="R116" s="62">
        <f t="shared" si="20"/>
        <v>78</v>
      </c>
      <c r="S116" s="62">
        <f t="shared" si="20"/>
        <v>71</v>
      </c>
      <c r="T116" s="62">
        <f t="shared" si="20"/>
        <v>57</v>
      </c>
      <c r="U116" s="62">
        <f t="shared" si="20"/>
        <v>64</v>
      </c>
      <c r="V116" s="62">
        <f t="shared" si="20"/>
        <v>54</v>
      </c>
      <c r="W116" s="62">
        <f t="shared" si="20"/>
        <v>77</v>
      </c>
      <c r="X116" s="62">
        <f t="shared" si="20"/>
        <v>78</v>
      </c>
      <c r="Y116" s="62">
        <f t="shared" si="20"/>
        <v>68</v>
      </c>
      <c r="Z116" s="62">
        <f t="shared" si="20"/>
        <v>67</v>
      </c>
      <c r="AA116" s="62">
        <f t="shared" si="20"/>
        <v>57</v>
      </c>
      <c r="AB116" s="62">
        <f t="shared" si="20"/>
        <v>76</v>
      </c>
      <c r="AC116" s="62">
        <f t="shared" si="20"/>
        <v>55</v>
      </c>
      <c r="AD116" s="62">
        <f t="shared" si="20"/>
        <v>45</v>
      </c>
      <c r="AE116" s="62">
        <f t="shared" si="20"/>
        <v>75</v>
      </c>
      <c r="AF116" s="221">
        <f t="shared" si="20"/>
        <v>58</v>
      </c>
      <c r="AG116" s="15">
        <f t="shared" si="18"/>
        <v>2197</v>
      </c>
      <c r="AI116">
        <v>91</v>
      </c>
    </row>
    <row r="117" spans="1:35" ht="15.75" customHeight="1" x14ac:dyDescent="0.25">
      <c r="A117" s="73" t="s">
        <v>78</v>
      </c>
      <c r="B117" s="13">
        <v>56</v>
      </c>
      <c r="C117" s="14">
        <v>77</v>
      </c>
      <c r="D117" s="14">
        <v>67</v>
      </c>
      <c r="E117" s="14">
        <v>40</v>
      </c>
      <c r="F117" s="14">
        <v>39</v>
      </c>
      <c r="G117" s="14">
        <v>61</v>
      </c>
      <c r="H117" s="14">
        <v>57</v>
      </c>
      <c r="I117" s="14">
        <v>51</v>
      </c>
      <c r="J117" s="14">
        <v>61</v>
      </c>
      <c r="K117" s="14">
        <v>76</v>
      </c>
      <c r="L117" s="14">
        <v>70</v>
      </c>
      <c r="M117" s="14">
        <v>76</v>
      </c>
      <c r="N117" s="14">
        <v>57</v>
      </c>
      <c r="O117" s="14">
        <v>60</v>
      </c>
      <c r="P117" s="14">
        <v>57</v>
      </c>
      <c r="Q117" s="14">
        <v>62</v>
      </c>
      <c r="R117" s="14">
        <v>65</v>
      </c>
      <c r="S117" s="14">
        <v>62</v>
      </c>
      <c r="T117" s="14">
        <v>51</v>
      </c>
      <c r="U117" s="14">
        <v>48</v>
      </c>
      <c r="V117" s="14">
        <v>47</v>
      </c>
      <c r="W117" s="14">
        <v>58</v>
      </c>
      <c r="X117" s="14">
        <v>65</v>
      </c>
      <c r="Y117" s="14">
        <v>53</v>
      </c>
      <c r="Z117" s="14">
        <v>49</v>
      </c>
      <c r="AA117" s="14">
        <v>42</v>
      </c>
      <c r="AB117" s="14">
        <v>59</v>
      </c>
      <c r="AC117" s="14">
        <v>42</v>
      </c>
      <c r="AD117" s="14">
        <v>31</v>
      </c>
      <c r="AE117" s="14">
        <v>57</v>
      </c>
      <c r="AF117" s="214">
        <v>48</v>
      </c>
      <c r="AG117" s="15">
        <f t="shared" si="18"/>
        <v>1744</v>
      </c>
      <c r="AI117">
        <v>77</v>
      </c>
    </row>
    <row r="118" spans="1:35" ht="19.5" hidden="1" customHeight="1" x14ac:dyDescent="0.25">
      <c r="A118" s="73" t="s">
        <v>79</v>
      </c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214"/>
      <c r="AG118" s="15">
        <f t="shared" si="18"/>
        <v>0</v>
      </c>
    </row>
    <row r="119" spans="1:35" ht="19.5" hidden="1" customHeight="1" thickBot="1" x14ac:dyDescent="0.3">
      <c r="A119" s="73" t="s">
        <v>80</v>
      </c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214"/>
      <c r="AG119" s="15">
        <f t="shared" si="18"/>
        <v>0</v>
      </c>
    </row>
    <row r="120" spans="1:35" ht="19.5" hidden="1" customHeight="1" thickBot="1" x14ac:dyDescent="0.3">
      <c r="A120" s="73" t="s">
        <v>81</v>
      </c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214"/>
      <c r="AG120" s="15">
        <f t="shared" si="18"/>
        <v>0</v>
      </c>
    </row>
    <row r="121" spans="1:35" ht="19.5" hidden="1" customHeight="1" thickBot="1" x14ac:dyDescent="0.3">
      <c r="A121" s="73" t="s">
        <v>82</v>
      </c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214"/>
      <c r="AG121" s="15">
        <f t="shared" si="18"/>
        <v>0</v>
      </c>
    </row>
    <row r="122" spans="1:35" ht="19.5" hidden="1" customHeight="1" thickBot="1" x14ac:dyDescent="0.3">
      <c r="A122" s="73" t="s">
        <v>83</v>
      </c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214"/>
      <c r="AG122" s="15">
        <f t="shared" si="18"/>
        <v>0</v>
      </c>
    </row>
    <row r="123" spans="1:35" ht="19.5" hidden="1" customHeight="1" thickBot="1" x14ac:dyDescent="0.3">
      <c r="A123" s="73" t="s">
        <v>84</v>
      </c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214"/>
      <c r="AG123" s="15">
        <f t="shared" si="18"/>
        <v>0</v>
      </c>
    </row>
    <row r="124" spans="1:35" ht="19.5" hidden="1" customHeight="1" thickBot="1" x14ac:dyDescent="0.3">
      <c r="A124" s="73" t="s">
        <v>85</v>
      </c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214"/>
      <c r="AG124" s="15">
        <f t="shared" si="18"/>
        <v>0</v>
      </c>
    </row>
    <row r="125" spans="1:35" ht="19.5" hidden="1" customHeight="1" thickBot="1" x14ac:dyDescent="0.3">
      <c r="A125" s="12" t="s">
        <v>86</v>
      </c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214"/>
      <c r="AG125" s="15">
        <f t="shared" si="18"/>
        <v>0</v>
      </c>
    </row>
    <row r="126" spans="1:35" ht="19.5" hidden="1" customHeight="1" thickBot="1" x14ac:dyDescent="0.3">
      <c r="A126" s="12" t="s">
        <v>87</v>
      </c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214"/>
      <c r="AG126" s="15">
        <f t="shared" si="18"/>
        <v>0</v>
      </c>
    </row>
    <row r="127" spans="1:35" ht="19.5" hidden="1" customHeight="1" thickBot="1" x14ac:dyDescent="0.3">
      <c r="A127" s="12" t="s">
        <v>88</v>
      </c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214"/>
      <c r="AG127" s="15">
        <f t="shared" si="18"/>
        <v>0</v>
      </c>
    </row>
    <row r="128" spans="1:35" ht="19.5" hidden="1" customHeight="1" thickBot="1" x14ac:dyDescent="0.3">
      <c r="A128" s="73" t="s">
        <v>89</v>
      </c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214"/>
      <c r="AG128" s="15">
        <f t="shared" si="18"/>
        <v>0</v>
      </c>
    </row>
    <row r="129" spans="1:35" ht="15.75" customHeight="1" thickBot="1" x14ac:dyDescent="0.3">
      <c r="A129" s="74" t="s">
        <v>90</v>
      </c>
      <c r="B129" s="75">
        <v>17</v>
      </c>
      <c r="C129" s="76">
        <v>15</v>
      </c>
      <c r="D129" s="76">
        <v>16</v>
      </c>
      <c r="E129" s="76">
        <v>16</v>
      </c>
      <c r="F129" s="76">
        <v>21</v>
      </c>
      <c r="G129" s="76">
        <v>21</v>
      </c>
      <c r="H129" s="76">
        <v>11</v>
      </c>
      <c r="I129" s="76">
        <v>16</v>
      </c>
      <c r="J129" s="76">
        <v>12</v>
      </c>
      <c r="K129" s="76">
        <v>20</v>
      </c>
      <c r="L129" s="76">
        <v>22</v>
      </c>
      <c r="M129" s="76">
        <v>14</v>
      </c>
      <c r="N129" s="76">
        <v>14</v>
      </c>
      <c r="O129" s="76">
        <v>12</v>
      </c>
      <c r="P129" s="76">
        <v>11</v>
      </c>
      <c r="Q129" s="76">
        <v>12</v>
      </c>
      <c r="R129" s="76">
        <v>13</v>
      </c>
      <c r="S129" s="76">
        <v>9</v>
      </c>
      <c r="T129" s="76">
        <v>6</v>
      </c>
      <c r="U129" s="76">
        <v>16</v>
      </c>
      <c r="V129" s="76">
        <v>7</v>
      </c>
      <c r="W129" s="76">
        <v>19</v>
      </c>
      <c r="X129" s="76">
        <v>13</v>
      </c>
      <c r="Y129" s="76">
        <v>15</v>
      </c>
      <c r="Z129" s="76">
        <v>18</v>
      </c>
      <c r="AA129" s="76">
        <v>15</v>
      </c>
      <c r="AB129" s="76">
        <v>17</v>
      </c>
      <c r="AC129" s="76">
        <v>13</v>
      </c>
      <c r="AD129" s="76">
        <v>14</v>
      </c>
      <c r="AE129" s="76">
        <v>18</v>
      </c>
      <c r="AF129" s="225">
        <v>10</v>
      </c>
      <c r="AG129" s="15">
        <f t="shared" si="18"/>
        <v>453</v>
      </c>
      <c r="AI129">
        <v>14</v>
      </c>
    </row>
    <row r="130" spans="1:35" ht="15.75" customHeight="1" x14ac:dyDescent="0.25">
      <c r="A130" s="60" t="s">
        <v>91</v>
      </c>
      <c r="B130" s="61">
        <f t="shared" ref="B130:AF130" si="21">SUM(B131:B143)</f>
        <v>241</v>
      </c>
      <c r="C130" s="62">
        <f t="shared" si="21"/>
        <v>243</v>
      </c>
      <c r="D130" s="62">
        <f t="shared" si="21"/>
        <v>234</v>
      </c>
      <c r="E130" s="62">
        <f t="shared" si="21"/>
        <v>183</v>
      </c>
      <c r="F130" s="62">
        <f t="shared" si="21"/>
        <v>195</v>
      </c>
      <c r="G130" s="62">
        <f t="shared" si="21"/>
        <v>179</v>
      </c>
      <c r="H130" s="62">
        <f t="shared" si="21"/>
        <v>249</v>
      </c>
      <c r="I130" s="62">
        <f t="shared" si="21"/>
        <v>223</v>
      </c>
      <c r="J130" s="62">
        <f t="shared" si="21"/>
        <v>241</v>
      </c>
      <c r="K130" s="62">
        <f t="shared" si="21"/>
        <v>222</v>
      </c>
      <c r="L130" s="62">
        <f t="shared" si="21"/>
        <v>251</v>
      </c>
      <c r="M130" s="62">
        <f t="shared" si="21"/>
        <v>196</v>
      </c>
      <c r="N130" s="62">
        <f t="shared" si="21"/>
        <v>202</v>
      </c>
      <c r="O130" s="62">
        <f t="shared" si="21"/>
        <v>242</v>
      </c>
      <c r="P130" s="62">
        <f t="shared" si="21"/>
        <v>235</v>
      </c>
      <c r="Q130" s="62">
        <f t="shared" si="21"/>
        <v>211</v>
      </c>
      <c r="R130" s="62">
        <f t="shared" si="21"/>
        <v>273</v>
      </c>
      <c r="S130" s="62">
        <f t="shared" si="21"/>
        <v>206</v>
      </c>
      <c r="T130" s="62">
        <f t="shared" si="21"/>
        <v>210</v>
      </c>
      <c r="U130" s="62">
        <f t="shared" si="21"/>
        <v>214</v>
      </c>
      <c r="V130" s="62">
        <f t="shared" si="21"/>
        <v>215</v>
      </c>
      <c r="W130" s="62">
        <f t="shared" si="21"/>
        <v>243</v>
      </c>
      <c r="X130" s="62">
        <f t="shared" si="21"/>
        <v>207</v>
      </c>
      <c r="Y130" s="62">
        <f t="shared" si="21"/>
        <v>248</v>
      </c>
      <c r="Z130" s="62">
        <f t="shared" si="21"/>
        <v>242</v>
      </c>
      <c r="AA130" s="62">
        <f t="shared" si="21"/>
        <v>229</v>
      </c>
      <c r="AB130" s="62">
        <f t="shared" si="21"/>
        <v>265</v>
      </c>
      <c r="AC130" s="62">
        <f t="shared" si="21"/>
        <v>219</v>
      </c>
      <c r="AD130" s="62">
        <f t="shared" si="21"/>
        <v>223</v>
      </c>
      <c r="AE130" s="62">
        <f t="shared" si="21"/>
        <v>225</v>
      </c>
      <c r="AF130" s="221">
        <f t="shared" si="21"/>
        <v>215</v>
      </c>
      <c r="AG130" s="22">
        <f t="shared" si="18"/>
        <v>6981</v>
      </c>
      <c r="AH130" s="77" t="str">
        <f>IF(AG130&lt;&gt;AG93,"*","")</f>
        <v/>
      </c>
      <c r="AI130">
        <v>243</v>
      </c>
    </row>
    <row r="131" spans="1:35" ht="15.75" customHeight="1" x14ac:dyDescent="0.25">
      <c r="A131" s="73" t="s">
        <v>78</v>
      </c>
      <c r="B131" s="13">
        <v>53</v>
      </c>
      <c r="C131" s="14">
        <v>63</v>
      </c>
      <c r="D131" s="14">
        <v>60</v>
      </c>
      <c r="E131" s="14">
        <v>31</v>
      </c>
      <c r="F131" s="14">
        <v>32</v>
      </c>
      <c r="G131" s="14">
        <v>46</v>
      </c>
      <c r="H131" s="14">
        <v>57</v>
      </c>
      <c r="I131" s="14">
        <v>48</v>
      </c>
      <c r="J131" s="14">
        <v>54</v>
      </c>
      <c r="K131" s="14">
        <v>55</v>
      </c>
      <c r="L131" s="14">
        <v>59</v>
      </c>
      <c r="M131" s="14">
        <v>52</v>
      </c>
      <c r="N131" s="14">
        <v>48</v>
      </c>
      <c r="O131" s="14">
        <v>59</v>
      </c>
      <c r="P131" s="14">
        <v>49</v>
      </c>
      <c r="Q131" s="14">
        <v>40</v>
      </c>
      <c r="R131" s="14">
        <v>48</v>
      </c>
      <c r="S131" s="14">
        <v>49</v>
      </c>
      <c r="T131" s="14">
        <v>40</v>
      </c>
      <c r="U131" s="14">
        <v>38</v>
      </c>
      <c r="V131" s="14">
        <v>44</v>
      </c>
      <c r="W131" s="14">
        <v>51</v>
      </c>
      <c r="X131" s="14">
        <v>42</v>
      </c>
      <c r="Y131" s="14">
        <v>45</v>
      </c>
      <c r="Z131" s="14">
        <v>46</v>
      </c>
      <c r="AA131" s="14">
        <v>36</v>
      </c>
      <c r="AB131" s="14">
        <v>55</v>
      </c>
      <c r="AC131" s="14">
        <v>40</v>
      </c>
      <c r="AD131" s="14">
        <v>29</v>
      </c>
      <c r="AE131" s="14">
        <v>32</v>
      </c>
      <c r="AF131" s="214">
        <v>42</v>
      </c>
      <c r="AG131" s="15">
        <f t="shared" ref="AG131:AG162" si="22">SUM(B131:AF131)</f>
        <v>1443</v>
      </c>
      <c r="AI131">
        <v>63</v>
      </c>
    </row>
    <row r="132" spans="1:35" ht="15.75" customHeight="1" x14ac:dyDescent="0.25">
      <c r="A132" s="73" t="s">
        <v>79</v>
      </c>
      <c r="B132" s="13">
        <v>12</v>
      </c>
      <c r="C132" s="14">
        <v>11</v>
      </c>
      <c r="D132" s="14">
        <v>15</v>
      </c>
      <c r="E132" s="14">
        <v>11</v>
      </c>
      <c r="F132" s="14">
        <v>5</v>
      </c>
      <c r="G132" s="14">
        <v>9</v>
      </c>
      <c r="H132" s="14">
        <v>11</v>
      </c>
      <c r="I132" s="14">
        <v>6</v>
      </c>
      <c r="J132" s="14">
        <v>6</v>
      </c>
      <c r="K132" s="14">
        <v>3</v>
      </c>
      <c r="L132" s="14">
        <v>15</v>
      </c>
      <c r="M132" s="14">
        <v>8</v>
      </c>
      <c r="N132" s="14">
        <v>10</v>
      </c>
      <c r="O132" s="14">
        <v>12</v>
      </c>
      <c r="P132" s="14">
        <v>6</v>
      </c>
      <c r="Q132" s="14">
        <v>12</v>
      </c>
      <c r="R132" s="14">
        <v>11</v>
      </c>
      <c r="S132" s="14">
        <v>8</v>
      </c>
      <c r="T132" s="14">
        <v>7</v>
      </c>
      <c r="U132" s="14">
        <v>5</v>
      </c>
      <c r="V132" s="14">
        <v>6</v>
      </c>
      <c r="W132" s="14">
        <v>13</v>
      </c>
      <c r="X132" s="14">
        <v>14</v>
      </c>
      <c r="Y132" s="14">
        <v>11</v>
      </c>
      <c r="Z132" s="14">
        <v>8</v>
      </c>
      <c r="AA132" s="14">
        <v>12</v>
      </c>
      <c r="AB132" s="14">
        <v>3</v>
      </c>
      <c r="AC132" s="14">
        <v>7</v>
      </c>
      <c r="AD132" s="14">
        <v>6</v>
      </c>
      <c r="AE132" s="14">
        <v>9</v>
      </c>
      <c r="AF132" s="214">
        <v>8</v>
      </c>
      <c r="AG132" s="15">
        <f t="shared" si="22"/>
        <v>280</v>
      </c>
      <c r="AI132">
        <v>11</v>
      </c>
    </row>
    <row r="133" spans="1:35" ht="15.75" customHeight="1" x14ac:dyDescent="0.25">
      <c r="A133" s="73" t="s">
        <v>80</v>
      </c>
      <c r="B133" s="13">
        <v>13</v>
      </c>
      <c r="C133" s="14">
        <v>7</v>
      </c>
      <c r="D133" s="14">
        <v>12</v>
      </c>
      <c r="E133" s="14">
        <v>13</v>
      </c>
      <c r="F133" s="14">
        <v>14</v>
      </c>
      <c r="G133" s="14">
        <v>11</v>
      </c>
      <c r="H133" s="14">
        <v>12</v>
      </c>
      <c r="I133" s="14">
        <v>7</v>
      </c>
      <c r="J133" s="14">
        <v>10</v>
      </c>
      <c r="K133" s="14">
        <v>10</v>
      </c>
      <c r="L133" s="14">
        <v>10</v>
      </c>
      <c r="M133" s="14">
        <v>12</v>
      </c>
      <c r="N133" s="14">
        <v>13</v>
      </c>
      <c r="O133" s="14">
        <v>10</v>
      </c>
      <c r="P133" s="14">
        <v>23</v>
      </c>
      <c r="Q133" s="14">
        <v>13</v>
      </c>
      <c r="R133" s="14">
        <v>18</v>
      </c>
      <c r="S133" s="14">
        <v>11</v>
      </c>
      <c r="T133" s="14">
        <v>17</v>
      </c>
      <c r="U133" s="14">
        <v>18</v>
      </c>
      <c r="V133" s="14">
        <v>10</v>
      </c>
      <c r="W133" s="14">
        <v>17</v>
      </c>
      <c r="X133" s="14">
        <v>13</v>
      </c>
      <c r="Y133" s="14">
        <v>8</v>
      </c>
      <c r="Z133" s="14">
        <v>19</v>
      </c>
      <c r="AA133" s="14">
        <v>11</v>
      </c>
      <c r="AB133" s="14">
        <v>15</v>
      </c>
      <c r="AC133" s="14">
        <v>7</v>
      </c>
      <c r="AD133" s="14">
        <v>7</v>
      </c>
      <c r="AE133" s="14">
        <v>8</v>
      </c>
      <c r="AF133" s="214">
        <v>12</v>
      </c>
      <c r="AG133" s="15">
        <f t="shared" si="22"/>
        <v>381</v>
      </c>
      <c r="AI133">
        <v>7</v>
      </c>
    </row>
    <row r="134" spans="1:35" ht="15.75" customHeight="1" x14ac:dyDescent="0.25">
      <c r="A134" s="73" t="s">
        <v>81</v>
      </c>
      <c r="B134" s="13">
        <v>13</v>
      </c>
      <c r="C134" s="14">
        <v>17</v>
      </c>
      <c r="D134" s="14">
        <v>13</v>
      </c>
      <c r="E134" s="14">
        <v>5</v>
      </c>
      <c r="F134" s="14">
        <v>9</v>
      </c>
      <c r="G134" s="14">
        <v>7</v>
      </c>
      <c r="H134" s="14">
        <v>17</v>
      </c>
      <c r="I134" s="14">
        <v>15</v>
      </c>
      <c r="J134" s="14">
        <v>13</v>
      </c>
      <c r="K134" s="14">
        <v>11</v>
      </c>
      <c r="L134" s="14">
        <v>14</v>
      </c>
      <c r="M134" s="14">
        <v>11</v>
      </c>
      <c r="N134" s="14">
        <v>13</v>
      </c>
      <c r="O134" s="14">
        <v>8</v>
      </c>
      <c r="P134" s="14">
        <v>16</v>
      </c>
      <c r="Q134" s="14">
        <v>12</v>
      </c>
      <c r="R134" s="14">
        <v>13</v>
      </c>
      <c r="S134" s="14">
        <v>9</v>
      </c>
      <c r="T134" s="14">
        <v>9</v>
      </c>
      <c r="U134" s="14">
        <v>11</v>
      </c>
      <c r="V134" s="14">
        <v>11</v>
      </c>
      <c r="W134" s="14">
        <v>19</v>
      </c>
      <c r="X134" s="14">
        <v>3</v>
      </c>
      <c r="Y134" s="14">
        <v>18</v>
      </c>
      <c r="Z134" s="14">
        <v>12</v>
      </c>
      <c r="AA134" s="14">
        <v>8</v>
      </c>
      <c r="AB134" s="14">
        <v>9</v>
      </c>
      <c r="AC134" s="14">
        <v>4</v>
      </c>
      <c r="AD134" s="14">
        <v>10</v>
      </c>
      <c r="AE134" s="14">
        <v>5</v>
      </c>
      <c r="AF134" s="214">
        <v>10</v>
      </c>
      <c r="AG134" s="15">
        <f t="shared" si="22"/>
        <v>345</v>
      </c>
      <c r="AI134">
        <v>17</v>
      </c>
    </row>
    <row r="135" spans="1:35" ht="15.75" customHeight="1" x14ac:dyDescent="0.25">
      <c r="A135" s="73" t="s">
        <v>82</v>
      </c>
      <c r="B135" s="13">
        <v>15</v>
      </c>
      <c r="C135" s="14">
        <v>10</v>
      </c>
      <c r="D135" s="14">
        <v>16</v>
      </c>
      <c r="E135" s="14">
        <v>12</v>
      </c>
      <c r="F135" s="14">
        <v>9</v>
      </c>
      <c r="G135" s="14">
        <v>7</v>
      </c>
      <c r="H135" s="14">
        <v>19</v>
      </c>
      <c r="I135" s="14">
        <v>19</v>
      </c>
      <c r="J135" s="14">
        <v>23</v>
      </c>
      <c r="K135" s="14">
        <v>14</v>
      </c>
      <c r="L135" s="14">
        <v>8</v>
      </c>
      <c r="M135" s="14">
        <v>6</v>
      </c>
      <c r="N135" s="14">
        <v>10</v>
      </c>
      <c r="O135" s="14">
        <v>13</v>
      </c>
      <c r="P135" s="14">
        <v>15</v>
      </c>
      <c r="Q135" s="14">
        <v>15</v>
      </c>
      <c r="R135" s="14">
        <v>26</v>
      </c>
      <c r="S135" s="14">
        <v>10</v>
      </c>
      <c r="T135" s="14">
        <v>15</v>
      </c>
      <c r="U135" s="14">
        <v>16</v>
      </c>
      <c r="V135" s="14">
        <v>14</v>
      </c>
      <c r="W135" s="14">
        <v>15</v>
      </c>
      <c r="X135" s="14">
        <v>14</v>
      </c>
      <c r="Y135" s="14">
        <v>22</v>
      </c>
      <c r="Z135" s="14">
        <v>13</v>
      </c>
      <c r="AA135" s="14">
        <v>11</v>
      </c>
      <c r="AB135" s="14">
        <v>13</v>
      </c>
      <c r="AC135" s="14">
        <v>12</v>
      </c>
      <c r="AD135" s="14">
        <v>9</v>
      </c>
      <c r="AE135" s="14">
        <v>11</v>
      </c>
      <c r="AF135" s="214">
        <v>11</v>
      </c>
      <c r="AG135" s="15">
        <f t="shared" si="22"/>
        <v>423</v>
      </c>
      <c r="AI135">
        <v>10</v>
      </c>
    </row>
    <row r="136" spans="1:35" ht="15.75" customHeight="1" x14ac:dyDescent="0.25">
      <c r="A136" s="73" t="s">
        <v>83</v>
      </c>
      <c r="B136" s="13">
        <v>100</v>
      </c>
      <c r="C136" s="14">
        <v>101</v>
      </c>
      <c r="D136" s="14">
        <v>74</v>
      </c>
      <c r="E136" s="14">
        <v>75</v>
      </c>
      <c r="F136" s="14">
        <v>85</v>
      </c>
      <c r="G136" s="14">
        <v>69</v>
      </c>
      <c r="H136" s="14">
        <v>96</v>
      </c>
      <c r="I136" s="14">
        <v>94</v>
      </c>
      <c r="J136" s="14">
        <v>105</v>
      </c>
      <c r="K136" s="14">
        <v>91</v>
      </c>
      <c r="L136" s="14">
        <v>103</v>
      </c>
      <c r="M136" s="14">
        <v>81</v>
      </c>
      <c r="N136" s="14">
        <v>84</v>
      </c>
      <c r="O136" s="14">
        <v>109</v>
      </c>
      <c r="P136" s="14">
        <v>97</v>
      </c>
      <c r="Q136" s="14">
        <v>85</v>
      </c>
      <c r="R136" s="14">
        <v>121</v>
      </c>
      <c r="S136" s="14">
        <v>92</v>
      </c>
      <c r="T136" s="14">
        <v>96</v>
      </c>
      <c r="U136" s="14">
        <v>91</v>
      </c>
      <c r="V136" s="14">
        <v>110</v>
      </c>
      <c r="W136" s="14">
        <v>86</v>
      </c>
      <c r="X136" s="14">
        <v>88</v>
      </c>
      <c r="Y136" s="14">
        <v>105</v>
      </c>
      <c r="Z136" s="14">
        <v>102</v>
      </c>
      <c r="AA136" s="14">
        <v>113</v>
      </c>
      <c r="AB136" s="14">
        <v>129</v>
      </c>
      <c r="AC136" s="14">
        <v>121</v>
      </c>
      <c r="AD136" s="14">
        <v>128</v>
      </c>
      <c r="AE136" s="14">
        <v>112</v>
      </c>
      <c r="AF136" s="214">
        <v>109</v>
      </c>
      <c r="AG136" s="15">
        <f t="shared" si="22"/>
        <v>3052</v>
      </c>
      <c r="AI136">
        <v>101</v>
      </c>
    </row>
    <row r="137" spans="1:35" ht="15.75" customHeight="1" x14ac:dyDescent="0.25">
      <c r="A137" s="73" t="s">
        <v>84</v>
      </c>
      <c r="B137" s="13">
        <v>6</v>
      </c>
      <c r="C137" s="14">
        <v>5</v>
      </c>
      <c r="D137" s="14">
        <v>7</v>
      </c>
      <c r="E137" s="14">
        <v>6</v>
      </c>
      <c r="F137" s="14">
        <v>6</v>
      </c>
      <c r="G137" s="14">
        <v>5</v>
      </c>
      <c r="H137" s="14">
        <v>9</v>
      </c>
      <c r="I137" s="14">
        <v>4</v>
      </c>
      <c r="J137" s="14">
        <v>3</v>
      </c>
      <c r="K137" s="14">
        <v>3</v>
      </c>
      <c r="L137" s="14">
        <v>5</v>
      </c>
      <c r="M137" s="14">
        <v>3</v>
      </c>
      <c r="N137" s="14">
        <v>3</v>
      </c>
      <c r="O137" s="14">
        <v>5</v>
      </c>
      <c r="P137" s="14">
        <v>5</v>
      </c>
      <c r="Q137" s="14">
        <v>8</v>
      </c>
      <c r="R137" s="14">
        <v>5</v>
      </c>
      <c r="S137" s="14">
        <v>7</v>
      </c>
      <c r="T137" s="14">
        <v>4</v>
      </c>
      <c r="U137" s="14">
        <v>6</v>
      </c>
      <c r="V137" s="14">
        <v>6</v>
      </c>
      <c r="W137" s="14">
        <v>5</v>
      </c>
      <c r="X137" s="14">
        <v>5</v>
      </c>
      <c r="Y137" s="14">
        <v>5</v>
      </c>
      <c r="Z137" s="14">
        <v>1</v>
      </c>
      <c r="AA137" s="14">
        <v>6</v>
      </c>
      <c r="AB137" s="14">
        <v>6</v>
      </c>
      <c r="AC137" s="14">
        <v>2</v>
      </c>
      <c r="AD137" s="14">
        <v>4</v>
      </c>
      <c r="AE137" s="14">
        <v>5</v>
      </c>
      <c r="AF137" s="214">
        <v>3</v>
      </c>
      <c r="AG137" s="15">
        <f t="shared" si="22"/>
        <v>153</v>
      </c>
      <c r="AI137">
        <v>5</v>
      </c>
    </row>
    <row r="138" spans="1:35" ht="15.75" customHeight="1" x14ac:dyDescent="0.25">
      <c r="A138" s="73" t="s">
        <v>85</v>
      </c>
      <c r="B138" s="13">
        <v>0</v>
      </c>
      <c r="C138" s="14">
        <v>1</v>
      </c>
      <c r="D138" s="14">
        <v>4</v>
      </c>
      <c r="E138" s="14">
        <v>1</v>
      </c>
      <c r="F138" s="14">
        <v>1</v>
      </c>
      <c r="G138" s="14">
        <v>0</v>
      </c>
      <c r="H138" s="14">
        <v>2</v>
      </c>
      <c r="I138" s="14">
        <v>7</v>
      </c>
      <c r="J138" s="14">
        <v>2</v>
      </c>
      <c r="K138" s="14">
        <v>2</v>
      </c>
      <c r="L138" s="14">
        <v>1</v>
      </c>
      <c r="M138" s="14">
        <v>2</v>
      </c>
      <c r="N138" s="14">
        <v>1</v>
      </c>
      <c r="O138" s="14">
        <v>4</v>
      </c>
      <c r="P138" s="14">
        <v>1</v>
      </c>
      <c r="Q138" s="14">
        <v>1</v>
      </c>
      <c r="R138" s="14">
        <v>2</v>
      </c>
      <c r="S138" s="14">
        <v>2</v>
      </c>
      <c r="T138" s="14">
        <v>3</v>
      </c>
      <c r="U138" s="14">
        <v>5</v>
      </c>
      <c r="V138" s="14">
        <v>0</v>
      </c>
      <c r="W138" s="14">
        <v>3</v>
      </c>
      <c r="X138" s="14">
        <v>2</v>
      </c>
      <c r="Y138" s="14">
        <v>2</v>
      </c>
      <c r="Z138" s="14">
        <v>7</v>
      </c>
      <c r="AA138" s="14">
        <v>0</v>
      </c>
      <c r="AB138" s="14">
        <v>1</v>
      </c>
      <c r="AC138" s="14">
        <v>4</v>
      </c>
      <c r="AD138" s="14">
        <v>1</v>
      </c>
      <c r="AE138" s="14">
        <v>4</v>
      </c>
      <c r="AF138" s="214">
        <v>0</v>
      </c>
      <c r="AG138" s="15">
        <f t="shared" si="22"/>
        <v>66</v>
      </c>
      <c r="AI138">
        <v>1</v>
      </c>
    </row>
    <row r="139" spans="1:35" ht="15.75" customHeight="1" x14ac:dyDescent="0.25">
      <c r="A139" s="12" t="s">
        <v>86</v>
      </c>
      <c r="B139" s="13">
        <v>2</v>
      </c>
      <c r="C139" s="14">
        <v>5</v>
      </c>
      <c r="D139" s="14">
        <v>4</v>
      </c>
      <c r="E139" s="14">
        <v>3</v>
      </c>
      <c r="F139" s="14">
        <v>3</v>
      </c>
      <c r="G139" s="14">
        <v>4</v>
      </c>
      <c r="H139" s="14">
        <v>2</v>
      </c>
      <c r="I139" s="14">
        <v>0</v>
      </c>
      <c r="J139" s="14">
        <v>7</v>
      </c>
      <c r="K139" s="14">
        <v>3</v>
      </c>
      <c r="L139" s="14">
        <v>4</v>
      </c>
      <c r="M139" s="14">
        <v>2</v>
      </c>
      <c r="N139" s="14">
        <v>0</v>
      </c>
      <c r="O139" s="14">
        <v>3</v>
      </c>
      <c r="P139" s="14">
        <v>6</v>
      </c>
      <c r="Q139" s="14">
        <v>3</v>
      </c>
      <c r="R139" s="14">
        <v>3</v>
      </c>
      <c r="S139" s="14">
        <v>4</v>
      </c>
      <c r="T139" s="14">
        <v>0</v>
      </c>
      <c r="U139" s="14">
        <v>4</v>
      </c>
      <c r="V139" s="14">
        <v>0</v>
      </c>
      <c r="W139" s="14">
        <v>4</v>
      </c>
      <c r="X139" s="14">
        <v>2</v>
      </c>
      <c r="Y139" s="14">
        <v>4</v>
      </c>
      <c r="Z139" s="14">
        <v>6</v>
      </c>
      <c r="AA139" s="14">
        <v>4</v>
      </c>
      <c r="AB139" s="14">
        <v>5</v>
      </c>
      <c r="AC139" s="14">
        <v>1</v>
      </c>
      <c r="AD139" s="14">
        <v>3</v>
      </c>
      <c r="AE139" s="14">
        <v>5</v>
      </c>
      <c r="AF139" s="214">
        <v>6</v>
      </c>
      <c r="AG139" s="15">
        <f t="shared" si="22"/>
        <v>102</v>
      </c>
      <c r="AI139">
        <v>5</v>
      </c>
    </row>
    <row r="140" spans="1:35" ht="15.75" customHeight="1" x14ac:dyDescent="0.25">
      <c r="A140" s="12" t="s">
        <v>87</v>
      </c>
      <c r="B140" s="13">
        <v>1</v>
      </c>
      <c r="C140" s="14">
        <v>2</v>
      </c>
      <c r="D140" s="14">
        <v>3</v>
      </c>
      <c r="E140" s="14">
        <v>3</v>
      </c>
      <c r="F140" s="14">
        <v>2</v>
      </c>
      <c r="G140" s="14">
        <v>2</v>
      </c>
      <c r="H140" s="14">
        <v>6</v>
      </c>
      <c r="I140" s="14">
        <v>1</v>
      </c>
      <c r="J140" s="14">
        <v>1</v>
      </c>
      <c r="K140" s="14">
        <v>2</v>
      </c>
      <c r="L140" s="14">
        <v>1</v>
      </c>
      <c r="M140" s="14">
        <v>2</v>
      </c>
      <c r="N140" s="14">
        <v>1</v>
      </c>
      <c r="O140" s="14">
        <v>5</v>
      </c>
      <c r="P140" s="14">
        <v>1</v>
      </c>
      <c r="Q140" s="14">
        <v>2</v>
      </c>
      <c r="R140" s="14">
        <v>1</v>
      </c>
      <c r="S140" s="14">
        <v>2</v>
      </c>
      <c r="T140" s="14">
        <v>2</v>
      </c>
      <c r="U140" s="14">
        <v>2</v>
      </c>
      <c r="V140" s="14">
        <v>1</v>
      </c>
      <c r="W140" s="14">
        <v>2</v>
      </c>
      <c r="X140" s="14">
        <v>2</v>
      </c>
      <c r="Y140" s="14">
        <v>3</v>
      </c>
      <c r="Z140" s="14">
        <v>2</v>
      </c>
      <c r="AA140" s="14">
        <v>3</v>
      </c>
      <c r="AB140" s="14">
        <v>3</v>
      </c>
      <c r="AC140" s="14">
        <v>1</v>
      </c>
      <c r="AD140" s="14">
        <v>6</v>
      </c>
      <c r="AE140" s="14">
        <v>1</v>
      </c>
      <c r="AF140" s="214">
        <v>0</v>
      </c>
      <c r="AG140" s="15">
        <f t="shared" si="22"/>
        <v>66</v>
      </c>
      <c r="AI140">
        <v>2</v>
      </c>
    </row>
    <row r="141" spans="1:35" ht="15.75" customHeight="1" x14ac:dyDescent="0.25">
      <c r="A141" s="12" t="s">
        <v>88</v>
      </c>
      <c r="B141" s="13">
        <v>2</v>
      </c>
      <c r="C141" s="14">
        <v>1</v>
      </c>
      <c r="D141" s="14">
        <v>0</v>
      </c>
      <c r="E141" s="14">
        <v>1</v>
      </c>
      <c r="F141" s="14">
        <v>1</v>
      </c>
      <c r="G141" s="14">
        <v>1</v>
      </c>
      <c r="H141" s="14">
        <v>0</v>
      </c>
      <c r="I141" s="14">
        <v>0</v>
      </c>
      <c r="J141" s="14">
        <v>1</v>
      </c>
      <c r="K141" s="14">
        <v>1</v>
      </c>
      <c r="L141" s="14">
        <v>1</v>
      </c>
      <c r="M141" s="14">
        <v>0</v>
      </c>
      <c r="N141" s="14">
        <v>1</v>
      </c>
      <c r="O141" s="14">
        <v>0</v>
      </c>
      <c r="P141" s="14">
        <v>0</v>
      </c>
      <c r="Q141" s="14">
        <v>1</v>
      </c>
      <c r="R141" s="14">
        <v>0</v>
      </c>
      <c r="S141" s="14">
        <v>0</v>
      </c>
      <c r="T141" s="14">
        <v>2</v>
      </c>
      <c r="U141" s="14">
        <v>1</v>
      </c>
      <c r="V141" s="14">
        <v>1</v>
      </c>
      <c r="W141" s="14">
        <v>1</v>
      </c>
      <c r="X141" s="14">
        <v>2</v>
      </c>
      <c r="Y141" s="14">
        <v>1</v>
      </c>
      <c r="Z141" s="14">
        <v>0</v>
      </c>
      <c r="AA141" s="14">
        <v>2</v>
      </c>
      <c r="AB141" s="14">
        <v>1</v>
      </c>
      <c r="AC141" s="14">
        <v>0</v>
      </c>
      <c r="AD141" s="14">
        <v>1</v>
      </c>
      <c r="AE141" s="14">
        <v>0</v>
      </c>
      <c r="AF141" s="214">
        <v>1</v>
      </c>
      <c r="AG141" s="15">
        <f t="shared" si="22"/>
        <v>24</v>
      </c>
      <c r="AI141">
        <v>1</v>
      </c>
    </row>
    <row r="142" spans="1:35" ht="15.75" customHeight="1" x14ac:dyDescent="0.25">
      <c r="A142" s="73" t="s">
        <v>89</v>
      </c>
      <c r="B142" s="13">
        <v>7</v>
      </c>
      <c r="C142" s="14">
        <f>C28 - SUM(C131:C141,C143)</f>
        <v>9</v>
      </c>
      <c r="D142" s="14">
        <v>13</v>
      </c>
      <c r="E142" s="14">
        <v>11</v>
      </c>
      <c r="F142" s="14">
        <v>9</v>
      </c>
      <c r="G142" s="14">
        <v>9</v>
      </c>
      <c r="H142" s="14">
        <v>7</v>
      </c>
      <c r="I142" s="14">
        <v>7</v>
      </c>
      <c r="J142" s="14">
        <v>3</v>
      </c>
      <c r="K142" s="14">
        <v>12</v>
      </c>
      <c r="L142" s="14">
        <v>10</v>
      </c>
      <c r="M142" s="14">
        <v>5</v>
      </c>
      <c r="N142" s="14">
        <v>6</v>
      </c>
      <c r="O142" s="14">
        <v>3</v>
      </c>
      <c r="P142" s="14">
        <v>6</v>
      </c>
      <c r="Q142" s="14">
        <v>11</v>
      </c>
      <c r="R142" s="14">
        <v>14</v>
      </c>
      <c r="S142" s="14">
        <v>6</v>
      </c>
      <c r="T142" s="14">
        <v>10</v>
      </c>
      <c r="U142" s="14">
        <v>9</v>
      </c>
      <c r="V142" s="14">
        <v>5</v>
      </c>
      <c r="W142" s="14">
        <v>8</v>
      </c>
      <c r="X142" s="14">
        <v>10</v>
      </c>
      <c r="Y142" s="14">
        <v>11</v>
      </c>
      <c r="Z142" s="14">
        <v>11</v>
      </c>
      <c r="AA142" s="14">
        <v>12</v>
      </c>
      <c r="AB142" s="14">
        <v>8</v>
      </c>
      <c r="AC142" s="14">
        <v>7</v>
      </c>
      <c r="AD142" s="14">
        <v>7</v>
      </c>
      <c r="AE142" s="14">
        <v>18</v>
      </c>
      <c r="AF142" s="214">
        <v>6</v>
      </c>
      <c r="AG142" s="15">
        <f t="shared" si="22"/>
        <v>270</v>
      </c>
      <c r="AI142">
        <v>9</v>
      </c>
    </row>
    <row r="143" spans="1:35" ht="15.75" customHeight="1" thickBot="1" x14ac:dyDescent="0.3">
      <c r="A143" s="74" t="s">
        <v>90</v>
      </c>
      <c r="B143" s="75">
        <v>17</v>
      </c>
      <c r="C143" s="76">
        <v>11</v>
      </c>
      <c r="D143" s="76">
        <v>13</v>
      </c>
      <c r="E143" s="76">
        <v>11</v>
      </c>
      <c r="F143" s="76">
        <v>19</v>
      </c>
      <c r="G143" s="76">
        <v>9</v>
      </c>
      <c r="H143" s="76">
        <v>11</v>
      </c>
      <c r="I143" s="76">
        <v>15</v>
      </c>
      <c r="J143" s="76">
        <v>13</v>
      </c>
      <c r="K143" s="76">
        <v>15</v>
      </c>
      <c r="L143" s="76">
        <v>20</v>
      </c>
      <c r="M143" s="76">
        <v>12</v>
      </c>
      <c r="N143" s="76">
        <v>12</v>
      </c>
      <c r="O143" s="76">
        <v>11</v>
      </c>
      <c r="P143" s="76">
        <v>10</v>
      </c>
      <c r="Q143" s="76">
        <v>8</v>
      </c>
      <c r="R143" s="76">
        <v>11</v>
      </c>
      <c r="S143" s="76">
        <v>6</v>
      </c>
      <c r="T143" s="76">
        <v>5</v>
      </c>
      <c r="U143" s="76">
        <v>8</v>
      </c>
      <c r="V143" s="76">
        <v>7</v>
      </c>
      <c r="W143" s="76">
        <v>19</v>
      </c>
      <c r="X143" s="76">
        <v>10</v>
      </c>
      <c r="Y143" s="76">
        <v>13</v>
      </c>
      <c r="Z143" s="76">
        <v>15</v>
      </c>
      <c r="AA143" s="76">
        <v>11</v>
      </c>
      <c r="AB143" s="76">
        <v>17</v>
      </c>
      <c r="AC143" s="76">
        <v>13</v>
      </c>
      <c r="AD143" s="76">
        <v>12</v>
      </c>
      <c r="AE143" s="76">
        <v>15</v>
      </c>
      <c r="AF143" s="225">
        <v>7</v>
      </c>
      <c r="AG143" s="26">
        <f t="shared" si="22"/>
        <v>376</v>
      </c>
      <c r="AI143">
        <v>11</v>
      </c>
    </row>
    <row r="144" spans="1:35" ht="15.75" customHeight="1" thickBot="1" x14ac:dyDescent="0.3">
      <c r="A144" s="41" t="s">
        <v>92</v>
      </c>
      <c r="B144" s="42">
        <f t="shared" ref="B144" si="23">+B28</f>
        <v>241</v>
      </c>
      <c r="C144" s="43">
        <f>+C28</f>
        <v>243</v>
      </c>
      <c r="D144" s="43">
        <f t="shared" ref="D144:AF144" si="24">+D28</f>
        <v>234</v>
      </c>
      <c r="E144" s="43">
        <f t="shared" si="24"/>
        <v>183</v>
      </c>
      <c r="F144" s="43">
        <f t="shared" si="24"/>
        <v>195</v>
      </c>
      <c r="G144" s="43">
        <f t="shared" si="24"/>
        <v>179</v>
      </c>
      <c r="H144" s="43">
        <f t="shared" si="24"/>
        <v>249</v>
      </c>
      <c r="I144" s="43">
        <f t="shared" si="24"/>
        <v>223</v>
      </c>
      <c r="J144" s="43">
        <f t="shared" si="24"/>
        <v>241</v>
      </c>
      <c r="K144" s="43">
        <f t="shared" si="24"/>
        <v>222</v>
      </c>
      <c r="L144" s="43">
        <f t="shared" si="24"/>
        <v>251</v>
      </c>
      <c r="M144" s="43">
        <f t="shared" si="24"/>
        <v>196</v>
      </c>
      <c r="N144" s="43">
        <f t="shared" si="24"/>
        <v>202</v>
      </c>
      <c r="O144" s="43">
        <f t="shared" si="24"/>
        <v>242</v>
      </c>
      <c r="P144" s="43">
        <f t="shared" si="24"/>
        <v>235</v>
      </c>
      <c r="Q144" s="43">
        <f t="shared" si="24"/>
        <v>211</v>
      </c>
      <c r="R144" s="43">
        <f t="shared" si="24"/>
        <v>273</v>
      </c>
      <c r="S144" s="43">
        <f t="shared" si="24"/>
        <v>206</v>
      </c>
      <c r="T144" s="43">
        <f t="shared" si="24"/>
        <v>210</v>
      </c>
      <c r="U144" s="43">
        <f t="shared" si="24"/>
        <v>214</v>
      </c>
      <c r="V144" s="43">
        <f t="shared" si="24"/>
        <v>215</v>
      </c>
      <c r="W144" s="43">
        <f t="shared" si="24"/>
        <v>243</v>
      </c>
      <c r="X144" s="43">
        <f t="shared" si="24"/>
        <v>207</v>
      </c>
      <c r="Y144" s="43">
        <f t="shared" si="24"/>
        <v>248</v>
      </c>
      <c r="Z144" s="43">
        <f t="shared" si="24"/>
        <v>242</v>
      </c>
      <c r="AA144" s="43">
        <f t="shared" si="24"/>
        <v>229</v>
      </c>
      <c r="AB144" s="43">
        <f t="shared" si="24"/>
        <v>265</v>
      </c>
      <c r="AC144" s="43">
        <f t="shared" si="24"/>
        <v>219</v>
      </c>
      <c r="AD144" s="43">
        <f t="shared" si="24"/>
        <v>223</v>
      </c>
      <c r="AE144" s="43">
        <f t="shared" si="24"/>
        <v>225</v>
      </c>
      <c r="AF144" s="43">
        <f t="shared" si="24"/>
        <v>215</v>
      </c>
      <c r="AG144" s="27">
        <f t="shared" si="22"/>
        <v>6981</v>
      </c>
      <c r="AH144" s="78" t="str">
        <f>IF(AG144&lt;&gt;AG93,"*","")</f>
        <v/>
      </c>
      <c r="AI144" s="79">
        <v>243</v>
      </c>
    </row>
    <row r="145" spans="1:35" ht="15.75" customHeight="1" thickBot="1" x14ac:dyDescent="0.3">
      <c r="A145" s="80" t="s">
        <v>44</v>
      </c>
      <c r="B145" s="81">
        <f t="shared" ref="B145" si="25">+B53</f>
        <v>10</v>
      </c>
      <c r="C145" s="82">
        <f>+C53</f>
        <v>56</v>
      </c>
      <c r="D145" s="82">
        <f t="shared" ref="D145:AF145" si="26">+D53</f>
        <v>32</v>
      </c>
      <c r="E145" s="82">
        <f t="shared" si="26"/>
        <v>63</v>
      </c>
      <c r="F145" s="82">
        <f t="shared" si="26"/>
        <v>52</v>
      </c>
      <c r="G145" s="82">
        <f t="shared" si="26"/>
        <v>92</v>
      </c>
      <c r="H145" s="82">
        <f t="shared" si="26"/>
        <v>7</v>
      </c>
      <c r="I145" s="82">
        <f t="shared" si="26"/>
        <v>12</v>
      </c>
      <c r="J145" s="82">
        <f t="shared" si="26"/>
        <v>36</v>
      </c>
      <c r="K145" s="82">
        <f t="shared" si="26"/>
        <v>117</v>
      </c>
      <c r="L145" s="82">
        <f t="shared" si="26"/>
        <v>36</v>
      </c>
      <c r="M145" s="82">
        <f t="shared" si="26"/>
        <v>95</v>
      </c>
      <c r="N145" s="82">
        <f t="shared" si="26"/>
        <v>48</v>
      </c>
      <c r="O145" s="82">
        <f t="shared" si="26"/>
        <v>3</v>
      </c>
      <c r="P145" s="82">
        <f t="shared" si="26"/>
        <v>30</v>
      </c>
      <c r="Q145" s="82">
        <f t="shared" si="26"/>
        <v>114</v>
      </c>
      <c r="R145" s="82">
        <f t="shared" si="26"/>
        <v>69</v>
      </c>
      <c r="S145" s="82">
        <f t="shared" si="26"/>
        <v>101</v>
      </c>
      <c r="T145" s="82">
        <f t="shared" si="26"/>
        <v>55</v>
      </c>
      <c r="U145" s="82">
        <f t="shared" si="26"/>
        <v>45</v>
      </c>
      <c r="V145" s="82">
        <f t="shared" si="26"/>
        <v>9</v>
      </c>
      <c r="W145" s="82">
        <f t="shared" si="26"/>
        <v>25</v>
      </c>
      <c r="X145" s="82">
        <f t="shared" si="26"/>
        <v>109</v>
      </c>
      <c r="Y145" s="82">
        <f t="shared" si="26"/>
        <v>32</v>
      </c>
      <c r="Z145" s="82">
        <f t="shared" si="26"/>
        <v>26</v>
      </c>
      <c r="AA145" s="82">
        <f t="shared" si="26"/>
        <v>32</v>
      </c>
      <c r="AB145" s="82">
        <f t="shared" si="26"/>
        <v>8</v>
      </c>
      <c r="AC145" s="82">
        <f t="shared" si="26"/>
        <v>8</v>
      </c>
      <c r="AD145" s="82">
        <f t="shared" si="26"/>
        <v>21</v>
      </c>
      <c r="AE145" s="82">
        <f t="shared" si="26"/>
        <v>100</v>
      </c>
      <c r="AF145" s="226">
        <f t="shared" si="26"/>
        <v>53</v>
      </c>
      <c r="AG145" s="83">
        <f t="shared" si="22"/>
        <v>1496</v>
      </c>
      <c r="AH145" s="77"/>
      <c r="AI145">
        <v>56</v>
      </c>
    </row>
    <row r="146" spans="1:35" ht="15.75" customHeight="1" thickBot="1" x14ac:dyDescent="0.3">
      <c r="A146" s="4" t="s">
        <v>110</v>
      </c>
      <c r="B146" s="5">
        <f t="shared" ref="B146:AF146" si="27">SUM(B147:B149)</f>
        <v>0</v>
      </c>
      <c r="C146" s="6">
        <f t="shared" si="27"/>
        <v>1</v>
      </c>
      <c r="D146" s="6">
        <f t="shared" si="27"/>
        <v>0</v>
      </c>
      <c r="E146" s="6">
        <f t="shared" si="27"/>
        <v>1</v>
      </c>
      <c r="F146" s="6">
        <f t="shared" si="27"/>
        <v>1</v>
      </c>
      <c r="G146" s="6">
        <f t="shared" si="27"/>
        <v>4</v>
      </c>
      <c r="H146" s="6">
        <f t="shared" si="27"/>
        <v>4</v>
      </c>
      <c r="I146" s="6">
        <f t="shared" si="27"/>
        <v>2</v>
      </c>
      <c r="J146" s="6">
        <f t="shared" si="27"/>
        <v>2</v>
      </c>
      <c r="K146" s="6">
        <f t="shared" si="27"/>
        <v>0</v>
      </c>
      <c r="L146" s="6">
        <f t="shared" si="27"/>
        <v>0</v>
      </c>
      <c r="M146" s="6">
        <f t="shared" si="27"/>
        <v>1</v>
      </c>
      <c r="N146" s="6">
        <f t="shared" si="27"/>
        <v>1</v>
      </c>
      <c r="O146" s="6">
        <f t="shared" si="27"/>
        <v>2</v>
      </c>
      <c r="P146" s="6">
        <f t="shared" si="27"/>
        <v>0</v>
      </c>
      <c r="Q146" s="6">
        <f t="shared" si="27"/>
        <v>1</v>
      </c>
      <c r="R146" s="6">
        <f t="shared" si="27"/>
        <v>0</v>
      </c>
      <c r="S146" s="6">
        <f t="shared" si="27"/>
        <v>0</v>
      </c>
      <c r="T146" s="6">
        <f t="shared" si="27"/>
        <v>1</v>
      </c>
      <c r="U146" s="6">
        <f t="shared" si="27"/>
        <v>1</v>
      </c>
      <c r="V146" s="6">
        <f t="shared" si="27"/>
        <v>1</v>
      </c>
      <c r="W146" s="6">
        <f t="shared" si="27"/>
        <v>3</v>
      </c>
      <c r="X146" s="6">
        <f t="shared" si="27"/>
        <v>1</v>
      </c>
      <c r="Y146" s="6">
        <f t="shared" si="27"/>
        <v>0</v>
      </c>
      <c r="Z146" s="6">
        <f t="shared" si="27"/>
        <v>0</v>
      </c>
      <c r="AA146" s="6">
        <f t="shared" si="27"/>
        <v>1</v>
      </c>
      <c r="AB146" s="6">
        <f t="shared" si="27"/>
        <v>2</v>
      </c>
      <c r="AC146" s="6">
        <f t="shared" si="27"/>
        <v>0</v>
      </c>
      <c r="AD146" s="6">
        <f t="shared" si="27"/>
        <v>0</v>
      </c>
      <c r="AE146" s="6">
        <f t="shared" si="27"/>
        <v>1</v>
      </c>
      <c r="AF146" s="236">
        <f t="shared" si="27"/>
        <v>0</v>
      </c>
      <c r="AG146" s="7">
        <f t="shared" si="22"/>
        <v>31</v>
      </c>
      <c r="AH146" s="111" t="s">
        <v>111</v>
      </c>
      <c r="AI146">
        <v>1</v>
      </c>
    </row>
    <row r="147" spans="1:35" ht="15.75" customHeight="1" x14ac:dyDescent="0.25">
      <c r="A147" s="123" t="s">
        <v>112</v>
      </c>
      <c r="B147" s="124">
        <v>0</v>
      </c>
      <c r="C147" s="125">
        <v>1</v>
      </c>
      <c r="D147" s="125">
        <v>0</v>
      </c>
      <c r="E147" s="125">
        <v>1</v>
      </c>
      <c r="F147" s="125">
        <v>1</v>
      </c>
      <c r="G147" s="125">
        <v>4</v>
      </c>
      <c r="H147" s="125">
        <v>4</v>
      </c>
      <c r="I147" s="125">
        <v>2</v>
      </c>
      <c r="J147" s="125">
        <v>2</v>
      </c>
      <c r="K147" s="125">
        <v>0</v>
      </c>
      <c r="L147" s="125">
        <v>0</v>
      </c>
      <c r="M147" s="125">
        <v>1</v>
      </c>
      <c r="N147" s="125">
        <v>1</v>
      </c>
      <c r="O147" s="125">
        <v>2</v>
      </c>
      <c r="P147" s="125">
        <v>0</v>
      </c>
      <c r="Q147" s="125">
        <v>1</v>
      </c>
      <c r="R147" s="125">
        <v>0</v>
      </c>
      <c r="S147" s="125">
        <v>0</v>
      </c>
      <c r="T147" s="125">
        <v>1</v>
      </c>
      <c r="U147" s="125">
        <v>1</v>
      </c>
      <c r="V147" s="125">
        <v>1</v>
      </c>
      <c r="W147" s="125">
        <v>1</v>
      </c>
      <c r="X147" s="125">
        <v>1</v>
      </c>
      <c r="Y147" s="125">
        <v>0</v>
      </c>
      <c r="Z147" s="125">
        <v>0</v>
      </c>
      <c r="AA147" s="125">
        <v>1</v>
      </c>
      <c r="AB147" s="125">
        <v>2</v>
      </c>
      <c r="AC147" s="125">
        <v>0</v>
      </c>
      <c r="AD147" s="125">
        <v>0</v>
      </c>
      <c r="AE147" s="125">
        <v>0</v>
      </c>
      <c r="AF147" s="237">
        <v>0</v>
      </c>
      <c r="AG147" s="126">
        <f t="shared" si="22"/>
        <v>28</v>
      </c>
      <c r="AH147" s="111"/>
      <c r="AI147">
        <v>1</v>
      </c>
    </row>
    <row r="148" spans="1:35" ht="15.75" customHeight="1" x14ac:dyDescent="0.25">
      <c r="A148" s="127" t="s">
        <v>113</v>
      </c>
      <c r="B148" s="128">
        <v>0</v>
      </c>
      <c r="C148" s="129">
        <v>0</v>
      </c>
      <c r="D148" s="129">
        <v>0</v>
      </c>
      <c r="E148" s="129">
        <v>0</v>
      </c>
      <c r="F148" s="129">
        <v>0</v>
      </c>
      <c r="G148" s="129">
        <v>0</v>
      </c>
      <c r="H148" s="129">
        <v>0</v>
      </c>
      <c r="I148" s="129">
        <v>0</v>
      </c>
      <c r="J148" s="129">
        <v>0</v>
      </c>
      <c r="K148" s="129">
        <v>0</v>
      </c>
      <c r="L148" s="129">
        <v>0</v>
      </c>
      <c r="M148" s="129">
        <v>0</v>
      </c>
      <c r="N148" s="129">
        <v>0</v>
      </c>
      <c r="O148" s="129">
        <v>0</v>
      </c>
      <c r="P148" s="129">
        <v>0</v>
      </c>
      <c r="Q148" s="129">
        <v>0</v>
      </c>
      <c r="R148" s="129">
        <v>0</v>
      </c>
      <c r="S148" s="129">
        <v>0</v>
      </c>
      <c r="T148" s="129">
        <v>0</v>
      </c>
      <c r="U148" s="129">
        <v>0</v>
      </c>
      <c r="V148" s="129">
        <v>0</v>
      </c>
      <c r="W148" s="129">
        <v>1</v>
      </c>
      <c r="X148" s="129">
        <v>0</v>
      </c>
      <c r="Y148" s="129">
        <v>0</v>
      </c>
      <c r="Z148" s="129">
        <v>0</v>
      </c>
      <c r="AA148" s="129">
        <v>0</v>
      </c>
      <c r="AB148" s="129">
        <v>0</v>
      </c>
      <c r="AC148" s="129">
        <v>0</v>
      </c>
      <c r="AD148" s="129">
        <v>0</v>
      </c>
      <c r="AE148" s="129">
        <v>1</v>
      </c>
      <c r="AF148" s="238">
        <v>0</v>
      </c>
      <c r="AG148" s="130">
        <f t="shared" si="22"/>
        <v>2</v>
      </c>
      <c r="AH148" s="111"/>
      <c r="AI148">
        <v>0</v>
      </c>
    </row>
    <row r="149" spans="1:35" ht="15.75" customHeight="1" thickBot="1" x14ac:dyDescent="0.3">
      <c r="A149" s="131" t="s">
        <v>114</v>
      </c>
      <c r="B149" s="132">
        <v>0</v>
      </c>
      <c r="C149" s="133">
        <v>0</v>
      </c>
      <c r="D149" s="133">
        <v>0</v>
      </c>
      <c r="E149" s="133">
        <v>0</v>
      </c>
      <c r="F149" s="133">
        <v>0</v>
      </c>
      <c r="G149" s="133">
        <v>0</v>
      </c>
      <c r="H149" s="133">
        <v>0</v>
      </c>
      <c r="I149" s="133">
        <v>0</v>
      </c>
      <c r="J149" s="133">
        <v>0</v>
      </c>
      <c r="K149" s="133">
        <v>0</v>
      </c>
      <c r="L149" s="133">
        <v>0</v>
      </c>
      <c r="M149" s="133">
        <v>0</v>
      </c>
      <c r="N149" s="133">
        <v>0</v>
      </c>
      <c r="O149" s="133">
        <v>0</v>
      </c>
      <c r="P149" s="133">
        <v>0</v>
      </c>
      <c r="Q149" s="133">
        <v>0</v>
      </c>
      <c r="R149" s="133">
        <v>0</v>
      </c>
      <c r="S149" s="133">
        <v>0</v>
      </c>
      <c r="T149" s="133">
        <v>0</v>
      </c>
      <c r="U149" s="133">
        <v>0</v>
      </c>
      <c r="V149" s="133">
        <v>0</v>
      </c>
      <c r="W149" s="133">
        <v>1</v>
      </c>
      <c r="X149" s="133">
        <v>0</v>
      </c>
      <c r="Y149" s="133">
        <v>0</v>
      </c>
      <c r="Z149" s="133">
        <v>0</v>
      </c>
      <c r="AA149" s="133">
        <v>0</v>
      </c>
      <c r="AB149" s="133">
        <v>0</v>
      </c>
      <c r="AC149" s="133">
        <v>0</v>
      </c>
      <c r="AD149" s="133">
        <v>0</v>
      </c>
      <c r="AE149" s="133">
        <v>0</v>
      </c>
      <c r="AF149" s="239">
        <v>0</v>
      </c>
      <c r="AG149" s="134">
        <f t="shared" si="22"/>
        <v>1</v>
      </c>
      <c r="AH149" s="111"/>
      <c r="AI149">
        <v>0</v>
      </c>
    </row>
    <row r="150" spans="1:35" ht="15.75" customHeight="1" thickBot="1" x14ac:dyDescent="0.3">
      <c r="A150" s="53" t="s">
        <v>115</v>
      </c>
      <c r="B150" s="135">
        <f t="shared" ref="B150:AF150" si="28">SUM(B151:B152)</f>
        <v>4</v>
      </c>
      <c r="C150" s="136">
        <f t="shared" si="28"/>
        <v>2</v>
      </c>
      <c r="D150" s="136">
        <f t="shared" si="28"/>
        <v>2</v>
      </c>
      <c r="E150" s="136">
        <f t="shared" si="28"/>
        <v>4</v>
      </c>
      <c r="F150" s="136">
        <f t="shared" si="28"/>
        <v>5</v>
      </c>
      <c r="G150" s="136">
        <f t="shared" si="28"/>
        <v>7</v>
      </c>
      <c r="H150" s="136">
        <f t="shared" si="28"/>
        <v>2</v>
      </c>
      <c r="I150" s="136">
        <f t="shared" si="28"/>
        <v>1</v>
      </c>
      <c r="J150" s="136">
        <f t="shared" si="28"/>
        <v>5</v>
      </c>
      <c r="K150" s="136">
        <f t="shared" si="28"/>
        <v>3</v>
      </c>
      <c r="L150" s="136">
        <f t="shared" si="28"/>
        <v>7</v>
      </c>
      <c r="M150" s="136">
        <f t="shared" si="28"/>
        <v>1</v>
      </c>
      <c r="N150" s="136">
        <f t="shared" si="28"/>
        <v>7</v>
      </c>
      <c r="O150" s="136">
        <f t="shared" si="28"/>
        <v>3</v>
      </c>
      <c r="P150" s="136">
        <f t="shared" si="28"/>
        <v>0</v>
      </c>
      <c r="Q150" s="136">
        <f t="shared" si="28"/>
        <v>4</v>
      </c>
      <c r="R150" s="136">
        <f t="shared" si="28"/>
        <v>5</v>
      </c>
      <c r="S150" s="136">
        <f t="shared" si="28"/>
        <v>2</v>
      </c>
      <c r="T150" s="136">
        <f t="shared" si="28"/>
        <v>2</v>
      </c>
      <c r="U150" s="136">
        <f t="shared" si="28"/>
        <v>6</v>
      </c>
      <c r="V150" s="136">
        <f t="shared" si="28"/>
        <v>3</v>
      </c>
      <c r="W150" s="136">
        <f t="shared" si="28"/>
        <v>3</v>
      </c>
      <c r="X150" s="136">
        <f t="shared" si="28"/>
        <v>5</v>
      </c>
      <c r="Y150" s="136">
        <f t="shared" si="28"/>
        <v>2</v>
      </c>
      <c r="Z150" s="136">
        <f t="shared" si="28"/>
        <v>4</v>
      </c>
      <c r="AA150" s="136">
        <f t="shared" si="28"/>
        <v>4</v>
      </c>
      <c r="AB150" s="136">
        <f t="shared" si="28"/>
        <v>2</v>
      </c>
      <c r="AC150" s="136">
        <f t="shared" si="28"/>
        <v>1</v>
      </c>
      <c r="AD150" s="136">
        <f t="shared" si="28"/>
        <v>2</v>
      </c>
      <c r="AE150" s="136">
        <f t="shared" si="28"/>
        <v>1</v>
      </c>
      <c r="AF150" s="240">
        <f t="shared" si="28"/>
        <v>1</v>
      </c>
      <c r="AG150" s="137">
        <f t="shared" si="22"/>
        <v>100</v>
      </c>
      <c r="AH150" s="111" t="s">
        <v>116</v>
      </c>
      <c r="AI150">
        <v>2</v>
      </c>
    </row>
    <row r="151" spans="1:35" ht="15.75" customHeight="1" x14ac:dyDescent="0.25">
      <c r="A151" s="138" t="s">
        <v>117</v>
      </c>
      <c r="B151" s="139">
        <v>1</v>
      </c>
      <c r="C151" s="140">
        <v>0</v>
      </c>
      <c r="D151" s="140">
        <v>1</v>
      </c>
      <c r="E151" s="140">
        <v>1</v>
      </c>
      <c r="F151" s="140">
        <v>0</v>
      </c>
      <c r="G151" s="140">
        <v>0</v>
      </c>
      <c r="H151" s="140">
        <v>1</v>
      </c>
      <c r="I151" s="140">
        <v>0</v>
      </c>
      <c r="J151" s="140">
        <v>1</v>
      </c>
      <c r="K151" s="140">
        <v>1</v>
      </c>
      <c r="L151" s="140">
        <v>2</v>
      </c>
      <c r="M151" s="140">
        <v>0</v>
      </c>
      <c r="N151" s="140">
        <v>1</v>
      </c>
      <c r="O151" s="140">
        <v>0</v>
      </c>
      <c r="P151" s="140">
        <v>0</v>
      </c>
      <c r="Q151" s="140">
        <v>0</v>
      </c>
      <c r="R151" s="140">
        <v>0</v>
      </c>
      <c r="S151" s="140">
        <v>0</v>
      </c>
      <c r="T151" s="140">
        <v>0</v>
      </c>
      <c r="U151" s="140">
        <v>2</v>
      </c>
      <c r="V151" s="140">
        <v>1</v>
      </c>
      <c r="W151" s="140">
        <v>0</v>
      </c>
      <c r="X151" s="140">
        <v>0</v>
      </c>
      <c r="Y151" s="140">
        <v>0</v>
      </c>
      <c r="Z151" s="140">
        <v>2</v>
      </c>
      <c r="AA151" s="140">
        <v>2</v>
      </c>
      <c r="AB151" s="140">
        <v>1</v>
      </c>
      <c r="AC151" s="140">
        <v>0</v>
      </c>
      <c r="AD151" s="140">
        <v>0</v>
      </c>
      <c r="AE151" s="140">
        <v>0</v>
      </c>
      <c r="AF151" s="241">
        <v>0</v>
      </c>
      <c r="AG151" s="141">
        <f t="shared" si="22"/>
        <v>17</v>
      </c>
      <c r="AH151" s="111" t="s">
        <v>116</v>
      </c>
      <c r="AI151">
        <v>0</v>
      </c>
    </row>
    <row r="152" spans="1:35" ht="15.75" customHeight="1" thickBot="1" x14ac:dyDescent="0.3">
      <c r="A152" s="58" t="s">
        <v>118</v>
      </c>
      <c r="B152" s="142">
        <v>3</v>
      </c>
      <c r="C152" s="143">
        <v>2</v>
      </c>
      <c r="D152" s="143">
        <v>1</v>
      </c>
      <c r="E152" s="143">
        <v>3</v>
      </c>
      <c r="F152" s="143">
        <v>5</v>
      </c>
      <c r="G152" s="143">
        <v>7</v>
      </c>
      <c r="H152" s="143">
        <v>1</v>
      </c>
      <c r="I152" s="143">
        <v>1</v>
      </c>
      <c r="J152" s="143">
        <v>4</v>
      </c>
      <c r="K152" s="143">
        <v>2</v>
      </c>
      <c r="L152" s="143">
        <v>5</v>
      </c>
      <c r="M152" s="143">
        <v>1</v>
      </c>
      <c r="N152" s="143">
        <v>6</v>
      </c>
      <c r="O152" s="143">
        <v>3</v>
      </c>
      <c r="P152" s="143">
        <v>0</v>
      </c>
      <c r="Q152" s="143">
        <v>4</v>
      </c>
      <c r="R152" s="143">
        <v>5</v>
      </c>
      <c r="S152" s="143">
        <v>2</v>
      </c>
      <c r="T152" s="143">
        <v>2</v>
      </c>
      <c r="U152" s="143">
        <v>4</v>
      </c>
      <c r="V152" s="143">
        <v>2</v>
      </c>
      <c r="W152" s="143">
        <v>3</v>
      </c>
      <c r="X152" s="143">
        <v>5</v>
      </c>
      <c r="Y152" s="143">
        <v>2</v>
      </c>
      <c r="Z152" s="143">
        <v>2</v>
      </c>
      <c r="AA152" s="143">
        <v>2</v>
      </c>
      <c r="AB152" s="143">
        <v>1</v>
      </c>
      <c r="AC152" s="143">
        <v>1</v>
      </c>
      <c r="AD152" s="143">
        <v>2</v>
      </c>
      <c r="AE152" s="143">
        <v>1</v>
      </c>
      <c r="AF152" s="242">
        <v>1</v>
      </c>
      <c r="AG152" s="144">
        <f t="shared" si="22"/>
        <v>83</v>
      </c>
      <c r="AH152" s="111" t="s">
        <v>116</v>
      </c>
      <c r="AI152">
        <v>2</v>
      </c>
    </row>
    <row r="153" spans="1:35" ht="15.75" customHeight="1" x14ac:dyDescent="0.25">
      <c r="A153" s="145" t="s">
        <v>119</v>
      </c>
      <c r="B153" s="146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243"/>
      <c r="AG153" s="148">
        <f t="shared" si="22"/>
        <v>0</v>
      </c>
    </row>
    <row r="154" spans="1:35" ht="15.75" customHeight="1" thickBot="1" x14ac:dyDescent="0.3">
      <c r="A154" s="149" t="s">
        <v>120</v>
      </c>
      <c r="B154" s="150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  <c r="AB154" s="151"/>
      <c r="AC154" s="151"/>
      <c r="AD154" s="151"/>
      <c r="AE154" s="151"/>
      <c r="AF154" s="244"/>
      <c r="AG154" s="152">
        <f t="shared" si="22"/>
        <v>0</v>
      </c>
    </row>
    <row r="155" spans="1:35" ht="15.75" customHeight="1" thickBot="1" x14ac:dyDescent="0.3">
      <c r="A155" s="153" t="s">
        <v>121</v>
      </c>
      <c r="B155" s="154">
        <f t="shared" ref="B155:AF155" si="29">SUM(B156:B181)</f>
        <v>88</v>
      </c>
      <c r="C155" s="155">
        <f t="shared" si="29"/>
        <v>88</v>
      </c>
      <c r="D155" s="155">
        <f t="shared" si="29"/>
        <v>89</v>
      </c>
      <c r="E155" s="155">
        <f t="shared" si="29"/>
        <v>53</v>
      </c>
      <c r="F155" s="155">
        <f t="shared" si="29"/>
        <v>60</v>
      </c>
      <c r="G155" s="155">
        <f t="shared" si="29"/>
        <v>69</v>
      </c>
      <c r="H155" s="155">
        <f t="shared" si="29"/>
        <v>97</v>
      </c>
      <c r="I155" s="155">
        <f t="shared" si="29"/>
        <v>88</v>
      </c>
      <c r="J155" s="155">
        <f t="shared" si="29"/>
        <v>91</v>
      </c>
      <c r="K155" s="155">
        <f t="shared" si="29"/>
        <v>83</v>
      </c>
      <c r="L155" s="155">
        <f t="shared" si="29"/>
        <v>93</v>
      </c>
      <c r="M155" s="155">
        <f t="shared" si="29"/>
        <v>59</v>
      </c>
      <c r="N155" s="155">
        <f t="shared" si="29"/>
        <v>72</v>
      </c>
      <c r="O155" s="155">
        <f t="shared" si="29"/>
        <v>90</v>
      </c>
      <c r="P155" s="155">
        <f t="shared" si="29"/>
        <v>90</v>
      </c>
      <c r="Q155" s="155">
        <f t="shared" si="29"/>
        <v>183</v>
      </c>
      <c r="R155" s="155">
        <f t="shared" si="29"/>
        <v>110</v>
      </c>
      <c r="S155" s="155">
        <f t="shared" si="29"/>
        <v>83</v>
      </c>
      <c r="T155" s="155">
        <f t="shared" si="29"/>
        <v>80</v>
      </c>
      <c r="U155" s="155">
        <f t="shared" si="29"/>
        <v>83</v>
      </c>
      <c r="V155" s="155">
        <f t="shared" si="29"/>
        <v>80</v>
      </c>
      <c r="W155" s="155">
        <f t="shared" si="29"/>
        <v>88</v>
      </c>
      <c r="X155" s="155">
        <f t="shared" si="29"/>
        <v>74</v>
      </c>
      <c r="Y155" s="155">
        <f t="shared" si="29"/>
        <v>113</v>
      </c>
      <c r="Z155" s="155">
        <f t="shared" si="29"/>
        <v>89</v>
      </c>
      <c r="AA155" s="155">
        <f t="shared" si="29"/>
        <v>81</v>
      </c>
      <c r="AB155" s="155">
        <f t="shared" si="29"/>
        <v>113</v>
      </c>
      <c r="AC155" s="155">
        <f t="shared" si="29"/>
        <v>64</v>
      </c>
      <c r="AD155" s="155">
        <f t="shared" si="29"/>
        <v>85</v>
      </c>
      <c r="AE155" s="155">
        <f t="shared" si="29"/>
        <v>98</v>
      </c>
      <c r="AF155" s="245">
        <f t="shared" si="29"/>
        <v>80</v>
      </c>
      <c r="AG155" s="91">
        <f t="shared" si="22"/>
        <v>2714</v>
      </c>
      <c r="AH155" s="78"/>
      <c r="AI155">
        <v>88</v>
      </c>
    </row>
    <row r="156" spans="1:35" ht="15.75" customHeight="1" x14ac:dyDescent="0.25">
      <c r="A156" s="156" t="s">
        <v>122</v>
      </c>
      <c r="B156" s="157">
        <v>10</v>
      </c>
      <c r="C156" s="158">
        <v>7</v>
      </c>
      <c r="D156" s="158">
        <v>5</v>
      </c>
      <c r="E156" s="158">
        <v>6</v>
      </c>
      <c r="F156" s="158">
        <v>2</v>
      </c>
      <c r="G156" s="158">
        <v>7</v>
      </c>
      <c r="H156" s="158">
        <v>9</v>
      </c>
      <c r="I156" s="158">
        <v>7</v>
      </c>
      <c r="J156" s="158">
        <v>5</v>
      </c>
      <c r="K156" s="158">
        <v>4</v>
      </c>
      <c r="L156" s="158">
        <v>3</v>
      </c>
      <c r="M156" s="158">
        <v>1</v>
      </c>
      <c r="N156" s="158">
        <v>9</v>
      </c>
      <c r="O156" s="158">
        <v>4</v>
      </c>
      <c r="P156" s="158">
        <v>5</v>
      </c>
      <c r="Q156" s="158">
        <v>8</v>
      </c>
      <c r="R156" s="158">
        <v>6</v>
      </c>
      <c r="S156" s="158">
        <v>5</v>
      </c>
      <c r="T156" s="158">
        <v>1</v>
      </c>
      <c r="U156" s="158">
        <v>9</v>
      </c>
      <c r="V156" s="158">
        <v>4</v>
      </c>
      <c r="W156" s="158">
        <v>5</v>
      </c>
      <c r="X156" s="158">
        <v>2</v>
      </c>
      <c r="Y156" s="158">
        <v>3</v>
      </c>
      <c r="Z156" s="158"/>
      <c r="AA156" s="158">
        <v>1</v>
      </c>
      <c r="AB156" s="158">
        <v>2</v>
      </c>
      <c r="AC156" s="158">
        <v>2</v>
      </c>
      <c r="AD156" s="158">
        <v>7</v>
      </c>
      <c r="AE156" s="158">
        <v>1</v>
      </c>
      <c r="AF156" s="246">
        <v>3</v>
      </c>
      <c r="AG156" s="159">
        <f t="shared" si="22"/>
        <v>143</v>
      </c>
      <c r="AI156">
        <v>7</v>
      </c>
    </row>
    <row r="157" spans="1:35" ht="15.75" customHeight="1" x14ac:dyDescent="0.25">
      <c r="A157" s="160" t="s">
        <v>123</v>
      </c>
      <c r="B157" s="65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222"/>
      <c r="AG157" s="15">
        <f t="shared" si="22"/>
        <v>0</v>
      </c>
    </row>
    <row r="158" spans="1:35" ht="15.75" customHeight="1" x14ac:dyDescent="0.25">
      <c r="A158" s="160" t="s">
        <v>124</v>
      </c>
      <c r="B158" s="65">
        <v>1</v>
      </c>
      <c r="C158" s="66">
        <v>0</v>
      </c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>
        <v>4</v>
      </c>
      <c r="Q158" s="66"/>
      <c r="R158" s="66">
        <v>1</v>
      </c>
      <c r="S158" s="66"/>
      <c r="T158" s="66"/>
      <c r="U158" s="66"/>
      <c r="V158" s="66"/>
      <c r="W158" s="66">
        <v>2</v>
      </c>
      <c r="X158" s="66"/>
      <c r="Y158" s="66"/>
      <c r="Z158" s="66"/>
      <c r="AA158" s="66"/>
      <c r="AB158" s="66"/>
      <c r="AC158" s="66"/>
      <c r="AD158" s="66"/>
      <c r="AE158" s="66">
        <v>1</v>
      </c>
      <c r="AF158" s="222">
        <v>1</v>
      </c>
      <c r="AG158" s="15">
        <f t="shared" si="22"/>
        <v>10</v>
      </c>
    </row>
    <row r="159" spans="1:35" ht="15.75" customHeight="1" x14ac:dyDescent="0.25">
      <c r="A159" s="160" t="s">
        <v>125</v>
      </c>
      <c r="B159" s="65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222"/>
      <c r="AG159" s="15">
        <f t="shared" si="22"/>
        <v>0</v>
      </c>
    </row>
    <row r="160" spans="1:35" ht="15.75" customHeight="1" x14ac:dyDescent="0.25">
      <c r="A160" s="161" t="s">
        <v>126</v>
      </c>
      <c r="B160" s="162">
        <v>71</v>
      </c>
      <c r="C160" s="163">
        <v>78</v>
      </c>
      <c r="D160" s="163">
        <v>78</v>
      </c>
      <c r="E160" s="163">
        <v>42</v>
      </c>
      <c r="F160" s="163">
        <v>52</v>
      </c>
      <c r="G160" s="163">
        <v>53</v>
      </c>
      <c r="H160" s="163">
        <v>84</v>
      </c>
      <c r="I160" s="163">
        <v>78</v>
      </c>
      <c r="J160" s="163">
        <v>86</v>
      </c>
      <c r="K160" s="163">
        <v>70</v>
      </c>
      <c r="L160" s="163">
        <v>84</v>
      </c>
      <c r="M160" s="163">
        <v>52</v>
      </c>
      <c r="N160" s="163">
        <v>59</v>
      </c>
      <c r="O160" s="163">
        <v>81</v>
      </c>
      <c r="P160" s="163">
        <v>73</v>
      </c>
      <c r="Q160" s="163">
        <v>174</v>
      </c>
      <c r="R160" s="163">
        <v>98</v>
      </c>
      <c r="S160" s="163">
        <v>74</v>
      </c>
      <c r="T160" s="163">
        <v>75</v>
      </c>
      <c r="U160" s="163">
        <v>70</v>
      </c>
      <c r="V160" s="163">
        <v>73</v>
      </c>
      <c r="W160" s="163">
        <v>75</v>
      </c>
      <c r="X160" s="163">
        <v>69</v>
      </c>
      <c r="Y160" s="163">
        <v>105</v>
      </c>
      <c r="Z160" s="163">
        <v>85</v>
      </c>
      <c r="AA160" s="163">
        <v>78</v>
      </c>
      <c r="AB160" s="163">
        <v>109</v>
      </c>
      <c r="AC160" s="163">
        <v>55</v>
      </c>
      <c r="AD160" s="163">
        <v>73</v>
      </c>
      <c r="AE160" s="163">
        <v>90</v>
      </c>
      <c r="AF160" s="247">
        <v>72</v>
      </c>
      <c r="AG160" s="164">
        <f t="shared" si="22"/>
        <v>2416</v>
      </c>
      <c r="AH160" s="165"/>
      <c r="AI160" s="165">
        <v>78</v>
      </c>
    </row>
    <row r="161" spans="1:35" ht="15.75" customHeight="1" x14ac:dyDescent="0.25">
      <c r="A161" s="160" t="s">
        <v>127</v>
      </c>
      <c r="B161" s="65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222"/>
      <c r="AG161" s="15">
        <f t="shared" si="22"/>
        <v>0</v>
      </c>
    </row>
    <row r="162" spans="1:35" ht="15.75" customHeight="1" x14ac:dyDescent="0.25">
      <c r="A162" s="160" t="s">
        <v>128</v>
      </c>
      <c r="B162" s="65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222"/>
      <c r="AG162" s="15">
        <f t="shared" si="22"/>
        <v>0</v>
      </c>
    </row>
    <row r="163" spans="1:35" ht="15.75" customHeight="1" x14ac:dyDescent="0.25">
      <c r="A163" s="160" t="s">
        <v>129</v>
      </c>
      <c r="B163" s="65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222"/>
      <c r="AG163" s="15">
        <f t="shared" ref="AG163:AG194" si="30">SUM(B163:AF163)</f>
        <v>0</v>
      </c>
    </row>
    <row r="164" spans="1:35" ht="15.75" customHeight="1" x14ac:dyDescent="0.25">
      <c r="A164" s="160" t="s">
        <v>130</v>
      </c>
      <c r="B164" s="65">
        <v>2</v>
      </c>
      <c r="C164" s="66">
        <v>1</v>
      </c>
      <c r="D164" s="66"/>
      <c r="E164" s="66"/>
      <c r="F164" s="66"/>
      <c r="G164" s="66"/>
      <c r="H164" s="66">
        <v>1</v>
      </c>
      <c r="I164" s="66"/>
      <c r="J164" s="66"/>
      <c r="K164" s="66"/>
      <c r="L164" s="66"/>
      <c r="M164" s="66"/>
      <c r="N164" s="66"/>
      <c r="O164" s="66"/>
      <c r="P164" s="66">
        <v>4</v>
      </c>
      <c r="Q164" s="66"/>
      <c r="R164" s="66"/>
      <c r="S164" s="66"/>
      <c r="T164" s="66"/>
      <c r="U164" s="66"/>
      <c r="V164" s="66"/>
      <c r="W164" s="66">
        <v>1</v>
      </c>
      <c r="X164" s="66"/>
      <c r="Y164" s="66"/>
      <c r="Z164" s="66"/>
      <c r="AA164" s="66"/>
      <c r="AB164" s="66"/>
      <c r="AC164" s="66"/>
      <c r="AD164" s="66">
        <v>4</v>
      </c>
      <c r="AE164" s="66"/>
      <c r="AF164" s="222"/>
      <c r="AG164" s="15">
        <f t="shared" si="30"/>
        <v>13</v>
      </c>
      <c r="AI164">
        <v>1</v>
      </c>
    </row>
    <row r="165" spans="1:35" ht="15.75" customHeight="1" x14ac:dyDescent="0.25">
      <c r="A165" s="64" t="s">
        <v>131</v>
      </c>
      <c r="B165" s="65"/>
      <c r="C165" s="66">
        <v>1</v>
      </c>
      <c r="D165" s="66">
        <v>3</v>
      </c>
      <c r="E165" s="66">
        <v>3</v>
      </c>
      <c r="F165" s="66">
        <v>4</v>
      </c>
      <c r="G165" s="66">
        <v>5</v>
      </c>
      <c r="H165" s="66"/>
      <c r="I165" s="66"/>
      <c r="J165" s="66"/>
      <c r="K165" s="66">
        <v>5</v>
      </c>
      <c r="L165" s="66">
        <v>5</v>
      </c>
      <c r="M165" s="66"/>
      <c r="N165" s="66">
        <v>1</v>
      </c>
      <c r="O165" s="66"/>
      <c r="P165" s="66"/>
      <c r="Q165" s="66">
        <v>1</v>
      </c>
      <c r="R165" s="66">
        <v>2</v>
      </c>
      <c r="S165" s="66">
        <v>3</v>
      </c>
      <c r="T165" s="66">
        <v>3</v>
      </c>
      <c r="U165" s="66">
        <v>3</v>
      </c>
      <c r="V165" s="66"/>
      <c r="W165" s="66"/>
      <c r="X165" s="66">
        <v>2</v>
      </c>
      <c r="Y165" s="66">
        <v>4</v>
      </c>
      <c r="Z165" s="66">
        <v>3</v>
      </c>
      <c r="AA165" s="66">
        <v>1</v>
      </c>
      <c r="AB165" s="66"/>
      <c r="AC165" s="66"/>
      <c r="AD165" s="66"/>
      <c r="AE165" s="66">
        <v>4</v>
      </c>
      <c r="AF165" s="222">
        <v>1</v>
      </c>
      <c r="AG165" s="15">
        <f t="shared" si="30"/>
        <v>54</v>
      </c>
      <c r="AI165">
        <v>1</v>
      </c>
    </row>
    <row r="166" spans="1:35" ht="15.75" customHeight="1" x14ac:dyDescent="0.25">
      <c r="A166" s="64" t="s">
        <v>132</v>
      </c>
      <c r="B166" s="65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222"/>
      <c r="AG166" s="15">
        <f t="shared" si="30"/>
        <v>0</v>
      </c>
    </row>
    <row r="167" spans="1:35" ht="15.75" customHeight="1" x14ac:dyDescent="0.25">
      <c r="A167" s="64" t="s">
        <v>133</v>
      </c>
      <c r="B167" s="65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222"/>
      <c r="AG167" s="15">
        <f t="shared" si="30"/>
        <v>0</v>
      </c>
    </row>
    <row r="168" spans="1:35" ht="15.75" customHeight="1" x14ac:dyDescent="0.25">
      <c r="A168" s="64" t="s">
        <v>134</v>
      </c>
      <c r="B168" s="65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222"/>
      <c r="AG168" s="15">
        <f t="shared" si="30"/>
        <v>0</v>
      </c>
    </row>
    <row r="169" spans="1:35" ht="15.75" customHeight="1" x14ac:dyDescent="0.25">
      <c r="A169" s="166" t="s">
        <v>135</v>
      </c>
      <c r="B169" s="167">
        <v>3</v>
      </c>
      <c r="C169" s="168">
        <v>1</v>
      </c>
      <c r="D169" s="168">
        <v>1</v>
      </c>
      <c r="E169" s="168">
        <v>1</v>
      </c>
      <c r="F169" s="168">
        <v>1</v>
      </c>
      <c r="G169" s="168">
        <v>1</v>
      </c>
      <c r="H169" s="168">
        <v>1</v>
      </c>
      <c r="I169" s="168">
        <v>2</v>
      </c>
      <c r="J169" s="168"/>
      <c r="K169" s="168">
        <v>4</v>
      </c>
      <c r="L169" s="168">
        <v>1</v>
      </c>
      <c r="M169" s="168">
        <v>3</v>
      </c>
      <c r="N169" s="168"/>
      <c r="O169" s="168">
        <v>5</v>
      </c>
      <c r="P169" s="168">
        <v>3</v>
      </c>
      <c r="Q169" s="168"/>
      <c r="R169" s="168">
        <v>2</v>
      </c>
      <c r="S169" s="168">
        <v>1</v>
      </c>
      <c r="T169" s="168">
        <v>1</v>
      </c>
      <c r="U169" s="168">
        <v>1</v>
      </c>
      <c r="V169" s="168">
        <v>3</v>
      </c>
      <c r="W169" s="168">
        <v>3</v>
      </c>
      <c r="X169" s="168">
        <v>1</v>
      </c>
      <c r="Y169" s="168"/>
      <c r="Z169" s="168"/>
      <c r="AA169" s="168"/>
      <c r="AB169" s="168">
        <v>1</v>
      </c>
      <c r="AC169" s="168">
        <v>6</v>
      </c>
      <c r="AD169" s="168"/>
      <c r="AE169" s="168">
        <v>2</v>
      </c>
      <c r="AF169" s="248">
        <v>3</v>
      </c>
      <c r="AG169" s="169">
        <f t="shared" si="30"/>
        <v>51</v>
      </c>
      <c r="AI169">
        <v>1</v>
      </c>
    </row>
    <row r="170" spans="1:35" ht="15.75" customHeight="1" x14ac:dyDescent="0.25">
      <c r="A170" s="170" t="s">
        <v>136</v>
      </c>
      <c r="B170" s="65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222"/>
      <c r="AG170" s="15">
        <f t="shared" si="30"/>
        <v>0</v>
      </c>
    </row>
    <row r="171" spans="1:35" ht="15.75" customHeight="1" x14ac:dyDescent="0.25">
      <c r="A171" s="170" t="s">
        <v>137</v>
      </c>
      <c r="B171" s="65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222"/>
      <c r="AG171" s="15">
        <f t="shared" si="30"/>
        <v>0</v>
      </c>
    </row>
    <row r="172" spans="1:35" ht="15.75" customHeight="1" x14ac:dyDescent="0.25">
      <c r="A172" s="170" t="s">
        <v>138</v>
      </c>
      <c r="B172" s="65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222"/>
      <c r="AG172" s="15">
        <f t="shared" si="30"/>
        <v>0</v>
      </c>
    </row>
    <row r="173" spans="1:35" ht="15.75" customHeight="1" x14ac:dyDescent="0.25">
      <c r="A173" s="170" t="s">
        <v>139</v>
      </c>
      <c r="B173" s="65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222"/>
      <c r="AG173" s="15">
        <f t="shared" si="30"/>
        <v>0</v>
      </c>
    </row>
    <row r="174" spans="1:35" ht="15.75" customHeight="1" x14ac:dyDescent="0.25">
      <c r="A174" s="170" t="s">
        <v>140</v>
      </c>
      <c r="B174" s="65"/>
      <c r="C174" s="66">
        <v>0</v>
      </c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>
        <v>1</v>
      </c>
      <c r="AD174" s="66"/>
      <c r="AE174" s="66"/>
      <c r="AF174" s="222"/>
      <c r="AG174" s="15">
        <f t="shared" si="30"/>
        <v>1</v>
      </c>
    </row>
    <row r="175" spans="1:35" ht="15.75" customHeight="1" x14ac:dyDescent="0.25">
      <c r="A175" s="170" t="s">
        <v>141</v>
      </c>
      <c r="B175" s="65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222"/>
      <c r="AG175" s="15">
        <f t="shared" si="30"/>
        <v>0</v>
      </c>
    </row>
    <row r="176" spans="1:35" ht="15.75" customHeight="1" x14ac:dyDescent="0.25">
      <c r="A176" s="64" t="s">
        <v>142</v>
      </c>
      <c r="B176" s="65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222"/>
      <c r="AG176" s="15">
        <f t="shared" si="30"/>
        <v>0</v>
      </c>
    </row>
    <row r="177" spans="1:35" ht="15.75" customHeight="1" x14ac:dyDescent="0.25">
      <c r="A177" s="64" t="s">
        <v>143</v>
      </c>
      <c r="B177" s="65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222"/>
      <c r="AG177" s="15">
        <f t="shared" si="30"/>
        <v>0</v>
      </c>
    </row>
    <row r="178" spans="1:35" ht="15.75" customHeight="1" x14ac:dyDescent="0.25">
      <c r="A178" s="64" t="s">
        <v>144</v>
      </c>
      <c r="B178" s="65"/>
      <c r="C178" s="66">
        <v>0</v>
      </c>
      <c r="D178" s="66"/>
      <c r="E178" s="66"/>
      <c r="F178" s="66"/>
      <c r="G178" s="66">
        <v>1</v>
      </c>
      <c r="H178" s="66">
        <v>1</v>
      </c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>
        <v>1</v>
      </c>
      <c r="AB178" s="66"/>
      <c r="AC178" s="66"/>
      <c r="AD178" s="66"/>
      <c r="AE178" s="66"/>
      <c r="AF178" s="222"/>
      <c r="AG178" s="15">
        <f t="shared" si="30"/>
        <v>3</v>
      </c>
    </row>
    <row r="179" spans="1:35" ht="15.75" customHeight="1" x14ac:dyDescent="0.25">
      <c r="A179" s="64" t="s">
        <v>145</v>
      </c>
      <c r="B179" s="171">
        <v>1</v>
      </c>
      <c r="C179" s="172">
        <v>0</v>
      </c>
      <c r="D179" s="172">
        <v>1</v>
      </c>
      <c r="E179" s="172">
        <v>1</v>
      </c>
      <c r="F179" s="172">
        <v>1</v>
      </c>
      <c r="G179" s="172">
        <v>2</v>
      </c>
      <c r="H179" s="172">
        <v>1</v>
      </c>
      <c r="I179" s="172"/>
      <c r="J179" s="172"/>
      <c r="K179" s="172"/>
      <c r="L179" s="172"/>
      <c r="M179" s="172">
        <v>2</v>
      </c>
      <c r="N179" s="172">
        <v>3</v>
      </c>
      <c r="O179" s="172"/>
      <c r="P179" s="172">
        <v>1</v>
      </c>
      <c r="Q179" s="172"/>
      <c r="R179" s="172">
        <v>1</v>
      </c>
      <c r="S179" s="172"/>
      <c r="T179" s="172"/>
      <c r="U179" s="172"/>
      <c r="V179" s="172"/>
      <c r="W179" s="172">
        <v>2</v>
      </c>
      <c r="X179" s="172"/>
      <c r="Y179" s="172">
        <v>1</v>
      </c>
      <c r="Z179" s="172">
        <v>1</v>
      </c>
      <c r="AA179" s="172"/>
      <c r="AB179" s="172">
        <v>1</v>
      </c>
      <c r="AC179" s="172"/>
      <c r="AD179" s="172">
        <v>1</v>
      </c>
      <c r="AE179" s="172"/>
      <c r="AF179" s="249"/>
      <c r="AG179" s="15">
        <f t="shared" si="30"/>
        <v>20</v>
      </c>
    </row>
    <row r="180" spans="1:35" ht="15.75" customHeight="1" x14ac:dyDescent="0.25">
      <c r="A180" s="173" t="s">
        <v>146</v>
      </c>
      <c r="B180" s="171"/>
      <c r="C180" s="172">
        <v>0</v>
      </c>
      <c r="D180" s="172">
        <v>1</v>
      </c>
      <c r="E180" s="172"/>
      <c r="F180" s="172"/>
      <c r="G180" s="172"/>
      <c r="H180" s="172"/>
      <c r="I180" s="172">
        <v>1</v>
      </c>
      <c r="J180" s="172"/>
      <c r="K180" s="172"/>
      <c r="L180" s="172"/>
      <c r="M180" s="172">
        <v>1</v>
      </c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  <c r="AA180" s="172"/>
      <c r="AB180" s="172"/>
      <c r="AC180" s="172"/>
      <c r="AD180" s="172"/>
      <c r="AE180" s="172"/>
      <c r="AF180" s="249"/>
      <c r="AG180" s="15">
        <f t="shared" si="30"/>
        <v>3</v>
      </c>
    </row>
    <row r="181" spans="1:35" ht="15.75" customHeight="1" thickBot="1" x14ac:dyDescent="0.3">
      <c r="A181" s="174" t="s">
        <v>147</v>
      </c>
      <c r="B181" s="171"/>
      <c r="C181" s="172"/>
      <c r="D181" s="172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  <c r="AA181" s="172"/>
      <c r="AB181" s="172"/>
      <c r="AC181" s="172"/>
      <c r="AD181" s="172"/>
      <c r="AE181" s="172"/>
      <c r="AF181" s="249"/>
      <c r="AG181" s="106">
        <f t="shared" si="30"/>
        <v>0</v>
      </c>
    </row>
    <row r="182" spans="1:35" ht="15.75" customHeight="1" thickBot="1" x14ac:dyDescent="0.3">
      <c r="A182" s="175" t="s">
        <v>148</v>
      </c>
      <c r="B182" s="176">
        <f t="shared" ref="B182:AF182" si="31">SUM(B183:B187)</f>
        <v>241</v>
      </c>
      <c r="C182" s="177">
        <f t="shared" si="31"/>
        <v>243</v>
      </c>
      <c r="D182" s="177">
        <f t="shared" si="31"/>
        <v>234</v>
      </c>
      <c r="E182" s="177">
        <f t="shared" si="31"/>
        <v>183</v>
      </c>
      <c r="F182" s="177">
        <f t="shared" si="31"/>
        <v>195</v>
      </c>
      <c r="G182" s="177">
        <f t="shared" si="31"/>
        <v>179</v>
      </c>
      <c r="H182" s="177">
        <f t="shared" si="31"/>
        <v>249</v>
      </c>
      <c r="I182" s="177">
        <f t="shared" si="31"/>
        <v>223</v>
      </c>
      <c r="J182" s="177">
        <f t="shared" si="31"/>
        <v>241</v>
      </c>
      <c r="K182" s="177">
        <f t="shared" si="31"/>
        <v>222</v>
      </c>
      <c r="L182" s="177">
        <f t="shared" si="31"/>
        <v>251</v>
      </c>
      <c r="M182" s="177">
        <f t="shared" si="31"/>
        <v>196</v>
      </c>
      <c r="N182" s="177">
        <f t="shared" si="31"/>
        <v>202</v>
      </c>
      <c r="O182" s="177">
        <f t="shared" si="31"/>
        <v>242</v>
      </c>
      <c r="P182" s="177">
        <f t="shared" si="31"/>
        <v>235</v>
      </c>
      <c r="Q182" s="177">
        <f t="shared" si="31"/>
        <v>211</v>
      </c>
      <c r="R182" s="177">
        <f t="shared" si="31"/>
        <v>273</v>
      </c>
      <c r="S182" s="177">
        <f t="shared" si="31"/>
        <v>206</v>
      </c>
      <c r="T182" s="177">
        <f t="shared" si="31"/>
        <v>210</v>
      </c>
      <c r="U182" s="177">
        <f t="shared" si="31"/>
        <v>214</v>
      </c>
      <c r="V182" s="177">
        <f t="shared" si="31"/>
        <v>215</v>
      </c>
      <c r="W182" s="177">
        <f t="shared" si="31"/>
        <v>243</v>
      </c>
      <c r="X182" s="177">
        <f t="shared" si="31"/>
        <v>207</v>
      </c>
      <c r="Y182" s="177">
        <f t="shared" si="31"/>
        <v>248</v>
      </c>
      <c r="Z182" s="177">
        <f t="shared" si="31"/>
        <v>242</v>
      </c>
      <c r="AA182" s="177">
        <f t="shared" si="31"/>
        <v>229</v>
      </c>
      <c r="AB182" s="177">
        <f t="shared" si="31"/>
        <v>265</v>
      </c>
      <c r="AC182" s="177">
        <f t="shared" si="31"/>
        <v>219</v>
      </c>
      <c r="AD182" s="177">
        <f t="shared" si="31"/>
        <v>223</v>
      </c>
      <c r="AE182" s="177">
        <f t="shared" si="31"/>
        <v>225</v>
      </c>
      <c r="AF182" s="250">
        <f t="shared" si="31"/>
        <v>215</v>
      </c>
      <c r="AG182" s="178">
        <f t="shared" si="30"/>
        <v>6981</v>
      </c>
      <c r="AH182" s="40" t="str">
        <f>IF(AG182&lt;&gt;AG93,"X","")</f>
        <v/>
      </c>
      <c r="AI182">
        <v>243</v>
      </c>
    </row>
    <row r="183" spans="1:35" ht="15.75" customHeight="1" x14ac:dyDescent="0.25">
      <c r="A183" s="179" t="s">
        <v>149</v>
      </c>
      <c r="B183" s="180">
        <v>0</v>
      </c>
      <c r="C183" s="181">
        <v>0</v>
      </c>
      <c r="D183" s="181">
        <v>0</v>
      </c>
      <c r="E183" s="181">
        <v>0</v>
      </c>
      <c r="F183" s="181">
        <v>0</v>
      </c>
      <c r="G183" s="181">
        <v>0</v>
      </c>
      <c r="H183" s="181">
        <v>1</v>
      </c>
      <c r="I183" s="181">
        <v>0</v>
      </c>
      <c r="J183" s="181">
        <v>0</v>
      </c>
      <c r="K183" s="181">
        <v>0</v>
      </c>
      <c r="L183" s="181">
        <v>0</v>
      </c>
      <c r="M183" s="181">
        <v>0</v>
      </c>
      <c r="N183" s="181">
        <v>0</v>
      </c>
      <c r="O183" s="181">
        <v>0</v>
      </c>
      <c r="P183" s="181">
        <v>0</v>
      </c>
      <c r="Q183" s="181">
        <v>0</v>
      </c>
      <c r="R183" s="181">
        <v>0</v>
      </c>
      <c r="S183" s="181">
        <v>1</v>
      </c>
      <c r="T183" s="181">
        <v>1</v>
      </c>
      <c r="U183" s="181">
        <v>0</v>
      </c>
      <c r="V183" s="181">
        <v>0</v>
      </c>
      <c r="W183" s="181">
        <v>0</v>
      </c>
      <c r="X183" s="181">
        <v>1</v>
      </c>
      <c r="Y183" s="181">
        <v>0</v>
      </c>
      <c r="Z183" s="181">
        <v>0</v>
      </c>
      <c r="AA183" s="181">
        <v>0</v>
      </c>
      <c r="AB183" s="181">
        <v>0</v>
      </c>
      <c r="AC183" s="181">
        <v>0</v>
      </c>
      <c r="AD183" s="181">
        <v>0</v>
      </c>
      <c r="AE183" s="181">
        <v>0</v>
      </c>
      <c r="AF183" s="251">
        <v>0</v>
      </c>
      <c r="AG183" s="182">
        <f t="shared" si="30"/>
        <v>4</v>
      </c>
      <c r="AI183">
        <v>0</v>
      </c>
    </row>
    <row r="184" spans="1:35" ht="15.75" customHeight="1" x14ac:dyDescent="0.25">
      <c r="A184" s="183" t="s">
        <v>51</v>
      </c>
      <c r="B184" s="184">
        <v>4</v>
      </c>
      <c r="C184" s="185">
        <v>6</v>
      </c>
      <c r="D184" s="185">
        <v>3</v>
      </c>
      <c r="E184" s="185">
        <v>2</v>
      </c>
      <c r="F184" s="185">
        <v>2</v>
      </c>
      <c r="G184" s="185">
        <v>3</v>
      </c>
      <c r="H184" s="185">
        <v>5</v>
      </c>
      <c r="I184" s="185">
        <v>1</v>
      </c>
      <c r="J184" s="185">
        <v>3</v>
      </c>
      <c r="K184" s="185">
        <v>5</v>
      </c>
      <c r="L184" s="185">
        <v>0</v>
      </c>
      <c r="M184" s="185">
        <v>6</v>
      </c>
      <c r="N184" s="185">
        <v>3</v>
      </c>
      <c r="O184" s="185">
        <v>3</v>
      </c>
      <c r="P184" s="185">
        <v>7</v>
      </c>
      <c r="Q184" s="185">
        <v>3</v>
      </c>
      <c r="R184" s="185">
        <v>4</v>
      </c>
      <c r="S184" s="185">
        <v>4</v>
      </c>
      <c r="T184" s="185">
        <v>4</v>
      </c>
      <c r="U184" s="185">
        <v>1</v>
      </c>
      <c r="V184" s="185">
        <v>1</v>
      </c>
      <c r="W184" s="185">
        <v>3</v>
      </c>
      <c r="X184" s="185">
        <v>4</v>
      </c>
      <c r="Y184" s="185">
        <v>5</v>
      </c>
      <c r="Z184" s="185">
        <v>1</v>
      </c>
      <c r="AA184" s="185">
        <v>4</v>
      </c>
      <c r="AB184" s="185">
        <v>3</v>
      </c>
      <c r="AC184" s="185">
        <v>6</v>
      </c>
      <c r="AD184" s="185">
        <v>1</v>
      </c>
      <c r="AE184" s="185">
        <v>8</v>
      </c>
      <c r="AF184" s="252">
        <v>3</v>
      </c>
      <c r="AG184" s="186">
        <f t="shared" si="30"/>
        <v>108</v>
      </c>
      <c r="AI184">
        <v>6</v>
      </c>
    </row>
    <row r="185" spans="1:35" ht="15.75" customHeight="1" x14ac:dyDescent="0.25">
      <c r="A185" s="183" t="s">
        <v>52</v>
      </c>
      <c r="B185" s="184">
        <v>28</v>
      </c>
      <c r="C185" s="185">
        <v>46</v>
      </c>
      <c r="D185" s="185">
        <v>40</v>
      </c>
      <c r="E185" s="185">
        <v>26</v>
      </c>
      <c r="F185" s="185">
        <v>30</v>
      </c>
      <c r="G185" s="185">
        <v>41</v>
      </c>
      <c r="H185" s="185">
        <v>45</v>
      </c>
      <c r="I185" s="185">
        <v>30</v>
      </c>
      <c r="J185" s="185">
        <v>30</v>
      </c>
      <c r="K185" s="185">
        <v>42</v>
      </c>
      <c r="L185" s="185">
        <v>41</v>
      </c>
      <c r="M185" s="185">
        <v>48</v>
      </c>
      <c r="N185" s="185">
        <v>45</v>
      </c>
      <c r="O185" s="185">
        <v>32</v>
      </c>
      <c r="P185" s="185">
        <v>44</v>
      </c>
      <c r="Q185" s="185">
        <v>52</v>
      </c>
      <c r="R185" s="185">
        <v>41</v>
      </c>
      <c r="S185" s="185">
        <v>37</v>
      </c>
      <c r="T185" s="185">
        <v>37</v>
      </c>
      <c r="U185" s="185">
        <v>34</v>
      </c>
      <c r="V185" s="185">
        <v>43</v>
      </c>
      <c r="W185" s="185">
        <v>43</v>
      </c>
      <c r="X185" s="185">
        <v>56</v>
      </c>
      <c r="Y185" s="185">
        <v>35</v>
      </c>
      <c r="Z185" s="185">
        <v>29</v>
      </c>
      <c r="AA185" s="185">
        <v>38</v>
      </c>
      <c r="AB185" s="185">
        <v>36</v>
      </c>
      <c r="AC185" s="185">
        <v>31</v>
      </c>
      <c r="AD185" s="185">
        <v>30</v>
      </c>
      <c r="AE185" s="185">
        <v>37</v>
      </c>
      <c r="AF185" s="252">
        <v>36</v>
      </c>
      <c r="AG185" s="186">
        <f t="shared" si="30"/>
        <v>1183</v>
      </c>
      <c r="AI185">
        <v>46</v>
      </c>
    </row>
    <row r="186" spans="1:35" ht="15.75" customHeight="1" x14ac:dyDescent="0.25">
      <c r="A186" s="183" t="s">
        <v>53</v>
      </c>
      <c r="B186" s="184">
        <v>143</v>
      </c>
      <c r="C186" s="185">
        <v>152</v>
      </c>
      <c r="D186" s="185">
        <v>133</v>
      </c>
      <c r="E186" s="185">
        <v>115</v>
      </c>
      <c r="F186" s="185">
        <v>108</v>
      </c>
      <c r="G186" s="185">
        <v>98</v>
      </c>
      <c r="H186" s="185">
        <v>141</v>
      </c>
      <c r="I186" s="185">
        <v>148</v>
      </c>
      <c r="J186" s="185">
        <v>145</v>
      </c>
      <c r="K186" s="185">
        <v>118</v>
      </c>
      <c r="L186" s="185">
        <v>150</v>
      </c>
      <c r="M186" s="185">
        <v>115</v>
      </c>
      <c r="N186" s="185">
        <v>123</v>
      </c>
      <c r="O186" s="185">
        <v>126</v>
      </c>
      <c r="P186" s="185">
        <v>155</v>
      </c>
      <c r="Q186" s="185">
        <v>137</v>
      </c>
      <c r="R186" s="185">
        <v>171</v>
      </c>
      <c r="S186" s="185">
        <v>134</v>
      </c>
      <c r="T186" s="185">
        <v>135</v>
      </c>
      <c r="U186" s="185">
        <v>146</v>
      </c>
      <c r="V186" s="185">
        <v>120</v>
      </c>
      <c r="W186" s="185">
        <v>151</v>
      </c>
      <c r="X186" s="185">
        <v>117</v>
      </c>
      <c r="Y186" s="185">
        <v>151</v>
      </c>
      <c r="Z186" s="185">
        <v>163</v>
      </c>
      <c r="AA186" s="185">
        <v>137</v>
      </c>
      <c r="AB186" s="185">
        <v>155</v>
      </c>
      <c r="AC186" s="185">
        <v>138</v>
      </c>
      <c r="AD186" s="185">
        <v>119</v>
      </c>
      <c r="AE186" s="185">
        <v>149</v>
      </c>
      <c r="AF186" s="252">
        <v>136</v>
      </c>
      <c r="AG186" s="186">
        <f t="shared" si="30"/>
        <v>4229</v>
      </c>
      <c r="AI186">
        <v>152</v>
      </c>
    </row>
    <row r="187" spans="1:35" ht="15.75" customHeight="1" thickBot="1" x14ac:dyDescent="0.3">
      <c r="A187" s="187" t="s">
        <v>54</v>
      </c>
      <c r="B187" s="188">
        <v>66</v>
      </c>
      <c r="C187" s="189">
        <v>39</v>
      </c>
      <c r="D187" s="189">
        <v>58</v>
      </c>
      <c r="E187" s="189">
        <v>40</v>
      </c>
      <c r="F187" s="189">
        <v>55</v>
      </c>
      <c r="G187" s="189">
        <v>37</v>
      </c>
      <c r="H187" s="189">
        <v>57</v>
      </c>
      <c r="I187" s="189">
        <v>44</v>
      </c>
      <c r="J187" s="189">
        <v>63</v>
      </c>
      <c r="K187" s="189">
        <v>57</v>
      </c>
      <c r="L187" s="189">
        <v>60</v>
      </c>
      <c r="M187" s="189">
        <v>27</v>
      </c>
      <c r="N187" s="189">
        <v>31</v>
      </c>
      <c r="O187" s="189">
        <v>81</v>
      </c>
      <c r="P187" s="189">
        <v>29</v>
      </c>
      <c r="Q187" s="189">
        <v>19</v>
      </c>
      <c r="R187" s="189">
        <v>57</v>
      </c>
      <c r="S187" s="189">
        <v>30</v>
      </c>
      <c r="T187" s="189">
        <v>33</v>
      </c>
      <c r="U187" s="189">
        <v>33</v>
      </c>
      <c r="V187" s="189">
        <v>51</v>
      </c>
      <c r="W187" s="189">
        <v>46</v>
      </c>
      <c r="X187" s="189">
        <v>29</v>
      </c>
      <c r="Y187" s="189">
        <v>57</v>
      </c>
      <c r="Z187" s="189">
        <v>49</v>
      </c>
      <c r="AA187" s="189">
        <v>50</v>
      </c>
      <c r="AB187" s="189">
        <v>71</v>
      </c>
      <c r="AC187" s="189">
        <v>44</v>
      </c>
      <c r="AD187" s="189">
        <v>73</v>
      </c>
      <c r="AE187" s="189">
        <v>31</v>
      </c>
      <c r="AF187" s="253">
        <v>40</v>
      </c>
      <c r="AG187" s="190">
        <f t="shared" si="30"/>
        <v>1457</v>
      </c>
      <c r="AI187">
        <v>39</v>
      </c>
    </row>
    <row r="188" spans="1:35" ht="15.75" customHeight="1" thickBot="1" x14ac:dyDescent="0.3">
      <c r="A188" s="113" t="s">
        <v>150</v>
      </c>
      <c r="B188" s="114">
        <f t="shared" ref="B188:AF188" si="32">SUM(B189:B191)</f>
        <v>0</v>
      </c>
      <c r="C188" s="115">
        <v>0</v>
      </c>
      <c r="D188" s="115">
        <f t="shared" si="32"/>
        <v>0</v>
      </c>
      <c r="E188" s="115">
        <f t="shared" si="32"/>
        <v>0</v>
      </c>
      <c r="F188" s="115">
        <f t="shared" si="32"/>
        <v>0</v>
      </c>
      <c r="G188" s="115">
        <f t="shared" si="32"/>
        <v>0</v>
      </c>
      <c r="H188" s="115">
        <f t="shared" si="32"/>
        <v>0</v>
      </c>
      <c r="I188" s="115">
        <f t="shared" si="32"/>
        <v>0</v>
      </c>
      <c r="J188" s="115">
        <f t="shared" si="32"/>
        <v>0</v>
      </c>
      <c r="K188" s="115">
        <f t="shared" si="32"/>
        <v>0</v>
      </c>
      <c r="L188" s="115">
        <f t="shared" si="32"/>
        <v>0</v>
      </c>
      <c r="M188" s="115">
        <f t="shared" si="32"/>
        <v>0</v>
      </c>
      <c r="N188" s="115">
        <f t="shared" si="32"/>
        <v>0</v>
      </c>
      <c r="O188" s="115">
        <f t="shared" si="32"/>
        <v>0</v>
      </c>
      <c r="P188" s="115">
        <f t="shared" si="32"/>
        <v>0</v>
      </c>
      <c r="Q188" s="115">
        <f t="shared" si="32"/>
        <v>0</v>
      </c>
      <c r="R188" s="115">
        <f t="shared" si="32"/>
        <v>0</v>
      </c>
      <c r="S188" s="115">
        <f t="shared" si="32"/>
        <v>0</v>
      </c>
      <c r="T188" s="115">
        <f t="shared" si="32"/>
        <v>0</v>
      </c>
      <c r="U188" s="115">
        <f t="shared" si="32"/>
        <v>0</v>
      </c>
      <c r="V188" s="115">
        <f t="shared" si="32"/>
        <v>0</v>
      </c>
      <c r="W188" s="115">
        <f t="shared" si="32"/>
        <v>0</v>
      </c>
      <c r="X188" s="115">
        <f t="shared" si="32"/>
        <v>0</v>
      </c>
      <c r="Y188" s="115">
        <f t="shared" si="32"/>
        <v>0</v>
      </c>
      <c r="Z188" s="115">
        <f t="shared" si="32"/>
        <v>0</v>
      </c>
      <c r="AA188" s="115">
        <f t="shared" si="32"/>
        <v>0</v>
      </c>
      <c r="AB188" s="115">
        <f t="shared" si="32"/>
        <v>0</v>
      </c>
      <c r="AC188" s="115">
        <f t="shared" si="32"/>
        <v>0</v>
      </c>
      <c r="AD188" s="115">
        <f t="shared" si="32"/>
        <v>0</v>
      </c>
      <c r="AE188" s="115">
        <f t="shared" si="32"/>
        <v>0</v>
      </c>
      <c r="AF188" s="234">
        <f t="shared" si="32"/>
        <v>0</v>
      </c>
      <c r="AG188" s="116">
        <f t="shared" si="30"/>
        <v>0</v>
      </c>
      <c r="AI188">
        <v>0</v>
      </c>
    </row>
    <row r="189" spans="1:35" ht="15.75" customHeight="1" x14ac:dyDescent="0.25">
      <c r="A189" s="191" t="s">
        <v>151</v>
      </c>
      <c r="B189" s="192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  <c r="AB189" s="193"/>
      <c r="AC189" s="193"/>
      <c r="AD189" s="193"/>
      <c r="AE189" s="193"/>
      <c r="AF189" s="254"/>
      <c r="AG189" s="194">
        <f t="shared" si="30"/>
        <v>0</v>
      </c>
    </row>
    <row r="190" spans="1:35" ht="15.75" customHeight="1" x14ac:dyDescent="0.25">
      <c r="A190" s="195" t="s">
        <v>152</v>
      </c>
      <c r="B190" s="196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255"/>
      <c r="AG190" s="164">
        <f t="shared" si="30"/>
        <v>0</v>
      </c>
    </row>
    <row r="191" spans="1:35" ht="15.75" customHeight="1" thickBot="1" x14ac:dyDescent="0.3">
      <c r="A191" s="195" t="s">
        <v>153</v>
      </c>
      <c r="B191" s="196"/>
      <c r="C191" s="197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255"/>
      <c r="AG191" s="164">
        <f t="shared" si="30"/>
        <v>0</v>
      </c>
    </row>
    <row r="192" spans="1:35" ht="15.75" customHeight="1" thickBot="1" x14ac:dyDescent="0.3">
      <c r="A192" s="88" t="s">
        <v>154</v>
      </c>
      <c r="B192" s="89">
        <f t="shared" ref="B192:AF192" si="33">SUM(B193:B195)</f>
        <v>0</v>
      </c>
      <c r="C192" s="90"/>
      <c r="D192" s="90">
        <f t="shared" si="33"/>
        <v>0</v>
      </c>
      <c r="E192" s="90">
        <f t="shared" si="33"/>
        <v>0</v>
      </c>
      <c r="F192" s="90">
        <f t="shared" si="33"/>
        <v>0</v>
      </c>
      <c r="G192" s="90">
        <f t="shared" si="33"/>
        <v>0</v>
      </c>
      <c r="H192" s="90">
        <f t="shared" si="33"/>
        <v>0</v>
      </c>
      <c r="I192" s="90">
        <f t="shared" si="33"/>
        <v>0</v>
      </c>
      <c r="J192" s="90">
        <f t="shared" si="33"/>
        <v>0</v>
      </c>
      <c r="K192" s="90">
        <f t="shared" si="33"/>
        <v>0</v>
      </c>
      <c r="L192" s="90">
        <f t="shared" si="33"/>
        <v>0</v>
      </c>
      <c r="M192" s="90">
        <f t="shared" si="33"/>
        <v>0</v>
      </c>
      <c r="N192" s="90">
        <f t="shared" si="33"/>
        <v>0</v>
      </c>
      <c r="O192" s="90">
        <f t="shared" si="33"/>
        <v>0</v>
      </c>
      <c r="P192" s="90">
        <f t="shared" si="33"/>
        <v>0</v>
      </c>
      <c r="Q192" s="90">
        <f t="shared" si="33"/>
        <v>0</v>
      </c>
      <c r="R192" s="90">
        <f t="shared" si="33"/>
        <v>0</v>
      </c>
      <c r="S192" s="90">
        <f t="shared" si="33"/>
        <v>0</v>
      </c>
      <c r="T192" s="90">
        <f t="shared" si="33"/>
        <v>0</v>
      </c>
      <c r="U192" s="90">
        <f t="shared" si="33"/>
        <v>0</v>
      </c>
      <c r="V192" s="90">
        <f t="shared" si="33"/>
        <v>0</v>
      </c>
      <c r="W192" s="90">
        <f t="shared" si="33"/>
        <v>0</v>
      </c>
      <c r="X192" s="90">
        <f t="shared" si="33"/>
        <v>0</v>
      </c>
      <c r="Y192" s="90">
        <f t="shared" si="33"/>
        <v>0</v>
      </c>
      <c r="Z192" s="90">
        <f t="shared" si="33"/>
        <v>0</v>
      </c>
      <c r="AA192" s="90">
        <f t="shared" si="33"/>
        <v>0</v>
      </c>
      <c r="AB192" s="90">
        <f t="shared" si="33"/>
        <v>0</v>
      </c>
      <c r="AC192" s="90">
        <f t="shared" si="33"/>
        <v>0</v>
      </c>
      <c r="AD192" s="90">
        <f t="shared" si="33"/>
        <v>0</v>
      </c>
      <c r="AE192" s="90">
        <f t="shared" si="33"/>
        <v>0</v>
      </c>
      <c r="AF192" s="90">
        <f t="shared" si="33"/>
        <v>0</v>
      </c>
      <c r="AG192" s="91">
        <f t="shared" si="30"/>
        <v>0</v>
      </c>
      <c r="AI192">
        <v>0</v>
      </c>
    </row>
    <row r="193" spans="1:35" ht="15.75" customHeight="1" x14ac:dyDescent="0.25">
      <c r="A193" s="198" t="s">
        <v>155</v>
      </c>
      <c r="B193" s="199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  <c r="AB193" s="200"/>
      <c r="AC193" s="200"/>
      <c r="AD193" s="200"/>
      <c r="AE193" s="200"/>
      <c r="AF193" s="200"/>
      <c r="AG193" s="201">
        <f t="shared" si="30"/>
        <v>0</v>
      </c>
    </row>
    <row r="194" spans="1:35" ht="15.75" customHeight="1" x14ac:dyDescent="0.25">
      <c r="A194" s="202" t="s">
        <v>156</v>
      </c>
      <c r="B194" s="120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2">
        <f t="shared" si="30"/>
        <v>0</v>
      </c>
    </row>
    <row r="195" spans="1:35" ht="15.75" customHeight="1" thickBot="1" x14ac:dyDescent="0.3">
      <c r="A195" s="74" t="s">
        <v>157</v>
      </c>
      <c r="B195" s="75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112">
        <f t="shared" ref="AG195:AG199" si="34">SUM(B195:AF195)</f>
        <v>0</v>
      </c>
    </row>
    <row r="196" spans="1:35" ht="15.75" customHeight="1" x14ac:dyDescent="0.25">
      <c r="A196" s="203" t="s">
        <v>158</v>
      </c>
      <c r="B196" s="85">
        <f t="shared" ref="B196:AF196" si="35">SUM(B197:B199)</f>
        <v>0</v>
      </c>
      <c r="C196" s="86"/>
      <c r="D196" s="86">
        <f t="shared" si="35"/>
        <v>0</v>
      </c>
      <c r="E196" s="86">
        <f t="shared" si="35"/>
        <v>0</v>
      </c>
      <c r="F196" s="86">
        <f t="shared" si="35"/>
        <v>0</v>
      </c>
      <c r="G196" s="86">
        <f t="shared" si="35"/>
        <v>0</v>
      </c>
      <c r="H196" s="86">
        <f t="shared" si="35"/>
        <v>0</v>
      </c>
      <c r="I196" s="86">
        <f t="shared" si="35"/>
        <v>0</v>
      </c>
      <c r="J196" s="86">
        <f t="shared" si="35"/>
        <v>0</v>
      </c>
      <c r="K196" s="86">
        <f t="shared" si="35"/>
        <v>0</v>
      </c>
      <c r="L196" s="86">
        <f t="shared" si="35"/>
        <v>0</v>
      </c>
      <c r="M196" s="86">
        <f t="shared" si="35"/>
        <v>0</v>
      </c>
      <c r="N196" s="86">
        <f t="shared" si="35"/>
        <v>0</v>
      </c>
      <c r="O196" s="86">
        <f t="shared" si="35"/>
        <v>0</v>
      </c>
      <c r="P196" s="86">
        <f t="shared" si="35"/>
        <v>0</v>
      </c>
      <c r="Q196" s="86">
        <f t="shared" si="35"/>
        <v>0</v>
      </c>
      <c r="R196" s="86">
        <f t="shared" si="35"/>
        <v>0</v>
      </c>
      <c r="S196" s="86">
        <f t="shared" si="35"/>
        <v>0</v>
      </c>
      <c r="T196" s="86">
        <f t="shared" si="35"/>
        <v>0</v>
      </c>
      <c r="U196" s="86">
        <f t="shared" si="35"/>
        <v>0</v>
      </c>
      <c r="V196" s="86">
        <f t="shared" si="35"/>
        <v>0</v>
      </c>
      <c r="W196" s="86">
        <f t="shared" si="35"/>
        <v>0</v>
      </c>
      <c r="X196" s="86">
        <f t="shared" si="35"/>
        <v>0</v>
      </c>
      <c r="Y196" s="86">
        <f t="shared" si="35"/>
        <v>0</v>
      </c>
      <c r="Z196" s="86">
        <f t="shared" si="35"/>
        <v>0</v>
      </c>
      <c r="AA196" s="86">
        <f t="shared" si="35"/>
        <v>0</v>
      </c>
      <c r="AB196" s="86">
        <f t="shared" si="35"/>
        <v>0</v>
      </c>
      <c r="AC196" s="86">
        <f t="shared" si="35"/>
        <v>0</v>
      </c>
      <c r="AD196" s="86">
        <f t="shared" si="35"/>
        <v>0</v>
      </c>
      <c r="AE196" s="86">
        <f t="shared" si="35"/>
        <v>0</v>
      </c>
      <c r="AF196" s="86">
        <f t="shared" si="35"/>
        <v>0</v>
      </c>
      <c r="AG196" s="110">
        <f t="shared" si="34"/>
        <v>0</v>
      </c>
      <c r="AH196" s="364" t="s">
        <v>159</v>
      </c>
      <c r="AI196">
        <v>0</v>
      </c>
    </row>
    <row r="197" spans="1:35" ht="15.75" customHeight="1" x14ac:dyDescent="0.25">
      <c r="A197" s="204" t="s">
        <v>160</v>
      </c>
      <c r="B197" s="205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  <c r="N197" s="205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  <c r="Z197" s="256"/>
      <c r="AA197" s="206"/>
      <c r="AB197" s="206"/>
      <c r="AC197" s="206"/>
      <c r="AD197" s="206"/>
      <c r="AE197" s="206"/>
      <c r="AF197" s="257"/>
      <c r="AG197" s="207">
        <f t="shared" si="34"/>
        <v>0</v>
      </c>
      <c r="AH197" s="365"/>
    </row>
    <row r="198" spans="1:35" ht="15.75" customHeight="1" x14ac:dyDescent="0.25">
      <c r="A198" s="204" t="s">
        <v>161</v>
      </c>
      <c r="B198" s="205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  <c r="M198" s="206"/>
      <c r="N198" s="205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  <c r="Z198" s="256"/>
      <c r="AA198" s="206"/>
      <c r="AB198" s="206"/>
      <c r="AC198" s="206"/>
      <c r="AD198" s="206"/>
      <c r="AE198" s="206"/>
      <c r="AF198" s="257"/>
      <c r="AG198" s="207">
        <f t="shared" si="34"/>
        <v>0</v>
      </c>
      <c r="AH198" s="365"/>
    </row>
    <row r="199" spans="1:35" ht="15.75" customHeight="1" thickBot="1" x14ac:dyDescent="0.3">
      <c r="A199" s="208" t="s">
        <v>162</v>
      </c>
      <c r="B199" s="209"/>
      <c r="C199" s="210"/>
      <c r="D199" s="210"/>
      <c r="E199" s="210"/>
      <c r="F199" s="210"/>
      <c r="G199" s="210"/>
      <c r="H199" s="210"/>
      <c r="I199" s="210"/>
      <c r="J199" s="210"/>
      <c r="K199" s="211"/>
      <c r="L199" s="211"/>
      <c r="M199" s="211"/>
      <c r="N199" s="258"/>
      <c r="O199" s="259"/>
      <c r="P199" s="259"/>
      <c r="Q199" s="259"/>
      <c r="R199" s="259"/>
      <c r="S199" s="259"/>
      <c r="T199" s="259"/>
      <c r="U199" s="259"/>
      <c r="V199" s="259"/>
      <c r="W199" s="259"/>
      <c r="X199" s="259"/>
      <c r="Y199" s="259"/>
      <c r="Z199" s="259"/>
      <c r="AA199" s="259"/>
      <c r="AB199" s="259"/>
      <c r="AC199" s="259"/>
      <c r="AD199" s="259"/>
      <c r="AE199" s="259"/>
      <c r="AF199" s="260"/>
      <c r="AG199" s="106">
        <f t="shared" si="34"/>
        <v>0</v>
      </c>
      <c r="AH199" s="366"/>
    </row>
    <row r="200" spans="1:35" ht="15.75" customHeight="1" x14ac:dyDescent="0.25"/>
    <row r="201" spans="1:35" ht="15.75" customHeight="1" x14ac:dyDescent="0.25"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</row>
    <row r="202" spans="1:35" ht="15.75" customHeight="1" x14ac:dyDescent="0.25"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</row>
    <row r="203" spans="1:35" ht="15.75" customHeight="1" x14ac:dyDescent="0.25"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</row>
    <row r="204" spans="1:35" ht="15.75" customHeight="1" x14ac:dyDescent="0.25"/>
    <row r="205" spans="1:35" ht="15.75" customHeight="1" x14ac:dyDescent="0.25"/>
    <row r="206" spans="1:35" ht="15.75" customHeight="1" x14ac:dyDescent="0.25"/>
    <row r="207" spans="1:35" ht="15.75" customHeight="1" x14ac:dyDescent="0.25"/>
    <row r="208" spans="1:35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8.75" customHeight="1" x14ac:dyDescent="0.25"/>
    <row r="220" ht="18.75" customHeight="1" x14ac:dyDescent="0.25"/>
    <row r="221" ht="18.75" customHeight="1" x14ac:dyDescent="0.25"/>
    <row r="222" ht="18.75" customHeight="1" x14ac:dyDescent="0.25"/>
    <row r="223" ht="18.75" customHeight="1" x14ac:dyDescent="0.25"/>
    <row r="224" ht="18.75" customHeight="1" x14ac:dyDescent="0.25"/>
    <row r="225" ht="18.75" customHeight="1" x14ac:dyDescent="0.25"/>
    <row r="226" ht="18.75" customHeight="1" x14ac:dyDescent="0.25"/>
    <row r="227" ht="18.75" customHeight="1" x14ac:dyDescent="0.25"/>
    <row r="228" ht="18.75" customHeight="1" x14ac:dyDescent="0.25"/>
    <row r="229" ht="18.75" customHeight="1" x14ac:dyDescent="0.25"/>
    <row r="230" ht="19.5" customHeight="1" x14ac:dyDescent="0.25"/>
    <row r="231" ht="15.75" customHeight="1" x14ac:dyDescent="0.25"/>
    <row r="232" ht="18.75" customHeight="1" x14ac:dyDescent="0.25"/>
    <row r="233" ht="15.75" customHeight="1" x14ac:dyDescent="0.25"/>
    <row r="234" ht="15.75" customHeight="1" x14ac:dyDescent="0.25"/>
    <row r="235" ht="18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</sheetData>
  <mergeCells count="2">
    <mergeCell ref="A1:AG1"/>
    <mergeCell ref="AH196:AH199"/>
  </mergeCells>
  <conditionalFormatting sqref="B29:AF52">
    <cfRule type="cellIs" dxfId="15" priority="6" operator="lessThan">
      <formula>0</formula>
    </cfRule>
  </conditionalFormatting>
  <conditionalFormatting sqref="D54:D77">
    <cfRule type="cellIs" dxfId="14" priority="10" operator="lessThan">
      <formula>0</formula>
    </cfRule>
  </conditionalFormatting>
  <conditionalFormatting sqref="G54:G77">
    <cfRule type="cellIs" dxfId="13" priority="11" operator="lessThan">
      <formula>0</formula>
    </cfRule>
  </conditionalFormatting>
  <conditionalFormatting sqref="AH81">
    <cfRule type="cellIs" dxfId="12" priority="8" operator="equal">
      <formula>"*"</formula>
    </cfRule>
  </conditionalFormatting>
  <conditionalFormatting sqref="AH84 AH87">
    <cfRule type="cellIs" dxfId="11" priority="7" operator="equal">
      <formula>"*"</formula>
    </cfRule>
  </conditionalFormatting>
  <conditionalFormatting sqref="AH93">
    <cfRule type="cellIs" dxfId="10" priority="2" operator="equal">
      <formula>"*"</formula>
    </cfRule>
  </conditionalFormatting>
  <conditionalFormatting sqref="AH130">
    <cfRule type="cellIs" dxfId="9" priority="4" operator="equal">
      <formula>"*"</formula>
    </cfRule>
  </conditionalFormatting>
  <conditionalFormatting sqref="AH144:AH145">
    <cfRule type="cellIs" dxfId="8" priority="3" operator="equal">
      <formula>"*"</formula>
    </cfRule>
  </conditionalFormatting>
  <conditionalFormatting sqref="AH155">
    <cfRule type="cellIs" dxfId="7" priority="5" operator="equal">
      <formula>"*"</formula>
    </cfRule>
  </conditionalFormatting>
  <conditionalFormatting sqref="AH182">
    <cfRule type="cellIs" dxfId="6" priority="9" operator="equal">
      <formula>"X"</formula>
    </cfRule>
  </conditionalFormatting>
  <dataValidations disablePrompts="1" count="1">
    <dataValidation type="decimal" allowBlank="1" showInputMessage="1" showErrorMessage="1" prompt="ERROR - Por favor ingrese solo Números" sqref="A101:A115 A98:A99" xr:uid="{00000000-0002-0000-0B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AK954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4.42578125" defaultRowHeight="15" x14ac:dyDescent="0.25"/>
  <cols>
    <col min="1" max="1" width="34.7109375" style="271" customWidth="1"/>
    <col min="2" max="2" width="9.7109375" style="271" customWidth="1"/>
    <col min="3" max="32" width="8.28515625" style="271" customWidth="1"/>
    <col min="33" max="33" width="11.140625" style="271" customWidth="1"/>
    <col min="34" max="36" width="14.42578125" style="271"/>
    <col min="37" max="37" width="36.28515625" style="271" bestFit="1" customWidth="1"/>
    <col min="38" max="16384" width="14.42578125" style="271"/>
  </cols>
  <sheetData>
    <row r="1" spans="1:33" ht="21.75" thickBot="1" x14ac:dyDescent="0.3">
      <c r="A1" s="367"/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369"/>
    </row>
    <row r="2" spans="1:33" ht="29.25" thickBot="1" x14ac:dyDescent="0.3">
      <c r="A2" s="272" t="s">
        <v>0</v>
      </c>
      <c r="B2" s="273">
        <v>1</v>
      </c>
      <c r="C2" s="274">
        <f t="shared" ref="C2" si="0">+B2+1</f>
        <v>2</v>
      </c>
      <c r="D2" s="274">
        <f t="shared" ref="D2:F2" si="1">+C2+1</f>
        <v>3</v>
      </c>
      <c r="E2" s="274">
        <f t="shared" ref="E2" si="2">+D2+1</f>
        <v>4</v>
      </c>
      <c r="F2" s="274">
        <f t="shared" si="1"/>
        <v>5</v>
      </c>
      <c r="G2" s="274">
        <f t="shared" ref="G2" si="3">+F2+1</f>
        <v>6</v>
      </c>
      <c r="H2" s="274">
        <f t="shared" ref="H2" si="4">+G2+1</f>
        <v>7</v>
      </c>
      <c r="I2" s="274">
        <f t="shared" ref="I2" si="5">+H2+1</f>
        <v>8</v>
      </c>
      <c r="J2" s="274">
        <f t="shared" ref="J2" si="6">+I2+1</f>
        <v>9</v>
      </c>
      <c r="K2" s="274">
        <f t="shared" ref="K2" si="7">+J2+1</f>
        <v>10</v>
      </c>
      <c r="L2" s="274">
        <f t="shared" ref="L2" si="8">+K2+1</f>
        <v>11</v>
      </c>
      <c r="M2" s="274">
        <f t="shared" ref="M2" si="9">+L2+1</f>
        <v>12</v>
      </c>
      <c r="N2" s="274">
        <f t="shared" ref="N2" si="10">+M2+1</f>
        <v>13</v>
      </c>
      <c r="O2" s="274">
        <f t="shared" ref="O2" si="11">+N2+1</f>
        <v>14</v>
      </c>
      <c r="P2" s="274">
        <f t="shared" ref="P2" si="12">+O2+1</f>
        <v>15</v>
      </c>
      <c r="Q2" s="274">
        <f t="shared" ref="Q2" si="13">+P2+1</f>
        <v>16</v>
      </c>
      <c r="R2" s="274">
        <f t="shared" ref="R2" si="14">+Q2+1</f>
        <v>17</v>
      </c>
      <c r="S2" s="274">
        <f t="shared" ref="S2" si="15">+R2+1</f>
        <v>18</v>
      </c>
      <c r="T2" s="274">
        <f t="shared" ref="T2" si="16">+S2+1</f>
        <v>19</v>
      </c>
      <c r="U2" s="274">
        <f t="shared" ref="U2" si="17">+T2+1</f>
        <v>20</v>
      </c>
      <c r="V2" s="274">
        <f t="shared" ref="V2" si="18">+U2+1</f>
        <v>21</v>
      </c>
      <c r="W2" s="274">
        <f t="shared" ref="W2" si="19">+V2+1</f>
        <v>22</v>
      </c>
      <c r="X2" s="274">
        <f t="shared" ref="X2" si="20">+W2+1</f>
        <v>23</v>
      </c>
      <c r="Y2" s="274">
        <f t="shared" ref="Y2" si="21">+X2+1</f>
        <v>24</v>
      </c>
      <c r="Z2" s="274">
        <f t="shared" ref="Z2" si="22">+Y2+1</f>
        <v>25</v>
      </c>
      <c r="AA2" s="274">
        <f t="shared" ref="AA2" si="23">+Z2+1</f>
        <v>26</v>
      </c>
      <c r="AB2" s="274">
        <f t="shared" ref="AB2" si="24">+AA2+1</f>
        <v>27</v>
      </c>
      <c r="AC2" s="274">
        <f t="shared" ref="AC2" si="25">+AB2+1</f>
        <v>28</v>
      </c>
      <c r="AD2" s="274">
        <f t="shared" ref="AD2" si="26">+AC2+1</f>
        <v>29</v>
      </c>
      <c r="AE2" s="274">
        <f t="shared" ref="AE2" si="27">+AD2+1</f>
        <v>30</v>
      </c>
      <c r="AF2" s="274">
        <f t="shared" ref="AF2" si="28">+AE2+1</f>
        <v>31</v>
      </c>
      <c r="AG2" s="275" t="s">
        <v>13</v>
      </c>
    </row>
    <row r="3" spans="1:33" ht="19.5" thickBot="1" x14ac:dyDescent="0.3">
      <c r="A3" s="276" t="s">
        <v>14</v>
      </c>
      <c r="B3" s="6">
        <f t="shared" ref="B3:AF3" si="29">SUM(B4:B27)</f>
        <v>264</v>
      </c>
      <c r="C3" s="6">
        <f t="shared" ref="C3:AC3" si="30">SUM(C4:C27)</f>
        <v>274</v>
      </c>
      <c r="D3" s="6">
        <f t="shared" ref="D3" si="31">SUM(D4:D27)</f>
        <v>238</v>
      </c>
      <c r="E3" s="6">
        <f t="shared" si="30"/>
        <v>242</v>
      </c>
      <c r="F3" s="6">
        <f t="shared" si="30"/>
        <v>246</v>
      </c>
      <c r="G3" s="6">
        <f t="shared" si="30"/>
        <v>324</v>
      </c>
      <c r="H3" s="6">
        <f t="shared" si="30"/>
        <v>305</v>
      </c>
      <c r="I3" s="6">
        <f t="shared" si="30"/>
        <v>261</v>
      </c>
      <c r="J3" s="6">
        <f t="shared" si="30"/>
        <v>245</v>
      </c>
      <c r="K3" s="6">
        <f t="shared" si="30"/>
        <v>214</v>
      </c>
      <c r="L3" s="6">
        <f t="shared" si="30"/>
        <v>215</v>
      </c>
      <c r="M3" s="6">
        <f t="shared" si="30"/>
        <v>244</v>
      </c>
      <c r="N3" s="6">
        <f t="shared" si="30"/>
        <v>292</v>
      </c>
      <c r="O3" s="6">
        <f t="shared" si="30"/>
        <v>250</v>
      </c>
      <c r="P3" s="6">
        <f t="shared" si="30"/>
        <v>255</v>
      </c>
      <c r="Q3" s="6">
        <f t="shared" si="30"/>
        <v>230</v>
      </c>
      <c r="R3" s="6">
        <f t="shared" si="30"/>
        <v>183</v>
      </c>
      <c r="S3" s="6">
        <f t="shared" si="30"/>
        <v>202</v>
      </c>
      <c r="T3" s="6">
        <f t="shared" si="30"/>
        <v>225</v>
      </c>
      <c r="U3" s="6">
        <f t="shared" si="30"/>
        <v>277</v>
      </c>
      <c r="V3" s="6">
        <f t="shared" si="30"/>
        <v>243</v>
      </c>
      <c r="W3" s="6">
        <f t="shared" si="30"/>
        <v>251</v>
      </c>
      <c r="X3" s="6">
        <f t="shared" si="30"/>
        <v>239</v>
      </c>
      <c r="Y3" s="6">
        <f t="shared" si="30"/>
        <v>223</v>
      </c>
      <c r="Z3" s="6">
        <f t="shared" si="30"/>
        <v>207</v>
      </c>
      <c r="AA3" s="6">
        <f t="shared" si="30"/>
        <v>195</v>
      </c>
      <c r="AB3" s="6">
        <f t="shared" si="30"/>
        <v>292</v>
      </c>
      <c r="AC3" s="6">
        <f t="shared" si="30"/>
        <v>251</v>
      </c>
      <c r="AD3" s="6">
        <f t="shared" si="29"/>
        <v>241</v>
      </c>
      <c r="AE3" s="6">
        <f t="shared" si="29"/>
        <v>220</v>
      </c>
      <c r="AF3" s="6">
        <f t="shared" si="29"/>
        <v>0</v>
      </c>
      <c r="AG3" s="7">
        <f t="shared" ref="AG3:AG66" si="32">SUM(B3:AF3)</f>
        <v>7348</v>
      </c>
    </row>
    <row r="4" spans="1:33" ht="18.75" x14ac:dyDescent="0.25">
      <c r="A4" s="277" t="s">
        <v>15</v>
      </c>
      <c r="B4" s="278">
        <v>8</v>
      </c>
      <c r="C4" s="279">
        <v>15</v>
      </c>
      <c r="D4" s="279">
        <v>14</v>
      </c>
      <c r="E4" s="279">
        <v>11</v>
      </c>
      <c r="F4" s="279">
        <v>14</v>
      </c>
      <c r="G4" s="279">
        <v>21</v>
      </c>
      <c r="H4" s="279">
        <v>24</v>
      </c>
      <c r="I4" s="279">
        <v>21</v>
      </c>
      <c r="J4" s="279">
        <v>11</v>
      </c>
      <c r="K4" s="279">
        <v>15</v>
      </c>
      <c r="L4" s="279">
        <v>11</v>
      </c>
      <c r="M4" s="279">
        <v>9</v>
      </c>
      <c r="N4" s="279">
        <v>18</v>
      </c>
      <c r="O4" s="279">
        <v>12</v>
      </c>
      <c r="P4" s="279">
        <v>18</v>
      </c>
      <c r="Q4" s="279">
        <v>12</v>
      </c>
      <c r="R4" s="279">
        <v>10</v>
      </c>
      <c r="S4" s="279">
        <v>10</v>
      </c>
      <c r="T4" s="279">
        <v>4</v>
      </c>
      <c r="U4" s="279">
        <v>19</v>
      </c>
      <c r="V4" s="279">
        <v>14</v>
      </c>
      <c r="W4" s="279">
        <v>14</v>
      </c>
      <c r="X4" s="279">
        <v>16</v>
      </c>
      <c r="Y4" s="279">
        <v>12</v>
      </c>
      <c r="Z4" s="279">
        <v>6</v>
      </c>
      <c r="AA4" s="279">
        <v>6</v>
      </c>
      <c r="AB4" s="279">
        <v>18</v>
      </c>
      <c r="AC4" s="279">
        <v>11</v>
      </c>
      <c r="AD4" s="279">
        <v>18</v>
      </c>
      <c r="AE4" s="279">
        <v>14</v>
      </c>
      <c r="AF4" s="279"/>
      <c r="AG4" s="11">
        <f t="shared" si="32"/>
        <v>406</v>
      </c>
    </row>
    <row r="5" spans="1:33" ht="18.75" x14ac:dyDescent="0.25">
      <c r="A5" s="280" t="s">
        <v>16</v>
      </c>
      <c r="B5" s="278">
        <v>15</v>
      </c>
      <c r="C5" s="278">
        <v>21</v>
      </c>
      <c r="D5" s="278">
        <v>12</v>
      </c>
      <c r="E5" s="278">
        <v>22</v>
      </c>
      <c r="F5" s="278">
        <v>6</v>
      </c>
      <c r="G5" s="278">
        <v>19</v>
      </c>
      <c r="H5" s="278">
        <v>29</v>
      </c>
      <c r="I5" s="278">
        <v>11</v>
      </c>
      <c r="J5" s="278">
        <v>21</v>
      </c>
      <c r="K5" s="278">
        <v>13</v>
      </c>
      <c r="L5" s="278">
        <v>15</v>
      </c>
      <c r="M5" s="278">
        <v>13</v>
      </c>
      <c r="N5" s="278">
        <v>18</v>
      </c>
      <c r="O5" s="278">
        <v>15</v>
      </c>
      <c r="P5" s="278">
        <v>18</v>
      </c>
      <c r="Q5" s="278">
        <v>16</v>
      </c>
      <c r="R5" s="278">
        <v>8</v>
      </c>
      <c r="S5" s="278">
        <v>13</v>
      </c>
      <c r="T5" s="278">
        <v>12</v>
      </c>
      <c r="U5" s="278">
        <v>10</v>
      </c>
      <c r="V5" s="278">
        <v>12</v>
      </c>
      <c r="W5" s="278">
        <v>13</v>
      </c>
      <c r="X5" s="278">
        <v>12</v>
      </c>
      <c r="Y5" s="278">
        <v>16</v>
      </c>
      <c r="Z5" s="278">
        <v>9</v>
      </c>
      <c r="AA5" s="278">
        <v>4</v>
      </c>
      <c r="AB5" s="278">
        <v>19</v>
      </c>
      <c r="AC5" s="278">
        <v>19</v>
      </c>
      <c r="AD5" s="278">
        <v>20</v>
      </c>
      <c r="AE5" s="278">
        <v>12</v>
      </c>
      <c r="AF5" s="278"/>
      <c r="AG5" s="15">
        <f t="shared" si="32"/>
        <v>443</v>
      </c>
    </row>
    <row r="6" spans="1:33" ht="18.75" x14ac:dyDescent="0.25">
      <c r="A6" s="280" t="s">
        <v>17</v>
      </c>
      <c r="B6" s="278">
        <v>17</v>
      </c>
      <c r="C6" s="278">
        <v>16</v>
      </c>
      <c r="D6" s="278">
        <v>12</v>
      </c>
      <c r="E6" s="278">
        <v>19</v>
      </c>
      <c r="F6" s="278">
        <v>11</v>
      </c>
      <c r="G6" s="278">
        <v>28</v>
      </c>
      <c r="H6" s="278">
        <v>19</v>
      </c>
      <c r="I6" s="278">
        <v>16</v>
      </c>
      <c r="J6" s="278">
        <v>12</v>
      </c>
      <c r="K6" s="278">
        <v>19</v>
      </c>
      <c r="L6" s="278">
        <v>12</v>
      </c>
      <c r="M6" s="278">
        <v>13</v>
      </c>
      <c r="N6" s="278">
        <v>23</v>
      </c>
      <c r="O6" s="278">
        <v>24</v>
      </c>
      <c r="P6" s="278">
        <v>17</v>
      </c>
      <c r="Q6" s="278">
        <v>23</v>
      </c>
      <c r="R6" s="278">
        <v>16</v>
      </c>
      <c r="S6" s="278">
        <v>16</v>
      </c>
      <c r="T6" s="278">
        <v>10</v>
      </c>
      <c r="U6" s="278">
        <v>24</v>
      </c>
      <c r="V6" s="278">
        <v>19</v>
      </c>
      <c r="W6" s="278">
        <v>12</v>
      </c>
      <c r="X6" s="278">
        <v>15</v>
      </c>
      <c r="Y6" s="278">
        <v>15</v>
      </c>
      <c r="Z6" s="278">
        <v>19</v>
      </c>
      <c r="AA6" s="278">
        <v>7</v>
      </c>
      <c r="AB6" s="278">
        <v>21</v>
      </c>
      <c r="AC6" s="278">
        <v>19</v>
      </c>
      <c r="AD6" s="278">
        <v>17</v>
      </c>
      <c r="AE6" s="278">
        <v>16</v>
      </c>
      <c r="AF6" s="278"/>
      <c r="AG6" s="15">
        <f t="shared" si="32"/>
        <v>507</v>
      </c>
    </row>
    <row r="7" spans="1:33" ht="18.75" x14ac:dyDescent="0.25">
      <c r="A7" s="280" t="s">
        <v>18</v>
      </c>
      <c r="B7" s="278">
        <v>27</v>
      </c>
      <c r="C7" s="278">
        <v>12</v>
      </c>
      <c r="D7" s="278">
        <v>20</v>
      </c>
      <c r="E7" s="278">
        <v>17</v>
      </c>
      <c r="F7" s="278">
        <v>15</v>
      </c>
      <c r="G7" s="278">
        <v>19</v>
      </c>
      <c r="H7" s="278">
        <v>24</v>
      </c>
      <c r="I7" s="278">
        <v>15</v>
      </c>
      <c r="J7" s="278">
        <v>9</v>
      </c>
      <c r="K7" s="278">
        <v>16</v>
      </c>
      <c r="L7" s="278">
        <v>15</v>
      </c>
      <c r="M7" s="278">
        <v>17</v>
      </c>
      <c r="N7" s="278">
        <v>17</v>
      </c>
      <c r="O7" s="278">
        <v>11</v>
      </c>
      <c r="P7" s="278">
        <v>25</v>
      </c>
      <c r="Q7" s="278">
        <v>18</v>
      </c>
      <c r="R7" s="278">
        <v>9</v>
      </c>
      <c r="S7" s="278">
        <v>16</v>
      </c>
      <c r="T7" s="278">
        <v>31</v>
      </c>
      <c r="U7" s="278">
        <v>15</v>
      </c>
      <c r="V7" s="278">
        <v>17</v>
      </c>
      <c r="W7" s="278">
        <v>12</v>
      </c>
      <c r="X7" s="278">
        <v>18</v>
      </c>
      <c r="Y7" s="278">
        <v>17</v>
      </c>
      <c r="Z7" s="278">
        <v>14</v>
      </c>
      <c r="AA7" s="278">
        <v>13</v>
      </c>
      <c r="AB7" s="278">
        <v>24</v>
      </c>
      <c r="AC7" s="278">
        <v>13</v>
      </c>
      <c r="AD7" s="278">
        <v>12</v>
      </c>
      <c r="AE7" s="278">
        <v>19</v>
      </c>
      <c r="AF7" s="278"/>
      <c r="AG7" s="15">
        <f t="shared" si="32"/>
        <v>507</v>
      </c>
    </row>
    <row r="8" spans="1:33" ht="18.75" x14ac:dyDescent="0.25">
      <c r="A8" s="280" t="s">
        <v>19</v>
      </c>
      <c r="B8" s="278">
        <v>20</v>
      </c>
      <c r="C8" s="278">
        <v>10</v>
      </c>
      <c r="D8" s="278">
        <v>7</v>
      </c>
      <c r="E8" s="278">
        <v>21</v>
      </c>
      <c r="F8" s="278">
        <v>22</v>
      </c>
      <c r="G8" s="278">
        <v>34</v>
      </c>
      <c r="H8" s="278">
        <v>30</v>
      </c>
      <c r="I8" s="278">
        <v>14</v>
      </c>
      <c r="J8" s="278">
        <v>12</v>
      </c>
      <c r="K8" s="278">
        <v>13</v>
      </c>
      <c r="L8" s="278">
        <v>19</v>
      </c>
      <c r="M8" s="278">
        <v>27</v>
      </c>
      <c r="N8" s="278">
        <v>11</v>
      </c>
      <c r="O8" s="278">
        <v>22</v>
      </c>
      <c r="P8" s="278">
        <v>15</v>
      </c>
      <c r="Q8" s="278">
        <v>14</v>
      </c>
      <c r="R8" s="278">
        <v>17</v>
      </c>
      <c r="S8" s="278">
        <v>13</v>
      </c>
      <c r="T8" s="278">
        <v>16</v>
      </c>
      <c r="U8" s="278">
        <v>22</v>
      </c>
      <c r="V8" s="278">
        <v>13</v>
      </c>
      <c r="W8" s="278">
        <v>18</v>
      </c>
      <c r="X8" s="278">
        <v>22</v>
      </c>
      <c r="Y8" s="278">
        <v>17</v>
      </c>
      <c r="Z8" s="278">
        <v>10</v>
      </c>
      <c r="AA8" s="278">
        <v>20</v>
      </c>
      <c r="AB8" s="278">
        <v>18</v>
      </c>
      <c r="AC8" s="278">
        <v>11</v>
      </c>
      <c r="AD8" s="278">
        <v>14</v>
      </c>
      <c r="AE8" s="278">
        <v>7</v>
      </c>
      <c r="AF8" s="278"/>
      <c r="AG8" s="15">
        <f t="shared" si="32"/>
        <v>509</v>
      </c>
    </row>
    <row r="9" spans="1:33" ht="18.75" x14ac:dyDescent="0.25">
      <c r="A9" s="280" t="s">
        <v>20</v>
      </c>
      <c r="B9" s="278">
        <v>19</v>
      </c>
      <c r="C9" s="278">
        <v>10</v>
      </c>
      <c r="D9" s="278">
        <v>8</v>
      </c>
      <c r="E9" s="278">
        <v>17</v>
      </c>
      <c r="F9" s="278">
        <v>13</v>
      </c>
      <c r="G9" s="278">
        <v>11</v>
      </c>
      <c r="H9" s="278">
        <v>11</v>
      </c>
      <c r="I9" s="278">
        <v>17</v>
      </c>
      <c r="J9" s="278">
        <v>13</v>
      </c>
      <c r="K9" s="278">
        <v>12</v>
      </c>
      <c r="L9" s="278">
        <v>7</v>
      </c>
      <c r="M9" s="278">
        <v>16</v>
      </c>
      <c r="N9" s="278">
        <v>9</v>
      </c>
      <c r="O9" s="278">
        <v>8</v>
      </c>
      <c r="P9" s="278">
        <v>11</v>
      </c>
      <c r="Q9" s="278">
        <v>9</v>
      </c>
      <c r="R9" s="278">
        <v>11</v>
      </c>
      <c r="S9" s="278">
        <v>14</v>
      </c>
      <c r="T9" s="278">
        <v>12</v>
      </c>
      <c r="U9" s="278">
        <v>12</v>
      </c>
      <c r="V9" s="278">
        <v>10</v>
      </c>
      <c r="W9" s="278">
        <v>11</v>
      </c>
      <c r="X9" s="278">
        <v>14</v>
      </c>
      <c r="Y9" s="278">
        <v>13</v>
      </c>
      <c r="Z9" s="278">
        <v>11</v>
      </c>
      <c r="AA9" s="278">
        <v>13</v>
      </c>
      <c r="AB9" s="278">
        <v>17</v>
      </c>
      <c r="AC9" s="278">
        <v>18</v>
      </c>
      <c r="AD9" s="278">
        <v>7</v>
      </c>
      <c r="AE9" s="278">
        <v>11</v>
      </c>
      <c r="AF9" s="278"/>
      <c r="AG9" s="15">
        <f t="shared" si="32"/>
        <v>365</v>
      </c>
    </row>
    <row r="10" spans="1:33" ht="18.75" x14ac:dyDescent="0.25">
      <c r="A10" s="280" t="s">
        <v>21</v>
      </c>
      <c r="B10" s="278">
        <v>12</v>
      </c>
      <c r="C10" s="278">
        <v>9</v>
      </c>
      <c r="D10" s="278">
        <v>9</v>
      </c>
      <c r="E10" s="278">
        <v>16</v>
      </c>
      <c r="F10" s="278">
        <v>20</v>
      </c>
      <c r="G10" s="278">
        <v>22</v>
      </c>
      <c r="H10" s="278">
        <v>23</v>
      </c>
      <c r="I10" s="278">
        <v>15</v>
      </c>
      <c r="J10" s="278">
        <v>14</v>
      </c>
      <c r="K10" s="278">
        <v>11</v>
      </c>
      <c r="L10" s="278">
        <v>10</v>
      </c>
      <c r="M10" s="278">
        <v>18</v>
      </c>
      <c r="N10" s="278">
        <v>13</v>
      </c>
      <c r="O10" s="278">
        <v>20</v>
      </c>
      <c r="P10" s="278">
        <v>17</v>
      </c>
      <c r="Q10" s="278">
        <v>9</v>
      </c>
      <c r="R10" s="278">
        <v>10</v>
      </c>
      <c r="S10" s="278">
        <v>13</v>
      </c>
      <c r="T10" s="278">
        <v>18</v>
      </c>
      <c r="U10" s="278">
        <v>15</v>
      </c>
      <c r="V10" s="278">
        <v>12</v>
      </c>
      <c r="W10" s="278">
        <v>14</v>
      </c>
      <c r="X10" s="278">
        <v>10</v>
      </c>
      <c r="Y10" s="278">
        <v>11</v>
      </c>
      <c r="Z10" s="278">
        <v>11</v>
      </c>
      <c r="AA10" s="278">
        <v>12</v>
      </c>
      <c r="AB10" s="278">
        <v>13</v>
      </c>
      <c r="AC10" s="278">
        <v>15</v>
      </c>
      <c r="AD10" s="278">
        <v>4</v>
      </c>
      <c r="AE10" s="278">
        <v>19</v>
      </c>
      <c r="AF10" s="278"/>
      <c r="AG10" s="15">
        <f t="shared" si="32"/>
        <v>415</v>
      </c>
    </row>
    <row r="11" spans="1:33" ht="18.75" x14ac:dyDescent="0.25">
      <c r="A11" s="280" t="s">
        <v>22</v>
      </c>
      <c r="B11" s="278">
        <v>22</v>
      </c>
      <c r="C11" s="278">
        <v>17</v>
      </c>
      <c r="D11" s="278">
        <v>16</v>
      </c>
      <c r="E11" s="278">
        <v>13</v>
      </c>
      <c r="F11" s="278">
        <v>8</v>
      </c>
      <c r="G11" s="278">
        <v>17</v>
      </c>
      <c r="H11" s="278">
        <v>12</v>
      </c>
      <c r="I11" s="278">
        <v>11</v>
      </c>
      <c r="J11" s="278">
        <v>12</v>
      </c>
      <c r="K11" s="278">
        <v>15</v>
      </c>
      <c r="L11" s="278">
        <v>17</v>
      </c>
      <c r="M11" s="278">
        <v>15</v>
      </c>
      <c r="N11" s="278">
        <v>13</v>
      </c>
      <c r="O11" s="278">
        <v>13</v>
      </c>
      <c r="P11" s="278">
        <v>14</v>
      </c>
      <c r="Q11" s="278">
        <v>16</v>
      </c>
      <c r="R11" s="278">
        <v>11</v>
      </c>
      <c r="S11" s="278">
        <v>13</v>
      </c>
      <c r="T11" s="278">
        <v>13</v>
      </c>
      <c r="U11" s="278">
        <v>8</v>
      </c>
      <c r="V11" s="278">
        <v>20</v>
      </c>
      <c r="W11" s="278">
        <v>19</v>
      </c>
      <c r="X11" s="278">
        <v>15</v>
      </c>
      <c r="Y11" s="278">
        <v>12</v>
      </c>
      <c r="Z11" s="278">
        <v>18</v>
      </c>
      <c r="AA11" s="278">
        <v>15</v>
      </c>
      <c r="AB11" s="278">
        <v>10</v>
      </c>
      <c r="AC11" s="278">
        <v>18</v>
      </c>
      <c r="AD11" s="278">
        <v>11</v>
      </c>
      <c r="AE11" s="278">
        <v>9</v>
      </c>
      <c r="AF11" s="278"/>
      <c r="AG11" s="15">
        <f t="shared" si="32"/>
        <v>423</v>
      </c>
    </row>
    <row r="12" spans="1:33" ht="18.75" x14ac:dyDescent="0.25">
      <c r="A12" s="280" t="s">
        <v>23</v>
      </c>
      <c r="B12" s="278">
        <v>15</v>
      </c>
      <c r="C12" s="278">
        <v>16</v>
      </c>
      <c r="D12" s="278">
        <v>19</v>
      </c>
      <c r="E12" s="278">
        <v>21</v>
      </c>
      <c r="F12" s="278">
        <v>16</v>
      </c>
      <c r="G12" s="278">
        <v>25</v>
      </c>
      <c r="H12" s="278">
        <v>15</v>
      </c>
      <c r="I12" s="278">
        <v>16</v>
      </c>
      <c r="J12" s="278">
        <v>17</v>
      </c>
      <c r="K12" s="278">
        <v>11</v>
      </c>
      <c r="L12" s="278">
        <v>19</v>
      </c>
      <c r="M12" s="278">
        <v>22</v>
      </c>
      <c r="N12" s="278">
        <v>32</v>
      </c>
      <c r="O12" s="278">
        <v>17</v>
      </c>
      <c r="P12" s="278">
        <v>16</v>
      </c>
      <c r="Q12" s="278">
        <v>17</v>
      </c>
      <c r="R12" s="278">
        <v>14</v>
      </c>
      <c r="S12" s="278">
        <v>16</v>
      </c>
      <c r="T12" s="278">
        <v>17</v>
      </c>
      <c r="U12" s="278">
        <v>25</v>
      </c>
      <c r="V12" s="278">
        <v>21</v>
      </c>
      <c r="W12" s="278">
        <v>20</v>
      </c>
      <c r="X12" s="278">
        <v>17</v>
      </c>
      <c r="Y12" s="278">
        <v>10</v>
      </c>
      <c r="Z12" s="278">
        <v>12</v>
      </c>
      <c r="AA12" s="278">
        <v>17</v>
      </c>
      <c r="AB12" s="278">
        <v>18</v>
      </c>
      <c r="AC12" s="278">
        <v>14</v>
      </c>
      <c r="AD12" s="278">
        <v>21</v>
      </c>
      <c r="AE12" s="278">
        <v>13</v>
      </c>
      <c r="AF12" s="278"/>
      <c r="AG12" s="15">
        <f t="shared" si="32"/>
        <v>529</v>
      </c>
    </row>
    <row r="13" spans="1:33" ht="18.75" x14ac:dyDescent="0.25">
      <c r="A13" s="280" t="s">
        <v>24</v>
      </c>
      <c r="B13" s="278">
        <v>15</v>
      </c>
      <c r="C13" s="278">
        <v>22</v>
      </c>
      <c r="D13" s="278">
        <v>21</v>
      </c>
      <c r="E13" s="278">
        <v>18</v>
      </c>
      <c r="F13" s="278">
        <v>21</v>
      </c>
      <c r="G13" s="278">
        <v>27</v>
      </c>
      <c r="H13" s="278">
        <v>26</v>
      </c>
      <c r="I13" s="278">
        <v>24</v>
      </c>
      <c r="J13" s="278">
        <v>15</v>
      </c>
      <c r="K13" s="278">
        <v>15</v>
      </c>
      <c r="L13" s="278">
        <v>12</v>
      </c>
      <c r="M13" s="278">
        <v>11</v>
      </c>
      <c r="N13" s="278">
        <v>20</v>
      </c>
      <c r="O13" s="278">
        <v>18</v>
      </c>
      <c r="P13" s="278">
        <v>16</v>
      </c>
      <c r="Q13" s="278">
        <v>15</v>
      </c>
      <c r="R13" s="278">
        <v>16</v>
      </c>
      <c r="S13" s="278">
        <v>18</v>
      </c>
      <c r="T13" s="278">
        <v>13</v>
      </c>
      <c r="U13" s="278">
        <v>20</v>
      </c>
      <c r="V13" s="278">
        <v>17</v>
      </c>
      <c r="W13" s="278">
        <v>20</v>
      </c>
      <c r="X13" s="278">
        <v>14</v>
      </c>
      <c r="Y13" s="278">
        <v>16</v>
      </c>
      <c r="Z13" s="278">
        <v>17</v>
      </c>
      <c r="AA13" s="278">
        <v>9</v>
      </c>
      <c r="AB13" s="278">
        <v>25</v>
      </c>
      <c r="AC13" s="278">
        <v>25</v>
      </c>
      <c r="AD13" s="278">
        <v>25</v>
      </c>
      <c r="AE13" s="278">
        <v>17</v>
      </c>
      <c r="AF13" s="278"/>
      <c r="AG13" s="15">
        <f t="shared" si="32"/>
        <v>548</v>
      </c>
    </row>
    <row r="14" spans="1:33" ht="18.75" x14ac:dyDescent="0.25">
      <c r="A14" s="280" t="s">
        <v>25</v>
      </c>
      <c r="B14" s="278">
        <v>12</v>
      </c>
      <c r="C14" s="278">
        <v>19</v>
      </c>
      <c r="D14" s="278">
        <v>16</v>
      </c>
      <c r="E14" s="278">
        <v>10</v>
      </c>
      <c r="F14" s="278">
        <v>10</v>
      </c>
      <c r="G14" s="278">
        <v>18</v>
      </c>
      <c r="H14" s="278">
        <v>18</v>
      </c>
      <c r="I14" s="278">
        <v>8</v>
      </c>
      <c r="J14" s="278">
        <v>17</v>
      </c>
      <c r="K14" s="278">
        <v>14</v>
      </c>
      <c r="L14" s="278">
        <v>15</v>
      </c>
      <c r="M14" s="278">
        <v>10</v>
      </c>
      <c r="N14" s="278">
        <v>18</v>
      </c>
      <c r="O14" s="278">
        <v>17</v>
      </c>
      <c r="P14" s="278">
        <v>20</v>
      </c>
      <c r="Q14" s="278">
        <v>11</v>
      </c>
      <c r="R14" s="278">
        <v>12</v>
      </c>
      <c r="S14" s="278">
        <v>12</v>
      </c>
      <c r="T14" s="278">
        <v>9</v>
      </c>
      <c r="U14" s="278">
        <v>16</v>
      </c>
      <c r="V14" s="278">
        <v>14</v>
      </c>
      <c r="W14" s="278">
        <v>9</v>
      </c>
      <c r="X14" s="278">
        <v>10</v>
      </c>
      <c r="Y14" s="278">
        <v>11</v>
      </c>
      <c r="Z14" s="278">
        <v>12</v>
      </c>
      <c r="AA14" s="278">
        <v>12</v>
      </c>
      <c r="AB14" s="278">
        <v>19</v>
      </c>
      <c r="AC14" s="278">
        <v>15</v>
      </c>
      <c r="AD14" s="278">
        <v>14</v>
      </c>
      <c r="AE14" s="278">
        <v>10</v>
      </c>
      <c r="AF14" s="278"/>
      <c r="AG14" s="15">
        <f t="shared" si="32"/>
        <v>408</v>
      </c>
    </row>
    <row r="15" spans="1:33" ht="18.75" x14ac:dyDescent="0.25">
      <c r="A15" s="280" t="s">
        <v>26</v>
      </c>
      <c r="B15" s="278">
        <v>12</v>
      </c>
      <c r="C15" s="278">
        <v>27</v>
      </c>
      <c r="D15" s="278">
        <v>13</v>
      </c>
      <c r="E15" s="278">
        <v>6</v>
      </c>
      <c r="F15" s="278">
        <v>9</v>
      </c>
      <c r="G15" s="278">
        <v>21</v>
      </c>
      <c r="H15" s="278">
        <v>18</v>
      </c>
      <c r="I15" s="278">
        <v>17</v>
      </c>
      <c r="J15" s="278">
        <v>16</v>
      </c>
      <c r="K15" s="278">
        <v>5</v>
      </c>
      <c r="L15" s="278">
        <v>8</v>
      </c>
      <c r="M15" s="278">
        <v>12</v>
      </c>
      <c r="N15" s="278">
        <v>21</v>
      </c>
      <c r="O15" s="278">
        <v>10</v>
      </c>
      <c r="P15" s="278">
        <v>11</v>
      </c>
      <c r="Q15" s="278">
        <v>12</v>
      </c>
      <c r="R15" s="278">
        <v>5</v>
      </c>
      <c r="S15" s="278">
        <v>3</v>
      </c>
      <c r="T15" s="278">
        <v>6</v>
      </c>
      <c r="U15" s="278">
        <v>19</v>
      </c>
      <c r="V15" s="278">
        <v>7</v>
      </c>
      <c r="W15" s="278">
        <v>10</v>
      </c>
      <c r="X15" s="278">
        <v>9</v>
      </c>
      <c r="Y15" s="278">
        <v>14</v>
      </c>
      <c r="Z15" s="278">
        <v>6</v>
      </c>
      <c r="AA15" s="278">
        <v>13</v>
      </c>
      <c r="AB15" s="278">
        <v>23</v>
      </c>
      <c r="AC15" s="278">
        <v>11</v>
      </c>
      <c r="AD15" s="278">
        <v>18</v>
      </c>
      <c r="AE15" s="278">
        <v>10</v>
      </c>
      <c r="AF15" s="278"/>
      <c r="AG15" s="15">
        <f t="shared" si="32"/>
        <v>372</v>
      </c>
    </row>
    <row r="16" spans="1:33" ht="18.75" x14ac:dyDescent="0.25">
      <c r="A16" s="280" t="s">
        <v>27</v>
      </c>
      <c r="B16" s="278">
        <v>15</v>
      </c>
      <c r="C16" s="278">
        <v>22</v>
      </c>
      <c r="D16" s="278">
        <v>12</v>
      </c>
      <c r="E16" s="278">
        <v>10</v>
      </c>
      <c r="F16" s="278">
        <v>15</v>
      </c>
      <c r="G16" s="278">
        <v>17</v>
      </c>
      <c r="H16" s="278">
        <v>13</v>
      </c>
      <c r="I16" s="278">
        <v>13</v>
      </c>
      <c r="J16" s="278">
        <v>14</v>
      </c>
      <c r="K16" s="278">
        <v>9</v>
      </c>
      <c r="L16" s="278">
        <v>9</v>
      </c>
      <c r="M16" s="278">
        <v>12</v>
      </c>
      <c r="N16" s="278">
        <v>15</v>
      </c>
      <c r="O16" s="278">
        <v>18</v>
      </c>
      <c r="P16" s="278">
        <v>20</v>
      </c>
      <c r="Q16" s="278">
        <v>15</v>
      </c>
      <c r="R16" s="278">
        <v>7</v>
      </c>
      <c r="S16" s="278">
        <v>5</v>
      </c>
      <c r="T16" s="278">
        <v>14</v>
      </c>
      <c r="U16" s="278">
        <v>12</v>
      </c>
      <c r="V16" s="278">
        <v>13</v>
      </c>
      <c r="W16" s="278">
        <v>12</v>
      </c>
      <c r="X16" s="278">
        <v>17</v>
      </c>
      <c r="Y16" s="278">
        <v>12</v>
      </c>
      <c r="Z16" s="278">
        <v>11</v>
      </c>
      <c r="AA16" s="278">
        <v>13</v>
      </c>
      <c r="AB16" s="278">
        <v>14</v>
      </c>
      <c r="AC16" s="278">
        <v>12</v>
      </c>
      <c r="AD16" s="278">
        <v>11</v>
      </c>
      <c r="AE16" s="278">
        <v>14</v>
      </c>
      <c r="AF16" s="278"/>
      <c r="AG16" s="15">
        <f t="shared" si="32"/>
        <v>396</v>
      </c>
    </row>
    <row r="17" spans="1:33" ht="18.75" x14ac:dyDescent="0.25">
      <c r="A17" s="280" t="s">
        <v>28</v>
      </c>
      <c r="B17" s="278">
        <v>15</v>
      </c>
      <c r="C17" s="278">
        <v>13</v>
      </c>
      <c r="D17" s="278">
        <v>14</v>
      </c>
      <c r="E17" s="278">
        <v>4</v>
      </c>
      <c r="F17" s="278">
        <v>14</v>
      </c>
      <c r="G17" s="278">
        <v>12</v>
      </c>
      <c r="H17" s="278">
        <v>10</v>
      </c>
      <c r="I17" s="278">
        <v>22</v>
      </c>
      <c r="J17" s="278">
        <v>15</v>
      </c>
      <c r="K17" s="278">
        <v>18</v>
      </c>
      <c r="L17" s="278">
        <v>14</v>
      </c>
      <c r="M17" s="278">
        <v>14</v>
      </c>
      <c r="N17" s="278">
        <v>18</v>
      </c>
      <c r="O17" s="278">
        <v>13</v>
      </c>
      <c r="P17" s="278">
        <v>17</v>
      </c>
      <c r="Q17" s="278">
        <v>11</v>
      </c>
      <c r="R17" s="278">
        <v>6</v>
      </c>
      <c r="S17" s="278">
        <v>9</v>
      </c>
      <c r="T17" s="278">
        <v>11</v>
      </c>
      <c r="U17" s="278">
        <v>17</v>
      </c>
      <c r="V17" s="278">
        <v>13</v>
      </c>
      <c r="W17" s="278">
        <v>20</v>
      </c>
      <c r="X17" s="278">
        <v>6</v>
      </c>
      <c r="Y17" s="278">
        <v>12</v>
      </c>
      <c r="Z17" s="278">
        <v>12</v>
      </c>
      <c r="AA17" s="278">
        <v>7</v>
      </c>
      <c r="AB17" s="278">
        <v>16</v>
      </c>
      <c r="AC17" s="278">
        <v>9</v>
      </c>
      <c r="AD17" s="278">
        <v>15</v>
      </c>
      <c r="AE17" s="278">
        <v>19</v>
      </c>
      <c r="AF17" s="278"/>
      <c r="AG17" s="15">
        <f t="shared" si="32"/>
        <v>396</v>
      </c>
    </row>
    <row r="18" spans="1:33" ht="18.75" x14ac:dyDescent="0.25">
      <c r="A18" s="280" t="s">
        <v>29</v>
      </c>
      <c r="B18" s="278">
        <v>10</v>
      </c>
      <c r="C18" s="278">
        <v>16</v>
      </c>
      <c r="D18" s="278">
        <v>13</v>
      </c>
      <c r="E18" s="278">
        <v>6</v>
      </c>
      <c r="F18" s="278">
        <v>14</v>
      </c>
      <c r="G18" s="278">
        <v>7</v>
      </c>
      <c r="H18" s="278">
        <v>11</v>
      </c>
      <c r="I18" s="278">
        <v>14</v>
      </c>
      <c r="J18" s="278">
        <v>9</v>
      </c>
      <c r="K18" s="278">
        <v>4</v>
      </c>
      <c r="L18" s="278">
        <v>8</v>
      </c>
      <c r="M18" s="278">
        <v>11</v>
      </c>
      <c r="N18" s="278">
        <v>10</v>
      </c>
      <c r="O18" s="278">
        <v>5</v>
      </c>
      <c r="P18" s="278">
        <v>5</v>
      </c>
      <c r="Q18" s="278">
        <v>7</v>
      </c>
      <c r="R18" s="278">
        <v>10</v>
      </c>
      <c r="S18" s="278">
        <v>9</v>
      </c>
      <c r="T18" s="278">
        <v>12</v>
      </c>
      <c r="U18" s="278">
        <v>15</v>
      </c>
      <c r="V18" s="278">
        <v>7</v>
      </c>
      <c r="W18" s="278">
        <v>12</v>
      </c>
      <c r="X18" s="278">
        <v>18</v>
      </c>
      <c r="Y18" s="278">
        <v>13</v>
      </c>
      <c r="Z18" s="278">
        <v>5</v>
      </c>
      <c r="AA18" s="278">
        <v>4</v>
      </c>
      <c r="AB18" s="278">
        <v>11</v>
      </c>
      <c r="AC18" s="278">
        <v>8</v>
      </c>
      <c r="AD18" s="278">
        <v>16</v>
      </c>
      <c r="AE18" s="278">
        <v>8</v>
      </c>
      <c r="AF18" s="278"/>
      <c r="AG18" s="15">
        <f t="shared" si="32"/>
        <v>298</v>
      </c>
    </row>
    <row r="19" spans="1:33" ht="18.75" x14ac:dyDescent="0.25">
      <c r="A19" s="280" t="s">
        <v>30</v>
      </c>
      <c r="B19" s="278">
        <v>7</v>
      </c>
      <c r="C19" s="278">
        <v>2</v>
      </c>
      <c r="D19" s="278">
        <v>6</v>
      </c>
      <c r="E19" s="278">
        <v>10</v>
      </c>
      <c r="F19" s="278">
        <v>10</v>
      </c>
      <c r="G19" s="278">
        <v>5</v>
      </c>
      <c r="H19" s="278">
        <v>7</v>
      </c>
      <c r="I19" s="278">
        <v>9</v>
      </c>
      <c r="J19" s="278">
        <v>17</v>
      </c>
      <c r="K19" s="278">
        <v>4</v>
      </c>
      <c r="L19" s="278">
        <v>7</v>
      </c>
      <c r="M19" s="278">
        <v>5</v>
      </c>
      <c r="N19" s="278">
        <v>9</v>
      </c>
      <c r="O19" s="278">
        <v>4</v>
      </c>
      <c r="P19" s="278">
        <v>2</v>
      </c>
      <c r="Q19" s="278">
        <v>4</v>
      </c>
      <c r="R19" s="278">
        <v>2</v>
      </c>
      <c r="S19" s="278">
        <v>9</v>
      </c>
      <c r="T19" s="278">
        <v>7</v>
      </c>
      <c r="U19" s="278">
        <v>6</v>
      </c>
      <c r="V19" s="278">
        <v>8</v>
      </c>
      <c r="W19" s="278">
        <v>8</v>
      </c>
      <c r="X19" s="278">
        <v>10</v>
      </c>
      <c r="Y19" s="278">
        <v>5</v>
      </c>
      <c r="Z19" s="278">
        <v>6</v>
      </c>
      <c r="AA19" s="278">
        <v>9</v>
      </c>
      <c r="AB19" s="278">
        <v>9</v>
      </c>
      <c r="AC19" s="278">
        <v>12</v>
      </c>
      <c r="AD19" s="278">
        <v>6</v>
      </c>
      <c r="AE19" s="278">
        <v>9</v>
      </c>
      <c r="AF19" s="278"/>
      <c r="AG19" s="15">
        <f t="shared" si="32"/>
        <v>214</v>
      </c>
    </row>
    <row r="20" spans="1:33" ht="18.75" x14ac:dyDescent="0.25">
      <c r="A20" s="280" t="s">
        <v>31</v>
      </c>
      <c r="B20" s="278">
        <v>9</v>
      </c>
      <c r="C20" s="278">
        <v>11</v>
      </c>
      <c r="D20" s="278">
        <v>4</v>
      </c>
      <c r="E20" s="278">
        <v>4</v>
      </c>
      <c r="F20" s="278">
        <v>10</v>
      </c>
      <c r="G20" s="278">
        <v>3</v>
      </c>
      <c r="H20" s="278">
        <v>2</v>
      </c>
      <c r="I20" s="278">
        <v>3</v>
      </c>
      <c r="J20" s="278">
        <v>5</v>
      </c>
      <c r="K20" s="278">
        <v>4</v>
      </c>
      <c r="L20" s="278">
        <v>4</v>
      </c>
      <c r="M20" s="278">
        <v>6</v>
      </c>
      <c r="N20" s="278">
        <v>4</v>
      </c>
      <c r="O20" s="278">
        <v>3</v>
      </c>
      <c r="P20" s="278">
        <v>3</v>
      </c>
      <c r="Q20" s="278">
        <v>2</v>
      </c>
      <c r="R20" s="278">
        <v>6</v>
      </c>
      <c r="S20" s="278">
        <v>2</v>
      </c>
      <c r="T20" s="278">
        <v>4</v>
      </c>
      <c r="U20" s="278">
        <v>1</v>
      </c>
      <c r="V20" s="278">
        <v>6</v>
      </c>
      <c r="W20" s="278">
        <v>6</v>
      </c>
      <c r="X20" s="278">
        <v>3</v>
      </c>
      <c r="Y20" s="278">
        <v>6</v>
      </c>
      <c r="Z20" s="278">
        <v>8</v>
      </c>
      <c r="AA20" s="278">
        <v>6</v>
      </c>
      <c r="AB20" s="278">
        <v>6</v>
      </c>
      <c r="AC20" s="278">
        <v>4</v>
      </c>
      <c r="AD20" s="278">
        <v>6</v>
      </c>
      <c r="AE20" s="278">
        <v>2</v>
      </c>
      <c r="AF20" s="278"/>
      <c r="AG20" s="15">
        <f t="shared" si="32"/>
        <v>143</v>
      </c>
    </row>
    <row r="21" spans="1:33" ht="15.75" customHeight="1" x14ac:dyDescent="0.25">
      <c r="A21" s="280" t="s">
        <v>32</v>
      </c>
      <c r="B21" s="278">
        <v>3</v>
      </c>
      <c r="C21" s="278">
        <v>1</v>
      </c>
      <c r="D21" s="278">
        <v>1</v>
      </c>
      <c r="E21" s="278">
        <v>2</v>
      </c>
      <c r="F21" s="278">
        <v>4</v>
      </c>
      <c r="G21" s="278">
        <v>2</v>
      </c>
      <c r="H21" s="278">
        <v>0</v>
      </c>
      <c r="I21" s="278">
        <v>2</v>
      </c>
      <c r="J21" s="278">
        <v>1</v>
      </c>
      <c r="K21" s="278">
        <v>3</v>
      </c>
      <c r="L21" s="278">
        <v>0</v>
      </c>
      <c r="M21" s="278">
        <v>5</v>
      </c>
      <c r="N21" s="278">
        <v>3</v>
      </c>
      <c r="O21" s="278">
        <v>0</v>
      </c>
      <c r="P21" s="278">
        <v>2</v>
      </c>
      <c r="Q21" s="278">
        <v>3</v>
      </c>
      <c r="R21" s="278">
        <v>3</v>
      </c>
      <c r="S21" s="278">
        <v>1</v>
      </c>
      <c r="T21" s="278">
        <v>4</v>
      </c>
      <c r="U21" s="278">
        <v>3</v>
      </c>
      <c r="V21" s="278">
        <v>3</v>
      </c>
      <c r="W21" s="278">
        <v>3</v>
      </c>
      <c r="X21" s="278">
        <v>4</v>
      </c>
      <c r="Y21" s="278">
        <v>1</v>
      </c>
      <c r="Z21" s="278">
        <v>4</v>
      </c>
      <c r="AA21" s="278">
        <v>4</v>
      </c>
      <c r="AB21" s="278">
        <v>4</v>
      </c>
      <c r="AC21" s="278">
        <v>1</v>
      </c>
      <c r="AD21" s="278">
        <v>0</v>
      </c>
      <c r="AE21" s="278">
        <v>1</v>
      </c>
      <c r="AF21" s="278"/>
      <c r="AG21" s="15">
        <f t="shared" si="32"/>
        <v>68</v>
      </c>
    </row>
    <row r="22" spans="1:33" ht="15.75" customHeight="1" x14ac:dyDescent="0.25">
      <c r="A22" s="280" t="s">
        <v>33</v>
      </c>
      <c r="B22" s="278">
        <v>3</v>
      </c>
      <c r="C22" s="278">
        <v>3</v>
      </c>
      <c r="D22" s="278">
        <v>5</v>
      </c>
      <c r="E22" s="278">
        <v>1</v>
      </c>
      <c r="F22" s="278">
        <v>3</v>
      </c>
      <c r="G22" s="278">
        <v>3</v>
      </c>
      <c r="H22" s="278">
        <v>4</v>
      </c>
      <c r="I22" s="278">
        <v>2</v>
      </c>
      <c r="J22" s="278">
        <v>1</v>
      </c>
      <c r="K22" s="278">
        <v>2</v>
      </c>
      <c r="L22" s="278">
        <v>3</v>
      </c>
      <c r="M22" s="278">
        <v>2</v>
      </c>
      <c r="N22" s="278">
        <v>3</v>
      </c>
      <c r="O22" s="278">
        <v>4</v>
      </c>
      <c r="P22" s="278">
        <v>1</v>
      </c>
      <c r="Q22" s="278">
        <v>3</v>
      </c>
      <c r="R22" s="278">
        <v>2</v>
      </c>
      <c r="S22" s="278">
        <v>2</v>
      </c>
      <c r="T22" s="278">
        <v>2</v>
      </c>
      <c r="U22" s="278">
        <v>3</v>
      </c>
      <c r="V22" s="278">
        <v>2</v>
      </c>
      <c r="W22" s="278">
        <v>4</v>
      </c>
      <c r="X22" s="278">
        <v>2</v>
      </c>
      <c r="Y22" s="278">
        <v>1</v>
      </c>
      <c r="Z22" s="278">
        <v>2</v>
      </c>
      <c r="AA22" s="278">
        <v>1</v>
      </c>
      <c r="AB22" s="278">
        <v>1</v>
      </c>
      <c r="AC22" s="278">
        <v>3</v>
      </c>
      <c r="AD22" s="278">
        <v>0</v>
      </c>
      <c r="AE22" s="278">
        <v>3</v>
      </c>
      <c r="AF22" s="278"/>
      <c r="AG22" s="15">
        <f t="shared" si="32"/>
        <v>71</v>
      </c>
    </row>
    <row r="23" spans="1:33" ht="15.75" customHeight="1" x14ac:dyDescent="0.25">
      <c r="A23" s="280" t="s">
        <v>34</v>
      </c>
      <c r="B23" s="278">
        <v>2</v>
      </c>
      <c r="C23" s="278">
        <v>3</v>
      </c>
      <c r="D23" s="278">
        <v>4</v>
      </c>
      <c r="E23" s="278">
        <v>3</v>
      </c>
      <c r="F23" s="278">
        <v>1</v>
      </c>
      <c r="G23" s="278">
        <v>1</v>
      </c>
      <c r="H23" s="278">
        <v>4</v>
      </c>
      <c r="I23" s="278">
        <v>1</v>
      </c>
      <c r="J23" s="278">
        <v>1</v>
      </c>
      <c r="K23" s="278">
        <v>2</v>
      </c>
      <c r="L23" s="278">
        <v>4</v>
      </c>
      <c r="M23" s="278">
        <v>4</v>
      </c>
      <c r="N23" s="278">
        <v>4</v>
      </c>
      <c r="O23" s="278">
        <v>0</v>
      </c>
      <c r="P23" s="278">
        <v>0</v>
      </c>
      <c r="Q23" s="278">
        <v>2</v>
      </c>
      <c r="R23" s="278">
        <v>3</v>
      </c>
      <c r="S23" s="278">
        <v>0</v>
      </c>
      <c r="T23" s="278">
        <v>1</v>
      </c>
      <c r="U23" s="278">
        <v>2</v>
      </c>
      <c r="V23" s="278">
        <v>2</v>
      </c>
      <c r="W23" s="278">
        <v>1</v>
      </c>
      <c r="X23" s="278">
        <v>1</v>
      </c>
      <c r="Y23" s="278">
        <v>3</v>
      </c>
      <c r="Z23" s="278">
        <v>3</v>
      </c>
      <c r="AA23" s="278">
        <v>1</v>
      </c>
      <c r="AB23" s="278">
        <v>3</v>
      </c>
      <c r="AC23" s="278">
        <v>1</v>
      </c>
      <c r="AD23" s="278">
        <v>0</v>
      </c>
      <c r="AE23" s="278">
        <v>0</v>
      </c>
      <c r="AF23" s="278"/>
      <c r="AG23" s="15">
        <f t="shared" si="32"/>
        <v>57</v>
      </c>
    </row>
    <row r="24" spans="1:33" ht="15.75" customHeight="1" x14ac:dyDescent="0.25">
      <c r="A24" s="280" t="s">
        <v>35</v>
      </c>
      <c r="B24" s="278">
        <v>2</v>
      </c>
      <c r="C24" s="278">
        <v>1</v>
      </c>
      <c r="D24" s="278">
        <v>1</v>
      </c>
      <c r="E24" s="278">
        <v>3</v>
      </c>
      <c r="F24" s="278">
        <v>3</v>
      </c>
      <c r="G24" s="278">
        <v>3</v>
      </c>
      <c r="H24" s="278">
        <v>3</v>
      </c>
      <c r="I24" s="278">
        <v>0</v>
      </c>
      <c r="J24" s="278">
        <v>0</v>
      </c>
      <c r="K24" s="278">
        <v>2</v>
      </c>
      <c r="L24" s="278">
        <v>1</v>
      </c>
      <c r="M24" s="278">
        <v>1</v>
      </c>
      <c r="N24" s="278">
        <v>1</v>
      </c>
      <c r="O24" s="278">
        <v>3</v>
      </c>
      <c r="P24" s="278">
        <v>2</v>
      </c>
      <c r="Q24" s="278">
        <v>0</v>
      </c>
      <c r="R24" s="278">
        <v>3</v>
      </c>
      <c r="S24" s="278">
        <v>0</v>
      </c>
      <c r="T24" s="278">
        <v>2</v>
      </c>
      <c r="U24" s="278">
        <v>3</v>
      </c>
      <c r="V24" s="278">
        <v>1</v>
      </c>
      <c r="W24" s="278">
        <v>2</v>
      </c>
      <c r="X24" s="278">
        <v>0</v>
      </c>
      <c r="Y24" s="278">
        <v>0</v>
      </c>
      <c r="Z24" s="278">
        <v>0</v>
      </c>
      <c r="AA24" s="278">
        <v>2</v>
      </c>
      <c r="AB24" s="278">
        <v>0</v>
      </c>
      <c r="AC24" s="278">
        <v>1</v>
      </c>
      <c r="AD24" s="278">
        <v>1</v>
      </c>
      <c r="AE24" s="278">
        <v>2</v>
      </c>
      <c r="AF24" s="278"/>
      <c r="AG24" s="15">
        <f t="shared" si="32"/>
        <v>43</v>
      </c>
    </row>
    <row r="25" spans="1:33" ht="15.75" customHeight="1" x14ac:dyDescent="0.25">
      <c r="A25" s="280" t="s">
        <v>36</v>
      </c>
      <c r="B25" s="278">
        <v>1</v>
      </c>
      <c r="C25" s="278">
        <v>0</v>
      </c>
      <c r="D25" s="278">
        <v>0</v>
      </c>
      <c r="E25" s="278">
        <v>1</v>
      </c>
      <c r="F25" s="278">
        <v>0</v>
      </c>
      <c r="G25" s="278">
        <v>0</v>
      </c>
      <c r="H25" s="278">
        <v>1</v>
      </c>
      <c r="I25" s="278">
        <v>2</v>
      </c>
      <c r="J25" s="278">
        <v>0</v>
      </c>
      <c r="K25" s="278">
        <v>0</v>
      </c>
      <c r="L25" s="278">
        <v>1</v>
      </c>
      <c r="M25" s="278">
        <v>0</v>
      </c>
      <c r="N25" s="278">
        <v>2</v>
      </c>
      <c r="O25" s="278">
        <v>1</v>
      </c>
      <c r="P25" s="278">
        <v>2</v>
      </c>
      <c r="Q25" s="278">
        <v>1</v>
      </c>
      <c r="R25" s="278">
        <v>0</v>
      </c>
      <c r="S25" s="278">
        <v>2</v>
      </c>
      <c r="T25" s="278">
        <v>1</v>
      </c>
      <c r="U25" s="278">
        <v>1</v>
      </c>
      <c r="V25" s="278">
        <v>3</v>
      </c>
      <c r="W25" s="278">
        <v>2</v>
      </c>
      <c r="X25" s="278">
        <v>0</v>
      </c>
      <c r="Y25" s="278">
        <v>2</v>
      </c>
      <c r="Z25" s="278">
        <v>3</v>
      </c>
      <c r="AA25" s="278">
        <v>2</v>
      </c>
      <c r="AB25" s="278">
        <v>1</v>
      </c>
      <c r="AC25" s="278">
        <v>3</v>
      </c>
      <c r="AD25" s="278">
        <v>0</v>
      </c>
      <c r="AE25" s="278">
        <v>1</v>
      </c>
      <c r="AF25" s="278"/>
      <c r="AG25" s="15">
        <f t="shared" si="32"/>
        <v>33</v>
      </c>
    </row>
    <row r="26" spans="1:33" ht="15.75" customHeight="1" x14ac:dyDescent="0.25">
      <c r="A26" s="280" t="s">
        <v>37</v>
      </c>
      <c r="B26" s="278">
        <v>0</v>
      </c>
      <c r="C26" s="278">
        <v>2</v>
      </c>
      <c r="D26" s="278">
        <v>3</v>
      </c>
      <c r="E26" s="278">
        <v>1</v>
      </c>
      <c r="F26" s="278">
        <v>0</v>
      </c>
      <c r="G26" s="278">
        <v>3</v>
      </c>
      <c r="H26" s="278">
        <v>0</v>
      </c>
      <c r="I26" s="278">
        <v>1</v>
      </c>
      <c r="J26" s="278">
        <v>5</v>
      </c>
      <c r="K26" s="278">
        <v>4</v>
      </c>
      <c r="L26" s="278">
        <v>1</v>
      </c>
      <c r="M26" s="278">
        <v>1</v>
      </c>
      <c r="N26" s="278">
        <v>1</v>
      </c>
      <c r="O26" s="278">
        <v>4</v>
      </c>
      <c r="P26" s="278">
        <v>1</v>
      </c>
      <c r="Q26" s="278">
        <v>2</v>
      </c>
      <c r="R26" s="278">
        <v>0</v>
      </c>
      <c r="S26" s="278">
        <v>0</v>
      </c>
      <c r="T26" s="278">
        <v>0</v>
      </c>
      <c r="U26" s="278">
        <v>1</v>
      </c>
      <c r="V26" s="278">
        <v>1</v>
      </c>
      <c r="W26" s="278">
        <v>4</v>
      </c>
      <c r="X26" s="278">
        <v>3</v>
      </c>
      <c r="Y26" s="278">
        <v>2</v>
      </c>
      <c r="Z26" s="278">
        <v>3</v>
      </c>
      <c r="AA26" s="278">
        <v>0</v>
      </c>
      <c r="AB26" s="278">
        <v>1</v>
      </c>
      <c r="AC26" s="278">
        <v>1</v>
      </c>
      <c r="AD26" s="278">
        <v>2</v>
      </c>
      <c r="AE26" s="278">
        <v>2</v>
      </c>
      <c r="AF26" s="278"/>
      <c r="AG26" s="15">
        <f t="shared" si="32"/>
        <v>49</v>
      </c>
    </row>
    <row r="27" spans="1:33" ht="15.75" customHeight="1" thickBot="1" x14ac:dyDescent="0.3">
      <c r="A27" s="281" t="s">
        <v>38</v>
      </c>
      <c r="B27" s="282">
        <v>3</v>
      </c>
      <c r="C27" s="282">
        <v>6</v>
      </c>
      <c r="D27" s="282">
        <v>8</v>
      </c>
      <c r="E27" s="282">
        <v>6</v>
      </c>
      <c r="F27" s="282">
        <v>7</v>
      </c>
      <c r="G27" s="282">
        <v>6</v>
      </c>
      <c r="H27" s="282">
        <v>1</v>
      </c>
      <c r="I27" s="282">
        <v>7</v>
      </c>
      <c r="J27" s="282">
        <v>8</v>
      </c>
      <c r="K27" s="282">
        <v>3</v>
      </c>
      <c r="L27" s="282">
        <v>3</v>
      </c>
      <c r="M27" s="282">
        <v>0</v>
      </c>
      <c r="N27" s="282">
        <v>9</v>
      </c>
      <c r="O27" s="282">
        <v>8</v>
      </c>
      <c r="P27" s="282">
        <v>2</v>
      </c>
      <c r="Q27" s="282">
        <v>8</v>
      </c>
      <c r="R27" s="282">
        <v>2</v>
      </c>
      <c r="S27" s="282">
        <v>6</v>
      </c>
      <c r="T27" s="282">
        <v>6</v>
      </c>
      <c r="U27" s="282">
        <v>8</v>
      </c>
      <c r="V27" s="282">
        <v>8</v>
      </c>
      <c r="W27" s="282">
        <v>5</v>
      </c>
      <c r="X27" s="282">
        <v>3</v>
      </c>
      <c r="Y27" s="282">
        <v>2</v>
      </c>
      <c r="Z27" s="282">
        <v>5</v>
      </c>
      <c r="AA27" s="282">
        <v>5</v>
      </c>
      <c r="AB27" s="282">
        <v>1</v>
      </c>
      <c r="AC27" s="282">
        <v>7</v>
      </c>
      <c r="AD27" s="282">
        <v>3</v>
      </c>
      <c r="AE27" s="282">
        <v>2</v>
      </c>
      <c r="AF27" s="282"/>
      <c r="AG27" s="15">
        <f t="shared" si="32"/>
        <v>148</v>
      </c>
    </row>
    <row r="28" spans="1:33" ht="15.75" customHeight="1" x14ac:dyDescent="0.25">
      <c r="A28" s="283" t="s">
        <v>39</v>
      </c>
      <c r="B28" s="21">
        <f t="shared" ref="B28:AF28" si="33">SUM(B29:B52)</f>
        <v>258</v>
      </c>
      <c r="C28" s="21">
        <f t="shared" ref="C28:AC28" si="34">SUM(C29:C52)</f>
        <v>186</v>
      </c>
      <c r="D28" s="21">
        <f t="shared" ref="D28" si="35">SUM(D29:D52)</f>
        <v>199</v>
      </c>
      <c r="E28" s="21">
        <f t="shared" si="34"/>
        <v>208</v>
      </c>
      <c r="F28" s="21">
        <f t="shared" si="34"/>
        <v>231</v>
      </c>
      <c r="G28" s="21">
        <f t="shared" si="34"/>
        <v>249</v>
      </c>
      <c r="H28" s="21">
        <f t="shared" si="34"/>
        <v>241</v>
      </c>
      <c r="I28" s="21">
        <f t="shared" si="34"/>
        <v>234</v>
      </c>
      <c r="J28" s="21">
        <f t="shared" si="34"/>
        <v>214</v>
      </c>
      <c r="K28" s="21">
        <f t="shared" si="34"/>
        <v>192</v>
      </c>
      <c r="L28" s="21">
        <f t="shared" si="34"/>
        <v>212</v>
      </c>
      <c r="M28" s="21">
        <f t="shared" si="34"/>
        <v>213</v>
      </c>
      <c r="N28" s="21">
        <f t="shared" si="34"/>
        <v>226</v>
      </c>
      <c r="O28" s="21">
        <f t="shared" si="34"/>
        <v>192</v>
      </c>
      <c r="P28" s="21">
        <f t="shared" si="34"/>
        <v>218</v>
      </c>
      <c r="Q28" s="21">
        <f t="shared" si="34"/>
        <v>205</v>
      </c>
      <c r="R28" s="21">
        <f t="shared" si="34"/>
        <v>173</v>
      </c>
      <c r="S28" s="21">
        <f t="shared" si="34"/>
        <v>180</v>
      </c>
      <c r="T28" s="21">
        <f t="shared" si="34"/>
        <v>192</v>
      </c>
      <c r="U28" s="21">
        <f t="shared" si="34"/>
        <v>203</v>
      </c>
      <c r="V28" s="21">
        <f t="shared" si="34"/>
        <v>177</v>
      </c>
      <c r="W28" s="21">
        <f t="shared" si="34"/>
        <v>197</v>
      </c>
      <c r="X28" s="21">
        <f t="shared" si="34"/>
        <v>189</v>
      </c>
      <c r="Y28" s="21">
        <f t="shared" si="34"/>
        <v>172</v>
      </c>
      <c r="Z28" s="21">
        <f t="shared" si="34"/>
        <v>174</v>
      </c>
      <c r="AA28" s="21">
        <f t="shared" si="34"/>
        <v>173</v>
      </c>
      <c r="AB28" s="21">
        <f t="shared" si="34"/>
        <v>217</v>
      </c>
      <c r="AC28" s="21">
        <f t="shared" si="34"/>
        <v>230</v>
      </c>
      <c r="AD28" s="21">
        <f t="shared" si="33"/>
        <v>219</v>
      </c>
      <c r="AE28" s="21">
        <f t="shared" si="33"/>
        <v>204</v>
      </c>
      <c r="AF28" s="21">
        <f t="shared" si="33"/>
        <v>0</v>
      </c>
      <c r="AG28" s="22">
        <f t="shared" si="32"/>
        <v>6178</v>
      </c>
    </row>
    <row r="29" spans="1:33" ht="15.75" customHeight="1" x14ac:dyDescent="0.25">
      <c r="A29" s="277" t="s">
        <v>15</v>
      </c>
      <c r="B29" s="278">
        <v>8</v>
      </c>
      <c r="C29" s="279">
        <v>6</v>
      </c>
      <c r="D29" s="279">
        <v>5</v>
      </c>
      <c r="E29" s="279">
        <v>8</v>
      </c>
      <c r="F29" s="279">
        <v>8</v>
      </c>
      <c r="G29" s="279">
        <v>11</v>
      </c>
      <c r="H29" s="279">
        <v>11</v>
      </c>
      <c r="I29" s="279">
        <v>6</v>
      </c>
      <c r="J29" s="279">
        <v>6</v>
      </c>
      <c r="K29" s="279">
        <v>6</v>
      </c>
      <c r="L29" s="279">
        <v>9</v>
      </c>
      <c r="M29" s="279">
        <v>4</v>
      </c>
      <c r="N29" s="279">
        <v>6</v>
      </c>
      <c r="O29" s="279">
        <v>8</v>
      </c>
      <c r="P29" s="279">
        <v>5</v>
      </c>
      <c r="Q29" s="279">
        <v>10</v>
      </c>
      <c r="R29" s="279">
        <v>3</v>
      </c>
      <c r="S29" s="279">
        <v>10</v>
      </c>
      <c r="T29" s="279">
        <v>4</v>
      </c>
      <c r="U29" s="279">
        <v>3</v>
      </c>
      <c r="V29" s="279">
        <v>6</v>
      </c>
      <c r="W29" s="279">
        <v>5</v>
      </c>
      <c r="X29" s="279">
        <v>2</v>
      </c>
      <c r="Y29" s="279">
        <v>5</v>
      </c>
      <c r="Z29" s="279">
        <v>8</v>
      </c>
      <c r="AA29" s="279">
        <v>5</v>
      </c>
      <c r="AB29" s="279">
        <v>8</v>
      </c>
      <c r="AC29" s="279">
        <v>13</v>
      </c>
      <c r="AD29" s="278">
        <v>5</v>
      </c>
      <c r="AE29" s="278">
        <v>6</v>
      </c>
      <c r="AF29" s="278"/>
      <c r="AG29" s="15">
        <f t="shared" si="32"/>
        <v>200</v>
      </c>
    </row>
    <row r="30" spans="1:33" ht="15.75" customHeight="1" x14ac:dyDescent="0.25">
      <c r="A30" s="280" t="s">
        <v>16</v>
      </c>
      <c r="B30" s="278">
        <v>11</v>
      </c>
      <c r="C30" s="278">
        <v>6</v>
      </c>
      <c r="D30" s="278">
        <v>7</v>
      </c>
      <c r="E30" s="278">
        <v>8</v>
      </c>
      <c r="F30" s="278">
        <v>10</v>
      </c>
      <c r="G30" s="278">
        <v>13</v>
      </c>
      <c r="H30" s="278">
        <v>11</v>
      </c>
      <c r="I30" s="278">
        <v>7</v>
      </c>
      <c r="J30" s="278">
        <v>7</v>
      </c>
      <c r="K30" s="278">
        <v>12</v>
      </c>
      <c r="L30" s="278">
        <v>10</v>
      </c>
      <c r="M30" s="278">
        <v>10</v>
      </c>
      <c r="N30" s="278">
        <v>16</v>
      </c>
      <c r="O30" s="278">
        <v>6</v>
      </c>
      <c r="P30" s="278">
        <v>17</v>
      </c>
      <c r="Q30" s="278">
        <v>12</v>
      </c>
      <c r="R30" s="278">
        <v>12</v>
      </c>
      <c r="S30" s="278">
        <v>5</v>
      </c>
      <c r="T30" s="278">
        <v>7</v>
      </c>
      <c r="U30" s="278">
        <v>9</v>
      </c>
      <c r="V30" s="278">
        <v>6</v>
      </c>
      <c r="W30" s="278">
        <v>8</v>
      </c>
      <c r="X30" s="278">
        <v>8</v>
      </c>
      <c r="Y30" s="278">
        <v>7</v>
      </c>
      <c r="Z30" s="278">
        <v>5</v>
      </c>
      <c r="AA30" s="278">
        <v>8</v>
      </c>
      <c r="AB30" s="278">
        <v>12</v>
      </c>
      <c r="AC30" s="278">
        <v>10</v>
      </c>
      <c r="AD30" s="278">
        <v>15</v>
      </c>
      <c r="AE30" s="278">
        <v>8</v>
      </c>
      <c r="AF30" s="278"/>
      <c r="AG30" s="15">
        <f t="shared" si="32"/>
        <v>283</v>
      </c>
    </row>
    <row r="31" spans="1:33" ht="15.75" customHeight="1" x14ac:dyDescent="0.25">
      <c r="A31" s="280" t="s">
        <v>17</v>
      </c>
      <c r="B31" s="278">
        <v>20</v>
      </c>
      <c r="C31" s="278">
        <v>8</v>
      </c>
      <c r="D31" s="278">
        <v>7</v>
      </c>
      <c r="E31" s="278">
        <v>12</v>
      </c>
      <c r="F31" s="278">
        <v>7</v>
      </c>
      <c r="G31" s="278">
        <v>13</v>
      </c>
      <c r="H31" s="278">
        <v>13</v>
      </c>
      <c r="I31" s="278">
        <v>8</v>
      </c>
      <c r="J31" s="278">
        <v>3</v>
      </c>
      <c r="K31" s="278">
        <v>6</v>
      </c>
      <c r="L31" s="278">
        <v>16</v>
      </c>
      <c r="M31" s="278">
        <v>9</v>
      </c>
      <c r="N31" s="278">
        <v>9</v>
      </c>
      <c r="O31" s="278">
        <v>10</v>
      </c>
      <c r="P31" s="278">
        <v>9</v>
      </c>
      <c r="Q31" s="278">
        <v>16</v>
      </c>
      <c r="R31" s="278">
        <v>11</v>
      </c>
      <c r="S31" s="278">
        <v>14</v>
      </c>
      <c r="T31" s="278">
        <v>13</v>
      </c>
      <c r="U31" s="278">
        <v>9</v>
      </c>
      <c r="V31" s="278">
        <v>5</v>
      </c>
      <c r="W31" s="278">
        <v>7</v>
      </c>
      <c r="X31" s="278">
        <v>6</v>
      </c>
      <c r="Y31" s="278">
        <v>6</v>
      </c>
      <c r="Z31" s="278">
        <v>9</v>
      </c>
      <c r="AA31" s="278">
        <v>6</v>
      </c>
      <c r="AB31" s="278">
        <v>11</v>
      </c>
      <c r="AC31" s="278">
        <v>13</v>
      </c>
      <c r="AD31" s="278">
        <v>8</v>
      </c>
      <c r="AE31" s="278">
        <v>11</v>
      </c>
      <c r="AF31" s="278"/>
      <c r="AG31" s="15">
        <f t="shared" si="32"/>
        <v>295</v>
      </c>
    </row>
    <row r="32" spans="1:33" ht="15.75" customHeight="1" x14ac:dyDescent="0.25">
      <c r="A32" s="280" t="s">
        <v>18</v>
      </c>
      <c r="B32" s="278">
        <v>24</v>
      </c>
      <c r="C32" s="278">
        <v>5</v>
      </c>
      <c r="D32" s="278">
        <v>7</v>
      </c>
      <c r="E32" s="278">
        <v>10</v>
      </c>
      <c r="F32" s="278">
        <v>13</v>
      </c>
      <c r="G32" s="278">
        <v>11</v>
      </c>
      <c r="H32" s="278">
        <v>11</v>
      </c>
      <c r="I32" s="278">
        <v>6</v>
      </c>
      <c r="J32" s="278">
        <v>7</v>
      </c>
      <c r="K32" s="278">
        <v>8</v>
      </c>
      <c r="L32" s="278">
        <v>12</v>
      </c>
      <c r="M32" s="278">
        <v>11</v>
      </c>
      <c r="N32" s="278">
        <v>12</v>
      </c>
      <c r="O32" s="278">
        <v>9</v>
      </c>
      <c r="P32" s="278">
        <v>12</v>
      </c>
      <c r="Q32" s="278">
        <v>11</v>
      </c>
      <c r="R32" s="278">
        <v>9</v>
      </c>
      <c r="S32" s="278">
        <v>11</v>
      </c>
      <c r="T32" s="278">
        <v>11</v>
      </c>
      <c r="U32" s="278">
        <v>4</v>
      </c>
      <c r="V32" s="278">
        <v>6</v>
      </c>
      <c r="W32" s="278">
        <v>4</v>
      </c>
      <c r="X32" s="278">
        <v>4</v>
      </c>
      <c r="Y32" s="278">
        <v>8</v>
      </c>
      <c r="Z32" s="278">
        <v>9</v>
      </c>
      <c r="AA32" s="278">
        <v>8</v>
      </c>
      <c r="AB32" s="278">
        <v>7</v>
      </c>
      <c r="AC32" s="278">
        <v>19</v>
      </c>
      <c r="AD32" s="278">
        <v>8</v>
      </c>
      <c r="AE32" s="278">
        <v>10</v>
      </c>
      <c r="AF32" s="278"/>
      <c r="AG32" s="15">
        <f t="shared" si="32"/>
        <v>287</v>
      </c>
    </row>
    <row r="33" spans="1:33" ht="15.75" customHeight="1" x14ac:dyDescent="0.25">
      <c r="A33" s="280" t="s">
        <v>19</v>
      </c>
      <c r="B33" s="278">
        <v>9</v>
      </c>
      <c r="C33" s="278">
        <v>3</v>
      </c>
      <c r="D33" s="278">
        <v>4</v>
      </c>
      <c r="E33" s="278">
        <v>16</v>
      </c>
      <c r="F33" s="278">
        <v>16</v>
      </c>
      <c r="G33" s="278">
        <v>10</v>
      </c>
      <c r="H33" s="278">
        <v>9</v>
      </c>
      <c r="I33" s="278">
        <v>10</v>
      </c>
      <c r="J33" s="278">
        <v>6</v>
      </c>
      <c r="K33" s="278">
        <v>8</v>
      </c>
      <c r="L33" s="278">
        <v>22</v>
      </c>
      <c r="M33" s="278">
        <v>9</v>
      </c>
      <c r="N33" s="278">
        <v>8</v>
      </c>
      <c r="O33" s="278">
        <v>9</v>
      </c>
      <c r="P33" s="278">
        <v>8</v>
      </c>
      <c r="Q33" s="278">
        <v>11</v>
      </c>
      <c r="R33" s="278">
        <v>9</v>
      </c>
      <c r="S33" s="278">
        <v>12</v>
      </c>
      <c r="T33" s="278">
        <v>8</v>
      </c>
      <c r="U33" s="278">
        <v>6</v>
      </c>
      <c r="V33" s="278">
        <v>7</v>
      </c>
      <c r="W33" s="278">
        <v>9</v>
      </c>
      <c r="X33" s="278">
        <v>8</v>
      </c>
      <c r="Y33" s="278">
        <v>6</v>
      </c>
      <c r="Z33" s="278">
        <v>12</v>
      </c>
      <c r="AA33" s="278">
        <v>13</v>
      </c>
      <c r="AB33" s="278">
        <v>11</v>
      </c>
      <c r="AC33" s="278">
        <v>10</v>
      </c>
      <c r="AD33" s="278">
        <v>11</v>
      </c>
      <c r="AE33" s="278">
        <v>7</v>
      </c>
      <c r="AF33" s="278"/>
      <c r="AG33" s="15">
        <f t="shared" si="32"/>
        <v>287</v>
      </c>
    </row>
    <row r="34" spans="1:33" ht="15.75" customHeight="1" x14ac:dyDescent="0.25">
      <c r="A34" s="280" t="s">
        <v>20</v>
      </c>
      <c r="B34" s="278">
        <v>10</v>
      </c>
      <c r="C34" s="278">
        <v>2</v>
      </c>
      <c r="D34" s="278">
        <v>9</v>
      </c>
      <c r="E34" s="278">
        <v>13</v>
      </c>
      <c r="F34" s="278">
        <v>13</v>
      </c>
      <c r="G34" s="278">
        <v>3</v>
      </c>
      <c r="H34" s="278">
        <v>8</v>
      </c>
      <c r="I34" s="278">
        <v>10</v>
      </c>
      <c r="J34" s="278">
        <v>5</v>
      </c>
      <c r="K34" s="278">
        <v>6</v>
      </c>
      <c r="L34" s="278">
        <v>4</v>
      </c>
      <c r="M34" s="278">
        <v>17</v>
      </c>
      <c r="N34" s="278">
        <v>16</v>
      </c>
      <c r="O34" s="278">
        <v>4</v>
      </c>
      <c r="P34" s="278">
        <v>8</v>
      </c>
      <c r="Q34" s="278">
        <v>2</v>
      </c>
      <c r="R34" s="278">
        <v>10</v>
      </c>
      <c r="S34" s="278">
        <v>9</v>
      </c>
      <c r="T34" s="278">
        <v>15</v>
      </c>
      <c r="U34" s="278">
        <v>7</v>
      </c>
      <c r="V34" s="278">
        <v>6</v>
      </c>
      <c r="W34" s="278">
        <v>5</v>
      </c>
      <c r="X34" s="278">
        <v>8</v>
      </c>
      <c r="Y34" s="278">
        <v>7</v>
      </c>
      <c r="Z34" s="278">
        <v>11</v>
      </c>
      <c r="AA34" s="278">
        <v>10</v>
      </c>
      <c r="AB34" s="278">
        <v>13</v>
      </c>
      <c r="AC34" s="278">
        <v>12</v>
      </c>
      <c r="AD34" s="278">
        <v>12</v>
      </c>
      <c r="AE34" s="278">
        <v>15</v>
      </c>
      <c r="AF34" s="278"/>
      <c r="AG34" s="15">
        <f t="shared" si="32"/>
        <v>270</v>
      </c>
    </row>
    <row r="35" spans="1:33" ht="15.75" customHeight="1" x14ac:dyDescent="0.25">
      <c r="A35" s="280" t="s">
        <v>21</v>
      </c>
      <c r="B35" s="278">
        <v>17</v>
      </c>
      <c r="C35" s="278">
        <v>6</v>
      </c>
      <c r="D35" s="278">
        <v>11</v>
      </c>
      <c r="E35" s="278">
        <v>10</v>
      </c>
      <c r="F35" s="278">
        <v>7</v>
      </c>
      <c r="G35" s="278">
        <v>12</v>
      </c>
      <c r="H35" s="278">
        <v>12</v>
      </c>
      <c r="I35" s="278">
        <v>14</v>
      </c>
      <c r="J35" s="278">
        <v>8</v>
      </c>
      <c r="K35" s="278">
        <v>8</v>
      </c>
      <c r="L35" s="278">
        <v>12</v>
      </c>
      <c r="M35" s="278">
        <v>10</v>
      </c>
      <c r="N35" s="278">
        <v>10</v>
      </c>
      <c r="O35" s="278">
        <v>8</v>
      </c>
      <c r="P35" s="278">
        <v>10</v>
      </c>
      <c r="Q35" s="278">
        <v>5</v>
      </c>
      <c r="R35" s="278">
        <v>8</v>
      </c>
      <c r="S35" s="278">
        <v>6</v>
      </c>
      <c r="T35" s="278">
        <v>11</v>
      </c>
      <c r="U35" s="278">
        <v>10</v>
      </c>
      <c r="V35" s="278">
        <v>5</v>
      </c>
      <c r="W35" s="278">
        <v>6</v>
      </c>
      <c r="X35" s="278">
        <v>11</v>
      </c>
      <c r="Y35" s="278">
        <v>5</v>
      </c>
      <c r="Z35" s="278">
        <v>10</v>
      </c>
      <c r="AA35" s="278">
        <v>11</v>
      </c>
      <c r="AB35" s="278">
        <v>8</v>
      </c>
      <c r="AC35" s="278">
        <v>13</v>
      </c>
      <c r="AD35" s="278">
        <v>15</v>
      </c>
      <c r="AE35" s="278">
        <v>15</v>
      </c>
      <c r="AF35" s="278"/>
      <c r="AG35" s="15">
        <f t="shared" si="32"/>
        <v>294</v>
      </c>
    </row>
    <row r="36" spans="1:33" ht="15.75" customHeight="1" x14ac:dyDescent="0.25">
      <c r="A36" s="280" t="s">
        <v>22</v>
      </c>
      <c r="B36" s="278">
        <v>22</v>
      </c>
      <c r="C36" s="278">
        <v>11</v>
      </c>
      <c r="D36" s="278">
        <v>7</v>
      </c>
      <c r="E36" s="278">
        <v>10</v>
      </c>
      <c r="F36" s="278">
        <v>13</v>
      </c>
      <c r="G36" s="278">
        <v>13</v>
      </c>
      <c r="H36" s="278">
        <v>12</v>
      </c>
      <c r="I36" s="278">
        <v>16</v>
      </c>
      <c r="J36" s="278">
        <v>12</v>
      </c>
      <c r="K36" s="278">
        <v>12</v>
      </c>
      <c r="L36" s="278">
        <v>11</v>
      </c>
      <c r="M36" s="278">
        <v>8</v>
      </c>
      <c r="N36" s="278">
        <v>10</v>
      </c>
      <c r="O36" s="278">
        <v>6</v>
      </c>
      <c r="P36" s="278">
        <v>9</v>
      </c>
      <c r="Q36" s="278">
        <v>7</v>
      </c>
      <c r="R36" s="278">
        <v>12</v>
      </c>
      <c r="S36" s="278">
        <v>5</v>
      </c>
      <c r="T36" s="278">
        <v>15</v>
      </c>
      <c r="U36" s="278">
        <v>9</v>
      </c>
      <c r="V36" s="278">
        <v>6</v>
      </c>
      <c r="W36" s="278">
        <v>4</v>
      </c>
      <c r="X36" s="278">
        <v>5</v>
      </c>
      <c r="Y36" s="278">
        <v>12</v>
      </c>
      <c r="Z36" s="278">
        <v>11</v>
      </c>
      <c r="AA36" s="278">
        <v>9</v>
      </c>
      <c r="AB36" s="278">
        <v>7</v>
      </c>
      <c r="AC36" s="278">
        <v>9</v>
      </c>
      <c r="AD36" s="278">
        <v>9</v>
      </c>
      <c r="AE36" s="278">
        <v>6</v>
      </c>
      <c r="AF36" s="278"/>
      <c r="AG36" s="15">
        <f t="shared" si="32"/>
        <v>298</v>
      </c>
    </row>
    <row r="37" spans="1:33" ht="15.75" customHeight="1" x14ac:dyDescent="0.25">
      <c r="A37" s="280" t="s">
        <v>23</v>
      </c>
      <c r="B37" s="278">
        <v>22</v>
      </c>
      <c r="C37" s="278">
        <v>6</v>
      </c>
      <c r="D37" s="278">
        <v>5</v>
      </c>
      <c r="E37" s="278">
        <v>10</v>
      </c>
      <c r="F37" s="278">
        <v>17</v>
      </c>
      <c r="G37" s="278">
        <v>8</v>
      </c>
      <c r="H37" s="278">
        <v>13</v>
      </c>
      <c r="I37" s="278">
        <v>14</v>
      </c>
      <c r="J37" s="278">
        <v>8</v>
      </c>
      <c r="K37" s="278">
        <v>14</v>
      </c>
      <c r="L37" s="278">
        <v>20</v>
      </c>
      <c r="M37" s="278">
        <v>9</v>
      </c>
      <c r="N37" s="278">
        <v>16</v>
      </c>
      <c r="O37" s="278">
        <v>9</v>
      </c>
      <c r="P37" s="278">
        <v>6</v>
      </c>
      <c r="Q37" s="278">
        <v>6</v>
      </c>
      <c r="R37" s="278">
        <v>5</v>
      </c>
      <c r="S37" s="278">
        <v>14</v>
      </c>
      <c r="T37" s="278">
        <v>7</v>
      </c>
      <c r="U37" s="278">
        <v>5</v>
      </c>
      <c r="V37" s="278">
        <v>14</v>
      </c>
      <c r="W37" s="278">
        <v>9</v>
      </c>
      <c r="X37" s="278">
        <v>3</v>
      </c>
      <c r="Y37" s="278">
        <v>8</v>
      </c>
      <c r="Z37" s="278">
        <v>7</v>
      </c>
      <c r="AA37" s="278">
        <v>9</v>
      </c>
      <c r="AB37" s="278">
        <v>16</v>
      </c>
      <c r="AC37" s="278">
        <v>9</v>
      </c>
      <c r="AD37" s="278">
        <v>14</v>
      </c>
      <c r="AE37" s="278">
        <v>12</v>
      </c>
      <c r="AF37" s="278"/>
      <c r="AG37" s="15">
        <f t="shared" si="32"/>
        <v>315</v>
      </c>
    </row>
    <row r="38" spans="1:33" ht="15.75" customHeight="1" x14ac:dyDescent="0.25">
      <c r="A38" s="280" t="s">
        <v>24</v>
      </c>
      <c r="B38" s="278">
        <v>21</v>
      </c>
      <c r="C38" s="278">
        <v>6</v>
      </c>
      <c r="D38" s="278">
        <v>7</v>
      </c>
      <c r="E38" s="278">
        <v>13</v>
      </c>
      <c r="F38" s="278">
        <v>7</v>
      </c>
      <c r="G38" s="278">
        <v>17</v>
      </c>
      <c r="H38" s="278">
        <v>9</v>
      </c>
      <c r="I38" s="278">
        <v>8</v>
      </c>
      <c r="J38" s="278">
        <v>12</v>
      </c>
      <c r="K38" s="278">
        <v>7</v>
      </c>
      <c r="L38" s="278">
        <v>13</v>
      </c>
      <c r="M38" s="278">
        <v>12</v>
      </c>
      <c r="N38" s="278">
        <v>8</v>
      </c>
      <c r="O38" s="278">
        <v>7</v>
      </c>
      <c r="P38" s="278">
        <v>12</v>
      </c>
      <c r="Q38" s="278">
        <v>10</v>
      </c>
      <c r="R38" s="278">
        <v>10</v>
      </c>
      <c r="S38" s="278">
        <v>6</v>
      </c>
      <c r="T38" s="278">
        <v>4</v>
      </c>
      <c r="U38" s="278">
        <v>15</v>
      </c>
      <c r="V38" s="278">
        <v>8</v>
      </c>
      <c r="W38" s="278">
        <v>14</v>
      </c>
      <c r="X38" s="278">
        <v>9</v>
      </c>
      <c r="Y38" s="278">
        <v>9</v>
      </c>
      <c r="Z38" s="278">
        <v>12</v>
      </c>
      <c r="AA38" s="278">
        <v>9</v>
      </c>
      <c r="AB38" s="278">
        <v>10</v>
      </c>
      <c r="AC38" s="278">
        <v>10</v>
      </c>
      <c r="AD38" s="278">
        <v>10</v>
      </c>
      <c r="AE38" s="278">
        <v>6</v>
      </c>
      <c r="AF38" s="278"/>
      <c r="AG38" s="15">
        <f t="shared" si="32"/>
        <v>301</v>
      </c>
    </row>
    <row r="39" spans="1:33" ht="15.75" customHeight="1" x14ac:dyDescent="0.25">
      <c r="A39" s="280" t="s">
        <v>25</v>
      </c>
      <c r="B39" s="278">
        <v>15</v>
      </c>
      <c r="C39" s="278">
        <v>11</v>
      </c>
      <c r="D39" s="278">
        <v>15</v>
      </c>
      <c r="E39" s="278">
        <v>14</v>
      </c>
      <c r="F39" s="278">
        <v>22</v>
      </c>
      <c r="G39" s="278">
        <v>18</v>
      </c>
      <c r="H39" s="278">
        <v>14</v>
      </c>
      <c r="I39" s="278">
        <v>12</v>
      </c>
      <c r="J39" s="278">
        <v>16</v>
      </c>
      <c r="K39" s="278">
        <v>18</v>
      </c>
      <c r="L39" s="278">
        <v>15</v>
      </c>
      <c r="M39" s="278">
        <v>17</v>
      </c>
      <c r="N39" s="278">
        <v>9</v>
      </c>
      <c r="O39" s="278">
        <v>14</v>
      </c>
      <c r="P39" s="278">
        <v>21</v>
      </c>
      <c r="Q39" s="278">
        <v>19</v>
      </c>
      <c r="R39" s="278">
        <v>17</v>
      </c>
      <c r="S39" s="278">
        <v>10</v>
      </c>
      <c r="T39" s="278">
        <v>10</v>
      </c>
      <c r="U39" s="278">
        <v>18</v>
      </c>
      <c r="V39" s="278">
        <v>16</v>
      </c>
      <c r="W39" s="278">
        <v>13</v>
      </c>
      <c r="X39" s="278">
        <v>14</v>
      </c>
      <c r="Y39" s="278">
        <v>12</v>
      </c>
      <c r="Z39" s="278">
        <v>5</v>
      </c>
      <c r="AA39" s="278">
        <v>13</v>
      </c>
      <c r="AB39" s="278">
        <v>11</v>
      </c>
      <c r="AC39" s="278">
        <v>15</v>
      </c>
      <c r="AD39" s="278">
        <v>8</v>
      </c>
      <c r="AE39" s="278">
        <v>9</v>
      </c>
      <c r="AF39" s="278"/>
      <c r="AG39" s="15">
        <f t="shared" si="32"/>
        <v>421</v>
      </c>
    </row>
    <row r="40" spans="1:33" ht="15.75" customHeight="1" x14ac:dyDescent="0.25">
      <c r="A40" s="280" t="s">
        <v>26</v>
      </c>
      <c r="B40" s="278">
        <v>12</v>
      </c>
      <c r="C40" s="278">
        <v>16</v>
      </c>
      <c r="D40" s="278">
        <v>19</v>
      </c>
      <c r="E40" s="278">
        <v>11</v>
      </c>
      <c r="F40" s="278">
        <v>12</v>
      </c>
      <c r="G40" s="278">
        <v>18</v>
      </c>
      <c r="H40" s="278">
        <v>19</v>
      </c>
      <c r="I40" s="278">
        <v>24</v>
      </c>
      <c r="J40" s="278">
        <v>25</v>
      </c>
      <c r="K40" s="278">
        <v>20</v>
      </c>
      <c r="L40" s="278">
        <v>12</v>
      </c>
      <c r="M40" s="278">
        <v>22</v>
      </c>
      <c r="N40" s="278">
        <v>10</v>
      </c>
      <c r="O40" s="278">
        <v>15</v>
      </c>
      <c r="P40" s="278">
        <v>25</v>
      </c>
      <c r="Q40" s="278">
        <v>20</v>
      </c>
      <c r="R40" s="278">
        <v>14</v>
      </c>
      <c r="S40" s="278">
        <v>11</v>
      </c>
      <c r="T40" s="278">
        <v>14</v>
      </c>
      <c r="U40" s="278">
        <v>13</v>
      </c>
      <c r="V40" s="278">
        <v>15</v>
      </c>
      <c r="W40" s="278">
        <v>22</v>
      </c>
      <c r="X40" s="278">
        <v>20</v>
      </c>
      <c r="Y40" s="278">
        <v>12</v>
      </c>
      <c r="Z40" s="278">
        <v>5</v>
      </c>
      <c r="AA40" s="278">
        <v>5</v>
      </c>
      <c r="AB40" s="278">
        <v>14</v>
      </c>
      <c r="AC40" s="278">
        <v>15</v>
      </c>
      <c r="AD40" s="278">
        <v>18</v>
      </c>
      <c r="AE40" s="278">
        <v>17</v>
      </c>
      <c r="AF40" s="278"/>
      <c r="AG40" s="15">
        <f t="shared" si="32"/>
        <v>475</v>
      </c>
    </row>
    <row r="41" spans="1:33" ht="15.75" customHeight="1" x14ac:dyDescent="0.25">
      <c r="A41" s="280" t="s">
        <v>27</v>
      </c>
      <c r="B41" s="278">
        <v>12</v>
      </c>
      <c r="C41" s="278">
        <v>13</v>
      </c>
      <c r="D41" s="278">
        <v>23</v>
      </c>
      <c r="E41" s="278">
        <v>11</v>
      </c>
      <c r="F41" s="278">
        <v>21</v>
      </c>
      <c r="G41" s="278">
        <v>20</v>
      </c>
      <c r="H41" s="278">
        <v>21</v>
      </c>
      <c r="I41" s="278">
        <v>22</v>
      </c>
      <c r="J41" s="278">
        <v>24</v>
      </c>
      <c r="K41" s="278">
        <v>16</v>
      </c>
      <c r="L41" s="278">
        <v>12</v>
      </c>
      <c r="M41" s="278">
        <v>12</v>
      </c>
      <c r="N41" s="278">
        <v>14</v>
      </c>
      <c r="O41" s="278">
        <v>13</v>
      </c>
      <c r="P41" s="278">
        <v>19</v>
      </c>
      <c r="Q41" s="278">
        <v>22</v>
      </c>
      <c r="R41" s="278">
        <v>14</v>
      </c>
      <c r="S41" s="278">
        <v>15</v>
      </c>
      <c r="T41" s="278">
        <v>10</v>
      </c>
      <c r="U41" s="278">
        <v>17</v>
      </c>
      <c r="V41" s="278">
        <v>10</v>
      </c>
      <c r="W41" s="278">
        <v>20</v>
      </c>
      <c r="X41" s="278">
        <v>21</v>
      </c>
      <c r="Y41" s="278">
        <v>11</v>
      </c>
      <c r="Z41" s="278">
        <v>12</v>
      </c>
      <c r="AA41" s="278">
        <v>11</v>
      </c>
      <c r="AB41" s="278">
        <v>14</v>
      </c>
      <c r="AC41" s="278">
        <v>15</v>
      </c>
      <c r="AD41" s="278">
        <v>18</v>
      </c>
      <c r="AE41" s="278">
        <v>19</v>
      </c>
      <c r="AF41" s="278"/>
      <c r="AG41" s="15">
        <f t="shared" si="32"/>
        <v>482</v>
      </c>
    </row>
    <row r="42" spans="1:33" ht="15.75" customHeight="1" x14ac:dyDescent="0.25">
      <c r="A42" s="280" t="s">
        <v>28</v>
      </c>
      <c r="B42" s="278">
        <v>9</v>
      </c>
      <c r="C42" s="278">
        <v>20</v>
      </c>
      <c r="D42" s="278">
        <v>11</v>
      </c>
      <c r="E42" s="278">
        <v>14</v>
      </c>
      <c r="F42" s="278">
        <v>13</v>
      </c>
      <c r="G42" s="278">
        <v>18</v>
      </c>
      <c r="H42" s="278">
        <v>19</v>
      </c>
      <c r="I42" s="278">
        <v>19</v>
      </c>
      <c r="J42" s="278">
        <v>21</v>
      </c>
      <c r="K42" s="278">
        <v>11</v>
      </c>
      <c r="L42" s="278">
        <v>10</v>
      </c>
      <c r="M42" s="278">
        <v>12</v>
      </c>
      <c r="N42" s="278">
        <v>11</v>
      </c>
      <c r="O42" s="278">
        <v>15</v>
      </c>
      <c r="P42" s="278">
        <v>18</v>
      </c>
      <c r="Q42" s="278">
        <v>16</v>
      </c>
      <c r="R42" s="278">
        <v>6</v>
      </c>
      <c r="S42" s="278">
        <v>11</v>
      </c>
      <c r="T42" s="278">
        <v>8</v>
      </c>
      <c r="U42" s="278">
        <v>11</v>
      </c>
      <c r="V42" s="278">
        <v>12</v>
      </c>
      <c r="W42" s="278">
        <v>15</v>
      </c>
      <c r="X42" s="278">
        <v>19</v>
      </c>
      <c r="Y42" s="278">
        <v>8</v>
      </c>
      <c r="Z42" s="278">
        <v>11</v>
      </c>
      <c r="AA42" s="278">
        <v>8</v>
      </c>
      <c r="AB42" s="278">
        <v>12</v>
      </c>
      <c r="AC42" s="278">
        <v>13</v>
      </c>
      <c r="AD42" s="278">
        <v>19</v>
      </c>
      <c r="AE42" s="278">
        <v>17</v>
      </c>
      <c r="AF42" s="278"/>
      <c r="AG42" s="15">
        <f t="shared" si="32"/>
        <v>407</v>
      </c>
    </row>
    <row r="43" spans="1:33" ht="15.75" customHeight="1" x14ac:dyDescent="0.25">
      <c r="A43" s="280" t="s">
        <v>29</v>
      </c>
      <c r="B43" s="278">
        <v>9</v>
      </c>
      <c r="C43" s="278">
        <v>9</v>
      </c>
      <c r="D43" s="278">
        <v>14</v>
      </c>
      <c r="E43" s="278">
        <v>10</v>
      </c>
      <c r="F43" s="278">
        <v>5</v>
      </c>
      <c r="G43" s="278">
        <v>8</v>
      </c>
      <c r="H43" s="278">
        <v>19</v>
      </c>
      <c r="I43" s="278">
        <v>16</v>
      </c>
      <c r="J43" s="278">
        <v>18</v>
      </c>
      <c r="K43" s="278">
        <v>14</v>
      </c>
      <c r="L43" s="278">
        <v>9</v>
      </c>
      <c r="M43" s="278">
        <v>7</v>
      </c>
      <c r="N43" s="278">
        <v>6</v>
      </c>
      <c r="O43" s="278">
        <v>13</v>
      </c>
      <c r="P43" s="278">
        <v>10</v>
      </c>
      <c r="Q43" s="278">
        <v>9</v>
      </c>
      <c r="R43" s="278">
        <v>6</v>
      </c>
      <c r="S43" s="278">
        <v>10</v>
      </c>
      <c r="T43" s="278">
        <v>8</v>
      </c>
      <c r="U43" s="278">
        <v>19</v>
      </c>
      <c r="V43" s="278">
        <v>11</v>
      </c>
      <c r="W43" s="278">
        <v>9</v>
      </c>
      <c r="X43" s="278">
        <v>16</v>
      </c>
      <c r="Y43" s="278">
        <v>18</v>
      </c>
      <c r="Z43" s="278">
        <v>8</v>
      </c>
      <c r="AA43" s="278">
        <v>7</v>
      </c>
      <c r="AB43" s="278">
        <v>5</v>
      </c>
      <c r="AC43" s="278">
        <v>19</v>
      </c>
      <c r="AD43" s="278">
        <v>13</v>
      </c>
      <c r="AE43" s="278">
        <v>16</v>
      </c>
      <c r="AF43" s="278"/>
      <c r="AG43" s="15">
        <f t="shared" si="32"/>
        <v>341</v>
      </c>
    </row>
    <row r="44" spans="1:33" ht="15.75" customHeight="1" x14ac:dyDescent="0.25">
      <c r="A44" s="280" t="s">
        <v>30</v>
      </c>
      <c r="B44" s="278">
        <v>15</v>
      </c>
      <c r="C44" s="278">
        <v>11</v>
      </c>
      <c r="D44" s="278">
        <v>18</v>
      </c>
      <c r="E44" s="278">
        <v>6</v>
      </c>
      <c r="F44" s="278">
        <v>4</v>
      </c>
      <c r="G44" s="278">
        <v>13</v>
      </c>
      <c r="H44" s="278">
        <v>13</v>
      </c>
      <c r="I44" s="278">
        <v>14</v>
      </c>
      <c r="J44" s="278">
        <v>8</v>
      </c>
      <c r="K44" s="278">
        <v>5</v>
      </c>
      <c r="L44" s="278">
        <v>5</v>
      </c>
      <c r="M44" s="278">
        <v>8</v>
      </c>
      <c r="N44" s="278">
        <v>10</v>
      </c>
      <c r="O44" s="278">
        <v>15</v>
      </c>
      <c r="P44" s="278">
        <v>11</v>
      </c>
      <c r="Q44" s="278">
        <v>11</v>
      </c>
      <c r="R44" s="278">
        <v>9</v>
      </c>
      <c r="S44" s="278">
        <v>8</v>
      </c>
      <c r="T44" s="278">
        <v>10</v>
      </c>
      <c r="U44" s="278">
        <v>6</v>
      </c>
      <c r="V44" s="278">
        <v>14</v>
      </c>
      <c r="W44" s="278">
        <v>12</v>
      </c>
      <c r="X44" s="278">
        <v>13</v>
      </c>
      <c r="Y44" s="278">
        <v>8</v>
      </c>
      <c r="Z44" s="278">
        <v>8</v>
      </c>
      <c r="AA44" s="278">
        <v>6</v>
      </c>
      <c r="AB44" s="278">
        <v>16</v>
      </c>
      <c r="AC44" s="278">
        <v>9</v>
      </c>
      <c r="AD44" s="278">
        <v>9</v>
      </c>
      <c r="AE44" s="278">
        <v>11</v>
      </c>
      <c r="AF44" s="278"/>
      <c r="AG44" s="15">
        <f t="shared" si="32"/>
        <v>306</v>
      </c>
    </row>
    <row r="45" spans="1:33" ht="15.75" customHeight="1" x14ac:dyDescent="0.25">
      <c r="A45" s="280" t="s">
        <v>31</v>
      </c>
      <c r="B45" s="278">
        <v>6</v>
      </c>
      <c r="C45" s="278">
        <v>11</v>
      </c>
      <c r="D45" s="278">
        <v>9</v>
      </c>
      <c r="E45" s="278">
        <v>8</v>
      </c>
      <c r="F45" s="278">
        <v>12</v>
      </c>
      <c r="G45" s="278">
        <v>11</v>
      </c>
      <c r="H45" s="278">
        <v>10</v>
      </c>
      <c r="I45" s="278">
        <v>11</v>
      </c>
      <c r="J45" s="278">
        <v>4</v>
      </c>
      <c r="K45" s="278">
        <v>2</v>
      </c>
      <c r="L45" s="278">
        <v>4</v>
      </c>
      <c r="M45" s="278">
        <v>11</v>
      </c>
      <c r="N45" s="278">
        <v>7</v>
      </c>
      <c r="O45" s="278">
        <v>8</v>
      </c>
      <c r="P45" s="278">
        <v>7</v>
      </c>
      <c r="Q45" s="278">
        <v>5</v>
      </c>
      <c r="R45" s="278">
        <v>1</v>
      </c>
      <c r="S45" s="278">
        <v>7</v>
      </c>
      <c r="T45" s="278">
        <v>6</v>
      </c>
      <c r="U45" s="278">
        <v>9</v>
      </c>
      <c r="V45" s="278">
        <v>6</v>
      </c>
      <c r="W45" s="278">
        <v>9</v>
      </c>
      <c r="X45" s="278">
        <v>8</v>
      </c>
      <c r="Y45" s="278">
        <v>4</v>
      </c>
      <c r="Z45" s="278">
        <v>9</v>
      </c>
      <c r="AA45" s="278">
        <v>5</v>
      </c>
      <c r="AB45" s="278">
        <v>10</v>
      </c>
      <c r="AC45" s="278">
        <v>7</v>
      </c>
      <c r="AD45" s="278">
        <v>7</v>
      </c>
      <c r="AE45" s="278">
        <v>7</v>
      </c>
      <c r="AF45" s="278"/>
      <c r="AG45" s="15">
        <f t="shared" si="32"/>
        <v>221</v>
      </c>
    </row>
    <row r="46" spans="1:33" ht="15.75" customHeight="1" x14ac:dyDescent="0.25">
      <c r="A46" s="280" t="s">
        <v>32</v>
      </c>
      <c r="B46" s="278">
        <v>2</v>
      </c>
      <c r="C46" s="278">
        <v>10</v>
      </c>
      <c r="D46" s="278">
        <v>3</v>
      </c>
      <c r="E46" s="278">
        <v>11</v>
      </c>
      <c r="F46" s="278">
        <v>9</v>
      </c>
      <c r="G46" s="278">
        <v>10</v>
      </c>
      <c r="H46" s="278">
        <v>4</v>
      </c>
      <c r="I46" s="278">
        <v>9</v>
      </c>
      <c r="J46" s="278">
        <v>13</v>
      </c>
      <c r="K46" s="278">
        <v>5</v>
      </c>
      <c r="L46" s="278">
        <v>4</v>
      </c>
      <c r="M46" s="278">
        <v>6</v>
      </c>
      <c r="N46" s="278">
        <v>8</v>
      </c>
      <c r="O46" s="278">
        <v>7</v>
      </c>
      <c r="P46" s="278">
        <v>3</v>
      </c>
      <c r="Q46" s="278">
        <v>4</v>
      </c>
      <c r="R46" s="278">
        <v>7</v>
      </c>
      <c r="S46" s="278">
        <v>4</v>
      </c>
      <c r="T46" s="278">
        <v>10</v>
      </c>
      <c r="U46" s="278">
        <v>9</v>
      </c>
      <c r="V46" s="278">
        <v>3</v>
      </c>
      <c r="W46" s="278">
        <v>8</v>
      </c>
      <c r="X46" s="278">
        <v>3</v>
      </c>
      <c r="Y46" s="278">
        <v>12</v>
      </c>
      <c r="Z46" s="278">
        <v>6</v>
      </c>
      <c r="AA46" s="278">
        <v>10</v>
      </c>
      <c r="AB46" s="278">
        <v>8</v>
      </c>
      <c r="AC46" s="278">
        <v>4</v>
      </c>
      <c r="AD46" s="278">
        <v>14</v>
      </c>
      <c r="AE46" s="278">
        <v>2</v>
      </c>
      <c r="AF46" s="278"/>
      <c r="AG46" s="15">
        <f t="shared" si="32"/>
        <v>208</v>
      </c>
    </row>
    <row r="47" spans="1:33" ht="15.75" customHeight="1" x14ac:dyDescent="0.25">
      <c r="A47" s="280" t="s">
        <v>33</v>
      </c>
      <c r="B47" s="278">
        <v>3</v>
      </c>
      <c r="C47" s="278">
        <v>17</v>
      </c>
      <c r="D47" s="278">
        <v>3</v>
      </c>
      <c r="E47" s="278">
        <v>4</v>
      </c>
      <c r="F47" s="278">
        <v>7</v>
      </c>
      <c r="G47" s="278">
        <v>12</v>
      </c>
      <c r="H47" s="278">
        <v>1</v>
      </c>
      <c r="I47" s="278">
        <v>2</v>
      </c>
      <c r="J47" s="278">
        <v>4</v>
      </c>
      <c r="K47" s="278">
        <v>4</v>
      </c>
      <c r="L47" s="278">
        <v>0</v>
      </c>
      <c r="M47" s="278">
        <v>8</v>
      </c>
      <c r="N47" s="278">
        <v>10</v>
      </c>
      <c r="O47" s="278">
        <v>2</v>
      </c>
      <c r="P47" s="278">
        <v>1</v>
      </c>
      <c r="Q47" s="278">
        <v>3</v>
      </c>
      <c r="R47" s="278">
        <v>2</v>
      </c>
      <c r="S47" s="278">
        <v>5</v>
      </c>
      <c r="T47" s="278">
        <v>9</v>
      </c>
      <c r="U47" s="278">
        <v>9</v>
      </c>
      <c r="V47" s="278">
        <v>10</v>
      </c>
      <c r="W47" s="278">
        <v>2</v>
      </c>
      <c r="X47" s="278">
        <v>7</v>
      </c>
      <c r="Y47" s="278">
        <v>8</v>
      </c>
      <c r="Z47" s="278">
        <v>3</v>
      </c>
      <c r="AA47" s="278">
        <v>14</v>
      </c>
      <c r="AB47" s="278">
        <v>8</v>
      </c>
      <c r="AC47" s="278">
        <v>4</v>
      </c>
      <c r="AD47" s="278">
        <v>2</v>
      </c>
      <c r="AE47" s="278">
        <v>3</v>
      </c>
      <c r="AF47" s="278"/>
      <c r="AG47" s="15">
        <f t="shared" si="32"/>
        <v>167</v>
      </c>
    </row>
    <row r="48" spans="1:33" ht="15.75" customHeight="1" x14ac:dyDescent="0.25">
      <c r="A48" s="280" t="s">
        <v>34</v>
      </c>
      <c r="B48" s="278">
        <v>2</v>
      </c>
      <c r="C48" s="278">
        <v>5</v>
      </c>
      <c r="D48" s="278">
        <v>7</v>
      </c>
      <c r="E48" s="278">
        <v>3</v>
      </c>
      <c r="F48" s="278">
        <v>9</v>
      </c>
      <c r="G48" s="278">
        <v>1</v>
      </c>
      <c r="H48" s="278">
        <v>5</v>
      </c>
      <c r="I48" s="278">
        <v>1</v>
      </c>
      <c r="J48" s="278">
        <v>2</v>
      </c>
      <c r="K48" s="278">
        <v>1</v>
      </c>
      <c r="L48" s="278">
        <v>4</v>
      </c>
      <c r="M48" s="278">
        <v>5</v>
      </c>
      <c r="N48" s="278">
        <v>17</v>
      </c>
      <c r="O48" s="278">
        <v>0</v>
      </c>
      <c r="P48" s="278">
        <v>1</v>
      </c>
      <c r="Q48" s="278">
        <v>1</v>
      </c>
      <c r="R48" s="278">
        <v>2</v>
      </c>
      <c r="S48" s="278">
        <v>0</v>
      </c>
      <c r="T48" s="278">
        <v>4</v>
      </c>
      <c r="U48" s="278">
        <v>4</v>
      </c>
      <c r="V48" s="278">
        <v>3</v>
      </c>
      <c r="W48" s="278">
        <v>5</v>
      </c>
      <c r="X48" s="278">
        <v>1</v>
      </c>
      <c r="Y48" s="278">
        <v>2</v>
      </c>
      <c r="Z48" s="278">
        <v>3</v>
      </c>
      <c r="AA48" s="278">
        <v>1</v>
      </c>
      <c r="AB48" s="278">
        <v>6</v>
      </c>
      <c r="AC48" s="278">
        <v>3</v>
      </c>
      <c r="AD48" s="278">
        <v>1</v>
      </c>
      <c r="AE48" s="278">
        <v>2</v>
      </c>
      <c r="AF48" s="278"/>
      <c r="AG48" s="15">
        <f t="shared" si="32"/>
        <v>101</v>
      </c>
    </row>
    <row r="49" spans="1:33" ht="15.75" customHeight="1" x14ac:dyDescent="0.25">
      <c r="A49" s="280" t="s">
        <v>35</v>
      </c>
      <c r="B49" s="278">
        <v>2</v>
      </c>
      <c r="C49" s="278">
        <v>3</v>
      </c>
      <c r="D49" s="278">
        <v>3</v>
      </c>
      <c r="E49" s="278">
        <v>2</v>
      </c>
      <c r="F49" s="278">
        <v>3</v>
      </c>
      <c r="G49" s="278">
        <v>1</v>
      </c>
      <c r="H49" s="278">
        <v>4</v>
      </c>
      <c r="I49" s="278">
        <v>0</v>
      </c>
      <c r="J49" s="278">
        <v>0</v>
      </c>
      <c r="K49" s="278">
        <v>4</v>
      </c>
      <c r="L49" s="278">
        <v>3</v>
      </c>
      <c r="M49" s="278">
        <v>2</v>
      </c>
      <c r="N49" s="278">
        <v>5</v>
      </c>
      <c r="O49" s="278">
        <v>0</v>
      </c>
      <c r="P49" s="278">
        <v>2</v>
      </c>
      <c r="Q49" s="278">
        <v>2</v>
      </c>
      <c r="R49" s="278">
        <v>4</v>
      </c>
      <c r="S49" s="278">
        <v>0</v>
      </c>
      <c r="T49" s="278">
        <v>3</v>
      </c>
      <c r="U49" s="278">
        <v>6</v>
      </c>
      <c r="V49" s="278">
        <v>3</v>
      </c>
      <c r="W49" s="278">
        <v>5</v>
      </c>
      <c r="X49" s="278">
        <v>0</v>
      </c>
      <c r="Y49" s="278">
        <v>1</v>
      </c>
      <c r="Z49" s="278">
        <v>0</v>
      </c>
      <c r="AA49" s="278">
        <v>2</v>
      </c>
      <c r="AB49" s="278">
        <v>6</v>
      </c>
      <c r="AC49" s="278">
        <v>2</v>
      </c>
      <c r="AD49" s="278">
        <v>1</v>
      </c>
      <c r="AE49" s="278">
        <v>0</v>
      </c>
      <c r="AF49" s="278"/>
      <c r="AG49" s="15">
        <f t="shared" si="32"/>
        <v>69</v>
      </c>
    </row>
    <row r="50" spans="1:33" ht="15.75" customHeight="1" x14ac:dyDescent="0.25">
      <c r="A50" s="280" t="s">
        <v>36</v>
      </c>
      <c r="B50" s="278">
        <v>5</v>
      </c>
      <c r="C50" s="278">
        <v>0</v>
      </c>
      <c r="D50" s="278">
        <v>0</v>
      </c>
      <c r="E50" s="278">
        <v>1</v>
      </c>
      <c r="F50" s="278">
        <v>0</v>
      </c>
      <c r="G50" s="278">
        <v>3</v>
      </c>
      <c r="H50" s="278">
        <v>3</v>
      </c>
      <c r="I50" s="278">
        <v>1</v>
      </c>
      <c r="J50" s="278">
        <v>0</v>
      </c>
      <c r="K50" s="278">
        <v>0</v>
      </c>
      <c r="L50" s="278">
        <v>2</v>
      </c>
      <c r="M50" s="278">
        <v>3</v>
      </c>
      <c r="N50" s="278">
        <v>2</v>
      </c>
      <c r="O50" s="278">
        <v>2</v>
      </c>
      <c r="P50" s="278">
        <v>2</v>
      </c>
      <c r="Q50" s="278">
        <v>0</v>
      </c>
      <c r="R50" s="278">
        <v>1</v>
      </c>
      <c r="S50" s="278">
        <v>0</v>
      </c>
      <c r="T50" s="278">
        <v>1</v>
      </c>
      <c r="U50" s="278">
        <v>0</v>
      </c>
      <c r="V50" s="278">
        <v>2</v>
      </c>
      <c r="W50" s="278">
        <v>1</v>
      </c>
      <c r="X50" s="278">
        <v>0</v>
      </c>
      <c r="Y50" s="278">
        <v>1</v>
      </c>
      <c r="Z50" s="278">
        <v>0</v>
      </c>
      <c r="AA50" s="278">
        <v>3</v>
      </c>
      <c r="AB50" s="278">
        <v>0</v>
      </c>
      <c r="AC50" s="278">
        <v>1</v>
      </c>
      <c r="AD50" s="278">
        <v>0</v>
      </c>
      <c r="AE50" s="278">
        <v>3</v>
      </c>
      <c r="AF50" s="278"/>
      <c r="AG50" s="15">
        <f t="shared" si="32"/>
        <v>37</v>
      </c>
    </row>
    <row r="51" spans="1:33" ht="15.75" customHeight="1" x14ac:dyDescent="0.25">
      <c r="A51" s="280" t="s">
        <v>37</v>
      </c>
      <c r="B51" s="278">
        <v>1</v>
      </c>
      <c r="C51" s="278">
        <v>0</v>
      </c>
      <c r="D51" s="278">
        <v>3</v>
      </c>
      <c r="E51" s="278">
        <v>2</v>
      </c>
      <c r="F51" s="278">
        <v>0</v>
      </c>
      <c r="G51" s="278">
        <v>2</v>
      </c>
      <c r="H51" s="278">
        <v>0</v>
      </c>
      <c r="I51" s="278">
        <v>2</v>
      </c>
      <c r="J51" s="278">
        <v>2</v>
      </c>
      <c r="K51" s="278">
        <v>2</v>
      </c>
      <c r="L51" s="278">
        <v>1</v>
      </c>
      <c r="M51" s="278">
        <v>1</v>
      </c>
      <c r="N51" s="278">
        <v>4</v>
      </c>
      <c r="O51" s="278">
        <v>9</v>
      </c>
      <c r="P51" s="278">
        <v>0</v>
      </c>
      <c r="Q51" s="278">
        <v>2</v>
      </c>
      <c r="R51" s="278">
        <v>0</v>
      </c>
      <c r="S51" s="278">
        <v>1</v>
      </c>
      <c r="T51" s="278">
        <v>0</v>
      </c>
      <c r="U51" s="278">
        <v>3</v>
      </c>
      <c r="V51" s="278">
        <v>2</v>
      </c>
      <c r="W51" s="278">
        <v>3</v>
      </c>
      <c r="X51" s="278">
        <v>1</v>
      </c>
      <c r="Y51" s="278">
        <v>0</v>
      </c>
      <c r="Z51" s="278">
        <v>7</v>
      </c>
      <c r="AA51" s="278">
        <v>0</v>
      </c>
      <c r="AB51" s="278">
        <v>2</v>
      </c>
      <c r="AC51" s="278">
        <v>5</v>
      </c>
      <c r="AD51" s="278">
        <v>1</v>
      </c>
      <c r="AE51" s="278">
        <v>1</v>
      </c>
      <c r="AF51" s="278"/>
      <c r="AG51" s="15">
        <f t="shared" si="32"/>
        <v>57</v>
      </c>
    </row>
    <row r="52" spans="1:33" ht="15.75" customHeight="1" thickBot="1" x14ac:dyDescent="0.3">
      <c r="A52" s="281" t="s">
        <v>38</v>
      </c>
      <c r="B52" s="282">
        <v>1</v>
      </c>
      <c r="C52" s="282">
        <v>1</v>
      </c>
      <c r="D52" s="282">
        <v>2</v>
      </c>
      <c r="E52" s="282">
        <v>1</v>
      </c>
      <c r="F52" s="282">
        <v>3</v>
      </c>
      <c r="G52" s="282">
        <v>3</v>
      </c>
      <c r="H52" s="282">
        <v>0</v>
      </c>
      <c r="I52" s="282">
        <v>2</v>
      </c>
      <c r="J52" s="282">
        <v>3</v>
      </c>
      <c r="K52" s="282">
        <v>3</v>
      </c>
      <c r="L52" s="282">
        <v>2</v>
      </c>
      <c r="M52" s="282">
        <v>0</v>
      </c>
      <c r="N52" s="282">
        <v>2</v>
      </c>
      <c r="O52" s="282">
        <v>3</v>
      </c>
      <c r="P52" s="282">
        <v>2</v>
      </c>
      <c r="Q52" s="282">
        <v>1</v>
      </c>
      <c r="R52" s="282">
        <v>1</v>
      </c>
      <c r="S52" s="282">
        <v>6</v>
      </c>
      <c r="T52" s="282">
        <v>4</v>
      </c>
      <c r="U52" s="282">
        <v>2</v>
      </c>
      <c r="V52" s="282">
        <v>1</v>
      </c>
      <c r="W52" s="282">
        <v>2</v>
      </c>
      <c r="X52" s="282">
        <v>2</v>
      </c>
      <c r="Y52" s="282">
        <v>2</v>
      </c>
      <c r="Z52" s="282">
        <v>3</v>
      </c>
      <c r="AA52" s="282">
        <v>0</v>
      </c>
      <c r="AB52" s="282">
        <v>2</v>
      </c>
      <c r="AC52" s="282">
        <v>0</v>
      </c>
      <c r="AD52" s="284">
        <v>1</v>
      </c>
      <c r="AE52" s="284">
        <v>1</v>
      </c>
      <c r="AF52" s="284"/>
      <c r="AG52" s="26">
        <f t="shared" si="32"/>
        <v>56</v>
      </c>
    </row>
    <row r="53" spans="1:33" ht="15.75" customHeight="1" thickBot="1" x14ac:dyDescent="0.3">
      <c r="A53" s="276" t="s">
        <v>40</v>
      </c>
      <c r="B53" s="6">
        <f t="shared" ref="B53:AF53" si="36">SUM(B54:B77)</f>
        <v>6</v>
      </c>
      <c r="C53" s="6">
        <f t="shared" ref="C53:AC53" si="37">SUM(C54:C77)</f>
        <v>88</v>
      </c>
      <c r="D53" s="6">
        <f t="shared" ref="D53" si="38">SUM(D54:D77)</f>
        <v>39</v>
      </c>
      <c r="E53" s="6">
        <f t="shared" si="37"/>
        <v>34</v>
      </c>
      <c r="F53" s="6">
        <f t="shared" si="37"/>
        <v>15</v>
      </c>
      <c r="G53" s="6">
        <f t="shared" si="37"/>
        <v>75</v>
      </c>
      <c r="H53" s="6">
        <f t="shared" si="37"/>
        <v>64</v>
      </c>
      <c r="I53" s="6">
        <f t="shared" si="37"/>
        <v>27</v>
      </c>
      <c r="J53" s="6">
        <f t="shared" si="37"/>
        <v>31</v>
      </c>
      <c r="K53" s="6">
        <f t="shared" si="37"/>
        <v>22</v>
      </c>
      <c r="L53" s="6">
        <f t="shared" si="37"/>
        <v>3</v>
      </c>
      <c r="M53" s="6">
        <f t="shared" si="37"/>
        <v>31</v>
      </c>
      <c r="N53" s="6">
        <f t="shared" si="37"/>
        <v>66</v>
      </c>
      <c r="O53" s="6">
        <f t="shared" si="37"/>
        <v>58</v>
      </c>
      <c r="P53" s="6">
        <f t="shared" si="37"/>
        <v>37</v>
      </c>
      <c r="Q53" s="6">
        <f t="shared" si="37"/>
        <v>25</v>
      </c>
      <c r="R53" s="6">
        <f t="shared" si="37"/>
        <v>10</v>
      </c>
      <c r="S53" s="6">
        <f t="shared" si="37"/>
        <v>22</v>
      </c>
      <c r="T53" s="6">
        <f t="shared" si="37"/>
        <v>33</v>
      </c>
      <c r="U53" s="6">
        <f t="shared" si="37"/>
        <v>74</v>
      </c>
      <c r="V53" s="6">
        <f t="shared" si="37"/>
        <v>66</v>
      </c>
      <c r="W53" s="6">
        <f t="shared" si="37"/>
        <v>54</v>
      </c>
      <c r="X53" s="6">
        <f t="shared" si="37"/>
        <v>50</v>
      </c>
      <c r="Y53" s="6">
        <f t="shared" si="37"/>
        <v>51</v>
      </c>
      <c r="Z53" s="6">
        <f t="shared" si="37"/>
        <v>33</v>
      </c>
      <c r="AA53" s="6">
        <f t="shared" si="37"/>
        <v>22</v>
      </c>
      <c r="AB53" s="6">
        <f t="shared" si="37"/>
        <v>75</v>
      </c>
      <c r="AC53" s="6">
        <f t="shared" si="37"/>
        <v>21</v>
      </c>
      <c r="AD53" s="6">
        <f t="shared" si="36"/>
        <v>22</v>
      </c>
      <c r="AE53" s="6">
        <f t="shared" si="36"/>
        <v>16</v>
      </c>
      <c r="AF53" s="6">
        <f t="shared" si="36"/>
        <v>0</v>
      </c>
      <c r="AG53" s="27">
        <f t="shared" si="32"/>
        <v>1170</v>
      </c>
    </row>
    <row r="54" spans="1:33" ht="15.75" customHeight="1" x14ac:dyDescent="0.25">
      <c r="A54" s="280" t="s">
        <v>15</v>
      </c>
      <c r="B54" s="278">
        <v>0</v>
      </c>
      <c r="C54" s="279">
        <v>0</v>
      </c>
      <c r="D54" s="279">
        <v>0</v>
      </c>
      <c r="E54" s="279">
        <v>0</v>
      </c>
      <c r="F54" s="279">
        <v>0</v>
      </c>
      <c r="G54" s="279">
        <v>0</v>
      </c>
      <c r="H54" s="279">
        <v>0</v>
      </c>
      <c r="I54" s="279">
        <v>0</v>
      </c>
      <c r="J54" s="279">
        <v>0</v>
      </c>
      <c r="K54" s="279">
        <v>0</v>
      </c>
      <c r="L54" s="279">
        <v>1</v>
      </c>
      <c r="M54" s="279">
        <v>0</v>
      </c>
      <c r="N54" s="279">
        <v>1</v>
      </c>
      <c r="O54" s="279">
        <v>0</v>
      </c>
      <c r="P54" s="279">
        <v>0</v>
      </c>
      <c r="Q54" s="279">
        <v>0</v>
      </c>
      <c r="R54" s="279">
        <v>0</v>
      </c>
      <c r="S54" s="279">
        <v>0</v>
      </c>
      <c r="T54" s="279">
        <v>0</v>
      </c>
      <c r="U54" s="279">
        <v>1</v>
      </c>
      <c r="V54" s="279">
        <v>0</v>
      </c>
      <c r="W54" s="279">
        <v>0</v>
      </c>
      <c r="X54" s="279">
        <v>0</v>
      </c>
      <c r="Y54" s="279">
        <v>0</v>
      </c>
      <c r="Z54" s="279">
        <v>0</v>
      </c>
      <c r="AA54" s="279">
        <v>0</v>
      </c>
      <c r="AB54" s="279">
        <v>0</v>
      </c>
      <c r="AC54" s="279">
        <v>0</v>
      </c>
      <c r="AD54" s="279">
        <v>1</v>
      </c>
      <c r="AE54" s="279">
        <v>0</v>
      </c>
      <c r="AF54" s="279"/>
      <c r="AG54" s="11">
        <f t="shared" si="32"/>
        <v>4</v>
      </c>
    </row>
    <row r="55" spans="1:33" ht="15.75" customHeight="1" x14ac:dyDescent="0.25">
      <c r="A55" s="280" t="s">
        <v>16</v>
      </c>
      <c r="B55" s="278">
        <v>0</v>
      </c>
      <c r="C55" s="278">
        <v>0</v>
      </c>
      <c r="D55" s="278">
        <v>0</v>
      </c>
      <c r="E55" s="278">
        <v>0</v>
      </c>
      <c r="F55" s="278">
        <v>0</v>
      </c>
      <c r="G55" s="278">
        <v>0</v>
      </c>
      <c r="H55" s="278">
        <v>0</v>
      </c>
      <c r="I55" s="278">
        <v>0</v>
      </c>
      <c r="J55" s="278">
        <v>1</v>
      </c>
      <c r="K55" s="278">
        <v>0</v>
      </c>
      <c r="L55" s="278">
        <v>0</v>
      </c>
      <c r="M55" s="278">
        <v>0</v>
      </c>
      <c r="N55" s="278">
        <v>0</v>
      </c>
      <c r="O55" s="278">
        <v>0</v>
      </c>
      <c r="P55" s="278">
        <v>0</v>
      </c>
      <c r="Q55" s="278">
        <v>0</v>
      </c>
      <c r="R55" s="278">
        <v>0</v>
      </c>
      <c r="S55" s="278">
        <v>0</v>
      </c>
      <c r="T55" s="278">
        <v>0</v>
      </c>
      <c r="U55" s="278">
        <v>1</v>
      </c>
      <c r="V55" s="278">
        <v>0</v>
      </c>
      <c r="W55" s="278">
        <v>0</v>
      </c>
      <c r="X55" s="278">
        <v>0</v>
      </c>
      <c r="Y55" s="278">
        <v>0</v>
      </c>
      <c r="Z55" s="278">
        <v>0</v>
      </c>
      <c r="AA55" s="278">
        <v>0</v>
      </c>
      <c r="AB55" s="278">
        <v>1</v>
      </c>
      <c r="AC55" s="278">
        <v>2</v>
      </c>
      <c r="AD55" s="278">
        <v>0</v>
      </c>
      <c r="AE55" s="278">
        <v>0</v>
      </c>
      <c r="AF55" s="278"/>
      <c r="AG55" s="15">
        <f t="shared" si="32"/>
        <v>5</v>
      </c>
    </row>
    <row r="56" spans="1:33" ht="15.75" customHeight="1" x14ac:dyDescent="0.25">
      <c r="A56" s="280" t="s">
        <v>17</v>
      </c>
      <c r="B56" s="278">
        <v>0</v>
      </c>
      <c r="C56" s="278">
        <v>1</v>
      </c>
      <c r="D56" s="278">
        <v>0</v>
      </c>
      <c r="E56" s="278">
        <v>0</v>
      </c>
      <c r="F56" s="278">
        <v>0</v>
      </c>
      <c r="G56" s="278">
        <v>2</v>
      </c>
      <c r="H56" s="278">
        <v>2</v>
      </c>
      <c r="I56" s="278">
        <v>0</v>
      </c>
      <c r="J56" s="278">
        <v>0</v>
      </c>
      <c r="K56" s="278">
        <v>1</v>
      </c>
      <c r="L56" s="278">
        <v>0</v>
      </c>
      <c r="M56" s="278">
        <v>0</v>
      </c>
      <c r="N56" s="278">
        <v>0</v>
      </c>
      <c r="O56" s="278">
        <v>0</v>
      </c>
      <c r="P56" s="278">
        <v>0</v>
      </c>
      <c r="Q56" s="278">
        <v>0</v>
      </c>
      <c r="R56" s="278">
        <v>0</v>
      </c>
      <c r="S56" s="278">
        <v>0</v>
      </c>
      <c r="T56" s="278">
        <v>0</v>
      </c>
      <c r="U56" s="278">
        <v>0</v>
      </c>
      <c r="V56" s="278">
        <v>1</v>
      </c>
      <c r="W56" s="278">
        <v>0</v>
      </c>
      <c r="X56" s="278">
        <v>0</v>
      </c>
      <c r="Y56" s="278">
        <v>0</v>
      </c>
      <c r="Z56" s="278">
        <v>0</v>
      </c>
      <c r="AA56" s="278">
        <v>1</v>
      </c>
      <c r="AB56" s="278">
        <v>0</v>
      </c>
      <c r="AC56" s="278">
        <v>0</v>
      </c>
      <c r="AD56" s="278">
        <v>2</v>
      </c>
      <c r="AE56" s="278">
        <v>0</v>
      </c>
      <c r="AF56" s="278"/>
      <c r="AG56" s="15">
        <f t="shared" si="32"/>
        <v>10</v>
      </c>
    </row>
    <row r="57" spans="1:33" ht="15.75" customHeight="1" x14ac:dyDescent="0.25">
      <c r="A57" s="280" t="s">
        <v>18</v>
      </c>
      <c r="B57" s="278">
        <v>0</v>
      </c>
      <c r="C57" s="278">
        <v>0</v>
      </c>
      <c r="D57" s="278">
        <v>2</v>
      </c>
      <c r="E57" s="278">
        <v>0</v>
      </c>
      <c r="F57" s="278">
        <v>0</v>
      </c>
      <c r="G57" s="278">
        <v>0</v>
      </c>
      <c r="H57" s="278">
        <v>1</v>
      </c>
      <c r="I57" s="278">
        <v>0</v>
      </c>
      <c r="J57" s="278">
        <v>0</v>
      </c>
      <c r="K57" s="278">
        <v>0</v>
      </c>
      <c r="L57" s="278">
        <v>0</v>
      </c>
      <c r="M57" s="278">
        <v>0</v>
      </c>
      <c r="N57" s="278">
        <v>1</v>
      </c>
      <c r="O57" s="278">
        <v>1</v>
      </c>
      <c r="P57" s="278">
        <v>0</v>
      </c>
      <c r="Q57" s="278">
        <v>1</v>
      </c>
      <c r="R57" s="278">
        <v>1</v>
      </c>
      <c r="S57" s="278">
        <v>0</v>
      </c>
      <c r="T57" s="278">
        <v>0</v>
      </c>
      <c r="U57" s="278">
        <v>0</v>
      </c>
      <c r="V57" s="278">
        <v>1</v>
      </c>
      <c r="W57" s="278">
        <v>2</v>
      </c>
      <c r="X57" s="278">
        <v>0</v>
      </c>
      <c r="Y57" s="278">
        <v>1</v>
      </c>
      <c r="Z57" s="278">
        <v>0</v>
      </c>
      <c r="AA57" s="278">
        <v>0</v>
      </c>
      <c r="AB57" s="278">
        <v>1</v>
      </c>
      <c r="AC57" s="278">
        <v>1</v>
      </c>
      <c r="AD57" s="278">
        <v>0</v>
      </c>
      <c r="AE57" s="278">
        <v>0</v>
      </c>
      <c r="AF57" s="278"/>
      <c r="AG57" s="15">
        <f t="shared" si="32"/>
        <v>13</v>
      </c>
    </row>
    <row r="58" spans="1:33" ht="15.75" customHeight="1" x14ac:dyDescent="0.25">
      <c r="A58" s="280" t="s">
        <v>19</v>
      </c>
      <c r="B58" s="278">
        <v>0</v>
      </c>
      <c r="C58" s="278">
        <v>1</v>
      </c>
      <c r="D58" s="278">
        <v>0</v>
      </c>
      <c r="E58" s="278">
        <v>0</v>
      </c>
      <c r="F58" s="278">
        <v>0</v>
      </c>
      <c r="G58" s="278">
        <v>3</v>
      </c>
      <c r="H58" s="278">
        <v>1</v>
      </c>
      <c r="I58" s="278">
        <v>1</v>
      </c>
      <c r="J58" s="278">
        <v>0</v>
      </c>
      <c r="K58" s="278">
        <v>0</v>
      </c>
      <c r="L58" s="278">
        <v>0</v>
      </c>
      <c r="M58" s="278">
        <v>0</v>
      </c>
      <c r="N58" s="278">
        <v>1</v>
      </c>
      <c r="O58" s="278">
        <v>3</v>
      </c>
      <c r="P58" s="278">
        <v>1</v>
      </c>
      <c r="Q58" s="278">
        <v>1</v>
      </c>
      <c r="R58" s="278">
        <v>2</v>
      </c>
      <c r="S58" s="278">
        <v>0</v>
      </c>
      <c r="T58" s="278">
        <v>1</v>
      </c>
      <c r="U58" s="278">
        <v>1</v>
      </c>
      <c r="V58" s="278">
        <v>0</v>
      </c>
      <c r="W58" s="278">
        <v>0</v>
      </c>
      <c r="X58" s="278">
        <v>2</v>
      </c>
      <c r="Y58" s="278">
        <v>0</v>
      </c>
      <c r="Z58" s="278">
        <v>1</v>
      </c>
      <c r="AA58" s="278">
        <v>0</v>
      </c>
      <c r="AB58" s="278">
        <v>1</v>
      </c>
      <c r="AC58" s="278">
        <v>0</v>
      </c>
      <c r="AD58" s="278">
        <v>2</v>
      </c>
      <c r="AE58" s="278">
        <v>3</v>
      </c>
      <c r="AF58" s="278"/>
      <c r="AG58" s="15">
        <f t="shared" si="32"/>
        <v>25</v>
      </c>
    </row>
    <row r="59" spans="1:33" ht="15.75" customHeight="1" x14ac:dyDescent="0.25">
      <c r="A59" s="280" t="s">
        <v>20</v>
      </c>
      <c r="B59" s="278">
        <v>0</v>
      </c>
      <c r="C59" s="278">
        <v>0</v>
      </c>
      <c r="D59" s="278">
        <v>0</v>
      </c>
      <c r="E59" s="278">
        <v>2</v>
      </c>
      <c r="F59" s="278">
        <v>0</v>
      </c>
      <c r="G59" s="278">
        <v>0</v>
      </c>
      <c r="H59" s="278">
        <v>1</v>
      </c>
      <c r="I59" s="278">
        <v>2</v>
      </c>
      <c r="J59" s="278">
        <v>2</v>
      </c>
      <c r="K59" s="278">
        <v>1</v>
      </c>
      <c r="L59" s="278">
        <v>0</v>
      </c>
      <c r="M59" s="278">
        <v>0</v>
      </c>
      <c r="N59" s="278">
        <v>0</v>
      </c>
      <c r="O59" s="278">
        <v>1</v>
      </c>
      <c r="P59" s="278">
        <v>1</v>
      </c>
      <c r="Q59" s="278">
        <v>0</v>
      </c>
      <c r="R59" s="278">
        <v>0</v>
      </c>
      <c r="S59" s="278">
        <v>1</v>
      </c>
      <c r="T59" s="278">
        <v>0</v>
      </c>
      <c r="U59" s="278">
        <v>1</v>
      </c>
      <c r="V59" s="278">
        <v>0</v>
      </c>
      <c r="W59" s="278">
        <v>0</v>
      </c>
      <c r="X59" s="278">
        <v>1</v>
      </c>
      <c r="Y59" s="278">
        <v>2</v>
      </c>
      <c r="Z59" s="278">
        <v>0</v>
      </c>
      <c r="AA59" s="278">
        <v>0</v>
      </c>
      <c r="AB59" s="278">
        <v>2</v>
      </c>
      <c r="AC59" s="278">
        <v>1</v>
      </c>
      <c r="AD59" s="278">
        <v>2</v>
      </c>
      <c r="AE59" s="278">
        <v>4</v>
      </c>
      <c r="AF59" s="278"/>
      <c r="AG59" s="15">
        <f t="shared" si="32"/>
        <v>24</v>
      </c>
    </row>
    <row r="60" spans="1:33" ht="15.75" customHeight="1" x14ac:dyDescent="0.25">
      <c r="A60" s="280" t="s">
        <v>21</v>
      </c>
      <c r="B60" s="278">
        <v>0</v>
      </c>
      <c r="C60" s="278">
        <v>0</v>
      </c>
      <c r="D60" s="278">
        <v>0</v>
      </c>
      <c r="E60" s="278">
        <v>0</v>
      </c>
      <c r="F60" s="278">
        <v>0</v>
      </c>
      <c r="G60" s="278">
        <v>0</v>
      </c>
      <c r="H60" s="278">
        <v>4</v>
      </c>
      <c r="I60" s="278">
        <v>0</v>
      </c>
      <c r="J60" s="278">
        <v>4</v>
      </c>
      <c r="K60" s="278">
        <v>2</v>
      </c>
      <c r="L60" s="278">
        <v>0</v>
      </c>
      <c r="M60" s="278">
        <v>3</v>
      </c>
      <c r="N60" s="278">
        <v>0</v>
      </c>
      <c r="O60" s="278">
        <v>3</v>
      </c>
      <c r="P60" s="278">
        <v>2</v>
      </c>
      <c r="Q60" s="278">
        <v>0</v>
      </c>
      <c r="R60" s="278">
        <v>1</v>
      </c>
      <c r="S60" s="278">
        <v>1</v>
      </c>
      <c r="T60" s="278">
        <v>1</v>
      </c>
      <c r="U60" s="278">
        <v>0</v>
      </c>
      <c r="V60" s="278">
        <v>1</v>
      </c>
      <c r="W60" s="278">
        <v>2</v>
      </c>
      <c r="X60" s="278">
        <v>7</v>
      </c>
      <c r="Y60" s="278">
        <v>6</v>
      </c>
      <c r="Z60" s="278">
        <v>1</v>
      </c>
      <c r="AA60" s="278">
        <v>0</v>
      </c>
      <c r="AB60" s="278">
        <v>0</v>
      </c>
      <c r="AC60" s="278">
        <v>1</v>
      </c>
      <c r="AD60" s="278">
        <v>2</v>
      </c>
      <c r="AE60" s="278">
        <v>0</v>
      </c>
      <c r="AF60" s="278"/>
      <c r="AG60" s="15">
        <f t="shared" si="32"/>
        <v>41</v>
      </c>
    </row>
    <row r="61" spans="1:33" ht="15.75" customHeight="1" x14ac:dyDescent="0.25">
      <c r="A61" s="280" t="s">
        <v>22</v>
      </c>
      <c r="B61" s="278">
        <v>0</v>
      </c>
      <c r="C61" s="278">
        <v>2</v>
      </c>
      <c r="D61" s="278">
        <v>0</v>
      </c>
      <c r="E61" s="278">
        <v>0</v>
      </c>
      <c r="F61" s="278">
        <v>1</v>
      </c>
      <c r="G61" s="278">
        <v>10</v>
      </c>
      <c r="H61" s="278">
        <v>1</v>
      </c>
      <c r="I61" s="278">
        <v>8</v>
      </c>
      <c r="J61" s="278">
        <v>2</v>
      </c>
      <c r="K61" s="278">
        <v>3</v>
      </c>
      <c r="L61" s="278">
        <v>0</v>
      </c>
      <c r="M61" s="278">
        <v>5</v>
      </c>
      <c r="N61" s="278">
        <v>2</v>
      </c>
      <c r="O61" s="278">
        <v>2</v>
      </c>
      <c r="P61" s="278">
        <v>1</v>
      </c>
      <c r="Q61" s="278">
        <v>1</v>
      </c>
      <c r="R61" s="278">
        <v>1</v>
      </c>
      <c r="S61" s="278">
        <v>0</v>
      </c>
      <c r="T61" s="278">
        <v>0</v>
      </c>
      <c r="U61" s="278">
        <v>11</v>
      </c>
      <c r="V61" s="278">
        <v>1</v>
      </c>
      <c r="W61" s="278">
        <v>1</v>
      </c>
      <c r="X61" s="278">
        <v>5</v>
      </c>
      <c r="Y61" s="278">
        <v>7</v>
      </c>
      <c r="Z61" s="278">
        <v>0</v>
      </c>
      <c r="AA61" s="278">
        <v>2</v>
      </c>
      <c r="AB61" s="278">
        <v>1</v>
      </c>
      <c r="AC61" s="278">
        <v>1</v>
      </c>
      <c r="AD61" s="278">
        <v>1</v>
      </c>
      <c r="AE61" s="278">
        <v>0</v>
      </c>
      <c r="AF61" s="278"/>
      <c r="AG61" s="15">
        <f t="shared" si="32"/>
        <v>69</v>
      </c>
    </row>
    <row r="62" spans="1:33" ht="15.75" customHeight="1" x14ac:dyDescent="0.25">
      <c r="A62" s="280" t="s">
        <v>23</v>
      </c>
      <c r="B62" s="278">
        <v>0</v>
      </c>
      <c r="C62" s="278">
        <v>0</v>
      </c>
      <c r="D62" s="278">
        <v>17</v>
      </c>
      <c r="E62" s="278">
        <v>1</v>
      </c>
      <c r="F62" s="278">
        <v>1</v>
      </c>
      <c r="G62" s="278">
        <v>5</v>
      </c>
      <c r="H62" s="278">
        <v>9</v>
      </c>
      <c r="I62" s="278">
        <v>5</v>
      </c>
      <c r="J62" s="278">
        <v>0</v>
      </c>
      <c r="K62" s="278">
        <v>4</v>
      </c>
      <c r="L62" s="278">
        <v>0</v>
      </c>
      <c r="M62" s="278">
        <v>0</v>
      </c>
      <c r="N62" s="278">
        <v>3</v>
      </c>
      <c r="O62" s="278">
        <v>3</v>
      </c>
      <c r="P62" s="278">
        <v>2</v>
      </c>
      <c r="Q62" s="278">
        <v>0</v>
      </c>
      <c r="R62" s="278">
        <v>2</v>
      </c>
      <c r="S62" s="278">
        <v>4</v>
      </c>
      <c r="T62" s="278">
        <v>1</v>
      </c>
      <c r="U62" s="278">
        <v>1</v>
      </c>
      <c r="V62" s="278">
        <v>0</v>
      </c>
      <c r="W62" s="278">
        <v>4</v>
      </c>
      <c r="X62" s="278">
        <v>1</v>
      </c>
      <c r="Y62" s="278">
        <v>2</v>
      </c>
      <c r="Z62" s="278">
        <v>1</v>
      </c>
      <c r="AA62" s="278">
        <v>0</v>
      </c>
      <c r="AB62" s="278">
        <v>0</v>
      </c>
      <c r="AC62" s="278">
        <v>1</v>
      </c>
      <c r="AD62" s="278">
        <v>0</v>
      </c>
      <c r="AE62" s="278">
        <v>1</v>
      </c>
      <c r="AF62" s="278"/>
      <c r="AG62" s="15">
        <f t="shared" si="32"/>
        <v>68</v>
      </c>
    </row>
    <row r="63" spans="1:33" ht="15.75" customHeight="1" x14ac:dyDescent="0.25">
      <c r="A63" s="280" t="s">
        <v>24</v>
      </c>
      <c r="B63" s="278">
        <v>0</v>
      </c>
      <c r="C63" s="278">
        <v>14</v>
      </c>
      <c r="D63" s="278">
        <v>11</v>
      </c>
      <c r="E63" s="278">
        <v>0</v>
      </c>
      <c r="F63" s="278">
        <v>0</v>
      </c>
      <c r="G63" s="278">
        <v>1</v>
      </c>
      <c r="H63" s="278">
        <v>12</v>
      </c>
      <c r="I63" s="278">
        <v>2</v>
      </c>
      <c r="J63" s="278">
        <v>3</v>
      </c>
      <c r="K63" s="278">
        <v>5</v>
      </c>
      <c r="L63" s="278">
        <v>0</v>
      </c>
      <c r="M63" s="278">
        <v>6</v>
      </c>
      <c r="N63" s="278">
        <v>0</v>
      </c>
      <c r="O63" s="278">
        <v>14</v>
      </c>
      <c r="P63" s="278">
        <v>1</v>
      </c>
      <c r="Q63" s="278">
        <v>5</v>
      </c>
      <c r="R63" s="278">
        <v>0</v>
      </c>
      <c r="S63" s="278">
        <v>1</v>
      </c>
      <c r="T63" s="278">
        <v>2</v>
      </c>
      <c r="U63" s="278">
        <v>7</v>
      </c>
      <c r="V63" s="278">
        <v>3</v>
      </c>
      <c r="W63" s="278">
        <v>14</v>
      </c>
      <c r="X63" s="278">
        <v>1</v>
      </c>
      <c r="Y63" s="278">
        <v>5</v>
      </c>
      <c r="Z63" s="278">
        <v>0</v>
      </c>
      <c r="AA63" s="278">
        <v>0</v>
      </c>
      <c r="AB63" s="278">
        <v>12</v>
      </c>
      <c r="AC63" s="278">
        <v>0</v>
      </c>
      <c r="AD63" s="278">
        <v>1</v>
      </c>
      <c r="AE63" s="278">
        <v>2</v>
      </c>
      <c r="AF63" s="278"/>
      <c r="AG63" s="15">
        <f t="shared" si="32"/>
        <v>122</v>
      </c>
    </row>
    <row r="64" spans="1:33" ht="15.75" customHeight="1" x14ac:dyDescent="0.25">
      <c r="A64" s="280" t="s">
        <v>25</v>
      </c>
      <c r="B64" s="278">
        <v>0</v>
      </c>
      <c r="C64" s="278">
        <v>7</v>
      </c>
      <c r="D64" s="278">
        <v>1</v>
      </c>
      <c r="E64" s="278">
        <v>6</v>
      </c>
      <c r="F64" s="278">
        <v>1</v>
      </c>
      <c r="G64" s="278">
        <v>19</v>
      </c>
      <c r="H64" s="278">
        <v>9</v>
      </c>
      <c r="I64" s="278">
        <v>1</v>
      </c>
      <c r="J64" s="278">
        <v>8</v>
      </c>
      <c r="K64" s="278">
        <v>2</v>
      </c>
      <c r="L64" s="278">
        <v>1</v>
      </c>
      <c r="M64" s="278">
        <v>2</v>
      </c>
      <c r="N64" s="278">
        <v>1</v>
      </c>
      <c r="O64" s="278">
        <v>4</v>
      </c>
      <c r="P64" s="278">
        <v>13</v>
      </c>
      <c r="Q64" s="278">
        <v>4</v>
      </c>
      <c r="R64" s="278">
        <v>2</v>
      </c>
      <c r="S64" s="278">
        <v>1</v>
      </c>
      <c r="T64" s="278">
        <v>5</v>
      </c>
      <c r="U64" s="278">
        <v>25</v>
      </c>
      <c r="V64" s="278">
        <v>1</v>
      </c>
      <c r="W64" s="278">
        <v>11</v>
      </c>
      <c r="X64" s="278">
        <v>15</v>
      </c>
      <c r="Y64" s="278">
        <v>2</v>
      </c>
      <c r="Z64" s="278">
        <v>0</v>
      </c>
      <c r="AA64" s="278">
        <v>0</v>
      </c>
      <c r="AB64" s="278">
        <v>3</v>
      </c>
      <c r="AC64" s="278">
        <v>1</v>
      </c>
      <c r="AD64" s="278">
        <v>0</v>
      </c>
      <c r="AE64" s="278">
        <v>0</v>
      </c>
      <c r="AF64" s="278"/>
      <c r="AG64" s="15">
        <f t="shared" si="32"/>
        <v>145</v>
      </c>
    </row>
    <row r="65" spans="1:33" ht="15.75" customHeight="1" x14ac:dyDescent="0.25">
      <c r="A65" s="280" t="s">
        <v>26</v>
      </c>
      <c r="B65" s="278">
        <v>0</v>
      </c>
      <c r="C65" s="278">
        <v>8</v>
      </c>
      <c r="D65" s="278">
        <v>0</v>
      </c>
      <c r="E65" s="278">
        <v>3</v>
      </c>
      <c r="F65" s="278">
        <v>1</v>
      </c>
      <c r="G65" s="278">
        <v>9</v>
      </c>
      <c r="H65" s="278">
        <v>14</v>
      </c>
      <c r="I65" s="278">
        <v>4</v>
      </c>
      <c r="J65" s="278">
        <v>6</v>
      </c>
      <c r="K65" s="278">
        <v>4</v>
      </c>
      <c r="L65" s="278">
        <v>0</v>
      </c>
      <c r="M65" s="278">
        <v>2</v>
      </c>
      <c r="N65" s="278">
        <v>5</v>
      </c>
      <c r="O65" s="278">
        <v>8</v>
      </c>
      <c r="P65" s="278">
        <v>6</v>
      </c>
      <c r="Q65" s="278">
        <v>8</v>
      </c>
      <c r="R65" s="278">
        <v>0</v>
      </c>
      <c r="S65" s="278">
        <v>3</v>
      </c>
      <c r="T65" s="278">
        <v>6</v>
      </c>
      <c r="U65" s="278">
        <v>4</v>
      </c>
      <c r="V65" s="278">
        <v>19</v>
      </c>
      <c r="W65" s="278">
        <v>9</v>
      </c>
      <c r="X65" s="278">
        <v>8</v>
      </c>
      <c r="Y65" s="278">
        <v>2</v>
      </c>
      <c r="Z65" s="278">
        <v>3</v>
      </c>
      <c r="AA65" s="278">
        <v>0</v>
      </c>
      <c r="AB65" s="278">
        <v>3</v>
      </c>
      <c r="AC65" s="278">
        <v>5</v>
      </c>
      <c r="AD65" s="278">
        <v>6</v>
      </c>
      <c r="AE65" s="278">
        <v>3</v>
      </c>
      <c r="AF65" s="278"/>
      <c r="AG65" s="15">
        <f t="shared" si="32"/>
        <v>149</v>
      </c>
    </row>
    <row r="66" spans="1:33" ht="15.75" customHeight="1" x14ac:dyDescent="0.25">
      <c r="A66" s="280" t="s">
        <v>27</v>
      </c>
      <c r="B66" s="278">
        <v>0</v>
      </c>
      <c r="C66" s="278">
        <v>21</v>
      </c>
      <c r="D66" s="278">
        <v>1</v>
      </c>
      <c r="E66" s="278">
        <v>7</v>
      </c>
      <c r="F66" s="278">
        <v>1</v>
      </c>
      <c r="G66" s="278">
        <v>10</v>
      </c>
      <c r="H66" s="278">
        <v>2</v>
      </c>
      <c r="I66" s="278">
        <v>2</v>
      </c>
      <c r="J66" s="278">
        <v>1</v>
      </c>
      <c r="K66" s="278">
        <v>0</v>
      </c>
      <c r="L66" s="278">
        <v>0</v>
      </c>
      <c r="M66" s="278">
        <v>2</v>
      </c>
      <c r="N66" s="278">
        <v>2</v>
      </c>
      <c r="O66" s="278">
        <v>4</v>
      </c>
      <c r="P66" s="278">
        <v>2</v>
      </c>
      <c r="Q66" s="278">
        <v>5</v>
      </c>
      <c r="R66" s="278">
        <v>1</v>
      </c>
      <c r="S66" s="278">
        <v>1</v>
      </c>
      <c r="T66" s="278">
        <v>5</v>
      </c>
      <c r="U66" s="278">
        <v>5</v>
      </c>
      <c r="V66" s="278">
        <v>11</v>
      </c>
      <c r="W66" s="278">
        <v>8</v>
      </c>
      <c r="X66" s="278">
        <v>6</v>
      </c>
      <c r="Y66" s="278">
        <v>4</v>
      </c>
      <c r="Z66" s="278">
        <v>1</v>
      </c>
      <c r="AA66" s="278">
        <v>0</v>
      </c>
      <c r="AB66" s="278">
        <v>6</v>
      </c>
      <c r="AC66" s="278">
        <v>2</v>
      </c>
      <c r="AD66" s="278">
        <v>0</v>
      </c>
      <c r="AE66" s="278">
        <v>2</v>
      </c>
      <c r="AF66" s="278"/>
      <c r="AG66" s="15">
        <f t="shared" si="32"/>
        <v>112</v>
      </c>
    </row>
    <row r="67" spans="1:33" ht="15.75" customHeight="1" x14ac:dyDescent="0.25">
      <c r="A67" s="280" t="s">
        <v>28</v>
      </c>
      <c r="B67" s="278">
        <v>0</v>
      </c>
      <c r="C67" s="278">
        <v>2</v>
      </c>
      <c r="D67" s="278">
        <v>3</v>
      </c>
      <c r="E67" s="278">
        <v>8</v>
      </c>
      <c r="F67" s="278">
        <v>1</v>
      </c>
      <c r="G67" s="278">
        <v>1</v>
      </c>
      <c r="H67" s="278">
        <v>4</v>
      </c>
      <c r="I67" s="278">
        <v>1</v>
      </c>
      <c r="J67" s="278">
        <v>3</v>
      </c>
      <c r="K67" s="278">
        <v>0</v>
      </c>
      <c r="L67" s="278">
        <v>0</v>
      </c>
      <c r="M67" s="278">
        <v>1</v>
      </c>
      <c r="N67" s="278">
        <v>3</v>
      </c>
      <c r="O67" s="278">
        <v>1</v>
      </c>
      <c r="P67" s="278">
        <v>4</v>
      </c>
      <c r="Q67" s="278">
        <v>0</v>
      </c>
      <c r="R67" s="278">
        <v>0</v>
      </c>
      <c r="S67" s="278">
        <v>0</v>
      </c>
      <c r="T67" s="278">
        <v>1</v>
      </c>
      <c r="U67" s="278">
        <v>3</v>
      </c>
      <c r="V67" s="278">
        <v>4</v>
      </c>
      <c r="W67" s="278">
        <v>2</v>
      </c>
      <c r="X67" s="278">
        <v>1</v>
      </c>
      <c r="Y67" s="278">
        <v>5</v>
      </c>
      <c r="Z67" s="278">
        <v>6</v>
      </c>
      <c r="AA67" s="278">
        <v>4</v>
      </c>
      <c r="AB67" s="278">
        <v>5</v>
      </c>
      <c r="AC67" s="278">
        <v>1</v>
      </c>
      <c r="AD67" s="278">
        <v>3</v>
      </c>
      <c r="AE67" s="278">
        <v>0</v>
      </c>
      <c r="AF67" s="278"/>
      <c r="AG67" s="15">
        <f t="shared" ref="AG67:AG98" si="39">SUM(B67:AF67)</f>
        <v>67</v>
      </c>
    </row>
    <row r="68" spans="1:33" ht="15.75" customHeight="1" x14ac:dyDescent="0.25">
      <c r="A68" s="280" t="s">
        <v>29</v>
      </c>
      <c r="B68" s="278">
        <v>0</v>
      </c>
      <c r="C68" s="278">
        <v>4</v>
      </c>
      <c r="D68" s="278">
        <v>0</v>
      </c>
      <c r="E68" s="278">
        <v>1</v>
      </c>
      <c r="F68" s="278">
        <v>1</v>
      </c>
      <c r="G68" s="278">
        <v>8</v>
      </c>
      <c r="H68" s="278">
        <v>3</v>
      </c>
      <c r="I68" s="278">
        <v>0</v>
      </c>
      <c r="J68" s="278">
        <v>0</v>
      </c>
      <c r="K68" s="278">
        <v>0</v>
      </c>
      <c r="L68" s="278">
        <v>0</v>
      </c>
      <c r="M68" s="278">
        <v>0</v>
      </c>
      <c r="N68" s="278">
        <v>2</v>
      </c>
      <c r="O68" s="278">
        <v>8</v>
      </c>
      <c r="P68" s="278">
        <v>2</v>
      </c>
      <c r="Q68" s="278">
        <v>0</v>
      </c>
      <c r="R68" s="278">
        <v>0</v>
      </c>
      <c r="S68" s="278">
        <v>2</v>
      </c>
      <c r="T68" s="278">
        <v>0</v>
      </c>
      <c r="U68" s="278">
        <v>8</v>
      </c>
      <c r="V68" s="278">
        <v>15</v>
      </c>
      <c r="W68" s="278">
        <v>0</v>
      </c>
      <c r="X68" s="278">
        <v>2</v>
      </c>
      <c r="Y68" s="278">
        <v>3</v>
      </c>
      <c r="Z68" s="278">
        <v>2</v>
      </c>
      <c r="AA68" s="278">
        <v>3</v>
      </c>
      <c r="AB68" s="278">
        <v>12</v>
      </c>
      <c r="AC68" s="278">
        <v>3</v>
      </c>
      <c r="AD68" s="278">
        <v>0</v>
      </c>
      <c r="AE68" s="278">
        <v>0</v>
      </c>
      <c r="AF68" s="278"/>
      <c r="AG68" s="15">
        <f t="shared" si="39"/>
        <v>79</v>
      </c>
    </row>
    <row r="69" spans="1:33" ht="15.75" customHeight="1" x14ac:dyDescent="0.25">
      <c r="A69" s="280" t="s">
        <v>30</v>
      </c>
      <c r="B69" s="278">
        <v>0</v>
      </c>
      <c r="C69" s="278">
        <v>8</v>
      </c>
      <c r="D69" s="278">
        <v>2</v>
      </c>
      <c r="E69" s="278">
        <v>5</v>
      </c>
      <c r="F69" s="278">
        <v>0</v>
      </c>
      <c r="G69" s="278">
        <v>0</v>
      </c>
      <c r="H69" s="278">
        <v>0</v>
      </c>
      <c r="I69" s="278">
        <v>0</v>
      </c>
      <c r="J69" s="278">
        <v>0</v>
      </c>
      <c r="K69" s="278">
        <v>0</v>
      </c>
      <c r="L69" s="278">
        <v>0</v>
      </c>
      <c r="M69" s="278">
        <v>0</v>
      </c>
      <c r="N69" s="278">
        <v>9</v>
      </c>
      <c r="O69" s="278">
        <v>1</v>
      </c>
      <c r="P69" s="278">
        <v>2</v>
      </c>
      <c r="Q69" s="278">
        <v>0</v>
      </c>
      <c r="R69" s="278">
        <v>0</v>
      </c>
      <c r="S69" s="278">
        <v>4</v>
      </c>
      <c r="T69" s="278">
        <v>8</v>
      </c>
      <c r="U69" s="278">
        <v>0</v>
      </c>
      <c r="V69" s="278">
        <v>0</v>
      </c>
      <c r="W69" s="278">
        <v>0</v>
      </c>
      <c r="X69" s="278">
        <v>1</v>
      </c>
      <c r="Y69" s="278">
        <v>0</v>
      </c>
      <c r="Z69" s="278">
        <v>6</v>
      </c>
      <c r="AA69" s="278">
        <v>6</v>
      </c>
      <c r="AB69" s="278">
        <v>8</v>
      </c>
      <c r="AC69" s="278">
        <v>0</v>
      </c>
      <c r="AD69" s="278">
        <v>0</v>
      </c>
      <c r="AE69" s="278">
        <v>0</v>
      </c>
      <c r="AF69" s="278"/>
      <c r="AG69" s="15">
        <f t="shared" si="39"/>
        <v>60</v>
      </c>
    </row>
    <row r="70" spans="1:33" ht="15.75" customHeight="1" x14ac:dyDescent="0.25">
      <c r="A70" s="280" t="s">
        <v>31</v>
      </c>
      <c r="B70" s="278">
        <v>0</v>
      </c>
      <c r="C70" s="278">
        <v>0</v>
      </c>
      <c r="D70" s="278">
        <v>1</v>
      </c>
      <c r="E70" s="278">
        <v>0</v>
      </c>
      <c r="F70" s="278">
        <v>4</v>
      </c>
      <c r="G70" s="278">
        <v>0</v>
      </c>
      <c r="H70" s="278">
        <v>1</v>
      </c>
      <c r="I70" s="278">
        <v>0</v>
      </c>
      <c r="J70" s="278">
        <v>0</v>
      </c>
      <c r="K70" s="278">
        <v>0</v>
      </c>
      <c r="L70" s="278">
        <v>1</v>
      </c>
      <c r="M70" s="278">
        <v>4</v>
      </c>
      <c r="N70" s="278">
        <v>8</v>
      </c>
      <c r="O70" s="278">
        <v>2</v>
      </c>
      <c r="P70" s="278">
        <v>0</v>
      </c>
      <c r="Q70" s="278">
        <v>0</v>
      </c>
      <c r="R70" s="278">
        <v>0</v>
      </c>
      <c r="S70" s="278">
        <v>0</v>
      </c>
      <c r="T70" s="278">
        <v>1</v>
      </c>
      <c r="U70" s="278">
        <v>0</v>
      </c>
      <c r="V70" s="278">
        <v>1</v>
      </c>
      <c r="W70" s="278">
        <v>0</v>
      </c>
      <c r="X70" s="278">
        <v>0</v>
      </c>
      <c r="Y70" s="278">
        <v>3</v>
      </c>
      <c r="Z70" s="278">
        <v>0</v>
      </c>
      <c r="AA70" s="278">
        <v>1</v>
      </c>
      <c r="AB70" s="278">
        <v>4</v>
      </c>
      <c r="AC70" s="278">
        <v>0</v>
      </c>
      <c r="AD70" s="279">
        <v>2</v>
      </c>
      <c r="AE70" s="279">
        <v>1</v>
      </c>
      <c r="AF70" s="279"/>
      <c r="AG70" s="15">
        <f t="shared" si="39"/>
        <v>34</v>
      </c>
    </row>
    <row r="71" spans="1:33" ht="15.75" customHeight="1" x14ac:dyDescent="0.25">
      <c r="A71" s="280" t="s">
        <v>32</v>
      </c>
      <c r="B71" s="278">
        <v>0</v>
      </c>
      <c r="C71" s="278">
        <v>4</v>
      </c>
      <c r="D71" s="278">
        <v>1</v>
      </c>
      <c r="E71" s="278">
        <v>0</v>
      </c>
      <c r="F71" s="278">
        <v>4</v>
      </c>
      <c r="G71" s="278">
        <v>1</v>
      </c>
      <c r="H71" s="278">
        <v>0</v>
      </c>
      <c r="I71" s="278">
        <v>1</v>
      </c>
      <c r="J71" s="278">
        <v>1</v>
      </c>
      <c r="K71" s="278">
        <v>0</v>
      </c>
      <c r="L71" s="278">
        <v>0</v>
      </c>
      <c r="M71" s="278">
        <v>4</v>
      </c>
      <c r="N71" s="278">
        <v>5</v>
      </c>
      <c r="O71" s="278">
        <v>3</v>
      </c>
      <c r="P71" s="278">
        <v>0</v>
      </c>
      <c r="Q71" s="278">
        <v>0</v>
      </c>
      <c r="R71" s="278">
        <v>0</v>
      </c>
      <c r="S71" s="278">
        <v>1</v>
      </c>
      <c r="T71" s="278">
        <v>0</v>
      </c>
      <c r="U71" s="278">
        <v>2</v>
      </c>
      <c r="V71" s="278">
        <v>4</v>
      </c>
      <c r="W71" s="278">
        <v>0</v>
      </c>
      <c r="X71" s="278">
        <v>0</v>
      </c>
      <c r="Y71" s="278">
        <v>4</v>
      </c>
      <c r="Z71" s="278">
        <v>3</v>
      </c>
      <c r="AA71" s="278">
        <v>1</v>
      </c>
      <c r="AB71" s="278">
        <v>8</v>
      </c>
      <c r="AC71" s="278">
        <v>0</v>
      </c>
      <c r="AD71" s="279">
        <v>0</v>
      </c>
      <c r="AE71" s="279">
        <v>0</v>
      </c>
      <c r="AF71" s="279"/>
      <c r="AG71" s="15">
        <f t="shared" si="39"/>
        <v>47</v>
      </c>
    </row>
    <row r="72" spans="1:33" ht="15.75" customHeight="1" x14ac:dyDescent="0.25">
      <c r="A72" s="280" t="s">
        <v>33</v>
      </c>
      <c r="B72" s="278">
        <v>1</v>
      </c>
      <c r="C72" s="278">
        <v>12</v>
      </c>
      <c r="D72" s="278">
        <v>0</v>
      </c>
      <c r="E72" s="278">
        <v>0</v>
      </c>
      <c r="F72" s="278">
        <v>0</v>
      </c>
      <c r="G72" s="278">
        <v>6</v>
      </c>
      <c r="H72" s="278">
        <v>0</v>
      </c>
      <c r="I72" s="278">
        <v>0</v>
      </c>
      <c r="J72" s="278">
        <v>0</v>
      </c>
      <c r="K72" s="278">
        <v>0</v>
      </c>
      <c r="L72" s="278">
        <v>0</v>
      </c>
      <c r="M72" s="278">
        <v>2</v>
      </c>
      <c r="N72" s="278">
        <v>8</v>
      </c>
      <c r="O72" s="278">
        <v>0</v>
      </c>
      <c r="P72" s="278">
        <v>0</v>
      </c>
      <c r="Q72" s="278">
        <v>0</v>
      </c>
      <c r="R72" s="278">
        <v>0</v>
      </c>
      <c r="S72" s="278">
        <v>2</v>
      </c>
      <c r="T72" s="278">
        <v>2</v>
      </c>
      <c r="U72" s="278">
        <v>2</v>
      </c>
      <c r="V72" s="278">
        <v>2</v>
      </c>
      <c r="W72" s="278">
        <v>0</v>
      </c>
      <c r="X72" s="278">
        <v>0</v>
      </c>
      <c r="Y72" s="278">
        <v>5</v>
      </c>
      <c r="Z72" s="278">
        <v>2</v>
      </c>
      <c r="AA72" s="278">
        <v>4</v>
      </c>
      <c r="AB72" s="278">
        <v>6</v>
      </c>
      <c r="AC72" s="278">
        <v>0</v>
      </c>
      <c r="AD72" s="279">
        <v>0</v>
      </c>
      <c r="AE72" s="279">
        <v>0</v>
      </c>
      <c r="AF72" s="279"/>
      <c r="AG72" s="15">
        <f t="shared" si="39"/>
        <v>54</v>
      </c>
    </row>
    <row r="73" spans="1:33" ht="15.75" customHeight="1" x14ac:dyDescent="0.25">
      <c r="A73" s="280" t="s">
        <v>34</v>
      </c>
      <c r="B73" s="278">
        <v>0</v>
      </c>
      <c r="C73" s="278">
        <v>4</v>
      </c>
      <c r="D73" s="278">
        <v>0</v>
      </c>
      <c r="E73" s="278">
        <v>1</v>
      </c>
      <c r="F73" s="278">
        <v>0</v>
      </c>
      <c r="G73" s="278">
        <v>0</v>
      </c>
      <c r="H73" s="278">
        <v>0</v>
      </c>
      <c r="I73" s="278">
        <v>0</v>
      </c>
      <c r="J73" s="278">
        <v>0</v>
      </c>
      <c r="K73" s="278">
        <v>0</v>
      </c>
      <c r="L73" s="278">
        <v>0</v>
      </c>
      <c r="M73" s="278">
        <v>0</v>
      </c>
      <c r="N73" s="278">
        <v>11</v>
      </c>
      <c r="O73" s="278">
        <v>0</v>
      </c>
      <c r="P73" s="278">
        <v>0</v>
      </c>
      <c r="Q73" s="278">
        <v>0</v>
      </c>
      <c r="R73" s="278">
        <v>0</v>
      </c>
      <c r="S73" s="278">
        <v>0</v>
      </c>
      <c r="T73" s="278">
        <v>0</v>
      </c>
      <c r="U73" s="278">
        <v>0</v>
      </c>
      <c r="V73" s="278">
        <v>0</v>
      </c>
      <c r="W73" s="278">
        <v>1</v>
      </c>
      <c r="X73" s="278">
        <v>0</v>
      </c>
      <c r="Y73" s="278">
        <v>0</v>
      </c>
      <c r="Z73" s="278">
        <v>0</v>
      </c>
      <c r="AA73" s="278">
        <v>0</v>
      </c>
      <c r="AB73" s="278">
        <v>2</v>
      </c>
      <c r="AC73" s="278">
        <v>0</v>
      </c>
      <c r="AD73" s="279">
        <v>0</v>
      </c>
      <c r="AE73" s="279">
        <v>0</v>
      </c>
      <c r="AF73" s="279"/>
      <c r="AG73" s="15">
        <f t="shared" si="39"/>
        <v>19</v>
      </c>
    </row>
    <row r="74" spans="1:33" ht="15.75" customHeight="1" x14ac:dyDescent="0.25">
      <c r="A74" s="280" t="s">
        <v>35</v>
      </c>
      <c r="B74" s="278">
        <v>3</v>
      </c>
      <c r="C74" s="278">
        <v>0</v>
      </c>
      <c r="D74" s="278">
        <v>0</v>
      </c>
      <c r="E74" s="278">
        <v>0</v>
      </c>
      <c r="F74" s="278">
        <v>0</v>
      </c>
      <c r="G74" s="278">
        <v>0</v>
      </c>
      <c r="H74" s="278">
        <v>0</v>
      </c>
      <c r="I74" s="278">
        <v>0</v>
      </c>
      <c r="J74" s="278">
        <v>0</v>
      </c>
      <c r="K74" s="278">
        <v>0</v>
      </c>
      <c r="L74" s="278">
        <v>0</v>
      </c>
      <c r="M74" s="278">
        <v>0</v>
      </c>
      <c r="N74" s="278">
        <v>4</v>
      </c>
      <c r="O74" s="278">
        <v>0</v>
      </c>
      <c r="P74" s="278">
        <v>0</v>
      </c>
      <c r="Q74" s="278">
        <v>0</v>
      </c>
      <c r="R74" s="278">
        <v>0</v>
      </c>
      <c r="S74" s="278">
        <v>0</v>
      </c>
      <c r="T74" s="278">
        <v>0</v>
      </c>
      <c r="U74" s="278">
        <v>0</v>
      </c>
      <c r="V74" s="278">
        <v>0</v>
      </c>
      <c r="W74" s="278">
        <v>0</v>
      </c>
      <c r="X74" s="278">
        <v>0</v>
      </c>
      <c r="Y74" s="278">
        <v>0</v>
      </c>
      <c r="Z74" s="278">
        <v>0</v>
      </c>
      <c r="AA74" s="278">
        <v>0</v>
      </c>
      <c r="AB74" s="278">
        <v>0</v>
      </c>
      <c r="AC74" s="278">
        <v>2</v>
      </c>
      <c r="AD74" s="279">
        <v>0</v>
      </c>
      <c r="AE74" s="279">
        <v>0</v>
      </c>
      <c r="AF74" s="279"/>
      <c r="AG74" s="15">
        <f t="shared" si="39"/>
        <v>9</v>
      </c>
    </row>
    <row r="75" spans="1:33" ht="15.75" customHeight="1" x14ac:dyDescent="0.25">
      <c r="A75" s="280" t="s">
        <v>36</v>
      </c>
      <c r="B75" s="278">
        <v>0</v>
      </c>
      <c r="C75" s="278">
        <v>0</v>
      </c>
      <c r="D75" s="278">
        <v>0</v>
      </c>
      <c r="E75" s="278">
        <v>0</v>
      </c>
      <c r="F75" s="278">
        <v>0</v>
      </c>
      <c r="G75" s="278">
        <v>0</v>
      </c>
      <c r="H75" s="278">
        <v>0</v>
      </c>
      <c r="I75" s="278">
        <v>0</v>
      </c>
      <c r="J75" s="278">
        <v>0</v>
      </c>
      <c r="K75" s="278">
        <v>0</v>
      </c>
      <c r="L75" s="278">
        <v>0</v>
      </c>
      <c r="M75" s="278">
        <v>0</v>
      </c>
      <c r="N75" s="278">
        <v>0</v>
      </c>
      <c r="O75" s="278">
        <v>0</v>
      </c>
      <c r="P75" s="278">
        <v>0</v>
      </c>
      <c r="Q75" s="278">
        <v>0</v>
      </c>
      <c r="R75" s="278">
        <v>0</v>
      </c>
      <c r="S75" s="278">
        <v>1</v>
      </c>
      <c r="T75" s="278">
        <v>0</v>
      </c>
      <c r="U75" s="278">
        <v>0</v>
      </c>
      <c r="V75" s="278">
        <v>0</v>
      </c>
      <c r="W75" s="278">
        <v>0</v>
      </c>
      <c r="X75" s="278">
        <v>0</v>
      </c>
      <c r="Y75" s="278">
        <v>0</v>
      </c>
      <c r="Z75" s="278">
        <v>7</v>
      </c>
      <c r="AA75" s="278">
        <v>0</v>
      </c>
      <c r="AB75" s="278">
        <v>0</v>
      </c>
      <c r="AC75" s="278">
        <v>0</v>
      </c>
      <c r="AD75" s="279">
        <v>0</v>
      </c>
      <c r="AE75" s="279">
        <v>0</v>
      </c>
      <c r="AF75" s="279"/>
      <c r="AG75" s="15">
        <f t="shared" si="39"/>
        <v>8</v>
      </c>
    </row>
    <row r="76" spans="1:33" ht="15.75" customHeight="1" x14ac:dyDescent="0.25">
      <c r="A76" s="280" t="s">
        <v>37</v>
      </c>
      <c r="B76" s="278">
        <v>2</v>
      </c>
      <c r="C76" s="278">
        <v>0</v>
      </c>
      <c r="D76" s="278">
        <v>0</v>
      </c>
      <c r="E76" s="278">
        <v>0</v>
      </c>
      <c r="F76" s="278">
        <v>0</v>
      </c>
      <c r="G76" s="278">
        <v>0</v>
      </c>
      <c r="H76" s="278">
        <v>0</v>
      </c>
      <c r="I76" s="278">
        <v>0</v>
      </c>
      <c r="J76" s="278">
        <v>0</v>
      </c>
      <c r="K76" s="278">
        <v>0</v>
      </c>
      <c r="L76" s="278">
        <v>0</v>
      </c>
      <c r="M76" s="278">
        <v>0</v>
      </c>
      <c r="N76" s="278">
        <v>0</v>
      </c>
      <c r="O76" s="278">
        <v>0</v>
      </c>
      <c r="P76" s="278">
        <v>0</v>
      </c>
      <c r="Q76" s="278">
        <v>0</v>
      </c>
      <c r="R76" s="278">
        <v>0</v>
      </c>
      <c r="S76" s="278">
        <v>0</v>
      </c>
      <c r="T76" s="278">
        <v>0</v>
      </c>
      <c r="U76" s="278">
        <v>0</v>
      </c>
      <c r="V76" s="278">
        <v>2</v>
      </c>
      <c r="W76" s="278">
        <v>0</v>
      </c>
      <c r="X76" s="278">
        <v>0</v>
      </c>
      <c r="Y76" s="278">
        <v>0</v>
      </c>
      <c r="Z76" s="278">
        <v>0</v>
      </c>
      <c r="AA76" s="278">
        <v>0</v>
      </c>
      <c r="AB76" s="278">
        <v>0</v>
      </c>
      <c r="AC76" s="278">
        <v>0</v>
      </c>
      <c r="AD76" s="279">
        <v>0</v>
      </c>
      <c r="AE76" s="279">
        <v>0</v>
      </c>
      <c r="AF76" s="279"/>
      <c r="AG76" s="15">
        <f t="shared" si="39"/>
        <v>4</v>
      </c>
    </row>
    <row r="77" spans="1:33" ht="15.75" customHeight="1" thickBot="1" x14ac:dyDescent="0.3">
      <c r="A77" s="285" t="s">
        <v>38</v>
      </c>
      <c r="B77" s="282">
        <v>0</v>
      </c>
      <c r="C77" s="282">
        <v>0</v>
      </c>
      <c r="D77" s="282">
        <v>0</v>
      </c>
      <c r="E77" s="282">
        <v>0</v>
      </c>
      <c r="F77" s="282">
        <v>0</v>
      </c>
      <c r="G77" s="282">
        <v>0</v>
      </c>
      <c r="H77" s="282">
        <v>0</v>
      </c>
      <c r="I77" s="282">
        <v>0</v>
      </c>
      <c r="J77" s="282">
        <v>0</v>
      </c>
      <c r="K77" s="282">
        <v>0</v>
      </c>
      <c r="L77" s="282">
        <v>0</v>
      </c>
      <c r="M77" s="282">
        <v>0</v>
      </c>
      <c r="N77" s="282">
        <v>0</v>
      </c>
      <c r="O77" s="282">
        <v>0</v>
      </c>
      <c r="P77" s="282">
        <v>0</v>
      </c>
      <c r="Q77" s="282">
        <v>0</v>
      </c>
      <c r="R77" s="282">
        <v>0</v>
      </c>
      <c r="S77" s="282">
        <v>0</v>
      </c>
      <c r="T77" s="282">
        <v>0</v>
      </c>
      <c r="U77" s="282">
        <v>2</v>
      </c>
      <c r="V77" s="282">
        <v>0</v>
      </c>
      <c r="W77" s="282">
        <v>0</v>
      </c>
      <c r="X77" s="282">
        <v>0</v>
      </c>
      <c r="Y77" s="282">
        <v>0</v>
      </c>
      <c r="Z77" s="282">
        <v>0</v>
      </c>
      <c r="AA77" s="282">
        <v>0</v>
      </c>
      <c r="AB77" s="282">
        <v>0</v>
      </c>
      <c r="AC77" s="282">
        <v>0</v>
      </c>
      <c r="AD77" s="286">
        <v>0</v>
      </c>
      <c r="AE77" s="286">
        <v>0</v>
      </c>
      <c r="AF77" s="286"/>
      <c r="AG77" s="26">
        <f t="shared" si="39"/>
        <v>2</v>
      </c>
    </row>
    <row r="78" spans="1:33" ht="19.5" customHeight="1" thickBot="1" x14ac:dyDescent="0.3">
      <c r="A78" s="287" t="s">
        <v>41</v>
      </c>
      <c r="B78" s="33">
        <f t="shared" ref="B78:AF78" si="40">SUM(B79:B80)</f>
        <v>264</v>
      </c>
      <c r="C78" s="33">
        <f t="shared" ref="C78:AC78" si="41">SUM(C79:C80)</f>
        <v>274</v>
      </c>
      <c r="D78" s="33">
        <f t="shared" ref="D78" si="42">SUM(D79:D80)</f>
        <v>238</v>
      </c>
      <c r="E78" s="33">
        <f t="shared" si="41"/>
        <v>242</v>
      </c>
      <c r="F78" s="33">
        <f t="shared" si="41"/>
        <v>246</v>
      </c>
      <c r="G78" s="33">
        <f t="shared" si="41"/>
        <v>324</v>
      </c>
      <c r="H78" s="33">
        <f t="shared" si="41"/>
        <v>305</v>
      </c>
      <c r="I78" s="33">
        <f t="shared" si="41"/>
        <v>261</v>
      </c>
      <c r="J78" s="33">
        <f t="shared" si="41"/>
        <v>245</v>
      </c>
      <c r="K78" s="33">
        <f t="shared" si="41"/>
        <v>214</v>
      </c>
      <c r="L78" s="33">
        <f t="shared" si="41"/>
        <v>215</v>
      </c>
      <c r="M78" s="33">
        <f t="shared" si="41"/>
        <v>244</v>
      </c>
      <c r="N78" s="33">
        <f t="shared" si="41"/>
        <v>292</v>
      </c>
      <c r="O78" s="33">
        <f t="shared" si="41"/>
        <v>250</v>
      </c>
      <c r="P78" s="33">
        <f t="shared" si="41"/>
        <v>255</v>
      </c>
      <c r="Q78" s="33">
        <f t="shared" si="41"/>
        <v>230</v>
      </c>
      <c r="R78" s="33">
        <f t="shared" si="41"/>
        <v>183</v>
      </c>
      <c r="S78" s="33">
        <f t="shared" si="41"/>
        <v>202</v>
      </c>
      <c r="T78" s="33">
        <f t="shared" si="41"/>
        <v>225</v>
      </c>
      <c r="U78" s="33">
        <f t="shared" si="41"/>
        <v>277</v>
      </c>
      <c r="V78" s="33">
        <f t="shared" si="41"/>
        <v>243</v>
      </c>
      <c r="W78" s="33">
        <f t="shared" si="41"/>
        <v>251</v>
      </c>
      <c r="X78" s="33">
        <f t="shared" si="41"/>
        <v>239</v>
      </c>
      <c r="Y78" s="33">
        <f t="shared" si="41"/>
        <v>223</v>
      </c>
      <c r="Z78" s="33">
        <f t="shared" si="41"/>
        <v>207</v>
      </c>
      <c r="AA78" s="33">
        <f t="shared" si="41"/>
        <v>195</v>
      </c>
      <c r="AB78" s="33">
        <f t="shared" si="41"/>
        <v>292</v>
      </c>
      <c r="AC78" s="33">
        <f t="shared" si="41"/>
        <v>251</v>
      </c>
      <c r="AD78" s="33">
        <f t="shared" si="40"/>
        <v>241</v>
      </c>
      <c r="AE78" s="33">
        <f t="shared" si="40"/>
        <v>220</v>
      </c>
      <c r="AF78" s="33">
        <f t="shared" si="40"/>
        <v>0</v>
      </c>
      <c r="AG78" s="27">
        <f t="shared" si="39"/>
        <v>7348</v>
      </c>
    </row>
    <row r="79" spans="1:33" ht="19.5" customHeight="1" x14ac:dyDescent="0.25">
      <c r="A79" s="288" t="s">
        <v>42</v>
      </c>
      <c r="B79" s="10">
        <f t="shared" ref="B79" si="43">SUM(B4:B27)-B80</f>
        <v>264</v>
      </c>
      <c r="C79" s="10">
        <f t="shared" ref="C79" si="44">SUM(C4:C27)-C80</f>
        <v>274</v>
      </c>
      <c r="D79" s="10">
        <f t="shared" ref="D79" si="45">SUM(D4:D27)-D80</f>
        <v>238</v>
      </c>
      <c r="E79" s="10">
        <f t="shared" ref="E79:AC79" si="46">SUM(E4:E27)-E80</f>
        <v>242</v>
      </c>
      <c r="F79" s="10">
        <f t="shared" si="46"/>
        <v>246</v>
      </c>
      <c r="G79" s="10">
        <f t="shared" si="46"/>
        <v>324</v>
      </c>
      <c r="H79" s="10">
        <f t="shared" si="46"/>
        <v>305</v>
      </c>
      <c r="I79" s="10">
        <f t="shared" si="46"/>
        <v>261</v>
      </c>
      <c r="J79" s="10">
        <f t="shared" si="46"/>
        <v>245</v>
      </c>
      <c r="K79" s="10">
        <f t="shared" si="46"/>
        <v>214</v>
      </c>
      <c r="L79" s="10">
        <f t="shared" si="46"/>
        <v>215</v>
      </c>
      <c r="M79" s="10">
        <f t="shared" si="46"/>
        <v>244</v>
      </c>
      <c r="N79" s="10">
        <f t="shared" si="46"/>
        <v>292</v>
      </c>
      <c r="O79" s="10">
        <f t="shared" si="46"/>
        <v>250</v>
      </c>
      <c r="P79" s="10">
        <f t="shared" si="46"/>
        <v>255</v>
      </c>
      <c r="Q79" s="10">
        <f t="shared" si="46"/>
        <v>230</v>
      </c>
      <c r="R79" s="10">
        <f t="shared" si="46"/>
        <v>183</v>
      </c>
      <c r="S79" s="10">
        <f t="shared" si="46"/>
        <v>202</v>
      </c>
      <c r="T79" s="10">
        <f t="shared" si="46"/>
        <v>225</v>
      </c>
      <c r="U79" s="10">
        <f t="shared" si="46"/>
        <v>277</v>
      </c>
      <c r="V79" s="10">
        <f t="shared" si="46"/>
        <v>243</v>
      </c>
      <c r="W79" s="10">
        <f t="shared" si="46"/>
        <v>251</v>
      </c>
      <c r="X79" s="10">
        <f t="shared" si="46"/>
        <v>239</v>
      </c>
      <c r="Y79" s="10">
        <f t="shared" si="46"/>
        <v>223</v>
      </c>
      <c r="Z79" s="10">
        <f t="shared" si="46"/>
        <v>207</v>
      </c>
      <c r="AA79" s="10">
        <f t="shared" si="46"/>
        <v>195</v>
      </c>
      <c r="AB79" s="10">
        <f t="shared" si="46"/>
        <v>292</v>
      </c>
      <c r="AC79" s="10">
        <f t="shared" si="46"/>
        <v>251</v>
      </c>
      <c r="AD79" s="10">
        <f t="shared" ref="AD79:AF79" si="47">SUM(AD4:AD27)-AD80</f>
        <v>241</v>
      </c>
      <c r="AE79" s="10">
        <f t="shared" si="47"/>
        <v>220</v>
      </c>
      <c r="AF79" s="10">
        <f t="shared" si="47"/>
        <v>0</v>
      </c>
      <c r="AG79" s="11">
        <f t="shared" si="39"/>
        <v>7348</v>
      </c>
    </row>
    <row r="80" spans="1:33" ht="19.5" customHeight="1" thickBot="1" x14ac:dyDescent="0.3">
      <c r="A80" s="289" t="s">
        <v>43</v>
      </c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290"/>
      <c r="S80" s="290"/>
      <c r="T80" s="290"/>
      <c r="U80" s="290"/>
      <c r="V80" s="290"/>
      <c r="W80" s="290"/>
      <c r="X80" s="290"/>
      <c r="Y80" s="290"/>
      <c r="Z80" s="290"/>
      <c r="AA80" s="290"/>
      <c r="AB80" s="290"/>
      <c r="AC80" s="290"/>
      <c r="AD80" s="290"/>
      <c r="AE80" s="290"/>
      <c r="AF80" s="290"/>
      <c r="AG80" s="26">
        <f t="shared" si="39"/>
        <v>0</v>
      </c>
    </row>
    <row r="81" spans="1:34" ht="15.75" customHeight="1" thickBot="1" x14ac:dyDescent="0.3">
      <c r="A81" s="287" t="s">
        <v>44</v>
      </c>
      <c r="B81" s="34">
        <f t="shared" ref="B81:AF81" si="48">SUM(B82:B83)</f>
        <v>6</v>
      </c>
      <c r="C81" s="34">
        <f t="shared" ref="C81:AC81" si="49">SUM(C82:C83)</f>
        <v>88</v>
      </c>
      <c r="D81" s="34">
        <f t="shared" ref="D81" si="50">SUM(D82:D83)</f>
        <v>39</v>
      </c>
      <c r="E81" s="34">
        <f t="shared" si="49"/>
        <v>34</v>
      </c>
      <c r="F81" s="34">
        <f t="shared" si="49"/>
        <v>15</v>
      </c>
      <c r="G81" s="34">
        <f t="shared" si="49"/>
        <v>75</v>
      </c>
      <c r="H81" s="34">
        <f t="shared" si="49"/>
        <v>64</v>
      </c>
      <c r="I81" s="34">
        <f t="shared" si="49"/>
        <v>27</v>
      </c>
      <c r="J81" s="34">
        <f t="shared" si="49"/>
        <v>31</v>
      </c>
      <c r="K81" s="34">
        <f t="shared" si="49"/>
        <v>22</v>
      </c>
      <c r="L81" s="34">
        <f t="shared" si="49"/>
        <v>3</v>
      </c>
      <c r="M81" s="34">
        <f t="shared" si="49"/>
        <v>31</v>
      </c>
      <c r="N81" s="34">
        <f t="shared" si="49"/>
        <v>66</v>
      </c>
      <c r="O81" s="34">
        <f t="shared" si="49"/>
        <v>58</v>
      </c>
      <c r="P81" s="34">
        <f t="shared" si="49"/>
        <v>37</v>
      </c>
      <c r="Q81" s="34">
        <f t="shared" si="49"/>
        <v>25</v>
      </c>
      <c r="R81" s="34">
        <f t="shared" si="49"/>
        <v>10</v>
      </c>
      <c r="S81" s="34">
        <f t="shared" si="49"/>
        <v>22</v>
      </c>
      <c r="T81" s="34">
        <f t="shared" si="49"/>
        <v>33</v>
      </c>
      <c r="U81" s="34">
        <f t="shared" si="49"/>
        <v>74</v>
      </c>
      <c r="V81" s="34">
        <f t="shared" si="49"/>
        <v>66</v>
      </c>
      <c r="W81" s="34">
        <f t="shared" si="49"/>
        <v>54</v>
      </c>
      <c r="X81" s="34">
        <f t="shared" si="49"/>
        <v>50</v>
      </c>
      <c r="Y81" s="34">
        <f t="shared" si="49"/>
        <v>51</v>
      </c>
      <c r="Z81" s="34">
        <f t="shared" si="49"/>
        <v>33</v>
      </c>
      <c r="AA81" s="34">
        <f t="shared" si="49"/>
        <v>22</v>
      </c>
      <c r="AB81" s="34">
        <f t="shared" si="49"/>
        <v>75</v>
      </c>
      <c r="AC81" s="34">
        <f t="shared" si="49"/>
        <v>21</v>
      </c>
      <c r="AD81" s="34">
        <f t="shared" si="48"/>
        <v>22</v>
      </c>
      <c r="AE81" s="34">
        <f t="shared" si="48"/>
        <v>16</v>
      </c>
      <c r="AF81" s="34">
        <f t="shared" si="48"/>
        <v>0</v>
      </c>
      <c r="AG81" s="27">
        <f t="shared" si="39"/>
        <v>1170</v>
      </c>
      <c r="AH81" s="271" t="str">
        <f>IF(AG81&lt;&gt;AG53,"*","")</f>
        <v/>
      </c>
    </row>
    <row r="82" spans="1:34" ht="15.75" customHeight="1" x14ac:dyDescent="0.25">
      <c r="A82" s="288" t="s">
        <v>43</v>
      </c>
      <c r="B82" s="10">
        <f t="shared" ref="B82:AF82" si="51">SUM(B54:B62)</f>
        <v>0</v>
      </c>
      <c r="C82" s="10">
        <f t="shared" ref="C82:AC82" si="52">SUM(C54:C62)</f>
        <v>4</v>
      </c>
      <c r="D82" s="10">
        <f t="shared" ref="D82" si="53">SUM(D54:D62)</f>
        <v>19</v>
      </c>
      <c r="E82" s="10">
        <f t="shared" si="52"/>
        <v>3</v>
      </c>
      <c r="F82" s="10">
        <f t="shared" si="52"/>
        <v>2</v>
      </c>
      <c r="G82" s="10">
        <f t="shared" si="52"/>
        <v>20</v>
      </c>
      <c r="H82" s="10">
        <f t="shared" si="52"/>
        <v>19</v>
      </c>
      <c r="I82" s="10">
        <f t="shared" si="52"/>
        <v>16</v>
      </c>
      <c r="J82" s="10">
        <f t="shared" si="52"/>
        <v>9</v>
      </c>
      <c r="K82" s="10">
        <f t="shared" si="52"/>
        <v>11</v>
      </c>
      <c r="L82" s="10">
        <f t="shared" si="52"/>
        <v>1</v>
      </c>
      <c r="M82" s="10">
        <f t="shared" si="52"/>
        <v>8</v>
      </c>
      <c r="N82" s="10">
        <f t="shared" si="52"/>
        <v>8</v>
      </c>
      <c r="O82" s="10">
        <f t="shared" si="52"/>
        <v>13</v>
      </c>
      <c r="P82" s="10">
        <f t="shared" si="52"/>
        <v>7</v>
      </c>
      <c r="Q82" s="10">
        <f t="shared" si="52"/>
        <v>3</v>
      </c>
      <c r="R82" s="10">
        <f t="shared" si="52"/>
        <v>7</v>
      </c>
      <c r="S82" s="10">
        <f t="shared" si="52"/>
        <v>6</v>
      </c>
      <c r="T82" s="10">
        <f t="shared" si="52"/>
        <v>3</v>
      </c>
      <c r="U82" s="10">
        <f t="shared" si="52"/>
        <v>16</v>
      </c>
      <c r="V82" s="10">
        <f t="shared" si="52"/>
        <v>4</v>
      </c>
      <c r="W82" s="10">
        <f t="shared" si="52"/>
        <v>9</v>
      </c>
      <c r="X82" s="10">
        <f t="shared" si="52"/>
        <v>16</v>
      </c>
      <c r="Y82" s="10">
        <f t="shared" si="52"/>
        <v>18</v>
      </c>
      <c r="Z82" s="10">
        <f t="shared" si="52"/>
        <v>3</v>
      </c>
      <c r="AA82" s="10">
        <f t="shared" si="52"/>
        <v>3</v>
      </c>
      <c r="AB82" s="10">
        <f t="shared" si="52"/>
        <v>6</v>
      </c>
      <c r="AC82" s="10">
        <f t="shared" si="52"/>
        <v>7</v>
      </c>
      <c r="AD82" s="10">
        <f t="shared" si="51"/>
        <v>10</v>
      </c>
      <c r="AE82" s="10">
        <f t="shared" si="51"/>
        <v>8</v>
      </c>
      <c r="AF82" s="10">
        <f t="shared" si="51"/>
        <v>0</v>
      </c>
      <c r="AG82" s="11">
        <f t="shared" si="39"/>
        <v>259</v>
      </c>
    </row>
    <row r="83" spans="1:34" ht="15.75" customHeight="1" thickBot="1" x14ac:dyDescent="0.3">
      <c r="A83" s="289" t="s">
        <v>42</v>
      </c>
      <c r="B83" s="25">
        <f t="shared" ref="B83:AF83" si="54">SUM(B54:B77)-B82</f>
        <v>6</v>
      </c>
      <c r="C83" s="25">
        <f t="shared" ref="C83:AC83" si="55">SUM(C54:C77)-C82</f>
        <v>84</v>
      </c>
      <c r="D83" s="25">
        <f t="shared" ref="D83" si="56">SUM(D54:D77)-D82</f>
        <v>20</v>
      </c>
      <c r="E83" s="25">
        <f t="shared" si="55"/>
        <v>31</v>
      </c>
      <c r="F83" s="25">
        <f t="shared" si="55"/>
        <v>13</v>
      </c>
      <c r="G83" s="25">
        <f t="shared" si="55"/>
        <v>55</v>
      </c>
      <c r="H83" s="25">
        <f t="shared" si="55"/>
        <v>45</v>
      </c>
      <c r="I83" s="25">
        <f t="shared" si="55"/>
        <v>11</v>
      </c>
      <c r="J83" s="25">
        <f t="shared" si="55"/>
        <v>22</v>
      </c>
      <c r="K83" s="25">
        <f t="shared" si="55"/>
        <v>11</v>
      </c>
      <c r="L83" s="25">
        <f t="shared" si="55"/>
        <v>2</v>
      </c>
      <c r="M83" s="25">
        <f t="shared" si="55"/>
        <v>23</v>
      </c>
      <c r="N83" s="25">
        <f t="shared" si="55"/>
        <v>58</v>
      </c>
      <c r="O83" s="25">
        <f t="shared" si="55"/>
        <v>45</v>
      </c>
      <c r="P83" s="25">
        <f t="shared" si="55"/>
        <v>30</v>
      </c>
      <c r="Q83" s="25">
        <f t="shared" si="55"/>
        <v>22</v>
      </c>
      <c r="R83" s="25">
        <f t="shared" si="55"/>
        <v>3</v>
      </c>
      <c r="S83" s="25">
        <f t="shared" si="55"/>
        <v>16</v>
      </c>
      <c r="T83" s="25">
        <f t="shared" si="55"/>
        <v>30</v>
      </c>
      <c r="U83" s="25">
        <f t="shared" si="55"/>
        <v>58</v>
      </c>
      <c r="V83" s="25">
        <f t="shared" si="55"/>
        <v>62</v>
      </c>
      <c r="W83" s="25">
        <f t="shared" si="55"/>
        <v>45</v>
      </c>
      <c r="X83" s="25">
        <f t="shared" si="55"/>
        <v>34</v>
      </c>
      <c r="Y83" s="25">
        <f t="shared" si="55"/>
        <v>33</v>
      </c>
      <c r="Z83" s="25">
        <f t="shared" si="55"/>
        <v>30</v>
      </c>
      <c r="AA83" s="25">
        <f t="shared" si="55"/>
        <v>19</v>
      </c>
      <c r="AB83" s="25">
        <f t="shared" si="55"/>
        <v>69</v>
      </c>
      <c r="AC83" s="25">
        <f t="shared" si="55"/>
        <v>14</v>
      </c>
      <c r="AD83" s="25">
        <f t="shared" si="54"/>
        <v>12</v>
      </c>
      <c r="AE83" s="25">
        <f t="shared" si="54"/>
        <v>8</v>
      </c>
      <c r="AF83" s="25">
        <f t="shared" si="54"/>
        <v>0</v>
      </c>
      <c r="AG83" s="15">
        <f t="shared" si="39"/>
        <v>911</v>
      </c>
    </row>
    <row r="84" spans="1:34" ht="15.75" customHeight="1" thickBot="1" x14ac:dyDescent="0.3">
      <c r="A84" s="291" t="s">
        <v>45</v>
      </c>
      <c r="B84" s="43">
        <f t="shared" ref="B84:AF84" si="57">SUM(B85:B86)</f>
        <v>6</v>
      </c>
      <c r="C84" s="43">
        <f t="shared" ref="C84:AC84" si="58">SUM(C85:C86)</f>
        <v>88</v>
      </c>
      <c r="D84" s="43">
        <f t="shared" ref="D84" si="59">SUM(D85:D86)</f>
        <v>39</v>
      </c>
      <c r="E84" s="43">
        <f t="shared" si="58"/>
        <v>34</v>
      </c>
      <c r="F84" s="43">
        <f t="shared" si="58"/>
        <v>15</v>
      </c>
      <c r="G84" s="43">
        <f t="shared" si="58"/>
        <v>75</v>
      </c>
      <c r="H84" s="43">
        <f t="shared" si="58"/>
        <v>64</v>
      </c>
      <c r="I84" s="43">
        <f t="shared" si="58"/>
        <v>27</v>
      </c>
      <c r="J84" s="43">
        <f t="shared" si="58"/>
        <v>31</v>
      </c>
      <c r="K84" s="43">
        <f t="shared" si="58"/>
        <v>22</v>
      </c>
      <c r="L84" s="43">
        <f t="shared" si="58"/>
        <v>3</v>
      </c>
      <c r="M84" s="43">
        <f t="shared" si="58"/>
        <v>31</v>
      </c>
      <c r="N84" s="43">
        <f t="shared" si="58"/>
        <v>66</v>
      </c>
      <c r="O84" s="43">
        <f t="shared" si="58"/>
        <v>58</v>
      </c>
      <c r="P84" s="43">
        <f t="shared" si="58"/>
        <v>37</v>
      </c>
      <c r="Q84" s="43">
        <f t="shared" si="58"/>
        <v>25</v>
      </c>
      <c r="R84" s="43">
        <f t="shared" si="58"/>
        <v>10</v>
      </c>
      <c r="S84" s="43">
        <f t="shared" si="58"/>
        <v>22</v>
      </c>
      <c r="T84" s="43">
        <f t="shared" si="58"/>
        <v>33</v>
      </c>
      <c r="U84" s="43">
        <f t="shared" si="58"/>
        <v>74</v>
      </c>
      <c r="V84" s="43">
        <f t="shared" si="58"/>
        <v>66</v>
      </c>
      <c r="W84" s="43">
        <f t="shared" si="58"/>
        <v>54</v>
      </c>
      <c r="X84" s="43">
        <f t="shared" si="58"/>
        <v>50</v>
      </c>
      <c r="Y84" s="43">
        <f t="shared" si="58"/>
        <v>51</v>
      </c>
      <c r="Z84" s="43">
        <f t="shared" si="58"/>
        <v>33</v>
      </c>
      <c r="AA84" s="43">
        <f t="shared" si="58"/>
        <v>22</v>
      </c>
      <c r="AB84" s="43">
        <f t="shared" si="58"/>
        <v>75</v>
      </c>
      <c r="AC84" s="43">
        <f t="shared" si="58"/>
        <v>21</v>
      </c>
      <c r="AD84" s="43">
        <f t="shared" si="57"/>
        <v>22</v>
      </c>
      <c r="AE84" s="43">
        <f t="shared" si="57"/>
        <v>16</v>
      </c>
      <c r="AF84" s="43">
        <f t="shared" si="57"/>
        <v>0</v>
      </c>
      <c r="AG84" s="44">
        <f t="shared" si="39"/>
        <v>1170</v>
      </c>
      <c r="AH84" s="271" t="str">
        <f>IF(AG84&lt;&gt;AG82+AG83,"*","")</f>
        <v/>
      </c>
    </row>
    <row r="85" spans="1:34" ht="15.75" customHeight="1" x14ac:dyDescent="0.25">
      <c r="A85" s="292" t="s">
        <v>47</v>
      </c>
      <c r="B85" s="293">
        <v>3</v>
      </c>
      <c r="C85" s="293">
        <v>20</v>
      </c>
      <c r="D85" s="293">
        <v>8</v>
      </c>
      <c r="E85" s="293">
        <v>7</v>
      </c>
      <c r="F85" s="293">
        <v>3</v>
      </c>
      <c r="G85" s="293">
        <v>22</v>
      </c>
      <c r="H85" s="293">
        <v>19</v>
      </c>
      <c r="I85" s="293">
        <v>6</v>
      </c>
      <c r="J85" s="293">
        <v>4</v>
      </c>
      <c r="K85" s="293">
        <v>4</v>
      </c>
      <c r="L85" s="293">
        <v>0</v>
      </c>
      <c r="M85" s="293">
        <v>11</v>
      </c>
      <c r="N85" s="293">
        <v>18</v>
      </c>
      <c r="O85" s="293">
        <v>13</v>
      </c>
      <c r="P85" s="293">
        <v>7</v>
      </c>
      <c r="Q85" s="293">
        <v>7</v>
      </c>
      <c r="R85" s="293">
        <v>2</v>
      </c>
      <c r="S85" s="293">
        <v>6</v>
      </c>
      <c r="T85" s="293">
        <v>7</v>
      </c>
      <c r="U85" s="293">
        <v>17</v>
      </c>
      <c r="V85" s="293">
        <v>14</v>
      </c>
      <c r="W85" s="293">
        <v>14</v>
      </c>
      <c r="X85" s="293">
        <v>16</v>
      </c>
      <c r="Y85" s="293">
        <v>11</v>
      </c>
      <c r="Z85" s="293">
        <v>3</v>
      </c>
      <c r="AA85" s="293">
        <v>6</v>
      </c>
      <c r="AB85" s="293">
        <v>24</v>
      </c>
      <c r="AC85" s="293">
        <v>3</v>
      </c>
      <c r="AD85" s="293">
        <v>8</v>
      </c>
      <c r="AE85" s="293">
        <v>2</v>
      </c>
      <c r="AF85" s="293"/>
      <c r="AG85" s="48">
        <f t="shared" si="39"/>
        <v>285</v>
      </c>
    </row>
    <row r="86" spans="1:34" ht="15.75" customHeight="1" thickBot="1" x14ac:dyDescent="0.3">
      <c r="A86" s="294" t="s">
        <v>48</v>
      </c>
      <c r="B86" s="295">
        <v>3</v>
      </c>
      <c r="C86" s="295">
        <v>68</v>
      </c>
      <c r="D86" s="295">
        <v>31</v>
      </c>
      <c r="E86" s="295">
        <v>27</v>
      </c>
      <c r="F86" s="295">
        <v>12</v>
      </c>
      <c r="G86" s="295">
        <v>53</v>
      </c>
      <c r="H86" s="295">
        <v>45</v>
      </c>
      <c r="I86" s="295">
        <v>21</v>
      </c>
      <c r="J86" s="295">
        <v>27</v>
      </c>
      <c r="K86" s="295">
        <v>18</v>
      </c>
      <c r="L86" s="295">
        <v>3</v>
      </c>
      <c r="M86" s="295">
        <v>20</v>
      </c>
      <c r="N86" s="295">
        <v>48</v>
      </c>
      <c r="O86" s="295">
        <v>45</v>
      </c>
      <c r="P86" s="295">
        <v>30</v>
      </c>
      <c r="Q86" s="295">
        <v>18</v>
      </c>
      <c r="R86" s="295">
        <v>8</v>
      </c>
      <c r="S86" s="295">
        <v>16</v>
      </c>
      <c r="T86" s="295">
        <v>26</v>
      </c>
      <c r="U86" s="295">
        <v>57</v>
      </c>
      <c r="V86" s="295">
        <v>52</v>
      </c>
      <c r="W86" s="295">
        <v>40</v>
      </c>
      <c r="X86" s="295">
        <v>34</v>
      </c>
      <c r="Y86" s="295">
        <v>40</v>
      </c>
      <c r="Z86" s="295">
        <v>30</v>
      </c>
      <c r="AA86" s="295">
        <v>16</v>
      </c>
      <c r="AB86" s="295">
        <v>51</v>
      </c>
      <c r="AC86" s="295">
        <v>18</v>
      </c>
      <c r="AD86" s="295">
        <v>14</v>
      </c>
      <c r="AE86" s="295">
        <v>14</v>
      </c>
      <c r="AF86" s="295"/>
      <c r="AG86" s="52">
        <f t="shared" si="39"/>
        <v>885</v>
      </c>
    </row>
    <row r="87" spans="1:34" ht="15.75" customHeight="1" thickBot="1" x14ac:dyDescent="0.3">
      <c r="A87" s="296" t="s">
        <v>49</v>
      </c>
      <c r="B87" s="55">
        <f t="shared" ref="B87:AF87" si="60">SUM(B88:B92)</f>
        <v>6</v>
      </c>
      <c r="C87" s="55">
        <f t="shared" ref="C87:AC87" si="61">SUM(C88:C92)</f>
        <v>88</v>
      </c>
      <c r="D87" s="55">
        <f t="shared" ref="D87" si="62">SUM(D88:D92)</f>
        <v>39</v>
      </c>
      <c r="E87" s="55">
        <f t="shared" si="61"/>
        <v>34</v>
      </c>
      <c r="F87" s="55">
        <f t="shared" si="61"/>
        <v>15</v>
      </c>
      <c r="G87" s="55">
        <f t="shared" si="61"/>
        <v>75</v>
      </c>
      <c r="H87" s="55">
        <f t="shared" si="61"/>
        <v>64</v>
      </c>
      <c r="I87" s="55">
        <f t="shared" si="61"/>
        <v>27</v>
      </c>
      <c r="J87" s="55">
        <f t="shared" si="61"/>
        <v>31</v>
      </c>
      <c r="K87" s="55">
        <f t="shared" si="61"/>
        <v>22</v>
      </c>
      <c r="L87" s="55">
        <f t="shared" si="61"/>
        <v>3</v>
      </c>
      <c r="M87" s="55">
        <f t="shared" si="61"/>
        <v>31</v>
      </c>
      <c r="N87" s="55">
        <f t="shared" si="61"/>
        <v>66</v>
      </c>
      <c r="O87" s="55">
        <f t="shared" si="61"/>
        <v>58</v>
      </c>
      <c r="P87" s="55">
        <f t="shared" si="61"/>
        <v>37</v>
      </c>
      <c r="Q87" s="55">
        <f t="shared" si="61"/>
        <v>25</v>
      </c>
      <c r="R87" s="55">
        <f t="shared" si="61"/>
        <v>10</v>
      </c>
      <c r="S87" s="55">
        <f t="shared" si="61"/>
        <v>22</v>
      </c>
      <c r="T87" s="55">
        <f t="shared" si="61"/>
        <v>33</v>
      </c>
      <c r="U87" s="55">
        <f t="shared" si="61"/>
        <v>74</v>
      </c>
      <c r="V87" s="55">
        <f t="shared" si="61"/>
        <v>66</v>
      </c>
      <c r="W87" s="55">
        <f t="shared" si="61"/>
        <v>54</v>
      </c>
      <c r="X87" s="55">
        <f t="shared" si="61"/>
        <v>50</v>
      </c>
      <c r="Y87" s="55">
        <f t="shared" si="61"/>
        <v>51</v>
      </c>
      <c r="Z87" s="55">
        <f t="shared" si="61"/>
        <v>33</v>
      </c>
      <c r="AA87" s="55">
        <f t="shared" si="61"/>
        <v>22</v>
      </c>
      <c r="AB87" s="55">
        <f t="shared" si="61"/>
        <v>75</v>
      </c>
      <c r="AC87" s="55">
        <f t="shared" si="61"/>
        <v>21</v>
      </c>
      <c r="AD87" s="55">
        <f t="shared" si="60"/>
        <v>22</v>
      </c>
      <c r="AE87" s="55">
        <f t="shared" si="60"/>
        <v>16</v>
      </c>
      <c r="AF87" s="55">
        <f t="shared" si="60"/>
        <v>0</v>
      </c>
      <c r="AG87" s="56">
        <f t="shared" si="39"/>
        <v>1170</v>
      </c>
      <c r="AH87" s="271" t="str">
        <f>IF(AG87&lt;&gt;AG84,"*","")</f>
        <v/>
      </c>
    </row>
    <row r="88" spans="1:34" ht="15.75" customHeight="1" x14ac:dyDescent="0.25">
      <c r="A88" s="297" t="s">
        <v>50</v>
      </c>
      <c r="B88" s="284">
        <v>1</v>
      </c>
      <c r="C88" s="284">
        <v>10</v>
      </c>
      <c r="D88" s="284">
        <v>7</v>
      </c>
      <c r="E88" s="284">
        <v>2</v>
      </c>
      <c r="F88" s="284">
        <v>2</v>
      </c>
      <c r="G88" s="284">
        <v>13</v>
      </c>
      <c r="H88" s="284">
        <v>11</v>
      </c>
      <c r="I88" s="284">
        <v>2</v>
      </c>
      <c r="J88" s="284">
        <v>2</v>
      </c>
      <c r="K88" s="284">
        <v>4</v>
      </c>
      <c r="L88" s="284">
        <v>2</v>
      </c>
      <c r="M88" s="284">
        <v>4</v>
      </c>
      <c r="N88" s="284">
        <v>7</v>
      </c>
      <c r="O88" s="284">
        <v>7</v>
      </c>
      <c r="P88" s="284">
        <v>2</v>
      </c>
      <c r="Q88" s="284">
        <v>1</v>
      </c>
      <c r="R88" s="284">
        <v>6</v>
      </c>
      <c r="S88" s="284">
        <v>6</v>
      </c>
      <c r="T88" s="284">
        <v>5</v>
      </c>
      <c r="U88" s="284">
        <v>9</v>
      </c>
      <c r="V88" s="284">
        <v>8</v>
      </c>
      <c r="W88" s="284">
        <v>9</v>
      </c>
      <c r="X88" s="284">
        <v>4</v>
      </c>
      <c r="Y88" s="284">
        <v>11</v>
      </c>
      <c r="Z88" s="284">
        <v>9</v>
      </c>
      <c r="AA88" s="284">
        <v>2</v>
      </c>
      <c r="AB88" s="284">
        <v>13</v>
      </c>
      <c r="AC88" s="284">
        <v>7</v>
      </c>
      <c r="AD88" s="284">
        <v>9</v>
      </c>
      <c r="AE88" s="284">
        <v>5</v>
      </c>
      <c r="AF88" s="284"/>
      <c r="AG88" s="11">
        <f t="shared" si="39"/>
        <v>180</v>
      </c>
    </row>
    <row r="89" spans="1:34" ht="15.75" customHeight="1" x14ac:dyDescent="0.25">
      <c r="A89" s="298" t="s">
        <v>51</v>
      </c>
      <c r="B89" s="284">
        <v>0</v>
      </c>
      <c r="C89" s="284">
        <v>0</v>
      </c>
      <c r="D89" s="284">
        <v>0</v>
      </c>
      <c r="E89" s="284">
        <v>0</v>
      </c>
      <c r="F89" s="284">
        <v>0</v>
      </c>
      <c r="G89" s="284">
        <v>0</v>
      </c>
      <c r="H89" s="284">
        <v>0</v>
      </c>
      <c r="I89" s="284">
        <v>0</v>
      </c>
      <c r="J89" s="284">
        <v>0</v>
      </c>
      <c r="K89" s="284">
        <v>0</v>
      </c>
      <c r="L89" s="284">
        <v>0</v>
      </c>
      <c r="M89" s="284">
        <v>0</v>
      </c>
      <c r="N89" s="284">
        <v>0</v>
      </c>
      <c r="O89" s="284">
        <v>0</v>
      </c>
      <c r="P89" s="284">
        <v>0</v>
      </c>
      <c r="Q89" s="284">
        <v>0</v>
      </c>
      <c r="R89" s="284">
        <v>0</v>
      </c>
      <c r="S89" s="284">
        <v>0</v>
      </c>
      <c r="T89" s="284">
        <v>0</v>
      </c>
      <c r="U89" s="284">
        <v>0</v>
      </c>
      <c r="V89" s="284">
        <v>0</v>
      </c>
      <c r="W89" s="284">
        <v>0</v>
      </c>
      <c r="X89" s="284">
        <v>0</v>
      </c>
      <c r="Y89" s="284">
        <v>0</v>
      </c>
      <c r="Z89" s="284">
        <v>0</v>
      </c>
      <c r="AA89" s="284">
        <v>0</v>
      </c>
      <c r="AB89" s="284">
        <v>0</v>
      </c>
      <c r="AC89" s="284">
        <v>0</v>
      </c>
      <c r="AD89" s="284">
        <v>0</v>
      </c>
      <c r="AE89" s="284">
        <v>0</v>
      </c>
      <c r="AF89" s="284"/>
      <c r="AG89" s="15">
        <f t="shared" si="39"/>
        <v>0</v>
      </c>
    </row>
    <row r="90" spans="1:34" ht="15.75" customHeight="1" x14ac:dyDescent="0.25">
      <c r="A90" s="298" t="s">
        <v>52</v>
      </c>
      <c r="B90" s="284">
        <v>0</v>
      </c>
      <c r="C90" s="284">
        <v>3</v>
      </c>
      <c r="D90" s="284">
        <v>0</v>
      </c>
      <c r="E90" s="284">
        <v>0</v>
      </c>
      <c r="F90" s="284">
        <v>0</v>
      </c>
      <c r="G90" s="284">
        <v>0</v>
      </c>
      <c r="H90" s="284">
        <v>1</v>
      </c>
      <c r="I90" s="284">
        <v>0</v>
      </c>
      <c r="J90" s="284">
        <v>0</v>
      </c>
      <c r="K90" s="284">
        <v>0</v>
      </c>
      <c r="L90" s="284">
        <v>0</v>
      </c>
      <c r="M90" s="284">
        <v>0</v>
      </c>
      <c r="N90" s="284">
        <v>0</v>
      </c>
      <c r="O90" s="284">
        <v>3</v>
      </c>
      <c r="P90" s="284">
        <v>0</v>
      </c>
      <c r="Q90" s="284">
        <v>0</v>
      </c>
      <c r="R90" s="284">
        <v>0</v>
      </c>
      <c r="S90" s="284">
        <v>0</v>
      </c>
      <c r="T90" s="284">
        <v>1</v>
      </c>
      <c r="U90" s="284">
        <v>1</v>
      </c>
      <c r="V90" s="284">
        <v>4</v>
      </c>
      <c r="W90" s="284">
        <v>0</v>
      </c>
      <c r="X90" s="284">
        <v>1</v>
      </c>
      <c r="Y90" s="284">
        <v>1</v>
      </c>
      <c r="Z90" s="284">
        <v>0</v>
      </c>
      <c r="AA90" s="284">
        <v>0</v>
      </c>
      <c r="AB90" s="284">
        <v>0</v>
      </c>
      <c r="AC90" s="284">
        <v>0</v>
      </c>
      <c r="AD90" s="284">
        <v>1</v>
      </c>
      <c r="AE90" s="284">
        <v>1</v>
      </c>
      <c r="AF90" s="284"/>
      <c r="AG90" s="15">
        <f t="shared" si="39"/>
        <v>17</v>
      </c>
    </row>
    <row r="91" spans="1:34" ht="15.75" customHeight="1" x14ac:dyDescent="0.25">
      <c r="A91" s="298" t="s">
        <v>53</v>
      </c>
      <c r="B91" s="284">
        <v>4</v>
      </c>
      <c r="C91" s="284">
        <v>51</v>
      </c>
      <c r="D91" s="284">
        <v>18</v>
      </c>
      <c r="E91" s="284">
        <v>27</v>
      </c>
      <c r="F91" s="284">
        <v>5</v>
      </c>
      <c r="G91" s="284">
        <v>36</v>
      </c>
      <c r="H91" s="284">
        <v>28</v>
      </c>
      <c r="I91" s="284">
        <v>11</v>
      </c>
      <c r="J91" s="284">
        <v>20</v>
      </c>
      <c r="K91" s="284">
        <v>12</v>
      </c>
      <c r="L91" s="284">
        <v>0</v>
      </c>
      <c r="M91" s="284">
        <v>14</v>
      </c>
      <c r="N91" s="284">
        <v>39</v>
      </c>
      <c r="O91" s="284">
        <v>34</v>
      </c>
      <c r="P91" s="284">
        <v>20</v>
      </c>
      <c r="Q91" s="284">
        <v>14</v>
      </c>
      <c r="R91" s="284">
        <v>2</v>
      </c>
      <c r="S91" s="284">
        <v>9</v>
      </c>
      <c r="T91" s="284">
        <v>16</v>
      </c>
      <c r="U91" s="284">
        <v>41</v>
      </c>
      <c r="V91" s="284">
        <v>34</v>
      </c>
      <c r="W91" s="284">
        <v>28</v>
      </c>
      <c r="X91" s="284">
        <v>16</v>
      </c>
      <c r="Y91" s="284">
        <v>20</v>
      </c>
      <c r="Z91" s="284">
        <v>15</v>
      </c>
      <c r="AA91" s="284">
        <v>11</v>
      </c>
      <c r="AB91" s="284">
        <v>46</v>
      </c>
      <c r="AC91" s="284">
        <v>7</v>
      </c>
      <c r="AD91" s="284">
        <v>10</v>
      </c>
      <c r="AE91" s="284">
        <v>5</v>
      </c>
      <c r="AF91" s="284"/>
      <c r="AG91" s="15">
        <f t="shared" si="39"/>
        <v>593</v>
      </c>
    </row>
    <row r="92" spans="1:34" ht="15.75" customHeight="1" thickBot="1" x14ac:dyDescent="0.3">
      <c r="A92" s="298" t="s">
        <v>54</v>
      </c>
      <c r="B92" s="284">
        <v>1</v>
      </c>
      <c r="C92" s="284">
        <v>24</v>
      </c>
      <c r="D92" s="284">
        <v>14</v>
      </c>
      <c r="E92" s="284">
        <v>5</v>
      </c>
      <c r="F92" s="284">
        <v>8</v>
      </c>
      <c r="G92" s="284">
        <v>26</v>
      </c>
      <c r="H92" s="284">
        <v>24</v>
      </c>
      <c r="I92" s="284">
        <v>14</v>
      </c>
      <c r="J92" s="284">
        <v>9</v>
      </c>
      <c r="K92" s="284">
        <v>6</v>
      </c>
      <c r="L92" s="284">
        <v>1</v>
      </c>
      <c r="M92" s="284">
        <v>13</v>
      </c>
      <c r="N92" s="284">
        <v>20</v>
      </c>
      <c r="O92" s="284">
        <v>14</v>
      </c>
      <c r="P92" s="284">
        <v>15</v>
      </c>
      <c r="Q92" s="284">
        <v>10</v>
      </c>
      <c r="R92" s="284">
        <v>2</v>
      </c>
      <c r="S92" s="284">
        <v>7</v>
      </c>
      <c r="T92" s="284">
        <v>11</v>
      </c>
      <c r="U92" s="284">
        <v>23</v>
      </c>
      <c r="V92" s="284">
        <v>20</v>
      </c>
      <c r="W92" s="284">
        <v>17</v>
      </c>
      <c r="X92" s="284">
        <v>29</v>
      </c>
      <c r="Y92" s="284">
        <v>19</v>
      </c>
      <c r="Z92" s="284">
        <v>9</v>
      </c>
      <c r="AA92" s="284">
        <v>9</v>
      </c>
      <c r="AB92" s="284">
        <v>16</v>
      </c>
      <c r="AC92" s="284">
        <v>7</v>
      </c>
      <c r="AD92" s="284">
        <v>2</v>
      </c>
      <c r="AE92" s="284">
        <v>5</v>
      </c>
      <c r="AF92" s="284"/>
      <c r="AG92" s="15">
        <f t="shared" si="39"/>
        <v>380</v>
      </c>
    </row>
    <row r="93" spans="1:34" ht="15.75" customHeight="1" x14ac:dyDescent="0.25">
      <c r="A93" s="299" t="s">
        <v>55</v>
      </c>
      <c r="B93" s="62">
        <f t="shared" ref="B93:AF93" si="63">+B94+B100</f>
        <v>258</v>
      </c>
      <c r="C93" s="62">
        <f t="shared" ref="C93:AC93" si="64">+C94+C100</f>
        <v>186</v>
      </c>
      <c r="D93" s="62">
        <f t="shared" ref="D93" si="65">+D94+D100</f>
        <v>199</v>
      </c>
      <c r="E93" s="62">
        <f t="shared" si="64"/>
        <v>208</v>
      </c>
      <c r="F93" s="62">
        <f t="shared" si="64"/>
        <v>231</v>
      </c>
      <c r="G93" s="62">
        <f t="shared" si="64"/>
        <v>249</v>
      </c>
      <c r="H93" s="62">
        <f t="shared" si="64"/>
        <v>241</v>
      </c>
      <c r="I93" s="62">
        <f t="shared" si="64"/>
        <v>234</v>
      </c>
      <c r="J93" s="62">
        <f t="shared" si="64"/>
        <v>214</v>
      </c>
      <c r="K93" s="62">
        <f t="shared" si="64"/>
        <v>192</v>
      </c>
      <c r="L93" s="62">
        <f t="shared" si="64"/>
        <v>212</v>
      </c>
      <c r="M93" s="62">
        <f t="shared" si="64"/>
        <v>213</v>
      </c>
      <c r="N93" s="62">
        <f t="shared" si="64"/>
        <v>226</v>
      </c>
      <c r="O93" s="62">
        <f t="shared" si="64"/>
        <v>192</v>
      </c>
      <c r="P93" s="62">
        <f t="shared" si="64"/>
        <v>218</v>
      </c>
      <c r="Q93" s="62">
        <f t="shared" si="64"/>
        <v>205</v>
      </c>
      <c r="R93" s="62">
        <f t="shared" si="64"/>
        <v>173</v>
      </c>
      <c r="S93" s="62">
        <f t="shared" si="64"/>
        <v>180</v>
      </c>
      <c r="T93" s="62">
        <f t="shared" si="64"/>
        <v>192</v>
      </c>
      <c r="U93" s="62">
        <f t="shared" si="64"/>
        <v>203</v>
      </c>
      <c r="V93" s="62">
        <f t="shared" si="64"/>
        <v>177</v>
      </c>
      <c r="W93" s="62">
        <f t="shared" si="64"/>
        <v>197</v>
      </c>
      <c r="X93" s="62">
        <f t="shared" si="64"/>
        <v>189</v>
      </c>
      <c r="Y93" s="62">
        <f t="shared" si="64"/>
        <v>172</v>
      </c>
      <c r="Z93" s="62">
        <f t="shared" si="64"/>
        <v>174</v>
      </c>
      <c r="AA93" s="62">
        <f t="shared" si="64"/>
        <v>173</v>
      </c>
      <c r="AB93" s="62">
        <f t="shared" si="64"/>
        <v>217</v>
      </c>
      <c r="AC93" s="62">
        <f t="shared" si="64"/>
        <v>230</v>
      </c>
      <c r="AD93" s="62">
        <f t="shared" si="63"/>
        <v>219</v>
      </c>
      <c r="AE93" s="62">
        <f t="shared" si="63"/>
        <v>204</v>
      </c>
      <c r="AF93" s="62">
        <f t="shared" si="63"/>
        <v>0</v>
      </c>
      <c r="AG93" s="15">
        <f t="shared" si="39"/>
        <v>6178</v>
      </c>
      <c r="AH93" s="271" t="str">
        <f>IF(AG93&lt;&gt;AG28,"*","")</f>
        <v/>
      </c>
    </row>
    <row r="94" spans="1:34" ht="15.75" customHeight="1" x14ac:dyDescent="0.25">
      <c r="A94" s="300" t="s">
        <v>56</v>
      </c>
      <c r="B94" s="66">
        <f t="shared" ref="B94:AF94" si="66">SUM(B95:B99)</f>
        <v>50</v>
      </c>
      <c r="C94" s="66">
        <f t="shared" ref="C94:AC94" si="67">SUM(C95:C99)</f>
        <v>31</v>
      </c>
      <c r="D94" s="66">
        <f t="shared" ref="D94" si="68">SUM(D95:D99)</f>
        <v>41</v>
      </c>
      <c r="E94" s="66">
        <f t="shared" si="67"/>
        <v>43</v>
      </c>
      <c r="F94" s="66">
        <f t="shared" si="67"/>
        <v>53</v>
      </c>
      <c r="G94" s="66">
        <f t="shared" si="67"/>
        <v>59</v>
      </c>
      <c r="H94" s="66">
        <f t="shared" si="67"/>
        <v>51</v>
      </c>
      <c r="I94" s="66">
        <f t="shared" si="67"/>
        <v>56</v>
      </c>
      <c r="J94" s="66">
        <f t="shared" si="67"/>
        <v>35</v>
      </c>
      <c r="K94" s="66">
        <f t="shared" si="67"/>
        <v>46</v>
      </c>
      <c r="L94" s="66">
        <f t="shared" si="67"/>
        <v>48</v>
      </c>
      <c r="M94" s="66">
        <f t="shared" si="67"/>
        <v>47</v>
      </c>
      <c r="N94" s="66">
        <f t="shared" si="67"/>
        <v>55</v>
      </c>
      <c r="O94" s="66">
        <f t="shared" si="67"/>
        <v>45</v>
      </c>
      <c r="P94" s="66">
        <f t="shared" si="67"/>
        <v>46</v>
      </c>
      <c r="Q94" s="66">
        <f t="shared" si="67"/>
        <v>40</v>
      </c>
      <c r="R94" s="66">
        <f t="shared" si="67"/>
        <v>37</v>
      </c>
      <c r="S94" s="66">
        <f t="shared" si="67"/>
        <v>34</v>
      </c>
      <c r="T94" s="66">
        <f t="shared" si="67"/>
        <v>38</v>
      </c>
      <c r="U94" s="66">
        <f t="shared" si="67"/>
        <v>50</v>
      </c>
      <c r="V94" s="66">
        <f t="shared" si="67"/>
        <v>34</v>
      </c>
      <c r="W94" s="66">
        <f t="shared" si="67"/>
        <v>40</v>
      </c>
      <c r="X94" s="66">
        <f t="shared" si="67"/>
        <v>40</v>
      </c>
      <c r="Y94" s="66">
        <f t="shared" si="67"/>
        <v>33</v>
      </c>
      <c r="Z94" s="66">
        <f t="shared" si="67"/>
        <v>40</v>
      </c>
      <c r="AA94" s="66">
        <f t="shared" si="67"/>
        <v>38</v>
      </c>
      <c r="AB94" s="66">
        <f t="shared" si="67"/>
        <v>58</v>
      </c>
      <c r="AC94" s="66">
        <f t="shared" si="67"/>
        <v>46</v>
      </c>
      <c r="AD94" s="66">
        <f t="shared" si="66"/>
        <v>43</v>
      </c>
      <c r="AE94" s="66">
        <f t="shared" si="66"/>
        <v>42</v>
      </c>
      <c r="AF94" s="66">
        <f t="shared" si="66"/>
        <v>0</v>
      </c>
      <c r="AG94" s="15">
        <f t="shared" si="39"/>
        <v>1319</v>
      </c>
    </row>
    <row r="95" spans="1:34" ht="15.75" customHeight="1" x14ac:dyDescent="0.25">
      <c r="A95" s="302" t="s">
        <v>57</v>
      </c>
      <c r="B95" s="278">
        <v>1</v>
      </c>
      <c r="C95" s="278">
        <v>0</v>
      </c>
      <c r="D95" s="278">
        <v>1</v>
      </c>
      <c r="E95" s="278">
        <v>1</v>
      </c>
      <c r="F95" s="278">
        <v>0</v>
      </c>
      <c r="G95" s="278">
        <v>1</v>
      </c>
      <c r="H95" s="278">
        <v>1</v>
      </c>
      <c r="I95" s="278">
        <v>1</v>
      </c>
      <c r="J95" s="278">
        <v>1</v>
      </c>
      <c r="K95" s="278">
        <v>0</v>
      </c>
      <c r="L95" s="278">
        <v>2</v>
      </c>
      <c r="M95" s="278">
        <v>1</v>
      </c>
      <c r="N95" s="278">
        <v>0</v>
      </c>
      <c r="O95" s="278">
        <v>1</v>
      </c>
      <c r="P95" s="278">
        <v>0</v>
      </c>
      <c r="Q95" s="278">
        <v>3</v>
      </c>
      <c r="R95" s="278">
        <v>1</v>
      </c>
      <c r="S95" s="278">
        <v>0</v>
      </c>
      <c r="T95" s="278">
        <v>2</v>
      </c>
      <c r="U95" s="278">
        <v>0</v>
      </c>
      <c r="V95" s="278">
        <v>0</v>
      </c>
      <c r="W95" s="278">
        <v>0</v>
      </c>
      <c r="X95" s="278">
        <v>1</v>
      </c>
      <c r="Y95" s="278">
        <v>1</v>
      </c>
      <c r="Z95" s="278">
        <v>0</v>
      </c>
      <c r="AA95" s="278">
        <v>1</v>
      </c>
      <c r="AB95" s="278">
        <v>0</v>
      </c>
      <c r="AC95" s="278">
        <v>2</v>
      </c>
      <c r="AD95" s="278">
        <v>0</v>
      </c>
      <c r="AE95" s="278">
        <v>2</v>
      </c>
      <c r="AF95" s="278"/>
      <c r="AG95" s="15">
        <f t="shared" si="39"/>
        <v>24</v>
      </c>
    </row>
    <row r="96" spans="1:34" ht="15.75" customHeight="1" x14ac:dyDescent="0.25">
      <c r="A96" s="303" t="s">
        <v>58</v>
      </c>
      <c r="B96" s="278">
        <v>1</v>
      </c>
      <c r="C96" s="278">
        <v>0</v>
      </c>
      <c r="D96" s="278">
        <v>2</v>
      </c>
      <c r="E96" s="278">
        <v>2</v>
      </c>
      <c r="F96" s="278">
        <v>2</v>
      </c>
      <c r="G96" s="278">
        <v>2</v>
      </c>
      <c r="H96" s="278">
        <v>1</v>
      </c>
      <c r="I96" s="278">
        <v>2</v>
      </c>
      <c r="J96" s="278">
        <v>2</v>
      </c>
      <c r="K96" s="278">
        <v>0</v>
      </c>
      <c r="L96" s="278">
        <v>2</v>
      </c>
      <c r="M96" s="278">
        <v>2</v>
      </c>
      <c r="N96" s="278">
        <v>2</v>
      </c>
      <c r="O96" s="278">
        <v>0</v>
      </c>
      <c r="P96" s="278">
        <v>3</v>
      </c>
      <c r="Q96" s="278">
        <v>3</v>
      </c>
      <c r="R96" s="278">
        <v>2</v>
      </c>
      <c r="S96" s="278">
        <v>0</v>
      </c>
      <c r="T96" s="278">
        <v>0</v>
      </c>
      <c r="U96" s="278">
        <v>2</v>
      </c>
      <c r="V96" s="278">
        <v>0</v>
      </c>
      <c r="W96" s="278">
        <v>1</v>
      </c>
      <c r="X96" s="278">
        <v>2</v>
      </c>
      <c r="Y96" s="278">
        <v>4</v>
      </c>
      <c r="Z96" s="278">
        <v>1</v>
      </c>
      <c r="AA96" s="278">
        <v>3</v>
      </c>
      <c r="AB96" s="278">
        <v>5</v>
      </c>
      <c r="AC96" s="278">
        <v>4</v>
      </c>
      <c r="AD96" s="278">
        <v>1</v>
      </c>
      <c r="AE96" s="278">
        <v>0</v>
      </c>
      <c r="AF96" s="278"/>
      <c r="AG96" s="15">
        <f t="shared" si="39"/>
        <v>51</v>
      </c>
    </row>
    <row r="97" spans="1:33" ht="15.75" customHeight="1" x14ac:dyDescent="0.25">
      <c r="A97" s="304" t="s">
        <v>59</v>
      </c>
      <c r="B97" s="278">
        <v>9</v>
      </c>
      <c r="C97" s="278">
        <v>3</v>
      </c>
      <c r="D97" s="278">
        <v>6</v>
      </c>
      <c r="E97" s="278">
        <v>12</v>
      </c>
      <c r="F97" s="278">
        <v>10</v>
      </c>
      <c r="G97" s="278">
        <v>10</v>
      </c>
      <c r="H97" s="278">
        <v>6</v>
      </c>
      <c r="I97" s="278">
        <v>13</v>
      </c>
      <c r="J97" s="278">
        <v>4</v>
      </c>
      <c r="K97" s="278">
        <v>12</v>
      </c>
      <c r="L97" s="278">
        <v>12</v>
      </c>
      <c r="M97" s="278">
        <v>5</v>
      </c>
      <c r="N97" s="278">
        <v>18</v>
      </c>
      <c r="O97" s="278">
        <v>8</v>
      </c>
      <c r="P97" s="278">
        <v>5</v>
      </c>
      <c r="Q97" s="278">
        <v>10</v>
      </c>
      <c r="R97" s="278">
        <v>3</v>
      </c>
      <c r="S97" s="278">
        <v>8</v>
      </c>
      <c r="T97" s="278">
        <v>6</v>
      </c>
      <c r="U97" s="278">
        <v>6</v>
      </c>
      <c r="V97" s="278">
        <v>4</v>
      </c>
      <c r="W97" s="278">
        <v>7</v>
      </c>
      <c r="X97" s="278">
        <v>3</v>
      </c>
      <c r="Y97" s="278">
        <v>5</v>
      </c>
      <c r="Z97" s="278">
        <v>9</v>
      </c>
      <c r="AA97" s="278">
        <v>7</v>
      </c>
      <c r="AB97" s="278">
        <v>8</v>
      </c>
      <c r="AC97" s="278">
        <v>5</v>
      </c>
      <c r="AD97" s="278">
        <v>5</v>
      </c>
      <c r="AE97" s="278">
        <v>8</v>
      </c>
      <c r="AF97" s="278"/>
      <c r="AG97" s="15">
        <f t="shared" si="39"/>
        <v>227</v>
      </c>
    </row>
    <row r="98" spans="1:33" ht="15.75" customHeight="1" x14ac:dyDescent="0.25">
      <c r="A98" s="305" t="s">
        <v>60</v>
      </c>
      <c r="B98" s="278">
        <v>23</v>
      </c>
      <c r="C98" s="278">
        <v>11</v>
      </c>
      <c r="D98" s="278">
        <v>14</v>
      </c>
      <c r="E98" s="278">
        <v>14</v>
      </c>
      <c r="F98" s="278">
        <v>23</v>
      </c>
      <c r="G98" s="278">
        <v>21</v>
      </c>
      <c r="H98" s="278">
        <v>21</v>
      </c>
      <c r="I98" s="278">
        <v>24</v>
      </c>
      <c r="J98" s="278">
        <v>15</v>
      </c>
      <c r="K98" s="278">
        <v>17</v>
      </c>
      <c r="L98" s="278">
        <v>22</v>
      </c>
      <c r="M98" s="278">
        <v>25</v>
      </c>
      <c r="N98" s="278">
        <v>18</v>
      </c>
      <c r="O98" s="278">
        <v>26</v>
      </c>
      <c r="P98" s="278">
        <v>17</v>
      </c>
      <c r="Q98" s="278">
        <v>11</v>
      </c>
      <c r="R98" s="278">
        <v>16</v>
      </c>
      <c r="S98" s="278">
        <v>16</v>
      </c>
      <c r="T98" s="278">
        <v>19</v>
      </c>
      <c r="U98" s="278">
        <v>25</v>
      </c>
      <c r="V98" s="278">
        <v>12</v>
      </c>
      <c r="W98" s="278">
        <v>14</v>
      </c>
      <c r="X98" s="278">
        <v>16</v>
      </c>
      <c r="Y98" s="278">
        <v>8</v>
      </c>
      <c r="Z98" s="278">
        <v>17</v>
      </c>
      <c r="AA98" s="278">
        <v>17</v>
      </c>
      <c r="AB98" s="278">
        <v>28</v>
      </c>
      <c r="AC98" s="278">
        <v>19</v>
      </c>
      <c r="AD98" s="278">
        <v>17</v>
      </c>
      <c r="AE98" s="278">
        <v>17</v>
      </c>
      <c r="AF98" s="278"/>
      <c r="AG98" s="15">
        <f t="shared" si="39"/>
        <v>543</v>
      </c>
    </row>
    <row r="99" spans="1:33" ht="15.75" customHeight="1" x14ac:dyDescent="0.25">
      <c r="A99" s="306" t="s">
        <v>61</v>
      </c>
      <c r="B99" s="278">
        <v>16</v>
      </c>
      <c r="C99" s="278">
        <v>17</v>
      </c>
      <c r="D99" s="278">
        <v>18</v>
      </c>
      <c r="E99" s="278">
        <v>14</v>
      </c>
      <c r="F99" s="278">
        <v>18</v>
      </c>
      <c r="G99" s="278">
        <v>25</v>
      </c>
      <c r="H99" s="278">
        <v>22</v>
      </c>
      <c r="I99" s="278">
        <v>16</v>
      </c>
      <c r="J99" s="278">
        <v>13</v>
      </c>
      <c r="K99" s="278">
        <v>17</v>
      </c>
      <c r="L99" s="278">
        <v>10</v>
      </c>
      <c r="M99" s="278">
        <v>14</v>
      </c>
      <c r="N99" s="278">
        <v>17</v>
      </c>
      <c r="O99" s="278">
        <v>10</v>
      </c>
      <c r="P99" s="278">
        <v>21</v>
      </c>
      <c r="Q99" s="278">
        <v>13</v>
      </c>
      <c r="R99" s="278">
        <v>15</v>
      </c>
      <c r="S99" s="278">
        <v>10</v>
      </c>
      <c r="T99" s="278">
        <v>11</v>
      </c>
      <c r="U99" s="278">
        <v>17</v>
      </c>
      <c r="V99" s="278">
        <v>18</v>
      </c>
      <c r="W99" s="278">
        <v>18</v>
      </c>
      <c r="X99" s="278">
        <v>18</v>
      </c>
      <c r="Y99" s="278">
        <v>15</v>
      </c>
      <c r="Z99" s="278">
        <v>13</v>
      </c>
      <c r="AA99" s="278">
        <v>10</v>
      </c>
      <c r="AB99" s="278">
        <v>17</v>
      </c>
      <c r="AC99" s="278">
        <v>16</v>
      </c>
      <c r="AD99" s="278">
        <v>20</v>
      </c>
      <c r="AE99" s="278">
        <v>15</v>
      </c>
      <c r="AF99" s="278"/>
      <c r="AG99" s="15">
        <f t="shared" ref="AG99:AG162" si="69">SUM(B99:AF99)</f>
        <v>474</v>
      </c>
    </row>
    <row r="100" spans="1:33" ht="15.75" customHeight="1" x14ac:dyDescent="0.25">
      <c r="A100" s="300" t="s">
        <v>62</v>
      </c>
      <c r="B100" s="66">
        <f t="shared" ref="B100:AC100" si="70">SUM(B101:B115)</f>
        <v>208</v>
      </c>
      <c r="C100" s="66">
        <f t="shared" si="70"/>
        <v>155</v>
      </c>
      <c r="D100" s="66">
        <f t="shared" ref="D100" si="71">SUM(D101:D115)</f>
        <v>158</v>
      </c>
      <c r="E100" s="66">
        <f t="shared" si="70"/>
        <v>165</v>
      </c>
      <c r="F100" s="66">
        <f t="shared" si="70"/>
        <v>178</v>
      </c>
      <c r="G100" s="66">
        <f t="shared" si="70"/>
        <v>190</v>
      </c>
      <c r="H100" s="66">
        <f t="shared" si="70"/>
        <v>190</v>
      </c>
      <c r="I100" s="66">
        <f t="shared" si="70"/>
        <v>178</v>
      </c>
      <c r="J100" s="66">
        <f t="shared" si="70"/>
        <v>179</v>
      </c>
      <c r="K100" s="66">
        <f t="shared" si="70"/>
        <v>146</v>
      </c>
      <c r="L100" s="66">
        <f t="shared" si="70"/>
        <v>164</v>
      </c>
      <c r="M100" s="66">
        <f t="shared" si="70"/>
        <v>166</v>
      </c>
      <c r="N100" s="66">
        <f t="shared" si="70"/>
        <v>171</v>
      </c>
      <c r="O100" s="66">
        <f t="shared" si="70"/>
        <v>147</v>
      </c>
      <c r="P100" s="66">
        <f t="shared" si="70"/>
        <v>172</v>
      </c>
      <c r="Q100" s="66">
        <f t="shared" si="70"/>
        <v>165</v>
      </c>
      <c r="R100" s="66">
        <f t="shared" si="70"/>
        <v>136</v>
      </c>
      <c r="S100" s="66">
        <f t="shared" si="70"/>
        <v>146</v>
      </c>
      <c r="T100" s="66">
        <f t="shared" si="70"/>
        <v>154</v>
      </c>
      <c r="U100" s="66">
        <f t="shared" si="70"/>
        <v>153</v>
      </c>
      <c r="V100" s="66">
        <f t="shared" si="70"/>
        <v>143</v>
      </c>
      <c r="W100" s="66">
        <f t="shared" si="70"/>
        <v>157</v>
      </c>
      <c r="X100" s="66">
        <f t="shared" si="70"/>
        <v>149</v>
      </c>
      <c r="Y100" s="66">
        <f t="shared" si="70"/>
        <v>139</v>
      </c>
      <c r="Z100" s="66">
        <f t="shared" si="70"/>
        <v>134</v>
      </c>
      <c r="AA100" s="66">
        <f t="shared" si="70"/>
        <v>135</v>
      </c>
      <c r="AB100" s="66">
        <f t="shared" si="70"/>
        <v>159</v>
      </c>
      <c r="AC100" s="66">
        <f t="shared" si="70"/>
        <v>184</v>
      </c>
      <c r="AD100" s="66">
        <f t="shared" ref="AD100:AF100" si="72">SUM(AD101:AD115)</f>
        <v>176</v>
      </c>
      <c r="AE100" s="66">
        <f t="shared" si="72"/>
        <v>162</v>
      </c>
      <c r="AF100" s="66">
        <f t="shared" si="72"/>
        <v>0</v>
      </c>
      <c r="AG100" s="15">
        <f t="shared" si="69"/>
        <v>4859</v>
      </c>
    </row>
    <row r="101" spans="1:33" ht="15.75" customHeight="1" x14ac:dyDescent="0.25">
      <c r="A101" s="306" t="s">
        <v>63</v>
      </c>
      <c r="B101" s="278">
        <v>10</v>
      </c>
      <c r="C101" s="278">
        <v>10</v>
      </c>
      <c r="D101" s="278">
        <v>10</v>
      </c>
      <c r="E101" s="278">
        <v>11</v>
      </c>
      <c r="F101" s="278">
        <v>10</v>
      </c>
      <c r="G101" s="278">
        <v>20</v>
      </c>
      <c r="H101" s="278">
        <v>18</v>
      </c>
      <c r="I101" s="278">
        <v>20</v>
      </c>
      <c r="J101" s="278">
        <v>15</v>
      </c>
      <c r="K101" s="278">
        <v>6</v>
      </c>
      <c r="L101" s="278">
        <v>17</v>
      </c>
      <c r="M101" s="278">
        <v>12</v>
      </c>
      <c r="N101" s="278">
        <v>12</v>
      </c>
      <c r="O101" s="278">
        <v>13</v>
      </c>
      <c r="P101" s="278">
        <v>14</v>
      </c>
      <c r="Q101" s="278">
        <v>9</v>
      </c>
      <c r="R101" s="278">
        <v>9</v>
      </c>
      <c r="S101" s="278">
        <v>9</v>
      </c>
      <c r="T101" s="278">
        <v>8</v>
      </c>
      <c r="U101" s="278">
        <v>13</v>
      </c>
      <c r="V101" s="278">
        <v>15</v>
      </c>
      <c r="W101" s="278">
        <v>15</v>
      </c>
      <c r="X101" s="278">
        <v>11</v>
      </c>
      <c r="Y101" s="278">
        <v>9</v>
      </c>
      <c r="Z101" s="278">
        <v>9</v>
      </c>
      <c r="AA101" s="278">
        <v>14</v>
      </c>
      <c r="AB101" s="278">
        <v>11</v>
      </c>
      <c r="AC101" s="278">
        <v>14</v>
      </c>
      <c r="AD101" s="278">
        <v>22</v>
      </c>
      <c r="AE101" s="278">
        <v>12</v>
      </c>
      <c r="AF101" s="278"/>
      <c r="AG101" s="15">
        <f t="shared" si="69"/>
        <v>378</v>
      </c>
    </row>
    <row r="102" spans="1:33" ht="15.75" customHeight="1" x14ac:dyDescent="0.25">
      <c r="A102" s="306" t="s">
        <v>64</v>
      </c>
      <c r="B102" s="278">
        <v>11</v>
      </c>
      <c r="C102" s="278">
        <v>21</v>
      </c>
      <c r="D102" s="278">
        <v>9</v>
      </c>
      <c r="E102" s="278">
        <v>12</v>
      </c>
      <c r="F102" s="278">
        <v>17</v>
      </c>
      <c r="G102" s="278">
        <v>17</v>
      </c>
      <c r="H102" s="278">
        <v>15</v>
      </c>
      <c r="I102" s="278">
        <v>15</v>
      </c>
      <c r="J102" s="278">
        <v>15</v>
      </c>
      <c r="K102" s="278">
        <v>16</v>
      </c>
      <c r="L102" s="278">
        <v>15</v>
      </c>
      <c r="M102" s="278">
        <v>8</v>
      </c>
      <c r="N102" s="278">
        <v>16</v>
      </c>
      <c r="O102" s="278">
        <v>10</v>
      </c>
      <c r="P102" s="278">
        <v>12</v>
      </c>
      <c r="Q102" s="278">
        <v>14</v>
      </c>
      <c r="R102" s="278">
        <v>18</v>
      </c>
      <c r="S102" s="278">
        <v>11</v>
      </c>
      <c r="T102" s="278">
        <v>12</v>
      </c>
      <c r="U102" s="278">
        <v>17</v>
      </c>
      <c r="V102" s="278">
        <v>16</v>
      </c>
      <c r="W102" s="278">
        <v>13</v>
      </c>
      <c r="X102" s="278">
        <v>10</v>
      </c>
      <c r="Y102" s="278">
        <v>8</v>
      </c>
      <c r="Z102" s="278">
        <v>9</v>
      </c>
      <c r="AA102" s="278">
        <v>11</v>
      </c>
      <c r="AB102" s="278">
        <v>13</v>
      </c>
      <c r="AC102" s="278">
        <v>17</v>
      </c>
      <c r="AD102" s="278">
        <v>14</v>
      </c>
      <c r="AE102" s="278">
        <v>26</v>
      </c>
      <c r="AF102" s="278"/>
      <c r="AG102" s="15">
        <f t="shared" si="69"/>
        <v>418</v>
      </c>
    </row>
    <row r="103" spans="1:33" ht="15.75" customHeight="1" x14ac:dyDescent="0.25">
      <c r="A103" s="302" t="s">
        <v>65</v>
      </c>
      <c r="B103" s="278">
        <v>19</v>
      </c>
      <c r="C103" s="278">
        <v>14</v>
      </c>
      <c r="D103" s="278">
        <v>12</v>
      </c>
      <c r="E103" s="278">
        <v>12</v>
      </c>
      <c r="F103" s="278">
        <v>19</v>
      </c>
      <c r="G103" s="278">
        <v>12</v>
      </c>
      <c r="H103" s="278">
        <v>24</v>
      </c>
      <c r="I103" s="278">
        <v>17</v>
      </c>
      <c r="J103" s="278">
        <v>15</v>
      </c>
      <c r="K103" s="278">
        <v>20</v>
      </c>
      <c r="L103" s="278">
        <v>8</v>
      </c>
      <c r="M103" s="278">
        <v>15</v>
      </c>
      <c r="N103" s="278">
        <v>22</v>
      </c>
      <c r="O103" s="278">
        <v>10</v>
      </c>
      <c r="P103" s="278">
        <v>22</v>
      </c>
      <c r="Q103" s="278">
        <v>17</v>
      </c>
      <c r="R103" s="278">
        <v>9</v>
      </c>
      <c r="S103" s="278">
        <v>14</v>
      </c>
      <c r="T103" s="278">
        <v>10</v>
      </c>
      <c r="U103" s="278">
        <v>10</v>
      </c>
      <c r="V103" s="278">
        <v>12</v>
      </c>
      <c r="W103" s="278">
        <v>11</v>
      </c>
      <c r="X103" s="278">
        <v>13</v>
      </c>
      <c r="Y103" s="278">
        <v>6</v>
      </c>
      <c r="Z103" s="278">
        <v>10</v>
      </c>
      <c r="AA103" s="278">
        <v>12</v>
      </c>
      <c r="AB103" s="278">
        <v>15</v>
      </c>
      <c r="AC103" s="278">
        <v>23</v>
      </c>
      <c r="AD103" s="278">
        <v>23</v>
      </c>
      <c r="AE103" s="278">
        <v>18</v>
      </c>
      <c r="AF103" s="278"/>
      <c r="AG103" s="15">
        <f t="shared" si="69"/>
        <v>444</v>
      </c>
    </row>
    <row r="104" spans="1:33" ht="15.75" customHeight="1" x14ac:dyDescent="0.25">
      <c r="A104" s="302" t="s">
        <v>66</v>
      </c>
      <c r="B104" s="278">
        <v>21</v>
      </c>
      <c r="C104" s="278">
        <v>13</v>
      </c>
      <c r="D104" s="278">
        <v>15</v>
      </c>
      <c r="E104" s="278">
        <v>16</v>
      </c>
      <c r="F104" s="278">
        <v>16</v>
      </c>
      <c r="G104" s="278">
        <v>11</v>
      </c>
      <c r="H104" s="278">
        <v>15</v>
      </c>
      <c r="I104" s="278">
        <v>19</v>
      </c>
      <c r="J104" s="278">
        <v>7</v>
      </c>
      <c r="K104" s="278">
        <v>7</v>
      </c>
      <c r="L104" s="278">
        <v>10</v>
      </c>
      <c r="M104" s="278">
        <v>15</v>
      </c>
      <c r="N104" s="278">
        <v>18</v>
      </c>
      <c r="O104" s="278">
        <v>16</v>
      </c>
      <c r="P104" s="278">
        <v>22</v>
      </c>
      <c r="Q104" s="278">
        <v>18</v>
      </c>
      <c r="R104" s="278">
        <v>10</v>
      </c>
      <c r="S104" s="278">
        <v>4</v>
      </c>
      <c r="T104" s="278">
        <v>12</v>
      </c>
      <c r="U104" s="278">
        <v>9</v>
      </c>
      <c r="V104" s="278">
        <v>10</v>
      </c>
      <c r="W104" s="278">
        <v>16</v>
      </c>
      <c r="X104" s="278">
        <v>13</v>
      </c>
      <c r="Y104" s="278">
        <v>14</v>
      </c>
      <c r="Z104" s="278">
        <v>7</v>
      </c>
      <c r="AA104" s="278">
        <v>9</v>
      </c>
      <c r="AB104" s="278">
        <v>9</v>
      </c>
      <c r="AC104" s="278">
        <v>20</v>
      </c>
      <c r="AD104" s="278">
        <v>10</v>
      </c>
      <c r="AE104" s="278">
        <v>13</v>
      </c>
      <c r="AF104" s="278"/>
      <c r="AG104" s="15">
        <f t="shared" si="69"/>
        <v>395</v>
      </c>
    </row>
    <row r="105" spans="1:33" ht="15.75" customHeight="1" x14ac:dyDescent="0.25">
      <c r="A105" s="302" t="s">
        <v>67</v>
      </c>
      <c r="B105" s="278">
        <v>23</v>
      </c>
      <c r="C105" s="278">
        <v>10</v>
      </c>
      <c r="D105" s="278">
        <v>15</v>
      </c>
      <c r="E105" s="278">
        <v>8</v>
      </c>
      <c r="F105" s="278">
        <v>15</v>
      </c>
      <c r="G105" s="278">
        <v>18</v>
      </c>
      <c r="H105" s="278">
        <v>14</v>
      </c>
      <c r="I105" s="278">
        <v>17</v>
      </c>
      <c r="J105" s="278">
        <v>14</v>
      </c>
      <c r="K105" s="278">
        <v>12</v>
      </c>
      <c r="L105" s="278">
        <v>10</v>
      </c>
      <c r="M105" s="278">
        <v>11</v>
      </c>
      <c r="N105" s="278">
        <v>10</v>
      </c>
      <c r="O105" s="278">
        <v>13</v>
      </c>
      <c r="P105" s="278">
        <v>17</v>
      </c>
      <c r="Q105" s="278">
        <v>14</v>
      </c>
      <c r="R105" s="278">
        <v>12</v>
      </c>
      <c r="S105" s="278">
        <v>16</v>
      </c>
      <c r="T105" s="278">
        <v>12</v>
      </c>
      <c r="U105" s="278">
        <v>14</v>
      </c>
      <c r="V105" s="278">
        <v>9</v>
      </c>
      <c r="W105" s="278">
        <v>17</v>
      </c>
      <c r="X105" s="278">
        <v>11</v>
      </c>
      <c r="Y105" s="278">
        <v>9</v>
      </c>
      <c r="Z105" s="278">
        <v>8</v>
      </c>
      <c r="AA105" s="278">
        <v>9</v>
      </c>
      <c r="AB105" s="278">
        <v>15</v>
      </c>
      <c r="AC105" s="278">
        <v>14</v>
      </c>
      <c r="AD105" s="278">
        <v>11</v>
      </c>
      <c r="AE105" s="278">
        <v>14</v>
      </c>
      <c r="AF105" s="278"/>
      <c r="AG105" s="15">
        <f t="shared" si="69"/>
        <v>392</v>
      </c>
    </row>
    <row r="106" spans="1:33" ht="15.75" customHeight="1" x14ac:dyDescent="0.25">
      <c r="A106" s="302" t="s">
        <v>68</v>
      </c>
      <c r="B106" s="278">
        <v>12</v>
      </c>
      <c r="C106" s="278">
        <v>8</v>
      </c>
      <c r="D106" s="278">
        <v>17</v>
      </c>
      <c r="E106" s="278">
        <v>10</v>
      </c>
      <c r="F106" s="278">
        <v>12</v>
      </c>
      <c r="G106" s="278">
        <v>10</v>
      </c>
      <c r="H106" s="278">
        <v>12</v>
      </c>
      <c r="I106" s="278">
        <v>13</v>
      </c>
      <c r="J106" s="278">
        <v>11</v>
      </c>
      <c r="K106" s="278">
        <v>11</v>
      </c>
      <c r="L106" s="278">
        <v>11</v>
      </c>
      <c r="M106" s="278">
        <v>13</v>
      </c>
      <c r="N106" s="278">
        <v>11</v>
      </c>
      <c r="O106" s="278">
        <v>8</v>
      </c>
      <c r="P106" s="278">
        <v>19</v>
      </c>
      <c r="Q106" s="278">
        <v>12</v>
      </c>
      <c r="R106" s="278">
        <v>10</v>
      </c>
      <c r="S106" s="278">
        <v>8</v>
      </c>
      <c r="T106" s="278">
        <v>11</v>
      </c>
      <c r="U106" s="278">
        <v>12</v>
      </c>
      <c r="V106" s="278">
        <v>6</v>
      </c>
      <c r="W106" s="278">
        <v>10</v>
      </c>
      <c r="X106" s="278">
        <v>6</v>
      </c>
      <c r="Y106" s="278">
        <v>9</v>
      </c>
      <c r="Z106" s="278">
        <v>11</v>
      </c>
      <c r="AA106" s="278">
        <v>8</v>
      </c>
      <c r="AB106" s="278">
        <v>15</v>
      </c>
      <c r="AC106" s="278">
        <v>13</v>
      </c>
      <c r="AD106" s="278">
        <v>9</v>
      </c>
      <c r="AE106" s="278">
        <v>8</v>
      </c>
      <c r="AF106" s="278"/>
      <c r="AG106" s="15">
        <f t="shared" si="69"/>
        <v>326</v>
      </c>
    </row>
    <row r="107" spans="1:33" ht="15.75" customHeight="1" x14ac:dyDescent="0.25">
      <c r="A107" s="302" t="s">
        <v>69</v>
      </c>
      <c r="B107" s="278">
        <v>16</v>
      </c>
      <c r="C107" s="278">
        <v>9</v>
      </c>
      <c r="D107" s="278">
        <v>13</v>
      </c>
      <c r="E107" s="278">
        <v>10</v>
      </c>
      <c r="F107" s="278">
        <v>12</v>
      </c>
      <c r="G107" s="278">
        <v>13</v>
      </c>
      <c r="H107" s="278">
        <v>7</v>
      </c>
      <c r="I107" s="278">
        <v>9</v>
      </c>
      <c r="J107" s="278">
        <v>17</v>
      </c>
      <c r="K107" s="278">
        <v>11</v>
      </c>
      <c r="L107" s="278">
        <v>15</v>
      </c>
      <c r="M107" s="278">
        <v>13</v>
      </c>
      <c r="N107" s="278">
        <v>13</v>
      </c>
      <c r="O107" s="278">
        <v>6</v>
      </c>
      <c r="P107" s="278">
        <v>7</v>
      </c>
      <c r="Q107" s="278">
        <v>11</v>
      </c>
      <c r="R107" s="278">
        <v>12</v>
      </c>
      <c r="S107" s="278">
        <v>11</v>
      </c>
      <c r="T107" s="278">
        <v>17</v>
      </c>
      <c r="U107" s="278">
        <v>17</v>
      </c>
      <c r="V107" s="278">
        <v>10</v>
      </c>
      <c r="W107" s="278">
        <v>7</v>
      </c>
      <c r="X107" s="278">
        <v>17</v>
      </c>
      <c r="Y107" s="278">
        <v>6</v>
      </c>
      <c r="Z107" s="278">
        <v>8</v>
      </c>
      <c r="AA107" s="278">
        <v>10</v>
      </c>
      <c r="AB107" s="278">
        <v>9</v>
      </c>
      <c r="AC107" s="278">
        <v>12</v>
      </c>
      <c r="AD107" s="278">
        <v>10</v>
      </c>
      <c r="AE107" s="278">
        <v>10</v>
      </c>
      <c r="AF107" s="278"/>
      <c r="AG107" s="15">
        <f t="shared" si="69"/>
        <v>338</v>
      </c>
    </row>
    <row r="108" spans="1:33" ht="15.75" customHeight="1" x14ac:dyDescent="0.25">
      <c r="A108" s="302" t="s">
        <v>70</v>
      </c>
      <c r="B108" s="278">
        <v>13</v>
      </c>
      <c r="C108" s="278">
        <v>12</v>
      </c>
      <c r="D108" s="278">
        <v>8</v>
      </c>
      <c r="E108" s="278">
        <v>15</v>
      </c>
      <c r="F108" s="278">
        <v>18</v>
      </c>
      <c r="G108" s="278">
        <v>15</v>
      </c>
      <c r="H108" s="278">
        <v>15</v>
      </c>
      <c r="I108" s="278">
        <v>18</v>
      </c>
      <c r="J108" s="278">
        <v>23</v>
      </c>
      <c r="K108" s="278">
        <v>6</v>
      </c>
      <c r="L108" s="278">
        <v>13</v>
      </c>
      <c r="M108" s="278">
        <v>22</v>
      </c>
      <c r="N108" s="278">
        <v>10</v>
      </c>
      <c r="O108" s="278">
        <v>12</v>
      </c>
      <c r="P108" s="278">
        <v>9</v>
      </c>
      <c r="Q108" s="278">
        <v>12</v>
      </c>
      <c r="R108" s="278">
        <v>19</v>
      </c>
      <c r="S108" s="278">
        <v>16</v>
      </c>
      <c r="T108" s="278">
        <v>18</v>
      </c>
      <c r="U108" s="278">
        <v>18</v>
      </c>
      <c r="V108" s="278">
        <v>14</v>
      </c>
      <c r="W108" s="278">
        <v>11</v>
      </c>
      <c r="X108" s="278">
        <v>8</v>
      </c>
      <c r="Y108" s="278">
        <v>13</v>
      </c>
      <c r="Z108" s="278">
        <v>17</v>
      </c>
      <c r="AA108" s="278">
        <v>11</v>
      </c>
      <c r="AB108" s="278">
        <v>12</v>
      </c>
      <c r="AC108" s="278">
        <v>12</v>
      </c>
      <c r="AD108" s="278">
        <v>16</v>
      </c>
      <c r="AE108" s="278">
        <v>14</v>
      </c>
      <c r="AF108" s="278"/>
      <c r="AG108" s="15">
        <f t="shared" si="69"/>
        <v>420</v>
      </c>
    </row>
    <row r="109" spans="1:33" ht="15.75" customHeight="1" x14ac:dyDescent="0.25">
      <c r="A109" s="302" t="s">
        <v>71</v>
      </c>
      <c r="B109" s="278">
        <v>14</v>
      </c>
      <c r="C109" s="278">
        <v>12</v>
      </c>
      <c r="D109" s="278">
        <v>17</v>
      </c>
      <c r="E109" s="278">
        <v>10</v>
      </c>
      <c r="F109" s="278">
        <v>15</v>
      </c>
      <c r="G109" s="278">
        <v>21</v>
      </c>
      <c r="H109" s="278">
        <v>25</v>
      </c>
      <c r="I109" s="278">
        <v>15</v>
      </c>
      <c r="J109" s="278">
        <v>16</v>
      </c>
      <c r="K109" s="278">
        <v>15</v>
      </c>
      <c r="L109" s="278">
        <v>21</v>
      </c>
      <c r="M109" s="278">
        <v>14</v>
      </c>
      <c r="N109" s="278">
        <v>14</v>
      </c>
      <c r="O109" s="278">
        <v>11</v>
      </c>
      <c r="P109" s="278">
        <v>6</v>
      </c>
      <c r="Q109" s="278">
        <v>11</v>
      </c>
      <c r="R109" s="278">
        <v>10</v>
      </c>
      <c r="S109" s="278">
        <v>11</v>
      </c>
      <c r="T109" s="278">
        <v>8</v>
      </c>
      <c r="U109" s="278">
        <v>8</v>
      </c>
      <c r="V109" s="278">
        <v>13</v>
      </c>
      <c r="W109" s="278">
        <v>11</v>
      </c>
      <c r="X109" s="278">
        <v>14</v>
      </c>
      <c r="Y109" s="278">
        <v>6</v>
      </c>
      <c r="Z109" s="278">
        <v>8</v>
      </c>
      <c r="AA109" s="278">
        <v>9</v>
      </c>
      <c r="AB109" s="278">
        <v>16</v>
      </c>
      <c r="AC109" s="278">
        <v>6</v>
      </c>
      <c r="AD109" s="278">
        <v>16</v>
      </c>
      <c r="AE109" s="278">
        <v>13</v>
      </c>
      <c r="AF109" s="278"/>
      <c r="AG109" s="15">
        <f t="shared" si="69"/>
        <v>386</v>
      </c>
    </row>
    <row r="110" spans="1:33" ht="15.75" customHeight="1" x14ac:dyDescent="0.25">
      <c r="A110" s="302" t="s">
        <v>72</v>
      </c>
      <c r="B110" s="278">
        <v>21</v>
      </c>
      <c r="C110" s="278">
        <v>12</v>
      </c>
      <c r="D110" s="278">
        <v>8</v>
      </c>
      <c r="E110" s="278">
        <v>13</v>
      </c>
      <c r="F110" s="278">
        <v>11</v>
      </c>
      <c r="G110" s="278">
        <v>9</v>
      </c>
      <c r="H110" s="278">
        <v>13</v>
      </c>
      <c r="I110" s="278">
        <v>9</v>
      </c>
      <c r="J110" s="278">
        <v>10</v>
      </c>
      <c r="K110" s="278">
        <v>10</v>
      </c>
      <c r="L110" s="278">
        <v>14</v>
      </c>
      <c r="M110" s="278">
        <v>14</v>
      </c>
      <c r="N110" s="278">
        <v>11</v>
      </c>
      <c r="O110" s="278">
        <v>9</v>
      </c>
      <c r="P110" s="278">
        <v>13</v>
      </c>
      <c r="Q110" s="278">
        <v>11</v>
      </c>
      <c r="R110" s="278">
        <v>4</v>
      </c>
      <c r="S110" s="278">
        <v>10</v>
      </c>
      <c r="T110" s="278">
        <v>6</v>
      </c>
      <c r="U110" s="278">
        <v>12</v>
      </c>
      <c r="V110" s="278">
        <v>13</v>
      </c>
      <c r="W110" s="278">
        <v>17</v>
      </c>
      <c r="X110" s="278">
        <v>7</v>
      </c>
      <c r="Y110" s="278">
        <v>16</v>
      </c>
      <c r="Z110" s="278">
        <v>7</v>
      </c>
      <c r="AA110" s="278">
        <v>12</v>
      </c>
      <c r="AB110" s="278">
        <v>12</v>
      </c>
      <c r="AC110" s="278">
        <v>11</v>
      </c>
      <c r="AD110" s="278">
        <v>10</v>
      </c>
      <c r="AE110" s="278">
        <v>9</v>
      </c>
      <c r="AF110" s="278"/>
      <c r="AG110" s="15">
        <f t="shared" si="69"/>
        <v>334</v>
      </c>
    </row>
    <row r="111" spans="1:33" ht="15.75" customHeight="1" x14ac:dyDescent="0.25">
      <c r="A111" s="302" t="s">
        <v>73</v>
      </c>
      <c r="B111" s="278">
        <v>11</v>
      </c>
      <c r="C111" s="278">
        <v>10</v>
      </c>
      <c r="D111" s="278">
        <v>7</v>
      </c>
      <c r="E111" s="278">
        <v>12</v>
      </c>
      <c r="F111" s="278">
        <v>9</v>
      </c>
      <c r="G111" s="278">
        <v>13</v>
      </c>
      <c r="H111" s="278">
        <v>8</v>
      </c>
      <c r="I111" s="278">
        <v>10</v>
      </c>
      <c r="J111" s="278">
        <v>5</v>
      </c>
      <c r="K111" s="278">
        <v>8</v>
      </c>
      <c r="L111" s="278">
        <v>14</v>
      </c>
      <c r="M111" s="278">
        <v>10</v>
      </c>
      <c r="N111" s="278">
        <v>13</v>
      </c>
      <c r="O111" s="278">
        <v>14</v>
      </c>
      <c r="P111" s="278">
        <v>13</v>
      </c>
      <c r="Q111" s="278">
        <v>12</v>
      </c>
      <c r="R111" s="278">
        <v>11</v>
      </c>
      <c r="S111" s="278">
        <v>13</v>
      </c>
      <c r="T111" s="278">
        <v>12</v>
      </c>
      <c r="U111" s="278">
        <v>8</v>
      </c>
      <c r="V111" s="278">
        <v>9</v>
      </c>
      <c r="W111" s="278">
        <v>9</v>
      </c>
      <c r="X111" s="278">
        <v>15</v>
      </c>
      <c r="Y111" s="278">
        <v>13</v>
      </c>
      <c r="Z111" s="278">
        <v>11</v>
      </c>
      <c r="AA111" s="278">
        <v>9</v>
      </c>
      <c r="AB111" s="278">
        <v>9</v>
      </c>
      <c r="AC111" s="278">
        <v>10</v>
      </c>
      <c r="AD111" s="278">
        <v>9</v>
      </c>
      <c r="AE111" s="278">
        <v>8</v>
      </c>
      <c r="AF111" s="278"/>
      <c r="AG111" s="15">
        <f t="shared" si="69"/>
        <v>315</v>
      </c>
    </row>
    <row r="112" spans="1:33" ht="15.75" customHeight="1" x14ac:dyDescent="0.25">
      <c r="A112" s="302" t="s">
        <v>74</v>
      </c>
      <c r="B112" s="278">
        <v>18</v>
      </c>
      <c r="C112" s="278">
        <v>9</v>
      </c>
      <c r="D112" s="278">
        <v>7</v>
      </c>
      <c r="E112" s="278">
        <v>18</v>
      </c>
      <c r="F112" s="278">
        <v>6</v>
      </c>
      <c r="G112" s="278">
        <v>11</v>
      </c>
      <c r="H112" s="278">
        <v>10</v>
      </c>
      <c r="I112" s="278">
        <v>7</v>
      </c>
      <c r="J112" s="278">
        <v>13</v>
      </c>
      <c r="K112" s="278">
        <v>7</v>
      </c>
      <c r="L112" s="278">
        <v>7</v>
      </c>
      <c r="M112" s="278">
        <v>10</v>
      </c>
      <c r="N112" s="278">
        <v>9</v>
      </c>
      <c r="O112" s="278">
        <v>10</v>
      </c>
      <c r="P112" s="278">
        <v>6</v>
      </c>
      <c r="Q112" s="278">
        <v>14</v>
      </c>
      <c r="R112" s="278">
        <v>5</v>
      </c>
      <c r="S112" s="278">
        <v>6</v>
      </c>
      <c r="T112" s="278">
        <v>7</v>
      </c>
      <c r="U112" s="278">
        <v>7</v>
      </c>
      <c r="V112" s="278">
        <v>3</v>
      </c>
      <c r="W112" s="278">
        <v>5</v>
      </c>
      <c r="X112" s="278">
        <v>8</v>
      </c>
      <c r="Y112" s="278">
        <v>8</v>
      </c>
      <c r="Z112" s="278">
        <v>7</v>
      </c>
      <c r="AA112" s="278">
        <v>6</v>
      </c>
      <c r="AB112" s="278">
        <v>5</v>
      </c>
      <c r="AC112" s="278">
        <v>10</v>
      </c>
      <c r="AD112" s="278">
        <v>10</v>
      </c>
      <c r="AE112" s="278">
        <v>4</v>
      </c>
      <c r="AF112" s="278"/>
      <c r="AG112" s="15">
        <f t="shared" si="69"/>
        <v>253</v>
      </c>
    </row>
    <row r="113" spans="1:37" ht="15.75" customHeight="1" x14ac:dyDescent="0.25">
      <c r="A113" s="302" t="s">
        <v>75</v>
      </c>
      <c r="B113" s="278">
        <v>8</v>
      </c>
      <c r="C113" s="278">
        <v>7</v>
      </c>
      <c r="D113" s="278">
        <v>5</v>
      </c>
      <c r="E113" s="278">
        <v>6</v>
      </c>
      <c r="F113" s="278">
        <v>8</v>
      </c>
      <c r="G113" s="278">
        <v>6</v>
      </c>
      <c r="H113" s="278">
        <v>6</v>
      </c>
      <c r="I113" s="278">
        <v>4</v>
      </c>
      <c r="J113" s="278">
        <v>6</v>
      </c>
      <c r="K113" s="278">
        <v>6</v>
      </c>
      <c r="L113" s="278">
        <v>5</v>
      </c>
      <c r="M113" s="278">
        <v>4</v>
      </c>
      <c r="N113" s="278">
        <v>4</v>
      </c>
      <c r="O113" s="278">
        <v>6</v>
      </c>
      <c r="P113" s="278">
        <v>8</v>
      </c>
      <c r="Q113" s="278">
        <v>7</v>
      </c>
      <c r="R113" s="278">
        <v>4</v>
      </c>
      <c r="S113" s="278">
        <v>8</v>
      </c>
      <c r="T113" s="278">
        <v>12</v>
      </c>
      <c r="U113" s="278">
        <v>5</v>
      </c>
      <c r="V113" s="278">
        <v>6</v>
      </c>
      <c r="W113" s="278">
        <v>7</v>
      </c>
      <c r="X113" s="278">
        <v>7</v>
      </c>
      <c r="Y113" s="278">
        <v>12</v>
      </c>
      <c r="Z113" s="278">
        <v>12</v>
      </c>
      <c r="AA113" s="278">
        <v>7</v>
      </c>
      <c r="AB113" s="278">
        <v>3</v>
      </c>
      <c r="AC113" s="278">
        <v>8</v>
      </c>
      <c r="AD113" s="278">
        <v>4</v>
      </c>
      <c r="AE113" s="278">
        <v>8</v>
      </c>
      <c r="AF113" s="278"/>
      <c r="AG113" s="15">
        <f t="shared" si="69"/>
        <v>199</v>
      </c>
    </row>
    <row r="114" spans="1:37" ht="15.75" customHeight="1" x14ac:dyDescent="0.25">
      <c r="A114" s="302" t="s">
        <v>76</v>
      </c>
      <c r="B114" s="278">
        <v>11</v>
      </c>
      <c r="C114" s="278">
        <v>8</v>
      </c>
      <c r="D114" s="278">
        <v>15</v>
      </c>
      <c r="E114" s="278">
        <v>12</v>
      </c>
      <c r="F114" s="278">
        <v>10</v>
      </c>
      <c r="G114" s="278">
        <v>14</v>
      </c>
      <c r="H114" s="278">
        <v>8</v>
      </c>
      <c r="I114" s="278">
        <v>5</v>
      </c>
      <c r="J114" s="278">
        <v>12</v>
      </c>
      <c r="K114" s="278">
        <v>11</v>
      </c>
      <c r="L114" s="278">
        <v>4</v>
      </c>
      <c r="M114" s="278">
        <v>5</v>
      </c>
      <c r="N114" s="278">
        <v>8</v>
      </c>
      <c r="O114" s="278">
        <v>9</v>
      </c>
      <c r="P114" s="278">
        <v>4</v>
      </c>
      <c r="Q114" s="278">
        <v>3</v>
      </c>
      <c r="R114" s="278">
        <v>3</v>
      </c>
      <c r="S114" s="278">
        <v>9</v>
      </c>
      <c r="T114" s="278">
        <v>9</v>
      </c>
      <c r="U114" s="278">
        <v>3</v>
      </c>
      <c r="V114" s="278">
        <v>7</v>
      </c>
      <c r="W114" s="278">
        <v>8</v>
      </c>
      <c r="X114" s="278">
        <v>9</v>
      </c>
      <c r="Y114" s="278">
        <v>10</v>
      </c>
      <c r="Z114" s="278">
        <v>10</v>
      </c>
      <c r="AA114" s="278">
        <v>8</v>
      </c>
      <c r="AB114" s="278">
        <v>15</v>
      </c>
      <c r="AC114" s="278">
        <v>14</v>
      </c>
      <c r="AD114" s="278">
        <v>12</v>
      </c>
      <c r="AE114" s="278">
        <v>5</v>
      </c>
      <c r="AF114" s="278"/>
      <c r="AG114" s="15">
        <f t="shared" si="69"/>
        <v>261</v>
      </c>
    </row>
    <row r="115" spans="1:37" ht="15.75" customHeight="1" thickBot="1" x14ac:dyDescent="0.3">
      <c r="A115" s="307"/>
      <c r="B115" s="290"/>
      <c r="C115" s="290"/>
      <c r="D115" s="290"/>
      <c r="E115" s="290"/>
      <c r="F115" s="290"/>
      <c r="G115" s="290"/>
      <c r="H115" s="290"/>
      <c r="I115" s="290"/>
      <c r="J115" s="290"/>
      <c r="K115" s="290"/>
      <c r="L115" s="290"/>
      <c r="M115" s="290"/>
      <c r="N115" s="290"/>
      <c r="O115" s="290"/>
      <c r="P115" s="290"/>
      <c r="Q115" s="290"/>
      <c r="R115" s="290"/>
      <c r="S115" s="290"/>
      <c r="T115" s="290"/>
      <c r="U115" s="290"/>
      <c r="V115" s="290"/>
      <c r="W115" s="290"/>
      <c r="X115" s="290"/>
      <c r="Y115" s="290"/>
      <c r="Z115" s="290"/>
      <c r="AA115" s="290"/>
      <c r="AB115" s="290"/>
      <c r="AC115" s="290"/>
      <c r="AD115" s="290"/>
      <c r="AE115" s="290"/>
      <c r="AF115" s="290"/>
      <c r="AG115" s="15">
        <f t="shared" si="69"/>
        <v>0</v>
      </c>
      <c r="AK115" s="308">
        <v>603</v>
      </c>
    </row>
    <row r="116" spans="1:37" ht="15.75" customHeight="1" x14ac:dyDescent="0.25">
      <c r="A116" s="299" t="s">
        <v>77</v>
      </c>
      <c r="B116" s="62">
        <f t="shared" ref="B116:AF116" si="73">SUM(B117:B118)</f>
        <v>58</v>
      </c>
      <c r="C116" s="62">
        <f t="shared" ref="C116:AC116" si="74">SUM(C117:C118)</f>
        <v>49</v>
      </c>
      <c r="D116" s="62">
        <f t="shared" ref="D116" si="75">SUM(D117:D118)</f>
        <v>45</v>
      </c>
      <c r="E116" s="62">
        <f t="shared" si="74"/>
        <v>35</v>
      </c>
      <c r="F116" s="62">
        <f t="shared" si="74"/>
        <v>38</v>
      </c>
      <c r="G116" s="62">
        <f t="shared" si="74"/>
        <v>61</v>
      </c>
      <c r="H116" s="62">
        <f t="shared" si="74"/>
        <v>57</v>
      </c>
      <c r="I116" s="62">
        <f t="shared" si="74"/>
        <v>50</v>
      </c>
      <c r="J116" s="62">
        <f t="shared" si="74"/>
        <v>65</v>
      </c>
      <c r="K116" s="62">
        <f t="shared" si="74"/>
        <v>37</v>
      </c>
      <c r="L116" s="62">
        <f t="shared" si="74"/>
        <v>43</v>
      </c>
      <c r="M116" s="62">
        <f t="shared" si="74"/>
        <v>53</v>
      </c>
      <c r="N116" s="62">
        <f t="shared" si="74"/>
        <v>52</v>
      </c>
      <c r="O116" s="62">
        <f t="shared" si="74"/>
        <v>44</v>
      </c>
      <c r="P116" s="62">
        <f t="shared" si="74"/>
        <v>42</v>
      </c>
      <c r="Q116" s="62">
        <f t="shared" si="74"/>
        <v>45</v>
      </c>
      <c r="R116" s="62">
        <f t="shared" si="74"/>
        <v>34</v>
      </c>
      <c r="S116" s="62">
        <f t="shared" si="74"/>
        <v>57</v>
      </c>
      <c r="T116" s="62">
        <f t="shared" si="74"/>
        <v>55</v>
      </c>
      <c r="U116" s="62">
        <f t="shared" si="74"/>
        <v>53</v>
      </c>
      <c r="V116" s="62">
        <f t="shared" si="74"/>
        <v>46</v>
      </c>
      <c r="W116" s="62">
        <f t="shared" si="74"/>
        <v>39</v>
      </c>
      <c r="X116" s="62">
        <f t="shared" si="74"/>
        <v>45</v>
      </c>
      <c r="Y116" s="62">
        <f t="shared" si="74"/>
        <v>47</v>
      </c>
      <c r="Z116" s="62">
        <f t="shared" si="74"/>
        <v>48</v>
      </c>
      <c r="AA116" s="62">
        <f t="shared" si="74"/>
        <v>32</v>
      </c>
      <c r="AB116" s="62">
        <f t="shared" si="74"/>
        <v>47</v>
      </c>
      <c r="AC116" s="62">
        <f t="shared" si="74"/>
        <v>32</v>
      </c>
      <c r="AD116" s="62">
        <f t="shared" si="73"/>
        <v>30</v>
      </c>
      <c r="AE116" s="62">
        <f t="shared" si="73"/>
        <v>29</v>
      </c>
      <c r="AF116" s="62">
        <f t="shared" si="73"/>
        <v>0</v>
      </c>
      <c r="AG116" s="15">
        <f t="shared" si="69"/>
        <v>1368</v>
      </c>
      <c r="AK116" s="308">
        <v>612</v>
      </c>
    </row>
    <row r="117" spans="1:37" ht="15.75" customHeight="1" x14ac:dyDescent="0.25">
      <c r="A117" s="309" t="s">
        <v>78</v>
      </c>
      <c r="B117" s="278">
        <v>58</v>
      </c>
      <c r="C117" s="278">
        <v>49</v>
      </c>
      <c r="D117" s="278">
        <v>45</v>
      </c>
      <c r="E117" s="278">
        <v>32</v>
      </c>
      <c r="F117" s="278">
        <v>37</v>
      </c>
      <c r="G117" s="278">
        <v>59</v>
      </c>
      <c r="H117" s="278">
        <v>55</v>
      </c>
      <c r="I117" s="278">
        <v>50</v>
      </c>
      <c r="J117" s="278">
        <v>63</v>
      </c>
      <c r="K117" s="278">
        <v>35</v>
      </c>
      <c r="L117" s="278">
        <v>42</v>
      </c>
      <c r="M117" s="278">
        <v>52</v>
      </c>
      <c r="N117" s="278">
        <v>52</v>
      </c>
      <c r="O117" s="278">
        <v>42</v>
      </c>
      <c r="P117" s="278">
        <v>40</v>
      </c>
      <c r="Q117" s="278">
        <v>45</v>
      </c>
      <c r="R117" s="278">
        <v>33</v>
      </c>
      <c r="S117" s="278">
        <v>57</v>
      </c>
      <c r="T117" s="278">
        <v>49</v>
      </c>
      <c r="U117" s="278">
        <v>50</v>
      </c>
      <c r="V117" s="278">
        <v>45</v>
      </c>
      <c r="W117" s="278">
        <v>37</v>
      </c>
      <c r="X117" s="278">
        <v>44</v>
      </c>
      <c r="Y117" s="278">
        <v>42</v>
      </c>
      <c r="Z117" s="278">
        <v>48</v>
      </c>
      <c r="AA117" s="278">
        <v>32</v>
      </c>
      <c r="AB117" s="278">
        <v>46</v>
      </c>
      <c r="AC117" s="278">
        <v>31</v>
      </c>
      <c r="AD117" s="278">
        <v>30</v>
      </c>
      <c r="AE117" s="278">
        <v>29</v>
      </c>
      <c r="AF117" s="278"/>
      <c r="AG117" s="15">
        <f t="shared" si="69"/>
        <v>1329</v>
      </c>
      <c r="AK117" s="308">
        <v>613</v>
      </c>
    </row>
    <row r="118" spans="1:37" ht="15.75" customHeight="1" thickBot="1" x14ac:dyDescent="0.3">
      <c r="A118" s="310" t="s">
        <v>90</v>
      </c>
      <c r="B118" s="311">
        <v>0</v>
      </c>
      <c r="C118" s="311">
        <v>0</v>
      </c>
      <c r="D118" s="311">
        <v>0</v>
      </c>
      <c r="E118" s="311">
        <v>3</v>
      </c>
      <c r="F118" s="311">
        <v>1</v>
      </c>
      <c r="G118" s="311">
        <v>2</v>
      </c>
      <c r="H118" s="311">
        <v>2</v>
      </c>
      <c r="I118" s="311">
        <v>0</v>
      </c>
      <c r="J118" s="311">
        <v>2</v>
      </c>
      <c r="K118" s="311">
        <v>2</v>
      </c>
      <c r="L118" s="311">
        <v>1</v>
      </c>
      <c r="M118" s="311">
        <v>1</v>
      </c>
      <c r="N118" s="311">
        <v>0</v>
      </c>
      <c r="O118" s="311">
        <v>2</v>
      </c>
      <c r="P118" s="311">
        <v>2</v>
      </c>
      <c r="Q118" s="311">
        <v>0</v>
      </c>
      <c r="R118" s="311">
        <v>1</v>
      </c>
      <c r="S118" s="311">
        <v>0</v>
      </c>
      <c r="T118" s="311">
        <v>6</v>
      </c>
      <c r="U118" s="311">
        <v>3</v>
      </c>
      <c r="V118" s="311">
        <v>1</v>
      </c>
      <c r="W118" s="311">
        <v>2</v>
      </c>
      <c r="X118" s="311">
        <v>1</v>
      </c>
      <c r="Y118" s="311">
        <v>5</v>
      </c>
      <c r="Z118" s="311">
        <v>0</v>
      </c>
      <c r="AA118" s="311">
        <v>0</v>
      </c>
      <c r="AB118" s="311">
        <v>1</v>
      </c>
      <c r="AC118" s="311">
        <v>1</v>
      </c>
      <c r="AD118" s="311">
        <v>0</v>
      </c>
      <c r="AE118" s="311">
        <v>0</v>
      </c>
      <c r="AF118" s="311"/>
      <c r="AG118" s="15">
        <f t="shared" si="69"/>
        <v>39</v>
      </c>
      <c r="AK118" s="308" t="s">
        <v>167</v>
      </c>
    </row>
    <row r="119" spans="1:37" ht="15.75" customHeight="1" x14ac:dyDescent="0.25">
      <c r="A119" s="299" t="s">
        <v>91</v>
      </c>
      <c r="B119" s="62">
        <f t="shared" ref="B119:AF119" si="76">SUM(B120:B132)</f>
        <v>258</v>
      </c>
      <c r="C119" s="62">
        <f t="shared" ref="C119:AC119" si="77">SUM(C120:C132)</f>
        <v>186</v>
      </c>
      <c r="D119" s="62">
        <f t="shared" ref="D119" si="78">SUM(D120:D132)</f>
        <v>199</v>
      </c>
      <c r="E119" s="62">
        <f t="shared" si="77"/>
        <v>208</v>
      </c>
      <c r="F119" s="62">
        <f t="shared" si="77"/>
        <v>231</v>
      </c>
      <c r="G119" s="62">
        <f t="shared" si="77"/>
        <v>249</v>
      </c>
      <c r="H119" s="62">
        <f t="shared" si="77"/>
        <v>241</v>
      </c>
      <c r="I119" s="62">
        <f t="shared" si="77"/>
        <v>234</v>
      </c>
      <c r="J119" s="62">
        <f t="shared" si="77"/>
        <v>214</v>
      </c>
      <c r="K119" s="62">
        <f t="shared" si="77"/>
        <v>192</v>
      </c>
      <c r="L119" s="62">
        <f t="shared" si="77"/>
        <v>212</v>
      </c>
      <c r="M119" s="62">
        <f t="shared" si="77"/>
        <v>213</v>
      </c>
      <c r="N119" s="62">
        <f t="shared" si="77"/>
        <v>226</v>
      </c>
      <c r="O119" s="62">
        <f t="shared" si="77"/>
        <v>192</v>
      </c>
      <c r="P119" s="62">
        <f t="shared" si="77"/>
        <v>218</v>
      </c>
      <c r="Q119" s="62">
        <f t="shared" si="77"/>
        <v>205</v>
      </c>
      <c r="R119" s="62">
        <f t="shared" si="77"/>
        <v>173</v>
      </c>
      <c r="S119" s="62">
        <f t="shared" si="77"/>
        <v>180</v>
      </c>
      <c r="T119" s="62">
        <f t="shared" si="77"/>
        <v>192</v>
      </c>
      <c r="U119" s="62">
        <f t="shared" si="77"/>
        <v>203</v>
      </c>
      <c r="V119" s="62">
        <f t="shared" si="77"/>
        <v>177</v>
      </c>
      <c r="W119" s="62">
        <f t="shared" si="77"/>
        <v>197</v>
      </c>
      <c r="X119" s="62">
        <f t="shared" si="77"/>
        <v>189</v>
      </c>
      <c r="Y119" s="62">
        <f t="shared" si="77"/>
        <v>172</v>
      </c>
      <c r="Z119" s="62">
        <f t="shared" si="77"/>
        <v>174</v>
      </c>
      <c r="AA119" s="62">
        <f t="shared" si="77"/>
        <v>173</v>
      </c>
      <c r="AB119" s="62">
        <f t="shared" si="77"/>
        <v>217</v>
      </c>
      <c r="AC119" s="62">
        <f t="shared" si="77"/>
        <v>230</v>
      </c>
      <c r="AD119" s="62">
        <f t="shared" si="76"/>
        <v>219</v>
      </c>
      <c r="AE119" s="62">
        <f t="shared" si="76"/>
        <v>204</v>
      </c>
      <c r="AF119" s="62">
        <f t="shared" si="76"/>
        <v>0</v>
      </c>
      <c r="AG119" s="22">
        <f t="shared" si="69"/>
        <v>6178</v>
      </c>
      <c r="AH119" s="271" t="str">
        <f>IF(AG119&lt;&gt;AG93,"*","")</f>
        <v/>
      </c>
      <c r="AK119" s="308" t="s">
        <v>168</v>
      </c>
    </row>
    <row r="120" spans="1:37" ht="15.75" customHeight="1" x14ac:dyDescent="0.25">
      <c r="A120" s="309" t="s">
        <v>78</v>
      </c>
      <c r="B120" s="278">
        <v>58</v>
      </c>
      <c r="C120" s="278">
        <v>31</v>
      </c>
      <c r="D120" s="278">
        <v>38</v>
      </c>
      <c r="E120" s="278">
        <v>28</v>
      </c>
      <c r="F120" s="278">
        <v>34</v>
      </c>
      <c r="G120" s="278">
        <v>38</v>
      </c>
      <c r="H120" s="278">
        <v>43</v>
      </c>
      <c r="I120" s="278">
        <v>42</v>
      </c>
      <c r="J120" s="278">
        <v>50</v>
      </c>
      <c r="K120" s="278">
        <v>30</v>
      </c>
      <c r="L120" s="278">
        <v>42</v>
      </c>
      <c r="M120" s="278">
        <v>44</v>
      </c>
      <c r="N120" s="278">
        <v>40</v>
      </c>
      <c r="O120" s="278">
        <v>36</v>
      </c>
      <c r="P120" s="278">
        <v>32</v>
      </c>
      <c r="Q120" s="278">
        <v>41</v>
      </c>
      <c r="R120" s="278">
        <v>33</v>
      </c>
      <c r="S120" s="278">
        <v>52</v>
      </c>
      <c r="T120" s="278">
        <v>45</v>
      </c>
      <c r="U120" s="278">
        <v>41</v>
      </c>
      <c r="V120" s="278">
        <v>34</v>
      </c>
      <c r="W120" s="278">
        <v>31</v>
      </c>
      <c r="X120" s="278">
        <v>32</v>
      </c>
      <c r="Y120" s="278">
        <v>31</v>
      </c>
      <c r="Z120" s="278">
        <v>42</v>
      </c>
      <c r="AA120" s="278">
        <v>29</v>
      </c>
      <c r="AB120" s="278">
        <v>35</v>
      </c>
      <c r="AC120" s="278">
        <v>29</v>
      </c>
      <c r="AD120" s="278">
        <v>26</v>
      </c>
      <c r="AE120" s="278">
        <v>26</v>
      </c>
      <c r="AF120" s="278"/>
      <c r="AG120" s="15">
        <f t="shared" si="69"/>
        <v>1113</v>
      </c>
      <c r="AK120" s="312" t="s">
        <v>169</v>
      </c>
    </row>
    <row r="121" spans="1:37" ht="15.75" customHeight="1" x14ac:dyDescent="0.25">
      <c r="A121" s="309" t="s">
        <v>79</v>
      </c>
      <c r="B121" s="278">
        <v>8</v>
      </c>
      <c r="C121" s="278">
        <v>6</v>
      </c>
      <c r="D121" s="278">
        <v>7</v>
      </c>
      <c r="E121" s="278">
        <v>2</v>
      </c>
      <c r="F121" s="278">
        <v>10</v>
      </c>
      <c r="G121" s="278">
        <v>7</v>
      </c>
      <c r="H121" s="278">
        <v>9</v>
      </c>
      <c r="I121" s="278">
        <v>11</v>
      </c>
      <c r="J121" s="278">
        <v>8</v>
      </c>
      <c r="K121" s="278">
        <v>5</v>
      </c>
      <c r="L121" s="278">
        <v>10</v>
      </c>
      <c r="M121" s="278">
        <v>10</v>
      </c>
      <c r="N121" s="278">
        <v>6</v>
      </c>
      <c r="O121" s="278">
        <v>4</v>
      </c>
      <c r="P121" s="278">
        <v>6</v>
      </c>
      <c r="Q121" s="278">
        <v>8</v>
      </c>
      <c r="R121" s="278">
        <v>7</v>
      </c>
      <c r="S121" s="278">
        <v>6</v>
      </c>
      <c r="T121" s="278">
        <v>11</v>
      </c>
      <c r="U121" s="278">
        <v>9</v>
      </c>
      <c r="V121" s="278">
        <v>5</v>
      </c>
      <c r="W121" s="278">
        <v>7</v>
      </c>
      <c r="X121" s="278">
        <v>7</v>
      </c>
      <c r="Y121" s="278">
        <v>12</v>
      </c>
      <c r="Z121" s="278">
        <v>15</v>
      </c>
      <c r="AA121" s="278">
        <v>7</v>
      </c>
      <c r="AB121" s="278">
        <v>9</v>
      </c>
      <c r="AC121" s="278">
        <v>7</v>
      </c>
      <c r="AD121" s="278">
        <v>10</v>
      </c>
      <c r="AE121" s="278">
        <v>6</v>
      </c>
      <c r="AF121" s="278"/>
      <c r="AG121" s="15">
        <f t="shared" si="69"/>
        <v>235</v>
      </c>
      <c r="AK121" s="308" t="s">
        <v>170</v>
      </c>
    </row>
    <row r="122" spans="1:37" ht="15.75" customHeight="1" x14ac:dyDescent="0.25">
      <c r="A122" s="309" t="s">
        <v>80</v>
      </c>
      <c r="B122" s="278">
        <v>15</v>
      </c>
      <c r="C122" s="278">
        <v>11</v>
      </c>
      <c r="D122" s="278">
        <v>10</v>
      </c>
      <c r="E122" s="278">
        <v>10</v>
      </c>
      <c r="F122" s="278">
        <v>7</v>
      </c>
      <c r="G122" s="278">
        <v>10</v>
      </c>
      <c r="H122" s="278">
        <v>12</v>
      </c>
      <c r="I122" s="278">
        <v>7</v>
      </c>
      <c r="J122" s="278">
        <v>9</v>
      </c>
      <c r="K122" s="278">
        <v>8</v>
      </c>
      <c r="L122" s="278">
        <v>12</v>
      </c>
      <c r="M122" s="278">
        <v>17</v>
      </c>
      <c r="N122" s="278">
        <v>11</v>
      </c>
      <c r="O122" s="278">
        <v>11</v>
      </c>
      <c r="P122" s="278">
        <v>4</v>
      </c>
      <c r="Q122" s="278">
        <v>17</v>
      </c>
      <c r="R122" s="278">
        <v>6</v>
      </c>
      <c r="S122" s="278">
        <v>9</v>
      </c>
      <c r="T122" s="278">
        <v>11</v>
      </c>
      <c r="U122" s="278">
        <v>12</v>
      </c>
      <c r="V122" s="278">
        <v>6</v>
      </c>
      <c r="W122" s="278">
        <v>5</v>
      </c>
      <c r="X122" s="278">
        <v>16</v>
      </c>
      <c r="Y122" s="278">
        <v>8</v>
      </c>
      <c r="Z122" s="278">
        <v>4</v>
      </c>
      <c r="AA122" s="278">
        <v>10</v>
      </c>
      <c r="AB122" s="278">
        <v>14</v>
      </c>
      <c r="AC122" s="278">
        <v>7</v>
      </c>
      <c r="AD122" s="278">
        <v>4</v>
      </c>
      <c r="AE122" s="278">
        <v>9</v>
      </c>
      <c r="AF122" s="278"/>
      <c r="AG122" s="15">
        <f t="shared" si="69"/>
        <v>292</v>
      </c>
      <c r="AK122" s="312" t="s">
        <v>171</v>
      </c>
    </row>
    <row r="123" spans="1:37" ht="15.75" customHeight="1" x14ac:dyDescent="0.25">
      <c r="A123" s="309" t="s">
        <v>81</v>
      </c>
      <c r="B123" s="278">
        <v>11</v>
      </c>
      <c r="C123" s="278">
        <v>13</v>
      </c>
      <c r="D123" s="278">
        <v>16</v>
      </c>
      <c r="E123" s="278">
        <v>12</v>
      </c>
      <c r="F123" s="278">
        <v>8</v>
      </c>
      <c r="G123" s="278">
        <v>12</v>
      </c>
      <c r="H123" s="278">
        <v>10</v>
      </c>
      <c r="I123" s="278">
        <v>10</v>
      </c>
      <c r="J123" s="278">
        <v>9</v>
      </c>
      <c r="K123" s="278">
        <v>11</v>
      </c>
      <c r="L123" s="278">
        <v>11</v>
      </c>
      <c r="M123" s="278">
        <v>15</v>
      </c>
      <c r="N123" s="278">
        <v>17</v>
      </c>
      <c r="O123" s="278">
        <v>5</v>
      </c>
      <c r="P123" s="278">
        <v>7</v>
      </c>
      <c r="Q123" s="278">
        <v>7</v>
      </c>
      <c r="R123" s="278">
        <v>4</v>
      </c>
      <c r="S123" s="278">
        <v>8</v>
      </c>
      <c r="T123" s="278">
        <v>9</v>
      </c>
      <c r="U123" s="278">
        <v>7</v>
      </c>
      <c r="V123" s="278">
        <v>4</v>
      </c>
      <c r="W123" s="278">
        <v>10</v>
      </c>
      <c r="X123" s="278">
        <v>8</v>
      </c>
      <c r="Y123" s="278">
        <v>7</v>
      </c>
      <c r="Z123" s="278">
        <v>12</v>
      </c>
      <c r="AA123" s="278">
        <v>10</v>
      </c>
      <c r="AB123" s="278">
        <v>11</v>
      </c>
      <c r="AC123" s="278">
        <v>10</v>
      </c>
      <c r="AD123" s="278">
        <v>8</v>
      </c>
      <c r="AE123" s="278">
        <v>9</v>
      </c>
      <c r="AF123" s="278"/>
      <c r="AG123" s="15">
        <f t="shared" si="69"/>
        <v>291</v>
      </c>
      <c r="AK123" s="308" t="s">
        <v>172</v>
      </c>
    </row>
    <row r="124" spans="1:37" ht="15.75" customHeight="1" x14ac:dyDescent="0.25">
      <c r="A124" s="309" t="s">
        <v>82</v>
      </c>
      <c r="B124" s="278">
        <v>13</v>
      </c>
      <c r="C124" s="278">
        <v>14</v>
      </c>
      <c r="D124" s="278">
        <v>9</v>
      </c>
      <c r="E124" s="278">
        <v>14</v>
      </c>
      <c r="F124" s="278">
        <v>11</v>
      </c>
      <c r="G124" s="278">
        <v>13</v>
      </c>
      <c r="H124" s="278">
        <v>6</v>
      </c>
      <c r="I124" s="278">
        <v>10</v>
      </c>
      <c r="J124" s="278">
        <v>11</v>
      </c>
      <c r="K124" s="278">
        <v>10</v>
      </c>
      <c r="L124" s="278">
        <v>7</v>
      </c>
      <c r="M124" s="278">
        <v>10</v>
      </c>
      <c r="N124" s="278">
        <v>14</v>
      </c>
      <c r="O124" s="278">
        <v>12</v>
      </c>
      <c r="P124" s="278">
        <v>14</v>
      </c>
      <c r="Q124" s="278">
        <v>8</v>
      </c>
      <c r="R124" s="278">
        <v>9</v>
      </c>
      <c r="S124" s="278">
        <v>4</v>
      </c>
      <c r="T124" s="278">
        <v>12</v>
      </c>
      <c r="U124" s="278">
        <v>10</v>
      </c>
      <c r="V124" s="278">
        <v>5</v>
      </c>
      <c r="W124" s="278">
        <v>15</v>
      </c>
      <c r="X124" s="278">
        <v>9</v>
      </c>
      <c r="Y124" s="278">
        <v>9</v>
      </c>
      <c r="Z124" s="278">
        <v>5</v>
      </c>
      <c r="AA124" s="278">
        <v>13</v>
      </c>
      <c r="AB124" s="278">
        <v>10</v>
      </c>
      <c r="AC124" s="278">
        <v>11</v>
      </c>
      <c r="AD124" s="278">
        <v>6</v>
      </c>
      <c r="AE124" s="278">
        <v>4</v>
      </c>
      <c r="AF124" s="278"/>
      <c r="AG124" s="15">
        <f t="shared" si="69"/>
        <v>298</v>
      </c>
      <c r="AK124" s="312" t="s">
        <v>173</v>
      </c>
    </row>
    <row r="125" spans="1:37" ht="15.75" customHeight="1" x14ac:dyDescent="0.25">
      <c r="A125" s="309" t="s">
        <v>83</v>
      </c>
      <c r="B125" s="278">
        <v>118</v>
      </c>
      <c r="C125" s="278">
        <v>90</v>
      </c>
      <c r="D125" s="278">
        <v>93</v>
      </c>
      <c r="E125" s="278">
        <v>111</v>
      </c>
      <c r="F125" s="278">
        <v>135</v>
      </c>
      <c r="G125" s="278">
        <v>131</v>
      </c>
      <c r="H125" s="278">
        <v>122</v>
      </c>
      <c r="I125" s="278">
        <v>129</v>
      </c>
      <c r="J125" s="278">
        <v>87</v>
      </c>
      <c r="K125" s="278">
        <v>105</v>
      </c>
      <c r="L125" s="278">
        <v>97</v>
      </c>
      <c r="M125" s="278">
        <v>92</v>
      </c>
      <c r="N125" s="278">
        <v>108</v>
      </c>
      <c r="O125" s="278">
        <v>90</v>
      </c>
      <c r="P125" s="278">
        <v>124</v>
      </c>
      <c r="Q125" s="278">
        <v>98</v>
      </c>
      <c r="R125" s="278">
        <v>92</v>
      </c>
      <c r="S125" s="278">
        <v>74</v>
      </c>
      <c r="T125" s="278">
        <v>76</v>
      </c>
      <c r="U125" s="278">
        <v>98</v>
      </c>
      <c r="V125" s="278">
        <v>102</v>
      </c>
      <c r="W125" s="278">
        <v>103</v>
      </c>
      <c r="X125" s="278">
        <v>89</v>
      </c>
      <c r="Y125" s="278">
        <v>79</v>
      </c>
      <c r="Z125" s="278">
        <v>77</v>
      </c>
      <c r="AA125" s="278">
        <v>79</v>
      </c>
      <c r="AB125" s="278">
        <v>102</v>
      </c>
      <c r="AC125" s="278">
        <v>134</v>
      </c>
      <c r="AD125" s="278">
        <v>140</v>
      </c>
      <c r="AE125" s="278">
        <v>117</v>
      </c>
      <c r="AF125" s="278"/>
      <c r="AG125" s="15">
        <f t="shared" si="69"/>
        <v>3092</v>
      </c>
      <c r="AK125" s="312" t="s">
        <v>174</v>
      </c>
    </row>
    <row r="126" spans="1:37" ht="15.75" customHeight="1" x14ac:dyDescent="0.25">
      <c r="A126" s="309" t="s">
        <v>84</v>
      </c>
      <c r="B126" s="278">
        <v>4</v>
      </c>
      <c r="C126" s="278">
        <v>5</v>
      </c>
      <c r="D126" s="278">
        <v>3</v>
      </c>
      <c r="E126" s="278">
        <v>1</v>
      </c>
      <c r="F126" s="278">
        <v>4</v>
      </c>
      <c r="G126" s="278">
        <v>8</v>
      </c>
      <c r="H126" s="278">
        <v>6</v>
      </c>
      <c r="I126" s="278">
        <v>3</v>
      </c>
      <c r="J126" s="278">
        <v>7</v>
      </c>
      <c r="K126" s="278">
        <v>1</v>
      </c>
      <c r="L126" s="278">
        <v>2</v>
      </c>
      <c r="M126" s="278">
        <v>5</v>
      </c>
      <c r="N126" s="278">
        <v>1</v>
      </c>
      <c r="O126" s="278">
        <v>6</v>
      </c>
      <c r="P126" s="278">
        <v>1</v>
      </c>
      <c r="Q126" s="278">
        <v>2</v>
      </c>
      <c r="R126" s="278">
        <v>2</v>
      </c>
      <c r="S126" s="278">
        <v>5</v>
      </c>
      <c r="T126" s="278">
        <v>7</v>
      </c>
      <c r="U126" s="278">
        <v>7</v>
      </c>
      <c r="V126" s="278">
        <v>4</v>
      </c>
      <c r="W126" s="278">
        <v>4</v>
      </c>
      <c r="X126" s="278">
        <v>3</v>
      </c>
      <c r="Y126" s="278">
        <v>2</v>
      </c>
      <c r="Z126" s="278">
        <v>5</v>
      </c>
      <c r="AA126" s="278">
        <v>5</v>
      </c>
      <c r="AB126" s="278">
        <v>3</v>
      </c>
      <c r="AC126" s="278">
        <v>2</v>
      </c>
      <c r="AD126" s="278">
        <v>2</v>
      </c>
      <c r="AE126" s="278">
        <v>3</v>
      </c>
      <c r="AF126" s="278"/>
      <c r="AG126" s="15">
        <f t="shared" si="69"/>
        <v>113</v>
      </c>
      <c r="AK126" s="308" t="s">
        <v>175</v>
      </c>
    </row>
    <row r="127" spans="1:37" ht="15.75" customHeight="1" x14ac:dyDescent="0.25">
      <c r="A127" s="309" t="s">
        <v>85</v>
      </c>
      <c r="B127" s="278">
        <v>3</v>
      </c>
      <c r="C127" s="278">
        <v>0</v>
      </c>
      <c r="D127" s="278">
        <v>2</v>
      </c>
      <c r="E127" s="278">
        <v>3</v>
      </c>
      <c r="F127" s="278">
        <v>2</v>
      </c>
      <c r="G127" s="278">
        <v>2</v>
      </c>
      <c r="H127" s="278">
        <v>3</v>
      </c>
      <c r="I127" s="278">
        <v>2</v>
      </c>
      <c r="J127" s="278">
        <v>5</v>
      </c>
      <c r="K127" s="278">
        <v>0</v>
      </c>
      <c r="L127" s="278">
        <v>0</v>
      </c>
      <c r="M127" s="278">
        <v>0</v>
      </c>
      <c r="N127" s="278">
        <v>3</v>
      </c>
      <c r="O127" s="278">
        <v>1</v>
      </c>
      <c r="P127" s="278">
        <v>2</v>
      </c>
      <c r="Q127" s="278">
        <v>5</v>
      </c>
      <c r="R127" s="278">
        <v>2</v>
      </c>
      <c r="S127" s="278">
        <v>1</v>
      </c>
      <c r="T127" s="278">
        <v>0</v>
      </c>
      <c r="U127" s="278">
        <v>0</v>
      </c>
      <c r="V127" s="278">
        <v>1</v>
      </c>
      <c r="W127" s="278">
        <v>2</v>
      </c>
      <c r="X127" s="278">
        <v>1</v>
      </c>
      <c r="Y127" s="278">
        <v>1</v>
      </c>
      <c r="Z127" s="278">
        <v>0</v>
      </c>
      <c r="AA127" s="278">
        <v>1</v>
      </c>
      <c r="AB127" s="278">
        <v>3</v>
      </c>
      <c r="AC127" s="278">
        <v>1</v>
      </c>
      <c r="AD127" s="278">
        <v>2</v>
      </c>
      <c r="AE127" s="278">
        <v>3</v>
      </c>
      <c r="AF127" s="278"/>
      <c r="AG127" s="15">
        <f t="shared" si="69"/>
        <v>51</v>
      </c>
      <c r="AK127" s="312" t="s">
        <v>176</v>
      </c>
    </row>
    <row r="128" spans="1:37" ht="15.75" customHeight="1" x14ac:dyDescent="0.25">
      <c r="A128" s="280" t="s">
        <v>86</v>
      </c>
      <c r="B128" s="278">
        <v>2</v>
      </c>
      <c r="C128" s="278">
        <v>2</v>
      </c>
      <c r="D128" s="278">
        <v>3</v>
      </c>
      <c r="E128" s="278">
        <v>1</v>
      </c>
      <c r="F128" s="278">
        <v>1</v>
      </c>
      <c r="G128" s="278">
        <v>4</v>
      </c>
      <c r="H128" s="278">
        <v>6</v>
      </c>
      <c r="I128" s="278">
        <v>4</v>
      </c>
      <c r="J128" s="278">
        <v>3</v>
      </c>
      <c r="K128" s="278">
        <v>2</v>
      </c>
      <c r="L128" s="278">
        <v>3</v>
      </c>
      <c r="M128" s="278">
        <v>3</v>
      </c>
      <c r="N128" s="278">
        <v>5</v>
      </c>
      <c r="O128" s="278">
        <v>1</v>
      </c>
      <c r="P128" s="278">
        <v>4</v>
      </c>
      <c r="Q128" s="278">
        <v>3</v>
      </c>
      <c r="R128" s="278">
        <v>3</v>
      </c>
      <c r="S128" s="278">
        <v>3</v>
      </c>
      <c r="T128" s="278">
        <v>0</v>
      </c>
      <c r="U128" s="278">
        <v>2</v>
      </c>
      <c r="V128" s="278">
        <v>2</v>
      </c>
      <c r="W128" s="278">
        <v>2</v>
      </c>
      <c r="X128" s="278">
        <v>8</v>
      </c>
      <c r="Y128" s="278">
        <v>7</v>
      </c>
      <c r="Z128" s="278">
        <v>3</v>
      </c>
      <c r="AA128" s="278">
        <v>1</v>
      </c>
      <c r="AB128" s="278">
        <v>2</v>
      </c>
      <c r="AC128" s="278">
        <v>3</v>
      </c>
      <c r="AD128" s="278">
        <v>1</v>
      </c>
      <c r="AE128" s="278">
        <v>3</v>
      </c>
      <c r="AF128" s="278"/>
      <c r="AG128" s="15">
        <f t="shared" si="69"/>
        <v>87</v>
      </c>
      <c r="AK128" s="312" t="s">
        <v>177</v>
      </c>
    </row>
    <row r="129" spans="1:37" ht="15.75" customHeight="1" x14ac:dyDescent="0.25">
      <c r="A129" s="280" t="s">
        <v>87</v>
      </c>
      <c r="B129" s="278">
        <v>0</v>
      </c>
      <c r="C129" s="278">
        <v>1</v>
      </c>
      <c r="D129" s="278">
        <v>3</v>
      </c>
      <c r="E129" s="278">
        <v>2</v>
      </c>
      <c r="F129" s="278">
        <v>2</v>
      </c>
      <c r="G129" s="278">
        <v>2</v>
      </c>
      <c r="H129" s="278">
        <v>3</v>
      </c>
      <c r="I129" s="278">
        <v>3</v>
      </c>
      <c r="J129" s="278">
        <v>1</v>
      </c>
      <c r="K129" s="278">
        <v>1</v>
      </c>
      <c r="L129" s="278">
        <v>7</v>
      </c>
      <c r="M129" s="278">
        <v>1</v>
      </c>
      <c r="N129" s="278">
        <v>4</v>
      </c>
      <c r="O129" s="278">
        <v>2</v>
      </c>
      <c r="P129" s="278">
        <v>2</v>
      </c>
      <c r="Q129" s="278">
        <v>2</v>
      </c>
      <c r="R129" s="278">
        <v>3</v>
      </c>
      <c r="S129" s="278">
        <v>2</v>
      </c>
      <c r="T129" s="278">
        <v>1</v>
      </c>
      <c r="U129" s="278">
        <v>3</v>
      </c>
      <c r="V129" s="278">
        <v>3</v>
      </c>
      <c r="W129" s="278">
        <v>5</v>
      </c>
      <c r="X129" s="278">
        <v>2</v>
      </c>
      <c r="Y129" s="278">
        <v>0</v>
      </c>
      <c r="Z129" s="278">
        <v>0</v>
      </c>
      <c r="AA129" s="278">
        <v>0</v>
      </c>
      <c r="AB129" s="278">
        <v>2</v>
      </c>
      <c r="AC129" s="278">
        <v>4</v>
      </c>
      <c r="AD129" s="278">
        <v>0</v>
      </c>
      <c r="AE129" s="278">
        <v>3</v>
      </c>
      <c r="AF129" s="278"/>
      <c r="AG129" s="15">
        <f t="shared" si="69"/>
        <v>64</v>
      </c>
      <c r="AK129" s="308" t="s">
        <v>178</v>
      </c>
    </row>
    <row r="130" spans="1:37" ht="15.75" customHeight="1" x14ac:dyDescent="0.25">
      <c r="A130" s="280" t="s">
        <v>88</v>
      </c>
      <c r="B130" s="278">
        <v>0</v>
      </c>
      <c r="C130" s="278">
        <v>0</v>
      </c>
      <c r="D130" s="278">
        <v>0</v>
      </c>
      <c r="E130" s="278">
        <v>0</v>
      </c>
      <c r="F130" s="278">
        <v>0</v>
      </c>
      <c r="G130" s="278">
        <v>1</v>
      </c>
      <c r="H130" s="278">
        <v>0</v>
      </c>
      <c r="I130" s="278">
        <v>0</v>
      </c>
      <c r="J130" s="278">
        <v>0</v>
      </c>
      <c r="K130" s="278">
        <v>0</v>
      </c>
      <c r="L130" s="278">
        <v>3</v>
      </c>
      <c r="M130" s="278">
        <v>1</v>
      </c>
      <c r="N130" s="278">
        <v>0</v>
      </c>
      <c r="O130" s="278">
        <v>2</v>
      </c>
      <c r="P130" s="278">
        <v>1</v>
      </c>
      <c r="Q130" s="278">
        <v>0</v>
      </c>
      <c r="R130" s="278">
        <v>1</v>
      </c>
      <c r="S130" s="278">
        <v>0</v>
      </c>
      <c r="T130" s="278">
        <v>1</v>
      </c>
      <c r="U130" s="278">
        <v>0</v>
      </c>
      <c r="V130" s="278">
        <v>0</v>
      </c>
      <c r="W130" s="278">
        <v>1</v>
      </c>
      <c r="X130" s="278">
        <v>3</v>
      </c>
      <c r="Y130" s="278">
        <v>2</v>
      </c>
      <c r="Z130" s="278">
        <v>0</v>
      </c>
      <c r="AA130" s="278">
        <v>0</v>
      </c>
      <c r="AB130" s="278">
        <v>0</v>
      </c>
      <c r="AC130" s="278">
        <v>1</v>
      </c>
      <c r="AD130" s="278">
        <v>0</v>
      </c>
      <c r="AE130" s="278">
        <v>0</v>
      </c>
      <c r="AF130" s="278"/>
      <c r="AG130" s="15">
        <f t="shared" si="69"/>
        <v>17</v>
      </c>
      <c r="AK130" s="308" t="s">
        <v>179</v>
      </c>
    </row>
    <row r="131" spans="1:37" ht="15.75" customHeight="1" x14ac:dyDescent="0.25">
      <c r="A131" s="309" t="s">
        <v>89</v>
      </c>
      <c r="B131" s="278">
        <v>12</v>
      </c>
      <c r="C131" s="278">
        <v>6</v>
      </c>
      <c r="D131" s="278">
        <v>8</v>
      </c>
      <c r="E131" s="278">
        <v>16</v>
      </c>
      <c r="F131" s="278">
        <v>8</v>
      </c>
      <c r="G131" s="278">
        <v>10</v>
      </c>
      <c r="H131" s="278">
        <v>12</v>
      </c>
      <c r="I131" s="278">
        <v>4</v>
      </c>
      <c r="J131" s="278">
        <v>17</v>
      </c>
      <c r="K131" s="278">
        <v>9</v>
      </c>
      <c r="L131" s="278">
        <v>9</v>
      </c>
      <c r="M131" s="278">
        <v>9</v>
      </c>
      <c r="N131" s="278">
        <v>11</v>
      </c>
      <c r="O131" s="278">
        <v>14</v>
      </c>
      <c r="P131" s="278">
        <v>10</v>
      </c>
      <c r="Q131" s="278">
        <v>8</v>
      </c>
      <c r="R131" s="278">
        <v>6</v>
      </c>
      <c r="S131" s="278">
        <v>10</v>
      </c>
      <c r="T131" s="278">
        <v>10</v>
      </c>
      <c r="U131" s="278">
        <v>8</v>
      </c>
      <c r="V131" s="278">
        <v>6</v>
      </c>
      <c r="W131" s="278">
        <v>4</v>
      </c>
      <c r="X131" s="278">
        <v>5</v>
      </c>
      <c r="Y131" s="278">
        <v>7</v>
      </c>
      <c r="Z131" s="278">
        <v>5</v>
      </c>
      <c r="AA131" s="278">
        <v>12</v>
      </c>
      <c r="AB131" s="278">
        <v>17</v>
      </c>
      <c r="AC131" s="278">
        <v>11</v>
      </c>
      <c r="AD131" s="278">
        <v>13</v>
      </c>
      <c r="AE131" s="278">
        <v>5</v>
      </c>
      <c r="AF131" s="278"/>
      <c r="AG131" s="15">
        <f t="shared" si="69"/>
        <v>282</v>
      </c>
      <c r="AK131" s="308" t="s">
        <v>180</v>
      </c>
    </row>
    <row r="132" spans="1:37" ht="15.75" customHeight="1" thickBot="1" x14ac:dyDescent="0.3">
      <c r="A132" s="310" t="s">
        <v>90</v>
      </c>
      <c r="B132" s="311">
        <v>14</v>
      </c>
      <c r="C132" s="311">
        <v>7</v>
      </c>
      <c r="D132" s="311">
        <v>7</v>
      </c>
      <c r="E132" s="311">
        <v>8</v>
      </c>
      <c r="F132" s="311">
        <v>9</v>
      </c>
      <c r="G132" s="311">
        <v>11</v>
      </c>
      <c r="H132" s="311">
        <v>9</v>
      </c>
      <c r="I132" s="311">
        <v>9</v>
      </c>
      <c r="J132" s="311">
        <v>7</v>
      </c>
      <c r="K132" s="311">
        <v>10</v>
      </c>
      <c r="L132" s="311">
        <v>9</v>
      </c>
      <c r="M132" s="311">
        <v>6</v>
      </c>
      <c r="N132" s="311">
        <v>6</v>
      </c>
      <c r="O132" s="311">
        <v>8</v>
      </c>
      <c r="P132" s="311">
        <v>11</v>
      </c>
      <c r="Q132" s="311">
        <v>6</v>
      </c>
      <c r="R132" s="311">
        <v>5</v>
      </c>
      <c r="S132" s="311">
        <v>6</v>
      </c>
      <c r="T132" s="311">
        <v>9</v>
      </c>
      <c r="U132" s="311">
        <v>6</v>
      </c>
      <c r="V132" s="311">
        <v>5</v>
      </c>
      <c r="W132" s="311">
        <v>8</v>
      </c>
      <c r="X132" s="311">
        <v>6</v>
      </c>
      <c r="Y132" s="311">
        <v>7</v>
      </c>
      <c r="Z132" s="311">
        <v>6</v>
      </c>
      <c r="AA132" s="311">
        <v>6</v>
      </c>
      <c r="AB132" s="311">
        <v>9</v>
      </c>
      <c r="AC132" s="311">
        <v>10</v>
      </c>
      <c r="AD132" s="311">
        <v>7</v>
      </c>
      <c r="AE132" s="311">
        <v>16</v>
      </c>
      <c r="AF132" s="311"/>
      <c r="AG132" s="26">
        <f t="shared" si="69"/>
        <v>243</v>
      </c>
      <c r="AK132" s="308" t="s">
        <v>181</v>
      </c>
    </row>
    <row r="133" spans="1:37" ht="15.75" customHeight="1" thickBot="1" x14ac:dyDescent="0.3">
      <c r="A133" s="291" t="s">
        <v>92</v>
      </c>
      <c r="B133" s="43">
        <f t="shared" ref="B133:AF133" si="79">+B28</f>
        <v>258</v>
      </c>
      <c r="C133" s="43">
        <f t="shared" ref="C133:AC133" si="80">+C28</f>
        <v>186</v>
      </c>
      <c r="D133" s="43">
        <f t="shared" ref="D133" si="81">+D28</f>
        <v>199</v>
      </c>
      <c r="E133" s="43">
        <f t="shared" si="80"/>
        <v>208</v>
      </c>
      <c r="F133" s="43">
        <f t="shared" si="80"/>
        <v>231</v>
      </c>
      <c r="G133" s="43">
        <f t="shared" si="80"/>
        <v>249</v>
      </c>
      <c r="H133" s="43">
        <f t="shared" si="80"/>
        <v>241</v>
      </c>
      <c r="I133" s="43">
        <f t="shared" si="80"/>
        <v>234</v>
      </c>
      <c r="J133" s="43">
        <f t="shared" si="80"/>
        <v>214</v>
      </c>
      <c r="K133" s="43">
        <f t="shared" si="80"/>
        <v>192</v>
      </c>
      <c r="L133" s="43">
        <f t="shared" si="80"/>
        <v>212</v>
      </c>
      <c r="M133" s="43">
        <f t="shared" si="80"/>
        <v>213</v>
      </c>
      <c r="N133" s="43">
        <f t="shared" si="80"/>
        <v>226</v>
      </c>
      <c r="O133" s="43">
        <f t="shared" si="80"/>
        <v>192</v>
      </c>
      <c r="P133" s="43">
        <f t="shared" si="80"/>
        <v>218</v>
      </c>
      <c r="Q133" s="43">
        <f t="shared" si="80"/>
        <v>205</v>
      </c>
      <c r="R133" s="43">
        <f t="shared" si="80"/>
        <v>173</v>
      </c>
      <c r="S133" s="43">
        <f t="shared" si="80"/>
        <v>180</v>
      </c>
      <c r="T133" s="43">
        <f t="shared" si="80"/>
        <v>192</v>
      </c>
      <c r="U133" s="43">
        <f t="shared" si="80"/>
        <v>203</v>
      </c>
      <c r="V133" s="43">
        <f t="shared" si="80"/>
        <v>177</v>
      </c>
      <c r="W133" s="43">
        <f t="shared" si="80"/>
        <v>197</v>
      </c>
      <c r="X133" s="43">
        <f t="shared" si="80"/>
        <v>189</v>
      </c>
      <c r="Y133" s="43">
        <f t="shared" si="80"/>
        <v>172</v>
      </c>
      <c r="Z133" s="43">
        <f t="shared" si="80"/>
        <v>174</v>
      </c>
      <c r="AA133" s="43">
        <f t="shared" si="80"/>
        <v>173</v>
      </c>
      <c r="AB133" s="43">
        <f t="shared" si="80"/>
        <v>217</v>
      </c>
      <c r="AC133" s="43">
        <f t="shared" si="80"/>
        <v>230</v>
      </c>
      <c r="AD133" s="43">
        <f t="shared" si="79"/>
        <v>219</v>
      </c>
      <c r="AE133" s="43">
        <f t="shared" si="79"/>
        <v>204</v>
      </c>
      <c r="AF133" s="43">
        <f t="shared" si="79"/>
        <v>0</v>
      </c>
      <c r="AG133" s="27">
        <f t="shared" si="69"/>
        <v>6178</v>
      </c>
      <c r="AH133" s="271" t="str">
        <f>IF(AG133&lt;&gt;AG93,"*","")</f>
        <v/>
      </c>
      <c r="AK133" s="308" t="s">
        <v>182</v>
      </c>
    </row>
    <row r="134" spans="1:37" ht="15.75" customHeight="1" thickBot="1" x14ac:dyDescent="0.3">
      <c r="A134" s="313" t="s">
        <v>44</v>
      </c>
      <c r="B134" s="82">
        <f t="shared" ref="B134:D134" si="82">+B53</f>
        <v>6</v>
      </c>
      <c r="C134" s="82">
        <f t="shared" si="82"/>
        <v>88</v>
      </c>
      <c r="D134" s="82">
        <f t="shared" si="82"/>
        <v>39</v>
      </c>
      <c r="E134" s="82">
        <f t="shared" ref="E134:AC134" si="83">+E53</f>
        <v>34</v>
      </c>
      <c r="F134" s="82">
        <f t="shared" si="83"/>
        <v>15</v>
      </c>
      <c r="G134" s="82">
        <f t="shared" si="83"/>
        <v>75</v>
      </c>
      <c r="H134" s="82">
        <f t="shared" si="83"/>
        <v>64</v>
      </c>
      <c r="I134" s="82">
        <f t="shared" si="83"/>
        <v>27</v>
      </c>
      <c r="J134" s="82">
        <f t="shared" si="83"/>
        <v>31</v>
      </c>
      <c r="K134" s="82">
        <f t="shared" si="83"/>
        <v>22</v>
      </c>
      <c r="L134" s="82">
        <f t="shared" si="83"/>
        <v>3</v>
      </c>
      <c r="M134" s="82">
        <f t="shared" si="83"/>
        <v>31</v>
      </c>
      <c r="N134" s="82">
        <f t="shared" si="83"/>
        <v>66</v>
      </c>
      <c r="O134" s="82">
        <f t="shared" si="83"/>
        <v>58</v>
      </c>
      <c r="P134" s="82">
        <f t="shared" si="83"/>
        <v>37</v>
      </c>
      <c r="Q134" s="82">
        <f t="shared" si="83"/>
        <v>25</v>
      </c>
      <c r="R134" s="82">
        <f t="shared" si="83"/>
        <v>10</v>
      </c>
      <c r="S134" s="82">
        <f t="shared" si="83"/>
        <v>22</v>
      </c>
      <c r="T134" s="82">
        <f t="shared" si="83"/>
        <v>33</v>
      </c>
      <c r="U134" s="82">
        <f t="shared" si="83"/>
        <v>74</v>
      </c>
      <c r="V134" s="82">
        <f t="shared" si="83"/>
        <v>66</v>
      </c>
      <c r="W134" s="82">
        <f t="shared" si="83"/>
        <v>54</v>
      </c>
      <c r="X134" s="82">
        <f t="shared" si="83"/>
        <v>50</v>
      </c>
      <c r="Y134" s="82">
        <f t="shared" si="83"/>
        <v>51</v>
      </c>
      <c r="Z134" s="82">
        <f t="shared" si="83"/>
        <v>33</v>
      </c>
      <c r="AA134" s="82">
        <f t="shared" si="83"/>
        <v>22</v>
      </c>
      <c r="AB134" s="82">
        <f t="shared" si="83"/>
        <v>75</v>
      </c>
      <c r="AC134" s="82">
        <f t="shared" si="83"/>
        <v>21</v>
      </c>
      <c r="AD134" s="82">
        <f t="shared" ref="AD134:AF134" si="84">+AD53</f>
        <v>22</v>
      </c>
      <c r="AE134" s="82">
        <f t="shared" si="84"/>
        <v>16</v>
      </c>
      <c r="AF134" s="82">
        <f t="shared" si="84"/>
        <v>0</v>
      </c>
      <c r="AG134" s="83">
        <f t="shared" si="69"/>
        <v>1170</v>
      </c>
      <c r="AK134" s="308" t="s">
        <v>183</v>
      </c>
    </row>
    <row r="135" spans="1:37" ht="15.75" customHeight="1" thickBot="1" x14ac:dyDescent="0.3">
      <c r="A135" s="276" t="s">
        <v>110</v>
      </c>
      <c r="B135" s="6">
        <f t="shared" ref="B135:AF135" si="85">SUM(B136:B138)</f>
        <v>1</v>
      </c>
      <c r="C135" s="6">
        <f t="shared" ref="C135:AC135" si="86">SUM(C136:C138)</f>
        <v>0</v>
      </c>
      <c r="D135" s="6">
        <f t="shared" ref="D135" si="87">SUM(D136:D138)</f>
        <v>2</v>
      </c>
      <c r="E135" s="6">
        <f t="shared" si="86"/>
        <v>2</v>
      </c>
      <c r="F135" s="6">
        <f t="shared" si="86"/>
        <v>1</v>
      </c>
      <c r="G135" s="6">
        <f t="shared" si="86"/>
        <v>0</v>
      </c>
      <c r="H135" s="6">
        <f t="shared" si="86"/>
        <v>0</v>
      </c>
      <c r="I135" s="6">
        <f t="shared" si="86"/>
        <v>1</v>
      </c>
      <c r="J135" s="6">
        <f t="shared" si="86"/>
        <v>0</v>
      </c>
      <c r="K135" s="6">
        <f t="shared" si="86"/>
        <v>2</v>
      </c>
      <c r="L135" s="6">
        <f t="shared" si="86"/>
        <v>0</v>
      </c>
      <c r="M135" s="6">
        <f t="shared" si="86"/>
        <v>0</v>
      </c>
      <c r="N135" s="6">
        <f t="shared" si="86"/>
        <v>2</v>
      </c>
      <c r="O135" s="6">
        <f t="shared" si="86"/>
        <v>0</v>
      </c>
      <c r="P135" s="6">
        <f t="shared" si="86"/>
        <v>0</v>
      </c>
      <c r="Q135" s="6">
        <f t="shared" si="86"/>
        <v>0</v>
      </c>
      <c r="R135" s="6">
        <f t="shared" si="86"/>
        <v>1</v>
      </c>
      <c r="S135" s="6">
        <f t="shared" si="86"/>
        <v>1</v>
      </c>
      <c r="T135" s="6">
        <f t="shared" si="86"/>
        <v>1</v>
      </c>
      <c r="U135" s="6">
        <f t="shared" si="86"/>
        <v>1</v>
      </c>
      <c r="V135" s="6">
        <f t="shared" si="86"/>
        <v>0</v>
      </c>
      <c r="W135" s="6">
        <f t="shared" si="86"/>
        <v>2</v>
      </c>
      <c r="X135" s="6">
        <f t="shared" si="86"/>
        <v>2</v>
      </c>
      <c r="Y135" s="6">
        <f t="shared" si="86"/>
        <v>0</v>
      </c>
      <c r="Z135" s="6">
        <f t="shared" si="86"/>
        <v>0</v>
      </c>
      <c r="AA135" s="6">
        <f t="shared" si="86"/>
        <v>0</v>
      </c>
      <c r="AB135" s="6">
        <f t="shared" si="86"/>
        <v>2</v>
      </c>
      <c r="AC135" s="6">
        <f t="shared" si="86"/>
        <v>2</v>
      </c>
      <c r="AD135" s="6">
        <f t="shared" si="85"/>
        <v>0</v>
      </c>
      <c r="AE135" s="6">
        <f t="shared" si="85"/>
        <v>1</v>
      </c>
      <c r="AF135" s="6">
        <f t="shared" si="85"/>
        <v>0</v>
      </c>
      <c r="AG135" s="7">
        <f t="shared" si="69"/>
        <v>24</v>
      </c>
      <c r="AH135" s="357" t="s">
        <v>111</v>
      </c>
      <c r="AK135" s="308" t="s">
        <v>184</v>
      </c>
    </row>
    <row r="136" spans="1:37" ht="15.75" customHeight="1" x14ac:dyDescent="0.25">
      <c r="A136" s="314" t="s">
        <v>112</v>
      </c>
      <c r="B136" s="315">
        <v>0</v>
      </c>
      <c r="C136" s="315">
        <v>0</v>
      </c>
      <c r="D136" s="315">
        <v>2</v>
      </c>
      <c r="E136" s="315">
        <v>2</v>
      </c>
      <c r="F136" s="315">
        <v>1</v>
      </c>
      <c r="G136" s="315">
        <v>0</v>
      </c>
      <c r="H136" s="315">
        <v>0</v>
      </c>
      <c r="I136" s="315">
        <v>1</v>
      </c>
      <c r="J136" s="315">
        <v>0</v>
      </c>
      <c r="K136" s="315">
        <v>2</v>
      </c>
      <c r="L136" s="315">
        <v>0</v>
      </c>
      <c r="M136" s="315">
        <v>0</v>
      </c>
      <c r="N136" s="315">
        <v>2</v>
      </c>
      <c r="O136" s="315">
        <v>0</v>
      </c>
      <c r="P136" s="315">
        <v>0</v>
      </c>
      <c r="Q136" s="315">
        <v>0</v>
      </c>
      <c r="R136" s="315">
        <v>1</v>
      </c>
      <c r="S136" s="315">
        <v>1</v>
      </c>
      <c r="T136" s="315">
        <v>0</v>
      </c>
      <c r="U136" s="315">
        <v>1</v>
      </c>
      <c r="V136" s="315">
        <v>0</v>
      </c>
      <c r="W136" s="315">
        <v>2</v>
      </c>
      <c r="X136" s="315">
        <v>1</v>
      </c>
      <c r="Y136" s="315">
        <v>0</v>
      </c>
      <c r="Z136" s="315">
        <v>0</v>
      </c>
      <c r="AA136" s="315">
        <v>0</v>
      </c>
      <c r="AB136" s="315">
        <v>1</v>
      </c>
      <c r="AC136" s="315">
        <v>2</v>
      </c>
      <c r="AD136" s="315">
        <v>0</v>
      </c>
      <c r="AE136" s="315">
        <v>1</v>
      </c>
      <c r="AF136" s="315"/>
      <c r="AG136" s="126">
        <f t="shared" si="69"/>
        <v>20</v>
      </c>
      <c r="AK136" s="308" t="s">
        <v>185</v>
      </c>
    </row>
    <row r="137" spans="1:37" ht="15.75" customHeight="1" x14ac:dyDescent="0.25">
      <c r="A137" s="316" t="s">
        <v>113</v>
      </c>
      <c r="B137" s="317">
        <v>1</v>
      </c>
      <c r="C137" s="317">
        <v>0</v>
      </c>
      <c r="D137" s="317">
        <v>0</v>
      </c>
      <c r="E137" s="317">
        <v>0</v>
      </c>
      <c r="F137" s="317">
        <v>0</v>
      </c>
      <c r="G137" s="317">
        <v>0</v>
      </c>
      <c r="H137" s="317">
        <v>0</v>
      </c>
      <c r="I137" s="317">
        <v>0</v>
      </c>
      <c r="J137" s="317">
        <v>0</v>
      </c>
      <c r="K137" s="317">
        <v>0</v>
      </c>
      <c r="L137" s="317">
        <v>0</v>
      </c>
      <c r="M137" s="317">
        <v>0</v>
      </c>
      <c r="N137" s="317">
        <v>0</v>
      </c>
      <c r="O137" s="317">
        <v>0</v>
      </c>
      <c r="P137" s="317">
        <v>0</v>
      </c>
      <c r="Q137" s="317">
        <v>0</v>
      </c>
      <c r="R137" s="317">
        <v>0</v>
      </c>
      <c r="S137" s="317">
        <v>0</v>
      </c>
      <c r="T137" s="317">
        <v>1</v>
      </c>
      <c r="U137" s="317">
        <v>0</v>
      </c>
      <c r="V137" s="317">
        <v>0</v>
      </c>
      <c r="W137" s="317">
        <v>0</v>
      </c>
      <c r="X137" s="317">
        <v>1</v>
      </c>
      <c r="Y137" s="317">
        <v>0</v>
      </c>
      <c r="Z137" s="317">
        <v>0</v>
      </c>
      <c r="AA137" s="317">
        <v>0</v>
      </c>
      <c r="AB137" s="317">
        <v>1</v>
      </c>
      <c r="AC137" s="317">
        <v>0</v>
      </c>
      <c r="AD137" s="317">
        <v>0</v>
      </c>
      <c r="AE137" s="317">
        <v>0</v>
      </c>
      <c r="AF137" s="317"/>
      <c r="AG137" s="130">
        <f t="shared" si="69"/>
        <v>4</v>
      </c>
      <c r="AK137" s="308" t="s">
        <v>186</v>
      </c>
    </row>
    <row r="138" spans="1:37" ht="15.75" customHeight="1" thickBot="1" x14ac:dyDescent="0.3">
      <c r="A138" s="318" t="s">
        <v>114</v>
      </c>
      <c r="B138" s="319">
        <v>0</v>
      </c>
      <c r="C138" s="319">
        <v>0</v>
      </c>
      <c r="D138" s="319">
        <v>0</v>
      </c>
      <c r="E138" s="319">
        <v>0</v>
      </c>
      <c r="F138" s="319">
        <v>0</v>
      </c>
      <c r="G138" s="319">
        <v>0</v>
      </c>
      <c r="H138" s="319">
        <v>0</v>
      </c>
      <c r="I138" s="319">
        <v>0</v>
      </c>
      <c r="J138" s="319">
        <v>0</v>
      </c>
      <c r="K138" s="319">
        <v>0</v>
      </c>
      <c r="L138" s="319">
        <v>0</v>
      </c>
      <c r="M138" s="319">
        <v>0</v>
      </c>
      <c r="N138" s="319">
        <v>0</v>
      </c>
      <c r="O138" s="319">
        <v>0</v>
      </c>
      <c r="P138" s="319">
        <v>0</v>
      </c>
      <c r="Q138" s="319">
        <v>0</v>
      </c>
      <c r="R138" s="319">
        <v>0</v>
      </c>
      <c r="S138" s="319">
        <v>0</v>
      </c>
      <c r="T138" s="319">
        <v>0</v>
      </c>
      <c r="U138" s="319">
        <v>0</v>
      </c>
      <c r="V138" s="319">
        <v>0</v>
      </c>
      <c r="W138" s="319">
        <v>0</v>
      </c>
      <c r="X138" s="319">
        <v>0</v>
      </c>
      <c r="Y138" s="319">
        <v>0</v>
      </c>
      <c r="Z138" s="319">
        <v>0</v>
      </c>
      <c r="AA138" s="319">
        <v>0</v>
      </c>
      <c r="AB138" s="319">
        <v>0</v>
      </c>
      <c r="AC138" s="319">
        <v>0</v>
      </c>
      <c r="AD138" s="319">
        <v>0</v>
      </c>
      <c r="AE138" s="319">
        <v>0</v>
      </c>
      <c r="AF138" s="319"/>
      <c r="AG138" s="134">
        <f t="shared" si="69"/>
        <v>0</v>
      </c>
      <c r="AK138" s="308" t="s">
        <v>187</v>
      </c>
    </row>
    <row r="139" spans="1:37" ht="15.75" customHeight="1" thickBot="1" x14ac:dyDescent="0.3">
      <c r="A139" s="296" t="s">
        <v>115</v>
      </c>
      <c r="B139" s="136">
        <f t="shared" ref="B139:AF139" si="88">SUM(B140:B141)</f>
        <v>5</v>
      </c>
      <c r="C139" s="136">
        <f t="shared" ref="C139:AC139" si="89">SUM(C140:C141)</f>
        <v>4</v>
      </c>
      <c r="D139" s="136">
        <f t="shared" ref="D139" si="90">SUM(D140:D141)</f>
        <v>7</v>
      </c>
      <c r="E139" s="136">
        <f t="shared" si="89"/>
        <v>1</v>
      </c>
      <c r="F139" s="136">
        <f t="shared" si="89"/>
        <v>6</v>
      </c>
      <c r="G139" s="136">
        <f t="shared" si="89"/>
        <v>4</v>
      </c>
      <c r="H139" s="136">
        <f t="shared" si="89"/>
        <v>2</v>
      </c>
      <c r="I139" s="136">
        <f t="shared" si="89"/>
        <v>1</v>
      </c>
      <c r="J139" s="136">
        <f t="shared" si="89"/>
        <v>3</v>
      </c>
      <c r="K139" s="136">
        <f t="shared" si="89"/>
        <v>2</v>
      </c>
      <c r="L139" s="136">
        <f t="shared" si="89"/>
        <v>0</v>
      </c>
      <c r="M139" s="136">
        <f t="shared" si="89"/>
        <v>4</v>
      </c>
      <c r="N139" s="136">
        <f t="shared" si="89"/>
        <v>5</v>
      </c>
      <c r="O139" s="136">
        <f t="shared" si="89"/>
        <v>3</v>
      </c>
      <c r="P139" s="136">
        <f t="shared" si="89"/>
        <v>10</v>
      </c>
      <c r="Q139" s="136">
        <f t="shared" si="89"/>
        <v>5</v>
      </c>
      <c r="R139" s="136">
        <f t="shared" si="89"/>
        <v>4</v>
      </c>
      <c r="S139" s="136">
        <f t="shared" si="89"/>
        <v>4</v>
      </c>
      <c r="T139" s="136">
        <f t="shared" si="89"/>
        <v>6</v>
      </c>
      <c r="U139" s="136">
        <f t="shared" si="89"/>
        <v>2</v>
      </c>
      <c r="V139" s="136">
        <f t="shared" si="89"/>
        <v>3</v>
      </c>
      <c r="W139" s="136">
        <f t="shared" si="89"/>
        <v>5</v>
      </c>
      <c r="X139" s="136">
        <f t="shared" si="89"/>
        <v>5</v>
      </c>
      <c r="Y139" s="136">
        <f t="shared" si="89"/>
        <v>4</v>
      </c>
      <c r="Z139" s="136">
        <f t="shared" si="89"/>
        <v>5</v>
      </c>
      <c r="AA139" s="136">
        <f t="shared" si="89"/>
        <v>1</v>
      </c>
      <c r="AB139" s="136">
        <f t="shared" si="89"/>
        <v>2</v>
      </c>
      <c r="AC139" s="136">
        <f t="shared" si="89"/>
        <v>4</v>
      </c>
      <c r="AD139" s="136">
        <f t="shared" si="88"/>
        <v>5</v>
      </c>
      <c r="AE139" s="136">
        <f t="shared" si="88"/>
        <v>4</v>
      </c>
      <c r="AF139" s="136">
        <f t="shared" si="88"/>
        <v>0</v>
      </c>
      <c r="AG139" s="137">
        <f t="shared" si="69"/>
        <v>116</v>
      </c>
      <c r="AH139" s="111" t="s">
        <v>116</v>
      </c>
      <c r="AK139" s="308" t="s">
        <v>188</v>
      </c>
    </row>
    <row r="140" spans="1:37" ht="15.75" customHeight="1" x14ac:dyDescent="0.25">
      <c r="A140" s="320" t="s">
        <v>117</v>
      </c>
      <c r="B140" s="321">
        <v>0</v>
      </c>
      <c r="C140" s="321">
        <v>0</v>
      </c>
      <c r="D140" s="321">
        <v>0</v>
      </c>
      <c r="E140" s="321">
        <v>0</v>
      </c>
      <c r="F140" s="321">
        <v>2</v>
      </c>
      <c r="G140" s="321">
        <v>0</v>
      </c>
      <c r="H140" s="321">
        <v>0</v>
      </c>
      <c r="I140" s="321">
        <v>0</v>
      </c>
      <c r="J140" s="321">
        <v>1</v>
      </c>
      <c r="K140" s="321">
        <v>0</v>
      </c>
      <c r="L140" s="321">
        <v>0</v>
      </c>
      <c r="M140" s="321">
        <v>0</v>
      </c>
      <c r="N140" s="321">
        <v>1</v>
      </c>
      <c r="O140" s="321">
        <v>1</v>
      </c>
      <c r="P140" s="321">
        <v>1</v>
      </c>
      <c r="Q140" s="321">
        <v>2</v>
      </c>
      <c r="R140" s="321">
        <v>1</v>
      </c>
      <c r="S140" s="321">
        <v>1</v>
      </c>
      <c r="T140" s="321">
        <v>1</v>
      </c>
      <c r="U140" s="321">
        <v>1</v>
      </c>
      <c r="V140" s="321">
        <v>1</v>
      </c>
      <c r="W140" s="321">
        <v>0</v>
      </c>
      <c r="X140" s="321">
        <v>0</v>
      </c>
      <c r="Y140" s="321">
        <v>0</v>
      </c>
      <c r="Z140" s="321">
        <v>0</v>
      </c>
      <c r="AA140" s="321">
        <v>0</v>
      </c>
      <c r="AB140" s="321">
        <v>0</v>
      </c>
      <c r="AC140" s="321">
        <v>0</v>
      </c>
      <c r="AD140" s="321">
        <v>0</v>
      </c>
      <c r="AE140" s="321">
        <v>0</v>
      </c>
      <c r="AF140" s="321"/>
      <c r="AG140" s="141">
        <f t="shared" si="69"/>
        <v>13</v>
      </c>
      <c r="AH140" s="111" t="s">
        <v>116</v>
      </c>
      <c r="AK140" s="308" t="s">
        <v>189</v>
      </c>
    </row>
    <row r="141" spans="1:37" ht="15.75" customHeight="1" thickBot="1" x14ac:dyDescent="0.3">
      <c r="A141" s="297" t="s">
        <v>118</v>
      </c>
      <c r="B141" s="322">
        <v>5</v>
      </c>
      <c r="C141" s="322">
        <v>4</v>
      </c>
      <c r="D141" s="322">
        <v>7</v>
      </c>
      <c r="E141" s="322">
        <v>1</v>
      </c>
      <c r="F141" s="322">
        <v>4</v>
      </c>
      <c r="G141" s="322">
        <v>4</v>
      </c>
      <c r="H141" s="322">
        <v>2</v>
      </c>
      <c r="I141" s="322">
        <v>1</v>
      </c>
      <c r="J141" s="322">
        <v>2</v>
      </c>
      <c r="K141" s="322">
        <v>2</v>
      </c>
      <c r="L141" s="322">
        <v>0</v>
      </c>
      <c r="M141" s="322">
        <v>4</v>
      </c>
      <c r="N141" s="322">
        <v>4</v>
      </c>
      <c r="O141" s="322">
        <v>2</v>
      </c>
      <c r="P141" s="322">
        <v>9</v>
      </c>
      <c r="Q141" s="322">
        <v>3</v>
      </c>
      <c r="R141" s="322">
        <v>3</v>
      </c>
      <c r="S141" s="322">
        <v>3</v>
      </c>
      <c r="T141" s="322">
        <v>5</v>
      </c>
      <c r="U141" s="322">
        <v>1</v>
      </c>
      <c r="V141" s="322">
        <v>2</v>
      </c>
      <c r="W141" s="322">
        <v>5</v>
      </c>
      <c r="X141" s="322">
        <v>5</v>
      </c>
      <c r="Y141" s="322">
        <v>4</v>
      </c>
      <c r="Z141" s="322">
        <v>5</v>
      </c>
      <c r="AA141" s="322">
        <v>1</v>
      </c>
      <c r="AB141" s="322">
        <v>2</v>
      </c>
      <c r="AC141" s="322">
        <v>4</v>
      </c>
      <c r="AD141" s="322">
        <v>5</v>
      </c>
      <c r="AE141" s="322">
        <v>4</v>
      </c>
      <c r="AF141" s="322"/>
      <c r="AG141" s="144">
        <f t="shared" si="69"/>
        <v>103</v>
      </c>
      <c r="AH141" s="111" t="s">
        <v>116</v>
      </c>
      <c r="AK141" s="308" t="s">
        <v>190</v>
      </c>
    </row>
    <row r="142" spans="1:37" ht="15.75" customHeight="1" x14ac:dyDescent="0.25">
      <c r="A142" s="323" t="s">
        <v>119</v>
      </c>
      <c r="B142" s="324">
        <v>0</v>
      </c>
      <c r="C142" s="324">
        <v>0</v>
      </c>
      <c r="D142" s="324">
        <v>0</v>
      </c>
      <c r="E142" s="324">
        <v>0</v>
      </c>
      <c r="F142" s="324">
        <v>0</v>
      </c>
      <c r="G142" s="324">
        <v>0</v>
      </c>
      <c r="H142" s="324">
        <v>0</v>
      </c>
      <c r="I142" s="324">
        <v>0</v>
      </c>
      <c r="J142" s="324">
        <v>0</v>
      </c>
      <c r="K142" s="324">
        <v>0</v>
      </c>
      <c r="L142" s="324">
        <v>0</v>
      </c>
      <c r="M142" s="324">
        <v>0</v>
      </c>
      <c r="N142" s="324">
        <v>0</v>
      </c>
      <c r="O142" s="324">
        <v>0</v>
      </c>
      <c r="P142" s="324">
        <v>0</v>
      </c>
      <c r="Q142" s="324">
        <v>0</v>
      </c>
      <c r="R142" s="324">
        <v>0</v>
      </c>
      <c r="S142" s="324">
        <v>0</v>
      </c>
      <c r="T142" s="324">
        <v>0</v>
      </c>
      <c r="U142" s="324">
        <v>0</v>
      </c>
      <c r="V142" s="324">
        <v>0</v>
      </c>
      <c r="W142" s="324">
        <v>0</v>
      </c>
      <c r="X142" s="324">
        <v>0</v>
      </c>
      <c r="Y142" s="324">
        <v>0</v>
      </c>
      <c r="Z142" s="324">
        <v>0</v>
      </c>
      <c r="AA142" s="324">
        <v>0</v>
      </c>
      <c r="AB142" s="324">
        <v>0</v>
      </c>
      <c r="AC142" s="324">
        <v>0</v>
      </c>
      <c r="AD142" s="324">
        <v>0</v>
      </c>
      <c r="AE142" s="324">
        <v>0</v>
      </c>
      <c r="AF142" s="324">
        <v>0</v>
      </c>
      <c r="AG142" s="148">
        <f t="shared" si="69"/>
        <v>0</v>
      </c>
      <c r="AK142" s="308" t="s">
        <v>191</v>
      </c>
    </row>
    <row r="143" spans="1:37" ht="15.75" customHeight="1" thickBot="1" x14ac:dyDescent="0.3">
      <c r="A143" s="325" t="s">
        <v>120</v>
      </c>
      <c r="B143" s="326">
        <v>0</v>
      </c>
      <c r="C143" s="326">
        <v>0</v>
      </c>
      <c r="D143" s="326">
        <v>0</v>
      </c>
      <c r="E143" s="326">
        <v>0</v>
      </c>
      <c r="F143" s="326">
        <v>0</v>
      </c>
      <c r="G143" s="326">
        <v>0</v>
      </c>
      <c r="H143" s="326">
        <v>0</v>
      </c>
      <c r="I143" s="326">
        <v>0</v>
      </c>
      <c r="J143" s="326">
        <v>0</v>
      </c>
      <c r="K143" s="326">
        <v>0</v>
      </c>
      <c r="L143" s="326">
        <v>0</v>
      </c>
      <c r="M143" s="326">
        <v>0</v>
      </c>
      <c r="N143" s="326">
        <v>0</v>
      </c>
      <c r="O143" s="326">
        <v>0</v>
      </c>
      <c r="P143" s="326">
        <v>0</v>
      </c>
      <c r="Q143" s="326">
        <v>0</v>
      </c>
      <c r="R143" s="326">
        <v>0</v>
      </c>
      <c r="S143" s="326">
        <v>0</v>
      </c>
      <c r="T143" s="326">
        <v>0</v>
      </c>
      <c r="U143" s="326">
        <v>0</v>
      </c>
      <c r="V143" s="326">
        <v>0</v>
      </c>
      <c r="W143" s="326">
        <v>0</v>
      </c>
      <c r="X143" s="326">
        <v>0</v>
      </c>
      <c r="Y143" s="326">
        <v>0</v>
      </c>
      <c r="Z143" s="326">
        <v>0</v>
      </c>
      <c r="AA143" s="326">
        <v>0</v>
      </c>
      <c r="AB143" s="326">
        <v>0</v>
      </c>
      <c r="AC143" s="326">
        <v>0</v>
      </c>
      <c r="AD143" s="326">
        <v>0</v>
      </c>
      <c r="AE143" s="326">
        <v>0</v>
      </c>
      <c r="AF143" s="326">
        <v>0</v>
      </c>
      <c r="AG143" s="152">
        <f t="shared" si="69"/>
        <v>0</v>
      </c>
      <c r="AK143" s="308" t="s">
        <v>192</v>
      </c>
    </row>
    <row r="144" spans="1:37" ht="15.75" customHeight="1" thickBot="1" x14ac:dyDescent="0.3">
      <c r="A144" s="327" t="s">
        <v>121</v>
      </c>
      <c r="B144" s="155">
        <f t="shared" ref="B144:AF144" si="91">SUM(B145:B170)</f>
        <v>87</v>
      </c>
      <c r="C144" s="155">
        <f t="shared" ref="C144:AC144" si="92">SUM(C145:C170)</f>
        <v>65</v>
      </c>
      <c r="D144" s="155">
        <f t="shared" ref="D144" si="93">SUM(D145:D170)</f>
        <v>69</v>
      </c>
      <c r="E144" s="155">
        <f t="shared" si="92"/>
        <v>73</v>
      </c>
      <c r="F144" s="155">
        <f t="shared" si="92"/>
        <v>77</v>
      </c>
      <c r="G144" s="155">
        <f t="shared" si="92"/>
        <v>108</v>
      </c>
      <c r="H144" s="155">
        <f t="shared" si="92"/>
        <v>86</v>
      </c>
      <c r="I144" s="155">
        <f t="shared" si="92"/>
        <v>81</v>
      </c>
      <c r="J144" s="155">
        <f t="shared" si="92"/>
        <v>72</v>
      </c>
      <c r="K144" s="155">
        <f t="shared" si="92"/>
        <v>60</v>
      </c>
      <c r="L144" s="155">
        <f t="shared" si="92"/>
        <v>65</v>
      </c>
      <c r="M144" s="155">
        <f t="shared" si="92"/>
        <v>66</v>
      </c>
      <c r="N144" s="155">
        <f t="shared" si="92"/>
        <v>67</v>
      </c>
      <c r="O144" s="155">
        <f t="shared" si="92"/>
        <v>68</v>
      </c>
      <c r="P144" s="155">
        <f t="shared" si="92"/>
        <v>64</v>
      </c>
      <c r="Q144" s="155">
        <f t="shared" si="92"/>
        <v>65</v>
      </c>
      <c r="R144" s="155">
        <f t="shared" si="92"/>
        <v>59</v>
      </c>
      <c r="S144" s="155">
        <f t="shared" si="92"/>
        <v>58</v>
      </c>
      <c r="T144" s="155">
        <f t="shared" si="92"/>
        <v>57</v>
      </c>
      <c r="U144" s="155">
        <f t="shared" si="92"/>
        <v>53</v>
      </c>
      <c r="V144" s="155">
        <f t="shared" si="92"/>
        <v>52</v>
      </c>
      <c r="W144" s="155">
        <f t="shared" si="92"/>
        <v>46</v>
      </c>
      <c r="X144" s="155">
        <f t="shared" si="92"/>
        <v>57</v>
      </c>
      <c r="Y144" s="155">
        <f t="shared" si="92"/>
        <v>49</v>
      </c>
      <c r="Z144" s="155">
        <f t="shared" si="92"/>
        <v>48</v>
      </c>
      <c r="AA144" s="155">
        <f t="shared" si="92"/>
        <v>40</v>
      </c>
      <c r="AB144" s="155">
        <f t="shared" si="92"/>
        <v>69</v>
      </c>
      <c r="AC144" s="155">
        <f t="shared" si="92"/>
        <v>74</v>
      </c>
      <c r="AD144" s="155">
        <f t="shared" si="91"/>
        <v>73</v>
      </c>
      <c r="AE144" s="155">
        <f t="shared" si="91"/>
        <v>56</v>
      </c>
      <c r="AF144" s="155">
        <f t="shared" si="91"/>
        <v>0</v>
      </c>
      <c r="AG144" s="91">
        <f t="shared" si="69"/>
        <v>1964</v>
      </c>
      <c r="AK144" s="308" t="s">
        <v>193</v>
      </c>
    </row>
    <row r="145" spans="1:37" ht="15.75" customHeight="1" x14ac:dyDescent="0.25">
      <c r="A145" s="328" t="s">
        <v>122</v>
      </c>
      <c r="B145" s="329">
        <v>2</v>
      </c>
      <c r="C145" s="329">
        <v>5</v>
      </c>
      <c r="D145" s="329">
        <v>5</v>
      </c>
      <c r="E145" s="329">
        <v>1</v>
      </c>
      <c r="F145" s="329">
        <v>2</v>
      </c>
      <c r="G145" s="329">
        <v>7</v>
      </c>
      <c r="H145" s="329">
        <v>1</v>
      </c>
      <c r="I145" s="329">
        <v>6</v>
      </c>
      <c r="J145" s="329">
        <v>6</v>
      </c>
      <c r="K145" s="329">
        <v>3</v>
      </c>
      <c r="L145" s="329">
        <v>0</v>
      </c>
      <c r="M145" s="329">
        <v>2</v>
      </c>
      <c r="N145" s="329">
        <v>2</v>
      </c>
      <c r="O145" s="329">
        <v>3</v>
      </c>
      <c r="P145" s="329">
        <v>5</v>
      </c>
      <c r="Q145" s="329">
        <v>5</v>
      </c>
      <c r="R145" s="329">
        <v>5</v>
      </c>
      <c r="S145" s="329">
        <v>1</v>
      </c>
      <c r="T145" s="329">
        <v>3</v>
      </c>
      <c r="U145" s="329">
        <v>9</v>
      </c>
      <c r="V145" s="329">
        <v>5</v>
      </c>
      <c r="W145" s="329">
        <v>1</v>
      </c>
      <c r="X145" s="329">
        <v>7</v>
      </c>
      <c r="Y145" s="329">
        <v>8</v>
      </c>
      <c r="Z145" s="329">
        <v>3</v>
      </c>
      <c r="AA145" s="329">
        <v>2</v>
      </c>
      <c r="AB145" s="329">
        <v>3</v>
      </c>
      <c r="AC145" s="329">
        <v>3</v>
      </c>
      <c r="AD145" s="329">
        <v>3</v>
      </c>
      <c r="AE145" s="329">
        <v>1</v>
      </c>
      <c r="AF145" s="329"/>
      <c r="AG145" s="159">
        <f t="shared" si="69"/>
        <v>109</v>
      </c>
      <c r="AK145" s="308" t="s">
        <v>194</v>
      </c>
    </row>
    <row r="146" spans="1:37" ht="15.75" customHeight="1" x14ac:dyDescent="0.25">
      <c r="A146" s="330" t="s">
        <v>123</v>
      </c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  <c r="Y146" s="301"/>
      <c r="Z146" s="301"/>
      <c r="AA146" s="301"/>
      <c r="AB146" s="301"/>
      <c r="AC146" s="301"/>
      <c r="AD146" s="301"/>
      <c r="AE146" s="301"/>
      <c r="AF146" s="301"/>
      <c r="AG146" s="15">
        <f t="shared" si="69"/>
        <v>0</v>
      </c>
      <c r="AK146" s="308" t="s">
        <v>195</v>
      </c>
    </row>
    <row r="147" spans="1:37" ht="15.75" customHeight="1" x14ac:dyDescent="0.25">
      <c r="A147" s="330" t="s">
        <v>124</v>
      </c>
      <c r="B147" s="301">
        <v>0</v>
      </c>
      <c r="C147" s="301">
        <v>0</v>
      </c>
      <c r="D147" s="301">
        <v>0</v>
      </c>
      <c r="E147" s="301">
        <v>0</v>
      </c>
      <c r="F147" s="301">
        <v>0</v>
      </c>
      <c r="G147" s="301">
        <v>0</v>
      </c>
      <c r="H147" s="301">
        <v>0</v>
      </c>
      <c r="I147" s="301">
        <v>0</v>
      </c>
      <c r="J147" s="301">
        <v>0</v>
      </c>
      <c r="K147" s="301">
        <v>0</v>
      </c>
      <c r="L147" s="301">
        <v>0</v>
      </c>
      <c r="M147" s="301">
        <v>1</v>
      </c>
      <c r="N147" s="301">
        <v>1</v>
      </c>
      <c r="O147" s="301">
        <v>0</v>
      </c>
      <c r="P147" s="301">
        <v>0</v>
      </c>
      <c r="Q147" s="301">
        <v>0</v>
      </c>
      <c r="R147" s="301">
        <v>0</v>
      </c>
      <c r="S147" s="301">
        <v>0</v>
      </c>
      <c r="T147" s="301">
        <v>0</v>
      </c>
      <c r="U147" s="301">
        <v>1</v>
      </c>
      <c r="V147" s="301">
        <v>0</v>
      </c>
      <c r="W147" s="301">
        <v>1</v>
      </c>
      <c r="X147" s="301">
        <v>0</v>
      </c>
      <c r="Y147" s="301">
        <v>0</v>
      </c>
      <c r="Z147" s="301">
        <v>0</v>
      </c>
      <c r="AA147" s="301">
        <v>2</v>
      </c>
      <c r="AB147" s="301">
        <v>0</v>
      </c>
      <c r="AC147" s="301">
        <v>0</v>
      </c>
      <c r="AD147" s="301">
        <v>0</v>
      </c>
      <c r="AE147" s="301">
        <v>0</v>
      </c>
      <c r="AF147" s="301"/>
      <c r="AG147" s="15">
        <f t="shared" si="69"/>
        <v>6</v>
      </c>
      <c r="AK147" s="308" t="s">
        <v>196</v>
      </c>
    </row>
    <row r="148" spans="1:37" ht="15.75" customHeight="1" x14ac:dyDescent="0.25">
      <c r="A148" s="330" t="s">
        <v>125</v>
      </c>
      <c r="B148" s="301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  <c r="Y148" s="301"/>
      <c r="Z148" s="301"/>
      <c r="AA148" s="301"/>
      <c r="AB148" s="301"/>
      <c r="AC148" s="301"/>
      <c r="AD148" s="301"/>
      <c r="AE148" s="301"/>
      <c r="AF148" s="301"/>
      <c r="AG148" s="15">
        <f t="shared" si="69"/>
        <v>0</v>
      </c>
      <c r="AK148" s="308" t="s">
        <v>197</v>
      </c>
    </row>
    <row r="149" spans="1:37" ht="15.75" customHeight="1" x14ac:dyDescent="0.25">
      <c r="A149" s="331" t="s">
        <v>126</v>
      </c>
      <c r="B149" s="332">
        <v>82</v>
      </c>
      <c r="C149" s="332">
        <v>57</v>
      </c>
      <c r="D149" s="332">
        <v>59</v>
      </c>
      <c r="E149" s="332">
        <v>70</v>
      </c>
      <c r="F149" s="332">
        <v>71</v>
      </c>
      <c r="G149" s="332">
        <v>101</v>
      </c>
      <c r="H149" s="332">
        <v>81</v>
      </c>
      <c r="I149" s="332">
        <v>70</v>
      </c>
      <c r="J149" s="332">
        <v>56</v>
      </c>
      <c r="K149" s="332">
        <v>52</v>
      </c>
      <c r="L149" s="332">
        <v>61</v>
      </c>
      <c r="M149" s="332">
        <v>62</v>
      </c>
      <c r="N149" s="332">
        <v>59</v>
      </c>
      <c r="O149" s="332">
        <v>58</v>
      </c>
      <c r="P149" s="332">
        <v>54</v>
      </c>
      <c r="Q149" s="332">
        <v>59</v>
      </c>
      <c r="R149" s="332">
        <v>49</v>
      </c>
      <c r="S149" s="332">
        <v>56</v>
      </c>
      <c r="T149" s="332">
        <v>53</v>
      </c>
      <c r="U149" s="332">
        <v>40</v>
      </c>
      <c r="V149" s="332">
        <v>40</v>
      </c>
      <c r="W149" s="332">
        <v>42</v>
      </c>
      <c r="X149" s="332">
        <v>45</v>
      </c>
      <c r="Y149" s="332">
        <v>34</v>
      </c>
      <c r="Z149" s="332">
        <v>44</v>
      </c>
      <c r="AA149" s="332">
        <v>32</v>
      </c>
      <c r="AB149" s="332">
        <v>65</v>
      </c>
      <c r="AC149" s="332">
        <v>61</v>
      </c>
      <c r="AD149" s="332">
        <v>66</v>
      </c>
      <c r="AE149" s="332">
        <v>50</v>
      </c>
      <c r="AF149" s="332"/>
      <c r="AG149" s="164">
        <f t="shared" si="69"/>
        <v>1729</v>
      </c>
      <c r="AK149" s="312" t="s">
        <v>198</v>
      </c>
    </row>
    <row r="150" spans="1:37" ht="15.75" customHeight="1" x14ac:dyDescent="0.25">
      <c r="A150" s="330" t="s">
        <v>127</v>
      </c>
      <c r="B150" s="30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  <c r="AA150" s="301"/>
      <c r="AB150" s="301"/>
      <c r="AC150" s="301"/>
      <c r="AD150" s="301"/>
      <c r="AE150" s="301"/>
      <c r="AF150" s="301"/>
      <c r="AG150" s="15">
        <f t="shared" si="69"/>
        <v>0</v>
      </c>
      <c r="AK150" s="308" t="s">
        <v>199</v>
      </c>
    </row>
    <row r="151" spans="1:37" ht="15.75" customHeight="1" x14ac:dyDescent="0.25">
      <c r="A151" s="330" t="s">
        <v>128</v>
      </c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  <c r="AA151" s="301"/>
      <c r="AB151" s="301"/>
      <c r="AC151" s="301"/>
      <c r="AD151" s="301"/>
      <c r="AE151" s="301"/>
      <c r="AF151" s="301"/>
      <c r="AG151" s="15">
        <f t="shared" si="69"/>
        <v>0</v>
      </c>
      <c r="AK151" s="308" t="s">
        <v>200</v>
      </c>
    </row>
    <row r="152" spans="1:37" ht="15.75" customHeight="1" x14ac:dyDescent="0.25">
      <c r="A152" s="330" t="s">
        <v>129</v>
      </c>
      <c r="B152" s="301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  <c r="Y152" s="301"/>
      <c r="Z152" s="301"/>
      <c r="AA152" s="301"/>
      <c r="AB152" s="301"/>
      <c r="AC152" s="301"/>
      <c r="AD152" s="301"/>
      <c r="AE152" s="301"/>
      <c r="AF152" s="301"/>
      <c r="AG152" s="15">
        <f t="shared" si="69"/>
        <v>0</v>
      </c>
      <c r="AK152" s="308" t="s">
        <v>201</v>
      </c>
    </row>
    <row r="153" spans="1:37" ht="15.75" customHeight="1" x14ac:dyDescent="0.25">
      <c r="A153" s="330" t="s">
        <v>130</v>
      </c>
      <c r="B153" s="301"/>
      <c r="C153" s="301"/>
      <c r="D153" s="301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1"/>
      <c r="Z153" s="301"/>
      <c r="AA153" s="301"/>
      <c r="AB153" s="301"/>
      <c r="AC153" s="301"/>
      <c r="AD153" s="301"/>
      <c r="AE153" s="301"/>
      <c r="AF153" s="301"/>
      <c r="AG153" s="15">
        <f t="shared" si="69"/>
        <v>0</v>
      </c>
      <c r="AK153" s="333" t="s">
        <v>165</v>
      </c>
    </row>
    <row r="154" spans="1:37" ht="15.75" customHeight="1" x14ac:dyDescent="0.25">
      <c r="A154" s="300" t="s">
        <v>131</v>
      </c>
      <c r="B154" s="301">
        <v>1</v>
      </c>
      <c r="C154" s="301">
        <v>1</v>
      </c>
      <c r="D154" s="301">
        <v>2</v>
      </c>
      <c r="E154" s="301">
        <v>0</v>
      </c>
      <c r="F154" s="301">
        <v>0</v>
      </c>
      <c r="G154" s="301">
        <v>0</v>
      </c>
      <c r="H154" s="301">
        <v>4</v>
      </c>
      <c r="I154" s="301">
        <v>1</v>
      </c>
      <c r="J154" s="301">
        <v>5</v>
      </c>
      <c r="K154" s="301">
        <v>3</v>
      </c>
      <c r="L154" s="301">
        <v>1</v>
      </c>
      <c r="M154" s="301">
        <v>0</v>
      </c>
      <c r="N154" s="301">
        <v>5</v>
      </c>
      <c r="O154" s="301">
        <v>4</v>
      </c>
      <c r="P154" s="301">
        <v>3</v>
      </c>
      <c r="Q154" s="301">
        <v>1</v>
      </c>
      <c r="R154" s="301">
        <v>3</v>
      </c>
      <c r="S154" s="301">
        <v>0</v>
      </c>
      <c r="T154" s="301">
        <v>0</v>
      </c>
      <c r="U154" s="301">
        <v>1</v>
      </c>
      <c r="V154" s="301">
        <v>4</v>
      </c>
      <c r="W154" s="301">
        <v>1</v>
      </c>
      <c r="X154" s="301">
        <v>4</v>
      </c>
      <c r="Y154" s="301">
        <v>0</v>
      </c>
      <c r="Z154" s="301">
        <v>1</v>
      </c>
      <c r="AA154" s="301">
        <v>0</v>
      </c>
      <c r="AB154" s="301">
        <v>1</v>
      </c>
      <c r="AC154" s="301">
        <v>5</v>
      </c>
      <c r="AD154" s="301">
        <v>1</v>
      </c>
      <c r="AE154" s="301">
        <v>2</v>
      </c>
      <c r="AF154" s="301"/>
      <c r="AG154" s="15">
        <f t="shared" si="69"/>
        <v>54</v>
      </c>
      <c r="AK154" s="333" t="s">
        <v>164</v>
      </c>
    </row>
    <row r="155" spans="1:37" ht="15.75" customHeight="1" x14ac:dyDescent="0.25">
      <c r="A155" s="300" t="s">
        <v>132</v>
      </c>
      <c r="B155" s="301"/>
      <c r="C155" s="301"/>
      <c r="D155" s="301"/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  <c r="Z155" s="301"/>
      <c r="AA155" s="301"/>
      <c r="AB155" s="301"/>
      <c r="AC155" s="301"/>
      <c r="AD155" s="301"/>
      <c r="AE155" s="301"/>
      <c r="AF155" s="301"/>
      <c r="AG155" s="15">
        <f t="shared" si="69"/>
        <v>0</v>
      </c>
      <c r="AK155" s="312" t="s">
        <v>166</v>
      </c>
    </row>
    <row r="156" spans="1:37" ht="15.75" customHeight="1" x14ac:dyDescent="0.25">
      <c r="A156" s="300" t="s">
        <v>133</v>
      </c>
      <c r="B156" s="301"/>
      <c r="C156" s="301"/>
      <c r="D156" s="301"/>
      <c r="E156" s="301"/>
      <c r="F156" s="301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  <c r="Z156" s="301"/>
      <c r="AA156" s="301"/>
      <c r="AB156" s="301"/>
      <c r="AC156" s="301"/>
      <c r="AD156" s="301"/>
      <c r="AE156" s="301"/>
      <c r="AF156" s="301"/>
      <c r="AG156" s="15">
        <f t="shared" si="69"/>
        <v>0</v>
      </c>
      <c r="AK156" s="312" t="s">
        <v>163</v>
      </c>
    </row>
    <row r="157" spans="1:37" ht="15.75" customHeight="1" x14ac:dyDescent="0.25">
      <c r="A157" s="300" t="s">
        <v>134</v>
      </c>
      <c r="B157" s="301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1"/>
      <c r="AG157" s="15">
        <f t="shared" si="69"/>
        <v>0</v>
      </c>
    </row>
    <row r="158" spans="1:37" ht="15.75" customHeight="1" x14ac:dyDescent="0.25">
      <c r="A158" s="334" t="s">
        <v>135</v>
      </c>
      <c r="B158" s="335">
        <v>2</v>
      </c>
      <c r="C158" s="335">
        <v>1</v>
      </c>
      <c r="D158" s="335">
        <v>3</v>
      </c>
      <c r="E158" s="335">
        <v>1</v>
      </c>
      <c r="F158" s="335">
        <v>4</v>
      </c>
      <c r="G158" s="335">
        <v>0</v>
      </c>
      <c r="H158" s="335">
        <v>0</v>
      </c>
      <c r="I158" s="335">
        <v>3</v>
      </c>
      <c r="J158" s="335">
        <v>4</v>
      </c>
      <c r="K158" s="335">
        <v>2</v>
      </c>
      <c r="L158" s="335">
        <v>3</v>
      </c>
      <c r="M158" s="335">
        <v>1</v>
      </c>
      <c r="N158" s="335">
        <v>0</v>
      </c>
      <c r="O158" s="335">
        <v>2</v>
      </c>
      <c r="P158" s="335">
        <v>0</v>
      </c>
      <c r="Q158" s="335">
        <v>0</v>
      </c>
      <c r="R158" s="335">
        <v>1</v>
      </c>
      <c r="S158" s="335">
        <v>1</v>
      </c>
      <c r="T158" s="335">
        <v>0</v>
      </c>
      <c r="U158" s="335">
        <v>1</v>
      </c>
      <c r="V158" s="335">
        <v>0</v>
      </c>
      <c r="W158" s="335">
        <v>0</v>
      </c>
      <c r="X158" s="335">
        <v>0</v>
      </c>
      <c r="Y158" s="335">
        <v>5</v>
      </c>
      <c r="Z158" s="335">
        <v>0</v>
      </c>
      <c r="AA158" s="335">
        <v>2</v>
      </c>
      <c r="AB158" s="335">
        <v>0</v>
      </c>
      <c r="AC158" s="335">
        <v>4</v>
      </c>
      <c r="AD158" s="335">
        <v>1</v>
      </c>
      <c r="AE158" s="335">
        <v>1</v>
      </c>
      <c r="AF158" s="335"/>
      <c r="AG158" s="169">
        <f t="shared" si="69"/>
        <v>42</v>
      </c>
    </row>
    <row r="159" spans="1:37" ht="15.75" customHeight="1" x14ac:dyDescent="0.25">
      <c r="A159" s="336" t="s">
        <v>136</v>
      </c>
      <c r="B159" s="301"/>
      <c r="C159" s="301"/>
      <c r="D159" s="301"/>
      <c r="E159" s="301"/>
      <c r="F159" s="301"/>
      <c r="G159" s="301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  <c r="Z159" s="301"/>
      <c r="AA159" s="301"/>
      <c r="AB159" s="301"/>
      <c r="AC159" s="301"/>
      <c r="AD159" s="301"/>
      <c r="AE159" s="301"/>
      <c r="AF159" s="301"/>
      <c r="AG159" s="15">
        <f t="shared" si="69"/>
        <v>0</v>
      </c>
    </row>
    <row r="160" spans="1:37" ht="15.75" customHeight="1" x14ac:dyDescent="0.25">
      <c r="A160" s="336" t="s">
        <v>137</v>
      </c>
      <c r="B160" s="301"/>
      <c r="C160" s="301"/>
      <c r="D160" s="301"/>
      <c r="E160" s="301"/>
      <c r="F160" s="301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  <c r="Z160" s="301"/>
      <c r="AA160" s="301"/>
      <c r="AB160" s="301"/>
      <c r="AC160" s="301"/>
      <c r="AD160" s="301"/>
      <c r="AE160" s="301"/>
      <c r="AF160" s="301"/>
      <c r="AG160" s="15">
        <f t="shared" si="69"/>
        <v>0</v>
      </c>
    </row>
    <row r="161" spans="1:34" ht="15.75" customHeight="1" x14ac:dyDescent="0.25">
      <c r="A161" s="336" t="s">
        <v>138</v>
      </c>
      <c r="B161" s="301"/>
      <c r="C161" s="301"/>
      <c r="D161" s="301"/>
      <c r="E161" s="301"/>
      <c r="F161" s="301"/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  <c r="AA161" s="301"/>
      <c r="AB161" s="301"/>
      <c r="AC161" s="301"/>
      <c r="AD161" s="301"/>
      <c r="AE161" s="301"/>
      <c r="AF161" s="301"/>
      <c r="AG161" s="15">
        <f t="shared" si="69"/>
        <v>0</v>
      </c>
    </row>
    <row r="162" spans="1:34" ht="15.75" customHeight="1" x14ac:dyDescent="0.25">
      <c r="A162" s="336" t="s">
        <v>139</v>
      </c>
      <c r="B162" s="301"/>
      <c r="C162" s="301"/>
      <c r="D162" s="301"/>
      <c r="E162" s="301"/>
      <c r="F162" s="301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1"/>
      <c r="Z162" s="301"/>
      <c r="AA162" s="301"/>
      <c r="AB162" s="301"/>
      <c r="AC162" s="301"/>
      <c r="AD162" s="301"/>
      <c r="AE162" s="301"/>
      <c r="AF162" s="301"/>
      <c r="AG162" s="15">
        <f t="shared" si="69"/>
        <v>0</v>
      </c>
    </row>
    <row r="163" spans="1:34" ht="15.75" customHeight="1" x14ac:dyDescent="0.25">
      <c r="A163" s="336" t="s">
        <v>140</v>
      </c>
      <c r="B163" s="301">
        <v>0</v>
      </c>
      <c r="C163" s="301">
        <v>0</v>
      </c>
      <c r="D163" s="301">
        <v>0</v>
      </c>
      <c r="E163" s="301">
        <v>0</v>
      </c>
      <c r="F163" s="301">
        <v>0</v>
      </c>
      <c r="G163" s="301">
        <v>0</v>
      </c>
      <c r="H163" s="301">
        <v>0</v>
      </c>
      <c r="I163" s="301">
        <v>0</v>
      </c>
      <c r="J163" s="301">
        <v>0</v>
      </c>
      <c r="K163" s="301">
        <v>0</v>
      </c>
      <c r="L163" s="301">
        <v>0</v>
      </c>
      <c r="M163" s="301">
        <v>0</v>
      </c>
      <c r="N163" s="301">
        <v>0</v>
      </c>
      <c r="O163" s="301">
        <v>0</v>
      </c>
      <c r="P163" s="301">
        <v>0</v>
      </c>
      <c r="Q163" s="301">
        <v>0</v>
      </c>
      <c r="R163" s="301">
        <v>0</v>
      </c>
      <c r="S163" s="301">
        <v>0</v>
      </c>
      <c r="T163" s="301">
        <v>0</v>
      </c>
      <c r="U163" s="301">
        <v>0</v>
      </c>
      <c r="V163" s="301">
        <v>0</v>
      </c>
      <c r="W163" s="301">
        <v>0</v>
      </c>
      <c r="X163" s="301">
        <v>0</v>
      </c>
      <c r="Y163" s="301">
        <v>0</v>
      </c>
      <c r="Z163" s="301">
        <v>0</v>
      </c>
      <c r="AA163" s="301">
        <v>0</v>
      </c>
      <c r="AB163" s="301">
        <v>0</v>
      </c>
      <c r="AC163" s="301">
        <v>0</v>
      </c>
      <c r="AD163" s="301">
        <v>0</v>
      </c>
      <c r="AE163" s="301">
        <v>0</v>
      </c>
      <c r="AF163" s="301"/>
      <c r="AG163" s="15">
        <f t="shared" ref="AG163:AG180" si="94">SUM(B163:AF163)</f>
        <v>0</v>
      </c>
    </row>
    <row r="164" spans="1:34" ht="15.75" customHeight="1" x14ac:dyDescent="0.25">
      <c r="A164" s="336" t="s">
        <v>141</v>
      </c>
      <c r="B164" s="301"/>
      <c r="C164" s="301"/>
      <c r="D164" s="301"/>
      <c r="E164" s="301"/>
      <c r="F164" s="301"/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  <c r="AA164" s="301"/>
      <c r="AB164" s="301"/>
      <c r="AC164" s="301"/>
      <c r="AD164" s="301"/>
      <c r="AE164" s="301"/>
      <c r="AF164" s="301"/>
      <c r="AG164" s="15">
        <f t="shared" si="94"/>
        <v>0</v>
      </c>
    </row>
    <row r="165" spans="1:34" ht="15.75" customHeight="1" x14ac:dyDescent="0.25">
      <c r="A165" s="300" t="s">
        <v>142</v>
      </c>
      <c r="B165" s="301"/>
      <c r="C165" s="301"/>
      <c r="D165" s="301"/>
      <c r="E165" s="301"/>
      <c r="F165" s="301"/>
      <c r="G165" s="301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1"/>
      <c r="Z165" s="301"/>
      <c r="AA165" s="301"/>
      <c r="AB165" s="301"/>
      <c r="AC165" s="301"/>
      <c r="AD165" s="301"/>
      <c r="AE165" s="301"/>
      <c r="AF165" s="301"/>
      <c r="AG165" s="15">
        <f t="shared" si="94"/>
        <v>0</v>
      </c>
    </row>
    <row r="166" spans="1:34" ht="15.75" customHeight="1" x14ac:dyDescent="0.25">
      <c r="A166" s="300" t="s">
        <v>143</v>
      </c>
      <c r="B166" s="301"/>
      <c r="C166" s="301"/>
      <c r="D166" s="301"/>
      <c r="E166" s="301"/>
      <c r="F166" s="301"/>
      <c r="G166" s="301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  <c r="AA166" s="301"/>
      <c r="AB166" s="301"/>
      <c r="AC166" s="301"/>
      <c r="AD166" s="301"/>
      <c r="AE166" s="301"/>
      <c r="AF166" s="301"/>
      <c r="AG166" s="15">
        <f t="shared" si="94"/>
        <v>0</v>
      </c>
    </row>
    <row r="167" spans="1:34" ht="15.75" customHeight="1" x14ac:dyDescent="0.25">
      <c r="A167" s="300" t="s">
        <v>144</v>
      </c>
      <c r="B167" s="301">
        <v>0</v>
      </c>
      <c r="C167" s="301">
        <v>1</v>
      </c>
      <c r="D167" s="301">
        <v>0</v>
      </c>
      <c r="E167" s="301">
        <v>0</v>
      </c>
      <c r="F167" s="301">
        <v>0</v>
      </c>
      <c r="G167" s="301">
        <v>0</v>
      </c>
      <c r="H167" s="301">
        <v>0</v>
      </c>
      <c r="I167" s="301">
        <v>0</v>
      </c>
      <c r="J167" s="301">
        <v>0</v>
      </c>
      <c r="K167" s="301">
        <v>0</v>
      </c>
      <c r="L167" s="301">
        <v>0</v>
      </c>
      <c r="M167" s="301">
        <v>0</v>
      </c>
      <c r="N167" s="301">
        <v>0</v>
      </c>
      <c r="O167" s="301">
        <v>0</v>
      </c>
      <c r="P167" s="301">
        <v>0</v>
      </c>
      <c r="Q167" s="301">
        <v>0</v>
      </c>
      <c r="R167" s="301">
        <v>0</v>
      </c>
      <c r="S167" s="301">
        <v>0</v>
      </c>
      <c r="T167" s="301">
        <v>0</v>
      </c>
      <c r="U167" s="301">
        <v>0</v>
      </c>
      <c r="V167" s="301">
        <v>1</v>
      </c>
      <c r="W167" s="301">
        <v>0</v>
      </c>
      <c r="X167" s="301">
        <v>0</v>
      </c>
      <c r="Y167" s="301">
        <v>1</v>
      </c>
      <c r="Z167" s="301">
        <v>0</v>
      </c>
      <c r="AA167" s="301">
        <v>0</v>
      </c>
      <c r="AB167" s="301">
        <v>0</v>
      </c>
      <c r="AC167" s="301">
        <v>0</v>
      </c>
      <c r="AD167" s="301">
        <v>0</v>
      </c>
      <c r="AE167" s="301">
        <v>1</v>
      </c>
      <c r="AF167" s="301"/>
      <c r="AG167" s="15">
        <f t="shared" si="94"/>
        <v>4</v>
      </c>
    </row>
    <row r="168" spans="1:34" ht="15.75" customHeight="1" x14ac:dyDescent="0.25">
      <c r="A168" s="300" t="s">
        <v>145</v>
      </c>
      <c r="B168" s="337">
        <v>0</v>
      </c>
      <c r="C168" s="337">
        <v>0</v>
      </c>
      <c r="D168" s="337">
        <v>0</v>
      </c>
      <c r="E168" s="337">
        <v>1</v>
      </c>
      <c r="F168" s="337">
        <v>0</v>
      </c>
      <c r="G168" s="337">
        <v>0</v>
      </c>
      <c r="H168" s="337">
        <v>0</v>
      </c>
      <c r="I168" s="337">
        <v>0</v>
      </c>
      <c r="J168" s="337">
        <v>1</v>
      </c>
      <c r="K168" s="337">
        <v>0</v>
      </c>
      <c r="L168" s="337">
        <v>0</v>
      </c>
      <c r="M168" s="337">
        <v>0</v>
      </c>
      <c r="N168" s="337">
        <v>0</v>
      </c>
      <c r="O168" s="337">
        <v>0</v>
      </c>
      <c r="P168" s="337">
        <v>1</v>
      </c>
      <c r="Q168" s="337">
        <v>0</v>
      </c>
      <c r="R168" s="337">
        <v>1</v>
      </c>
      <c r="S168" s="337">
        <v>0</v>
      </c>
      <c r="T168" s="337">
        <v>1</v>
      </c>
      <c r="U168" s="337">
        <v>1</v>
      </c>
      <c r="V168" s="337">
        <v>1</v>
      </c>
      <c r="W168" s="337">
        <v>1</v>
      </c>
      <c r="X168" s="337">
        <v>0</v>
      </c>
      <c r="Y168" s="337">
        <v>1</v>
      </c>
      <c r="Z168" s="337">
        <v>0</v>
      </c>
      <c r="AA168" s="337">
        <v>1</v>
      </c>
      <c r="AB168" s="337">
        <v>0</v>
      </c>
      <c r="AC168" s="337">
        <v>0</v>
      </c>
      <c r="AD168" s="337">
        <v>2</v>
      </c>
      <c r="AE168" s="337">
        <v>1</v>
      </c>
      <c r="AF168" s="337"/>
      <c r="AG168" s="15">
        <f t="shared" si="94"/>
        <v>13</v>
      </c>
    </row>
    <row r="169" spans="1:34" ht="15.75" customHeight="1" x14ac:dyDescent="0.25">
      <c r="A169" s="338" t="s">
        <v>146</v>
      </c>
      <c r="B169" s="337">
        <v>0</v>
      </c>
      <c r="C169" s="337">
        <v>0</v>
      </c>
      <c r="D169" s="337">
        <v>0</v>
      </c>
      <c r="E169" s="337">
        <v>0</v>
      </c>
      <c r="F169" s="337">
        <v>0</v>
      </c>
      <c r="G169" s="337">
        <v>0</v>
      </c>
      <c r="H169" s="337">
        <v>0</v>
      </c>
      <c r="I169" s="337">
        <v>1</v>
      </c>
      <c r="J169" s="337">
        <v>0</v>
      </c>
      <c r="K169" s="337">
        <v>0</v>
      </c>
      <c r="L169" s="337">
        <v>0</v>
      </c>
      <c r="M169" s="337">
        <v>0</v>
      </c>
      <c r="N169" s="337">
        <v>0</v>
      </c>
      <c r="O169" s="337">
        <v>1</v>
      </c>
      <c r="P169" s="337">
        <v>1</v>
      </c>
      <c r="Q169" s="337">
        <v>0</v>
      </c>
      <c r="R169" s="337">
        <v>0</v>
      </c>
      <c r="S169" s="337">
        <v>0</v>
      </c>
      <c r="T169" s="337">
        <v>0</v>
      </c>
      <c r="U169" s="337">
        <v>0</v>
      </c>
      <c r="V169" s="337">
        <v>1</v>
      </c>
      <c r="W169" s="337">
        <v>0</v>
      </c>
      <c r="X169" s="337">
        <v>1</v>
      </c>
      <c r="Y169" s="337">
        <v>0</v>
      </c>
      <c r="Z169" s="337">
        <v>0</v>
      </c>
      <c r="AA169" s="337">
        <v>1</v>
      </c>
      <c r="AB169" s="337">
        <v>0</v>
      </c>
      <c r="AC169" s="337">
        <v>1</v>
      </c>
      <c r="AD169" s="337">
        <v>0</v>
      </c>
      <c r="AE169" s="337">
        <v>0</v>
      </c>
      <c r="AF169" s="337"/>
      <c r="AG169" s="15">
        <f t="shared" si="94"/>
        <v>7</v>
      </c>
    </row>
    <row r="170" spans="1:34" ht="15.75" customHeight="1" thickBot="1" x14ac:dyDescent="0.3">
      <c r="A170" s="339" t="s">
        <v>147</v>
      </c>
      <c r="B170" s="337"/>
      <c r="C170" s="337"/>
      <c r="D170" s="337"/>
      <c r="E170" s="337"/>
      <c r="F170" s="337"/>
      <c r="G170" s="337"/>
      <c r="H170" s="337"/>
      <c r="I170" s="337"/>
      <c r="J170" s="337"/>
      <c r="K170" s="337"/>
      <c r="L170" s="337"/>
      <c r="M170" s="337"/>
      <c r="N170" s="337"/>
      <c r="O170" s="337"/>
      <c r="P170" s="337"/>
      <c r="Q170" s="337"/>
      <c r="R170" s="337"/>
      <c r="S170" s="337"/>
      <c r="T170" s="337"/>
      <c r="U170" s="337"/>
      <c r="V170" s="337"/>
      <c r="W170" s="337"/>
      <c r="X170" s="337"/>
      <c r="Y170" s="337"/>
      <c r="Z170" s="337"/>
      <c r="AA170" s="337"/>
      <c r="AB170" s="337"/>
      <c r="AC170" s="337"/>
      <c r="AD170" s="337"/>
      <c r="AE170" s="337"/>
      <c r="AF170" s="337"/>
      <c r="AG170" s="106">
        <f t="shared" si="94"/>
        <v>0</v>
      </c>
    </row>
    <row r="171" spans="1:34" ht="15.75" customHeight="1" thickBot="1" x14ac:dyDescent="0.3">
      <c r="A171" s="340" t="s">
        <v>148</v>
      </c>
      <c r="B171" s="177">
        <f t="shared" ref="B171" si="95">SUM(B172:B176)</f>
        <v>258</v>
      </c>
      <c r="C171" s="177">
        <f t="shared" ref="C171:AF171" si="96">SUM(C172:C176)</f>
        <v>186</v>
      </c>
      <c r="D171" s="177">
        <f t="shared" si="96"/>
        <v>199</v>
      </c>
      <c r="E171" s="177">
        <f t="shared" si="96"/>
        <v>208</v>
      </c>
      <c r="F171" s="177">
        <f t="shared" si="96"/>
        <v>231</v>
      </c>
      <c r="G171" s="177">
        <f t="shared" si="96"/>
        <v>249</v>
      </c>
      <c r="H171" s="177">
        <f t="shared" si="96"/>
        <v>241</v>
      </c>
      <c r="I171" s="177">
        <f t="shared" si="96"/>
        <v>234</v>
      </c>
      <c r="J171" s="177">
        <f t="shared" si="96"/>
        <v>214</v>
      </c>
      <c r="K171" s="177">
        <f t="shared" si="96"/>
        <v>192</v>
      </c>
      <c r="L171" s="177">
        <f t="shared" si="96"/>
        <v>212</v>
      </c>
      <c r="M171" s="177">
        <f t="shared" si="96"/>
        <v>213</v>
      </c>
      <c r="N171" s="177">
        <f t="shared" si="96"/>
        <v>226</v>
      </c>
      <c r="O171" s="177">
        <f t="shared" si="96"/>
        <v>192</v>
      </c>
      <c r="P171" s="177">
        <f t="shared" si="96"/>
        <v>218</v>
      </c>
      <c r="Q171" s="177">
        <f t="shared" si="96"/>
        <v>205</v>
      </c>
      <c r="R171" s="177">
        <f t="shared" si="96"/>
        <v>173</v>
      </c>
      <c r="S171" s="177">
        <f t="shared" si="96"/>
        <v>180</v>
      </c>
      <c r="T171" s="177">
        <f t="shared" si="96"/>
        <v>192</v>
      </c>
      <c r="U171" s="177">
        <f t="shared" si="96"/>
        <v>203</v>
      </c>
      <c r="V171" s="177">
        <f t="shared" si="96"/>
        <v>177</v>
      </c>
      <c r="W171" s="177">
        <f t="shared" si="96"/>
        <v>197</v>
      </c>
      <c r="X171" s="177">
        <f t="shared" si="96"/>
        <v>189</v>
      </c>
      <c r="Y171" s="177">
        <f t="shared" si="96"/>
        <v>172</v>
      </c>
      <c r="Z171" s="177">
        <f t="shared" si="96"/>
        <v>174</v>
      </c>
      <c r="AA171" s="177">
        <f t="shared" si="96"/>
        <v>173</v>
      </c>
      <c r="AB171" s="177">
        <f t="shared" si="96"/>
        <v>217</v>
      </c>
      <c r="AC171" s="177">
        <f t="shared" si="96"/>
        <v>230</v>
      </c>
      <c r="AD171" s="177">
        <f t="shared" si="96"/>
        <v>219</v>
      </c>
      <c r="AE171" s="177">
        <f t="shared" si="96"/>
        <v>204</v>
      </c>
      <c r="AF171" s="177">
        <f t="shared" si="96"/>
        <v>0</v>
      </c>
      <c r="AG171" s="178">
        <f t="shared" si="94"/>
        <v>6178</v>
      </c>
      <c r="AH171" s="40" t="str">
        <f>IF(AG171&lt;&gt;AG93,"X","")</f>
        <v/>
      </c>
    </row>
    <row r="172" spans="1:34" ht="15.75" customHeight="1" x14ac:dyDescent="0.25">
      <c r="A172" s="341" t="s">
        <v>149</v>
      </c>
      <c r="B172" s="342">
        <v>0</v>
      </c>
      <c r="C172" s="342">
        <v>1</v>
      </c>
      <c r="D172" s="342">
        <v>0</v>
      </c>
      <c r="E172" s="342">
        <v>0</v>
      </c>
      <c r="F172" s="342">
        <v>0</v>
      </c>
      <c r="G172" s="342">
        <v>0</v>
      </c>
      <c r="H172" s="342">
        <v>0</v>
      </c>
      <c r="I172" s="342">
        <v>0</v>
      </c>
      <c r="J172" s="342">
        <v>0</v>
      </c>
      <c r="K172" s="342">
        <v>0</v>
      </c>
      <c r="L172" s="342">
        <v>0</v>
      </c>
      <c r="M172" s="342">
        <v>0</v>
      </c>
      <c r="N172" s="342">
        <v>0</v>
      </c>
      <c r="O172" s="342">
        <v>0</v>
      </c>
      <c r="P172" s="342">
        <v>0</v>
      </c>
      <c r="Q172" s="342">
        <v>0</v>
      </c>
      <c r="R172" s="342">
        <v>0</v>
      </c>
      <c r="S172" s="342">
        <v>0</v>
      </c>
      <c r="T172" s="342">
        <v>0</v>
      </c>
      <c r="U172" s="342">
        <v>0</v>
      </c>
      <c r="V172" s="342">
        <v>0</v>
      </c>
      <c r="W172" s="342">
        <v>0</v>
      </c>
      <c r="X172" s="342">
        <v>0</v>
      </c>
      <c r="Y172" s="342">
        <v>0</v>
      </c>
      <c r="Z172" s="342">
        <v>0</v>
      </c>
      <c r="AA172" s="342">
        <v>0</v>
      </c>
      <c r="AB172" s="342">
        <v>1</v>
      </c>
      <c r="AC172" s="342">
        <v>0</v>
      </c>
      <c r="AD172" s="342">
        <v>0</v>
      </c>
      <c r="AE172" s="342">
        <v>0</v>
      </c>
      <c r="AF172" s="342"/>
      <c r="AG172" s="182">
        <f t="shared" si="94"/>
        <v>2</v>
      </c>
    </row>
    <row r="173" spans="1:34" ht="15.75" customHeight="1" x14ac:dyDescent="0.25">
      <c r="A173" s="343" t="s">
        <v>51</v>
      </c>
      <c r="B173" s="344">
        <v>7</v>
      </c>
      <c r="C173" s="344">
        <v>4</v>
      </c>
      <c r="D173" s="344">
        <v>7</v>
      </c>
      <c r="E173" s="344">
        <v>1</v>
      </c>
      <c r="F173" s="344">
        <v>7</v>
      </c>
      <c r="G173" s="344">
        <v>1</v>
      </c>
      <c r="H173" s="344">
        <v>3</v>
      </c>
      <c r="I173" s="344">
        <v>0</v>
      </c>
      <c r="J173" s="344">
        <v>2</v>
      </c>
      <c r="K173" s="344">
        <v>2</v>
      </c>
      <c r="L173" s="344">
        <v>0</v>
      </c>
      <c r="M173" s="344">
        <v>5</v>
      </c>
      <c r="N173" s="344">
        <v>4</v>
      </c>
      <c r="O173" s="344">
        <v>3</v>
      </c>
      <c r="P173" s="344">
        <v>6</v>
      </c>
      <c r="Q173" s="344">
        <v>1</v>
      </c>
      <c r="R173" s="344">
        <v>1</v>
      </c>
      <c r="S173" s="344">
        <v>7</v>
      </c>
      <c r="T173" s="344">
        <v>2</v>
      </c>
      <c r="U173" s="344">
        <v>4</v>
      </c>
      <c r="V173" s="344">
        <v>2</v>
      </c>
      <c r="W173" s="344">
        <v>1</v>
      </c>
      <c r="X173" s="344">
        <v>1</v>
      </c>
      <c r="Y173" s="344">
        <v>4</v>
      </c>
      <c r="Z173" s="344">
        <v>4</v>
      </c>
      <c r="AA173" s="344">
        <v>0</v>
      </c>
      <c r="AB173" s="344">
        <v>5</v>
      </c>
      <c r="AC173" s="344">
        <v>5</v>
      </c>
      <c r="AD173" s="344">
        <v>0</v>
      </c>
      <c r="AE173" s="344">
        <v>1</v>
      </c>
      <c r="AF173" s="344"/>
      <c r="AG173" s="186">
        <f t="shared" si="94"/>
        <v>90</v>
      </c>
    </row>
    <row r="174" spans="1:34" ht="15.75" customHeight="1" x14ac:dyDescent="0.25">
      <c r="A174" s="343" t="s">
        <v>52</v>
      </c>
      <c r="B174" s="344">
        <v>31</v>
      </c>
      <c r="C174" s="344">
        <v>41</v>
      </c>
      <c r="D174" s="344">
        <v>47</v>
      </c>
      <c r="E174" s="344">
        <v>25</v>
      </c>
      <c r="F174" s="344">
        <v>30</v>
      </c>
      <c r="G174" s="344">
        <v>48</v>
      </c>
      <c r="H174" s="344">
        <v>41</v>
      </c>
      <c r="I174" s="344">
        <v>33</v>
      </c>
      <c r="J174" s="344">
        <v>43</v>
      </c>
      <c r="K174" s="344">
        <v>29</v>
      </c>
      <c r="L174" s="344">
        <v>32</v>
      </c>
      <c r="M174" s="344">
        <v>31</v>
      </c>
      <c r="N174" s="344">
        <v>41</v>
      </c>
      <c r="O174" s="344">
        <v>43</v>
      </c>
      <c r="P174" s="344">
        <v>29</v>
      </c>
      <c r="Q174" s="344">
        <v>51</v>
      </c>
      <c r="R174" s="344">
        <v>29</v>
      </c>
      <c r="S174" s="344">
        <v>24</v>
      </c>
      <c r="T174" s="344">
        <v>46</v>
      </c>
      <c r="U174" s="344">
        <v>55</v>
      </c>
      <c r="V174" s="344">
        <v>40</v>
      </c>
      <c r="W174" s="344">
        <v>33</v>
      </c>
      <c r="X174" s="344">
        <v>29</v>
      </c>
      <c r="Y174" s="344">
        <v>50</v>
      </c>
      <c r="Z174" s="344">
        <v>27</v>
      </c>
      <c r="AA174" s="344">
        <v>27</v>
      </c>
      <c r="AB174" s="344">
        <v>40</v>
      </c>
      <c r="AC174" s="344">
        <v>33</v>
      </c>
      <c r="AD174" s="344">
        <v>31</v>
      </c>
      <c r="AE174" s="344">
        <v>35</v>
      </c>
      <c r="AF174" s="344"/>
      <c r="AG174" s="186">
        <f t="shared" si="94"/>
        <v>1094</v>
      </c>
    </row>
    <row r="175" spans="1:34" ht="15.75" customHeight="1" x14ac:dyDescent="0.25">
      <c r="A175" s="343" t="s">
        <v>53</v>
      </c>
      <c r="B175" s="344">
        <v>163</v>
      </c>
      <c r="C175" s="344">
        <v>96</v>
      </c>
      <c r="D175" s="344">
        <v>124</v>
      </c>
      <c r="E175" s="344">
        <v>143</v>
      </c>
      <c r="F175" s="344">
        <v>135</v>
      </c>
      <c r="G175" s="344">
        <v>140</v>
      </c>
      <c r="H175" s="344">
        <v>132</v>
      </c>
      <c r="I175" s="344">
        <v>137</v>
      </c>
      <c r="J175" s="344">
        <v>121</v>
      </c>
      <c r="K175" s="344">
        <v>133</v>
      </c>
      <c r="L175" s="344">
        <v>110</v>
      </c>
      <c r="M175" s="344">
        <v>129</v>
      </c>
      <c r="N175" s="344">
        <v>148</v>
      </c>
      <c r="O175" s="344">
        <v>116</v>
      </c>
      <c r="P175" s="344">
        <v>141</v>
      </c>
      <c r="Q175" s="344">
        <v>117</v>
      </c>
      <c r="R175" s="344">
        <v>106</v>
      </c>
      <c r="S175" s="344">
        <v>114</v>
      </c>
      <c r="T175" s="344">
        <v>112</v>
      </c>
      <c r="U175" s="344">
        <v>120</v>
      </c>
      <c r="V175" s="344">
        <v>106</v>
      </c>
      <c r="W175" s="344">
        <v>120</v>
      </c>
      <c r="X175" s="344">
        <v>116</v>
      </c>
      <c r="Y175" s="344">
        <v>80</v>
      </c>
      <c r="Z175" s="344">
        <v>117</v>
      </c>
      <c r="AA175" s="344">
        <v>100</v>
      </c>
      <c r="AB175" s="344">
        <v>147</v>
      </c>
      <c r="AC175" s="344">
        <v>155</v>
      </c>
      <c r="AD175" s="344">
        <v>150</v>
      </c>
      <c r="AE175" s="344">
        <v>110</v>
      </c>
      <c r="AF175" s="344"/>
      <c r="AG175" s="186">
        <f t="shared" si="94"/>
        <v>3738</v>
      </c>
    </row>
    <row r="176" spans="1:34" ht="15.75" customHeight="1" thickBot="1" x14ac:dyDescent="0.3">
      <c r="A176" s="345" t="s">
        <v>54</v>
      </c>
      <c r="B176" s="346">
        <v>57</v>
      </c>
      <c r="C176" s="346">
        <v>44</v>
      </c>
      <c r="D176" s="346">
        <v>21</v>
      </c>
      <c r="E176" s="346">
        <v>39</v>
      </c>
      <c r="F176" s="346">
        <v>59</v>
      </c>
      <c r="G176" s="346">
        <v>60</v>
      </c>
      <c r="H176" s="346">
        <v>65</v>
      </c>
      <c r="I176" s="346">
        <v>64</v>
      </c>
      <c r="J176" s="346">
        <v>48</v>
      </c>
      <c r="K176" s="346">
        <v>28</v>
      </c>
      <c r="L176" s="346">
        <v>70</v>
      </c>
      <c r="M176" s="346">
        <v>48</v>
      </c>
      <c r="N176" s="346">
        <v>33</v>
      </c>
      <c r="O176" s="346">
        <v>30</v>
      </c>
      <c r="P176" s="346">
        <v>42</v>
      </c>
      <c r="Q176" s="346">
        <v>36</v>
      </c>
      <c r="R176" s="346">
        <v>37</v>
      </c>
      <c r="S176" s="346">
        <v>35</v>
      </c>
      <c r="T176" s="346">
        <v>32</v>
      </c>
      <c r="U176" s="346">
        <v>24</v>
      </c>
      <c r="V176" s="346">
        <v>29</v>
      </c>
      <c r="W176" s="346">
        <v>43</v>
      </c>
      <c r="X176" s="346">
        <v>43</v>
      </c>
      <c r="Y176" s="346">
        <v>38</v>
      </c>
      <c r="Z176" s="346">
        <v>26</v>
      </c>
      <c r="AA176" s="346">
        <v>46</v>
      </c>
      <c r="AB176" s="346">
        <v>24</v>
      </c>
      <c r="AC176" s="346">
        <v>37</v>
      </c>
      <c r="AD176" s="346">
        <v>38</v>
      </c>
      <c r="AE176" s="346">
        <v>58</v>
      </c>
      <c r="AF176" s="346"/>
      <c r="AG176" s="190">
        <f t="shared" si="94"/>
        <v>1254</v>
      </c>
    </row>
    <row r="177" spans="1:34" ht="15.75" customHeight="1" x14ac:dyDescent="0.25">
      <c r="A177" s="347" t="s">
        <v>158</v>
      </c>
      <c r="B177" s="348"/>
      <c r="C177" s="348"/>
      <c r="D177" s="348"/>
      <c r="E177" s="348"/>
      <c r="F177" s="348"/>
      <c r="G177" s="348"/>
      <c r="H177" s="348"/>
      <c r="I177" s="348"/>
      <c r="J177" s="348"/>
      <c r="K177" s="348"/>
      <c r="L177" s="348"/>
      <c r="M177" s="348"/>
      <c r="N177" s="348"/>
      <c r="O177" s="348"/>
      <c r="P177" s="348"/>
      <c r="Q177" s="348"/>
      <c r="R177" s="348"/>
      <c r="S177" s="348"/>
      <c r="T177" s="348"/>
      <c r="U177" s="348"/>
      <c r="V177" s="348"/>
      <c r="W177" s="348"/>
      <c r="X177" s="348"/>
      <c r="Y177" s="348"/>
      <c r="Z177" s="348"/>
      <c r="AA177" s="348"/>
      <c r="AB177" s="348"/>
      <c r="AC177" s="348"/>
      <c r="AD177" s="348"/>
      <c r="AE177" s="348"/>
      <c r="AF177" s="348"/>
      <c r="AG177" s="110">
        <f t="shared" si="94"/>
        <v>0</v>
      </c>
      <c r="AH177" s="364" t="s">
        <v>159</v>
      </c>
    </row>
    <row r="178" spans="1:34" ht="15.75" customHeight="1" x14ac:dyDescent="0.25">
      <c r="A178" s="349" t="s">
        <v>160</v>
      </c>
      <c r="B178" s="350"/>
      <c r="C178" s="350"/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0"/>
      <c r="Q178" s="350"/>
      <c r="R178" s="350"/>
      <c r="S178" s="350"/>
      <c r="T178" s="350"/>
      <c r="U178" s="350"/>
      <c r="V178" s="350"/>
      <c r="W178" s="350"/>
      <c r="X178" s="350"/>
      <c r="Y178" s="350"/>
      <c r="Z178" s="350"/>
      <c r="AA178" s="350"/>
      <c r="AB178" s="350"/>
      <c r="AC178" s="350"/>
      <c r="AD178" s="350"/>
      <c r="AE178" s="350"/>
      <c r="AF178" s="351"/>
      <c r="AG178" s="207">
        <f t="shared" si="94"/>
        <v>0</v>
      </c>
      <c r="AH178" s="365"/>
    </row>
    <row r="179" spans="1:34" ht="15.75" customHeight="1" x14ac:dyDescent="0.25">
      <c r="A179" s="349" t="s">
        <v>161</v>
      </c>
      <c r="B179" s="350"/>
      <c r="C179" s="350"/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0"/>
      <c r="Q179" s="350"/>
      <c r="R179" s="350"/>
      <c r="S179" s="350"/>
      <c r="T179" s="350"/>
      <c r="U179" s="350"/>
      <c r="V179" s="350"/>
      <c r="W179" s="350"/>
      <c r="X179" s="350"/>
      <c r="Y179" s="350"/>
      <c r="Z179" s="350"/>
      <c r="AA179" s="350"/>
      <c r="AB179" s="350"/>
      <c r="AC179" s="350"/>
      <c r="AD179" s="350"/>
      <c r="AE179" s="350"/>
      <c r="AF179" s="351"/>
      <c r="AG179" s="207">
        <f t="shared" si="94"/>
        <v>0</v>
      </c>
      <c r="AH179" s="365"/>
    </row>
    <row r="180" spans="1:34" ht="15.75" customHeight="1" thickBot="1" x14ac:dyDescent="0.3">
      <c r="A180" s="352" t="s">
        <v>162</v>
      </c>
      <c r="B180" s="353"/>
      <c r="C180" s="354"/>
      <c r="D180" s="354"/>
      <c r="E180" s="354"/>
      <c r="F180" s="354"/>
      <c r="G180" s="354"/>
      <c r="H180" s="354"/>
      <c r="I180" s="354"/>
      <c r="J180" s="354"/>
      <c r="K180" s="354"/>
      <c r="L180" s="354"/>
      <c r="M180" s="354"/>
      <c r="N180" s="354"/>
      <c r="O180" s="354"/>
      <c r="P180" s="354"/>
      <c r="Q180" s="354"/>
      <c r="R180" s="354"/>
      <c r="S180" s="354"/>
      <c r="T180" s="354"/>
      <c r="U180" s="354"/>
      <c r="V180" s="354"/>
      <c r="W180" s="354"/>
      <c r="X180" s="354"/>
      <c r="Y180" s="354"/>
      <c r="Z180" s="354"/>
      <c r="AA180" s="354"/>
      <c r="AB180" s="354"/>
      <c r="AC180" s="354"/>
      <c r="AD180" s="354"/>
      <c r="AE180" s="354"/>
      <c r="AF180" s="355"/>
      <c r="AG180" s="106">
        <f t="shared" si="94"/>
        <v>0</v>
      </c>
      <c r="AH180" s="366"/>
    </row>
    <row r="181" spans="1:34" ht="15.75" customHeight="1" x14ac:dyDescent="0.25"/>
    <row r="182" spans="1:34" ht="15.75" customHeight="1" x14ac:dyDescent="0.25">
      <c r="B182" s="356"/>
      <c r="C182" s="356"/>
      <c r="D182" s="356"/>
      <c r="E182" s="356"/>
      <c r="F182" s="356"/>
      <c r="G182" s="356"/>
      <c r="H182" s="356"/>
      <c r="I182" s="356"/>
      <c r="J182" s="356"/>
      <c r="K182" s="356"/>
      <c r="L182" s="356"/>
      <c r="M182" s="356"/>
      <c r="N182" s="356"/>
      <c r="O182" s="356"/>
      <c r="P182" s="356"/>
      <c r="Q182" s="356"/>
      <c r="R182" s="356"/>
      <c r="S182" s="356"/>
      <c r="T182" s="356"/>
      <c r="U182" s="356"/>
      <c r="V182" s="356"/>
      <c r="W182" s="356"/>
      <c r="X182" s="356"/>
      <c r="Y182" s="356"/>
      <c r="Z182" s="356"/>
      <c r="AA182" s="356"/>
      <c r="AB182" s="356"/>
      <c r="AC182" s="356"/>
      <c r="AD182" s="356"/>
      <c r="AE182" s="356"/>
    </row>
    <row r="183" spans="1:34" ht="15.75" customHeight="1" x14ac:dyDescent="0.25">
      <c r="B183" s="356"/>
      <c r="C183" s="356"/>
      <c r="D183" s="356"/>
      <c r="E183" s="356"/>
      <c r="F183" s="356"/>
      <c r="G183" s="356"/>
      <c r="H183" s="356"/>
      <c r="I183" s="356"/>
      <c r="J183" s="356"/>
      <c r="K183" s="356"/>
      <c r="L183" s="356"/>
      <c r="M183" s="356"/>
      <c r="N183" s="356"/>
      <c r="O183" s="356"/>
      <c r="P183" s="356"/>
      <c r="Q183" s="356"/>
      <c r="R183" s="356"/>
      <c r="S183" s="356"/>
      <c r="T183" s="356"/>
      <c r="U183" s="356"/>
      <c r="V183" s="356"/>
      <c r="W183" s="356"/>
      <c r="X183" s="356"/>
      <c r="Y183" s="356"/>
      <c r="Z183" s="356"/>
      <c r="AA183" s="356"/>
      <c r="AB183" s="356"/>
      <c r="AC183" s="356"/>
      <c r="AD183" s="356"/>
      <c r="AE183" s="356"/>
      <c r="AF183" s="356"/>
    </row>
    <row r="184" spans="1:34" ht="15.75" customHeight="1" x14ac:dyDescent="0.25">
      <c r="B184" s="356"/>
      <c r="C184" s="356"/>
      <c r="D184" s="356"/>
      <c r="E184" s="356"/>
      <c r="F184" s="356"/>
      <c r="G184" s="356"/>
      <c r="H184" s="356"/>
      <c r="I184" s="356"/>
      <c r="J184" s="356"/>
      <c r="K184" s="356"/>
      <c r="L184" s="356"/>
      <c r="M184" s="356"/>
      <c r="N184" s="356"/>
      <c r="O184" s="356"/>
      <c r="P184" s="356"/>
      <c r="Q184" s="356"/>
      <c r="R184" s="356"/>
      <c r="S184" s="356"/>
      <c r="T184" s="356"/>
      <c r="U184" s="356"/>
      <c r="V184" s="356"/>
      <c r="W184" s="356"/>
      <c r="X184" s="356"/>
      <c r="Y184" s="356"/>
      <c r="Z184" s="356"/>
      <c r="AA184" s="356"/>
      <c r="AB184" s="356"/>
      <c r="AC184" s="356"/>
      <c r="AD184" s="356"/>
      <c r="AE184" s="356"/>
      <c r="AF184" s="356"/>
    </row>
    <row r="185" spans="1:34" ht="15.75" customHeight="1" x14ac:dyDescent="0.25"/>
    <row r="186" spans="1:34" ht="15.75" customHeight="1" x14ac:dyDescent="0.25"/>
    <row r="187" spans="1:34" ht="15.75" customHeight="1" x14ac:dyDescent="0.25"/>
    <row r="188" spans="1:34" ht="15.75" customHeight="1" x14ac:dyDescent="0.25"/>
    <row r="189" spans="1:34" ht="15.75" customHeight="1" x14ac:dyDescent="0.25"/>
    <row r="190" spans="1:34" ht="15.75" customHeight="1" x14ac:dyDescent="0.25"/>
    <row r="191" spans="1:34" ht="15.75" customHeight="1" x14ac:dyDescent="0.25"/>
    <row r="192" spans="1:34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8.75" customHeight="1" x14ac:dyDescent="0.25"/>
    <row r="201" ht="18.75" customHeight="1" x14ac:dyDescent="0.25"/>
    <row r="202" ht="18.75" customHeight="1" x14ac:dyDescent="0.25"/>
    <row r="203" ht="18.75" customHeight="1" x14ac:dyDescent="0.25"/>
    <row r="204" ht="18.75" customHeight="1" x14ac:dyDescent="0.25"/>
    <row r="205" ht="18.75" customHeight="1" x14ac:dyDescent="0.25"/>
    <row r="206" ht="18.75" customHeight="1" x14ac:dyDescent="0.25"/>
    <row r="207" ht="18.75" customHeight="1" x14ac:dyDescent="0.25"/>
    <row r="208" ht="18.75" customHeight="1" x14ac:dyDescent="0.25"/>
    <row r="209" ht="18.75" customHeight="1" x14ac:dyDescent="0.25"/>
    <row r="210" ht="18.75" customHeight="1" x14ac:dyDescent="0.25"/>
    <row r="211" ht="19.5" customHeight="1" x14ac:dyDescent="0.25"/>
    <row r="212" ht="15.75" customHeight="1" x14ac:dyDescent="0.25"/>
    <row r="213" ht="18.75" customHeight="1" x14ac:dyDescent="0.25"/>
    <row r="214" ht="15.75" customHeight="1" x14ac:dyDescent="0.25"/>
    <row r="215" ht="15.75" customHeight="1" x14ac:dyDescent="0.25"/>
    <row r="216" ht="18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</sheetData>
  <sheetProtection algorithmName="SHA-512" hashValue="UYUKSh/c7fytTQzFZ/3znfkGblhSWmlKOy9kwR/mBMChoJ8FjrLrR2QNmSAvbRvba/DYLxHWJAYqSGYS2unNdw==" saltValue="4y6K4S6fSUaqBeeEy+lCLw==" spinCount="100000" sheet="1" objects="1" scenarios="1"/>
  <dataConsolidate/>
  <mergeCells count="2">
    <mergeCell ref="A1:AG1"/>
    <mergeCell ref="AH177:AH180"/>
  </mergeCells>
  <conditionalFormatting sqref="AD29:AF52">
    <cfRule type="cellIs" dxfId="5" priority="7" operator="lessThan">
      <formula>0</formula>
    </cfRule>
  </conditionalFormatting>
  <conditionalFormatting sqref="AH1:AH1048576">
    <cfRule type="cellIs" dxfId="4" priority="1" operator="equal">
      <formula>"*"</formula>
    </cfRule>
  </conditionalFormatting>
  <conditionalFormatting sqref="AH171">
    <cfRule type="cellIs" dxfId="3" priority="2" operator="equal">
      <formula>"X"</formula>
    </cfRule>
  </conditionalFormatting>
  <dataValidations disablePrompts="1" count="1">
    <dataValidation type="decimal" allowBlank="1" showInputMessage="1" showErrorMessage="1" prompt="ERROR - Por favor ingrese solo Números" sqref="A101:A115 A98:A99" xr:uid="{00000000-0002-0000-0C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48" r:id="rId4" name="Button 12">
              <controlPr defaultSize="0" print="0" autoFill="0" autoPict="0" macro="[0]!SAR__MENU_PRINCIPAL">
                <anchor>
                  <from>
                    <xdr:col>0</xdr:col>
                    <xdr:colOff>1790700</xdr:colOff>
                    <xdr:row>1</xdr:row>
                    <xdr:rowOff>38100</xdr:rowOff>
                  </from>
                  <to>
                    <xdr:col>0</xdr:col>
                    <xdr:colOff>2219325</xdr:colOff>
                    <xdr:row>1</xdr:row>
                    <xdr:rowOff>295275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5"/>
  <dimension ref="A1:AK954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13" sqref="M13"/>
    </sheetView>
  </sheetViews>
  <sheetFormatPr baseColWidth="10" defaultColWidth="14.42578125" defaultRowHeight="15" x14ac:dyDescent="0.25"/>
  <cols>
    <col min="1" max="1" width="34.7109375" style="271" customWidth="1"/>
    <col min="2" max="2" width="9.7109375" style="271" customWidth="1"/>
    <col min="3" max="32" width="8.28515625" style="271" customWidth="1"/>
    <col min="33" max="33" width="11.140625" style="271" customWidth="1"/>
    <col min="34" max="36" width="14.42578125" style="271"/>
    <col min="37" max="37" width="36.28515625" style="271" bestFit="1" customWidth="1"/>
    <col min="38" max="16384" width="14.42578125" style="271"/>
  </cols>
  <sheetData>
    <row r="1" spans="1:33" ht="21.75" thickBot="1" x14ac:dyDescent="0.3">
      <c r="A1" s="367"/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369"/>
    </row>
    <row r="2" spans="1:33" ht="29.25" thickBot="1" x14ac:dyDescent="0.3">
      <c r="A2" s="272" t="s">
        <v>12</v>
      </c>
      <c r="B2" s="273">
        <v>1</v>
      </c>
      <c r="C2" s="274">
        <f t="shared" ref="C2:AF2" si="0">+B2+1</f>
        <v>2</v>
      </c>
      <c r="D2" s="274">
        <f t="shared" si="0"/>
        <v>3</v>
      </c>
      <c r="E2" s="274">
        <f t="shared" si="0"/>
        <v>4</v>
      </c>
      <c r="F2" s="274">
        <f t="shared" si="0"/>
        <v>5</v>
      </c>
      <c r="G2" s="274">
        <f t="shared" si="0"/>
        <v>6</v>
      </c>
      <c r="H2" s="274">
        <f t="shared" si="0"/>
        <v>7</v>
      </c>
      <c r="I2" s="274">
        <f t="shared" si="0"/>
        <v>8</v>
      </c>
      <c r="J2" s="274">
        <f t="shared" si="0"/>
        <v>9</v>
      </c>
      <c r="K2" s="274">
        <f t="shared" si="0"/>
        <v>10</v>
      </c>
      <c r="L2" s="274">
        <f t="shared" si="0"/>
        <v>11</v>
      </c>
      <c r="M2" s="274">
        <f t="shared" si="0"/>
        <v>12</v>
      </c>
      <c r="N2" s="274">
        <f t="shared" si="0"/>
        <v>13</v>
      </c>
      <c r="O2" s="274">
        <f t="shared" si="0"/>
        <v>14</v>
      </c>
      <c r="P2" s="274">
        <f t="shared" si="0"/>
        <v>15</v>
      </c>
      <c r="Q2" s="274">
        <f t="shared" si="0"/>
        <v>16</v>
      </c>
      <c r="R2" s="274">
        <f t="shared" si="0"/>
        <v>17</v>
      </c>
      <c r="S2" s="274">
        <f t="shared" si="0"/>
        <v>18</v>
      </c>
      <c r="T2" s="274">
        <f t="shared" si="0"/>
        <v>19</v>
      </c>
      <c r="U2" s="274">
        <f t="shared" si="0"/>
        <v>20</v>
      </c>
      <c r="V2" s="274">
        <f t="shared" si="0"/>
        <v>21</v>
      </c>
      <c r="W2" s="274">
        <f t="shared" si="0"/>
        <v>22</v>
      </c>
      <c r="X2" s="274">
        <f t="shared" si="0"/>
        <v>23</v>
      </c>
      <c r="Y2" s="274">
        <f t="shared" si="0"/>
        <v>24</v>
      </c>
      <c r="Z2" s="274">
        <f t="shared" si="0"/>
        <v>25</v>
      </c>
      <c r="AA2" s="274">
        <f t="shared" si="0"/>
        <v>26</v>
      </c>
      <c r="AB2" s="274">
        <f t="shared" si="0"/>
        <v>27</v>
      </c>
      <c r="AC2" s="274">
        <f t="shared" si="0"/>
        <v>28</v>
      </c>
      <c r="AD2" s="274">
        <f t="shared" si="0"/>
        <v>29</v>
      </c>
      <c r="AE2" s="274">
        <f t="shared" si="0"/>
        <v>30</v>
      </c>
      <c r="AF2" s="274">
        <f t="shared" si="0"/>
        <v>31</v>
      </c>
      <c r="AG2" s="275" t="s">
        <v>13</v>
      </c>
    </row>
    <row r="3" spans="1:33" ht="19.5" thickBot="1" x14ac:dyDescent="0.3">
      <c r="A3" s="276" t="s">
        <v>14</v>
      </c>
      <c r="B3" s="6">
        <f t="shared" ref="B3:AF3" si="1">SUM(B4:B27)</f>
        <v>200</v>
      </c>
      <c r="C3" s="6">
        <f t="shared" si="1"/>
        <v>214</v>
      </c>
      <c r="D3" s="6">
        <f t="shared" si="1"/>
        <v>187</v>
      </c>
      <c r="E3" s="6">
        <f t="shared" si="1"/>
        <v>269</v>
      </c>
      <c r="F3" s="6">
        <f t="shared" si="1"/>
        <v>243</v>
      </c>
      <c r="G3" s="6">
        <f t="shared" si="1"/>
        <v>221</v>
      </c>
      <c r="H3" s="6">
        <f t="shared" si="1"/>
        <v>226</v>
      </c>
      <c r="I3" s="6">
        <f t="shared" si="1"/>
        <v>234</v>
      </c>
      <c r="J3" s="6">
        <f t="shared" si="1"/>
        <v>188</v>
      </c>
      <c r="K3" s="6">
        <f t="shared" si="1"/>
        <v>218</v>
      </c>
      <c r="L3" s="6">
        <f t="shared" si="1"/>
        <v>264</v>
      </c>
      <c r="M3" s="6">
        <f t="shared" si="1"/>
        <v>235</v>
      </c>
      <c r="N3" s="6">
        <f t="shared" si="1"/>
        <v>198</v>
      </c>
      <c r="O3" s="6">
        <f t="shared" si="1"/>
        <v>219</v>
      </c>
      <c r="P3" s="6">
        <f t="shared" si="1"/>
        <v>191</v>
      </c>
      <c r="Q3" s="6">
        <f t="shared" si="1"/>
        <v>224</v>
      </c>
      <c r="R3" s="6">
        <f t="shared" si="1"/>
        <v>256</v>
      </c>
      <c r="S3" s="6">
        <f t="shared" si="1"/>
        <v>231</v>
      </c>
      <c r="T3" s="6">
        <f t="shared" si="1"/>
        <v>202</v>
      </c>
      <c r="U3" s="6">
        <f t="shared" si="1"/>
        <v>210</v>
      </c>
      <c r="V3" s="6">
        <f t="shared" si="1"/>
        <v>214</v>
      </c>
      <c r="W3" s="6">
        <f t="shared" si="1"/>
        <v>218</v>
      </c>
      <c r="X3" s="6">
        <f t="shared" si="1"/>
        <v>217</v>
      </c>
      <c r="Y3" s="6">
        <f t="shared" si="1"/>
        <v>152</v>
      </c>
      <c r="Z3" s="6">
        <f t="shared" si="1"/>
        <v>218</v>
      </c>
      <c r="AA3" s="6">
        <f t="shared" si="1"/>
        <v>283</v>
      </c>
      <c r="AB3" s="6">
        <f t="shared" si="1"/>
        <v>279</v>
      </c>
      <c r="AC3" s="6">
        <f t="shared" si="1"/>
        <v>245</v>
      </c>
      <c r="AD3" s="6">
        <f t="shared" si="1"/>
        <v>235</v>
      </c>
      <c r="AE3" s="6">
        <f t="shared" si="1"/>
        <v>207</v>
      </c>
      <c r="AF3" s="6">
        <f t="shared" si="1"/>
        <v>146</v>
      </c>
      <c r="AG3" s="7">
        <f t="shared" ref="AG3:AG66" si="2">SUM(B3:AF3)</f>
        <v>6844</v>
      </c>
    </row>
    <row r="4" spans="1:33" ht="18.75" x14ac:dyDescent="0.25">
      <c r="A4" s="277" t="s">
        <v>15</v>
      </c>
      <c r="B4" s="278">
        <v>16</v>
      </c>
      <c r="C4" s="279">
        <v>10</v>
      </c>
      <c r="D4" s="279">
        <v>6</v>
      </c>
      <c r="E4" s="279">
        <v>15</v>
      </c>
      <c r="F4" s="279">
        <v>17</v>
      </c>
      <c r="G4" s="279">
        <v>18</v>
      </c>
      <c r="H4" s="279">
        <v>11</v>
      </c>
      <c r="I4" s="279">
        <v>16</v>
      </c>
      <c r="J4" s="279">
        <v>9</v>
      </c>
      <c r="K4" s="279">
        <v>9</v>
      </c>
      <c r="L4" s="279">
        <v>11</v>
      </c>
      <c r="M4" s="279">
        <v>14</v>
      </c>
      <c r="N4" s="279">
        <v>11</v>
      </c>
      <c r="O4" s="279">
        <v>11</v>
      </c>
      <c r="P4" s="279">
        <v>9</v>
      </c>
      <c r="Q4" s="279">
        <v>15</v>
      </c>
      <c r="R4" s="279">
        <v>5</v>
      </c>
      <c r="S4" s="279">
        <v>5</v>
      </c>
      <c r="T4" s="279">
        <v>9</v>
      </c>
      <c r="U4" s="279">
        <v>7</v>
      </c>
      <c r="V4" s="279">
        <v>6</v>
      </c>
      <c r="W4" s="279">
        <v>13</v>
      </c>
      <c r="X4" s="279">
        <v>10</v>
      </c>
      <c r="Y4" s="279">
        <v>7</v>
      </c>
      <c r="Z4" s="279">
        <v>8</v>
      </c>
      <c r="AA4" s="279">
        <v>17</v>
      </c>
      <c r="AB4" s="279">
        <v>15</v>
      </c>
      <c r="AC4" s="279">
        <v>7</v>
      </c>
      <c r="AD4" s="279">
        <v>14</v>
      </c>
      <c r="AE4" s="279">
        <v>14</v>
      </c>
      <c r="AF4" s="279">
        <v>6</v>
      </c>
      <c r="AG4" s="11">
        <f t="shared" si="2"/>
        <v>341</v>
      </c>
    </row>
    <row r="5" spans="1:33" ht="18.75" x14ac:dyDescent="0.25">
      <c r="A5" s="280" t="s">
        <v>16</v>
      </c>
      <c r="B5" s="278">
        <v>8</v>
      </c>
      <c r="C5" s="278">
        <v>14</v>
      </c>
      <c r="D5" s="278">
        <v>6</v>
      </c>
      <c r="E5" s="278">
        <v>17</v>
      </c>
      <c r="F5" s="278">
        <v>15</v>
      </c>
      <c r="G5" s="278">
        <v>15</v>
      </c>
      <c r="H5" s="278">
        <v>16</v>
      </c>
      <c r="I5" s="278">
        <v>15</v>
      </c>
      <c r="J5" s="278">
        <v>12</v>
      </c>
      <c r="K5" s="278">
        <v>7</v>
      </c>
      <c r="L5" s="278">
        <v>16</v>
      </c>
      <c r="M5" s="278">
        <v>13</v>
      </c>
      <c r="N5" s="278">
        <v>12</v>
      </c>
      <c r="O5" s="278">
        <v>7</v>
      </c>
      <c r="P5" s="278">
        <v>7</v>
      </c>
      <c r="Q5" s="278">
        <v>13</v>
      </c>
      <c r="R5" s="278">
        <v>20</v>
      </c>
      <c r="S5" s="278">
        <v>10</v>
      </c>
      <c r="T5" s="278">
        <v>13</v>
      </c>
      <c r="U5" s="278">
        <v>15</v>
      </c>
      <c r="V5" s="278">
        <v>9</v>
      </c>
      <c r="W5" s="278">
        <v>14</v>
      </c>
      <c r="X5" s="278">
        <v>13</v>
      </c>
      <c r="Y5" s="278">
        <v>9</v>
      </c>
      <c r="Z5" s="278">
        <v>6</v>
      </c>
      <c r="AA5" s="278">
        <v>18</v>
      </c>
      <c r="AB5" s="278">
        <v>10</v>
      </c>
      <c r="AC5" s="278">
        <v>10</v>
      </c>
      <c r="AD5" s="278">
        <v>18</v>
      </c>
      <c r="AE5" s="278">
        <v>10</v>
      </c>
      <c r="AF5" s="278">
        <v>4</v>
      </c>
      <c r="AG5" s="15">
        <f t="shared" si="2"/>
        <v>372</v>
      </c>
    </row>
    <row r="6" spans="1:33" ht="18.75" x14ac:dyDescent="0.25">
      <c r="A6" s="280" t="s">
        <v>17</v>
      </c>
      <c r="B6" s="278">
        <v>10</v>
      </c>
      <c r="C6" s="278">
        <v>15</v>
      </c>
      <c r="D6" s="278">
        <v>24</v>
      </c>
      <c r="E6" s="278">
        <v>19</v>
      </c>
      <c r="F6" s="278">
        <v>12</v>
      </c>
      <c r="G6" s="278">
        <v>17</v>
      </c>
      <c r="H6" s="278">
        <v>16</v>
      </c>
      <c r="I6" s="278">
        <v>20</v>
      </c>
      <c r="J6" s="278">
        <v>13</v>
      </c>
      <c r="K6" s="278">
        <v>13</v>
      </c>
      <c r="L6" s="278">
        <v>14</v>
      </c>
      <c r="M6" s="278">
        <v>14</v>
      </c>
      <c r="N6" s="278">
        <v>9</v>
      </c>
      <c r="O6" s="278">
        <v>18</v>
      </c>
      <c r="P6" s="278">
        <v>15</v>
      </c>
      <c r="Q6" s="278">
        <v>17</v>
      </c>
      <c r="R6" s="278">
        <v>20</v>
      </c>
      <c r="S6" s="278">
        <v>19</v>
      </c>
      <c r="T6" s="278">
        <v>12</v>
      </c>
      <c r="U6" s="278">
        <v>7</v>
      </c>
      <c r="V6" s="278">
        <v>10</v>
      </c>
      <c r="W6" s="278">
        <v>14</v>
      </c>
      <c r="X6" s="278">
        <v>11</v>
      </c>
      <c r="Y6" s="278">
        <v>16</v>
      </c>
      <c r="Z6" s="278">
        <v>16</v>
      </c>
      <c r="AA6" s="278">
        <v>21</v>
      </c>
      <c r="AB6" s="278">
        <v>16</v>
      </c>
      <c r="AC6" s="278">
        <v>10</v>
      </c>
      <c r="AD6" s="278">
        <v>19</v>
      </c>
      <c r="AE6" s="278">
        <v>13</v>
      </c>
      <c r="AF6" s="278">
        <v>13</v>
      </c>
      <c r="AG6" s="15">
        <f t="shared" si="2"/>
        <v>463</v>
      </c>
    </row>
    <row r="7" spans="1:33" ht="18.75" x14ac:dyDescent="0.25">
      <c r="A7" s="280" t="s">
        <v>18</v>
      </c>
      <c r="B7" s="278">
        <v>13</v>
      </c>
      <c r="C7" s="278">
        <v>23</v>
      </c>
      <c r="D7" s="278">
        <v>10</v>
      </c>
      <c r="E7" s="278">
        <v>18</v>
      </c>
      <c r="F7" s="278">
        <v>25</v>
      </c>
      <c r="G7" s="278">
        <v>13</v>
      </c>
      <c r="H7" s="278">
        <v>8</v>
      </c>
      <c r="I7" s="278">
        <v>23</v>
      </c>
      <c r="J7" s="278">
        <v>14</v>
      </c>
      <c r="K7" s="278">
        <v>12</v>
      </c>
      <c r="L7" s="278">
        <v>15</v>
      </c>
      <c r="M7" s="278">
        <v>12</v>
      </c>
      <c r="N7" s="278">
        <v>11</v>
      </c>
      <c r="O7" s="278">
        <v>9</v>
      </c>
      <c r="P7" s="278">
        <v>8</v>
      </c>
      <c r="Q7" s="278">
        <v>17</v>
      </c>
      <c r="R7" s="278">
        <v>21</v>
      </c>
      <c r="S7" s="278">
        <v>9</v>
      </c>
      <c r="T7" s="278">
        <v>8</v>
      </c>
      <c r="U7" s="278">
        <v>12</v>
      </c>
      <c r="V7" s="278">
        <v>14</v>
      </c>
      <c r="W7" s="278">
        <v>13</v>
      </c>
      <c r="X7" s="278">
        <v>9</v>
      </c>
      <c r="Y7" s="278">
        <v>9</v>
      </c>
      <c r="Z7" s="278">
        <v>16</v>
      </c>
      <c r="AA7" s="278">
        <v>12</v>
      </c>
      <c r="AB7" s="278">
        <v>17</v>
      </c>
      <c r="AC7" s="278">
        <v>14</v>
      </c>
      <c r="AD7" s="278">
        <v>8</v>
      </c>
      <c r="AE7" s="278">
        <v>23</v>
      </c>
      <c r="AF7" s="278">
        <v>12</v>
      </c>
      <c r="AG7" s="15">
        <f t="shared" si="2"/>
        <v>428</v>
      </c>
    </row>
    <row r="8" spans="1:33" ht="18.75" x14ac:dyDescent="0.25">
      <c r="A8" s="280" t="s">
        <v>19</v>
      </c>
      <c r="B8" s="278">
        <v>10</v>
      </c>
      <c r="C8" s="278">
        <v>18</v>
      </c>
      <c r="D8" s="278">
        <v>21</v>
      </c>
      <c r="E8" s="278">
        <v>21</v>
      </c>
      <c r="F8" s="278">
        <v>14</v>
      </c>
      <c r="G8" s="278">
        <v>10</v>
      </c>
      <c r="H8" s="278">
        <v>13</v>
      </c>
      <c r="I8" s="278">
        <v>9</v>
      </c>
      <c r="J8" s="278">
        <v>12</v>
      </c>
      <c r="K8" s="278">
        <v>11</v>
      </c>
      <c r="L8" s="278">
        <v>22</v>
      </c>
      <c r="M8" s="278">
        <v>16</v>
      </c>
      <c r="N8" s="278">
        <v>13</v>
      </c>
      <c r="O8" s="278">
        <v>11</v>
      </c>
      <c r="P8" s="278">
        <v>14</v>
      </c>
      <c r="Q8" s="278">
        <v>11</v>
      </c>
      <c r="R8" s="278">
        <v>17</v>
      </c>
      <c r="S8" s="278">
        <v>8</v>
      </c>
      <c r="T8" s="278">
        <v>11</v>
      </c>
      <c r="U8" s="278">
        <v>19</v>
      </c>
      <c r="V8" s="278">
        <v>12</v>
      </c>
      <c r="W8" s="278">
        <v>11</v>
      </c>
      <c r="X8" s="278">
        <v>16</v>
      </c>
      <c r="Y8" s="278">
        <v>15</v>
      </c>
      <c r="Z8" s="278">
        <v>15</v>
      </c>
      <c r="AA8" s="278">
        <v>23</v>
      </c>
      <c r="AB8" s="278">
        <v>14</v>
      </c>
      <c r="AC8" s="278">
        <v>16</v>
      </c>
      <c r="AD8" s="278">
        <v>12</v>
      </c>
      <c r="AE8" s="278">
        <v>12</v>
      </c>
      <c r="AF8" s="278">
        <v>17</v>
      </c>
      <c r="AG8" s="15">
        <f t="shared" si="2"/>
        <v>444</v>
      </c>
    </row>
    <row r="9" spans="1:33" ht="18.75" x14ac:dyDescent="0.25">
      <c r="A9" s="280" t="s">
        <v>20</v>
      </c>
      <c r="B9" s="278">
        <v>16</v>
      </c>
      <c r="C9" s="278">
        <v>8</v>
      </c>
      <c r="D9" s="278">
        <v>12</v>
      </c>
      <c r="E9" s="278">
        <v>21</v>
      </c>
      <c r="F9" s="278">
        <v>12</v>
      </c>
      <c r="G9" s="278">
        <v>6</v>
      </c>
      <c r="H9" s="278">
        <v>6</v>
      </c>
      <c r="I9" s="278">
        <v>13</v>
      </c>
      <c r="J9" s="278">
        <v>9</v>
      </c>
      <c r="K9" s="278">
        <v>13</v>
      </c>
      <c r="L9" s="278">
        <v>10</v>
      </c>
      <c r="M9" s="278">
        <v>13</v>
      </c>
      <c r="N9" s="278">
        <v>11</v>
      </c>
      <c r="O9" s="278">
        <v>9</v>
      </c>
      <c r="P9" s="278">
        <v>12</v>
      </c>
      <c r="Q9" s="278">
        <v>7</v>
      </c>
      <c r="R9" s="278">
        <v>20</v>
      </c>
      <c r="S9" s="278">
        <v>12</v>
      </c>
      <c r="T9" s="278">
        <v>7</v>
      </c>
      <c r="U9" s="278">
        <v>3</v>
      </c>
      <c r="V9" s="278">
        <v>9</v>
      </c>
      <c r="W9" s="278">
        <v>13</v>
      </c>
      <c r="X9" s="278">
        <v>10</v>
      </c>
      <c r="Y9" s="278">
        <v>9</v>
      </c>
      <c r="Z9" s="278">
        <v>13</v>
      </c>
      <c r="AA9" s="278">
        <v>7</v>
      </c>
      <c r="AB9" s="278">
        <v>13</v>
      </c>
      <c r="AC9" s="278">
        <v>12</v>
      </c>
      <c r="AD9" s="278">
        <v>16</v>
      </c>
      <c r="AE9" s="278">
        <v>12</v>
      </c>
      <c r="AF9" s="278">
        <v>11</v>
      </c>
      <c r="AG9" s="15">
        <f t="shared" si="2"/>
        <v>345</v>
      </c>
    </row>
    <row r="10" spans="1:33" ht="18.75" x14ac:dyDescent="0.25">
      <c r="A10" s="280" t="s">
        <v>21</v>
      </c>
      <c r="B10" s="278">
        <v>12</v>
      </c>
      <c r="C10" s="278">
        <v>8</v>
      </c>
      <c r="D10" s="278">
        <v>8</v>
      </c>
      <c r="E10" s="278">
        <v>11</v>
      </c>
      <c r="F10" s="278">
        <v>9</v>
      </c>
      <c r="G10" s="278">
        <v>10</v>
      </c>
      <c r="H10" s="278">
        <v>11</v>
      </c>
      <c r="I10" s="278">
        <v>8</v>
      </c>
      <c r="J10" s="278">
        <v>14</v>
      </c>
      <c r="K10" s="278">
        <v>11</v>
      </c>
      <c r="L10" s="278">
        <v>15</v>
      </c>
      <c r="M10" s="278">
        <v>17</v>
      </c>
      <c r="N10" s="278">
        <v>16</v>
      </c>
      <c r="O10" s="278">
        <v>17</v>
      </c>
      <c r="P10" s="278">
        <v>8</v>
      </c>
      <c r="Q10" s="278">
        <v>10</v>
      </c>
      <c r="R10" s="278">
        <v>14</v>
      </c>
      <c r="S10" s="278">
        <v>11</v>
      </c>
      <c r="T10" s="278">
        <v>9</v>
      </c>
      <c r="U10" s="278">
        <v>12</v>
      </c>
      <c r="V10" s="278">
        <v>14</v>
      </c>
      <c r="W10" s="278">
        <v>9</v>
      </c>
      <c r="X10" s="278">
        <v>12</v>
      </c>
      <c r="Y10" s="278">
        <v>7</v>
      </c>
      <c r="Z10" s="278">
        <v>9</v>
      </c>
      <c r="AA10" s="278">
        <v>20</v>
      </c>
      <c r="AB10" s="278">
        <v>22</v>
      </c>
      <c r="AC10" s="278">
        <v>16</v>
      </c>
      <c r="AD10" s="278">
        <v>11</v>
      </c>
      <c r="AE10" s="278">
        <v>10</v>
      </c>
      <c r="AF10" s="278">
        <v>14</v>
      </c>
      <c r="AG10" s="15">
        <f t="shared" si="2"/>
        <v>375</v>
      </c>
    </row>
    <row r="11" spans="1:33" ht="18.75" x14ac:dyDescent="0.25">
      <c r="A11" s="280" t="s">
        <v>22</v>
      </c>
      <c r="B11" s="278">
        <v>18</v>
      </c>
      <c r="C11" s="278">
        <v>9</v>
      </c>
      <c r="D11" s="278">
        <v>9</v>
      </c>
      <c r="E11" s="278">
        <v>15</v>
      </c>
      <c r="F11" s="278">
        <v>13</v>
      </c>
      <c r="G11" s="278">
        <v>10</v>
      </c>
      <c r="H11" s="278">
        <v>13</v>
      </c>
      <c r="I11" s="278">
        <v>13</v>
      </c>
      <c r="J11" s="278">
        <v>10</v>
      </c>
      <c r="K11" s="278">
        <v>12</v>
      </c>
      <c r="L11" s="278">
        <v>15</v>
      </c>
      <c r="M11" s="278">
        <v>9</v>
      </c>
      <c r="N11" s="278">
        <v>11</v>
      </c>
      <c r="O11" s="278">
        <v>8</v>
      </c>
      <c r="P11" s="278">
        <v>10</v>
      </c>
      <c r="Q11" s="278">
        <v>9</v>
      </c>
      <c r="R11" s="278">
        <v>11</v>
      </c>
      <c r="S11" s="278">
        <v>22</v>
      </c>
      <c r="T11" s="278">
        <v>17</v>
      </c>
      <c r="U11" s="278">
        <v>10</v>
      </c>
      <c r="V11" s="278">
        <v>11</v>
      </c>
      <c r="W11" s="278">
        <v>11</v>
      </c>
      <c r="X11" s="278">
        <v>10</v>
      </c>
      <c r="Y11" s="278">
        <v>7</v>
      </c>
      <c r="Z11" s="278">
        <v>22</v>
      </c>
      <c r="AA11" s="278">
        <v>13</v>
      </c>
      <c r="AB11" s="278">
        <v>15</v>
      </c>
      <c r="AC11" s="278">
        <v>14</v>
      </c>
      <c r="AD11" s="278">
        <v>7</v>
      </c>
      <c r="AE11" s="278">
        <v>14</v>
      </c>
      <c r="AF11" s="278">
        <v>12</v>
      </c>
      <c r="AG11" s="15">
        <f t="shared" si="2"/>
        <v>380</v>
      </c>
    </row>
    <row r="12" spans="1:33" ht="18.75" x14ac:dyDescent="0.25">
      <c r="A12" s="280" t="s">
        <v>23</v>
      </c>
      <c r="B12" s="278">
        <v>8</v>
      </c>
      <c r="C12" s="278">
        <v>16</v>
      </c>
      <c r="D12" s="278">
        <v>14</v>
      </c>
      <c r="E12" s="278">
        <v>21</v>
      </c>
      <c r="F12" s="278">
        <v>17</v>
      </c>
      <c r="G12" s="278">
        <v>10</v>
      </c>
      <c r="H12" s="278">
        <v>16</v>
      </c>
      <c r="I12" s="278">
        <v>16</v>
      </c>
      <c r="J12" s="278">
        <v>10</v>
      </c>
      <c r="K12" s="278">
        <v>10</v>
      </c>
      <c r="L12" s="278">
        <v>21</v>
      </c>
      <c r="M12" s="278">
        <v>18</v>
      </c>
      <c r="N12" s="278">
        <v>14</v>
      </c>
      <c r="O12" s="278">
        <v>9</v>
      </c>
      <c r="P12" s="278">
        <v>11</v>
      </c>
      <c r="Q12" s="278">
        <v>16</v>
      </c>
      <c r="R12" s="278">
        <v>19</v>
      </c>
      <c r="S12" s="278">
        <v>17</v>
      </c>
      <c r="T12" s="278">
        <v>14</v>
      </c>
      <c r="U12" s="278">
        <v>16</v>
      </c>
      <c r="V12" s="278">
        <v>16</v>
      </c>
      <c r="W12" s="278">
        <v>12</v>
      </c>
      <c r="X12" s="278">
        <v>16</v>
      </c>
      <c r="Y12" s="278">
        <v>13</v>
      </c>
      <c r="Z12" s="278">
        <v>10</v>
      </c>
      <c r="AA12" s="278">
        <v>22</v>
      </c>
      <c r="AB12" s="278">
        <v>10</v>
      </c>
      <c r="AC12" s="278">
        <v>20</v>
      </c>
      <c r="AD12" s="278">
        <v>16</v>
      </c>
      <c r="AE12" s="278">
        <v>10</v>
      </c>
      <c r="AF12" s="278">
        <v>4</v>
      </c>
      <c r="AG12" s="15">
        <f t="shared" si="2"/>
        <v>442</v>
      </c>
    </row>
    <row r="13" spans="1:33" ht="18.75" x14ac:dyDescent="0.25">
      <c r="A13" s="280" t="s">
        <v>24</v>
      </c>
      <c r="B13" s="278">
        <v>20</v>
      </c>
      <c r="C13" s="278">
        <v>13</v>
      </c>
      <c r="D13" s="278">
        <v>13</v>
      </c>
      <c r="E13" s="278">
        <v>21</v>
      </c>
      <c r="F13" s="278">
        <v>24</v>
      </c>
      <c r="G13" s="278">
        <v>20</v>
      </c>
      <c r="H13" s="278">
        <v>16</v>
      </c>
      <c r="I13" s="278">
        <v>13</v>
      </c>
      <c r="J13" s="278">
        <v>11</v>
      </c>
      <c r="K13" s="278">
        <v>18</v>
      </c>
      <c r="L13" s="278">
        <v>20</v>
      </c>
      <c r="M13" s="278">
        <v>24</v>
      </c>
      <c r="N13" s="278">
        <v>15</v>
      </c>
      <c r="O13" s="278">
        <v>24</v>
      </c>
      <c r="P13" s="278">
        <v>15</v>
      </c>
      <c r="Q13" s="278">
        <v>20</v>
      </c>
      <c r="R13" s="278">
        <v>18</v>
      </c>
      <c r="S13" s="278">
        <v>16</v>
      </c>
      <c r="T13" s="278">
        <v>18</v>
      </c>
      <c r="U13" s="278">
        <v>23</v>
      </c>
      <c r="V13" s="278">
        <v>8</v>
      </c>
      <c r="W13" s="278">
        <v>15</v>
      </c>
      <c r="X13" s="278">
        <v>13</v>
      </c>
      <c r="Y13" s="278">
        <v>7</v>
      </c>
      <c r="Z13" s="278">
        <v>19</v>
      </c>
      <c r="AA13" s="278">
        <v>23</v>
      </c>
      <c r="AB13" s="278">
        <v>27</v>
      </c>
      <c r="AC13" s="278">
        <v>17</v>
      </c>
      <c r="AD13" s="278">
        <v>14</v>
      </c>
      <c r="AE13" s="278">
        <v>17</v>
      </c>
      <c r="AF13" s="278">
        <v>11</v>
      </c>
      <c r="AG13" s="15">
        <f t="shared" si="2"/>
        <v>533</v>
      </c>
    </row>
    <row r="14" spans="1:33" ht="18.75" x14ac:dyDescent="0.25">
      <c r="A14" s="280" t="s">
        <v>25</v>
      </c>
      <c r="B14" s="278">
        <v>13</v>
      </c>
      <c r="C14" s="278">
        <v>10</v>
      </c>
      <c r="D14" s="278">
        <v>7</v>
      </c>
      <c r="E14" s="278">
        <v>15</v>
      </c>
      <c r="F14" s="278">
        <v>15</v>
      </c>
      <c r="G14" s="278">
        <v>8</v>
      </c>
      <c r="H14" s="278">
        <v>15</v>
      </c>
      <c r="I14" s="278">
        <v>7</v>
      </c>
      <c r="J14" s="278">
        <v>12</v>
      </c>
      <c r="K14" s="278">
        <v>14</v>
      </c>
      <c r="L14" s="278">
        <v>20</v>
      </c>
      <c r="M14" s="278">
        <v>16</v>
      </c>
      <c r="N14" s="278">
        <v>10</v>
      </c>
      <c r="O14" s="278">
        <v>13</v>
      </c>
      <c r="P14" s="278">
        <v>12</v>
      </c>
      <c r="Q14" s="278">
        <v>12</v>
      </c>
      <c r="R14" s="278">
        <v>11</v>
      </c>
      <c r="S14" s="278">
        <v>22</v>
      </c>
      <c r="T14" s="278">
        <v>10</v>
      </c>
      <c r="U14" s="278">
        <v>11</v>
      </c>
      <c r="V14" s="278">
        <v>16</v>
      </c>
      <c r="W14" s="278">
        <v>14</v>
      </c>
      <c r="X14" s="278">
        <v>12</v>
      </c>
      <c r="Y14" s="278">
        <v>3</v>
      </c>
      <c r="Z14" s="278">
        <v>10</v>
      </c>
      <c r="AA14" s="278">
        <v>17</v>
      </c>
      <c r="AB14" s="278">
        <v>26</v>
      </c>
      <c r="AC14" s="278">
        <v>19</v>
      </c>
      <c r="AD14" s="278">
        <v>12</v>
      </c>
      <c r="AE14" s="278">
        <v>6</v>
      </c>
      <c r="AF14" s="278">
        <v>4</v>
      </c>
      <c r="AG14" s="15">
        <f t="shared" si="2"/>
        <v>392</v>
      </c>
    </row>
    <row r="15" spans="1:33" ht="18.75" x14ac:dyDescent="0.25">
      <c r="A15" s="280" t="s">
        <v>26</v>
      </c>
      <c r="B15" s="278">
        <v>10</v>
      </c>
      <c r="C15" s="278">
        <v>13</v>
      </c>
      <c r="D15" s="278">
        <v>5</v>
      </c>
      <c r="E15" s="278">
        <v>8</v>
      </c>
      <c r="F15" s="278">
        <v>18</v>
      </c>
      <c r="G15" s="278">
        <v>16</v>
      </c>
      <c r="H15" s="278">
        <v>14</v>
      </c>
      <c r="I15" s="278">
        <v>9</v>
      </c>
      <c r="J15" s="278">
        <v>9</v>
      </c>
      <c r="K15" s="278">
        <v>8</v>
      </c>
      <c r="L15" s="278">
        <v>17</v>
      </c>
      <c r="M15" s="278">
        <v>16</v>
      </c>
      <c r="N15" s="278">
        <v>15</v>
      </c>
      <c r="O15" s="278">
        <v>12</v>
      </c>
      <c r="P15" s="278">
        <v>11</v>
      </c>
      <c r="Q15" s="278">
        <v>12</v>
      </c>
      <c r="R15" s="278">
        <v>9</v>
      </c>
      <c r="S15" s="278">
        <v>17</v>
      </c>
      <c r="T15" s="278">
        <v>11</v>
      </c>
      <c r="U15" s="278">
        <v>16</v>
      </c>
      <c r="V15" s="278">
        <v>12</v>
      </c>
      <c r="W15" s="278">
        <v>6</v>
      </c>
      <c r="X15" s="278">
        <v>12</v>
      </c>
      <c r="Y15" s="278">
        <v>11</v>
      </c>
      <c r="Z15" s="278">
        <v>8</v>
      </c>
      <c r="AA15" s="278">
        <v>17</v>
      </c>
      <c r="AB15" s="278">
        <v>18</v>
      </c>
      <c r="AC15" s="278">
        <v>11</v>
      </c>
      <c r="AD15" s="278">
        <v>11</v>
      </c>
      <c r="AE15" s="278">
        <v>8</v>
      </c>
      <c r="AF15" s="278">
        <v>9</v>
      </c>
      <c r="AG15" s="15">
        <f t="shared" si="2"/>
        <v>369</v>
      </c>
    </row>
    <row r="16" spans="1:33" ht="18.75" x14ac:dyDescent="0.25">
      <c r="A16" s="280" t="s">
        <v>27</v>
      </c>
      <c r="B16" s="278">
        <v>13</v>
      </c>
      <c r="C16" s="278">
        <v>9</v>
      </c>
      <c r="D16" s="278">
        <v>13</v>
      </c>
      <c r="E16" s="278">
        <v>14</v>
      </c>
      <c r="F16" s="278">
        <v>11</v>
      </c>
      <c r="G16" s="278">
        <v>10</v>
      </c>
      <c r="H16" s="278">
        <v>11</v>
      </c>
      <c r="I16" s="278">
        <v>8</v>
      </c>
      <c r="J16" s="278">
        <v>10</v>
      </c>
      <c r="K16" s="278">
        <v>17</v>
      </c>
      <c r="L16" s="278">
        <v>18</v>
      </c>
      <c r="M16" s="278">
        <v>12</v>
      </c>
      <c r="N16" s="278">
        <v>7</v>
      </c>
      <c r="O16" s="278">
        <v>17</v>
      </c>
      <c r="P16" s="278">
        <v>15</v>
      </c>
      <c r="Q16" s="278">
        <v>12</v>
      </c>
      <c r="R16" s="278">
        <v>16</v>
      </c>
      <c r="S16" s="278">
        <v>15</v>
      </c>
      <c r="T16" s="278">
        <v>13</v>
      </c>
      <c r="U16" s="278">
        <v>15</v>
      </c>
      <c r="V16" s="278">
        <v>14</v>
      </c>
      <c r="W16" s="278">
        <v>22</v>
      </c>
      <c r="X16" s="278">
        <v>6</v>
      </c>
      <c r="Y16" s="278">
        <v>10</v>
      </c>
      <c r="Z16" s="278">
        <v>15</v>
      </c>
      <c r="AA16" s="278">
        <v>10</v>
      </c>
      <c r="AB16" s="278">
        <v>12</v>
      </c>
      <c r="AC16" s="278">
        <v>10</v>
      </c>
      <c r="AD16" s="278">
        <v>10</v>
      </c>
      <c r="AE16" s="278">
        <v>17</v>
      </c>
      <c r="AF16" s="278">
        <v>4</v>
      </c>
      <c r="AG16" s="15">
        <f t="shared" si="2"/>
        <v>386</v>
      </c>
    </row>
    <row r="17" spans="1:33" ht="18.75" x14ac:dyDescent="0.25">
      <c r="A17" s="280" t="s">
        <v>28</v>
      </c>
      <c r="B17" s="278">
        <v>7</v>
      </c>
      <c r="C17" s="278">
        <v>9</v>
      </c>
      <c r="D17" s="278">
        <v>10</v>
      </c>
      <c r="E17" s="278">
        <v>16</v>
      </c>
      <c r="F17" s="278">
        <v>10</v>
      </c>
      <c r="G17" s="278">
        <v>18</v>
      </c>
      <c r="H17" s="278">
        <v>7</v>
      </c>
      <c r="I17" s="278">
        <v>7</v>
      </c>
      <c r="J17" s="278">
        <v>13</v>
      </c>
      <c r="K17" s="278">
        <v>15</v>
      </c>
      <c r="L17" s="278">
        <v>7</v>
      </c>
      <c r="M17" s="278">
        <v>8</v>
      </c>
      <c r="N17" s="278">
        <v>12</v>
      </c>
      <c r="O17" s="278">
        <v>19</v>
      </c>
      <c r="P17" s="278">
        <v>10</v>
      </c>
      <c r="Q17" s="278">
        <v>10</v>
      </c>
      <c r="R17" s="278">
        <v>12</v>
      </c>
      <c r="S17" s="278">
        <v>14</v>
      </c>
      <c r="T17" s="278">
        <v>10</v>
      </c>
      <c r="U17" s="278">
        <v>9</v>
      </c>
      <c r="V17" s="278">
        <v>14</v>
      </c>
      <c r="W17" s="278">
        <v>11</v>
      </c>
      <c r="X17" s="278">
        <v>16</v>
      </c>
      <c r="Y17" s="278">
        <v>3</v>
      </c>
      <c r="Z17" s="278">
        <v>12</v>
      </c>
      <c r="AA17" s="278">
        <v>16</v>
      </c>
      <c r="AB17" s="278">
        <v>19</v>
      </c>
      <c r="AC17" s="278">
        <v>17</v>
      </c>
      <c r="AD17" s="278">
        <v>18</v>
      </c>
      <c r="AE17" s="278">
        <v>12</v>
      </c>
      <c r="AF17" s="278">
        <v>1</v>
      </c>
      <c r="AG17" s="15">
        <f t="shared" si="2"/>
        <v>362</v>
      </c>
    </row>
    <row r="18" spans="1:33" ht="18.75" x14ac:dyDescent="0.25">
      <c r="A18" s="280" t="s">
        <v>29</v>
      </c>
      <c r="B18" s="278">
        <v>4</v>
      </c>
      <c r="C18" s="278">
        <v>12</v>
      </c>
      <c r="D18" s="278">
        <v>8</v>
      </c>
      <c r="E18" s="278">
        <v>12</v>
      </c>
      <c r="F18" s="278">
        <v>9</v>
      </c>
      <c r="G18" s="278">
        <v>9</v>
      </c>
      <c r="H18" s="278">
        <v>15</v>
      </c>
      <c r="I18" s="278">
        <v>10</v>
      </c>
      <c r="J18" s="278">
        <v>8</v>
      </c>
      <c r="K18" s="278">
        <v>11</v>
      </c>
      <c r="L18" s="278">
        <v>15</v>
      </c>
      <c r="M18" s="278">
        <v>4</v>
      </c>
      <c r="N18" s="278">
        <v>6</v>
      </c>
      <c r="O18" s="278">
        <v>12</v>
      </c>
      <c r="P18" s="278">
        <v>7</v>
      </c>
      <c r="Q18" s="278">
        <v>8</v>
      </c>
      <c r="R18" s="278">
        <v>8</v>
      </c>
      <c r="S18" s="278">
        <v>7</v>
      </c>
      <c r="T18" s="278">
        <v>14</v>
      </c>
      <c r="U18" s="278">
        <v>10</v>
      </c>
      <c r="V18" s="278">
        <v>13</v>
      </c>
      <c r="W18" s="278">
        <v>13</v>
      </c>
      <c r="X18" s="278">
        <v>16</v>
      </c>
      <c r="Y18" s="278">
        <v>2</v>
      </c>
      <c r="Z18" s="278">
        <v>9</v>
      </c>
      <c r="AA18" s="278">
        <v>14</v>
      </c>
      <c r="AB18" s="278">
        <v>12</v>
      </c>
      <c r="AC18" s="278">
        <v>16</v>
      </c>
      <c r="AD18" s="278">
        <v>20</v>
      </c>
      <c r="AE18" s="278">
        <v>5</v>
      </c>
      <c r="AF18" s="278">
        <v>3</v>
      </c>
      <c r="AG18" s="15">
        <f t="shared" si="2"/>
        <v>312</v>
      </c>
    </row>
    <row r="19" spans="1:33" ht="18.75" x14ac:dyDescent="0.25">
      <c r="A19" s="280" t="s">
        <v>30</v>
      </c>
      <c r="B19" s="278">
        <v>4</v>
      </c>
      <c r="C19" s="278">
        <v>8</v>
      </c>
      <c r="D19" s="278">
        <v>7</v>
      </c>
      <c r="E19" s="278">
        <v>6</v>
      </c>
      <c r="F19" s="278">
        <v>7</v>
      </c>
      <c r="G19" s="278">
        <v>9</v>
      </c>
      <c r="H19" s="278">
        <v>8</v>
      </c>
      <c r="I19" s="278">
        <v>14</v>
      </c>
      <c r="J19" s="278">
        <v>5</v>
      </c>
      <c r="K19" s="278">
        <v>8</v>
      </c>
      <c r="L19" s="278">
        <v>8</v>
      </c>
      <c r="M19" s="278">
        <v>6</v>
      </c>
      <c r="N19" s="278">
        <v>9</v>
      </c>
      <c r="O19" s="278">
        <v>8</v>
      </c>
      <c r="P19" s="278">
        <v>7</v>
      </c>
      <c r="Q19" s="278">
        <v>8</v>
      </c>
      <c r="R19" s="278">
        <v>11</v>
      </c>
      <c r="S19" s="278">
        <v>7</v>
      </c>
      <c r="T19" s="278">
        <v>4</v>
      </c>
      <c r="U19" s="278">
        <v>6</v>
      </c>
      <c r="V19" s="278">
        <v>4</v>
      </c>
      <c r="W19" s="278">
        <v>9</v>
      </c>
      <c r="X19" s="278">
        <v>8</v>
      </c>
      <c r="Y19" s="278">
        <v>2</v>
      </c>
      <c r="Z19" s="278">
        <v>6</v>
      </c>
      <c r="AA19" s="278">
        <v>5</v>
      </c>
      <c r="AB19" s="278">
        <v>8</v>
      </c>
      <c r="AC19" s="278">
        <v>8</v>
      </c>
      <c r="AD19" s="278">
        <v>10</v>
      </c>
      <c r="AE19" s="278">
        <v>7</v>
      </c>
      <c r="AF19" s="278">
        <v>1</v>
      </c>
      <c r="AG19" s="15">
        <f t="shared" si="2"/>
        <v>218</v>
      </c>
    </row>
    <row r="20" spans="1:33" ht="18.75" x14ac:dyDescent="0.25">
      <c r="A20" s="280" t="s">
        <v>31</v>
      </c>
      <c r="B20" s="278">
        <v>7</v>
      </c>
      <c r="C20" s="278">
        <v>3</v>
      </c>
      <c r="D20" s="278">
        <v>5</v>
      </c>
      <c r="E20" s="278">
        <v>4</v>
      </c>
      <c r="F20" s="278">
        <v>5</v>
      </c>
      <c r="G20" s="278">
        <v>3</v>
      </c>
      <c r="H20" s="278">
        <v>6</v>
      </c>
      <c r="I20" s="278">
        <v>8</v>
      </c>
      <c r="J20" s="278">
        <v>4</v>
      </c>
      <c r="K20" s="278">
        <v>7</v>
      </c>
      <c r="L20" s="278">
        <v>4</v>
      </c>
      <c r="M20" s="278">
        <v>7</v>
      </c>
      <c r="N20" s="278">
        <v>4</v>
      </c>
      <c r="O20" s="278">
        <v>5</v>
      </c>
      <c r="P20" s="278">
        <v>3</v>
      </c>
      <c r="Q20" s="278">
        <v>8</v>
      </c>
      <c r="R20" s="278">
        <v>9</v>
      </c>
      <c r="S20" s="278">
        <v>4</v>
      </c>
      <c r="T20" s="278">
        <v>9</v>
      </c>
      <c r="U20" s="278">
        <v>4</v>
      </c>
      <c r="V20" s="278">
        <v>11</v>
      </c>
      <c r="W20" s="278">
        <v>3</v>
      </c>
      <c r="X20" s="278">
        <v>8</v>
      </c>
      <c r="Y20" s="278">
        <v>3</v>
      </c>
      <c r="Z20" s="278">
        <v>1</v>
      </c>
      <c r="AA20" s="278">
        <v>8</v>
      </c>
      <c r="AB20" s="278">
        <v>5</v>
      </c>
      <c r="AC20" s="278">
        <v>5</v>
      </c>
      <c r="AD20" s="278">
        <v>0</v>
      </c>
      <c r="AE20" s="278">
        <v>6</v>
      </c>
      <c r="AF20" s="278">
        <v>7</v>
      </c>
      <c r="AG20" s="15">
        <f t="shared" si="2"/>
        <v>166</v>
      </c>
    </row>
    <row r="21" spans="1:33" ht="15.75" customHeight="1" x14ac:dyDescent="0.25">
      <c r="A21" s="280" t="s">
        <v>32</v>
      </c>
      <c r="B21" s="278">
        <v>1</v>
      </c>
      <c r="C21" s="278">
        <v>2</v>
      </c>
      <c r="D21" s="278">
        <v>1</v>
      </c>
      <c r="E21" s="278">
        <v>4</v>
      </c>
      <c r="F21" s="278">
        <v>3</v>
      </c>
      <c r="G21" s="278">
        <v>4</v>
      </c>
      <c r="H21" s="278">
        <v>1</v>
      </c>
      <c r="I21" s="278">
        <v>0</v>
      </c>
      <c r="J21" s="278">
        <v>3</v>
      </c>
      <c r="K21" s="278">
        <v>2</v>
      </c>
      <c r="L21" s="278">
        <v>2</v>
      </c>
      <c r="M21" s="278">
        <v>2</v>
      </c>
      <c r="N21" s="278">
        <v>3</v>
      </c>
      <c r="O21" s="278">
        <v>4</v>
      </c>
      <c r="P21" s="278">
        <v>3</v>
      </c>
      <c r="Q21" s="278">
        <v>1</v>
      </c>
      <c r="R21" s="278">
        <v>2</v>
      </c>
      <c r="S21" s="278">
        <v>4</v>
      </c>
      <c r="T21" s="278">
        <v>2</v>
      </c>
      <c r="U21" s="278">
        <v>4</v>
      </c>
      <c r="V21" s="278">
        <v>6</v>
      </c>
      <c r="W21" s="278">
        <v>6</v>
      </c>
      <c r="X21" s="278">
        <v>2</v>
      </c>
      <c r="Y21" s="278">
        <v>6</v>
      </c>
      <c r="Z21" s="278">
        <v>4</v>
      </c>
      <c r="AA21" s="278">
        <v>4</v>
      </c>
      <c r="AB21" s="278">
        <v>0</v>
      </c>
      <c r="AC21" s="278">
        <v>3</v>
      </c>
      <c r="AD21" s="278">
        <v>4</v>
      </c>
      <c r="AE21" s="278">
        <v>2</v>
      </c>
      <c r="AF21" s="278">
        <v>3</v>
      </c>
      <c r="AG21" s="15">
        <f t="shared" si="2"/>
        <v>88</v>
      </c>
    </row>
    <row r="22" spans="1:33" ht="15.75" customHeight="1" x14ac:dyDescent="0.25">
      <c r="A22" s="280" t="s">
        <v>33</v>
      </c>
      <c r="B22" s="278">
        <v>1</v>
      </c>
      <c r="C22" s="278">
        <v>3</v>
      </c>
      <c r="D22" s="278">
        <v>0</v>
      </c>
      <c r="E22" s="278">
        <v>2</v>
      </c>
      <c r="F22" s="278">
        <v>1</v>
      </c>
      <c r="G22" s="278">
        <v>2</v>
      </c>
      <c r="H22" s="278">
        <v>2</v>
      </c>
      <c r="I22" s="278">
        <v>5</v>
      </c>
      <c r="J22" s="278">
        <v>4</v>
      </c>
      <c r="K22" s="278">
        <v>3</v>
      </c>
      <c r="L22" s="278">
        <v>5</v>
      </c>
      <c r="M22" s="278">
        <v>3</v>
      </c>
      <c r="N22" s="278">
        <v>1</v>
      </c>
      <c r="O22" s="278">
        <v>1</v>
      </c>
      <c r="P22" s="278">
        <v>2</v>
      </c>
      <c r="Q22" s="278">
        <v>4</v>
      </c>
      <c r="R22" s="278">
        <v>3</v>
      </c>
      <c r="S22" s="278">
        <v>3</v>
      </c>
      <c r="T22" s="278">
        <v>1</v>
      </c>
      <c r="U22" s="278">
        <v>4</v>
      </c>
      <c r="V22" s="278">
        <v>1</v>
      </c>
      <c r="W22" s="278">
        <v>1</v>
      </c>
      <c r="X22" s="278">
        <v>7</v>
      </c>
      <c r="Y22" s="278">
        <v>2</v>
      </c>
      <c r="Z22" s="278">
        <v>5</v>
      </c>
      <c r="AA22" s="278">
        <v>3</v>
      </c>
      <c r="AB22" s="278">
        <v>9</v>
      </c>
      <c r="AC22" s="278">
        <v>3</v>
      </c>
      <c r="AD22" s="278">
        <v>4</v>
      </c>
      <c r="AE22" s="278">
        <v>0</v>
      </c>
      <c r="AF22" s="278">
        <v>2</v>
      </c>
      <c r="AG22" s="15">
        <f t="shared" si="2"/>
        <v>87</v>
      </c>
    </row>
    <row r="23" spans="1:33" ht="15.75" customHeight="1" x14ac:dyDescent="0.25">
      <c r="A23" s="280" t="s">
        <v>34</v>
      </c>
      <c r="B23" s="278">
        <v>0</v>
      </c>
      <c r="C23" s="278">
        <v>2</v>
      </c>
      <c r="D23" s="278">
        <v>2</v>
      </c>
      <c r="E23" s="278">
        <v>1</v>
      </c>
      <c r="F23" s="278">
        <v>0</v>
      </c>
      <c r="G23" s="278">
        <v>3</v>
      </c>
      <c r="H23" s="278">
        <v>2</v>
      </c>
      <c r="I23" s="278">
        <v>6</v>
      </c>
      <c r="J23" s="278">
        <v>3</v>
      </c>
      <c r="K23" s="278">
        <v>4</v>
      </c>
      <c r="L23" s="278">
        <v>1</v>
      </c>
      <c r="M23" s="278">
        <v>5</v>
      </c>
      <c r="N23" s="278">
        <v>1</v>
      </c>
      <c r="O23" s="278">
        <v>0</v>
      </c>
      <c r="P23" s="278">
        <v>5</v>
      </c>
      <c r="Q23" s="278">
        <v>1</v>
      </c>
      <c r="R23" s="278">
        <v>3</v>
      </c>
      <c r="S23" s="278">
        <v>1</v>
      </c>
      <c r="T23" s="278">
        <v>2</v>
      </c>
      <c r="U23" s="278">
        <v>0</v>
      </c>
      <c r="V23" s="278">
        <v>4</v>
      </c>
      <c r="W23" s="278">
        <v>5</v>
      </c>
      <c r="X23" s="278">
        <v>4</v>
      </c>
      <c r="Y23" s="278">
        <v>1</v>
      </c>
      <c r="Z23" s="278">
        <v>4</v>
      </c>
      <c r="AA23" s="278">
        <v>4</v>
      </c>
      <c r="AB23" s="278">
        <v>0</v>
      </c>
      <c r="AC23" s="278">
        <v>3</v>
      </c>
      <c r="AD23" s="278">
        <v>0</v>
      </c>
      <c r="AE23" s="278">
        <v>3</v>
      </c>
      <c r="AF23" s="278">
        <v>2</v>
      </c>
      <c r="AG23" s="15">
        <f t="shared" si="2"/>
        <v>72</v>
      </c>
    </row>
    <row r="24" spans="1:33" ht="15.75" customHeight="1" x14ac:dyDescent="0.25">
      <c r="A24" s="280" t="s">
        <v>35</v>
      </c>
      <c r="B24" s="278">
        <v>2</v>
      </c>
      <c r="C24" s="278">
        <v>1</v>
      </c>
      <c r="D24" s="278">
        <v>0</v>
      </c>
      <c r="E24" s="278">
        <v>3</v>
      </c>
      <c r="F24" s="278">
        <v>3</v>
      </c>
      <c r="G24" s="278">
        <v>2</v>
      </c>
      <c r="H24" s="278">
        <v>3</v>
      </c>
      <c r="I24" s="278">
        <v>1</v>
      </c>
      <c r="J24" s="278">
        <v>0</v>
      </c>
      <c r="K24" s="278">
        <v>3</v>
      </c>
      <c r="L24" s="278">
        <v>2</v>
      </c>
      <c r="M24" s="278">
        <v>1</v>
      </c>
      <c r="N24" s="278">
        <v>0</v>
      </c>
      <c r="O24" s="278">
        <v>1</v>
      </c>
      <c r="P24" s="278">
        <v>0</v>
      </c>
      <c r="Q24" s="278">
        <v>3</v>
      </c>
      <c r="R24" s="278">
        <v>0</v>
      </c>
      <c r="S24" s="278">
        <v>1</v>
      </c>
      <c r="T24" s="278">
        <v>1</v>
      </c>
      <c r="U24" s="278">
        <v>1</v>
      </c>
      <c r="V24" s="278">
        <v>3</v>
      </c>
      <c r="W24" s="278">
        <v>0</v>
      </c>
      <c r="X24" s="278">
        <v>1</v>
      </c>
      <c r="Y24" s="278">
        <v>0</v>
      </c>
      <c r="Z24" s="278">
        <v>0</v>
      </c>
      <c r="AA24" s="278">
        <v>3</v>
      </c>
      <c r="AB24" s="278">
        <v>2</v>
      </c>
      <c r="AC24" s="278">
        <v>4</v>
      </c>
      <c r="AD24" s="278">
        <v>2</v>
      </c>
      <c r="AE24" s="278">
        <v>0</v>
      </c>
      <c r="AF24" s="278">
        <v>0</v>
      </c>
      <c r="AG24" s="15">
        <f t="shared" si="2"/>
        <v>43</v>
      </c>
    </row>
    <row r="25" spans="1:33" ht="15.75" customHeight="1" x14ac:dyDescent="0.25">
      <c r="A25" s="280" t="s">
        <v>36</v>
      </c>
      <c r="B25" s="278">
        <v>3</v>
      </c>
      <c r="C25" s="278">
        <v>2</v>
      </c>
      <c r="D25" s="278">
        <v>1</v>
      </c>
      <c r="E25" s="278">
        <v>2</v>
      </c>
      <c r="F25" s="278">
        <v>0</v>
      </c>
      <c r="G25" s="278">
        <v>5</v>
      </c>
      <c r="H25" s="278">
        <v>2</v>
      </c>
      <c r="I25" s="278">
        <v>3</v>
      </c>
      <c r="J25" s="278">
        <v>0</v>
      </c>
      <c r="K25" s="278">
        <v>0</v>
      </c>
      <c r="L25" s="278">
        <v>0</v>
      </c>
      <c r="M25" s="278">
        <v>1</v>
      </c>
      <c r="N25" s="278">
        <v>0</v>
      </c>
      <c r="O25" s="278">
        <v>1</v>
      </c>
      <c r="P25" s="278">
        <v>1</v>
      </c>
      <c r="Q25" s="278">
        <v>1</v>
      </c>
      <c r="R25" s="278">
        <v>3</v>
      </c>
      <c r="S25" s="278">
        <v>3</v>
      </c>
      <c r="T25" s="278">
        <v>3</v>
      </c>
      <c r="U25" s="278">
        <v>2</v>
      </c>
      <c r="V25" s="278">
        <v>2</v>
      </c>
      <c r="W25" s="278">
        <v>2</v>
      </c>
      <c r="X25" s="278">
        <v>0</v>
      </c>
      <c r="Y25" s="278">
        <v>2</v>
      </c>
      <c r="Z25" s="278">
        <v>0</v>
      </c>
      <c r="AA25" s="278">
        <v>1</v>
      </c>
      <c r="AB25" s="278">
        <v>2</v>
      </c>
      <c r="AC25" s="278">
        <v>2</v>
      </c>
      <c r="AD25" s="278">
        <v>3</v>
      </c>
      <c r="AE25" s="278">
        <v>2</v>
      </c>
      <c r="AF25" s="278">
        <v>2</v>
      </c>
      <c r="AG25" s="15">
        <f t="shared" si="2"/>
        <v>51</v>
      </c>
    </row>
    <row r="26" spans="1:33" ht="15.75" customHeight="1" x14ac:dyDescent="0.25">
      <c r="A26" s="280" t="s">
        <v>37</v>
      </c>
      <c r="B26" s="278">
        <v>2</v>
      </c>
      <c r="C26" s="278">
        <v>1</v>
      </c>
      <c r="D26" s="278">
        <v>3</v>
      </c>
      <c r="E26" s="278">
        <v>1</v>
      </c>
      <c r="F26" s="278">
        <v>0</v>
      </c>
      <c r="G26" s="278">
        <v>1</v>
      </c>
      <c r="H26" s="278">
        <v>3</v>
      </c>
      <c r="I26" s="278">
        <v>4</v>
      </c>
      <c r="J26" s="278">
        <v>1</v>
      </c>
      <c r="K26" s="278">
        <v>2</v>
      </c>
      <c r="L26" s="278">
        <v>2</v>
      </c>
      <c r="M26" s="278">
        <v>2</v>
      </c>
      <c r="N26" s="278">
        <v>7</v>
      </c>
      <c r="O26" s="278">
        <v>2</v>
      </c>
      <c r="P26" s="278">
        <v>3</v>
      </c>
      <c r="Q26" s="278">
        <v>5</v>
      </c>
      <c r="R26" s="278">
        <v>2</v>
      </c>
      <c r="S26" s="278">
        <v>1</v>
      </c>
      <c r="T26" s="278">
        <v>1</v>
      </c>
      <c r="U26" s="278">
        <v>1</v>
      </c>
      <c r="V26" s="278">
        <v>4</v>
      </c>
      <c r="W26" s="278">
        <v>0</v>
      </c>
      <c r="X26" s="278">
        <v>3</v>
      </c>
      <c r="Y26" s="278">
        <v>4</v>
      </c>
      <c r="Z26" s="278">
        <v>5</v>
      </c>
      <c r="AA26" s="278">
        <v>3</v>
      </c>
      <c r="AB26" s="278">
        <v>2</v>
      </c>
      <c r="AC26" s="278">
        <v>4</v>
      </c>
      <c r="AD26" s="278">
        <v>1</v>
      </c>
      <c r="AE26" s="278">
        <v>1</v>
      </c>
      <c r="AF26" s="278">
        <v>0</v>
      </c>
      <c r="AG26" s="15">
        <f t="shared" si="2"/>
        <v>71</v>
      </c>
    </row>
    <row r="27" spans="1:33" ht="15.75" customHeight="1" thickBot="1" x14ac:dyDescent="0.3">
      <c r="A27" s="281" t="s">
        <v>38</v>
      </c>
      <c r="B27" s="282">
        <v>2</v>
      </c>
      <c r="C27" s="282">
        <v>5</v>
      </c>
      <c r="D27" s="282">
        <v>2</v>
      </c>
      <c r="E27" s="282">
        <v>2</v>
      </c>
      <c r="F27" s="282">
        <v>3</v>
      </c>
      <c r="G27" s="282">
        <v>2</v>
      </c>
      <c r="H27" s="282">
        <v>11</v>
      </c>
      <c r="I27" s="282">
        <v>6</v>
      </c>
      <c r="J27" s="282">
        <v>2</v>
      </c>
      <c r="K27" s="282">
        <v>8</v>
      </c>
      <c r="L27" s="282">
        <v>4</v>
      </c>
      <c r="M27" s="282">
        <v>2</v>
      </c>
      <c r="N27" s="282">
        <v>0</v>
      </c>
      <c r="O27" s="282">
        <v>1</v>
      </c>
      <c r="P27" s="282">
        <v>3</v>
      </c>
      <c r="Q27" s="282">
        <v>4</v>
      </c>
      <c r="R27" s="282">
        <v>2</v>
      </c>
      <c r="S27" s="282">
        <v>3</v>
      </c>
      <c r="T27" s="282">
        <v>3</v>
      </c>
      <c r="U27" s="282">
        <v>3</v>
      </c>
      <c r="V27" s="282">
        <v>1</v>
      </c>
      <c r="W27" s="282">
        <v>1</v>
      </c>
      <c r="X27" s="282">
        <v>2</v>
      </c>
      <c r="Y27" s="282">
        <v>4</v>
      </c>
      <c r="Z27" s="282">
        <v>5</v>
      </c>
      <c r="AA27" s="282">
        <v>2</v>
      </c>
      <c r="AB27" s="282">
        <v>5</v>
      </c>
      <c r="AC27" s="282">
        <v>4</v>
      </c>
      <c r="AD27" s="282">
        <v>5</v>
      </c>
      <c r="AE27" s="282">
        <v>3</v>
      </c>
      <c r="AF27" s="282">
        <v>4</v>
      </c>
      <c r="AG27" s="15">
        <f t="shared" si="2"/>
        <v>104</v>
      </c>
    </row>
    <row r="28" spans="1:33" ht="15.75" customHeight="1" x14ac:dyDescent="0.25">
      <c r="A28" s="283" t="s">
        <v>39</v>
      </c>
      <c r="B28" s="21">
        <f t="shared" ref="B28:AF28" si="3">SUM(B29:B52)</f>
        <v>186</v>
      </c>
      <c r="C28" s="21">
        <f t="shared" si="3"/>
        <v>202</v>
      </c>
      <c r="D28" s="21">
        <f t="shared" si="3"/>
        <v>163</v>
      </c>
      <c r="E28" s="21">
        <f t="shared" si="3"/>
        <v>217</v>
      </c>
      <c r="F28" s="21">
        <f t="shared" si="3"/>
        <v>225</v>
      </c>
      <c r="G28" s="21">
        <f t="shared" si="3"/>
        <v>198</v>
      </c>
      <c r="H28" s="21">
        <f t="shared" si="3"/>
        <v>210</v>
      </c>
      <c r="I28" s="21">
        <f t="shared" si="3"/>
        <v>226</v>
      </c>
      <c r="J28" s="21">
        <f t="shared" si="3"/>
        <v>183</v>
      </c>
      <c r="K28" s="21">
        <f t="shared" si="3"/>
        <v>213</v>
      </c>
      <c r="L28" s="21">
        <f t="shared" si="3"/>
        <v>217</v>
      </c>
      <c r="M28" s="21">
        <f t="shared" si="3"/>
        <v>219</v>
      </c>
      <c r="N28" s="21">
        <f t="shared" si="3"/>
        <v>192</v>
      </c>
      <c r="O28" s="21">
        <f t="shared" si="3"/>
        <v>181</v>
      </c>
      <c r="P28" s="21">
        <f t="shared" si="3"/>
        <v>181</v>
      </c>
      <c r="Q28" s="21">
        <f t="shared" si="3"/>
        <v>206</v>
      </c>
      <c r="R28" s="21">
        <f t="shared" si="3"/>
        <v>233</v>
      </c>
      <c r="S28" s="21">
        <f t="shared" si="3"/>
        <v>221</v>
      </c>
      <c r="T28" s="21">
        <f t="shared" si="3"/>
        <v>199</v>
      </c>
      <c r="U28" s="21">
        <f t="shared" si="3"/>
        <v>207</v>
      </c>
      <c r="V28" s="21">
        <f t="shared" si="3"/>
        <v>189</v>
      </c>
      <c r="W28" s="21">
        <f t="shared" si="3"/>
        <v>201</v>
      </c>
      <c r="X28" s="21">
        <f t="shared" si="3"/>
        <v>198</v>
      </c>
      <c r="Y28" s="21">
        <f t="shared" si="3"/>
        <v>147</v>
      </c>
      <c r="Z28" s="21">
        <f t="shared" si="3"/>
        <v>209</v>
      </c>
      <c r="AA28" s="21">
        <f t="shared" si="3"/>
        <v>233</v>
      </c>
      <c r="AB28" s="21">
        <f t="shared" si="3"/>
        <v>257</v>
      </c>
      <c r="AC28" s="21">
        <f t="shared" si="3"/>
        <v>206</v>
      </c>
      <c r="AD28" s="21">
        <f t="shared" si="3"/>
        <v>194</v>
      </c>
      <c r="AE28" s="21">
        <f t="shared" si="3"/>
        <v>200</v>
      </c>
      <c r="AF28" s="21">
        <f t="shared" si="3"/>
        <v>141</v>
      </c>
      <c r="AG28" s="22">
        <f t="shared" si="2"/>
        <v>6254</v>
      </c>
    </row>
    <row r="29" spans="1:33" ht="15.75" customHeight="1" x14ac:dyDescent="0.25">
      <c r="A29" s="277" t="s">
        <v>15</v>
      </c>
      <c r="B29" s="278">
        <v>0</v>
      </c>
      <c r="C29" s="279">
        <v>1</v>
      </c>
      <c r="D29" s="279">
        <v>3</v>
      </c>
      <c r="E29" s="279">
        <v>9</v>
      </c>
      <c r="F29" s="279">
        <v>10</v>
      </c>
      <c r="G29" s="279">
        <v>2</v>
      </c>
      <c r="H29" s="279">
        <v>12</v>
      </c>
      <c r="I29" s="279">
        <v>19</v>
      </c>
      <c r="J29" s="279">
        <v>7</v>
      </c>
      <c r="K29" s="279">
        <v>8</v>
      </c>
      <c r="L29" s="279">
        <v>7</v>
      </c>
      <c r="M29" s="279">
        <v>5</v>
      </c>
      <c r="N29" s="279">
        <v>5</v>
      </c>
      <c r="O29" s="279">
        <v>8</v>
      </c>
      <c r="P29" s="279">
        <v>11</v>
      </c>
      <c r="Q29" s="279">
        <v>2</v>
      </c>
      <c r="R29" s="279">
        <v>6</v>
      </c>
      <c r="S29" s="279">
        <v>7</v>
      </c>
      <c r="T29" s="279">
        <v>10</v>
      </c>
      <c r="U29" s="279">
        <v>7</v>
      </c>
      <c r="V29" s="279">
        <v>2</v>
      </c>
      <c r="W29" s="279">
        <v>8</v>
      </c>
      <c r="X29" s="279">
        <v>10</v>
      </c>
      <c r="Y29" s="279">
        <v>4</v>
      </c>
      <c r="Z29" s="279">
        <v>10</v>
      </c>
      <c r="AA29" s="279">
        <v>9</v>
      </c>
      <c r="AB29" s="279">
        <v>6</v>
      </c>
      <c r="AC29" s="279">
        <v>9</v>
      </c>
      <c r="AD29" s="278">
        <v>2</v>
      </c>
      <c r="AE29" s="278">
        <v>7</v>
      </c>
      <c r="AF29" s="278">
        <v>8</v>
      </c>
      <c r="AG29" s="15">
        <f t="shared" si="2"/>
        <v>214</v>
      </c>
    </row>
    <row r="30" spans="1:33" ht="15.75" customHeight="1" x14ac:dyDescent="0.25">
      <c r="A30" s="280" t="s">
        <v>16</v>
      </c>
      <c r="B30" s="278">
        <v>14</v>
      </c>
      <c r="C30" s="278">
        <v>16</v>
      </c>
      <c r="D30" s="278">
        <v>7</v>
      </c>
      <c r="E30" s="278">
        <v>13</v>
      </c>
      <c r="F30" s="278">
        <v>13</v>
      </c>
      <c r="G30" s="278">
        <v>7</v>
      </c>
      <c r="H30" s="278">
        <v>13</v>
      </c>
      <c r="I30" s="278">
        <v>9</v>
      </c>
      <c r="J30" s="278">
        <v>9</v>
      </c>
      <c r="K30" s="278">
        <v>12</v>
      </c>
      <c r="L30" s="278">
        <v>12</v>
      </c>
      <c r="M30" s="278">
        <v>11</v>
      </c>
      <c r="N30" s="278">
        <v>13</v>
      </c>
      <c r="O30" s="278">
        <v>4</v>
      </c>
      <c r="P30" s="278">
        <v>5</v>
      </c>
      <c r="Q30" s="278">
        <v>6</v>
      </c>
      <c r="R30" s="278">
        <v>11</v>
      </c>
      <c r="S30" s="278">
        <v>6</v>
      </c>
      <c r="T30" s="278">
        <v>6</v>
      </c>
      <c r="U30" s="278">
        <v>9</v>
      </c>
      <c r="V30" s="278">
        <v>4</v>
      </c>
      <c r="W30" s="278">
        <v>10</v>
      </c>
      <c r="X30" s="278">
        <v>8</v>
      </c>
      <c r="Y30" s="278">
        <v>10</v>
      </c>
      <c r="Z30" s="278">
        <v>7</v>
      </c>
      <c r="AA30" s="278">
        <v>18</v>
      </c>
      <c r="AB30" s="278">
        <v>16</v>
      </c>
      <c r="AC30" s="278">
        <v>6</v>
      </c>
      <c r="AD30" s="278">
        <v>11</v>
      </c>
      <c r="AE30" s="278">
        <v>9</v>
      </c>
      <c r="AF30" s="278">
        <v>3</v>
      </c>
      <c r="AG30" s="15">
        <f t="shared" si="2"/>
        <v>298</v>
      </c>
    </row>
    <row r="31" spans="1:33" ht="15.75" customHeight="1" x14ac:dyDescent="0.25">
      <c r="A31" s="280" t="s">
        <v>17</v>
      </c>
      <c r="B31" s="278">
        <v>8</v>
      </c>
      <c r="C31" s="278">
        <v>11</v>
      </c>
      <c r="D31" s="278">
        <v>5</v>
      </c>
      <c r="E31" s="278">
        <v>15</v>
      </c>
      <c r="F31" s="278">
        <v>15</v>
      </c>
      <c r="G31" s="278">
        <v>9</v>
      </c>
      <c r="H31" s="278">
        <v>14</v>
      </c>
      <c r="I31" s="278">
        <v>10</v>
      </c>
      <c r="J31" s="278">
        <v>13</v>
      </c>
      <c r="K31" s="278">
        <v>9</v>
      </c>
      <c r="L31" s="278">
        <v>9</v>
      </c>
      <c r="M31" s="278">
        <v>11</v>
      </c>
      <c r="N31" s="278">
        <v>8</v>
      </c>
      <c r="O31" s="278">
        <v>5</v>
      </c>
      <c r="P31" s="278">
        <v>4</v>
      </c>
      <c r="Q31" s="278">
        <v>18</v>
      </c>
      <c r="R31" s="278">
        <v>23</v>
      </c>
      <c r="S31" s="278">
        <v>13</v>
      </c>
      <c r="T31" s="278">
        <v>11</v>
      </c>
      <c r="U31" s="278">
        <v>8</v>
      </c>
      <c r="V31" s="278">
        <v>6</v>
      </c>
      <c r="W31" s="278">
        <v>14</v>
      </c>
      <c r="X31" s="278">
        <v>12</v>
      </c>
      <c r="Y31" s="278">
        <v>15</v>
      </c>
      <c r="Z31" s="278">
        <v>11</v>
      </c>
      <c r="AA31" s="278">
        <v>9</v>
      </c>
      <c r="AB31" s="278">
        <v>13</v>
      </c>
      <c r="AC31" s="278">
        <v>10</v>
      </c>
      <c r="AD31" s="278">
        <v>11</v>
      </c>
      <c r="AE31" s="278">
        <v>16</v>
      </c>
      <c r="AF31" s="278">
        <v>9</v>
      </c>
      <c r="AG31" s="15">
        <f t="shared" si="2"/>
        <v>345</v>
      </c>
    </row>
    <row r="32" spans="1:33" ht="15.75" customHeight="1" x14ac:dyDescent="0.25">
      <c r="A32" s="280" t="s">
        <v>18</v>
      </c>
      <c r="B32" s="278">
        <v>11</v>
      </c>
      <c r="C32" s="278">
        <v>11</v>
      </c>
      <c r="D32" s="278">
        <v>7</v>
      </c>
      <c r="E32" s="278">
        <v>15</v>
      </c>
      <c r="F32" s="278">
        <v>6</v>
      </c>
      <c r="G32" s="278">
        <v>4</v>
      </c>
      <c r="H32" s="278">
        <v>12</v>
      </c>
      <c r="I32" s="278">
        <v>13</v>
      </c>
      <c r="J32" s="278">
        <v>13</v>
      </c>
      <c r="K32" s="278">
        <v>11</v>
      </c>
      <c r="L32" s="278">
        <v>7</v>
      </c>
      <c r="M32" s="278">
        <v>12</v>
      </c>
      <c r="N32" s="278">
        <v>13</v>
      </c>
      <c r="O32" s="278">
        <v>3</v>
      </c>
      <c r="P32" s="278">
        <v>16</v>
      </c>
      <c r="Q32" s="278">
        <v>16</v>
      </c>
      <c r="R32" s="278">
        <v>15</v>
      </c>
      <c r="S32" s="278">
        <v>14</v>
      </c>
      <c r="T32" s="278">
        <v>13</v>
      </c>
      <c r="U32" s="278">
        <v>11</v>
      </c>
      <c r="V32" s="278">
        <v>7</v>
      </c>
      <c r="W32" s="278">
        <v>6</v>
      </c>
      <c r="X32" s="278">
        <v>11</v>
      </c>
      <c r="Y32" s="278">
        <v>11</v>
      </c>
      <c r="Z32" s="278">
        <v>13</v>
      </c>
      <c r="AA32" s="278">
        <v>12</v>
      </c>
      <c r="AB32" s="278">
        <v>10</v>
      </c>
      <c r="AC32" s="278">
        <v>6</v>
      </c>
      <c r="AD32" s="278">
        <v>5</v>
      </c>
      <c r="AE32" s="278">
        <v>18</v>
      </c>
      <c r="AF32" s="278">
        <v>13</v>
      </c>
      <c r="AG32" s="15">
        <f t="shared" si="2"/>
        <v>335</v>
      </c>
    </row>
    <row r="33" spans="1:33" ht="15.75" customHeight="1" x14ac:dyDescent="0.25">
      <c r="A33" s="280" t="s">
        <v>19</v>
      </c>
      <c r="B33" s="278">
        <v>9</v>
      </c>
      <c r="C33" s="278">
        <v>15</v>
      </c>
      <c r="D33" s="278">
        <v>8</v>
      </c>
      <c r="E33" s="278">
        <v>4</v>
      </c>
      <c r="F33" s="278">
        <v>8</v>
      </c>
      <c r="G33" s="278">
        <v>7</v>
      </c>
      <c r="H33" s="278">
        <v>10</v>
      </c>
      <c r="I33" s="278">
        <v>21</v>
      </c>
      <c r="J33" s="278">
        <v>9</v>
      </c>
      <c r="K33" s="278">
        <v>12</v>
      </c>
      <c r="L33" s="278">
        <v>9</v>
      </c>
      <c r="M33" s="278">
        <v>8</v>
      </c>
      <c r="N33" s="278">
        <v>7</v>
      </c>
      <c r="O33" s="278">
        <v>6</v>
      </c>
      <c r="P33" s="278">
        <v>3</v>
      </c>
      <c r="Q33" s="278">
        <v>10</v>
      </c>
      <c r="R33" s="278">
        <v>10</v>
      </c>
      <c r="S33" s="278">
        <v>10</v>
      </c>
      <c r="T33" s="278">
        <v>8</v>
      </c>
      <c r="U33" s="278">
        <v>11</v>
      </c>
      <c r="V33" s="278">
        <v>5</v>
      </c>
      <c r="W33" s="278">
        <v>8</v>
      </c>
      <c r="X33" s="278">
        <v>7</v>
      </c>
      <c r="Y33" s="278">
        <v>12</v>
      </c>
      <c r="Z33" s="278">
        <v>11</v>
      </c>
      <c r="AA33" s="278">
        <v>6</v>
      </c>
      <c r="AB33" s="278">
        <v>13</v>
      </c>
      <c r="AC33" s="278">
        <v>7</v>
      </c>
      <c r="AD33" s="278">
        <v>6</v>
      </c>
      <c r="AE33" s="278">
        <v>12</v>
      </c>
      <c r="AF33" s="278">
        <v>14</v>
      </c>
      <c r="AG33" s="15">
        <f t="shared" si="2"/>
        <v>286</v>
      </c>
    </row>
    <row r="34" spans="1:33" ht="15.75" customHeight="1" x14ac:dyDescent="0.25">
      <c r="A34" s="280" t="s">
        <v>20</v>
      </c>
      <c r="B34" s="278">
        <v>11</v>
      </c>
      <c r="C34" s="278">
        <v>9</v>
      </c>
      <c r="D34" s="278">
        <v>6</v>
      </c>
      <c r="E34" s="278">
        <v>11</v>
      </c>
      <c r="F34" s="278">
        <v>10</v>
      </c>
      <c r="G34" s="278">
        <v>10</v>
      </c>
      <c r="H34" s="278">
        <v>6</v>
      </c>
      <c r="I34" s="278">
        <v>9</v>
      </c>
      <c r="J34" s="278">
        <v>15</v>
      </c>
      <c r="K34" s="278">
        <v>9</v>
      </c>
      <c r="L34" s="278">
        <v>13</v>
      </c>
      <c r="M34" s="278">
        <v>11</v>
      </c>
      <c r="N34" s="278">
        <v>11</v>
      </c>
      <c r="O34" s="278">
        <v>1</v>
      </c>
      <c r="P34" s="278">
        <v>12</v>
      </c>
      <c r="Q34" s="278">
        <v>5</v>
      </c>
      <c r="R34" s="278">
        <v>10</v>
      </c>
      <c r="S34" s="278">
        <v>8</v>
      </c>
      <c r="T34" s="278">
        <v>5</v>
      </c>
      <c r="U34" s="278">
        <v>13</v>
      </c>
      <c r="V34" s="278">
        <v>5</v>
      </c>
      <c r="W34" s="278">
        <v>13</v>
      </c>
      <c r="X34" s="278">
        <v>11</v>
      </c>
      <c r="Y34" s="278">
        <v>11</v>
      </c>
      <c r="Z34" s="278">
        <v>9</v>
      </c>
      <c r="AA34" s="278">
        <v>6</v>
      </c>
      <c r="AB34" s="278">
        <v>14</v>
      </c>
      <c r="AC34" s="278">
        <v>3</v>
      </c>
      <c r="AD34" s="278">
        <v>3</v>
      </c>
      <c r="AE34" s="278">
        <v>18</v>
      </c>
      <c r="AF34" s="278">
        <v>19</v>
      </c>
      <c r="AG34" s="15">
        <f t="shared" si="2"/>
        <v>297</v>
      </c>
    </row>
    <row r="35" spans="1:33" ht="15.75" customHeight="1" x14ac:dyDescent="0.25">
      <c r="A35" s="280" t="s">
        <v>21</v>
      </c>
      <c r="B35" s="278">
        <v>8</v>
      </c>
      <c r="C35" s="278">
        <v>11</v>
      </c>
      <c r="D35" s="278">
        <v>10</v>
      </c>
      <c r="E35" s="278">
        <v>8</v>
      </c>
      <c r="F35" s="278">
        <v>9</v>
      </c>
      <c r="G35" s="278">
        <v>11</v>
      </c>
      <c r="H35" s="278">
        <v>12</v>
      </c>
      <c r="I35" s="278">
        <v>9</v>
      </c>
      <c r="J35" s="278">
        <v>9</v>
      </c>
      <c r="K35" s="278">
        <v>8</v>
      </c>
      <c r="L35" s="278">
        <v>15</v>
      </c>
      <c r="M35" s="278">
        <v>10</v>
      </c>
      <c r="N35" s="278">
        <v>16</v>
      </c>
      <c r="O35" s="278">
        <v>5</v>
      </c>
      <c r="P35" s="278">
        <v>6</v>
      </c>
      <c r="Q35" s="278">
        <v>13</v>
      </c>
      <c r="R35" s="278">
        <v>8</v>
      </c>
      <c r="S35" s="278">
        <v>14</v>
      </c>
      <c r="T35" s="278">
        <v>13</v>
      </c>
      <c r="U35" s="278">
        <v>8</v>
      </c>
      <c r="V35" s="278">
        <v>8</v>
      </c>
      <c r="W35" s="278">
        <v>16</v>
      </c>
      <c r="X35" s="278">
        <v>6</v>
      </c>
      <c r="Y35" s="278">
        <v>6</v>
      </c>
      <c r="Z35" s="278">
        <v>11</v>
      </c>
      <c r="AA35" s="278">
        <v>9</v>
      </c>
      <c r="AB35" s="278">
        <v>12</v>
      </c>
      <c r="AC35" s="278">
        <v>10</v>
      </c>
      <c r="AD35" s="278">
        <v>8</v>
      </c>
      <c r="AE35" s="278">
        <v>8</v>
      </c>
      <c r="AF35" s="278">
        <v>5</v>
      </c>
      <c r="AG35" s="15">
        <f t="shared" si="2"/>
        <v>302</v>
      </c>
    </row>
    <row r="36" spans="1:33" ht="15.75" customHeight="1" x14ac:dyDescent="0.25">
      <c r="A36" s="280" t="s">
        <v>22</v>
      </c>
      <c r="B36" s="278">
        <v>5</v>
      </c>
      <c r="C36" s="278">
        <v>6</v>
      </c>
      <c r="D36" s="278">
        <v>7</v>
      </c>
      <c r="E36" s="278">
        <v>7</v>
      </c>
      <c r="F36" s="278">
        <v>11</v>
      </c>
      <c r="G36" s="278">
        <v>9</v>
      </c>
      <c r="H36" s="278">
        <v>5</v>
      </c>
      <c r="I36" s="278">
        <v>16</v>
      </c>
      <c r="J36" s="278">
        <v>16</v>
      </c>
      <c r="K36" s="278">
        <v>19</v>
      </c>
      <c r="L36" s="278">
        <v>5</v>
      </c>
      <c r="M36" s="278">
        <v>14</v>
      </c>
      <c r="N36" s="278">
        <v>13</v>
      </c>
      <c r="O36" s="278">
        <v>7</v>
      </c>
      <c r="P36" s="278">
        <v>11</v>
      </c>
      <c r="Q36" s="278">
        <v>12</v>
      </c>
      <c r="R36" s="278">
        <v>8</v>
      </c>
      <c r="S36" s="278">
        <v>13</v>
      </c>
      <c r="T36" s="278">
        <v>8</v>
      </c>
      <c r="U36" s="278">
        <v>11</v>
      </c>
      <c r="V36" s="278">
        <v>5</v>
      </c>
      <c r="W36" s="278">
        <v>11</v>
      </c>
      <c r="X36" s="278">
        <v>6</v>
      </c>
      <c r="Y36" s="278">
        <v>9</v>
      </c>
      <c r="Z36" s="278">
        <v>16</v>
      </c>
      <c r="AA36" s="278">
        <v>5</v>
      </c>
      <c r="AB36" s="278">
        <v>13</v>
      </c>
      <c r="AC36" s="278">
        <v>7</v>
      </c>
      <c r="AD36" s="278">
        <v>9</v>
      </c>
      <c r="AE36" s="278">
        <v>14</v>
      </c>
      <c r="AF36" s="278">
        <v>15</v>
      </c>
      <c r="AG36" s="15">
        <f t="shared" si="2"/>
        <v>313</v>
      </c>
    </row>
    <row r="37" spans="1:33" ht="15.75" customHeight="1" x14ac:dyDescent="0.25">
      <c r="A37" s="280" t="s">
        <v>23</v>
      </c>
      <c r="B37" s="278">
        <v>13</v>
      </c>
      <c r="C37" s="278">
        <v>7</v>
      </c>
      <c r="D37" s="278">
        <v>9</v>
      </c>
      <c r="E37" s="278">
        <v>7</v>
      </c>
      <c r="F37" s="278">
        <v>15</v>
      </c>
      <c r="G37" s="278">
        <v>9</v>
      </c>
      <c r="H37" s="278">
        <v>4</v>
      </c>
      <c r="I37" s="278">
        <v>20</v>
      </c>
      <c r="J37" s="278">
        <v>5</v>
      </c>
      <c r="K37" s="278">
        <v>10</v>
      </c>
      <c r="L37" s="278">
        <v>11</v>
      </c>
      <c r="M37" s="278">
        <v>9</v>
      </c>
      <c r="N37" s="278">
        <v>14</v>
      </c>
      <c r="O37" s="278">
        <v>8</v>
      </c>
      <c r="P37" s="278">
        <v>14</v>
      </c>
      <c r="Q37" s="278">
        <v>12</v>
      </c>
      <c r="R37" s="278">
        <v>14</v>
      </c>
      <c r="S37" s="278">
        <v>14</v>
      </c>
      <c r="T37" s="278">
        <v>11</v>
      </c>
      <c r="U37" s="278">
        <v>13</v>
      </c>
      <c r="V37" s="278">
        <v>11</v>
      </c>
      <c r="W37" s="278">
        <v>12</v>
      </c>
      <c r="X37" s="278">
        <v>7</v>
      </c>
      <c r="Y37" s="278">
        <v>6</v>
      </c>
      <c r="Z37" s="278">
        <v>2</v>
      </c>
      <c r="AA37" s="278">
        <v>14</v>
      </c>
      <c r="AB37" s="278">
        <v>15</v>
      </c>
      <c r="AC37" s="278">
        <v>5</v>
      </c>
      <c r="AD37" s="278">
        <v>7</v>
      </c>
      <c r="AE37" s="278">
        <v>11</v>
      </c>
      <c r="AF37" s="278">
        <v>5</v>
      </c>
      <c r="AG37" s="15">
        <f t="shared" si="2"/>
        <v>314</v>
      </c>
    </row>
    <row r="38" spans="1:33" ht="15.75" customHeight="1" x14ac:dyDescent="0.25">
      <c r="A38" s="280" t="s">
        <v>24</v>
      </c>
      <c r="B38" s="278">
        <v>11</v>
      </c>
      <c r="C38" s="278">
        <v>7</v>
      </c>
      <c r="D38" s="278">
        <v>13</v>
      </c>
      <c r="E38" s="278">
        <v>10</v>
      </c>
      <c r="F38" s="278">
        <v>7</v>
      </c>
      <c r="G38" s="278">
        <v>10</v>
      </c>
      <c r="H38" s="278">
        <v>7</v>
      </c>
      <c r="I38" s="278">
        <v>16</v>
      </c>
      <c r="J38" s="278">
        <v>8</v>
      </c>
      <c r="K38" s="278">
        <v>13</v>
      </c>
      <c r="L38" s="278">
        <v>15</v>
      </c>
      <c r="M38" s="278">
        <v>13</v>
      </c>
      <c r="N38" s="278">
        <v>10</v>
      </c>
      <c r="O38" s="278">
        <v>10</v>
      </c>
      <c r="P38" s="278">
        <v>13</v>
      </c>
      <c r="Q38" s="278">
        <v>9</v>
      </c>
      <c r="R38" s="278">
        <v>21</v>
      </c>
      <c r="S38" s="278">
        <v>12</v>
      </c>
      <c r="T38" s="278">
        <v>11</v>
      </c>
      <c r="U38" s="278">
        <v>14</v>
      </c>
      <c r="V38" s="278">
        <v>11</v>
      </c>
      <c r="W38" s="278">
        <v>9</v>
      </c>
      <c r="X38" s="278">
        <v>12</v>
      </c>
      <c r="Y38" s="278">
        <v>12</v>
      </c>
      <c r="Z38" s="278">
        <v>17</v>
      </c>
      <c r="AA38" s="278">
        <v>11</v>
      </c>
      <c r="AB38" s="278">
        <v>14</v>
      </c>
      <c r="AC38" s="278">
        <v>10</v>
      </c>
      <c r="AD38" s="278">
        <v>14</v>
      </c>
      <c r="AE38" s="278">
        <v>9</v>
      </c>
      <c r="AF38" s="278">
        <v>9</v>
      </c>
      <c r="AG38" s="15">
        <f t="shared" si="2"/>
        <v>358</v>
      </c>
    </row>
    <row r="39" spans="1:33" ht="15.75" customHeight="1" x14ac:dyDescent="0.25">
      <c r="A39" s="280" t="s">
        <v>25</v>
      </c>
      <c r="B39" s="278">
        <v>22</v>
      </c>
      <c r="C39" s="278">
        <v>11</v>
      </c>
      <c r="D39" s="278">
        <v>18</v>
      </c>
      <c r="E39" s="278">
        <v>15</v>
      </c>
      <c r="F39" s="278">
        <v>13</v>
      </c>
      <c r="G39" s="278">
        <v>16</v>
      </c>
      <c r="H39" s="278">
        <v>16</v>
      </c>
      <c r="I39" s="278">
        <v>12</v>
      </c>
      <c r="J39" s="278">
        <v>11</v>
      </c>
      <c r="K39" s="278">
        <v>20</v>
      </c>
      <c r="L39" s="278">
        <v>21</v>
      </c>
      <c r="M39" s="278">
        <v>17</v>
      </c>
      <c r="N39" s="278">
        <v>13</v>
      </c>
      <c r="O39" s="278">
        <v>21</v>
      </c>
      <c r="P39" s="278">
        <v>13</v>
      </c>
      <c r="Q39" s="278">
        <v>11</v>
      </c>
      <c r="R39" s="278">
        <v>16</v>
      </c>
      <c r="S39" s="278">
        <v>14</v>
      </c>
      <c r="T39" s="278">
        <v>22</v>
      </c>
      <c r="U39" s="278">
        <v>14</v>
      </c>
      <c r="V39" s="278">
        <v>10</v>
      </c>
      <c r="W39" s="278">
        <v>11</v>
      </c>
      <c r="X39" s="278">
        <v>11</v>
      </c>
      <c r="Y39" s="278">
        <v>4</v>
      </c>
      <c r="Z39" s="278">
        <v>20</v>
      </c>
      <c r="AA39" s="278">
        <v>14</v>
      </c>
      <c r="AB39" s="278">
        <v>7</v>
      </c>
      <c r="AC39" s="278">
        <v>15</v>
      </c>
      <c r="AD39" s="278">
        <v>18</v>
      </c>
      <c r="AE39" s="278">
        <v>9</v>
      </c>
      <c r="AF39" s="278">
        <v>8</v>
      </c>
      <c r="AG39" s="15">
        <f t="shared" si="2"/>
        <v>443</v>
      </c>
    </row>
    <row r="40" spans="1:33" ht="15.75" customHeight="1" x14ac:dyDescent="0.25">
      <c r="A40" s="280" t="s">
        <v>26</v>
      </c>
      <c r="B40" s="278">
        <v>12</v>
      </c>
      <c r="C40" s="278">
        <v>20</v>
      </c>
      <c r="D40" s="278">
        <v>16</v>
      </c>
      <c r="E40" s="278">
        <v>17</v>
      </c>
      <c r="F40" s="278">
        <v>24</v>
      </c>
      <c r="G40" s="278">
        <v>19</v>
      </c>
      <c r="H40" s="278">
        <v>17</v>
      </c>
      <c r="I40" s="278">
        <v>9</v>
      </c>
      <c r="J40" s="278">
        <v>10</v>
      </c>
      <c r="K40" s="278">
        <v>8</v>
      </c>
      <c r="L40" s="278">
        <v>14</v>
      </c>
      <c r="M40" s="278">
        <v>24</v>
      </c>
      <c r="N40" s="278">
        <v>16</v>
      </c>
      <c r="O40" s="278">
        <v>16</v>
      </c>
      <c r="P40" s="278">
        <v>14</v>
      </c>
      <c r="Q40" s="278">
        <v>11</v>
      </c>
      <c r="R40" s="278">
        <v>14</v>
      </c>
      <c r="S40" s="278">
        <v>15</v>
      </c>
      <c r="T40" s="278">
        <v>21</v>
      </c>
      <c r="U40" s="278">
        <v>16</v>
      </c>
      <c r="V40" s="278">
        <v>21</v>
      </c>
      <c r="W40" s="278">
        <v>13</v>
      </c>
      <c r="X40" s="278">
        <v>15</v>
      </c>
      <c r="Y40" s="278">
        <v>4</v>
      </c>
      <c r="Z40" s="278">
        <v>11</v>
      </c>
      <c r="AA40" s="278">
        <v>19</v>
      </c>
      <c r="AB40" s="278">
        <v>17</v>
      </c>
      <c r="AC40" s="278">
        <v>13</v>
      </c>
      <c r="AD40" s="278">
        <v>19</v>
      </c>
      <c r="AE40" s="278">
        <v>9</v>
      </c>
      <c r="AF40" s="278">
        <v>8</v>
      </c>
      <c r="AG40" s="15">
        <f t="shared" si="2"/>
        <v>462</v>
      </c>
    </row>
    <row r="41" spans="1:33" ht="15.75" customHeight="1" x14ac:dyDescent="0.25">
      <c r="A41" s="280" t="s">
        <v>27</v>
      </c>
      <c r="B41" s="278">
        <v>15</v>
      </c>
      <c r="C41" s="278">
        <v>16</v>
      </c>
      <c r="D41" s="278">
        <v>9</v>
      </c>
      <c r="E41" s="278">
        <v>11</v>
      </c>
      <c r="F41" s="278">
        <v>17</v>
      </c>
      <c r="G41" s="278">
        <v>12</v>
      </c>
      <c r="H41" s="278">
        <v>20</v>
      </c>
      <c r="I41" s="278">
        <v>6</v>
      </c>
      <c r="J41" s="278">
        <v>8</v>
      </c>
      <c r="K41" s="278">
        <v>13</v>
      </c>
      <c r="L41" s="278">
        <v>14</v>
      </c>
      <c r="M41" s="278">
        <v>17</v>
      </c>
      <c r="N41" s="278">
        <v>9</v>
      </c>
      <c r="O41" s="278">
        <v>20</v>
      </c>
      <c r="P41" s="278">
        <v>10</v>
      </c>
      <c r="Q41" s="278">
        <v>9</v>
      </c>
      <c r="R41" s="278">
        <v>14</v>
      </c>
      <c r="S41" s="278">
        <v>14</v>
      </c>
      <c r="T41" s="278">
        <v>13</v>
      </c>
      <c r="U41" s="278">
        <v>14</v>
      </c>
      <c r="V41" s="278">
        <v>11</v>
      </c>
      <c r="W41" s="278">
        <v>16</v>
      </c>
      <c r="X41" s="278">
        <v>7</v>
      </c>
      <c r="Y41" s="278">
        <v>11</v>
      </c>
      <c r="Z41" s="278">
        <v>16</v>
      </c>
      <c r="AA41" s="278">
        <v>12</v>
      </c>
      <c r="AB41" s="278">
        <v>18</v>
      </c>
      <c r="AC41" s="278">
        <v>19</v>
      </c>
      <c r="AD41" s="278">
        <v>21</v>
      </c>
      <c r="AE41" s="278">
        <v>9</v>
      </c>
      <c r="AF41" s="278">
        <v>2</v>
      </c>
      <c r="AG41" s="15">
        <f t="shared" si="2"/>
        <v>403</v>
      </c>
    </row>
    <row r="42" spans="1:33" ht="15.75" customHeight="1" x14ac:dyDescent="0.25">
      <c r="A42" s="280" t="s">
        <v>28</v>
      </c>
      <c r="B42" s="278">
        <v>11</v>
      </c>
      <c r="C42" s="278">
        <v>9</v>
      </c>
      <c r="D42" s="278">
        <v>12</v>
      </c>
      <c r="E42" s="278">
        <v>12</v>
      </c>
      <c r="F42" s="278">
        <v>18</v>
      </c>
      <c r="G42" s="278">
        <v>14</v>
      </c>
      <c r="H42" s="278">
        <v>15</v>
      </c>
      <c r="I42" s="278">
        <v>9</v>
      </c>
      <c r="J42" s="278">
        <v>8</v>
      </c>
      <c r="K42" s="278">
        <v>6</v>
      </c>
      <c r="L42" s="278">
        <v>14</v>
      </c>
      <c r="M42" s="278">
        <v>12</v>
      </c>
      <c r="N42" s="278">
        <v>9</v>
      </c>
      <c r="O42" s="278">
        <v>16</v>
      </c>
      <c r="P42" s="278">
        <v>16</v>
      </c>
      <c r="Q42" s="278">
        <v>7</v>
      </c>
      <c r="R42" s="278">
        <v>7</v>
      </c>
      <c r="S42" s="278">
        <v>13</v>
      </c>
      <c r="T42" s="278">
        <v>7</v>
      </c>
      <c r="U42" s="278">
        <v>16</v>
      </c>
      <c r="V42" s="278">
        <v>16</v>
      </c>
      <c r="W42" s="278">
        <v>8</v>
      </c>
      <c r="X42" s="278">
        <v>14</v>
      </c>
      <c r="Y42" s="278">
        <v>10</v>
      </c>
      <c r="Z42" s="278">
        <v>18</v>
      </c>
      <c r="AA42" s="278">
        <v>14</v>
      </c>
      <c r="AB42" s="278">
        <v>14</v>
      </c>
      <c r="AC42" s="278">
        <v>17</v>
      </c>
      <c r="AD42" s="278">
        <v>12</v>
      </c>
      <c r="AE42" s="278">
        <v>8</v>
      </c>
      <c r="AF42" s="278">
        <v>5</v>
      </c>
      <c r="AG42" s="15">
        <f t="shared" si="2"/>
        <v>367</v>
      </c>
    </row>
    <row r="43" spans="1:33" ht="15.75" customHeight="1" x14ac:dyDescent="0.25">
      <c r="A43" s="280" t="s">
        <v>29</v>
      </c>
      <c r="B43" s="278">
        <v>10</v>
      </c>
      <c r="C43" s="278">
        <v>8</v>
      </c>
      <c r="D43" s="278">
        <v>8</v>
      </c>
      <c r="E43" s="278">
        <v>14</v>
      </c>
      <c r="F43" s="278">
        <v>20</v>
      </c>
      <c r="G43" s="278">
        <v>16</v>
      </c>
      <c r="H43" s="278">
        <v>7</v>
      </c>
      <c r="I43" s="278">
        <v>7</v>
      </c>
      <c r="J43" s="278">
        <v>11</v>
      </c>
      <c r="K43" s="278">
        <v>14</v>
      </c>
      <c r="L43" s="278">
        <v>8</v>
      </c>
      <c r="M43" s="278">
        <v>11</v>
      </c>
      <c r="N43" s="278">
        <v>11</v>
      </c>
      <c r="O43" s="278">
        <v>14</v>
      </c>
      <c r="P43" s="278">
        <v>8</v>
      </c>
      <c r="Q43" s="278">
        <v>4</v>
      </c>
      <c r="R43" s="278">
        <v>7</v>
      </c>
      <c r="S43" s="278">
        <v>12</v>
      </c>
      <c r="T43" s="278">
        <v>10</v>
      </c>
      <c r="U43" s="278">
        <v>14</v>
      </c>
      <c r="V43" s="278">
        <v>17</v>
      </c>
      <c r="W43" s="278">
        <v>12</v>
      </c>
      <c r="X43" s="278">
        <v>6</v>
      </c>
      <c r="Y43" s="278">
        <v>2</v>
      </c>
      <c r="Z43" s="278">
        <v>10</v>
      </c>
      <c r="AA43" s="278">
        <v>15</v>
      </c>
      <c r="AB43" s="278">
        <v>18</v>
      </c>
      <c r="AC43" s="278">
        <v>13</v>
      </c>
      <c r="AD43" s="278">
        <v>14</v>
      </c>
      <c r="AE43" s="278">
        <v>9</v>
      </c>
      <c r="AF43" s="278">
        <v>1</v>
      </c>
      <c r="AG43" s="15">
        <f t="shared" si="2"/>
        <v>331</v>
      </c>
    </row>
    <row r="44" spans="1:33" ht="15.75" customHeight="1" x14ac:dyDescent="0.25">
      <c r="A44" s="280" t="s">
        <v>30</v>
      </c>
      <c r="B44" s="278">
        <v>4</v>
      </c>
      <c r="C44" s="278">
        <v>12</v>
      </c>
      <c r="D44" s="278">
        <v>9</v>
      </c>
      <c r="E44" s="278">
        <v>10</v>
      </c>
      <c r="F44" s="278">
        <v>9</v>
      </c>
      <c r="G44" s="278">
        <v>11</v>
      </c>
      <c r="H44" s="278">
        <v>10</v>
      </c>
      <c r="I44" s="278">
        <v>13</v>
      </c>
      <c r="J44" s="278">
        <v>11</v>
      </c>
      <c r="K44" s="278">
        <v>7</v>
      </c>
      <c r="L44" s="278">
        <v>6</v>
      </c>
      <c r="M44" s="278">
        <v>8</v>
      </c>
      <c r="N44" s="278">
        <v>7</v>
      </c>
      <c r="O44" s="278">
        <v>9</v>
      </c>
      <c r="P44" s="278">
        <v>7</v>
      </c>
      <c r="Q44" s="278">
        <v>11</v>
      </c>
      <c r="R44" s="278">
        <v>14</v>
      </c>
      <c r="S44" s="278">
        <v>14</v>
      </c>
      <c r="T44" s="278">
        <v>12</v>
      </c>
      <c r="U44" s="278">
        <v>9</v>
      </c>
      <c r="V44" s="278">
        <v>15</v>
      </c>
      <c r="W44" s="278">
        <v>8</v>
      </c>
      <c r="X44" s="278">
        <v>5</v>
      </c>
      <c r="Y44" s="278">
        <v>2</v>
      </c>
      <c r="Z44" s="278">
        <v>4</v>
      </c>
      <c r="AA44" s="278">
        <v>10</v>
      </c>
      <c r="AB44" s="278">
        <v>7</v>
      </c>
      <c r="AC44" s="278">
        <v>10</v>
      </c>
      <c r="AD44" s="278">
        <v>7</v>
      </c>
      <c r="AE44" s="278">
        <v>6</v>
      </c>
      <c r="AF44" s="278">
        <v>2</v>
      </c>
      <c r="AG44" s="15">
        <f t="shared" si="2"/>
        <v>269</v>
      </c>
    </row>
    <row r="45" spans="1:33" ht="15.75" customHeight="1" x14ac:dyDescent="0.25">
      <c r="A45" s="280" t="s">
        <v>31</v>
      </c>
      <c r="B45" s="278">
        <v>6</v>
      </c>
      <c r="C45" s="278">
        <v>12</v>
      </c>
      <c r="D45" s="278">
        <v>5</v>
      </c>
      <c r="E45" s="278">
        <v>13</v>
      </c>
      <c r="F45" s="278">
        <v>8</v>
      </c>
      <c r="G45" s="278">
        <v>9</v>
      </c>
      <c r="H45" s="278">
        <v>8</v>
      </c>
      <c r="I45" s="278">
        <v>4</v>
      </c>
      <c r="J45" s="278">
        <v>8</v>
      </c>
      <c r="K45" s="278">
        <v>7</v>
      </c>
      <c r="L45" s="278">
        <v>4</v>
      </c>
      <c r="M45" s="278">
        <v>6</v>
      </c>
      <c r="N45" s="278">
        <v>6</v>
      </c>
      <c r="O45" s="278">
        <v>7</v>
      </c>
      <c r="P45" s="278">
        <v>1</v>
      </c>
      <c r="Q45" s="278">
        <v>17</v>
      </c>
      <c r="R45" s="278">
        <v>6</v>
      </c>
      <c r="S45" s="278">
        <v>6</v>
      </c>
      <c r="T45" s="278">
        <v>0</v>
      </c>
      <c r="U45" s="278">
        <v>5</v>
      </c>
      <c r="V45" s="278">
        <v>7</v>
      </c>
      <c r="W45" s="278">
        <v>7</v>
      </c>
      <c r="X45" s="278">
        <v>13</v>
      </c>
      <c r="Y45" s="278">
        <v>1</v>
      </c>
      <c r="Z45" s="278">
        <v>5</v>
      </c>
      <c r="AA45" s="278">
        <v>14</v>
      </c>
      <c r="AB45" s="278">
        <v>13</v>
      </c>
      <c r="AC45" s="278">
        <v>7</v>
      </c>
      <c r="AD45" s="278">
        <v>8</v>
      </c>
      <c r="AE45" s="278">
        <v>4</v>
      </c>
      <c r="AF45" s="278">
        <v>1</v>
      </c>
      <c r="AG45" s="15">
        <f t="shared" si="2"/>
        <v>218</v>
      </c>
    </row>
    <row r="46" spans="1:33" ht="15.75" customHeight="1" x14ac:dyDescent="0.25">
      <c r="A46" s="280" t="s">
        <v>32</v>
      </c>
      <c r="B46" s="278">
        <v>4</v>
      </c>
      <c r="C46" s="278">
        <v>5</v>
      </c>
      <c r="D46" s="278">
        <v>3</v>
      </c>
      <c r="E46" s="278">
        <v>14</v>
      </c>
      <c r="F46" s="278">
        <v>7</v>
      </c>
      <c r="G46" s="278">
        <v>4</v>
      </c>
      <c r="H46" s="278">
        <v>6</v>
      </c>
      <c r="I46" s="278">
        <v>2</v>
      </c>
      <c r="J46" s="278">
        <v>3</v>
      </c>
      <c r="K46" s="278">
        <v>11</v>
      </c>
      <c r="L46" s="278">
        <v>12</v>
      </c>
      <c r="M46" s="278">
        <v>4</v>
      </c>
      <c r="N46" s="278">
        <v>3</v>
      </c>
      <c r="O46" s="278">
        <v>13</v>
      </c>
      <c r="P46" s="278">
        <v>2</v>
      </c>
      <c r="Q46" s="278">
        <v>5</v>
      </c>
      <c r="R46" s="278">
        <v>11</v>
      </c>
      <c r="S46" s="278">
        <v>2</v>
      </c>
      <c r="T46" s="278">
        <v>4</v>
      </c>
      <c r="U46" s="278">
        <v>4</v>
      </c>
      <c r="V46" s="278">
        <v>13</v>
      </c>
      <c r="W46" s="278">
        <v>5</v>
      </c>
      <c r="X46" s="278">
        <v>12</v>
      </c>
      <c r="Y46" s="278">
        <v>1</v>
      </c>
      <c r="Z46" s="278">
        <v>3</v>
      </c>
      <c r="AA46" s="278">
        <v>18</v>
      </c>
      <c r="AB46" s="278">
        <v>11</v>
      </c>
      <c r="AC46" s="278">
        <v>9</v>
      </c>
      <c r="AD46" s="278">
        <v>6</v>
      </c>
      <c r="AE46" s="278">
        <v>12</v>
      </c>
      <c r="AF46" s="278">
        <v>0</v>
      </c>
      <c r="AG46" s="15">
        <f t="shared" si="2"/>
        <v>209</v>
      </c>
    </row>
    <row r="47" spans="1:33" ht="15.75" customHeight="1" x14ac:dyDescent="0.25">
      <c r="A47" s="280" t="s">
        <v>33</v>
      </c>
      <c r="B47" s="278">
        <v>4</v>
      </c>
      <c r="C47" s="278">
        <v>4</v>
      </c>
      <c r="D47" s="278">
        <v>2</v>
      </c>
      <c r="E47" s="278">
        <v>3</v>
      </c>
      <c r="F47" s="278">
        <v>1</v>
      </c>
      <c r="G47" s="278">
        <v>6</v>
      </c>
      <c r="H47" s="278">
        <v>3</v>
      </c>
      <c r="I47" s="278">
        <v>6</v>
      </c>
      <c r="J47" s="278">
        <v>2</v>
      </c>
      <c r="K47" s="278">
        <v>3</v>
      </c>
      <c r="L47" s="278">
        <v>12</v>
      </c>
      <c r="M47" s="278">
        <v>1</v>
      </c>
      <c r="N47" s="278">
        <v>0</v>
      </c>
      <c r="O47" s="278">
        <v>0</v>
      </c>
      <c r="P47" s="278">
        <v>5</v>
      </c>
      <c r="Q47" s="278">
        <v>7</v>
      </c>
      <c r="R47" s="278">
        <v>4</v>
      </c>
      <c r="S47" s="278">
        <v>6</v>
      </c>
      <c r="T47" s="278">
        <v>5</v>
      </c>
      <c r="U47" s="278">
        <v>4</v>
      </c>
      <c r="V47" s="278">
        <v>2</v>
      </c>
      <c r="W47" s="278">
        <v>7</v>
      </c>
      <c r="X47" s="278">
        <v>8</v>
      </c>
      <c r="Y47" s="278">
        <v>1</v>
      </c>
      <c r="Z47" s="278">
        <v>3</v>
      </c>
      <c r="AA47" s="278">
        <v>5</v>
      </c>
      <c r="AB47" s="278">
        <v>12</v>
      </c>
      <c r="AC47" s="278">
        <v>14</v>
      </c>
      <c r="AD47" s="278">
        <v>1</v>
      </c>
      <c r="AE47" s="278">
        <v>3</v>
      </c>
      <c r="AF47" s="278">
        <v>3</v>
      </c>
      <c r="AG47" s="15">
        <f t="shared" si="2"/>
        <v>137</v>
      </c>
    </row>
    <row r="48" spans="1:33" ht="15.75" customHeight="1" x14ac:dyDescent="0.25">
      <c r="A48" s="280" t="s">
        <v>34</v>
      </c>
      <c r="B48" s="278">
        <v>0</v>
      </c>
      <c r="C48" s="278">
        <v>2</v>
      </c>
      <c r="D48" s="278">
        <v>1</v>
      </c>
      <c r="E48" s="278">
        <v>2</v>
      </c>
      <c r="F48" s="278">
        <v>1</v>
      </c>
      <c r="G48" s="278">
        <v>2</v>
      </c>
      <c r="H48" s="278">
        <v>2</v>
      </c>
      <c r="I48" s="278">
        <v>5</v>
      </c>
      <c r="J48" s="278">
        <v>5</v>
      </c>
      <c r="K48" s="278">
        <v>5</v>
      </c>
      <c r="L48" s="278">
        <v>5</v>
      </c>
      <c r="M48" s="278">
        <v>6</v>
      </c>
      <c r="N48" s="278">
        <v>0</v>
      </c>
      <c r="O48" s="278">
        <v>4</v>
      </c>
      <c r="P48" s="278">
        <v>0</v>
      </c>
      <c r="Q48" s="278">
        <v>2</v>
      </c>
      <c r="R48" s="278">
        <v>6</v>
      </c>
      <c r="S48" s="278">
        <v>6</v>
      </c>
      <c r="T48" s="278">
        <v>2</v>
      </c>
      <c r="U48" s="278">
        <v>1</v>
      </c>
      <c r="V48" s="278">
        <v>3</v>
      </c>
      <c r="W48" s="278">
        <v>1</v>
      </c>
      <c r="X48" s="278">
        <v>8</v>
      </c>
      <c r="Y48" s="278">
        <v>4</v>
      </c>
      <c r="Z48" s="278">
        <v>3</v>
      </c>
      <c r="AA48" s="278">
        <v>4</v>
      </c>
      <c r="AB48" s="278">
        <v>4</v>
      </c>
      <c r="AC48" s="278">
        <v>5</v>
      </c>
      <c r="AD48" s="278">
        <v>3</v>
      </c>
      <c r="AE48" s="278">
        <v>4</v>
      </c>
      <c r="AF48" s="278">
        <v>6</v>
      </c>
      <c r="AG48" s="15">
        <f t="shared" si="2"/>
        <v>102</v>
      </c>
    </row>
    <row r="49" spans="1:33" ht="15.75" customHeight="1" x14ac:dyDescent="0.25">
      <c r="A49" s="280" t="s">
        <v>35</v>
      </c>
      <c r="B49" s="278">
        <v>2</v>
      </c>
      <c r="C49" s="278">
        <v>0</v>
      </c>
      <c r="D49" s="278">
        <v>1</v>
      </c>
      <c r="E49" s="278">
        <v>4</v>
      </c>
      <c r="F49" s="278">
        <v>2</v>
      </c>
      <c r="G49" s="278">
        <v>2</v>
      </c>
      <c r="H49" s="278">
        <v>3</v>
      </c>
      <c r="I49" s="278">
        <v>2</v>
      </c>
      <c r="J49" s="278">
        <v>0</v>
      </c>
      <c r="K49" s="278">
        <v>2</v>
      </c>
      <c r="L49" s="278">
        <v>1</v>
      </c>
      <c r="M49" s="278">
        <v>6</v>
      </c>
      <c r="N49" s="278">
        <v>1</v>
      </c>
      <c r="O49" s="278">
        <v>0</v>
      </c>
      <c r="P49" s="278">
        <v>6</v>
      </c>
      <c r="Q49" s="278">
        <v>4</v>
      </c>
      <c r="R49" s="278">
        <v>4</v>
      </c>
      <c r="S49" s="278">
        <v>3</v>
      </c>
      <c r="T49" s="278">
        <v>2</v>
      </c>
      <c r="U49" s="278">
        <v>1</v>
      </c>
      <c r="V49" s="278">
        <v>3</v>
      </c>
      <c r="W49" s="278">
        <v>4</v>
      </c>
      <c r="X49" s="278">
        <v>2</v>
      </c>
      <c r="Y49" s="278">
        <v>3</v>
      </c>
      <c r="Z49" s="278">
        <v>4</v>
      </c>
      <c r="AA49" s="278">
        <v>4</v>
      </c>
      <c r="AB49" s="278">
        <v>2</v>
      </c>
      <c r="AC49" s="278">
        <v>3</v>
      </c>
      <c r="AD49" s="278">
        <v>4</v>
      </c>
      <c r="AE49" s="278">
        <v>0</v>
      </c>
      <c r="AF49" s="278">
        <v>2</v>
      </c>
      <c r="AG49" s="15">
        <f t="shared" si="2"/>
        <v>77</v>
      </c>
    </row>
    <row r="50" spans="1:33" ht="15.75" customHeight="1" x14ac:dyDescent="0.25">
      <c r="A50" s="280" t="s">
        <v>36</v>
      </c>
      <c r="B50" s="278">
        <v>3</v>
      </c>
      <c r="C50" s="278">
        <v>1</v>
      </c>
      <c r="D50" s="278">
        <v>1</v>
      </c>
      <c r="E50" s="278">
        <v>0</v>
      </c>
      <c r="F50" s="278">
        <v>1</v>
      </c>
      <c r="G50" s="278">
        <v>0</v>
      </c>
      <c r="H50" s="278">
        <v>3</v>
      </c>
      <c r="I50" s="278">
        <v>1</v>
      </c>
      <c r="J50" s="278">
        <v>0</v>
      </c>
      <c r="K50" s="278">
        <v>0</v>
      </c>
      <c r="L50" s="278">
        <v>2</v>
      </c>
      <c r="M50" s="278">
        <v>0</v>
      </c>
      <c r="N50" s="278">
        <v>0</v>
      </c>
      <c r="O50" s="278">
        <v>1</v>
      </c>
      <c r="P50" s="278">
        <v>1</v>
      </c>
      <c r="Q50" s="278">
        <v>1</v>
      </c>
      <c r="R50" s="278">
        <v>0</v>
      </c>
      <c r="S50" s="278">
        <v>2</v>
      </c>
      <c r="T50" s="278">
        <v>2</v>
      </c>
      <c r="U50" s="278">
        <v>1</v>
      </c>
      <c r="V50" s="278">
        <v>1</v>
      </c>
      <c r="W50" s="278">
        <v>1</v>
      </c>
      <c r="X50" s="278">
        <v>1</v>
      </c>
      <c r="Y50" s="278">
        <v>0</v>
      </c>
      <c r="Z50" s="278">
        <v>0</v>
      </c>
      <c r="AA50" s="278">
        <v>0</v>
      </c>
      <c r="AB50" s="278">
        <v>2</v>
      </c>
      <c r="AC50" s="278">
        <v>3</v>
      </c>
      <c r="AD50" s="278">
        <v>2</v>
      </c>
      <c r="AE50" s="278">
        <v>0</v>
      </c>
      <c r="AF50" s="278">
        <v>2</v>
      </c>
      <c r="AG50" s="15">
        <f t="shared" si="2"/>
        <v>32</v>
      </c>
    </row>
    <row r="51" spans="1:33" ht="15.75" customHeight="1" x14ac:dyDescent="0.25">
      <c r="A51" s="280" t="s">
        <v>37</v>
      </c>
      <c r="B51" s="278">
        <v>0</v>
      </c>
      <c r="C51" s="278">
        <v>8</v>
      </c>
      <c r="D51" s="278">
        <v>0</v>
      </c>
      <c r="E51" s="278">
        <v>0</v>
      </c>
      <c r="F51" s="278">
        <v>0</v>
      </c>
      <c r="G51" s="278">
        <v>6</v>
      </c>
      <c r="H51" s="278">
        <v>0</v>
      </c>
      <c r="I51" s="278">
        <v>4</v>
      </c>
      <c r="J51" s="278">
        <v>0</v>
      </c>
      <c r="K51" s="278">
        <v>4</v>
      </c>
      <c r="L51" s="278">
        <v>0</v>
      </c>
      <c r="M51" s="278">
        <v>1</v>
      </c>
      <c r="N51" s="278">
        <v>3</v>
      </c>
      <c r="O51" s="278">
        <v>0</v>
      </c>
      <c r="P51" s="278">
        <v>3</v>
      </c>
      <c r="Q51" s="278">
        <v>5</v>
      </c>
      <c r="R51" s="278">
        <v>3</v>
      </c>
      <c r="S51" s="278">
        <v>1</v>
      </c>
      <c r="T51" s="278">
        <v>0</v>
      </c>
      <c r="U51" s="278">
        <v>1</v>
      </c>
      <c r="V51" s="278">
        <v>2</v>
      </c>
      <c r="W51" s="278">
        <v>1</v>
      </c>
      <c r="X51" s="278">
        <v>1</v>
      </c>
      <c r="Y51" s="278">
        <v>0</v>
      </c>
      <c r="Z51" s="278">
        <v>0</v>
      </c>
      <c r="AA51" s="278">
        <v>2</v>
      </c>
      <c r="AB51" s="278">
        <v>1</v>
      </c>
      <c r="AC51" s="278">
        <v>2</v>
      </c>
      <c r="AD51" s="278">
        <v>3</v>
      </c>
      <c r="AE51" s="278">
        <v>2</v>
      </c>
      <c r="AF51" s="278">
        <v>0</v>
      </c>
      <c r="AG51" s="15">
        <f t="shared" si="2"/>
        <v>53</v>
      </c>
    </row>
    <row r="52" spans="1:33" ht="15.75" customHeight="1" thickBot="1" x14ac:dyDescent="0.3">
      <c r="A52" s="281" t="s">
        <v>38</v>
      </c>
      <c r="B52" s="282">
        <v>3</v>
      </c>
      <c r="C52" s="282">
        <v>0</v>
      </c>
      <c r="D52" s="282">
        <v>3</v>
      </c>
      <c r="E52" s="282">
        <v>3</v>
      </c>
      <c r="F52" s="282">
        <v>0</v>
      </c>
      <c r="G52" s="282">
        <v>3</v>
      </c>
      <c r="H52" s="282">
        <v>5</v>
      </c>
      <c r="I52" s="282">
        <v>4</v>
      </c>
      <c r="J52" s="282">
        <v>2</v>
      </c>
      <c r="K52" s="282">
        <v>2</v>
      </c>
      <c r="L52" s="282">
        <v>1</v>
      </c>
      <c r="M52" s="282">
        <v>2</v>
      </c>
      <c r="N52" s="282">
        <v>4</v>
      </c>
      <c r="O52" s="282">
        <v>3</v>
      </c>
      <c r="P52" s="282">
        <v>0</v>
      </c>
      <c r="Q52" s="282">
        <v>9</v>
      </c>
      <c r="R52" s="282">
        <v>1</v>
      </c>
      <c r="S52" s="282">
        <v>2</v>
      </c>
      <c r="T52" s="282">
        <v>3</v>
      </c>
      <c r="U52" s="282">
        <v>2</v>
      </c>
      <c r="V52" s="282">
        <v>4</v>
      </c>
      <c r="W52" s="282">
        <v>0</v>
      </c>
      <c r="X52" s="282">
        <v>5</v>
      </c>
      <c r="Y52" s="282">
        <v>8</v>
      </c>
      <c r="Z52" s="282">
        <v>5</v>
      </c>
      <c r="AA52" s="282">
        <v>3</v>
      </c>
      <c r="AB52" s="282">
        <v>5</v>
      </c>
      <c r="AC52" s="282">
        <v>3</v>
      </c>
      <c r="AD52" s="284">
        <v>0</v>
      </c>
      <c r="AE52" s="284">
        <v>3</v>
      </c>
      <c r="AF52" s="284">
        <v>1</v>
      </c>
      <c r="AG52" s="26">
        <f t="shared" si="2"/>
        <v>89</v>
      </c>
    </row>
    <row r="53" spans="1:33" ht="15.75" customHeight="1" thickBot="1" x14ac:dyDescent="0.3">
      <c r="A53" s="276" t="s">
        <v>40</v>
      </c>
      <c r="B53" s="6">
        <f t="shared" ref="B53:AF53" si="4">SUM(B54:B77)</f>
        <v>14</v>
      </c>
      <c r="C53" s="6">
        <f t="shared" si="4"/>
        <v>12</v>
      </c>
      <c r="D53" s="6">
        <f t="shared" si="4"/>
        <v>24</v>
      </c>
      <c r="E53" s="6">
        <f t="shared" si="4"/>
        <v>52</v>
      </c>
      <c r="F53" s="6">
        <f t="shared" si="4"/>
        <v>18</v>
      </c>
      <c r="G53" s="6">
        <f t="shared" si="4"/>
        <v>23</v>
      </c>
      <c r="H53" s="6">
        <f t="shared" si="4"/>
        <v>16</v>
      </c>
      <c r="I53" s="6">
        <f t="shared" si="4"/>
        <v>8</v>
      </c>
      <c r="J53" s="6">
        <f t="shared" si="4"/>
        <v>5</v>
      </c>
      <c r="K53" s="6">
        <f t="shared" si="4"/>
        <v>5</v>
      </c>
      <c r="L53" s="6">
        <f t="shared" si="4"/>
        <v>47</v>
      </c>
      <c r="M53" s="6">
        <f t="shared" si="4"/>
        <v>16</v>
      </c>
      <c r="N53" s="6">
        <f t="shared" si="4"/>
        <v>6</v>
      </c>
      <c r="O53" s="6">
        <f t="shared" si="4"/>
        <v>38</v>
      </c>
      <c r="P53" s="6">
        <f t="shared" si="4"/>
        <v>10</v>
      </c>
      <c r="Q53" s="6">
        <f t="shared" si="4"/>
        <v>18</v>
      </c>
      <c r="R53" s="6">
        <f t="shared" si="4"/>
        <v>23</v>
      </c>
      <c r="S53" s="6">
        <f t="shared" si="4"/>
        <v>10</v>
      </c>
      <c r="T53" s="6">
        <f t="shared" si="4"/>
        <v>3</v>
      </c>
      <c r="U53" s="6">
        <f t="shared" si="4"/>
        <v>3</v>
      </c>
      <c r="V53" s="6">
        <f t="shared" si="4"/>
        <v>25</v>
      </c>
      <c r="W53" s="6">
        <f t="shared" si="4"/>
        <v>17</v>
      </c>
      <c r="X53" s="6">
        <f t="shared" si="4"/>
        <v>19</v>
      </c>
      <c r="Y53" s="6">
        <f t="shared" si="4"/>
        <v>5</v>
      </c>
      <c r="Z53" s="6">
        <f t="shared" si="4"/>
        <v>9</v>
      </c>
      <c r="AA53" s="6">
        <f t="shared" si="4"/>
        <v>50</v>
      </c>
      <c r="AB53" s="6">
        <f t="shared" si="4"/>
        <v>22</v>
      </c>
      <c r="AC53" s="6">
        <f t="shared" si="4"/>
        <v>39</v>
      </c>
      <c r="AD53" s="6">
        <f t="shared" si="4"/>
        <v>41</v>
      </c>
      <c r="AE53" s="6">
        <f t="shared" si="4"/>
        <v>7</v>
      </c>
      <c r="AF53" s="6">
        <f t="shared" si="4"/>
        <v>5</v>
      </c>
      <c r="AG53" s="27">
        <f t="shared" si="2"/>
        <v>590</v>
      </c>
    </row>
    <row r="54" spans="1:33" ht="15.75" customHeight="1" x14ac:dyDescent="0.25">
      <c r="A54" s="280" t="s">
        <v>15</v>
      </c>
      <c r="B54" s="278">
        <v>0</v>
      </c>
      <c r="C54" s="279">
        <v>0</v>
      </c>
      <c r="D54" s="279">
        <v>0</v>
      </c>
      <c r="E54" s="279">
        <v>1</v>
      </c>
      <c r="F54" s="279">
        <v>0</v>
      </c>
      <c r="G54" s="279">
        <v>1</v>
      </c>
      <c r="H54" s="279">
        <v>2</v>
      </c>
      <c r="I54" s="279">
        <v>0</v>
      </c>
      <c r="J54" s="279">
        <v>1</v>
      </c>
      <c r="K54" s="279">
        <v>0</v>
      </c>
      <c r="L54" s="279">
        <v>0</v>
      </c>
      <c r="M54" s="279">
        <v>0</v>
      </c>
      <c r="N54" s="279">
        <v>0</v>
      </c>
      <c r="O54" s="279">
        <v>0</v>
      </c>
      <c r="P54" s="279">
        <v>2</v>
      </c>
      <c r="Q54" s="279">
        <v>0</v>
      </c>
      <c r="R54" s="279">
        <v>0</v>
      </c>
      <c r="S54" s="279">
        <v>0</v>
      </c>
      <c r="T54" s="279">
        <v>0</v>
      </c>
      <c r="U54" s="279">
        <v>0</v>
      </c>
      <c r="V54" s="279">
        <v>0</v>
      </c>
      <c r="W54" s="279">
        <v>0</v>
      </c>
      <c r="X54" s="279">
        <v>0</v>
      </c>
      <c r="Y54" s="279">
        <v>0</v>
      </c>
      <c r="Z54" s="279">
        <v>0</v>
      </c>
      <c r="AA54" s="279">
        <v>1</v>
      </c>
      <c r="AB54" s="279">
        <v>0</v>
      </c>
      <c r="AC54" s="279">
        <v>0</v>
      </c>
      <c r="AD54" s="279">
        <v>0</v>
      </c>
      <c r="AE54" s="279">
        <v>0</v>
      </c>
      <c r="AF54" s="279">
        <v>0</v>
      </c>
      <c r="AG54" s="11">
        <f t="shared" si="2"/>
        <v>8</v>
      </c>
    </row>
    <row r="55" spans="1:33" ht="15.75" customHeight="1" x14ac:dyDescent="0.25">
      <c r="A55" s="280" t="s">
        <v>16</v>
      </c>
      <c r="B55" s="278">
        <v>1</v>
      </c>
      <c r="C55" s="278">
        <v>0</v>
      </c>
      <c r="D55" s="278">
        <v>0</v>
      </c>
      <c r="E55" s="278">
        <v>0</v>
      </c>
      <c r="F55" s="278">
        <v>0</v>
      </c>
      <c r="G55" s="278">
        <v>0</v>
      </c>
      <c r="H55" s="278">
        <v>2</v>
      </c>
      <c r="I55" s="278">
        <v>0</v>
      </c>
      <c r="J55" s="278">
        <v>0</v>
      </c>
      <c r="K55" s="278">
        <v>1</v>
      </c>
      <c r="L55" s="278">
        <v>1</v>
      </c>
      <c r="M55" s="278">
        <v>1</v>
      </c>
      <c r="N55" s="278">
        <v>0</v>
      </c>
      <c r="O55" s="278">
        <v>0</v>
      </c>
      <c r="P55" s="278">
        <v>0</v>
      </c>
      <c r="Q55" s="278">
        <v>2</v>
      </c>
      <c r="R55" s="278">
        <v>0</v>
      </c>
      <c r="S55" s="278">
        <v>0</v>
      </c>
      <c r="T55" s="278">
        <v>0</v>
      </c>
      <c r="U55" s="278">
        <v>0</v>
      </c>
      <c r="V55" s="278">
        <v>0</v>
      </c>
      <c r="W55" s="278">
        <v>0</v>
      </c>
      <c r="X55" s="278">
        <v>0</v>
      </c>
      <c r="Y55" s="278">
        <v>0</v>
      </c>
      <c r="Z55" s="278">
        <v>0</v>
      </c>
      <c r="AA55" s="278">
        <v>0</v>
      </c>
      <c r="AB55" s="278">
        <v>0</v>
      </c>
      <c r="AC55" s="278">
        <v>0</v>
      </c>
      <c r="AD55" s="278">
        <v>1</v>
      </c>
      <c r="AE55" s="278">
        <v>0</v>
      </c>
      <c r="AF55" s="278">
        <v>0</v>
      </c>
      <c r="AG55" s="15">
        <f t="shared" si="2"/>
        <v>9</v>
      </c>
    </row>
    <row r="56" spans="1:33" ht="15.75" customHeight="1" x14ac:dyDescent="0.25">
      <c r="A56" s="280" t="s">
        <v>17</v>
      </c>
      <c r="B56" s="278">
        <v>0</v>
      </c>
      <c r="C56" s="278">
        <v>0</v>
      </c>
      <c r="D56" s="278">
        <v>0</v>
      </c>
      <c r="E56" s="278">
        <v>0</v>
      </c>
      <c r="F56" s="278">
        <v>0</v>
      </c>
      <c r="G56" s="278">
        <v>3</v>
      </c>
      <c r="H56" s="278">
        <v>2</v>
      </c>
      <c r="I56" s="278">
        <v>0</v>
      </c>
      <c r="J56" s="278">
        <v>1</v>
      </c>
      <c r="K56" s="278">
        <v>1</v>
      </c>
      <c r="L56" s="278">
        <v>0</v>
      </c>
      <c r="M56" s="278">
        <v>0</v>
      </c>
      <c r="N56" s="278">
        <v>0</v>
      </c>
      <c r="O56" s="278">
        <v>0</v>
      </c>
      <c r="P56" s="278">
        <v>0</v>
      </c>
      <c r="Q56" s="278">
        <v>0</v>
      </c>
      <c r="R56" s="278">
        <v>0</v>
      </c>
      <c r="S56" s="278">
        <v>0</v>
      </c>
      <c r="T56" s="278">
        <v>0</v>
      </c>
      <c r="U56" s="278">
        <v>0</v>
      </c>
      <c r="V56" s="278">
        <v>0</v>
      </c>
      <c r="W56" s="278">
        <v>2</v>
      </c>
      <c r="X56" s="278">
        <v>1</v>
      </c>
      <c r="Y56" s="278">
        <v>0</v>
      </c>
      <c r="Z56" s="278">
        <v>0</v>
      </c>
      <c r="AA56" s="278">
        <v>0</v>
      </c>
      <c r="AB56" s="278">
        <v>0</v>
      </c>
      <c r="AC56" s="278">
        <v>0</v>
      </c>
      <c r="AD56" s="278">
        <v>1</v>
      </c>
      <c r="AE56" s="278">
        <v>0</v>
      </c>
      <c r="AF56" s="278">
        <v>0</v>
      </c>
      <c r="AG56" s="15">
        <f t="shared" si="2"/>
        <v>11</v>
      </c>
    </row>
    <row r="57" spans="1:33" ht="15.75" customHeight="1" x14ac:dyDescent="0.25">
      <c r="A57" s="280" t="s">
        <v>18</v>
      </c>
      <c r="B57" s="278">
        <v>0</v>
      </c>
      <c r="C57" s="278">
        <v>0</v>
      </c>
      <c r="D57" s="278">
        <v>2</v>
      </c>
      <c r="E57" s="278">
        <v>0</v>
      </c>
      <c r="F57" s="278">
        <v>0</v>
      </c>
      <c r="G57" s="278">
        <v>0</v>
      </c>
      <c r="H57" s="278">
        <v>1</v>
      </c>
      <c r="I57" s="278">
        <v>1</v>
      </c>
      <c r="J57" s="278">
        <v>0</v>
      </c>
      <c r="K57" s="278">
        <v>0</v>
      </c>
      <c r="L57" s="278">
        <v>2</v>
      </c>
      <c r="M57" s="278">
        <v>0</v>
      </c>
      <c r="N57" s="278">
        <v>0</v>
      </c>
      <c r="O57" s="278">
        <v>0</v>
      </c>
      <c r="P57" s="278">
        <v>2</v>
      </c>
      <c r="Q57" s="278">
        <v>1</v>
      </c>
      <c r="R57" s="278">
        <v>0</v>
      </c>
      <c r="S57" s="278">
        <v>1</v>
      </c>
      <c r="T57" s="278">
        <v>1</v>
      </c>
      <c r="U57" s="278">
        <v>0</v>
      </c>
      <c r="V57" s="278">
        <v>0</v>
      </c>
      <c r="W57" s="278">
        <v>2</v>
      </c>
      <c r="X57" s="278">
        <v>0</v>
      </c>
      <c r="Y57" s="278">
        <v>0</v>
      </c>
      <c r="Z57" s="278">
        <v>0</v>
      </c>
      <c r="AA57" s="278">
        <v>1</v>
      </c>
      <c r="AB57" s="278">
        <v>2</v>
      </c>
      <c r="AC57" s="278">
        <v>0</v>
      </c>
      <c r="AD57" s="278">
        <v>1</v>
      </c>
      <c r="AE57" s="278">
        <v>0</v>
      </c>
      <c r="AF57" s="278">
        <v>0</v>
      </c>
      <c r="AG57" s="15">
        <f t="shared" si="2"/>
        <v>17</v>
      </c>
    </row>
    <row r="58" spans="1:33" ht="15.75" customHeight="1" x14ac:dyDescent="0.25">
      <c r="A58" s="280" t="s">
        <v>19</v>
      </c>
      <c r="B58" s="278">
        <v>0</v>
      </c>
      <c r="C58" s="278">
        <v>0</v>
      </c>
      <c r="D58" s="278">
        <v>0</v>
      </c>
      <c r="E58" s="278">
        <v>2</v>
      </c>
      <c r="F58" s="278">
        <v>1</v>
      </c>
      <c r="G58" s="278">
        <v>1</v>
      </c>
      <c r="H58" s="278">
        <v>1</v>
      </c>
      <c r="I58" s="278">
        <v>0</v>
      </c>
      <c r="J58" s="278">
        <v>0</v>
      </c>
      <c r="K58" s="278">
        <v>0</v>
      </c>
      <c r="L58" s="278">
        <v>2</v>
      </c>
      <c r="M58" s="278">
        <v>2</v>
      </c>
      <c r="N58" s="278">
        <v>1</v>
      </c>
      <c r="O58" s="278">
        <v>1</v>
      </c>
      <c r="P58" s="278">
        <v>0</v>
      </c>
      <c r="Q58" s="278">
        <v>0</v>
      </c>
      <c r="R58" s="278">
        <v>0</v>
      </c>
      <c r="S58" s="278">
        <v>0</v>
      </c>
      <c r="T58" s="278">
        <v>0</v>
      </c>
      <c r="U58" s="278">
        <v>1</v>
      </c>
      <c r="V58" s="278">
        <v>0</v>
      </c>
      <c r="W58" s="278">
        <v>1</v>
      </c>
      <c r="X58" s="278">
        <v>0</v>
      </c>
      <c r="Y58" s="278">
        <v>1</v>
      </c>
      <c r="Z58" s="278">
        <v>0</v>
      </c>
      <c r="AA58" s="278">
        <v>1</v>
      </c>
      <c r="AB58" s="278">
        <v>0</v>
      </c>
      <c r="AC58" s="278">
        <v>0</v>
      </c>
      <c r="AD58" s="278">
        <v>0</v>
      </c>
      <c r="AE58" s="278">
        <v>0</v>
      </c>
      <c r="AF58" s="278">
        <v>0</v>
      </c>
      <c r="AG58" s="15">
        <f t="shared" si="2"/>
        <v>15</v>
      </c>
    </row>
    <row r="59" spans="1:33" ht="15.75" customHeight="1" x14ac:dyDescent="0.25">
      <c r="A59" s="280" t="s">
        <v>20</v>
      </c>
      <c r="B59" s="278">
        <v>1</v>
      </c>
      <c r="C59" s="278">
        <v>0</v>
      </c>
      <c r="D59" s="278">
        <v>4</v>
      </c>
      <c r="E59" s="278">
        <v>2</v>
      </c>
      <c r="F59" s="278">
        <v>0</v>
      </c>
      <c r="G59" s="278">
        <v>3</v>
      </c>
      <c r="H59" s="278">
        <v>0</v>
      </c>
      <c r="I59" s="278">
        <v>0</v>
      </c>
      <c r="J59" s="278">
        <v>1</v>
      </c>
      <c r="K59" s="278">
        <v>0</v>
      </c>
      <c r="L59" s="278">
        <v>6</v>
      </c>
      <c r="M59" s="278">
        <v>1</v>
      </c>
      <c r="N59" s="278">
        <v>1</v>
      </c>
      <c r="O59" s="278">
        <v>0</v>
      </c>
      <c r="P59" s="278">
        <v>0</v>
      </c>
      <c r="Q59" s="278">
        <v>1</v>
      </c>
      <c r="R59" s="278">
        <v>1</v>
      </c>
      <c r="S59" s="278">
        <v>0</v>
      </c>
      <c r="T59" s="278">
        <v>1</v>
      </c>
      <c r="U59" s="278">
        <v>0</v>
      </c>
      <c r="V59" s="278">
        <v>0</v>
      </c>
      <c r="W59" s="278">
        <v>1</v>
      </c>
      <c r="X59" s="278">
        <v>0</v>
      </c>
      <c r="Y59" s="278">
        <v>0</v>
      </c>
      <c r="Z59" s="278">
        <v>0</v>
      </c>
      <c r="AA59" s="278">
        <v>3</v>
      </c>
      <c r="AB59" s="278">
        <v>0</v>
      </c>
      <c r="AC59" s="278">
        <v>0</v>
      </c>
      <c r="AD59" s="278">
        <v>2</v>
      </c>
      <c r="AE59" s="278">
        <v>0</v>
      </c>
      <c r="AF59" s="278">
        <v>0</v>
      </c>
      <c r="AG59" s="15">
        <f t="shared" si="2"/>
        <v>28</v>
      </c>
    </row>
    <row r="60" spans="1:33" ht="15.75" customHeight="1" x14ac:dyDescent="0.25">
      <c r="A60" s="280" t="s">
        <v>21</v>
      </c>
      <c r="B60" s="278">
        <v>0</v>
      </c>
      <c r="C60" s="278">
        <v>0</v>
      </c>
      <c r="D60" s="278">
        <v>1</v>
      </c>
      <c r="E60" s="278">
        <v>0</v>
      </c>
      <c r="F60" s="278">
        <v>1</v>
      </c>
      <c r="G60" s="278">
        <v>1</v>
      </c>
      <c r="H60" s="278">
        <v>1</v>
      </c>
      <c r="I60" s="278">
        <v>1</v>
      </c>
      <c r="J60" s="278">
        <v>0</v>
      </c>
      <c r="K60" s="278">
        <v>0</v>
      </c>
      <c r="L60" s="278">
        <v>4</v>
      </c>
      <c r="M60" s="278">
        <v>1</v>
      </c>
      <c r="N60" s="278">
        <v>0</v>
      </c>
      <c r="O60" s="278">
        <v>1</v>
      </c>
      <c r="P60" s="278">
        <v>0</v>
      </c>
      <c r="Q60" s="278">
        <v>0</v>
      </c>
      <c r="R60" s="278">
        <v>0</v>
      </c>
      <c r="S60" s="278">
        <v>0</v>
      </c>
      <c r="T60" s="278">
        <v>0</v>
      </c>
      <c r="U60" s="278">
        <v>0</v>
      </c>
      <c r="V60" s="278">
        <v>2</v>
      </c>
      <c r="W60" s="278">
        <v>2</v>
      </c>
      <c r="X60" s="278">
        <v>0</v>
      </c>
      <c r="Y60" s="278">
        <v>0</v>
      </c>
      <c r="Z60" s="278">
        <v>0</v>
      </c>
      <c r="AA60" s="278">
        <v>1</v>
      </c>
      <c r="AB60" s="278">
        <v>3</v>
      </c>
      <c r="AC60" s="278">
        <v>0</v>
      </c>
      <c r="AD60" s="278">
        <v>7</v>
      </c>
      <c r="AE60" s="278">
        <v>0</v>
      </c>
      <c r="AF60" s="278">
        <v>1</v>
      </c>
      <c r="AG60" s="15">
        <f t="shared" si="2"/>
        <v>27</v>
      </c>
    </row>
    <row r="61" spans="1:33" ht="15.75" customHeight="1" x14ac:dyDescent="0.25">
      <c r="A61" s="280" t="s">
        <v>22</v>
      </c>
      <c r="B61" s="278">
        <v>0</v>
      </c>
      <c r="C61" s="278">
        <v>5</v>
      </c>
      <c r="D61" s="278">
        <v>4</v>
      </c>
      <c r="E61" s="278">
        <v>4</v>
      </c>
      <c r="F61" s="278">
        <v>0</v>
      </c>
      <c r="G61" s="278">
        <v>2</v>
      </c>
      <c r="H61" s="278">
        <v>0</v>
      </c>
      <c r="I61" s="278">
        <v>1</v>
      </c>
      <c r="J61" s="278">
        <v>0</v>
      </c>
      <c r="K61" s="278">
        <v>0</v>
      </c>
      <c r="L61" s="278">
        <v>1</v>
      </c>
      <c r="M61" s="278">
        <v>1</v>
      </c>
      <c r="N61" s="278">
        <v>1</v>
      </c>
      <c r="O61" s="278">
        <v>2</v>
      </c>
      <c r="P61" s="278">
        <v>2</v>
      </c>
      <c r="Q61" s="278">
        <v>0</v>
      </c>
      <c r="R61" s="278">
        <v>2</v>
      </c>
      <c r="S61" s="278">
        <v>0</v>
      </c>
      <c r="T61" s="278">
        <v>0</v>
      </c>
      <c r="U61" s="278">
        <v>0</v>
      </c>
      <c r="V61" s="278">
        <v>1</v>
      </c>
      <c r="W61" s="278">
        <v>0</v>
      </c>
      <c r="X61" s="278">
        <v>0</v>
      </c>
      <c r="Y61" s="278">
        <v>0</v>
      </c>
      <c r="Z61" s="278">
        <v>1</v>
      </c>
      <c r="AA61" s="278">
        <v>2</v>
      </c>
      <c r="AB61" s="278">
        <v>2</v>
      </c>
      <c r="AC61" s="278">
        <v>1</v>
      </c>
      <c r="AD61" s="278">
        <v>4</v>
      </c>
      <c r="AE61" s="278">
        <v>0</v>
      </c>
      <c r="AF61" s="278">
        <v>1</v>
      </c>
      <c r="AG61" s="15">
        <f t="shared" si="2"/>
        <v>37</v>
      </c>
    </row>
    <row r="62" spans="1:33" ht="15.75" customHeight="1" x14ac:dyDescent="0.25">
      <c r="A62" s="280" t="s">
        <v>23</v>
      </c>
      <c r="B62" s="278">
        <v>1</v>
      </c>
      <c r="C62" s="278">
        <v>1</v>
      </c>
      <c r="D62" s="278">
        <v>6</v>
      </c>
      <c r="E62" s="278">
        <v>1</v>
      </c>
      <c r="F62" s="278">
        <v>4</v>
      </c>
      <c r="G62" s="278">
        <v>1</v>
      </c>
      <c r="H62" s="278">
        <v>2</v>
      </c>
      <c r="I62" s="278">
        <v>1</v>
      </c>
      <c r="J62" s="278">
        <v>2</v>
      </c>
      <c r="K62" s="278">
        <v>0</v>
      </c>
      <c r="L62" s="278">
        <v>6</v>
      </c>
      <c r="M62" s="278">
        <v>2</v>
      </c>
      <c r="N62" s="278">
        <v>0</v>
      </c>
      <c r="O62" s="278">
        <v>3</v>
      </c>
      <c r="P62" s="278">
        <v>1</v>
      </c>
      <c r="Q62" s="278">
        <v>1</v>
      </c>
      <c r="R62" s="278">
        <v>6</v>
      </c>
      <c r="S62" s="278">
        <v>0</v>
      </c>
      <c r="T62" s="278">
        <v>0</v>
      </c>
      <c r="U62" s="278">
        <v>0</v>
      </c>
      <c r="V62" s="278">
        <v>0</v>
      </c>
      <c r="W62" s="278">
        <v>0</v>
      </c>
      <c r="X62" s="278">
        <v>1</v>
      </c>
      <c r="Y62" s="278">
        <v>1</v>
      </c>
      <c r="Z62" s="278">
        <v>1</v>
      </c>
      <c r="AA62" s="278">
        <v>4</v>
      </c>
      <c r="AB62" s="278">
        <v>0</v>
      </c>
      <c r="AC62" s="278">
        <v>2</v>
      </c>
      <c r="AD62" s="278">
        <v>1</v>
      </c>
      <c r="AE62" s="278">
        <v>0</v>
      </c>
      <c r="AF62" s="278">
        <v>0</v>
      </c>
      <c r="AG62" s="15">
        <f t="shared" si="2"/>
        <v>48</v>
      </c>
    </row>
    <row r="63" spans="1:33" ht="15.75" customHeight="1" x14ac:dyDescent="0.25">
      <c r="A63" s="280" t="s">
        <v>24</v>
      </c>
      <c r="B63" s="278">
        <v>0</v>
      </c>
      <c r="C63" s="278">
        <v>0</v>
      </c>
      <c r="D63" s="278">
        <v>2</v>
      </c>
      <c r="E63" s="278">
        <v>3</v>
      </c>
      <c r="F63" s="278">
        <v>1</v>
      </c>
      <c r="G63" s="278">
        <v>2</v>
      </c>
      <c r="H63" s="278">
        <v>1</v>
      </c>
      <c r="I63" s="278">
        <v>0</v>
      </c>
      <c r="J63" s="278">
        <v>0</v>
      </c>
      <c r="K63" s="278">
        <v>1</v>
      </c>
      <c r="L63" s="278">
        <v>1</v>
      </c>
      <c r="M63" s="278">
        <v>2</v>
      </c>
      <c r="N63" s="278">
        <v>1</v>
      </c>
      <c r="O63" s="278">
        <v>3</v>
      </c>
      <c r="P63" s="278">
        <v>0</v>
      </c>
      <c r="Q63" s="278">
        <v>1</v>
      </c>
      <c r="R63" s="278">
        <v>3</v>
      </c>
      <c r="S63" s="278">
        <v>0</v>
      </c>
      <c r="T63" s="278">
        <v>0</v>
      </c>
      <c r="U63" s="278">
        <v>1</v>
      </c>
      <c r="V63" s="278">
        <v>1</v>
      </c>
      <c r="W63" s="278">
        <v>1</v>
      </c>
      <c r="X63" s="278">
        <v>0</v>
      </c>
      <c r="Y63" s="278">
        <v>0</v>
      </c>
      <c r="Z63" s="278">
        <v>1</v>
      </c>
      <c r="AA63" s="278">
        <v>5</v>
      </c>
      <c r="AB63" s="278">
        <v>0</v>
      </c>
      <c r="AC63" s="278">
        <v>3</v>
      </c>
      <c r="AD63" s="278">
        <v>11</v>
      </c>
      <c r="AE63" s="278">
        <v>0</v>
      </c>
      <c r="AF63" s="278">
        <v>0</v>
      </c>
      <c r="AG63" s="15">
        <f t="shared" si="2"/>
        <v>44</v>
      </c>
    </row>
    <row r="64" spans="1:33" ht="15.75" customHeight="1" x14ac:dyDescent="0.25">
      <c r="A64" s="280" t="s">
        <v>25</v>
      </c>
      <c r="B64" s="278">
        <v>6</v>
      </c>
      <c r="C64" s="278">
        <v>2</v>
      </c>
      <c r="D64" s="278">
        <v>0</v>
      </c>
      <c r="E64" s="278">
        <v>11</v>
      </c>
      <c r="F64" s="278">
        <v>2</v>
      </c>
      <c r="G64" s="278">
        <v>6</v>
      </c>
      <c r="H64" s="278">
        <v>1</v>
      </c>
      <c r="I64" s="278">
        <v>0</v>
      </c>
      <c r="J64" s="278">
        <v>0</v>
      </c>
      <c r="K64" s="278">
        <v>0</v>
      </c>
      <c r="L64" s="278">
        <v>3</v>
      </c>
      <c r="M64" s="278">
        <v>0</v>
      </c>
      <c r="N64" s="278">
        <v>0</v>
      </c>
      <c r="O64" s="278">
        <v>15</v>
      </c>
      <c r="P64" s="278">
        <v>0</v>
      </c>
      <c r="Q64" s="278">
        <v>0</v>
      </c>
      <c r="R64" s="278">
        <v>0</v>
      </c>
      <c r="S64" s="278">
        <v>1</v>
      </c>
      <c r="T64" s="278">
        <v>0</v>
      </c>
      <c r="U64" s="278">
        <v>0</v>
      </c>
      <c r="V64" s="278">
        <v>0</v>
      </c>
      <c r="W64" s="278">
        <v>0</v>
      </c>
      <c r="X64" s="278">
        <v>0</v>
      </c>
      <c r="Y64" s="278">
        <v>0</v>
      </c>
      <c r="Z64" s="278">
        <v>3</v>
      </c>
      <c r="AA64" s="278">
        <v>0</v>
      </c>
      <c r="AB64" s="278">
        <v>1</v>
      </c>
      <c r="AC64" s="278">
        <v>16</v>
      </c>
      <c r="AD64" s="278">
        <v>2</v>
      </c>
      <c r="AE64" s="278">
        <v>0</v>
      </c>
      <c r="AF64" s="278">
        <v>0</v>
      </c>
      <c r="AG64" s="15">
        <f t="shared" si="2"/>
        <v>69</v>
      </c>
    </row>
    <row r="65" spans="1:33" ht="15.75" customHeight="1" x14ac:dyDescent="0.25">
      <c r="A65" s="280" t="s">
        <v>26</v>
      </c>
      <c r="B65" s="278">
        <v>3</v>
      </c>
      <c r="C65" s="278">
        <v>1</v>
      </c>
      <c r="D65" s="278">
        <v>3</v>
      </c>
      <c r="E65" s="278">
        <v>8</v>
      </c>
      <c r="F65" s="278">
        <v>4</v>
      </c>
      <c r="G65" s="278">
        <v>2</v>
      </c>
      <c r="H65" s="278">
        <v>1</v>
      </c>
      <c r="I65" s="278">
        <v>1</v>
      </c>
      <c r="J65" s="278">
        <v>0</v>
      </c>
      <c r="K65" s="278">
        <v>0</v>
      </c>
      <c r="L65" s="278">
        <v>2</v>
      </c>
      <c r="M65" s="278">
        <v>0</v>
      </c>
      <c r="N65" s="278">
        <v>0</v>
      </c>
      <c r="O65" s="278">
        <v>8</v>
      </c>
      <c r="P65" s="278">
        <v>2</v>
      </c>
      <c r="Q65" s="278">
        <v>0</v>
      </c>
      <c r="R65" s="278">
        <v>4</v>
      </c>
      <c r="S65" s="278">
        <v>0</v>
      </c>
      <c r="T65" s="278">
        <v>0</v>
      </c>
      <c r="U65" s="278">
        <v>0</v>
      </c>
      <c r="V65" s="278">
        <v>10</v>
      </c>
      <c r="W65" s="278">
        <v>0</v>
      </c>
      <c r="X65" s="278">
        <v>0</v>
      </c>
      <c r="Y65" s="278">
        <v>0</v>
      </c>
      <c r="Z65" s="278">
        <v>0</v>
      </c>
      <c r="AA65" s="278">
        <v>16</v>
      </c>
      <c r="AB65" s="278">
        <v>2</v>
      </c>
      <c r="AC65" s="278">
        <v>3</v>
      </c>
      <c r="AD65" s="278">
        <v>2</v>
      </c>
      <c r="AE65" s="278">
        <v>0</v>
      </c>
      <c r="AF65" s="278">
        <v>0</v>
      </c>
      <c r="AG65" s="15">
        <f t="shared" si="2"/>
        <v>72</v>
      </c>
    </row>
    <row r="66" spans="1:33" ht="15.75" customHeight="1" x14ac:dyDescent="0.25">
      <c r="A66" s="280" t="s">
        <v>27</v>
      </c>
      <c r="B66" s="278">
        <v>0</v>
      </c>
      <c r="C66" s="278">
        <v>1</v>
      </c>
      <c r="D66" s="278">
        <v>0</v>
      </c>
      <c r="E66" s="278">
        <v>4</v>
      </c>
      <c r="F66" s="278">
        <v>1</v>
      </c>
      <c r="G66" s="278">
        <v>0</v>
      </c>
      <c r="H66" s="278">
        <v>0</v>
      </c>
      <c r="I66" s="278">
        <v>0</v>
      </c>
      <c r="J66" s="278">
        <v>0</v>
      </c>
      <c r="K66" s="278">
        <v>0</v>
      </c>
      <c r="L66" s="278">
        <v>0</v>
      </c>
      <c r="M66" s="278">
        <v>4</v>
      </c>
      <c r="N66" s="278">
        <v>0</v>
      </c>
      <c r="O66" s="278">
        <v>3</v>
      </c>
      <c r="P66" s="278">
        <v>0</v>
      </c>
      <c r="Q66" s="278">
        <v>1</v>
      </c>
      <c r="R66" s="278">
        <v>2</v>
      </c>
      <c r="S66" s="278">
        <v>2</v>
      </c>
      <c r="T66" s="278">
        <v>0</v>
      </c>
      <c r="U66" s="278">
        <v>1</v>
      </c>
      <c r="V66" s="278">
        <v>3</v>
      </c>
      <c r="W66" s="278">
        <v>0</v>
      </c>
      <c r="X66" s="278">
        <v>0</v>
      </c>
      <c r="Y66" s="278">
        <v>0</v>
      </c>
      <c r="Z66" s="278">
        <v>2</v>
      </c>
      <c r="AA66" s="278">
        <v>6</v>
      </c>
      <c r="AB66" s="278">
        <v>0</v>
      </c>
      <c r="AC66" s="278">
        <v>5</v>
      </c>
      <c r="AD66" s="278">
        <v>2</v>
      </c>
      <c r="AE66" s="278">
        <v>0</v>
      </c>
      <c r="AF66" s="278">
        <v>0</v>
      </c>
      <c r="AG66" s="15">
        <f t="shared" si="2"/>
        <v>37</v>
      </c>
    </row>
    <row r="67" spans="1:33" ht="15.75" customHeight="1" x14ac:dyDescent="0.25">
      <c r="A67" s="280" t="s">
        <v>28</v>
      </c>
      <c r="B67" s="278">
        <v>0</v>
      </c>
      <c r="C67" s="278">
        <v>0</v>
      </c>
      <c r="D67" s="278">
        <v>0</v>
      </c>
      <c r="E67" s="278">
        <v>3</v>
      </c>
      <c r="F67" s="278">
        <v>1</v>
      </c>
      <c r="G67" s="278">
        <v>0</v>
      </c>
      <c r="H67" s="278">
        <v>0</v>
      </c>
      <c r="I67" s="278">
        <v>0</v>
      </c>
      <c r="J67" s="278">
        <v>0</v>
      </c>
      <c r="K67" s="278">
        <v>0</v>
      </c>
      <c r="L67" s="278">
        <v>4</v>
      </c>
      <c r="M67" s="278">
        <v>0</v>
      </c>
      <c r="N67" s="278">
        <v>0</v>
      </c>
      <c r="O67" s="278">
        <v>0</v>
      </c>
      <c r="P67" s="278">
        <v>1</v>
      </c>
      <c r="Q67" s="278">
        <v>0</v>
      </c>
      <c r="R67" s="278">
        <v>0</v>
      </c>
      <c r="S67" s="278">
        <v>0</v>
      </c>
      <c r="T67" s="278">
        <v>0</v>
      </c>
      <c r="U67" s="278">
        <v>0</v>
      </c>
      <c r="V67" s="278">
        <v>1</v>
      </c>
      <c r="W67" s="278">
        <v>0</v>
      </c>
      <c r="X67" s="278">
        <v>2</v>
      </c>
      <c r="Y67" s="278">
        <v>0</v>
      </c>
      <c r="Z67" s="278">
        <v>0</v>
      </c>
      <c r="AA67" s="278">
        <v>0</v>
      </c>
      <c r="AB67" s="278">
        <v>2</v>
      </c>
      <c r="AC67" s="278">
        <v>3</v>
      </c>
      <c r="AD67" s="278">
        <v>0</v>
      </c>
      <c r="AE67" s="278">
        <v>0</v>
      </c>
      <c r="AF67" s="278">
        <v>0</v>
      </c>
      <c r="AG67" s="15">
        <f t="shared" ref="AG67:AG98" si="5">SUM(B67:AF67)</f>
        <v>17</v>
      </c>
    </row>
    <row r="68" spans="1:33" ht="15.75" customHeight="1" x14ac:dyDescent="0.25">
      <c r="A68" s="280" t="s">
        <v>29</v>
      </c>
      <c r="B68" s="278">
        <v>2</v>
      </c>
      <c r="C68" s="278">
        <v>0</v>
      </c>
      <c r="D68" s="278">
        <v>0</v>
      </c>
      <c r="E68" s="278">
        <v>6</v>
      </c>
      <c r="F68" s="278">
        <v>0</v>
      </c>
      <c r="G68" s="278">
        <v>0</v>
      </c>
      <c r="H68" s="278">
        <v>0</v>
      </c>
      <c r="I68" s="278">
        <v>0</v>
      </c>
      <c r="J68" s="278">
        <v>0</v>
      </c>
      <c r="K68" s="278">
        <v>1</v>
      </c>
      <c r="L68" s="278">
        <v>0</v>
      </c>
      <c r="M68" s="278">
        <v>0</v>
      </c>
      <c r="N68" s="278">
        <v>0</v>
      </c>
      <c r="O68" s="278">
        <v>0</v>
      </c>
      <c r="P68" s="278">
        <v>0</v>
      </c>
      <c r="Q68" s="278">
        <v>1</v>
      </c>
      <c r="R68" s="278">
        <v>1</v>
      </c>
      <c r="S68" s="278">
        <v>1</v>
      </c>
      <c r="T68" s="278">
        <v>0</v>
      </c>
      <c r="U68" s="278">
        <v>0</v>
      </c>
      <c r="V68" s="278">
        <v>4</v>
      </c>
      <c r="W68" s="278">
        <v>1</v>
      </c>
      <c r="X68" s="278">
        <v>1</v>
      </c>
      <c r="Y68" s="278">
        <v>0</v>
      </c>
      <c r="Z68" s="278">
        <v>0</v>
      </c>
      <c r="AA68" s="278">
        <v>6</v>
      </c>
      <c r="AB68" s="278">
        <v>4</v>
      </c>
      <c r="AC68" s="278">
        <v>1</v>
      </c>
      <c r="AD68" s="278">
        <v>2</v>
      </c>
      <c r="AE68" s="278">
        <v>0</v>
      </c>
      <c r="AF68" s="278">
        <v>0</v>
      </c>
      <c r="AG68" s="15">
        <f t="shared" si="5"/>
        <v>31</v>
      </c>
    </row>
    <row r="69" spans="1:33" ht="15.75" customHeight="1" x14ac:dyDescent="0.25">
      <c r="A69" s="280" t="s">
        <v>30</v>
      </c>
      <c r="B69" s="278">
        <v>0</v>
      </c>
      <c r="C69" s="278">
        <v>0</v>
      </c>
      <c r="D69" s="278">
        <v>2</v>
      </c>
      <c r="E69" s="278">
        <v>2</v>
      </c>
      <c r="F69" s="278">
        <v>0</v>
      </c>
      <c r="G69" s="278">
        <v>0</v>
      </c>
      <c r="H69" s="278">
        <v>0</v>
      </c>
      <c r="I69" s="278">
        <v>2</v>
      </c>
      <c r="J69" s="278">
        <v>0</v>
      </c>
      <c r="K69" s="278">
        <v>0</v>
      </c>
      <c r="L69" s="278">
        <v>2</v>
      </c>
      <c r="M69" s="278">
        <v>0</v>
      </c>
      <c r="N69" s="278">
        <v>0</v>
      </c>
      <c r="O69" s="278">
        <v>0</v>
      </c>
      <c r="P69" s="278">
        <v>0</v>
      </c>
      <c r="Q69" s="278">
        <v>5</v>
      </c>
      <c r="R69" s="278">
        <v>0</v>
      </c>
      <c r="S69" s="278">
        <v>3</v>
      </c>
      <c r="T69" s="278">
        <v>0</v>
      </c>
      <c r="U69" s="278">
        <v>0</v>
      </c>
      <c r="V69" s="278">
        <v>0</v>
      </c>
      <c r="W69" s="278">
        <v>0</v>
      </c>
      <c r="X69" s="278">
        <v>2</v>
      </c>
      <c r="Y69" s="278">
        <v>0</v>
      </c>
      <c r="Z69" s="278">
        <v>1</v>
      </c>
      <c r="AA69" s="278">
        <v>1</v>
      </c>
      <c r="AB69" s="278">
        <v>0</v>
      </c>
      <c r="AC69" s="278">
        <v>1</v>
      </c>
      <c r="AD69" s="278">
        <v>1</v>
      </c>
      <c r="AE69" s="278">
        <v>0</v>
      </c>
      <c r="AF69" s="278">
        <v>0</v>
      </c>
      <c r="AG69" s="15">
        <f t="shared" si="5"/>
        <v>22</v>
      </c>
    </row>
    <row r="70" spans="1:33" ht="15.75" customHeight="1" x14ac:dyDescent="0.25">
      <c r="A70" s="280" t="s">
        <v>31</v>
      </c>
      <c r="B70" s="278">
        <v>0</v>
      </c>
      <c r="C70" s="278">
        <v>1</v>
      </c>
      <c r="D70" s="278">
        <v>0</v>
      </c>
      <c r="E70" s="278">
        <v>1</v>
      </c>
      <c r="F70" s="278">
        <v>0</v>
      </c>
      <c r="G70" s="278">
        <v>0</v>
      </c>
      <c r="H70" s="278">
        <v>0</v>
      </c>
      <c r="I70" s="278">
        <v>0</v>
      </c>
      <c r="J70" s="278">
        <v>0</v>
      </c>
      <c r="K70" s="278">
        <v>1</v>
      </c>
      <c r="L70" s="278">
        <v>2</v>
      </c>
      <c r="M70" s="278">
        <v>0</v>
      </c>
      <c r="N70" s="278">
        <v>0</v>
      </c>
      <c r="O70" s="278">
        <v>1</v>
      </c>
      <c r="P70" s="278">
        <v>0</v>
      </c>
      <c r="Q70" s="278">
        <v>3</v>
      </c>
      <c r="R70" s="278">
        <v>1</v>
      </c>
      <c r="S70" s="278">
        <v>0</v>
      </c>
      <c r="T70" s="278">
        <v>0</v>
      </c>
      <c r="U70" s="278">
        <v>0</v>
      </c>
      <c r="V70" s="278">
        <v>1</v>
      </c>
      <c r="W70" s="278">
        <v>0</v>
      </c>
      <c r="X70" s="278">
        <v>2</v>
      </c>
      <c r="Y70" s="278">
        <v>0</v>
      </c>
      <c r="Z70" s="278">
        <v>0</v>
      </c>
      <c r="AA70" s="278">
        <v>0</v>
      </c>
      <c r="AB70" s="278">
        <v>2</v>
      </c>
      <c r="AC70" s="278">
        <v>1</v>
      </c>
      <c r="AD70" s="279">
        <v>0</v>
      </c>
      <c r="AE70" s="279">
        <v>3</v>
      </c>
      <c r="AF70" s="279">
        <v>0</v>
      </c>
      <c r="AG70" s="15">
        <f t="shared" si="5"/>
        <v>19</v>
      </c>
    </row>
    <row r="71" spans="1:33" ht="15.75" customHeight="1" x14ac:dyDescent="0.25">
      <c r="A71" s="280" t="s">
        <v>32</v>
      </c>
      <c r="B71" s="278">
        <v>0</v>
      </c>
      <c r="C71" s="278">
        <v>0</v>
      </c>
      <c r="D71" s="278">
        <v>0</v>
      </c>
      <c r="E71" s="278">
        <v>2</v>
      </c>
      <c r="F71" s="278">
        <v>3</v>
      </c>
      <c r="G71" s="278">
        <v>1</v>
      </c>
      <c r="H71" s="278">
        <v>2</v>
      </c>
      <c r="I71" s="278">
        <v>0</v>
      </c>
      <c r="J71" s="278">
        <v>0</v>
      </c>
      <c r="K71" s="278">
        <v>0</v>
      </c>
      <c r="L71" s="278">
        <v>0</v>
      </c>
      <c r="M71" s="278">
        <v>0</v>
      </c>
      <c r="N71" s="278">
        <v>1</v>
      </c>
      <c r="O71" s="278">
        <v>0</v>
      </c>
      <c r="P71" s="278">
        <v>0</v>
      </c>
      <c r="Q71" s="278">
        <v>1</v>
      </c>
      <c r="R71" s="278">
        <v>3</v>
      </c>
      <c r="S71" s="278">
        <v>0</v>
      </c>
      <c r="T71" s="278">
        <v>0</v>
      </c>
      <c r="U71" s="278">
        <v>0</v>
      </c>
      <c r="V71" s="278">
        <v>0</v>
      </c>
      <c r="W71" s="278">
        <v>0</v>
      </c>
      <c r="X71" s="278">
        <v>5</v>
      </c>
      <c r="Y71" s="278">
        <v>0</v>
      </c>
      <c r="Z71" s="278">
        <v>0</v>
      </c>
      <c r="AA71" s="278">
        <v>3</v>
      </c>
      <c r="AB71" s="278">
        <v>3</v>
      </c>
      <c r="AC71" s="278">
        <v>1</v>
      </c>
      <c r="AD71" s="279">
        <v>3</v>
      </c>
      <c r="AE71" s="279">
        <v>0</v>
      </c>
      <c r="AF71" s="279">
        <v>0</v>
      </c>
      <c r="AG71" s="15">
        <f t="shared" si="5"/>
        <v>28</v>
      </c>
    </row>
    <row r="72" spans="1:33" ht="15.75" customHeight="1" x14ac:dyDescent="0.25">
      <c r="A72" s="280" t="s">
        <v>33</v>
      </c>
      <c r="B72" s="278">
        <v>0</v>
      </c>
      <c r="C72" s="278">
        <v>0</v>
      </c>
      <c r="D72" s="278">
        <v>0</v>
      </c>
      <c r="E72" s="278">
        <v>0</v>
      </c>
      <c r="F72" s="278">
        <v>0</v>
      </c>
      <c r="G72" s="278">
        <v>0</v>
      </c>
      <c r="H72" s="278">
        <v>0</v>
      </c>
      <c r="I72" s="278">
        <v>0</v>
      </c>
      <c r="J72" s="278">
        <v>0</v>
      </c>
      <c r="K72" s="278">
        <v>0</v>
      </c>
      <c r="L72" s="278">
        <v>3</v>
      </c>
      <c r="M72" s="278">
        <v>0</v>
      </c>
      <c r="N72" s="278">
        <v>1</v>
      </c>
      <c r="O72" s="278">
        <v>0</v>
      </c>
      <c r="P72" s="278">
        <v>0</v>
      </c>
      <c r="Q72" s="278">
        <v>1</v>
      </c>
      <c r="R72" s="278">
        <v>0</v>
      </c>
      <c r="S72" s="278">
        <v>0</v>
      </c>
      <c r="T72" s="278">
        <v>1</v>
      </c>
      <c r="U72" s="278">
        <v>0</v>
      </c>
      <c r="V72" s="278">
        <v>1</v>
      </c>
      <c r="W72" s="278">
        <v>7</v>
      </c>
      <c r="X72" s="278">
        <v>3</v>
      </c>
      <c r="Y72" s="278">
        <v>0</v>
      </c>
      <c r="Z72" s="278">
        <v>0</v>
      </c>
      <c r="AA72" s="278">
        <v>0</v>
      </c>
      <c r="AB72" s="278">
        <v>1</v>
      </c>
      <c r="AC72" s="278">
        <v>1</v>
      </c>
      <c r="AD72" s="279">
        <v>0</v>
      </c>
      <c r="AE72" s="279">
        <v>2</v>
      </c>
      <c r="AF72" s="279">
        <v>0</v>
      </c>
      <c r="AG72" s="15">
        <f t="shared" si="5"/>
        <v>21</v>
      </c>
    </row>
    <row r="73" spans="1:33" ht="15.75" customHeight="1" x14ac:dyDescent="0.25">
      <c r="A73" s="280" t="s">
        <v>34</v>
      </c>
      <c r="B73" s="278">
        <v>0</v>
      </c>
      <c r="C73" s="278">
        <v>0</v>
      </c>
      <c r="D73" s="278">
        <v>0</v>
      </c>
      <c r="E73" s="278">
        <v>0</v>
      </c>
      <c r="F73" s="278">
        <v>0</v>
      </c>
      <c r="G73" s="278">
        <v>0</v>
      </c>
      <c r="H73" s="278">
        <v>0</v>
      </c>
      <c r="I73" s="278">
        <v>0</v>
      </c>
      <c r="J73" s="278">
        <v>0</v>
      </c>
      <c r="K73" s="278">
        <v>0</v>
      </c>
      <c r="L73" s="278">
        <v>8</v>
      </c>
      <c r="M73" s="278">
        <v>2</v>
      </c>
      <c r="N73" s="278">
        <v>0</v>
      </c>
      <c r="O73" s="278">
        <v>1</v>
      </c>
      <c r="P73" s="278">
        <v>0</v>
      </c>
      <c r="Q73" s="278">
        <v>0</v>
      </c>
      <c r="R73" s="278">
        <v>0</v>
      </c>
      <c r="S73" s="278">
        <v>2</v>
      </c>
      <c r="T73" s="278">
        <v>0</v>
      </c>
      <c r="U73" s="278">
        <v>0</v>
      </c>
      <c r="V73" s="278">
        <v>0</v>
      </c>
      <c r="W73" s="278">
        <v>0</v>
      </c>
      <c r="X73" s="278">
        <v>2</v>
      </c>
      <c r="Y73" s="278">
        <v>2</v>
      </c>
      <c r="Z73" s="278">
        <v>0</v>
      </c>
      <c r="AA73" s="278">
        <v>0</v>
      </c>
      <c r="AB73" s="278">
        <v>0</v>
      </c>
      <c r="AC73" s="278">
        <v>1</v>
      </c>
      <c r="AD73" s="279">
        <v>0</v>
      </c>
      <c r="AE73" s="279">
        <v>1</v>
      </c>
      <c r="AF73" s="279">
        <v>2</v>
      </c>
      <c r="AG73" s="15">
        <f t="shared" si="5"/>
        <v>21</v>
      </c>
    </row>
    <row r="74" spans="1:33" ht="15.75" customHeight="1" x14ac:dyDescent="0.25">
      <c r="A74" s="280" t="s">
        <v>35</v>
      </c>
      <c r="B74" s="278">
        <v>0</v>
      </c>
      <c r="C74" s="278">
        <v>0</v>
      </c>
      <c r="D74" s="278">
        <v>0</v>
      </c>
      <c r="E74" s="278">
        <v>0</v>
      </c>
      <c r="F74" s="278">
        <v>0</v>
      </c>
      <c r="G74" s="278">
        <v>0</v>
      </c>
      <c r="H74" s="278">
        <v>0</v>
      </c>
      <c r="I74" s="278">
        <v>1</v>
      </c>
      <c r="J74" s="278">
        <v>0</v>
      </c>
      <c r="K74" s="278">
        <v>0</v>
      </c>
      <c r="L74" s="278">
        <v>0</v>
      </c>
      <c r="M74" s="278">
        <v>0</v>
      </c>
      <c r="N74" s="278">
        <v>0</v>
      </c>
      <c r="O74" s="278">
        <v>0</v>
      </c>
      <c r="P74" s="278">
        <v>0</v>
      </c>
      <c r="Q74" s="278">
        <v>0</v>
      </c>
      <c r="R74" s="278">
        <v>0</v>
      </c>
      <c r="S74" s="278">
        <v>0</v>
      </c>
      <c r="T74" s="278">
        <v>0</v>
      </c>
      <c r="U74" s="278">
        <v>0</v>
      </c>
      <c r="V74" s="278">
        <v>0</v>
      </c>
      <c r="W74" s="278">
        <v>0</v>
      </c>
      <c r="X74" s="278">
        <v>0</v>
      </c>
      <c r="Y74" s="278">
        <v>1</v>
      </c>
      <c r="Z74" s="278">
        <v>0</v>
      </c>
      <c r="AA74" s="278">
        <v>0</v>
      </c>
      <c r="AB74" s="278">
        <v>0</v>
      </c>
      <c r="AC74" s="278">
        <v>0</v>
      </c>
      <c r="AD74" s="279">
        <v>1</v>
      </c>
      <c r="AE74" s="279">
        <v>0</v>
      </c>
      <c r="AF74" s="279">
        <v>1</v>
      </c>
      <c r="AG74" s="15">
        <f t="shared" si="5"/>
        <v>4</v>
      </c>
    </row>
    <row r="75" spans="1:33" ht="15.75" customHeight="1" x14ac:dyDescent="0.25">
      <c r="A75" s="280" t="s">
        <v>36</v>
      </c>
      <c r="B75" s="278">
        <v>0</v>
      </c>
      <c r="C75" s="278">
        <v>1</v>
      </c>
      <c r="D75" s="278">
        <v>0</v>
      </c>
      <c r="E75" s="278">
        <v>0</v>
      </c>
      <c r="F75" s="278">
        <v>0</v>
      </c>
      <c r="G75" s="278">
        <v>0</v>
      </c>
      <c r="H75" s="278">
        <v>0</v>
      </c>
      <c r="I75" s="278">
        <v>0</v>
      </c>
      <c r="J75" s="278">
        <v>0</v>
      </c>
      <c r="K75" s="278">
        <v>0</v>
      </c>
      <c r="L75" s="278">
        <v>0</v>
      </c>
      <c r="M75" s="278">
        <v>0</v>
      </c>
      <c r="N75" s="278">
        <v>0</v>
      </c>
      <c r="O75" s="278">
        <v>0</v>
      </c>
      <c r="P75" s="278">
        <v>0</v>
      </c>
      <c r="Q75" s="278">
        <v>0</v>
      </c>
      <c r="R75" s="278">
        <v>0</v>
      </c>
      <c r="S75" s="278">
        <v>0</v>
      </c>
      <c r="T75" s="278">
        <v>0</v>
      </c>
      <c r="U75" s="278">
        <v>0</v>
      </c>
      <c r="V75" s="278">
        <v>0</v>
      </c>
      <c r="W75" s="278">
        <v>0</v>
      </c>
      <c r="X75" s="278">
        <v>0</v>
      </c>
      <c r="Y75" s="278">
        <v>0</v>
      </c>
      <c r="Z75" s="278">
        <v>0</v>
      </c>
      <c r="AA75" s="278">
        <v>0</v>
      </c>
      <c r="AB75" s="278">
        <v>0</v>
      </c>
      <c r="AC75" s="278">
        <v>0</v>
      </c>
      <c r="AD75" s="279">
        <v>0</v>
      </c>
      <c r="AE75" s="279">
        <v>0</v>
      </c>
      <c r="AF75" s="279">
        <v>0</v>
      </c>
      <c r="AG75" s="15">
        <f t="shared" si="5"/>
        <v>1</v>
      </c>
    </row>
    <row r="76" spans="1:33" ht="15.75" customHeight="1" x14ac:dyDescent="0.25">
      <c r="A76" s="280" t="s">
        <v>37</v>
      </c>
      <c r="B76" s="278">
        <v>0</v>
      </c>
      <c r="C76" s="278">
        <v>0</v>
      </c>
      <c r="D76" s="278">
        <v>0</v>
      </c>
      <c r="E76" s="278">
        <v>0</v>
      </c>
      <c r="F76" s="278">
        <v>0</v>
      </c>
      <c r="G76" s="278">
        <v>0</v>
      </c>
      <c r="H76" s="278">
        <v>0</v>
      </c>
      <c r="I76" s="278">
        <v>0</v>
      </c>
      <c r="J76" s="278">
        <v>0</v>
      </c>
      <c r="K76" s="278">
        <v>0</v>
      </c>
      <c r="L76" s="278">
        <v>0</v>
      </c>
      <c r="M76" s="278">
        <v>0</v>
      </c>
      <c r="N76" s="278">
        <v>0</v>
      </c>
      <c r="O76" s="278">
        <v>0</v>
      </c>
      <c r="P76" s="278">
        <v>0</v>
      </c>
      <c r="Q76" s="278">
        <v>0</v>
      </c>
      <c r="R76" s="278">
        <v>0</v>
      </c>
      <c r="S76" s="278">
        <v>0</v>
      </c>
      <c r="T76" s="278">
        <v>0</v>
      </c>
      <c r="U76" s="278">
        <v>0</v>
      </c>
      <c r="V76" s="278">
        <v>1</v>
      </c>
      <c r="W76" s="278">
        <v>0</v>
      </c>
      <c r="X76" s="278">
        <v>0</v>
      </c>
      <c r="Y76" s="278">
        <v>0</v>
      </c>
      <c r="Z76" s="278">
        <v>0</v>
      </c>
      <c r="AA76" s="278">
        <v>0</v>
      </c>
      <c r="AB76" s="278">
        <v>0</v>
      </c>
      <c r="AC76" s="278">
        <v>0</v>
      </c>
      <c r="AD76" s="279">
        <v>0</v>
      </c>
      <c r="AE76" s="279">
        <v>1</v>
      </c>
      <c r="AF76" s="279">
        <v>0</v>
      </c>
      <c r="AG76" s="15">
        <f t="shared" si="5"/>
        <v>2</v>
      </c>
    </row>
    <row r="77" spans="1:33" ht="15.75" customHeight="1" thickBot="1" x14ac:dyDescent="0.3">
      <c r="A77" s="285" t="s">
        <v>38</v>
      </c>
      <c r="B77" s="282">
        <v>0</v>
      </c>
      <c r="C77" s="282">
        <v>0</v>
      </c>
      <c r="D77" s="282">
        <v>0</v>
      </c>
      <c r="E77" s="282">
        <v>2</v>
      </c>
      <c r="F77" s="282">
        <v>0</v>
      </c>
      <c r="G77" s="282">
        <v>0</v>
      </c>
      <c r="H77" s="282">
        <v>0</v>
      </c>
      <c r="I77" s="282">
        <v>0</v>
      </c>
      <c r="J77" s="282">
        <v>0</v>
      </c>
      <c r="K77" s="282">
        <v>0</v>
      </c>
      <c r="L77" s="282">
        <v>0</v>
      </c>
      <c r="M77" s="282">
        <v>0</v>
      </c>
      <c r="N77" s="282">
        <v>0</v>
      </c>
      <c r="O77" s="282">
        <v>0</v>
      </c>
      <c r="P77" s="282">
        <v>0</v>
      </c>
      <c r="Q77" s="282">
        <v>0</v>
      </c>
      <c r="R77" s="282">
        <v>0</v>
      </c>
      <c r="S77" s="282">
        <v>0</v>
      </c>
      <c r="T77" s="282">
        <v>0</v>
      </c>
      <c r="U77" s="282">
        <v>0</v>
      </c>
      <c r="V77" s="282">
        <v>0</v>
      </c>
      <c r="W77" s="282">
        <v>0</v>
      </c>
      <c r="X77" s="282">
        <v>0</v>
      </c>
      <c r="Y77" s="282">
        <v>0</v>
      </c>
      <c r="Z77" s="282">
        <v>0</v>
      </c>
      <c r="AA77" s="282">
        <v>0</v>
      </c>
      <c r="AB77" s="282">
        <v>0</v>
      </c>
      <c r="AC77" s="282">
        <v>0</v>
      </c>
      <c r="AD77" s="286">
        <v>0</v>
      </c>
      <c r="AE77" s="286">
        <v>0</v>
      </c>
      <c r="AF77" s="286">
        <v>0</v>
      </c>
      <c r="AG77" s="26">
        <f t="shared" si="5"/>
        <v>2</v>
      </c>
    </row>
    <row r="78" spans="1:33" ht="19.5" customHeight="1" thickBot="1" x14ac:dyDescent="0.3">
      <c r="A78" s="287" t="s">
        <v>41</v>
      </c>
      <c r="B78" s="33">
        <f t="shared" ref="B78:AF78" si="6">SUM(B79:B80)</f>
        <v>200</v>
      </c>
      <c r="C78" s="33">
        <f t="shared" si="6"/>
        <v>214</v>
      </c>
      <c r="D78" s="33">
        <f t="shared" si="6"/>
        <v>187</v>
      </c>
      <c r="E78" s="33">
        <f t="shared" si="6"/>
        <v>269</v>
      </c>
      <c r="F78" s="33">
        <f t="shared" si="6"/>
        <v>243</v>
      </c>
      <c r="G78" s="33">
        <f t="shared" si="6"/>
        <v>221</v>
      </c>
      <c r="H78" s="33">
        <f t="shared" si="6"/>
        <v>226</v>
      </c>
      <c r="I78" s="33">
        <f t="shared" si="6"/>
        <v>234</v>
      </c>
      <c r="J78" s="33">
        <f t="shared" si="6"/>
        <v>188</v>
      </c>
      <c r="K78" s="33">
        <f t="shared" si="6"/>
        <v>218</v>
      </c>
      <c r="L78" s="33">
        <f t="shared" si="6"/>
        <v>264</v>
      </c>
      <c r="M78" s="33">
        <f t="shared" si="6"/>
        <v>235</v>
      </c>
      <c r="N78" s="33">
        <f t="shared" si="6"/>
        <v>198</v>
      </c>
      <c r="O78" s="33">
        <f t="shared" si="6"/>
        <v>219</v>
      </c>
      <c r="P78" s="33">
        <f t="shared" si="6"/>
        <v>191</v>
      </c>
      <c r="Q78" s="33">
        <f t="shared" si="6"/>
        <v>224</v>
      </c>
      <c r="R78" s="33">
        <f t="shared" si="6"/>
        <v>256</v>
      </c>
      <c r="S78" s="33">
        <f t="shared" si="6"/>
        <v>231</v>
      </c>
      <c r="T78" s="33">
        <f t="shared" si="6"/>
        <v>202</v>
      </c>
      <c r="U78" s="33">
        <f t="shared" si="6"/>
        <v>210</v>
      </c>
      <c r="V78" s="33">
        <f t="shared" si="6"/>
        <v>214</v>
      </c>
      <c r="W78" s="33">
        <f t="shared" si="6"/>
        <v>218</v>
      </c>
      <c r="X78" s="33">
        <f t="shared" si="6"/>
        <v>217</v>
      </c>
      <c r="Y78" s="33">
        <f t="shared" si="6"/>
        <v>152</v>
      </c>
      <c r="Z78" s="33">
        <f t="shared" si="6"/>
        <v>218</v>
      </c>
      <c r="AA78" s="33">
        <f t="shared" si="6"/>
        <v>283</v>
      </c>
      <c r="AB78" s="33">
        <f t="shared" si="6"/>
        <v>279</v>
      </c>
      <c r="AC78" s="33">
        <f t="shared" si="6"/>
        <v>245</v>
      </c>
      <c r="AD78" s="33">
        <f t="shared" si="6"/>
        <v>235</v>
      </c>
      <c r="AE78" s="33">
        <f t="shared" si="6"/>
        <v>207</v>
      </c>
      <c r="AF78" s="33">
        <f t="shared" si="6"/>
        <v>146</v>
      </c>
      <c r="AG78" s="27">
        <f t="shared" si="5"/>
        <v>6844</v>
      </c>
    </row>
    <row r="79" spans="1:33" ht="19.5" customHeight="1" x14ac:dyDescent="0.25">
      <c r="A79" s="288" t="s">
        <v>42</v>
      </c>
      <c r="B79" s="10">
        <f t="shared" ref="B79" si="7">SUM(B4:B27)-B80</f>
        <v>200</v>
      </c>
      <c r="C79" s="10">
        <f t="shared" ref="C79" si="8">SUM(C4:C27)-C80</f>
        <v>214</v>
      </c>
      <c r="D79" s="10">
        <f t="shared" ref="D79:AF79" si="9">SUM(D4:D27)-D80</f>
        <v>187</v>
      </c>
      <c r="E79" s="10">
        <f t="shared" si="9"/>
        <v>269</v>
      </c>
      <c r="F79" s="10">
        <f t="shared" si="9"/>
        <v>243</v>
      </c>
      <c r="G79" s="10">
        <f t="shared" si="9"/>
        <v>221</v>
      </c>
      <c r="H79" s="10">
        <f t="shared" si="9"/>
        <v>226</v>
      </c>
      <c r="I79" s="10">
        <f t="shared" si="9"/>
        <v>234</v>
      </c>
      <c r="J79" s="10">
        <f t="shared" si="9"/>
        <v>188</v>
      </c>
      <c r="K79" s="10">
        <f t="shared" si="9"/>
        <v>218</v>
      </c>
      <c r="L79" s="10">
        <f t="shared" si="9"/>
        <v>264</v>
      </c>
      <c r="M79" s="10">
        <f t="shared" si="9"/>
        <v>235</v>
      </c>
      <c r="N79" s="10">
        <f t="shared" si="9"/>
        <v>198</v>
      </c>
      <c r="O79" s="10">
        <f t="shared" si="9"/>
        <v>219</v>
      </c>
      <c r="P79" s="10">
        <f t="shared" si="9"/>
        <v>191</v>
      </c>
      <c r="Q79" s="10">
        <f t="shared" si="9"/>
        <v>224</v>
      </c>
      <c r="R79" s="10">
        <f t="shared" si="9"/>
        <v>256</v>
      </c>
      <c r="S79" s="10">
        <f t="shared" si="9"/>
        <v>231</v>
      </c>
      <c r="T79" s="10">
        <f t="shared" si="9"/>
        <v>202</v>
      </c>
      <c r="U79" s="10">
        <f t="shared" si="9"/>
        <v>210</v>
      </c>
      <c r="V79" s="10">
        <f t="shared" si="9"/>
        <v>214</v>
      </c>
      <c r="W79" s="10">
        <f t="shared" si="9"/>
        <v>218</v>
      </c>
      <c r="X79" s="10">
        <f t="shared" si="9"/>
        <v>217</v>
      </c>
      <c r="Y79" s="10">
        <f t="shared" si="9"/>
        <v>152</v>
      </c>
      <c r="Z79" s="10">
        <f t="shared" si="9"/>
        <v>218</v>
      </c>
      <c r="AA79" s="10">
        <f t="shared" si="9"/>
        <v>283</v>
      </c>
      <c r="AB79" s="10">
        <f t="shared" si="9"/>
        <v>279</v>
      </c>
      <c r="AC79" s="10">
        <f t="shared" si="9"/>
        <v>245</v>
      </c>
      <c r="AD79" s="10">
        <f t="shared" si="9"/>
        <v>235</v>
      </c>
      <c r="AE79" s="10">
        <f t="shared" si="9"/>
        <v>207</v>
      </c>
      <c r="AF79" s="10">
        <f t="shared" si="9"/>
        <v>146</v>
      </c>
      <c r="AG79" s="11">
        <f t="shared" si="5"/>
        <v>6844</v>
      </c>
    </row>
    <row r="80" spans="1:33" ht="19.5" customHeight="1" thickBot="1" x14ac:dyDescent="0.3">
      <c r="A80" s="289" t="s">
        <v>43</v>
      </c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290"/>
      <c r="S80" s="290"/>
      <c r="T80" s="290"/>
      <c r="U80" s="290"/>
      <c r="V80" s="290"/>
      <c r="W80" s="290"/>
      <c r="X80" s="290"/>
      <c r="Y80" s="290"/>
      <c r="Z80" s="290"/>
      <c r="AA80" s="290"/>
      <c r="AB80" s="290"/>
      <c r="AC80" s="290"/>
      <c r="AD80" s="290"/>
      <c r="AE80" s="290"/>
      <c r="AF80" s="290"/>
      <c r="AG80" s="26">
        <f t="shared" si="5"/>
        <v>0</v>
      </c>
    </row>
    <row r="81" spans="1:34" ht="15.75" customHeight="1" thickBot="1" x14ac:dyDescent="0.3">
      <c r="A81" s="287" t="s">
        <v>44</v>
      </c>
      <c r="B81" s="34">
        <f t="shared" ref="B81:AF81" si="10">SUM(B82:B83)</f>
        <v>14</v>
      </c>
      <c r="C81" s="34">
        <f t="shared" si="10"/>
        <v>12</v>
      </c>
      <c r="D81" s="34">
        <f t="shared" si="10"/>
        <v>24</v>
      </c>
      <c r="E81" s="34">
        <f t="shared" si="10"/>
        <v>52</v>
      </c>
      <c r="F81" s="34">
        <f t="shared" si="10"/>
        <v>18</v>
      </c>
      <c r="G81" s="34">
        <f t="shared" si="10"/>
        <v>23</v>
      </c>
      <c r="H81" s="34">
        <f t="shared" si="10"/>
        <v>16</v>
      </c>
      <c r="I81" s="34">
        <f t="shared" si="10"/>
        <v>8</v>
      </c>
      <c r="J81" s="34">
        <f t="shared" si="10"/>
        <v>5</v>
      </c>
      <c r="K81" s="34">
        <f t="shared" si="10"/>
        <v>5</v>
      </c>
      <c r="L81" s="34">
        <f t="shared" si="10"/>
        <v>47</v>
      </c>
      <c r="M81" s="34">
        <f t="shared" si="10"/>
        <v>16</v>
      </c>
      <c r="N81" s="34">
        <f t="shared" si="10"/>
        <v>6</v>
      </c>
      <c r="O81" s="34">
        <f t="shared" si="10"/>
        <v>38</v>
      </c>
      <c r="P81" s="34">
        <f t="shared" si="10"/>
        <v>10</v>
      </c>
      <c r="Q81" s="34">
        <f t="shared" si="10"/>
        <v>18</v>
      </c>
      <c r="R81" s="34">
        <f t="shared" si="10"/>
        <v>23</v>
      </c>
      <c r="S81" s="34">
        <f t="shared" si="10"/>
        <v>10</v>
      </c>
      <c r="T81" s="34">
        <f t="shared" si="10"/>
        <v>3</v>
      </c>
      <c r="U81" s="34">
        <f t="shared" si="10"/>
        <v>3</v>
      </c>
      <c r="V81" s="34">
        <f t="shared" si="10"/>
        <v>25</v>
      </c>
      <c r="W81" s="34">
        <f t="shared" si="10"/>
        <v>17</v>
      </c>
      <c r="X81" s="34">
        <f t="shared" si="10"/>
        <v>19</v>
      </c>
      <c r="Y81" s="34">
        <f t="shared" si="10"/>
        <v>5</v>
      </c>
      <c r="Z81" s="34">
        <f t="shared" si="10"/>
        <v>9</v>
      </c>
      <c r="AA81" s="34">
        <f t="shared" si="10"/>
        <v>50</v>
      </c>
      <c r="AB81" s="34">
        <f t="shared" si="10"/>
        <v>22</v>
      </c>
      <c r="AC81" s="34">
        <f t="shared" si="10"/>
        <v>39</v>
      </c>
      <c r="AD81" s="34">
        <f t="shared" si="10"/>
        <v>41</v>
      </c>
      <c r="AE81" s="34">
        <f t="shared" si="10"/>
        <v>7</v>
      </c>
      <c r="AF81" s="34">
        <f t="shared" si="10"/>
        <v>5</v>
      </c>
      <c r="AG81" s="27">
        <f t="shared" si="5"/>
        <v>590</v>
      </c>
      <c r="AH81" s="271" t="str">
        <f>IF(AG81&lt;&gt;AG53,"*","")</f>
        <v/>
      </c>
    </row>
    <row r="82" spans="1:34" ht="15.75" customHeight="1" x14ac:dyDescent="0.25">
      <c r="A82" s="288" t="s">
        <v>43</v>
      </c>
      <c r="B82" s="10">
        <f t="shared" ref="B82:AF82" si="11">SUM(B54:B62)</f>
        <v>3</v>
      </c>
      <c r="C82" s="10">
        <f t="shared" si="11"/>
        <v>6</v>
      </c>
      <c r="D82" s="10">
        <f t="shared" si="11"/>
        <v>17</v>
      </c>
      <c r="E82" s="10">
        <f t="shared" si="11"/>
        <v>10</v>
      </c>
      <c r="F82" s="10">
        <f t="shared" si="11"/>
        <v>6</v>
      </c>
      <c r="G82" s="10">
        <f t="shared" si="11"/>
        <v>12</v>
      </c>
      <c r="H82" s="10">
        <f t="shared" si="11"/>
        <v>11</v>
      </c>
      <c r="I82" s="10">
        <f t="shared" si="11"/>
        <v>4</v>
      </c>
      <c r="J82" s="10">
        <f t="shared" si="11"/>
        <v>5</v>
      </c>
      <c r="K82" s="10">
        <f t="shared" si="11"/>
        <v>2</v>
      </c>
      <c r="L82" s="10">
        <f t="shared" si="11"/>
        <v>22</v>
      </c>
      <c r="M82" s="10">
        <f t="shared" si="11"/>
        <v>8</v>
      </c>
      <c r="N82" s="10">
        <f t="shared" si="11"/>
        <v>3</v>
      </c>
      <c r="O82" s="10">
        <f t="shared" si="11"/>
        <v>7</v>
      </c>
      <c r="P82" s="10">
        <f t="shared" si="11"/>
        <v>7</v>
      </c>
      <c r="Q82" s="10">
        <f t="shared" si="11"/>
        <v>5</v>
      </c>
      <c r="R82" s="10">
        <f t="shared" si="11"/>
        <v>9</v>
      </c>
      <c r="S82" s="10">
        <f t="shared" si="11"/>
        <v>1</v>
      </c>
      <c r="T82" s="10">
        <f t="shared" si="11"/>
        <v>2</v>
      </c>
      <c r="U82" s="10">
        <f t="shared" si="11"/>
        <v>1</v>
      </c>
      <c r="V82" s="10">
        <f t="shared" si="11"/>
        <v>3</v>
      </c>
      <c r="W82" s="10">
        <f t="shared" si="11"/>
        <v>8</v>
      </c>
      <c r="X82" s="10">
        <f t="shared" si="11"/>
        <v>2</v>
      </c>
      <c r="Y82" s="10">
        <f t="shared" si="11"/>
        <v>2</v>
      </c>
      <c r="Z82" s="10">
        <f t="shared" si="11"/>
        <v>2</v>
      </c>
      <c r="AA82" s="10">
        <f t="shared" si="11"/>
        <v>13</v>
      </c>
      <c r="AB82" s="10">
        <f t="shared" si="11"/>
        <v>7</v>
      </c>
      <c r="AC82" s="10">
        <f t="shared" si="11"/>
        <v>3</v>
      </c>
      <c r="AD82" s="10">
        <f t="shared" si="11"/>
        <v>17</v>
      </c>
      <c r="AE82" s="10">
        <f t="shared" si="11"/>
        <v>0</v>
      </c>
      <c r="AF82" s="10">
        <f t="shared" si="11"/>
        <v>2</v>
      </c>
      <c r="AG82" s="11">
        <f t="shared" si="5"/>
        <v>200</v>
      </c>
    </row>
    <row r="83" spans="1:34" ht="15.75" customHeight="1" thickBot="1" x14ac:dyDescent="0.3">
      <c r="A83" s="289" t="s">
        <v>42</v>
      </c>
      <c r="B83" s="25">
        <f t="shared" ref="B83:AF83" si="12">SUM(B54:B77)-B82</f>
        <v>11</v>
      </c>
      <c r="C83" s="25">
        <f t="shared" si="12"/>
        <v>6</v>
      </c>
      <c r="D83" s="25">
        <f t="shared" si="12"/>
        <v>7</v>
      </c>
      <c r="E83" s="25">
        <f t="shared" si="12"/>
        <v>42</v>
      </c>
      <c r="F83" s="25">
        <f t="shared" si="12"/>
        <v>12</v>
      </c>
      <c r="G83" s="25">
        <f t="shared" si="12"/>
        <v>11</v>
      </c>
      <c r="H83" s="25">
        <f t="shared" si="12"/>
        <v>5</v>
      </c>
      <c r="I83" s="25">
        <f t="shared" si="12"/>
        <v>4</v>
      </c>
      <c r="J83" s="25">
        <f t="shared" si="12"/>
        <v>0</v>
      </c>
      <c r="K83" s="25">
        <f t="shared" si="12"/>
        <v>3</v>
      </c>
      <c r="L83" s="25">
        <f t="shared" si="12"/>
        <v>25</v>
      </c>
      <c r="M83" s="25">
        <f t="shared" si="12"/>
        <v>8</v>
      </c>
      <c r="N83" s="25">
        <f t="shared" si="12"/>
        <v>3</v>
      </c>
      <c r="O83" s="25">
        <f t="shared" si="12"/>
        <v>31</v>
      </c>
      <c r="P83" s="25">
        <f t="shared" si="12"/>
        <v>3</v>
      </c>
      <c r="Q83" s="25">
        <f t="shared" si="12"/>
        <v>13</v>
      </c>
      <c r="R83" s="25">
        <f t="shared" si="12"/>
        <v>14</v>
      </c>
      <c r="S83" s="25">
        <f t="shared" si="12"/>
        <v>9</v>
      </c>
      <c r="T83" s="25">
        <f t="shared" si="12"/>
        <v>1</v>
      </c>
      <c r="U83" s="25">
        <f t="shared" si="12"/>
        <v>2</v>
      </c>
      <c r="V83" s="25">
        <f t="shared" si="12"/>
        <v>22</v>
      </c>
      <c r="W83" s="25">
        <f t="shared" si="12"/>
        <v>9</v>
      </c>
      <c r="X83" s="25">
        <f t="shared" si="12"/>
        <v>17</v>
      </c>
      <c r="Y83" s="25">
        <f t="shared" si="12"/>
        <v>3</v>
      </c>
      <c r="Z83" s="25">
        <f t="shared" si="12"/>
        <v>7</v>
      </c>
      <c r="AA83" s="25">
        <f t="shared" si="12"/>
        <v>37</v>
      </c>
      <c r="AB83" s="25">
        <f t="shared" si="12"/>
        <v>15</v>
      </c>
      <c r="AC83" s="25">
        <f t="shared" si="12"/>
        <v>36</v>
      </c>
      <c r="AD83" s="25">
        <f t="shared" si="12"/>
        <v>24</v>
      </c>
      <c r="AE83" s="25">
        <f t="shared" si="12"/>
        <v>7</v>
      </c>
      <c r="AF83" s="25">
        <f t="shared" si="12"/>
        <v>3</v>
      </c>
      <c r="AG83" s="15">
        <f t="shared" si="5"/>
        <v>390</v>
      </c>
    </row>
    <row r="84" spans="1:34" ht="15.75" customHeight="1" thickBot="1" x14ac:dyDescent="0.3">
      <c r="A84" s="291" t="s">
        <v>45</v>
      </c>
      <c r="B84" s="43">
        <f t="shared" ref="B84:AF84" si="13">SUM(B85:B86)</f>
        <v>14</v>
      </c>
      <c r="C84" s="43">
        <f t="shared" si="13"/>
        <v>12</v>
      </c>
      <c r="D84" s="43">
        <f t="shared" si="13"/>
        <v>24</v>
      </c>
      <c r="E84" s="43">
        <f t="shared" si="13"/>
        <v>52</v>
      </c>
      <c r="F84" s="43">
        <f t="shared" si="13"/>
        <v>18</v>
      </c>
      <c r="G84" s="43">
        <f t="shared" si="13"/>
        <v>23</v>
      </c>
      <c r="H84" s="43">
        <f t="shared" si="13"/>
        <v>16</v>
      </c>
      <c r="I84" s="43">
        <f t="shared" si="13"/>
        <v>8</v>
      </c>
      <c r="J84" s="43">
        <f t="shared" si="13"/>
        <v>5</v>
      </c>
      <c r="K84" s="43">
        <f t="shared" si="13"/>
        <v>5</v>
      </c>
      <c r="L84" s="43">
        <f t="shared" si="13"/>
        <v>47</v>
      </c>
      <c r="M84" s="43">
        <f t="shared" si="13"/>
        <v>16</v>
      </c>
      <c r="N84" s="43">
        <f t="shared" si="13"/>
        <v>6</v>
      </c>
      <c r="O84" s="43">
        <f t="shared" si="13"/>
        <v>38</v>
      </c>
      <c r="P84" s="43">
        <f t="shared" si="13"/>
        <v>10</v>
      </c>
      <c r="Q84" s="43">
        <f t="shared" si="13"/>
        <v>18</v>
      </c>
      <c r="R84" s="43">
        <f t="shared" si="13"/>
        <v>23</v>
      </c>
      <c r="S84" s="43">
        <f t="shared" si="13"/>
        <v>10</v>
      </c>
      <c r="T84" s="43">
        <f t="shared" si="13"/>
        <v>3</v>
      </c>
      <c r="U84" s="43">
        <f t="shared" si="13"/>
        <v>3</v>
      </c>
      <c r="V84" s="43">
        <f t="shared" si="13"/>
        <v>25</v>
      </c>
      <c r="W84" s="43">
        <f t="shared" si="13"/>
        <v>17</v>
      </c>
      <c r="X84" s="43">
        <f t="shared" si="13"/>
        <v>19</v>
      </c>
      <c r="Y84" s="43">
        <f t="shared" si="13"/>
        <v>5</v>
      </c>
      <c r="Z84" s="43">
        <f t="shared" si="13"/>
        <v>9</v>
      </c>
      <c r="AA84" s="43">
        <f t="shared" si="13"/>
        <v>50</v>
      </c>
      <c r="AB84" s="43">
        <f t="shared" si="13"/>
        <v>22</v>
      </c>
      <c r="AC84" s="43">
        <f t="shared" si="13"/>
        <v>39</v>
      </c>
      <c r="AD84" s="43">
        <f t="shared" si="13"/>
        <v>41</v>
      </c>
      <c r="AE84" s="43">
        <f t="shared" si="13"/>
        <v>7</v>
      </c>
      <c r="AF84" s="43">
        <f t="shared" si="13"/>
        <v>5</v>
      </c>
      <c r="AG84" s="44">
        <f t="shared" si="5"/>
        <v>590</v>
      </c>
      <c r="AH84" s="271" t="str">
        <f>IF(AG84&lt;&gt;AG82+AG83,"*","")</f>
        <v/>
      </c>
    </row>
    <row r="85" spans="1:34" ht="15.75" customHeight="1" x14ac:dyDescent="0.25">
      <c r="A85" s="292" t="s">
        <v>47</v>
      </c>
      <c r="B85" s="293">
        <v>3</v>
      </c>
      <c r="C85" s="293">
        <v>5</v>
      </c>
      <c r="D85" s="293">
        <v>6</v>
      </c>
      <c r="E85" s="293">
        <v>11</v>
      </c>
      <c r="F85" s="293">
        <v>8</v>
      </c>
      <c r="G85" s="293">
        <v>3</v>
      </c>
      <c r="H85" s="293">
        <v>0</v>
      </c>
      <c r="I85" s="293">
        <v>0</v>
      </c>
      <c r="J85" s="293">
        <v>0</v>
      </c>
      <c r="K85" s="293">
        <v>0</v>
      </c>
      <c r="L85" s="293">
        <v>13</v>
      </c>
      <c r="M85" s="293">
        <v>3</v>
      </c>
      <c r="N85" s="293">
        <v>0</v>
      </c>
      <c r="O85" s="293">
        <v>7</v>
      </c>
      <c r="P85" s="293">
        <v>0</v>
      </c>
      <c r="Q85" s="293">
        <v>5</v>
      </c>
      <c r="R85" s="293">
        <v>1</v>
      </c>
      <c r="S85" s="293">
        <v>0</v>
      </c>
      <c r="T85" s="293">
        <v>0</v>
      </c>
      <c r="U85" s="293">
        <v>1</v>
      </c>
      <c r="V85" s="293">
        <v>6</v>
      </c>
      <c r="W85" s="293">
        <v>0</v>
      </c>
      <c r="X85" s="293">
        <v>8</v>
      </c>
      <c r="Y85" s="293">
        <v>2</v>
      </c>
      <c r="Z85" s="293">
        <v>1</v>
      </c>
      <c r="AA85" s="293">
        <v>7</v>
      </c>
      <c r="AB85" s="293">
        <v>6</v>
      </c>
      <c r="AC85" s="293">
        <v>9</v>
      </c>
      <c r="AD85" s="293">
        <v>11</v>
      </c>
      <c r="AE85" s="293">
        <v>0</v>
      </c>
      <c r="AF85" s="293">
        <v>0</v>
      </c>
      <c r="AG85" s="48">
        <f t="shared" si="5"/>
        <v>116</v>
      </c>
    </row>
    <row r="86" spans="1:34" ht="15.75" customHeight="1" thickBot="1" x14ac:dyDescent="0.3">
      <c r="A86" s="294" t="s">
        <v>48</v>
      </c>
      <c r="B86" s="295">
        <v>11</v>
      </c>
      <c r="C86" s="295">
        <v>7</v>
      </c>
      <c r="D86" s="295">
        <v>18</v>
      </c>
      <c r="E86" s="295">
        <v>41</v>
      </c>
      <c r="F86" s="295">
        <v>10</v>
      </c>
      <c r="G86" s="295">
        <v>20</v>
      </c>
      <c r="H86" s="295">
        <v>16</v>
      </c>
      <c r="I86" s="295">
        <v>8</v>
      </c>
      <c r="J86" s="295">
        <v>5</v>
      </c>
      <c r="K86" s="295">
        <v>5</v>
      </c>
      <c r="L86" s="295">
        <v>34</v>
      </c>
      <c r="M86" s="295">
        <v>13</v>
      </c>
      <c r="N86" s="295">
        <v>6</v>
      </c>
      <c r="O86" s="295">
        <v>31</v>
      </c>
      <c r="P86" s="295">
        <v>10</v>
      </c>
      <c r="Q86" s="295">
        <v>13</v>
      </c>
      <c r="R86" s="295">
        <v>22</v>
      </c>
      <c r="S86" s="295">
        <v>10</v>
      </c>
      <c r="T86" s="295">
        <v>3</v>
      </c>
      <c r="U86" s="295">
        <v>2</v>
      </c>
      <c r="V86" s="295">
        <v>19</v>
      </c>
      <c r="W86" s="295">
        <v>17</v>
      </c>
      <c r="X86" s="295">
        <v>11</v>
      </c>
      <c r="Y86" s="295">
        <v>3</v>
      </c>
      <c r="Z86" s="295">
        <v>8</v>
      </c>
      <c r="AA86" s="295">
        <v>43</v>
      </c>
      <c r="AB86" s="295">
        <v>16</v>
      </c>
      <c r="AC86" s="295">
        <v>30</v>
      </c>
      <c r="AD86" s="295">
        <v>30</v>
      </c>
      <c r="AE86" s="295">
        <v>7</v>
      </c>
      <c r="AF86" s="295">
        <v>5</v>
      </c>
      <c r="AG86" s="52">
        <f t="shared" si="5"/>
        <v>474</v>
      </c>
    </row>
    <row r="87" spans="1:34" ht="15.75" customHeight="1" thickBot="1" x14ac:dyDescent="0.3">
      <c r="A87" s="296" t="s">
        <v>49</v>
      </c>
      <c r="B87" s="55">
        <f t="shared" ref="B87:AF87" si="14">SUM(B88:B92)</f>
        <v>14</v>
      </c>
      <c r="C87" s="55">
        <f t="shared" si="14"/>
        <v>12</v>
      </c>
      <c r="D87" s="55">
        <f t="shared" si="14"/>
        <v>24</v>
      </c>
      <c r="E87" s="55">
        <f t="shared" si="14"/>
        <v>52</v>
      </c>
      <c r="F87" s="55">
        <f t="shared" si="14"/>
        <v>18</v>
      </c>
      <c r="G87" s="55">
        <f t="shared" si="14"/>
        <v>23</v>
      </c>
      <c r="H87" s="55">
        <f t="shared" si="14"/>
        <v>16</v>
      </c>
      <c r="I87" s="55">
        <f t="shared" si="14"/>
        <v>8</v>
      </c>
      <c r="J87" s="55">
        <f t="shared" si="14"/>
        <v>5</v>
      </c>
      <c r="K87" s="55">
        <f t="shared" si="14"/>
        <v>5</v>
      </c>
      <c r="L87" s="55">
        <f t="shared" si="14"/>
        <v>47</v>
      </c>
      <c r="M87" s="55">
        <f t="shared" si="14"/>
        <v>16</v>
      </c>
      <c r="N87" s="55">
        <f t="shared" si="14"/>
        <v>6</v>
      </c>
      <c r="O87" s="55">
        <f t="shared" si="14"/>
        <v>38</v>
      </c>
      <c r="P87" s="55">
        <f t="shared" si="14"/>
        <v>10</v>
      </c>
      <c r="Q87" s="55">
        <f t="shared" si="14"/>
        <v>18</v>
      </c>
      <c r="R87" s="55">
        <f t="shared" si="14"/>
        <v>23</v>
      </c>
      <c r="S87" s="55">
        <f t="shared" si="14"/>
        <v>10</v>
      </c>
      <c r="T87" s="55">
        <f t="shared" si="14"/>
        <v>3</v>
      </c>
      <c r="U87" s="55">
        <f t="shared" si="14"/>
        <v>3</v>
      </c>
      <c r="V87" s="55">
        <f t="shared" si="14"/>
        <v>25</v>
      </c>
      <c r="W87" s="55">
        <f t="shared" si="14"/>
        <v>17</v>
      </c>
      <c r="X87" s="55">
        <f t="shared" si="14"/>
        <v>19</v>
      </c>
      <c r="Y87" s="55">
        <f t="shared" si="14"/>
        <v>5</v>
      </c>
      <c r="Z87" s="55">
        <f t="shared" si="14"/>
        <v>9</v>
      </c>
      <c r="AA87" s="55">
        <f t="shared" si="14"/>
        <v>50</v>
      </c>
      <c r="AB87" s="55">
        <f t="shared" si="14"/>
        <v>22</v>
      </c>
      <c r="AC87" s="55">
        <f t="shared" si="14"/>
        <v>39</v>
      </c>
      <c r="AD87" s="55">
        <f t="shared" si="14"/>
        <v>41</v>
      </c>
      <c r="AE87" s="55">
        <f t="shared" si="14"/>
        <v>7</v>
      </c>
      <c r="AF87" s="55">
        <f t="shared" si="14"/>
        <v>5</v>
      </c>
      <c r="AG87" s="56">
        <f t="shared" si="5"/>
        <v>590</v>
      </c>
      <c r="AH87" s="271" t="str">
        <f>IF(AG87&lt;&gt;AG84,"*","")</f>
        <v/>
      </c>
    </row>
    <row r="88" spans="1:34" ht="15.75" customHeight="1" x14ac:dyDescent="0.25">
      <c r="A88" s="297" t="s">
        <v>50</v>
      </c>
      <c r="B88" s="284">
        <v>1</v>
      </c>
      <c r="C88" s="284">
        <v>4</v>
      </c>
      <c r="D88" s="284">
        <v>6</v>
      </c>
      <c r="E88" s="284">
        <v>14</v>
      </c>
      <c r="F88" s="284">
        <v>2</v>
      </c>
      <c r="G88" s="284">
        <v>7</v>
      </c>
      <c r="H88" s="284">
        <v>12</v>
      </c>
      <c r="I88" s="284">
        <v>5</v>
      </c>
      <c r="J88" s="284">
        <v>5</v>
      </c>
      <c r="K88" s="284">
        <v>2</v>
      </c>
      <c r="L88" s="284">
        <v>13</v>
      </c>
      <c r="M88" s="284">
        <v>6</v>
      </c>
      <c r="N88" s="284">
        <v>5</v>
      </c>
      <c r="O88" s="284">
        <v>7</v>
      </c>
      <c r="P88" s="284">
        <v>8</v>
      </c>
      <c r="Q88" s="284">
        <v>11</v>
      </c>
      <c r="R88" s="284">
        <v>6</v>
      </c>
      <c r="S88" s="284">
        <v>4</v>
      </c>
      <c r="T88" s="284">
        <v>0</v>
      </c>
      <c r="U88" s="284">
        <v>2</v>
      </c>
      <c r="V88" s="284">
        <v>4</v>
      </c>
      <c r="W88" s="284">
        <v>6</v>
      </c>
      <c r="X88" s="284">
        <v>5</v>
      </c>
      <c r="Y88" s="284">
        <v>2</v>
      </c>
      <c r="Z88" s="284">
        <v>2</v>
      </c>
      <c r="AA88" s="284">
        <v>12</v>
      </c>
      <c r="AB88" s="284">
        <v>6</v>
      </c>
      <c r="AC88" s="284">
        <v>7</v>
      </c>
      <c r="AD88" s="284">
        <v>13</v>
      </c>
      <c r="AE88" s="284">
        <v>1</v>
      </c>
      <c r="AF88" s="284">
        <v>1</v>
      </c>
      <c r="AG88" s="11">
        <f t="shared" si="5"/>
        <v>179</v>
      </c>
    </row>
    <row r="89" spans="1:34" ht="15.75" customHeight="1" x14ac:dyDescent="0.25">
      <c r="A89" s="298" t="s">
        <v>51</v>
      </c>
      <c r="B89" s="284">
        <v>0</v>
      </c>
      <c r="C89" s="284">
        <v>0</v>
      </c>
      <c r="D89" s="284">
        <v>0</v>
      </c>
      <c r="E89" s="284">
        <v>0</v>
      </c>
      <c r="F89" s="284">
        <v>0</v>
      </c>
      <c r="G89" s="284">
        <v>0</v>
      </c>
      <c r="H89" s="284">
        <v>0</v>
      </c>
      <c r="I89" s="284">
        <v>0</v>
      </c>
      <c r="J89" s="284">
        <v>0</v>
      </c>
      <c r="K89" s="284">
        <v>0</v>
      </c>
      <c r="L89" s="284">
        <v>0</v>
      </c>
      <c r="M89" s="284">
        <v>0</v>
      </c>
      <c r="N89" s="284">
        <v>0</v>
      </c>
      <c r="O89" s="284">
        <v>0</v>
      </c>
      <c r="P89" s="284">
        <v>0</v>
      </c>
      <c r="Q89" s="284">
        <v>0</v>
      </c>
      <c r="R89" s="284">
        <v>0</v>
      </c>
      <c r="S89" s="284">
        <v>0</v>
      </c>
      <c r="T89" s="284">
        <v>0</v>
      </c>
      <c r="U89" s="284">
        <v>0</v>
      </c>
      <c r="V89" s="284">
        <v>0</v>
      </c>
      <c r="W89" s="284">
        <v>0</v>
      </c>
      <c r="X89" s="284">
        <v>0</v>
      </c>
      <c r="Y89" s="284">
        <v>0</v>
      </c>
      <c r="Z89" s="284">
        <v>0</v>
      </c>
      <c r="AA89" s="284">
        <v>0</v>
      </c>
      <c r="AB89" s="284">
        <v>0</v>
      </c>
      <c r="AC89" s="284">
        <v>0</v>
      </c>
      <c r="AD89" s="284">
        <v>0</v>
      </c>
      <c r="AE89" s="284">
        <v>0</v>
      </c>
      <c r="AF89" s="284">
        <v>0</v>
      </c>
      <c r="AG89" s="15">
        <f t="shared" si="5"/>
        <v>0</v>
      </c>
    </row>
    <row r="90" spans="1:34" ht="15.75" customHeight="1" x14ac:dyDescent="0.25">
      <c r="A90" s="298" t="s">
        <v>52</v>
      </c>
      <c r="B90" s="284">
        <v>0</v>
      </c>
      <c r="C90" s="284">
        <v>0</v>
      </c>
      <c r="D90" s="284">
        <v>0</v>
      </c>
      <c r="E90" s="284">
        <v>1</v>
      </c>
      <c r="F90" s="284">
        <v>1</v>
      </c>
      <c r="G90" s="284">
        <v>1</v>
      </c>
      <c r="H90" s="284">
        <v>0</v>
      </c>
      <c r="I90" s="284">
        <v>1</v>
      </c>
      <c r="J90" s="284">
        <v>0</v>
      </c>
      <c r="K90" s="284">
        <v>1</v>
      </c>
      <c r="L90" s="284">
        <v>0</v>
      </c>
      <c r="M90" s="284">
        <v>0</v>
      </c>
      <c r="N90" s="284">
        <v>0</v>
      </c>
      <c r="O90" s="284">
        <v>1</v>
      </c>
      <c r="P90" s="284">
        <v>0</v>
      </c>
      <c r="Q90" s="284">
        <v>0</v>
      </c>
      <c r="R90" s="284">
        <v>0</v>
      </c>
      <c r="S90" s="284">
        <v>0</v>
      </c>
      <c r="T90" s="284">
        <v>0</v>
      </c>
      <c r="U90" s="284">
        <v>0</v>
      </c>
      <c r="V90" s="284">
        <v>0</v>
      </c>
      <c r="W90" s="284">
        <v>0</v>
      </c>
      <c r="X90" s="284">
        <v>0</v>
      </c>
      <c r="Y90" s="284">
        <v>0</v>
      </c>
      <c r="Z90" s="284">
        <v>1</v>
      </c>
      <c r="AA90" s="284">
        <v>0</v>
      </c>
      <c r="AB90" s="284">
        <v>0</v>
      </c>
      <c r="AC90" s="284">
        <v>0</v>
      </c>
      <c r="AD90" s="284">
        <v>0</v>
      </c>
      <c r="AE90" s="284">
        <v>0</v>
      </c>
      <c r="AF90" s="284">
        <v>0</v>
      </c>
      <c r="AG90" s="15">
        <f t="shared" si="5"/>
        <v>7</v>
      </c>
    </row>
    <row r="91" spans="1:34" ht="15.75" customHeight="1" x14ac:dyDescent="0.25">
      <c r="A91" s="298" t="s">
        <v>53</v>
      </c>
      <c r="B91" s="284">
        <v>9</v>
      </c>
      <c r="C91" s="284">
        <v>2</v>
      </c>
      <c r="D91" s="284">
        <v>10</v>
      </c>
      <c r="E91" s="284">
        <v>22</v>
      </c>
      <c r="F91" s="284">
        <v>12</v>
      </c>
      <c r="G91" s="284">
        <v>10</v>
      </c>
      <c r="H91" s="284">
        <v>1</v>
      </c>
      <c r="I91" s="284">
        <v>2</v>
      </c>
      <c r="J91" s="284">
        <v>0</v>
      </c>
      <c r="K91" s="284">
        <v>1</v>
      </c>
      <c r="L91" s="284">
        <v>18</v>
      </c>
      <c r="M91" s="284">
        <v>3</v>
      </c>
      <c r="N91" s="284">
        <v>1</v>
      </c>
      <c r="O91" s="284">
        <v>27</v>
      </c>
      <c r="P91" s="284">
        <v>2</v>
      </c>
      <c r="Q91" s="284">
        <v>4</v>
      </c>
      <c r="R91" s="284">
        <v>8</v>
      </c>
      <c r="S91" s="284">
        <v>2</v>
      </c>
      <c r="T91" s="284">
        <v>3</v>
      </c>
      <c r="U91" s="284">
        <v>1</v>
      </c>
      <c r="V91" s="284">
        <v>7</v>
      </c>
      <c r="W91" s="284">
        <v>7</v>
      </c>
      <c r="X91" s="284">
        <v>11</v>
      </c>
      <c r="Y91" s="284">
        <v>3</v>
      </c>
      <c r="Z91" s="284">
        <v>1</v>
      </c>
      <c r="AA91" s="284">
        <v>27</v>
      </c>
      <c r="AB91" s="284">
        <v>12</v>
      </c>
      <c r="AC91" s="284">
        <v>16</v>
      </c>
      <c r="AD91" s="284">
        <v>16</v>
      </c>
      <c r="AE91" s="284">
        <v>2</v>
      </c>
      <c r="AF91" s="284">
        <v>1</v>
      </c>
      <c r="AG91" s="15">
        <f t="shared" si="5"/>
        <v>241</v>
      </c>
    </row>
    <row r="92" spans="1:34" ht="15.75" customHeight="1" thickBot="1" x14ac:dyDescent="0.3">
      <c r="A92" s="298" t="s">
        <v>54</v>
      </c>
      <c r="B92" s="284">
        <v>4</v>
      </c>
      <c r="C92" s="284">
        <v>6</v>
      </c>
      <c r="D92" s="284">
        <v>8</v>
      </c>
      <c r="E92" s="284">
        <v>15</v>
      </c>
      <c r="F92" s="284">
        <v>3</v>
      </c>
      <c r="G92" s="284">
        <v>5</v>
      </c>
      <c r="H92" s="284">
        <v>3</v>
      </c>
      <c r="I92" s="284">
        <v>0</v>
      </c>
      <c r="J92" s="284">
        <v>0</v>
      </c>
      <c r="K92" s="284">
        <v>1</v>
      </c>
      <c r="L92" s="284">
        <v>16</v>
      </c>
      <c r="M92" s="284">
        <v>7</v>
      </c>
      <c r="N92" s="284">
        <v>0</v>
      </c>
      <c r="O92" s="284">
        <v>3</v>
      </c>
      <c r="P92" s="284">
        <v>0</v>
      </c>
      <c r="Q92" s="284">
        <v>3</v>
      </c>
      <c r="R92" s="284">
        <v>9</v>
      </c>
      <c r="S92" s="284">
        <v>4</v>
      </c>
      <c r="T92" s="284">
        <v>0</v>
      </c>
      <c r="U92" s="284">
        <v>0</v>
      </c>
      <c r="V92" s="284">
        <v>14</v>
      </c>
      <c r="W92" s="284">
        <v>4</v>
      </c>
      <c r="X92" s="284">
        <v>3</v>
      </c>
      <c r="Y92" s="284">
        <v>0</v>
      </c>
      <c r="Z92" s="284">
        <v>5</v>
      </c>
      <c r="AA92" s="284">
        <v>11</v>
      </c>
      <c r="AB92" s="284">
        <v>4</v>
      </c>
      <c r="AC92" s="284">
        <v>16</v>
      </c>
      <c r="AD92" s="284">
        <v>12</v>
      </c>
      <c r="AE92" s="284">
        <v>4</v>
      </c>
      <c r="AF92" s="284">
        <v>3</v>
      </c>
      <c r="AG92" s="15">
        <f t="shared" si="5"/>
        <v>163</v>
      </c>
    </row>
    <row r="93" spans="1:34" ht="15.75" customHeight="1" x14ac:dyDescent="0.25">
      <c r="A93" s="299" t="s">
        <v>55</v>
      </c>
      <c r="B93" s="62">
        <f t="shared" ref="B93:AF93" si="15">+B94+B100</f>
        <v>186</v>
      </c>
      <c r="C93" s="62">
        <f t="shared" si="15"/>
        <v>202</v>
      </c>
      <c r="D93" s="62">
        <f t="shared" si="15"/>
        <v>163</v>
      </c>
      <c r="E93" s="62">
        <f t="shared" si="15"/>
        <v>217</v>
      </c>
      <c r="F93" s="62">
        <f t="shared" si="15"/>
        <v>225</v>
      </c>
      <c r="G93" s="62">
        <f t="shared" si="15"/>
        <v>198</v>
      </c>
      <c r="H93" s="62">
        <f t="shared" si="15"/>
        <v>210</v>
      </c>
      <c r="I93" s="62">
        <f t="shared" si="15"/>
        <v>226</v>
      </c>
      <c r="J93" s="62">
        <f t="shared" si="15"/>
        <v>183</v>
      </c>
      <c r="K93" s="62">
        <f t="shared" si="15"/>
        <v>213</v>
      </c>
      <c r="L93" s="62">
        <f t="shared" si="15"/>
        <v>217</v>
      </c>
      <c r="M93" s="62">
        <f t="shared" si="15"/>
        <v>219</v>
      </c>
      <c r="N93" s="62">
        <f t="shared" si="15"/>
        <v>192</v>
      </c>
      <c r="O93" s="62">
        <f t="shared" si="15"/>
        <v>181</v>
      </c>
      <c r="P93" s="62">
        <f t="shared" si="15"/>
        <v>181</v>
      </c>
      <c r="Q93" s="62">
        <f t="shared" si="15"/>
        <v>206</v>
      </c>
      <c r="R93" s="62">
        <f t="shared" si="15"/>
        <v>233</v>
      </c>
      <c r="S93" s="62">
        <f t="shared" si="15"/>
        <v>221</v>
      </c>
      <c r="T93" s="62">
        <f t="shared" si="15"/>
        <v>199</v>
      </c>
      <c r="U93" s="62">
        <f t="shared" si="15"/>
        <v>207</v>
      </c>
      <c r="V93" s="62">
        <f t="shared" si="15"/>
        <v>189</v>
      </c>
      <c r="W93" s="62">
        <f t="shared" si="15"/>
        <v>201</v>
      </c>
      <c r="X93" s="62">
        <f t="shared" si="15"/>
        <v>198</v>
      </c>
      <c r="Y93" s="62">
        <f t="shared" si="15"/>
        <v>147</v>
      </c>
      <c r="Z93" s="62">
        <f t="shared" si="15"/>
        <v>209</v>
      </c>
      <c r="AA93" s="62">
        <f t="shared" si="15"/>
        <v>233</v>
      </c>
      <c r="AB93" s="62">
        <f t="shared" si="15"/>
        <v>257</v>
      </c>
      <c r="AC93" s="62">
        <f t="shared" si="15"/>
        <v>206</v>
      </c>
      <c r="AD93" s="62">
        <f t="shared" si="15"/>
        <v>194</v>
      </c>
      <c r="AE93" s="62">
        <f t="shared" si="15"/>
        <v>200</v>
      </c>
      <c r="AF93" s="62">
        <f t="shared" si="15"/>
        <v>141</v>
      </c>
      <c r="AG93" s="15">
        <f t="shared" si="5"/>
        <v>6254</v>
      </c>
      <c r="AH93" s="271" t="str">
        <f>IF(AG93&lt;&gt;AG28,"*","")</f>
        <v/>
      </c>
    </row>
    <row r="94" spans="1:34" ht="15.75" customHeight="1" x14ac:dyDescent="0.25">
      <c r="A94" s="300" t="s">
        <v>56</v>
      </c>
      <c r="B94" s="66">
        <f t="shared" ref="B94:AF94" si="16">SUM(B95:B99)</f>
        <v>28</v>
      </c>
      <c r="C94" s="66">
        <f t="shared" si="16"/>
        <v>42</v>
      </c>
      <c r="D94" s="66">
        <f t="shared" si="16"/>
        <v>32</v>
      </c>
      <c r="E94" s="66">
        <f t="shared" si="16"/>
        <v>44</v>
      </c>
      <c r="F94" s="66">
        <f t="shared" si="16"/>
        <v>37</v>
      </c>
      <c r="G94" s="66">
        <f t="shared" si="16"/>
        <v>30</v>
      </c>
      <c r="H94" s="66">
        <f t="shared" si="16"/>
        <v>41</v>
      </c>
      <c r="I94" s="66">
        <f t="shared" si="16"/>
        <v>44</v>
      </c>
      <c r="J94" s="66">
        <f t="shared" si="16"/>
        <v>28</v>
      </c>
      <c r="K94" s="66">
        <f t="shared" si="16"/>
        <v>37</v>
      </c>
      <c r="L94" s="66">
        <f t="shared" si="16"/>
        <v>53</v>
      </c>
      <c r="M94" s="66">
        <f t="shared" si="16"/>
        <v>30</v>
      </c>
      <c r="N94" s="66">
        <f t="shared" si="16"/>
        <v>29</v>
      </c>
      <c r="O94" s="66">
        <f t="shared" si="16"/>
        <v>30</v>
      </c>
      <c r="P94" s="66">
        <f t="shared" si="16"/>
        <v>26</v>
      </c>
      <c r="Q94" s="66">
        <f t="shared" si="16"/>
        <v>27</v>
      </c>
      <c r="R94" s="66">
        <f t="shared" si="16"/>
        <v>32</v>
      </c>
      <c r="S94" s="66">
        <f t="shared" si="16"/>
        <v>29</v>
      </c>
      <c r="T94" s="66">
        <f t="shared" si="16"/>
        <v>32</v>
      </c>
      <c r="U94" s="66">
        <f t="shared" si="16"/>
        <v>34</v>
      </c>
      <c r="V94" s="66">
        <f t="shared" si="16"/>
        <v>31</v>
      </c>
      <c r="W94" s="66">
        <f t="shared" si="16"/>
        <v>35</v>
      </c>
      <c r="X94" s="66">
        <f t="shared" si="16"/>
        <v>45</v>
      </c>
      <c r="Y94" s="66">
        <f t="shared" si="16"/>
        <v>29</v>
      </c>
      <c r="Z94" s="66">
        <f t="shared" si="16"/>
        <v>41</v>
      </c>
      <c r="AA94" s="66">
        <f t="shared" si="16"/>
        <v>33</v>
      </c>
      <c r="AB94" s="66">
        <f t="shared" si="16"/>
        <v>49</v>
      </c>
      <c r="AC94" s="66">
        <f t="shared" si="16"/>
        <v>32</v>
      </c>
      <c r="AD94" s="66">
        <f t="shared" si="16"/>
        <v>33</v>
      </c>
      <c r="AE94" s="66">
        <f t="shared" si="16"/>
        <v>29</v>
      </c>
      <c r="AF94" s="66">
        <f t="shared" si="16"/>
        <v>21</v>
      </c>
      <c r="AG94" s="15">
        <f t="shared" si="5"/>
        <v>1063</v>
      </c>
    </row>
    <row r="95" spans="1:34" ht="15.75" customHeight="1" x14ac:dyDescent="0.25">
      <c r="A95" s="302" t="s">
        <v>57</v>
      </c>
      <c r="B95" s="278">
        <v>3</v>
      </c>
      <c r="C95" s="278">
        <v>3</v>
      </c>
      <c r="D95" s="278">
        <v>0</v>
      </c>
      <c r="E95" s="278">
        <v>2</v>
      </c>
      <c r="F95" s="278">
        <v>0</v>
      </c>
      <c r="G95" s="278">
        <v>2</v>
      </c>
      <c r="H95" s="278">
        <v>0</v>
      </c>
      <c r="I95" s="278">
        <v>2</v>
      </c>
      <c r="J95" s="278">
        <v>0</v>
      </c>
      <c r="K95" s="278">
        <v>0</v>
      </c>
      <c r="L95" s="278">
        <v>1</v>
      </c>
      <c r="M95" s="278">
        <v>0</v>
      </c>
      <c r="N95" s="278">
        <v>0</v>
      </c>
      <c r="O95" s="278">
        <v>0</v>
      </c>
      <c r="P95" s="278">
        <v>0</v>
      </c>
      <c r="Q95" s="278">
        <v>1</v>
      </c>
      <c r="R95" s="278">
        <v>0</v>
      </c>
      <c r="S95" s="278">
        <v>0</v>
      </c>
      <c r="T95" s="278">
        <v>3</v>
      </c>
      <c r="U95" s="278">
        <v>2</v>
      </c>
      <c r="V95" s="278">
        <v>2</v>
      </c>
      <c r="W95" s="278">
        <v>0</v>
      </c>
      <c r="X95" s="278">
        <v>2</v>
      </c>
      <c r="Y95" s="278">
        <v>1</v>
      </c>
      <c r="Z95" s="278">
        <v>1</v>
      </c>
      <c r="AA95" s="278">
        <v>1</v>
      </c>
      <c r="AB95" s="278">
        <v>1</v>
      </c>
      <c r="AC95" s="278">
        <v>1</v>
      </c>
      <c r="AD95" s="278">
        <v>1</v>
      </c>
      <c r="AE95" s="278">
        <v>1</v>
      </c>
      <c r="AF95" s="278">
        <v>1</v>
      </c>
      <c r="AG95" s="15">
        <f t="shared" si="5"/>
        <v>31</v>
      </c>
    </row>
    <row r="96" spans="1:34" ht="15.75" customHeight="1" x14ac:dyDescent="0.25">
      <c r="A96" s="303" t="s">
        <v>58</v>
      </c>
      <c r="B96" s="278">
        <v>1</v>
      </c>
      <c r="C96" s="278">
        <v>2</v>
      </c>
      <c r="D96" s="278">
        <v>4</v>
      </c>
      <c r="E96" s="278">
        <v>2</v>
      </c>
      <c r="F96" s="278">
        <v>2</v>
      </c>
      <c r="G96" s="278">
        <v>0</v>
      </c>
      <c r="H96" s="278">
        <v>2</v>
      </c>
      <c r="I96" s="278">
        <v>1</v>
      </c>
      <c r="J96" s="278">
        <v>0</v>
      </c>
      <c r="K96" s="278">
        <v>0</v>
      </c>
      <c r="L96" s="278">
        <v>2</v>
      </c>
      <c r="M96" s="278">
        <v>0</v>
      </c>
      <c r="N96" s="278">
        <v>1</v>
      </c>
      <c r="O96" s="278">
        <v>2</v>
      </c>
      <c r="P96" s="278">
        <v>1</v>
      </c>
      <c r="Q96" s="278">
        <v>2</v>
      </c>
      <c r="R96" s="278">
        <v>1</v>
      </c>
      <c r="S96" s="278">
        <v>2</v>
      </c>
      <c r="T96" s="278">
        <v>1</v>
      </c>
      <c r="U96" s="278">
        <v>2</v>
      </c>
      <c r="V96" s="278">
        <v>2</v>
      </c>
      <c r="W96" s="278">
        <v>5</v>
      </c>
      <c r="X96" s="278">
        <v>6</v>
      </c>
      <c r="Y96" s="278">
        <v>1</v>
      </c>
      <c r="Z96" s="278">
        <v>5</v>
      </c>
      <c r="AA96" s="278">
        <v>5</v>
      </c>
      <c r="AB96" s="278">
        <v>4</v>
      </c>
      <c r="AC96" s="278">
        <v>5</v>
      </c>
      <c r="AD96" s="278">
        <v>3</v>
      </c>
      <c r="AE96" s="278">
        <v>3</v>
      </c>
      <c r="AF96" s="278">
        <v>0</v>
      </c>
      <c r="AG96" s="15">
        <f t="shared" si="5"/>
        <v>67</v>
      </c>
    </row>
    <row r="97" spans="1:33" ht="15.75" customHeight="1" x14ac:dyDescent="0.25">
      <c r="A97" s="304" t="s">
        <v>59</v>
      </c>
      <c r="B97" s="278">
        <v>5</v>
      </c>
      <c r="C97" s="278">
        <v>13</v>
      </c>
      <c r="D97" s="278">
        <v>5</v>
      </c>
      <c r="E97" s="278">
        <v>9</v>
      </c>
      <c r="F97" s="278">
        <v>10</v>
      </c>
      <c r="G97" s="278">
        <v>7</v>
      </c>
      <c r="H97" s="278">
        <v>6</v>
      </c>
      <c r="I97" s="278">
        <v>12</v>
      </c>
      <c r="J97" s="278">
        <v>3</v>
      </c>
      <c r="K97" s="278">
        <v>10</v>
      </c>
      <c r="L97" s="278">
        <v>14</v>
      </c>
      <c r="M97" s="278">
        <v>5</v>
      </c>
      <c r="N97" s="278">
        <v>10</v>
      </c>
      <c r="O97" s="278">
        <v>11</v>
      </c>
      <c r="P97" s="278">
        <v>2</v>
      </c>
      <c r="Q97" s="278">
        <v>8</v>
      </c>
      <c r="R97" s="278">
        <v>6</v>
      </c>
      <c r="S97" s="278">
        <v>10</v>
      </c>
      <c r="T97" s="278">
        <v>7</v>
      </c>
      <c r="U97" s="278">
        <v>7</v>
      </c>
      <c r="V97" s="278">
        <v>10</v>
      </c>
      <c r="W97" s="278">
        <v>13</v>
      </c>
      <c r="X97" s="278">
        <v>15</v>
      </c>
      <c r="Y97" s="278">
        <v>10</v>
      </c>
      <c r="Z97" s="278">
        <v>18</v>
      </c>
      <c r="AA97" s="278">
        <v>10</v>
      </c>
      <c r="AB97" s="278">
        <v>15</v>
      </c>
      <c r="AC97" s="278">
        <v>7</v>
      </c>
      <c r="AD97" s="278">
        <v>8</v>
      </c>
      <c r="AE97" s="278">
        <v>6</v>
      </c>
      <c r="AF97" s="278">
        <v>7</v>
      </c>
      <c r="AG97" s="15">
        <f t="shared" si="5"/>
        <v>279</v>
      </c>
    </row>
    <row r="98" spans="1:33" ht="15.75" customHeight="1" x14ac:dyDescent="0.25">
      <c r="A98" s="305" t="s">
        <v>60</v>
      </c>
      <c r="B98" s="278">
        <v>9</v>
      </c>
      <c r="C98" s="278">
        <v>12</v>
      </c>
      <c r="D98" s="278">
        <v>12</v>
      </c>
      <c r="E98" s="278">
        <v>21</v>
      </c>
      <c r="F98" s="278">
        <v>16</v>
      </c>
      <c r="G98" s="278">
        <v>9</v>
      </c>
      <c r="H98" s="278">
        <v>23</v>
      </c>
      <c r="I98" s="278">
        <v>21</v>
      </c>
      <c r="J98" s="278">
        <v>17</v>
      </c>
      <c r="K98" s="278">
        <v>14</v>
      </c>
      <c r="L98" s="278">
        <v>21</v>
      </c>
      <c r="M98" s="278">
        <v>13</v>
      </c>
      <c r="N98" s="278">
        <v>7</v>
      </c>
      <c r="O98" s="278">
        <v>6</v>
      </c>
      <c r="P98" s="278">
        <v>11</v>
      </c>
      <c r="Q98" s="278">
        <v>7</v>
      </c>
      <c r="R98" s="278">
        <v>13</v>
      </c>
      <c r="S98" s="278">
        <v>14</v>
      </c>
      <c r="T98" s="278">
        <v>12</v>
      </c>
      <c r="U98" s="278">
        <v>15</v>
      </c>
      <c r="V98" s="278">
        <v>11</v>
      </c>
      <c r="W98" s="278">
        <v>10</v>
      </c>
      <c r="X98" s="278">
        <v>11</v>
      </c>
      <c r="Y98" s="278">
        <v>13</v>
      </c>
      <c r="Z98" s="278">
        <v>7</v>
      </c>
      <c r="AA98" s="278">
        <v>12</v>
      </c>
      <c r="AB98" s="278">
        <v>18</v>
      </c>
      <c r="AC98" s="278">
        <v>11</v>
      </c>
      <c r="AD98" s="278">
        <v>14</v>
      </c>
      <c r="AE98" s="278">
        <v>9</v>
      </c>
      <c r="AF98" s="278">
        <v>10</v>
      </c>
      <c r="AG98" s="15">
        <f t="shared" si="5"/>
        <v>399</v>
      </c>
    </row>
    <row r="99" spans="1:33" ht="15.75" customHeight="1" x14ac:dyDescent="0.25">
      <c r="A99" s="306" t="s">
        <v>61</v>
      </c>
      <c r="B99" s="278">
        <v>10</v>
      </c>
      <c r="C99" s="278">
        <v>12</v>
      </c>
      <c r="D99" s="278">
        <v>11</v>
      </c>
      <c r="E99" s="278">
        <v>10</v>
      </c>
      <c r="F99" s="278">
        <v>9</v>
      </c>
      <c r="G99" s="278">
        <v>12</v>
      </c>
      <c r="H99" s="278">
        <v>10</v>
      </c>
      <c r="I99" s="278">
        <v>8</v>
      </c>
      <c r="J99" s="278">
        <v>8</v>
      </c>
      <c r="K99" s="278">
        <v>13</v>
      </c>
      <c r="L99" s="278">
        <v>15</v>
      </c>
      <c r="M99" s="278">
        <v>12</v>
      </c>
      <c r="N99" s="278">
        <v>11</v>
      </c>
      <c r="O99" s="278">
        <v>11</v>
      </c>
      <c r="P99" s="278">
        <v>12</v>
      </c>
      <c r="Q99" s="278">
        <v>9</v>
      </c>
      <c r="R99" s="278">
        <v>12</v>
      </c>
      <c r="S99" s="278">
        <v>3</v>
      </c>
      <c r="T99" s="278">
        <v>9</v>
      </c>
      <c r="U99" s="278">
        <v>8</v>
      </c>
      <c r="V99" s="278">
        <v>6</v>
      </c>
      <c r="W99" s="278">
        <v>7</v>
      </c>
      <c r="X99" s="278">
        <v>11</v>
      </c>
      <c r="Y99" s="278">
        <v>4</v>
      </c>
      <c r="Z99" s="278">
        <v>10</v>
      </c>
      <c r="AA99" s="278">
        <v>5</v>
      </c>
      <c r="AB99" s="278">
        <v>11</v>
      </c>
      <c r="AC99" s="278">
        <v>8</v>
      </c>
      <c r="AD99" s="278">
        <v>7</v>
      </c>
      <c r="AE99" s="278">
        <v>10</v>
      </c>
      <c r="AF99" s="278">
        <v>3</v>
      </c>
      <c r="AG99" s="15">
        <f t="shared" ref="AG99:AG162" si="17">SUM(B99:AF99)</f>
        <v>287</v>
      </c>
    </row>
    <row r="100" spans="1:33" ht="15.75" customHeight="1" x14ac:dyDescent="0.25">
      <c r="A100" s="300" t="s">
        <v>62</v>
      </c>
      <c r="B100" s="66">
        <f t="shared" ref="B100:AF100" si="18">SUM(B101:B115)</f>
        <v>158</v>
      </c>
      <c r="C100" s="66">
        <f t="shared" si="18"/>
        <v>160</v>
      </c>
      <c r="D100" s="66">
        <f t="shared" si="18"/>
        <v>131</v>
      </c>
      <c r="E100" s="66">
        <f t="shared" si="18"/>
        <v>173</v>
      </c>
      <c r="F100" s="66">
        <f t="shared" si="18"/>
        <v>188</v>
      </c>
      <c r="G100" s="66">
        <f t="shared" si="18"/>
        <v>168</v>
      </c>
      <c r="H100" s="66">
        <f t="shared" si="18"/>
        <v>169</v>
      </c>
      <c r="I100" s="66">
        <f t="shared" si="18"/>
        <v>182</v>
      </c>
      <c r="J100" s="66">
        <f t="shared" si="18"/>
        <v>155</v>
      </c>
      <c r="K100" s="66">
        <f t="shared" si="18"/>
        <v>176</v>
      </c>
      <c r="L100" s="66">
        <f t="shared" si="18"/>
        <v>164</v>
      </c>
      <c r="M100" s="66">
        <f t="shared" si="18"/>
        <v>189</v>
      </c>
      <c r="N100" s="66">
        <f t="shared" si="18"/>
        <v>163</v>
      </c>
      <c r="O100" s="66">
        <f t="shared" si="18"/>
        <v>151</v>
      </c>
      <c r="P100" s="66">
        <f t="shared" si="18"/>
        <v>155</v>
      </c>
      <c r="Q100" s="66">
        <f t="shared" si="18"/>
        <v>179</v>
      </c>
      <c r="R100" s="66">
        <f t="shared" si="18"/>
        <v>201</v>
      </c>
      <c r="S100" s="66">
        <f t="shared" si="18"/>
        <v>192</v>
      </c>
      <c r="T100" s="66">
        <f t="shared" si="18"/>
        <v>167</v>
      </c>
      <c r="U100" s="66">
        <f t="shared" si="18"/>
        <v>173</v>
      </c>
      <c r="V100" s="66">
        <f t="shared" si="18"/>
        <v>158</v>
      </c>
      <c r="W100" s="66">
        <f t="shared" si="18"/>
        <v>166</v>
      </c>
      <c r="X100" s="66">
        <f t="shared" si="18"/>
        <v>153</v>
      </c>
      <c r="Y100" s="66">
        <f t="shared" si="18"/>
        <v>118</v>
      </c>
      <c r="Z100" s="66">
        <f t="shared" si="18"/>
        <v>168</v>
      </c>
      <c r="AA100" s="66">
        <f t="shared" si="18"/>
        <v>200</v>
      </c>
      <c r="AB100" s="66">
        <f t="shared" si="18"/>
        <v>208</v>
      </c>
      <c r="AC100" s="66">
        <f t="shared" si="18"/>
        <v>174</v>
      </c>
      <c r="AD100" s="66">
        <f t="shared" si="18"/>
        <v>161</v>
      </c>
      <c r="AE100" s="66">
        <f t="shared" si="18"/>
        <v>171</v>
      </c>
      <c r="AF100" s="66">
        <f t="shared" si="18"/>
        <v>120</v>
      </c>
      <c r="AG100" s="15">
        <f t="shared" si="17"/>
        <v>5191</v>
      </c>
    </row>
    <row r="101" spans="1:33" ht="15.75" customHeight="1" x14ac:dyDescent="0.25">
      <c r="A101" s="306" t="s">
        <v>63</v>
      </c>
      <c r="B101" s="278">
        <v>11</v>
      </c>
      <c r="C101" s="278">
        <v>5</v>
      </c>
      <c r="D101" s="278">
        <v>19</v>
      </c>
      <c r="E101" s="278">
        <v>9</v>
      </c>
      <c r="F101" s="278">
        <v>22</v>
      </c>
      <c r="G101" s="278">
        <v>14</v>
      </c>
      <c r="H101" s="278">
        <v>11</v>
      </c>
      <c r="I101" s="278">
        <v>9</v>
      </c>
      <c r="J101" s="278">
        <v>4</v>
      </c>
      <c r="K101" s="278">
        <v>14</v>
      </c>
      <c r="L101" s="278">
        <v>12</v>
      </c>
      <c r="M101" s="278">
        <v>17</v>
      </c>
      <c r="N101" s="278">
        <v>3</v>
      </c>
      <c r="O101" s="278">
        <v>9</v>
      </c>
      <c r="P101" s="278">
        <v>7</v>
      </c>
      <c r="Q101" s="278">
        <v>18</v>
      </c>
      <c r="R101" s="278">
        <v>14</v>
      </c>
      <c r="S101" s="278">
        <v>12</v>
      </c>
      <c r="T101" s="278">
        <v>9</v>
      </c>
      <c r="U101" s="278">
        <v>17</v>
      </c>
      <c r="V101" s="278">
        <v>11</v>
      </c>
      <c r="W101" s="278">
        <v>11</v>
      </c>
      <c r="X101" s="278">
        <v>7</v>
      </c>
      <c r="Y101" s="278">
        <v>4</v>
      </c>
      <c r="Z101" s="278">
        <v>8</v>
      </c>
      <c r="AA101" s="278">
        <v>23</v>
      </c>
      <c r="AB101" s="278">
        <v>10</v>
      </c>
      <c r="AC101" s="278">
        <v>8</v>
      </c>
      <c r="AD101" s="278">
        <v>8</v>
      </c>
      <c r="AE101" s="278">
        <v>9</v>
      </c>
      <c r="AF101" s="278">
        <v>6</v>
      </c>
      <c r="AG101" s="15">
        <f t="shared" si="17"/>
        <v>341</v>
      </c>
    </row>
    <row r="102" spans="1:33" ht="15.75" customHeight="1" x14ac:dyDescent="0.25">
      <c r="A102" s="306" t="s">
        <v>64</v>
      </c>
      <c r="B102" s="278">
        <v>16</v>
      </c>
      <c r="C102" s="278">
        <v>11</v>
      </c>
      <c r="D102" s="278">
        <v>12</v>
      </c>
      <c r="E102" s="278">
        <v>12</v>
      </c>
      <c r="F102" s="278">
        <v>27</v>
      </c>
      <c r="G102" s="278">
        <v>8</v>
      </c>
      <c r="H102" s="278">
        <v>10</v>
      </c>
      <c r="I102" s="278">
        <v>19</v>
      </c>
      <c r="J102" s="278">
        <v>14</v>
      </c>
      <c r="K102" s="278">
        <v>13</v>
      </c>
      <c r="L102" s="278">
        <v>16</v>
      </c>
      <c r="M102" s="278">
        <v>16</v>
      </c>
      <c r="N102" s="278">
        <v>10</v>
      </c>
      <c r="O102" s="278">
        <v>10</v>
      </c>
      <c r="P102" s="278">
        <v>9</v>
      </c>
      <c r="Q102" s="278">
        <v>12</v>
      </c>
      <c r="R102" s="278">
        <v>16</v>
      </c>
      <c r="S102" s="278">
        <v>28</v>
      </c>
      <c r="T102" s="278">
        <v>8</v>
      </c>
      <c r="U102" s="278">
        <v>11</v>
      </c>
      <c r="V102" s="278">
        <v>15</v>
      </c>
      <c r="W102" s="278">
        <v>14</v>
      </c>
      <c r="X102" s="278">
        <v>14</v>
      </c>
      <c r="Y102" s="278">
        <v>9</v>
      </c>
      <c r="Z102" s="278">
        <v>8</v>
      </c>
      <c r="AA102" s="278">
        <v>20</v>
      </c>
      <c r="AB102" s="278">
        <v>25</v>
      </c>
      <c r="AC102" s="278">
        <v>18</v>
      </c>
      <c r="AD102" s="278">
        <v>15</v>
      </c>
      <c r="AE102" s="278">
        <v>16</v>
      </c>
      <c r="AF102" s="278">
        <v>8</v>
      </c>
      <c r="AG102" s="15">
        <f t="shared" si="17"/>
        <v>440</v>
      </c>
    </row>
    <row r="103" spans="1:33" ht="15.75" customHeight="1" x14ac:dyDescent="0.25">
      <c r="A103" s="302" t="s">
        <v>65</v>
      </c>
      <c r="B103" s="278">
        <v>13</v>
      </c>
      <c r="C103" s="278">
        <v>17</v>
      </c>
      <c r="D103" s="278">
        <v>8</v>
      </c>
      <c r="E103" s="278">
        <v>19</v>
      </c>
      <c r="F103" s="278">
        <v>16</v>
      </c>
      <c r="G103" s="278">
        <v>16</v>
      </c>
      <c r="H103" s="278">
        <v>18</v>
      </c>
      <c r="I103" s="278">
        <v>11</v>
      </c>
      <c r="J103" s="278">
        <v>16</v>
      </c>
      <c r="K103" s="278">
        <v>9</v>
      </c>
      <c r="L103" s="278">
        <v>7</v>
      </c>
      <c r="M103" s="278">
        <v>23</v>
      </c>
      <c r="N103" s="278">
        <v>17</v>
      </c>
      <c r="O103" s="278">
        <v>16</v>
      </c>
      <c r="P103" s="278">
        <v>19</v>
      </c>
      <c r="Q103" s="278">
        <v>16</v>
      </c>
      <c r="R103" s="278">
        <v>26</v>
      </c>
      <c r="S103" s="278">
        <v>16</v>
      </c>
      <c r="T103" s="278">
        <v>14</v>
      </c>
      <c r="U103" s="278">
        <v>15</v>
      </c>
      <c r="V103" s="278">
        <v>11</v>
      </c>
      <c r="W103" s="278">
        <v>14</v>
      </c>
      <c r="X103" s="278">
        <v>21</v>
      </c>
      <c r="Y103" s="278">
        <v>13</v>
      </c>
      <c r="Z103" s="278">
        <v>18</v>
      </c>
      <c r="AA103" s="278">
        <v>15</v>
      </c>
      <c r="AB103" s="278">
        <v>28</v>
      </c>
      <c r="AC103" s="278">
        <v>16</v>
      </c>
      <c r="AD103" s="278">
        <v>12</v>
      </c>
      <c r="AE103" s="278">
        <v>19</v>
      </c>
      <c r="AF103" s="278">
        <v>13</v>
      </c>
      <c r="AG103" s="15">
        <f t="shared" si="17"/>
        <v>492</v>
      </c>
    </row>
    <row r="104" spans="1:33" ht="15.75" customHeight="1" x14ac:dyDescent="0.25">
      <c r="A104" s="302" t="s">
        <v>66</v>
      </c>
      <c r="B104" s="278">
        <v>13</v>
      </c>
      <c r="C104" s="278">
        <v>15</v>
      </c>
      <c r="D104" s="278">
        <v>10</v>
      </c>
      <c r="E104" s="278">
        <v>12</v>
      </c>
      <c r="F104" s="278">
        <v>19</v>
      </c>
      <c r="G104" s="278">
        <v>18</v>
      </c>
      <c r="H104" s="278">
        <v>14</v>
      </c>
      <c r="I104" s="278">
        <v>20</v>
      </c>
      <c r="J104" s="278">
        <v>12</v>
      </c>
      <c r="K104" s="278">
        <v>17</v>
      </c>
      <c r="L104" s="278">
        <v>14</v>
      </c>
      <c r="M104" s="278">
        <v>14</v>
      </c>
      <c r="N104" s="278">
        <v>15</v>
      </c>
      <c r="O104" s="278">
        <v>13</v>
      </c>
      <c r="P104" s="278">
        <v>17</v>
      </c>
      <c r="Q104" s="278">
        <v>10</v>
      </c>
      <c r="R104" s="278">
        <v>17</v>
      </c>
      <c r="S104" s="278">
        <v>16</v>
      </c>
      <c r="T104" s="278">
        <v>14</v>
      </c>
      <c r="U104" s="278">
        <v>10</v>
      </c>
      <c r="V104" s="278">
        <v>14</v>
      </c>
      <c r="W104" s="278">
        <v>25</v>
      </c>
      <c r="X104" s="278">
        <v>11</v>
      </c>
      <c r="Y104" s="278">
        <v>6</v>
      </c>
      <c r="Z104" s="278">
        <v>12</v>
      </c>
      <c r="AA104" s="278">
        <v>15</v>
      </c>
      <c r="AB104" s="278">
        <v>14</v>
      </c>
      <c r="AC104" s="278">
        <v>7</v>
      </c>
      <c r="AD104" s="278">
        <v>13</v>
      </c>
      <c r="AE104" s="278">
        <v>17</v>
      </c>
      <c r="AF104" s="278">
        <v>8</v>
      </c>
      <c r="AG104" s="15">
        <f t="shared" si="17"/>
        <v>432</v>
      </c>
    </row>
    <row r="105" spans="1:33" ht="15.75" customHeight="1" x14ac:dyDescent="0.25">
      <c r="A105" s="302" t="s">
        <v>67</v>
      </c>
      <c r="B105" s="278">
        <v>9</v>
      </c>
      <c r="C105" s="278">
        <v>11</v>
      </c>
      <c r="D105" s="278">
        <v>6</v>
      </c>
      <c r="E105" s="278">
        <v>18</v>
      </c>
      <c r="F105" s="278">
        <v>8</v>
      </c>
      <c r="G105" s="278">
        <v>19</v>
      </c>
      <c r="H105" s="278">
        <v>10</v>
      </c>
      <c r="I105" s="278">
        <v>16</v>
      </c>
      <c r="J105" s="278">
        <v>13</v>
      </c>
      <c r="K105" s="278">
        <v>11</v>
      </c>
      <c r="L105" s="278">
        <v>13</v>
      </c>
      <c r="M105" s="278">
        <v>17</v>
      </c>
      <c r="N105" s="278">
        <v>20</v>
      </c>
      <c r="O105" s="278">
        <v>7</v>
      </c>
      <c r="P105" s="278">
        <v>11</v>
      </c>
      <c r="Q105" s="278">
        <v>18</v>
      </c>
      <c r="R105" s="278">
        <v>16</v>
      </c>
      <c r="S105" s="278">
        <v>14</v>
      </c>
      <c r="T105" s="278">
        <v>20</v>
      </c>
      <c r="U105" s="278">
        <v>12</v>
      </c>
      <c r="V105" s="278">
        <v>8</v>
      </c>
      <c r="W105" s="278">
        <v>11</v>
      </c>
      <c r="X105" s="278">
        <v>9</v>
      </c>
      <c r="Y105" s="278">
        <v>8</v>
      </c>
      <c r="Z105" s="278">
        <v>13</v>
      </c>
      <c r="AA105" s="278">
        <v>13</v>
      </c>
      <c r="AB105" s="278">
        <v>13</v>
      </c>
      <c r="AC105" s="278">
        <v>13</v>
      </c>
      <c r="AD105" s="278">
        <v>12</v>
      </c>
      <c r="AE105" s="278">
        <v>13</v>
      </c>
      <c r="AF105" s="278">
        <v>10</v>
      </c>
      <c r="AG105" s="15">
        <f t="shared" si="17"/>
        <v>392</v>
      </c>
    </row>
    <row r="106" spans="1:33" ht="15.75" customHeight="1" x14ac:dyDescent="0.25">
      <c r="A106" s="302" t="s">
        <v>68</v>
      </c>
      <c r="B106" s="278">
        <v>8</v>
      </c>
      <c r="C106" s="278">
        <v>11</v>
      </c>
      <c r="D106" s="278">
        <v>11</v>
      </c>
      <c r="E106" s="278">
        <v>13</v>
      </c>
      <c r="F106" s="278">
        <v>10</v>
      </c>
      <c r="G106" s="278">
        <v>12</v>
      </c>
      <c r="H106" s="278">
        <v>15</v>
      </c>
      <c r="I106" s="278">
        <v>17</v>
      </c>
      <c r="J106" s="278">
        <v>1</v>
      </c>
      <c r="K106" s="278">
        <v>16</v>
      </c>
      <c r="L106" s="278">
        <v>17</v>
      </c>
      <c r="M106" s="278">
        <v>11</v>
      </c>
      <c r="N106" s="278">
        <v>8</v>
      </c>
      <c r="O106" s="278">
        <v>7</v>
      </c>
      <c r="P106" s="278">
        <v>4</v>
      </c>
      <c r="Q106" s="278">
        <v>8</v>
      </c>
      <c r="R106" s="278">
        <v>8</v>
      </c>
      <c r="S106" s="278">
        <v>16</v>
      </c>
      <c r="T106" s="278">
        <v>14</v>
      </c>
      <c r="U106" s="278">
        <v>18</v>
      </c>
      <c r="V106" s="278">
        <v>7</v>
      </c>
      <c r="W106" s="278">
        <v>10</v>
      </c>
      <c r="X106" s="278">
        <v>5</v>
      </c>
      <c r="Y106" s="278">
        <v>6</v>
      </c>
      <c r="Z106" s="278">
        <v>8</v>
      </c>
      <c r="AA106" s="278">
        <v>20</v>
      </c>
      <c r="AB106" s="278">
        <v>13</v>
      </c>
      <c r="AC106" s="278">
        <v>17</v>
      </c>
      <c r="AD106" s="278">
        <v>10</v>
      </c>
      <c r="AE106" s="278">
        <v>12</v>
      </c>
      <c r="AF106" s="278">
        <v>3</v>
      </c>
      <c r="AG106" s="15">
        <f t="shared" si="17"/>
        <v>336</v>
      </c>
    </row>
    <row r="107" spans="1:33" ht="15.75" customHeight="1" x14ac:dyDescent="0.25">
      <c r="A107" s="302" t="s">
        <v>69</v>
      </c>
      <c r="B107" s="278">
        <v>5</v>
      </c>
      <c r="C107" s="278">
        <v>8</v>
      </c>
      <c r="D107" s="278">
        <v>6</v>
      </c>
      <c r="E107" s="278">
        <v>13</v>
      </c>
      <c r="F107" s="278">
        <v>6</v>
      </c>
      <c r="G107" s="278">
        <v>9</v>
      </c>
      <c r="H107" s="278">
        <v>11</v>
      </c>
      <c r="I107" s="278">
        <v>12</v>
      </c>
      <c r="J107" s="278">
        <v>14</v>
      </c>
      <c r="K107" s="278">
        <v>16</v>
      </c>
      <c r="L107" s="278">
        <v>11</v>
      </c>
      <c r="M107" s="278">
        <v>9</v>
      </c>
      <c r="N107" s="278">
        <v>12</v>
      </c>
      <c r="O107" s="278">
        <v>13</v>
      </c>
      <c r="P107" s="278">
        <v>15</v>
      </c>
      <c r="Q107" s="278">
        <v>15</v>
      </c>
      <c r="R107" s="278">
        <v>17</v>
      </c>
      <c r="S107" s="278">
        <v>8</v>
      </c>
      <c r="T107" s="278">
        <v>10</v>
      </c>
      <c r="U107" s="278">
        <v>11</v>
      </c>
      <c r="V107" s="278">
        <v>20</v>
      </c>
      <c r="W107" s="278">
        <v>9</v>
      </c>
      <c r="X107" s="278">
        <v>12</v>
      </c>
      <c r="Y107" s="278">
        <v>12</v>
      </c>
      <c r="Z107" s="278">
        <v>12</v>
      </c>
      <c r="AA107" s="278">
        <v>15</v>
      </c>
      <c r="AB107" s="278">
        <v>12</v>
      </c>
      <c r="AC107" s="278">
        <v>13</v>
      </c>
      <c r="AD107" s="278">
        <v>9</v>
      </c>
      <c r="AE107" s="278">
        <v>8</v>
      </c>
      <c r="AF107" s="278">
        <v>4</v>
      </c>
      <c r="AG107" s="15">
        <f t="shared" si="17"/>
        <v>347</v>
      </c>
    </row>
    <row r="108" spans="1:33" ht="15.75" customHeight="1" x14ac:dyDescent="0.25">
      <c r="A108" s="302" t="s">
        <v>70</v>
      </c>
      <c r="B108" s="278">
        <v>16</v>
      </c>
      <c r="C108" s="278">
        <v>16</v>
      </c>
      <c r="D108" s="278">
        <v>9</v>
      </c>
      <c r="E108" s="278">
        <v>10</v>
      </c>
      <c r="F108" s="278">
        <v>14</v>
      </c>
      <c r="G108" s="278">
        <v>12</v>
      </c>
      <c r="H108" s="278">
        <v>15</v>
      </c>
      <c r="I108" s="278">
        <v>11</v>
      </c>
      <c r="J108" s="278">
        <v>10</v>
      </c>
      <c r="K108" s="278">
        <v>19</v>
      </c>
      <c r="L108" s="278">
        <v>11</v>
      </c>
      <c r="M108" s="278">
        <v>11</v>
      </c>
      <c r="N108" s="278">
        <v>10</v>
      </c>
      <c r="O108" s="278">
        <v>13</v>
      </c>
      <c r="P108" s="278">
        <v>13</v>
      </c>
      <c r="Q108" s="278">
        <v>19</v>
      </c>
      <c r="R108" s="278">
        <v>15</v>
      </c>
      <c r="S108" s="278">
        <v>13</v>
      </c>
      <c r="T108" s="278">
        <v>13</v>
      </c>
      <c r="U108" s="278">
        <v>16</v>
      </c>
      <c r="V108" s="278">
        <v>24</v>
      </c>
      <c r="W108" s="278">
        <v>13</v>
      </c>
      <c r="X108" s="278">
        <v>15</v>
      </c>
      <c r="Y108" s="278">
        <v>8</v>
      </c>
      <c r="Z108" s="278">
        <v>12</v>
      </c>
      <c r="AA108" s="278">
        <v>17</v>
      </c>
      <c r="AB108" s="278">
        <v>18</v>
      </c>
      <c r="AC108" s="278">
        <v>12</v>
      </c>
      <c r="AD108" s="278">
        <v>19</v>
      </c>
      <c r="AE108" s="278">
        <v>10</v>
      </c>
      <c r="AF108" s="278">
        <v>11</v>
      </c>
      <c r="AG108" s="15">
        <f t="shared" si="17"/>
        <v>425</v>
      </c>
    </row>
    <row r="109" spans="1:33" ht="15.75" customHeight="1" x14ac:dyDescent="0.25">
      <c r="A109" s="302" t="s">
        <v>71</v>
      </c>
      <c r="B109" s="278">
        <v>9</v>
      </c>
      <c r="C109" s="278">
        <v>15</v>
      </c>
      <c r="D109" s="278">
        <v>10</v>
      </c>
      <c r="E109" s="278">
        <v>16</v>
      </c>
      <c r="F109" s="278">
        <v>16</v>
      </c>
      <c r="G109" s="278">
        <v>10</v>
      </c>
      <c r="H109" s="278">
        <v>11</v>
      </c>
      <c r="I109" s="278">
        <v>15</v>
      </c>
      <c r="J109" s="278">
        <v>18</v>
      </c>
      <c r="K109" s="278">
        <v>16</v>
      </c>
      <c r="L109" s="278">
        <v>17</v>
      </c>
      <c r="M109" s="278">
        <v>26</v>
      </c>
      <c r="N109" s="278">
        <v>16</v>
      </c>
      <c r="O109" s="278">
        <v>9</v>
      </c>
      <c r="P109" s="278">
        <v>17</v>
      </c>
      <c r="Q109" s="278">
        <v>14</v>
      </c>
      <c r="R109" s="278">
        <v>15</v>
      </c>
      <c r="S109" s="278">
        <v>12</v>
      </c>
      <c r="T109" s="278">
        <v>19</v>
      </c>
      <c r="U109" s="278">
        <v>14</v>
      </c>
      <c r="V109" s="278">
        <v>7</v>
      </c>
      <c r="W109" s="278">
        <v>13</v>
      </c>
      <c r="X109" s="278">
        <v>14</v>
      </c>
      <c r="Y109" s="278">
        <v>9</v>
      </c>
      <c r="Z109" s="278">
        <v>12</v>
      </c>
      <c r="AA109" s="278">
        <v>9</v>
      </c>
      <c r="AB109" s="278">
        <v>15</v>
      </c>
      <c r="AC109" s="278">
        <v>18</v>
      </c>
      <c r="AD109" s="278">
        <v>12</v>
      </c>
      <c r="AE109" s="278">
        <v>17</v>
      </c>
      <c r="AF109" s="278">
        <v>13</v>
      </c>
      <c r="AG109" s="15">
        <f t="shared" si="17"/>
        <v>434</v>
      </c>
    </row>
    <row r="110" spans="1:33" ht="15.75" customHeight="1" x14ac:dyDescent="0.25">
      <c r="A110" s="302" t="s">
        <v>72</v>
      </c>
      <c r="B110" s="278">
        <v>14</v>
      </c>
      <c r="C110" s="278">
        <v>12</v>
      </c>
      <c r="D110" s="278">
        <v>14</v>
      </c>
      <c r="E110" s="278">
        <v>13</v>
      </c>
      <c r="F110" s="278">
        <v>13</v>
      </c>
      <c r="G110" s="278">
        <v>12</v>
      </c>
      <c r="H110" s="278">
        <v>15</v>
      </c>
      <c r="I110" s="278">
        <v>11</v>
      </c>
      <c r="J110" s="278">
        <v>18</v>
      </c>
      <c r="K110" s="278">
        <v>12</v>
      </c>
      <c r="L110" s="278">
        <v>9</v>
      </c>
      <c r="M110" s="278">
        <v>13</v>
      </c>
      <c r="N110" s="278">
        <v>15</v>
      </c>
      <c r="O110" s="278">
        <v>13</v>
      </c>
      <c r="P110" s="278">
        <v>11</v>
      </c>
      <c r="Q110" s="278">
        <v>15</v>
      </c>
      <c r="R110" s="278">
        <v>13</v>
      </c>
      <c r="S110" s="278">
        <v>20</v>
      </c>
      <c r="T110" s="278">
        <v>9</v>
      </c>
      <c r="U110" s="278">
        <v>8</v>
      </c>
      <c r="V110" s="278">
        <v>7</v>
      </c>
      <c r="W110" s="278">
        <v>12</v>
      </c>
      <c r="X110" s="278">
        <v>9</v>
      </c>
      <c r="Y110" s="278">
        <v>7</v>
      </c>
      <c r="Z110" s="278">
        <v>8</v>
      </c>
      <c r="AA110" s="278">
        <v>12</v>
      </c>
      <c r="AB110" s="278">
        <v>9</v>
      </c>
      <c r="AC110" s="278">
        <v>7</v>
      </c>
      <c r="AD110" s="278">
        <v>14</v>
      </c>
      <c r="AE110" s="278">
        <v>19</v>
      </c>
      <c r="AF110" s="278">
        <v>9</v>
      </c>
      <c r="AG110" s="15">
        <f t="shared" si="17"/>
        <v>373</v>
      </c>
    </row>
    <row r="111" spans="1:33" ht="15.75" customHeight="1" x14ac:dyDescent="0.25">
      <c r="A111" s="302" t="s">
        <v>73</v>
      </c>
      <c r="B111" s="278">
        <v>19</v>
      </c>
      <c r="C111" s="278">
        <v>8</v>
      </c>
      <c r="D111" s="278">
        <v>7</v>
      </c>
      <c r="E111" s="278">
        <v>4</v>
      </c>
      <c r="F111" s="278">
        <v>13</v>
      </c>
      <c r="G111" s="278">
        <v>7</v>
      </c>
      <c r="H111" s="278">
        <v>11</v>
      </c>
      <c r="I111" s="278">
        <v>11</v>
      </c>
      <c r="J111" s="278">
        <v>9</v>
      </c>
      <c r="K111" s="278">
        <v>12</v>
      </c>
      <c r="L111" s="278">
        <v>17</v>
      </c>
      <c r="M111" s="278">
        <v>5</v>
      </c>
      <c r="N111" s="278">
        <v>15</v>
      </c>
      <c r="O111" s="278">
        <v>10</v>
      </c>
      <c r="P111" s="278">
        <v>12</v>
      </c>
      <c r="Q111" s="278">
        <v>8</v>
      </c>
      <c r="R111" s="278">
        <v>14</v>
      </c>
      <c r="S111" s="278">
        <v>10</v>
      </c>
      <c r="T111" s="278">
        <v>13</v>
      </c>
      <c r="U111" s="278">
        <v>6</v>
      </c>
      <c r="V111" s="278">
        <v>9</v>
      </c>
      <c r="W111" s="278">
        <v>7</v>
      </c>
      <c r="X111" s="278">
        <v>6</v>
      </c>
      <c r="Y111" s="278">
        <v>3</v>
      </c>
      <c r="Z111" s="278">
        <v>16</v>
      </c>
      <c r="AA111" s="278">
        <v>10</v>
      </c>
      <c r="AB111" s="278">
        <v>16</v>
      </c>
      <c r="AC111" s="278">
        <v>12</v>
      </c>
      <c r="AD111" s="278">
        <v>10</v>
      </c>
      <c r="AE111" s="278">
        <v>6</v>
      </c>
      <c r="AF111" s="278">
        <v>7</v>
      </c>
      <c r="AG111" s="15">
        <f t="shared" si="17"/>
        <v>313</v>
      </c>
    </row>
    <row r="112" spans="1:33" ht="15.75" customHeight="1" x14ac:dyDescent="0.25">
      <c r="A112" s="302" t="s">
        <v>74</v>
      </c>
      <c r="B112" s="278">
        <v>8</v>
      </c>
      <c r="C112" s="278">
        <v>9</v>
      </c>
      <c r="D112" s="278">
        <v>5</v>
      </c>
      <c r="E112" s="278">
        <v>10</v>
      </c>
      <c r="F112" s="278">
        <v>7</v>
      </c>
      <c r="G112" s="278">
        <v>11</v>
      </c>
      <c r="H112" s="278">
        <v>9</v>
      </c>
      <c r="I112" s="278">
        <v>9</v>
      </c>
      <c r="J112" s="278">
        <v>8</v>
      </c>
      <c r="K112" s="278">
        <v>6</v>
      </c>
      <c r="L112" s="278">
        <v>7</v>
      </c>
      <c r="M112" s="278">
        <v>7</v>
      </c>
      <c r="N112" s="278">
        <v>8</v>
      </c>
      <c r="O112" s="278">
        <v>12</v>
      </c>
      <c r="P112" s="278">
        <v>6</v>
      </c>
      <c r="Q112" s="278">
        <v>8</v>
      </c>
      <c r="R112" s="278">
        <v>12</v>
      </c>
      <c r="S112" s="278">
        <v>8</v>
      </c>
      <c r="T112" s="278">
        <v>6</v>
      </c>
      <c r="U112" s="278">
        <v>12</v>
      </c>
      <c r="V112" s="278">
        <v>9</v>
      </c>
      <c r="W112" s="278">
        <v>7</v>
      </c>
      <c r="X112" s="278">
        <v>5</v>
      </c>
      <c r="Y112" s="278">
        <v>8</v>
      </c>
      <c r="Z112" s="278">
        <v>14</v>
      </c>
      <c r="AA112" s="278">
        <v>7</v>
      </c>
      <c r="AB112" s="278">
        <v>11</v>
      </c>
      <c r="AC112" s="278">
        <v>7</v>
      </c>
      <c r="AD112" s="278">
        <v>6</v>
      </c>
      <c r="AE112" s="278">
        <v>7</v>
      </c>
      <c r="AF112" s="278">
        <v>9</v>
      </c>
      <c r="AG112" s="15">
        <f t="shared" si="17"/>
        <v>258</v>
      </c>
    </row>
    <row r="113" spans="1:37" ht="15.75" customHeight="1" x14ac:dyDescent="0.25">
      <c r="A113" s="302" t="s">
        <v>75</v>
      </c>
      <c r="B113" s="278">
        <v>7</v>
      </c>
      <c r="C113" s="278">
        <v>6</v>
      </c>
      <c r="D113" s="278">
        <v>4</v>
      </c>
      <c r="E113" s="278">
        <v>11</v>
      </c>
      <c r="F113" s="278">
        <v>9</v>
      </c>
      <c r="G113" s="278">
        <v>10</v>
      </c>
      <c r="H113" s="278">
        <v>9</v>
      </c>
      <c r="I113" s="278">
        <v>9</v>
      </c>
      <c r="J113" s="278">
        <v>11</v>
      </c>
      <c r="K113" s="278">
        <v>7</v>
      </c>
      <c r="L113" s="278">
        <v>10</v>
      </c>
      <c r="M113" s="278">
        <v>7</v>
      </c>
      <c r="N113" s="278">
        <v>9</v>
      </c>
      <c r="O113" s="278">
        <v>8</v>
      </c>
      <c r="P113" s="278">
        <v>9</v>
      </c>
      <c r="Q113" s="278">
        <v>6</v>
      </c>
      <c r="R113" s="278">
        <v>10</v>
      </c>
      <c r="S113" s="278">
        <v>8</v>
      </c>
      <c r="T113" s="278">
        <v>9</v>
      </c>
      <c r="U113" s="278">
        <v>10</v>
      </c>
      <c r="V113" s="278">
        <v>10</v>
      </c>
      <c r="W113" s="278">
        <v>6</v>
      </c>
      <c r="X113" s="278">
        <v>11</v>
      </c>
      <c r="Y113" s="278">
        <v>10</v>
      </c>
      <c r="Z113" s="278">
        <v>11</v>
      </c>
      <c r="AA113" s="278">
        <v>11</v>
      </c>
      <c r="AB113" s="278">
        <v>7</v>
      </c>
      <c r="AC113" s="278">
        <v>12</v>
      </c>
      <c r="AD113" s="278">
        <v>6</v>
      </c>
      <c r="AE113" s="278">
        <v>10</v>
      </c>
      <c r="AF113" s="278">
        <v>8</v>
      </c>
      <c r="AG113" s="15">
        <f t="shared" si="17"/>
        <v>271</v>
      </c>
    </row>
    <row r="114" spans="1:37" ht="15.75" customHeight="1" x14ac:dyDescent="0.25">
      <c r="A114" s="302" t="s">
        <v>76</v>
      </c>
      <c r="B114" s="278">
        <v>10</v>
      </c>
      <c r="C114" s="278">
        <v>16</v>
      </c>
      <c r="D114" s="278">
        <v>10</v>
      </c>
      <c r="E114" s="278">
        <v>13</v>
      </c>
      <c r="F114" s="278">
        <v>8</v>
      </c>
      <c r="G114" s="278">
        <v>10</v>
      </c>
      <c r="H114" s="278">
        <v>10</v>
      </c>
      <c r="I114" s="278">
        <v>12</v>
      </c>
      <c r="J114" s="278">
        <v>7</v>
      </c>
      <c r="K114" s="278">
        <v>8</v>
      </c>
      <c r="L114" s="278">
        <v>3</v>
      </c>
      <c r="M114" s="278">
        <v>13</v>
      </c>
      <c r="N114" s="278">
        <v>5</v>
      </c>
      <c r="O114" s="278">
        <v>11</v>
      </c>
      <c r="P114" s="278">
        <v>5</v>
      </c>
      <c r="Q114" s="278">
        <v>12</v>
      </c>
      <c r="R114" s="278">
        <v>8</v>
      </c>
      <c r="S114" s="278">
        <v>11</v>
      </c>
      <c r="T114" s="278">
        <v>9</v>
      </c>
      <c r="U114" s="278">
        <v>13</v>
      </c>
      <c r="V114" s="278">
        <v>6</v>
      </c>
      <c r="W114" s="278">
        <v>14</v>
      </c>
      <c r="X114" s="278">
        <v>14</v>
      </c>
      <c r="Y114" s="278">
        <v>15</v>
      </c>
      <c r="Z114" s="278">
        <v>16</v>
      </c>
      <c r="AA114" s="278">
        <v>13</v>
      </c>
      <c r="AB114" s="278">
        <v>17</v>
      </c>
      <c r="AC114" s="278">
        <v>14</v>
      </c>
      <c r="AD114" s="278">
        <v>15</v>
      </c>
      <c r="AE114" s="278">
        <v>8</v>
      </c>
      <c r="AF114" s="278">
        <v>11</v>
      </c>
      <c r="AG114" s="15">
        <f t="shared" si="17"/>
        <v>337</v>
      </c>
    </row>
    <row r="115" spans="1:37" ht="15.75" customHeight="1" thickBot="1" x14ac:dyDescent="0.3">
      <c r="A115" s="307"/>
      <c r="B115" s="290"/>
      <c r="C115" s="290"/>
      <c r="D115" s="290"/>
      <c r="E115" s="290"/>
      <c r="F115" s="290"/>
      <c r="G115" s="290"/>
      <c r="H115" s="290"/>
      <c r="I115" s="290"/>
      <c r="J115" s="290"/>
      <c r="K115" s="290"/>
      <c r="L115" s="290"/>
      <c r="M115" s="290"/>
      <c r="N115" s="290"/>
      <c r="O115" s="290"/>
      <c r="P115" s="290"/>
      <c r="Q115" s="290"/>
      <c r="R115" s="290"/>
      <c r="S115" s="290"/>
      <c r="T115" s="290"/>
      <c r="U115" s="290"/>
      <c r="V115" s="290"/>
      <c r="W115" s="290"/>
      <c r="X115" s="290"/>
      <c r="Y115" s="290"/>
      <c r="Z115" s="290"/>
      <c r="AA115" s="290"/>
      <c r="AB115" s="290"/>
      <c r="AC115" s="290"/>
      <c r="AD115" s="290"/>
      <c r="AE115" s="290"/>
      <c r="AF115" s="290"/>
      <c r="AG115" s="15">
        <f t="shared" si="17"/>
        <v>0</v>
      </c>
      <c r="AK115" s="308">
        <v>603</v>
      </c>
    </row>
    <row r="116" spans="1:37" ht="15.75" customHeight="1" x14ac:dyDescent="0.25">
      <c r="A116" s="299" t="s">
        <v>77</v>
      </c>
      <c r="B116" s="62">
        <f t="shared" ref="B116:AF116" si="19">SUM(B117:B118)</f>
        <v>46</v>
      </c>
      <c r="C116" s="62">
        <f t="shared" si="19"/>
        <v>37</v>
      </c>
      <c r="D116" s="62">
        <f t="shared" si="19"/>
        <v>35</v>
      </c>
      <c r="E116" s="62">
        <f t="shared" si="19"/>
        <v>43</v>
      </c>
      <c r="F116" s="62">
        <f t="shared" si="19"/>
        <v>29</v>
      </c>
      <c r="G116" s="62">
        <f t="shared" si="19"/>
        <v>35</v>
      </c>
      <c r="H116" s="62">
        <f t="shared" si="19"/>
        <v>32</v>
      </c>
      <c r="I116" s="62">
        <f t="shared" si="19"/>
        <v>37</v>
      </c>
      <c r="J116" s="62">
        <f t="shared" si="19"/>
        <v>45</v>
      </c>
      <c r="K116" s="62">
        <f t="shared" si="19"/>
        <v>30</v>
      </c>
      <c r="L116" s="62">
        <f t="shared" si="19"/>
        <v>65</v>
      </c>
      <c r="M116" s="62">
        <f t="shared" si="19"/>
        <v>30</v>
      </c>
      <c r="N116" s="62">
        <f t="shared" si="19"/>
        <v>43</v>
      </c>
      <c r="O116" s="62">
        <f t="shared" si="19"/>
        <v>35</v>
      </c>
      <c r="P116" s="62">
        <f t="shared" si="19"/>
        <v>37</v>
      </c>
      <c r="Q116" s="62">
        <f t="shared" si="19"/>
        <v>31</v>
      </c>
      <c r="R116" s="62">
        <f t="shared" si="19"/>
        <v>58</v>
      </c>
      <c r="S116" s="62">
        <f t="shared" si="19"/>
        <v>53</v>
      </c>
      <c r="T116" s="62">
        <f t="shared" si="19"/>
        <v>56</v>
      </c>
      <c r="U116" s="62">
        <f t="shared" si="19"/>
        <v>34</v>
      </c>
      <c r="V116" s="62">
        <f t="shared" si="19"/>
        <v>28</v>
      </c>
      <c r="W116" s="62">
        <f t="shared" si="19"/>
        <v>35</v>
      </c>
      <c r="X116" s="62">
        <f t="shared" si="19"/>
        <v>38</v>
      </c>
      <c r="Y116" s="62">
        <f t="shared" si="19"/>
        <v>36</v>
      </c>
      <c r="Z116" s="62">
        <f t="shared" si="19"/>
        <v>38</v>
      </c>
      <c r="AA116" s="62">
        <f t="shared" si="19"/>
        <v>54</v>
      </c>
      <c r="AB116" s="62">
        <f t="shared" si="19"/>
        <v>50</v>
      </c>
      <c r="AC116" s="62">
        <f t="shared" si="19"/>
        <v>36</v>
      </c>
      <c r="AD116" s="62">
        <f t="shared" si="19"/>
        <v>30</v>
      </c>
      <c r="AE116" s="62">
        <f t="shared" si="19"/>
        <v>46</v>
      </c>
      <c r="AF116" s="62">
        <f t="shared" si="19"/>
        <v>22</v>
      </c>
      <c r="AG116" s="15">
        <f t="shared" si="17"/>
        <v>1224</v>
      </c>
      <c r="AK116" s="308">
        <v>612</v>
      </c>
    </row>
    <row r="117" spans="1:37" ht="15.75" customHeight="1" x14ac:dyDescent="0.25">
      <c r="A117" s="309" t="s">
        <v>78</v>
      </c>
      <c r="B117" s="278">
        <v>44</v>
      </c>
      <c r="C117" s="278">
        <v>36</v>
      </c>
      <c r="D117" s="278">
        <v>32</v>
      </c>
      <c r="E117" s="278">
        <v>41</v>
      </c>
      <c r="F117" s="278">
        <v>29</v>
      </c>
      <c r="G117" s="278">
        <v>33</v>
      </c>
      <c r="H117" s="278">
        <v>31</v>
      </c>
      <c r="I117" s="278">
        <v>36</v>
      </c>
      <c r="J117" s="278">
        <v>45</v>
      </c>
      <c r="K117" s="278">
        <v>29</v>
      </c>
      <c r="L117" s="278">
        <v>60</v>
      </c>
      <c r="M117" s="278">
        <v>27</v>
      </c>
      <c r="N117" s="278">
        <v>40</v>
      </c>
      <c r="O117" s="278">
        <v>35</v>
      </c>
      <c r="P117" s="278">
        <v>35</v>
      </c>
      <c r="Q117" s="278">
        <v>28</v>
      </c>
      <c r="R117" s="278">
        <v>56</v>
      </c>
      <c r="S117" s="278">
        <v>51</v>
      </c>
      <c r="T117" s="278">
        <v>55</v>
      </c>
      <c r="U117" s="278">
        <v>34</v>
      </c>
      <c r="V117" s="278">
        <v>27</v>
      </c>
      <c r="W117" s="278">
        <v>34</v>
      </c>
      <c r="X117" s="278">
        <v>37</v>
      </c>
      <c r="Y117" s="278">
        <v>35</v>
      </c>
      <c r="Z117" s="278">
        <v>35</v>
      </c>
      <c r="AA117" s="278">
        <v>52</v>
      </c>
      <c r="AB117" s="278">
        <v>47</v>
      </c>
      <c r="AC117" s="278">
        <v>35</v>
      </c>
      <c r="AD117" s="278">
        <v>29</v>
      </c>
      <c r="AE117" s="278">
        <v>46</v>
      </c>
      <c r="AF117" s="278">
        <v>21</v>
      </c>
      <c r="AG117" s="15">
        <f t="shared" si="17"/>
        <v>1175</v>
      </c>
      <c r="AK117" s="308">
        <v>613</v>
      </c>
    </row>
    <row r="118" spans="1:37" ht="15.75" customHeight="1" thickBot="1" x14ac:dyDescent="0.3">
      <c r="A118" s="310" t="s">
        <v>90</v>
      </c>
      <c r="B118" s="311">
        <v>2</v>
      </c>
      <c r="C118" s="311">
        <v>1</v>
      </c>
      <c r="D118" s="311">
        <v>3</v>
      </c>
      <c r="E118" s="311">
        <v>2</v>
      </c>
      <c r="F118" s="311">
        <v>0</v>
      </c>
      <c r="G118" s="311">
        <v>2</v>
      </c>
      <c r="H118" s="311">
        <v>1</v>
      </c>
      <c r="I118" s="311">
        <v>1</v>
      </c>
      <c r="J118" s="311">
        <v>0</v>
      </c>
      <c r="K118" s="311">
        <v>1</v>
      </c>
      <c r="L118" s="311">
        <v>5</v>
      </c>
      <c r="M118" s="311">
        <v>3</v>
      </c>
      <c r="N118" s="311">
        <v>3</v>
      </c>
      <c r="O118" s="311">
        <v>0</v>
      </c>
      <c r="P118" s="311">
        <v>2</v>
      </c>
      <c r="Q118" s="311">
        <v>3</v>
      </c>
      <c r="R118" s="311">
        <v>2</v>
      </c>
      <c r="S118" s="311">
        <v>2</v>
      </c>
      <c r="T118" s="311">
        <v>1</v>
      </c>
      <c r="U118" s="311">
        <v>0</v>
      </c>
      <c r="V118" s="311">
        <v>1</v>
      </c>
      <c r="W118" s="311">
        <v>1</v>
      </c>
      <c r="X118" s="311">
        <v>1</v>
      </c>
      <c r="Y118" s="311">
        <v>1</v>
      </c>
      <c r="Z118" s="311">
        <v>3</v>
      </c>
      <c r="AA118" s="311">
        <v>2</v>
      </c>
      <c r="AB118" s="311">
        <v>3</v>
      </c>
      <c r="AC118" s="311">
        <v>1</v>
      </c>
      <c r="AD118" s="311">
        <v>1</v>
      </c>
      <c r="AE118" s="311">
        <v>0</v>
      </c>
      <c r="AF118" s="311">
        <v>1</v>
      </c>
      <c r="AG118" s="15">
        <f t="shared" si="17"/>
        <v>49</v>
      </c>
      <c r="AK118" s="308" t="s">
        <v>167</v>
      </c>
    </row>
    <row r="119" spans="1:37" ht="15.75" customHeight="1" x14ac:dyDescent="0.25">
      <c r="A119" s="299" t="s">
        <v>91</v>
      </c>
      <c r="B119" s="62">
        <f t="shared" ref="B119:AF119" si="20">SUM(B120:B132)</f>
        <v>186</v>
      </c>
      <c r="C119" s="62">
        <f t="shared" si="20"/>
        <v>202</v>
      </c>
      <c r="D119" s="62">
        <f t="shared" si="20"/>
        <v>163</v>
      </c>
      <c r="E119" s="62">
        <f t="shared" si="20"/>
        <v>217</v>
      </c>
      <c r="F119" s="62">
        <f t="shared" si="20"/>
        <v>225</v>
      </c>
      <c r="G119" s="62">
        <f t="shared" si="20"/>
        <v>198</v>
      </c>
      <c r="H119" s="62">
        <f t="shared" si="20"/>
        <v>210</v>
      </c>
      <c r="I119" s="62">
        <f t="shared" si="20"/>
        <v>226</v>
      </c>
      <c r="J119" s="62">
        <f t="shared" si="20"/>
        <v>183</v>
      </c>
      <c r="K119" s="62">
        <f t="shared" si="20"/>
        <v>213</v>
      </c>
      <c r="L119" s="62">
        <f t="shared" si="20"/>
        <v>217</v>
      </c>
      <c r="M119" s="62">
        <f t="shared" si="20"/>
        <v>219</v>
      </c>
      <c r="N119" s="62">
        <f t="shared" si="20"/>
        <v>192</v>
      </c>
      <c r="O119" s="62">
        <f t="shared" si="20"/>
        <v>181</v>
      </c>
      <c r="P119" s="62">
        <f t="shared" si="20"/>
        <v>181</v>
      </c>
      <c r="Q119" s="62">
        <f t="shared" si="20"/>
        <v>206</v>
      </c>
      <c r="R119" s="62">
        <f t="shared" si="20"/>
        <v>233</v>
      </c>
      <c r="S119" s="62">
        <f t="shared" si="20"/>
        <v>221</v>
      </c>
      <c r="T119" s="62">
        <f t="shared" si="20"/>
        <v>199</v>
      </c>
      <c r="U119" s="62">
        <f t="shared" si="20"/>
        <v>207</v>
      </c>
      <c r="V119" s="62">
        <f t="shared" si="20"/>
        <v>189</v>
      </c>
      <c r="W119" s="62">
        <f t="shared" si="20"/>
        <v>201</v>
      </c>
      <c r="X119" s="62">
        <f t="shared" si="20"/>
        <v>198</v>
      </c>
      <c r="Y119" s="62">
        <f t="shared" si="20"/>
        <v>147</v>
      </c>
      <c r="Z119" s="62">
        <f t="shared" si="20"/>
        <v>209</v>
      </c>
      <c r="AA119" s="62">
        <f t="shared" si="20"/>
        <v>233</v>
      </c>
      <c r="AB119" s="62">
        <f t="shared" si="20"/>
        <v>257</v>
      </c>
      <c r="AC119" s="62">
        <f t="shared" si="20"/>
        <v>206</v>
      </c>
      <c r="AD119" s="62">
        <f t="shared" si="20"/>
        <v>194</v>
      </c>
      <c r="AE119" s="62">
        <f t="shared" si="20"/>
        <v>200</v>
      </c>
      <c r="AF119" s="62">
        <f t="shared" si="20"/>
        <v>141</v>
      </c>
      <c r="AG119" s="22">
        <f t="shared" si="17"/>
        <v>6254</v>
      </c>
      <c r="AH119" s="271" t="str">
        <f>IF(AG119&lt;&gt;AG93,"*","")</f>
        <v/>
      </c>
      <c r="AK119" s="308" t="s">
        <v>168</v>
      </c>
    </row>
    <row r="120" spans="1:37" ht="15.75" customHeight="1" x14ac:dyDescent="0.25">
      <c r="A120" s="309" t="s">
        <v>78</v>
      </c>
      <c r="B120" s="278">
        <v>42</v>
      </c>
      <c r="C120" s="278">
        <v>34</v>
      </c>
      <c r="D120" s="278">
        <v>26</v>
      </c>
      <c r="E120" s="278">
        <v>34</v>
      </c>
      <c r="F120" s="278">
        <v>25</v>
      </c>
      <c r="G120" s="278">
        <v>29</v>
      </c>
      <c r="H120" s="278">
        <v>29</v>
      </c>
      <c r="I120" s="278">
        <v>36</v>
      </c>
      <c r="J120" s="278">
        <v>43</v>
      </c>
      <c r="K120" s="278">
        <v>29</v>
      </c>
      <c r="L120" s="278">
        <v>48</v>
      </c>
      <c r="M120" s="278">
        <v>24</v>
      </c>
      <c r="N120" s="278">
        <v>39</v>
      </c>
      <c r="O120" s="278">
        <v>27</v>
      </c>
      <c r="P120" s="278">
        <v>31</v>
      </c>
      <c r="Q120" s="278">
        <v>28</v>
      </c>
      <c r="R120" s="278">
        <v>52</v>
      </c>
      <c r="S120" s="278">
        <v>49</v>
      </c>
      <c r="T120" s="278">
        <v>54</v>
      </c>
      <c r="U120" s="278">
        <v>33</v>
      </c>
      <c r="V120" s="278">
        <v>22</v>
      </c>
      <c r="W120" s="278">
        <v>33</v>
      </c>
      <c r="X120" s="278">
        <v>35</v>
      </c>
      <c r="Y120" s="278">
        <v>34</v>
      </c>
      <c r="Z120" s="278">
        <v>34</v>
      </c>
      <c r="AA120" s="278">
        <v>44</v>
      </c>
      <c r="AB120" s="278">
        <v>44</v>
      </c>
      <c r="AC120" s="278">
        <v>32</v>
      </c>
      <c r="AD120" s="278">
        <v>27</v>
      </c>
      <c r="AE120" s="278">
        <v>46</v>
      </c>
      <c r="AF120" s="278">
        <v>21</v>
      </c>
      <c r="AG120" s="15">
        <f t="shared" si="17"/>
        <v>1084</v>
      </c>
      <c r="AK120" s="312" t="s">
        <v>169</v>
      </c>
    </row>
    <row r="121" spans="1:37" ht="15.75" customHeight="1" x14ac:dyDescent="0.25">
      <c r="A121" s="309" t="s">
        <v>79</v>
      </c>
      <c r="B121" s="278">
        <v>4</v>
      </c>
      <c r="C121" s="278">
        <v>9</v>
      </c>
      <c r="D121" s="278">
        <v>4</v>
      </c>
      <c r="E121" s="278">
        <v>11</v>
      </c>
      <c r="F121" s="278">
        <v>7</v>
      </c>
      <c r="G121" s="278">
        <v>10</v>
      </c>
      <c r="H121" s="278">
        <v>4</v>
      </c>
      <c r="I121" s="278">
        <v>4</v>
      </c>
      <c r="J121" s="278">
        <v>6</v>
      </c>
      <c r="K121" s="278">
        <v>5</v>
      </c>
      <c r="L121" s="278">
        <v>7</v>
      </c>
      <c r="M121" s="278">
        <v>7</v>
      </c>
      <c r="N121" s="278">
        <v>7</v>
      </c>
      <c r="O121" s="278">
        <v>10</v>
      </c>
      <c r="P121" s="278">
        <v>7</v>
      </c>
      <c r="Q121" s="278">
        <v>10</v>
      </c>
      <c r="R121" s="278">
        <v>11</v>
      </c>
      <c r="S121" s="278">
        <v>11</v>
      </c>
      <c r="T121" s="278">
        <v>7</v>
      </c>
      <c r="U121" s="278">
        <v>8</v>
      </c>
      <c r="V121" s="278">
        <v>8</v>
      </c>
      <c r="W121" s="278">
        <v>2</v>
      </c>
      <c r="X121" s="278">
        <v>5</v>
      </c>
      <c r="Y121" s="278">
        <v>4</v>
      </c>
      <c r="Z121" s="278">
        <v>7</v>
      </c>
      <c r="AA121" s="278">
        <v>13</v>
      </c>
      <c r="AB121" s="278">
        <v>9</v>
      </c>
      <c r="AC121" s="278">
        <v>12</v>
      </c>
      <c r="AD121" s="278">
        <v>4</v>
      </c>
      <c r="AE121" s="278">
        <v>6</v>
      </c>
      <c r="AF121" s="278">
        <v>9</v>
      </c>
      <c r="AG121" s="15">
        <f t="shared" si="17"/>
        <v>228</v>
      </c>
      <c r="AK121" s="308" t="s">
        <v>170</v>
      </c>
    </row>
    <row r="122" spans="1:37" ht="15.75" customHeight="1" x14ac:dyDescent="0.25">
      <c r="A122" s="309" t="s">
        <v>80</v>
      </c>
      <c r="B122" s="278">
        <v>7</v>
      </c>
      <c r="C122" s="278">
        <v>9</v>
      </c>
      <c r="D122" s="278">
        <v>3</v>
      </c>
      <c r="E122" s="278">
        <v>8</v>
      </c>
      <c r="F122" s="278">
        <v>7</v>
      </c>
      <c r="G122" s="278">
        <v>8</v>
      </c>
      <c r="H122" s="278">
        <v>9</v>
      </c>
      <c r="I122" s="278">
        <v>13</v>
      </c>
      <c r="J122" s="278">
        <v>10</v>
      </c>
      <c r="K122" s="278">
        <v>11</v>
      </c>
      <c r="L122" s="278">
        <v>9</v>
      </c>
      <c r="M122" s="278">
        <v>14</v>
      </c>
      <c r="N122" s="278">
        <v>12</v>
      </c>
      <c r="O122" s="278">
        <v>13</v>
      </c>
      <c r="P122" s="278">
        <v>13</v>
      </c>
      <c r="Q122" s="278">
        <v>13</v>
      </c>
      <c r="R122" s="278">
        <v>13</v>
      </c>
      <c r="S122" s="278">
        <v>16</v>
      </c>
      <c r="T122" s="278">
        <v>8</v>
      </c>
      <c r="U122" s="278">
        <v>10</v>
      </c>
      <c r="V122" s="278">
        <v>10</v>
      </c>
      <c r="W122" s="278">
        <v>6</v>
      </c>
      <c r="X122" s="278">
        <v>5</v>
      </c>
      <c r="Y122" s="278">
        <v>3</v>
      </c>
      <c r="Z122" s="278">
        <v>12</v>
      </c>
      <c r="AA122" s="278">
        <v>10</v>
      </c>
      <c r="AB122" s="278">
        <v>17</v>
      </c>
      <c r="AC122" s="278">
        <v>10</v>
      </c>
      <c r="AD122" s="278">
        <v>13</v>
      </c>
      <c r="AE122" s="278">
        <v>6</v>
      </c>
      <c r="AF122" s="278">
        <v>6</v>
      </c>
      <c r="AG122" s="15">
        <f t="shared" si="17"/>
        <v>304</v>
      </c>
      <c r="AK122" s="312" t="s">
        <v>171</v>
      </c>
    </row>
    <row r="123" spans="1:37" ht="15.75" customHeight="1" x14ac:dyDescent="0.25">
      <c r="A123" s="309" t="s">
        <v>81</v>
      </c>
      <c r="B123" s="278">
        <v>7</v>
      </c>
      <c r="C123" s="278">
        <v>9</v>
      </c>
      <c r="D123" s="278">
        <v>9</v>
      </c>
      <c r="E123" s="278">
        <v>11</v>
      </c>
      <c r="F123" s="278">
        <v>11</v>
      </c>
      <c r="G123" s="278">
        <v>12</v>
      </c>
      <c r="H123" s="278">
        <v>7</v>
      </c>
      <c r="I123" s="278">
        <v>13</v>
      </c>
      <c r="J123" s="278">
        <v>6</v>
      </c>
      <c r="K123" s="278">
        <v>10</v>
      </c>
      <c r="L123" s="278">
        <v>12</v>
      </c>
      <c r="M123" s="278">
        <v>17</v>
      </c>
      <c r="N123" s="278">
        <v>3</v>
      </c>
      <c r="O123" s="278">
        <v>8</v>
      </c>
      <c r="P123" s="278">
        <v>11</v>
      </c>
      <c r="Q123" s="278">
        <v>13</v>
      </c>
      <c r="R123" s="278">
        <v>9</v>
      </c>
      <c r="S123" s="278">
        <v>11</v>
      </c>
      <c r="T123" s="278">
        <v>15</v>
      </c>
      <c r="U123" s="278">
        <v>12</v>
      </c>
      <c r="V123" s="278">
        <v>10</v>
      </c>
      <c r="W123" s="278">
        <v>12</v>
      </c>
      <c r="X123" s="278">
        <v>6</v>
      </c>
      <c r="Y123" s="278">
        <v>7</v>
      </c>
      <c r="Z123" s="278">
        <v>16</v>
      </c>
      <c r="AA123" s="278">
        <v>12</v>
      </c>
      <c r="AB123" s="278">
        <v>11</v>
      </c>
      <c r="AC123" s="278">
        <v>13</v>
      </c>
      <c r="AD123" s="278">
        <v>5</v>
      </c>
      <c r="AE123" s="278">
        <v>18</v>
      </c>
      <c r="AF123" s="278">
        <v>6</v>
      </c>
      <c r="AG123" s="15">
        <f t="shared" si="17"/>
        <v>322</v>
      </c>
      <c r="AK123" s="308" t="s">
        <v>172</v>
      </c>
    </row>
    <row r="124" spans="1:37" ht="15.75" customHeight="1" x14ac:dyDescent="0.25">
      <c r="A124" s="309" t="s">
        <v>82</v>
      </c>
      <c r="B124" s="278">
        <v>5</v>
      </c>
      <c r="C124" s="278">
        <v>12</v>
      </c>
      <c r="D124" s="278">
        <v>15</v>
      </c>
      <c r="E124" s="278">
        <v>8</v>
      </c>
      <c r="F124" s="278">
        <v>8</v>
      </c>
      <c r="G124" s="278">
        <v>5</v>
      </c>
      <c r="H124" s="278">
        <v>8</v>
      </c>
      <c r="I124" s="278">
        <v>12</v>
      </c>
      <c r="J124" s="278">
        <v>8</v>
      </c>
      <c r="K124" s="278">
        <v>12</v>
      </c>
      <c r="L124" s="278">
        <v>14</v>
      </c>
      <c r="M124" s="278">
        <v>11</v>
      </c>
      <c r="N124" s="278">
        <v>9</v>
      </c>
      <c r="O124" s="278">
        <v>11</v>
      </c>
      <c r="P124" s="278">
        <v>10</v>
      </c>
      <c r="Q124" s="278">
        <v>8</v>
      </c>
      <c r="R124" s="278">
        <v>7</v>
      </c>
      <c r="S124" s="278">
        <v>14</v>
      </c>
      <c r="T124" s="278">
        <v>11</v>
      </c>
      <c r="U124" s="278">
        <v>13</v>
      </c>
      <c r="V124" s="278">
        <v>4</v>
      </c>
      <c r="W124" s="278">
        <v>7</v>
      </c>
      <c r="X124" s="278">
        <v>12</v>
      </c>
      <c r="Y124" s="278">
        <v>6</v>
      </c>
      <c r="Z124" s="278">
        <v>14</v>
      </c>
      <c r="AA124" s="278">
        <v>4</v>
      </c>
      <c r="AB124" s="278">
        <v>20</v>
      </c>
      <c r="AC124" s="278">
        <v>6</v>
      </c>
      <c r="AD124" s="278">
        <v>10</v>
      </c>
      <c r="AE124" s="278">
        <v>9</v>
      </c>
      <c r="AF124" s="278">
        <v>11</v>
      </c>
      <c r="AG124" s="15">
        <f t="shared" si="17"/>
        <v>304</v>
      </c>
      <c r="AK124" s="312" t="s">
        <v>173</v>
      </c>
    </row>
    <row r="125" spans="1:37" ht="15.75" customHeight="1" x14ac:dyDescent="0.25">
      <c r="A125" s="309" t="s">
        <v>83</v>
      </c>
      <c r="B125" s="278">
        <v>94</v>
      </c>
      <c r="C125" s="278">
        <v>97</v>
      </c>
      <c r="D125" s="278">
        <v>85</v>
      </c>
      <c r="E125" s="278">
        <v>119</v>
      </c>
      <c r="F125" s="278">
        <v>133</v>
      </c>
      <c r="G125" s="278">
        <v>115</v>
      </c>
      <c r="H125" s="278">
        <v>127</v>
      </c>
      <c r="I125" s="278">
        <v>123</v>
      </c>
      <c r="J125" s="278">
        <v>80</v>
      </c>
      <c r="K125" s="278">
        <v>117</v>
      </c>
      <c r="L125" s="278">
        <v>87</v>
      </c>
      <c r="M125" s="278">
        <v>109</v>
      </c>
      <c r="N125" s="278">
        <v>94</v>
      </c>
      <c r="O125" s="278">
        <v>89</v>
      </c>
      <c r="P125" s="278">
        <v>83</v>
      </c>
      <c r="Q125" s="278">
        <v>110</v>
      </c>
      <c r="R125" s="278">
        <v>110</v>
      </c>
      <c r="S125" s="278">
        <v>97</v>
      </c>
      <c r="T125" s="278">
        <v>78</v>
      </c>
      <c r="U125" s="278">
        <v>104</v>
      </c>
      <c r="V125" s="278">
        <v>110</v>
      </c>
      <c r="W125" s="278">
        <v>112</v>
      </c>
      <c r="X125" s="278">
        <v>106</v>
      </c>
      <c r="Y125" s="278">
        <v>70</v>
      </c>
      <c r="Z125" s="278">
        <v>94</v>
      </c>
      <c r="AA125" s="278">
        <v>120</v>
      </c>
      <c r="AB125" s="278">
        <v>119</v>
      </c>
      <c r="AC125" s="278">
        <v>106</v>
      </c>
      <c r="AD125" s="278">
        <v>110</v>
      </c>
      <c r="AE125" s="278">
        <v>93</v>
      </c>
      <c r="AF125" s="278">
        <v>73</v>
      </c>
      <c r="AG125" s="15">
        <f t="shared" si="17"/>
        <v>3164</v>
      </c>
      <c r="AK125" s="312" t="s">
        <v>174</v>
      </c>
    </row>
    <row r="126" spans="1:37" ht="15.75" customHeight="1" x14ac:dyDescent="0.25">
      <c r="A126" s="309" t="s">
        <v>84</v>
      </c>
      <c r="B126" s="278">
        <v>1</v>
      </c>
      <c r="C126" s="278">
        <v>3</v>
      </c>
      <c r="D126" s="278">
        <v>2</v>
      </c>
      <c r="E126" s="278">
        <v>4</v>
      </c>
      <c r="F126" s="278">
        <v>6</v>
      </c>
      <c r="G126" s="278">
        <v>1</v>
      </c>
      <c r="H126" s="278">
        <v>1</v>
      </c>
      <c r="I126" s="278">
        <v>4</v>
      </c>
      <c r="J126" s="278">
        <v>4</v>
      </c>
      <c r="K126" s="278">
        <v>4</v>
      </c>
      <c r="L126" s="278">
        <v>7</v>
      </c>
      <c r="M126" s="278">
        <v>2</v>
      </c>
      <c r="N126" s="278">
        <v>3</v>
      </c>
      <c r="O126" s="278">
        <v>4</v>
      </c>
      <c r="P126" s="278">
        <v>0</v>
      </c>
      <c r="Q126" s="278">
        <v>4</v>
      </c>
      <c r="R126" s="278">
        <v>3</v>
      </c>
      <c r="S126" s="278">
        <v>1</v>
      </c>
      <c r="T126" s="278">
        <v>2</v>
      </c>
      <c r="U126" s="278">
        <v>3</v>
      </c>
      <c r="V126" s="278">
        <v>3</v>
      </c>
      <c r="W126" s="278">
        <v>1</v>
      </c>
      <c r="X126" s="278">
        <v>4</v>
      </c>
      <c r="Y126" s="278">
        <v>2</v>
      </c>
      <c r="Z126" s="278">
        <v>0</v>
      </c>
      <c r="AA126" s="278">
        <v>2</v>
      </c>
      <c r="AB126" s="278">
        <v>3</v>
      </c>
      <c r="AC126" s="278">
        <v>2</v>
      </c>
      <c r="AD126" s="278">
        <v>4</v>
      </c>
      <c r="AE126" s="278">
        <v>4</v>
      </c>
      <c r="AF126" s="278">
        <v>0</v>
      </c>
      <c r="AG126" s="15">
        <f t="shared" si="17"/>
        <v>84</v>
      </c>
      <c r="AK126" s="308" t="s">
        <v>175</v>
      </c>
    </row>
    <row r="127" spans="1:37" ht="15.75" customHeight="1" x14ac:dyDescent="0.25">
      <c r="A127" s="309" t="s">
        <v>85</v>
      </c>
      <c r="B127" s="278">
        <v>3</v>
      </c>
      <c r="C127" s="278">
        <v>2</v>
      </c>
      <c r="D127" s="278">
        <v>1</v>
      </c>
      <c r="E127" s="278">
        <v>1</v>
      </c>
      <c r="F127" s="278">
        <v>3</v>
      </c>
      <c r="G127" s="278">
        <v>2</v>
      </c>
      <c r="H127" s="278">
        <v>2</v>
      </c>
      <c r="I127" s="278">
        <v>1</v>
      </c>
      <c r="J127" s="278">
        <v>0</v>
      </c>
      <c r="K127" s="278">
        <v>0</v>
      </c>
      <c r="L127" s="278">
        <v>3</v>
      </c>
      <c r="M127" s="278">
        <v>1</v>
      </c>
      <c r="N127" s="278">
        <v>2</v>
      </c>
      <c r="O127" s="278">
        <v>1</v>
      </c>
      <c r="P127" s="278">
        <v>2</v>
      </c>
      <c r="Q127" s="278">
        <v>1</v>
      </c>
      <c r="R127" s="278">
        <v>2</v>
      </c>
      <c r="S127" s="278">
        <v>2</v>
      </c>
      <c r="T127" s="278">
        <v>3</v>
      </c>
      <c r="U127" s="278">
        <v>3</v>
      </c>
      <c r="V127" s="278">
        <v>2</v>
      </c>
      <c r="W127" s="278">
        <v>0</v>
      </c>
      <c r="X127" s="278">
        <v>0</v>
      </c>
      <c r="Y127" s="278">
        <v>0</v>
      </c>
      <c r="Z127" s="278">
        <v>2</v>
      </c>
      <c r="AA127" s="278">
        <v>4</v>
      </c>
      <c r="AB127" s="278">
        <v>1</v>
      </c>
      <c r="AC127" s="278">
        <v>3</v>
      </c>
      <c r="AD127" s="278">
        <v>0</v>
      </c>
      <c r="AE127" s="278">
        <v>4</v>
      </c>
      <c r="AF127" s="278">
        <v>2</v>
      </c>
      <c r="AG127" s="15">
        <f t="shared" si="17"/>
        <v>53</v>
      </c>
      <c r="AK127" s="312" t="s">
        <v>176</v>
      </c>
    </row>
    <row r="128" spans="1:37" ht="15.75" customHeight="1" x14ac:dyDescent="0.25">
      <c r="A128" s="280" t="s">
        <v>86</v>
      </c>
      <c r="B128" s="278">
        <v>1</v>
      </c>
      <c r="C128" s="278">
        <v>5</v>
      </c>
      <c r="D128" s="278">
        <v>4</v>
      </c>
      <c r="E128" s="278">
        <v>0</v>
      </c>
      <c r="F128" s="278">
        <v>2</v>
      </c>
      <c r="G128" s="278">
        <v>3</v>
      </c>
      <c r="H128" s="278">
        <v>1</v>
      </c>
      <c r="I128" s="278">
        <v>1</v>
      </c>
      <c r="J128" s="278">
        <v>6</v>
      </c>
      <c r="K128" s="278">
        <v>2</v>
      </c>
      <c r="L128" s="278">
        <v>3</v>
      </c>
      <c r="M128" s="278">
        <v>1</v>
      </c>
      <c r="N128" s="278">
        <v>3</v>
      </c>
      <c r="O128" s="278">
        <v>4</v>
      </c>
      <c r="P128" s="278">
        <v>5</v>
      </c>
      <c r="Q128" s="278">
        <v>4</v>
      </c>
      <c r="R128" s="278">
        <v>3</v>
      </c>
      <c r="S128" s="278">
        <v>2</v>
      </c>
      <c r="T128" s="278">
        <v>2</v>
      </c>
      <c r="U128" s="278">
        <v>1</v>
      </c>
      <c r="V128" s="278">
        <v>2</v>
      </c>
      <c r="W128" s="278">
        <v>4</v>
      </c>
      <c r="X128" s="278">
        <v>1</v>
      </c>
      <c r="Y128" s="278">
        <v>5</v>
      </c>
      <c r="Z128" s="278">
        <v>1</v>
      </c>
      <c r="AA128" s="278">
        <v>5</v>
      </c>
      <c r="AB128" s="278">
        <v>4</v>
      </c>
      <c r="AC128" s="278">
        <v>3</v>
      </c>
      <c r="AD128" s="278">
        <v>4</v>
      </c>
      <c r="AE128" s="278">
        <v>1</v>
      </c>
      <c r="AF128" s="278">
        <v>3</v>
      </c>
      <c r="AG128" s="15">
        <f t="shared" si="17"/>
        <v>86</v>
      </c>
      <c r="AK128" s="312" t="s">
        <v>177</v>
      </c>
    </row>
    <row r="129" spans="1:37" ht="15.75" customHeight="1" x14ac:dyDescent="0.25">
      <c r="A129" s="280" t="s">
        <v>87</v>
      </c>
      <c r="B129" s="278">
        <v>1</v>
      </c>
      <c r="C129" s="278">
        <v>4</v>
      </c>
      <c r="D129" s="278">
        <v>1</v>
      </c>
      <c r="E129" s="278">
        <v>1</v>
      </c>
      <c r="F129" s="278">
        <v>3</v>
      </c>
      <c r="G129" s="278">
        <v>2</v>
      </c>
      <c r="H129" s="278">
        <v>0</v>
      </c>
      <c r="I129" s="278">
        <v>0</v>
      </c>
      <c r="J129" s="278">
        <v>1</v>
      </c>
      <c r="K129" s="278">
        <v>0</v>
      </c>
      <c r="L129" s="278">
        <v>1</v>
      </c>
      <c r="M129" s="278">
        <v>2</v>
      </c>
      <c r="N129" s="278">
        <v>1</v>
      </c>
      <c r="O129" s="278">
        <v>0</v>
      </c>
      <c r="P129" s="278">
        <v>1</v>
      </c>
      <c r="Q129" s="278">
        <v>1</v>
      </c>
      <c r="R129" s="278">
        <v>1</v>
      </c>
      <c r="S129" s="278">
        <v>1</v>
      </c>
      <c r="T129" s="278">
        <v>0</v>
      </c>
      <c r="U129" s="278">
        <v>1</v>
      </c>
      <c r="V129" s="278">
        <v>1</v>
      </c>
      <c r="W129" s="278">
        <v>0</v>
      </c>
      <c r="X129" s="278">
        <v>1</v>
      </c>
      <c r="Y129" s="278">
        <v>1</v>
      </c>
      <c r="Z129" s="278">
        <v>1</v>
      </c>
      <c r="AA129" s="278">
        <v>2</v>
      </c>
      <c r="AB129" s="278">
        <v>1</v>
      </c>
      <c r="AC129" s="278">
        <v>2</v>
      </c>
      <c r="AD129" s="278">
        <v>1</v>
      </c>
      <c r="AE129" s="278">
        <v>2</v>
      </c>
      <c r="AF129" s="278">
        <v>0</v>
      </c>
      <c r="AG129" s="15">
        <f t="shared" si="17"/>
        <v>34</v>
      </c>
      <c r="AK129" s="308" t="s">
        <v>178</v>
      </c>
    </row>
    <row r="130" spans="1:37" ht="15.75" customHeight="1" x14ac:dyDescent="0.25">
      <c r="A130" s="280" t="s">
        <v>88</v>
      </c>
      <c r="B130" s="278">
        <v>0</v>
      </c>
      <c r="C130" s="278">
        <v>1</v>
      </c>
      <c r="D130" s="278">
        <v>0</v>
      </c>
      <c r="E130" s="278">
        <v>2</v>
      </c>
      <c r="F130" s="278">
        <v>0</v>
      </c>
      <c r="G130" s="278">
        <v>0</v>
      </c>
      <c r="H130" s="278">
        <v>1</v>
      </c>
      <c r="I130" s="278">
        <v>1</v>
      </c>
      <c r="J130" s="278">
        <v>0</v>
      </c>
      <c r="K130" s="278">
        <v>0</v>
      </c>
      <c r="L130" s="278">
        <v>2</v>
      </c>
      <c r="M130" s="278">
        <v>1</v>
      </c>
      <c r="N130" s="278">
        <v>1</v>
      </c>
      <c r="O130" s="278">
        <v>0</v>
      </c>
      <c r="P130" s="278">
        <v>0</v>
      </c>
      <c r="Q130" s="278">
        <v>1</v>
      </c>
      <c r="R130" s="278">
        <v>0</v>
      </c>
      <c r="S130" s="278">
        <v>1</v>
      </c>
      <c r="T130" s="278">
        <v>1</v>
      </c>
      <c r="U130" s="278">
        <v>0</v>
      </c>
      <c r="V130" s="278">
        <v>0</v>
      </c>
      <c r="W130" s="278">
        <v>0</v>
      </c>
      <c r="X130" s="278">
        <v>1</v>
      </c>
      <c r="Y130" s="278">
        <v>1</v>
      </c>
      <c r="Z130" s="278">
        <v>0</v>
      </c>
      <c r="AA130" s="278">
        <v>0</v>
      </c>
      <c r="AB130" s="278">
        <v>0</v>
      </c>
      <c r="AC130" s="278">
        <v>0</v>
      </c>
      <c r="AD130" s="278">
        <v>2</v>
      </c>
      <c r="AE130" s="278">
        <v>1</v>
      </c>
      <c r="AF130" s="278">
        <v>0</v>
      </c>
      <c r="AG130" s="15">
        <f t="shared" si="17"/>
        <v>17</v>
      </c>
      <c r="AK130" s="308" t="s">
        <v>179</v>
      </c>
    </row>
    <row r="131" spans="1:37" ht="15.75" customHeight="1" x14ac:dyDescent="0.25">
      <c r="A131" s="309" t="s">
        <v>89</v>
      </c>
      <c r="B131" s="278">
        <v>13</v>
      </c>
      <c r="C131" s="278">
        <v>10</v>
      </c>
      <c r="D131" s="278">
        <v>7</v>
      </c>
      <c r="E131" s="278">
        <v>12</v>
      </c>
      <c r="F131" s="278">
        <v>11</v>
      </c>
      <c r="G131" s="278">
        <v>7</v>
      </c>
      <c r="H131" s="278">
        <v>12</v>
      </c>
      <c r="I131" s="278">
        <v>8</v>
      </c>
      <c r="J131" s="278">
        <v>9</v>
      </c>
      <c r="K131" s="278">
        <v>6</v>
      </c>
      <c r="L131" s="278">
        <v>15</v>
      </c>
      <c r="M131" s="278">
        <v>13</v>
      </c>
      <c r="N131" s="278">
        <v>9</v>
      </c>
      <c r="O131" s="278">
        <v>6</v>
      </c>
      <c r="P131" s="278">
        <v>6</v>
      </c>
      <c r="Q131" s="278">
        <v>7</v>
      </c>
      <c r="R131" s="278">
        <v>12</v>
      </c>
      <c r="S131" s="278">
        <v>7</v>
      </c>
      <c r="T131" s="278">
        <v>5</v>
      </c>
      <c r="U131" s="278">
        <v>5</v>
      </c>
      <c r="V131" s="278">
        <v>6</v>
      </c>
      <c r="W131" s="278">
        <v>16</v>
      </c>
      <c r="X131" s="278">
        <v>16</v>
      </c>
      <c r="Y131" s="278">
        <v>9</v>
      </c>
      <c r="Z131" s="278">
        <v>11</v>
      </c>
      <c r="AA131" s="278">
        <v>12</v>
      </c>
      <c r="AB131" s="278">
        <v>9</v>
      </c>
      <c r="AC131" s="278">
        <v>13</v>
      </c>
      <c r="AD131" s="278">
        <v>9</v>
      </c>
      <c r="AE131" s="278">
        <v>8</v>
      </c>
      <c r="AF131" s="278">
        <v>2</v>
      </c>
      <c r="AG131" s="15">
        <f t="shared" si="17"/>
        <v>291</v>
      </c>
      <c r="AK131" s="308" t="s">
        <v>180</v>
      </c>
    </row>
    <row r="132" spans="1:37" ht="15.75" customHeight="1" thickBot="1" x14ac:dyDescent="0.3">
      <c r="A132" s="310" t="s">
        <v>90</v>
      </c>
      <c r="B132" s="311">
        <v>8</v>
      </c>
      <c r="C132" s="311">
        <v>7</v>
      </c>
      <c r="D132" s="311">
        <v>6</v>
      </c>
      <c r="E132" s="311">
        <v>6</v>
      </c>
      <c r="F132" s="311">
        <v>9</v>
      </c>
      <c r="G132" s="311">
        <v>4</v>
      </c>
      <c r="H132" s="311">
        <v>9</v>
      </c>
      <c r="I132" s="311">
        <v>10</v>
      </c>
      <c r="J132" s="311">
        <v>10</v>
      </c>
      <c r="K132" s="311">
        <v>17</v>
      </c>
      <c r="L132" s="311">
        <v>9</v>
      </c>
      <c r="M132" s="311">
        <v>17</v>
      </c>
      <c r="N132" s="311">
        <v>9</v>
      </c>
      <c r="O132" s="311">
        <v>8</v>
      </c>
      <c r="P132" s="311">
        <v>12</v>
      </c>
      <c r="Q132" s="311">
        <v>6</v>
      </c>
      <c r="R132" s="311">
        <v>10</v>
      </c>
      <c r="S132" s="311">
        <v>9</v>
      </c>
      <c r="T132" s="311">
        <v>13</v>
      </c>
      <c r="U132" s="311">
        <v>14</v>
      </c>
      <c r="V132" s="311">
        <v>11</v>
      </c>
      <c r="W132" s="311">
        <v>8</v>
      </c>
      <c r="X132" s="311">
        <v>6</v>
      </c>
      <c r="Y132" s="311">
        <v>5</v>
      </c>
      <c r="Z132" s="311">
        <v>17</v>
      </c>
      <c r="AA132" s="311">
        <v>5</v>
      </c>
      <c r="AB132" s="311">
        <v>19</v>
      </c>
      <c r="AC132" s="311">
        <v>4</v>
      </c>
      <c r="AD132" s="311">
        <v>5</v>
      </c>
      <c r="AE132" s="311">
        <v>2</v>
      </c>
      <c r="AF132" s="311">
        <v>8</v>
      </c>
      <c r="AG132" s="26">
        <f t="shared" si="17"/>
        <v>283</v>
      </c>
      <c r="AK132" s="308" t="s">
        <v>181</v>
      </c>
    </row>
    <row r="133" spans="1:37" ht="15.75" customHeight="1" thickBot="1" x14ac:dyDescent="0.3">
      <c r="A133" s="291" t="s">
        <v>92</v>
      </c>
      <c r="B133" s="43">
        <f t="shared" ref="B133:AF133" si="21">+B28</f>
        <v>186</v>
      </c>
      <c r="C133" s="43">
        <f t="shared" si="21"/>
        <v>202</v>
      </c>
      <c r="D133" s="43">
        <f t="shared" si="21"/>
        <v>163</v>
      </c>
      <c r="E133" s="43">
        <f t="shared" si="21"/>
        <v>217</v>
      </c>
      <c r="F133" s="43">
        <f t="shared" si="21"/>
        <v>225</v>
      </c>
      <c r="G133" s="43">
        <f t="shared" si="21"/>
        <v>198</v>
      </c>
      <c r="H133" s="43">
        <f t="shared" si="21"/>
        <v>210</v>
      </c>
      <c r="I133" s="43">
        <f t="shared" si="21"/>
        <v>226</v>
      </c>
      <c r="J133" s="43">
        <f t="shared" si="21"/>
        <v>183</v>
      </c>
      <c r="K133" s="43">
        <f t="shared" si="21"/>
        <v>213</v>
      </c>
      <c r="L133" s="43">
        <f t="shared" si="21"/>
        <v>217</v>
      </c>
      <c r="M133" s="43">
        <f t="shared" si="21"/>
        <v>219</v>
      </c>
      <c r="N133" s="43">
        <f t="shared" si="21"/>
        <v>192</v>
      </c>
      <c r="O133" s="43">
        <f t="shared" si="21"/>
        <v>181</v>
      </c>
      <c r="P133" s="43">
        <f t="shared" si="21"/>
        <v>181</v>
      </c>
      <c r="Q133" s="43">
        <f t="shared" si="21"/>
        <v>206</v>
      </c>
      <c r="R133" s="43">
        <f t="shared" si="21"/>
        <v>233</v>
      </c>
      <c r="S133" s="43">
        <f t="shared" si="21"/>
        <v>221</v>
      </c>
      <c r="T133" s="43">
        <f t="shared" si="21"/>
        <v>199</v>
      </c>
      <c r="U133" s="43">
        <f t="shared" si="21"/>
        <v>207</v>
      </c>
      <c r="V133" s="43">
        <f t="shared" si="21"/>
        <v>189</v>
      </c>
      <c r="W133" s="43">
        <f t="shared" si="21"/>
        <v>201</v>
      </c>
      <c r="X133" s="43">
        <f t="shared" si="21"/>
        <v>198</v>
      </c>
      <c r="Y133" s="43">
        <f t="shared" si="21"/>
        <v>147</v>
      </c>
      <c r="Z133" s="43">
        <f t="shared" si="21"/>
        <v>209</v>
      </c>
      <c r="AA133" s="43">
        <f t="shared" si="21"/>
        <v>233</v>
      </c>
      <c r="AB133" s="43">
        <f t="shared" si="21"/>
        <v>257</v>
      </c>
      <c r="AC133" s="43">
        <f t="shared" si="21"/>
        <v>206</v>
      </c>
      <c r="AD133" s="43">
        <f t="shared" si="21"/>
        <v>194</v>
      </c>
      <c r="AE133" s="43">
        <f t="shared" si="21"/>
        <v>200</v>
      </c>
      <c r="AF133" s="43">
        <f t="shared" si="21"/>
        <v>141</v>
      </c>
      <c r="AG133" s="27">
        <f t="shared" si="17"/>
        <v>6254</v>
      </c>
      <c r="AH133" s="271" t="str">
        <f>IF(AG133&lt;&gt;AG93,"*","")</f>
        <v/>
      </c>
      <c r="AK133" s="308" t="s">
        <v>182</v>
      </c>
    </row>
    <row r="134" spans="1:37" ht="15.75" customHeight="1" thickBot="1" x14ac:dyDescent="0.3">
      <c r="A134" s="313" t="s">
        <v>44</v>
      </c>
      <c r="B134" s="82">
        <f t="shared" ref="B134:AF134" si="22">+B53</f>
        <v>14</v>
      </c>
      <c r="C134" s="82">
        <f t="shared" si="22"/>
        <v>12</v>
      </c>
      <c r="D134" s="82">
        <f t="shared" si="22"/>
        <v>24</v>
      </c>
      <c r="E134" s="82">
        <f t="shared" si="22"/>
        <v>52</v>
      </c>
      <c r="F134" s="82">
        <f t="shared" si="22"/>
        <v>18</v>
      </c>
      <c r="G134" s="82">
        <f t="shared" si="22"/>
        <v>23</v>
      </c>
      <c r="H134" s="82">
        <f t="shared" si="22"/>
        <v>16</v>
      </c>
      <c r="I134" s="82">
        <f t="shared" si="22"/>
        <v>8</v>
      </c>
      <c r="J134" s="82">
        <f t="shared" si="22"/>
        <v>5</v>
      </c>
      <c r="K134" s="82">
        <f t="shared" si="22"/>
        <v>5</v>
      </c>
      <c r="L134" s="82">
        <f t="shared" si="22"/>
        <v>47</v>
      </c>
      <c r="M134" s="82">
        <f t="shared" si="22"/>
        <v>16</v>
      </c>
      <c r="N134" s="82">
        <f t="shared" si="22"/>
        <v>6</v>
      </c>
      <c r="O134" s="82">
        <f t="shared" si="22"/>
        <v>38</v>
      </c>
      <c r="P134" s="82">
        <f t="shared" si="22"/>
        <v>10</v>
      </c>
      <c r="Q134" s="82">
        <f t="shared" si="22"/>
        <v>18</v>
      </c>
      <c r="R134" s="82">
        <f t="shared" si="22"/>
        <v>23</v>
      </c>
      <c r="S134" s="82">
        <f t="shared" si="22"/>
        <v>10</v>
      </c>
      <c r="T134" s="82">
        <f t="shared" si="22"/>
        <v>3</v>
      </c>
      <c r="U134" s="82">
        <f t="shared" si="22"/>
        <v>3</v>
      </c>
      <c r="V134" s="82">
        <f t="shared" si="22"/>
        <v>25</v>
      </c>
      <c r="W134" s="82">
        <f t="shared" si="22"/>
        <v>17</v>
      </c>
      <c r="X134" s="82">
        <f t="shared" si="22"/>
        <v>19</v>
      </c>
      <c r="Y134" s="82">
        <f t="shared" si="22"/>
        <v>5</v>
      </c>
      <c r="Z134" s="82">
        <f t="shared" si="22"/>
        <v>9</v>
      </c>
      <c r="AA134" s="82">
        <f t="shared" si="22"/>
        <v>50</v>
      </c>
      <c r="AB134" s="82">
        <f t="shared" si="22"/>
        <v>22</v>
      </c>
      <c r="AC134" s="82">
        <f t="shared" si="22"/>
        <v>39</v>
      </c>
      <c r="AD134" s="82">
        <f t="shared" si="22"/>
        <v>41</v>
      </c>
      <c r="AE134" s="82">
        <f t="shared" si="22"/>
        <v>7</v>
      </c>
      <c r="AF134" s="82">
        <f t="shared" si="22"/>
        <v>5</v>
      </c>
      <c r="AG134" s="83">
        <f t="shared" si="17"/>
        <v>590</v>
      </c>
      <c r="AK134" s="308" t="s">
        <v>183</v>
      </c>
    </row>
    <row r="135" spans="1:37" ht="15.75" customHeight="1" thickBot="1" x14ac:dyDescent="0.3">
      <c r="A135" s="276" t="s">
        <v>110</v>
      </c>
      <c r="B135" s="6">
        <f t="shared" ref="B135:AF135" si="23">SUM(B136:B138)</f>
        <v>1</v>
      </c>
      <c r="C135" s="6">
        <f t="shared" si="23"/>
        <v>1</v>
      </c>
      <c r="D135" s="6">
        <f t="shared" si="23"/>
        <v>0</v>
      </c>
      <c r="E135" s="6">
        <f t="shared" si="23"/>
        <v>1</v>
      </c>
      <c r="F135" s="6">
        <f t="shared" si="23"/>
        <v>0</v>
      </c>
      <c r="G135" s="6">
        <f t="shared" si="23"/>
        <v>3</v>
      </c>
      <c r="H135" s="6">
        <f t="shared" si="23"/>
        <v>0</v>
      </c>
      <c r="I135" s="6">
        <f t="shared" si="23"/>
        <v>2</v>
      </c>
      <c r="J135" s="6">
        <f t="shared" si="23"/>
        <v>0</v>
      </c>
      <c r="K135" s="6">
        <f t="shared" si="23"/>
        <v>3</v>
      </c>
      <c r="L135" s="6">
        <f t="shared" si="23"/>
        <v>1</v>
      </c>
      <c r="M135" s="6">
        <f t="shared" si="23"/>
        <v>1</v>
      </c>
      <c r="N135" s="6">
        <f t="shared" si="23"/>
        <v>0</v>
      </c>
      <c r="O135" s="6">
        <f t="shared" si="23"/>
        <v>0</v>
      </c>
      <c r="P135" s="6">
        <f t="shared" si="23"/>
        <v>0</v>
      </c>
      <c r="Q135" s="6">
        <f t="shared" si="23"/>
        <v>1</v>
      </c>
      <c r="R135" s="6">
        <f t="shared" si="23"/>
        <v>3</v>
      </c>
      <c r="S135" s="6">
        <f t="shared" si="23"/>
        <v>0</v>
      </c>
      <c r="T135" s="6">
        <f t="shared" si="23"/>
        <v>1</v>
      </c>
      <c r="U135" s="6">
        <f t="shared" si="23"/>
        <v>0</v>
      </c>
      <c r="V135" s="6">
        <f t="shared" si="23"/>
        <v>1</v>
      </c>
      <c r="W135" s="6">
        <f t="shared" si="23"/>
        <v>0</v>
      </c>
      <c r="X135" s="6">
        <f t="shared" si="23"/>
        <v>1</v>
      </c>
      <c r="Y135" s="6">
        <f t="shared" si="23"/>
        <v>0</v>
      </c>
      <c r="Z135" s="6">
        <f t="shared" si="23"/>
        <v>0</v>
      </c>
      <c r="AA135" s="6">
        <f t="shared" si="23"/>
        <v>1</v>
      </c>
      <c r="AB135" s="6">
        <f t="shared" si="23"/>
        <v>0</v>
      </c>
      <c r="AC135" s="6">
        <f t="shared" si="23"/>
        <v>0</v>
      </c>
      <c r="AD135" s="6">
        <f t="shared" si="23"/>
        <v>3</v>
      </c>
      <c r="AE135" s="6">
        <f t="shared" si="23"/>
        <v>0</v>
      </c>
      <c r="AF135" s="6">
        <f t="shared" si="23"/>
        <v>0</v>
      </c>
      <c r="AG135" s="7">
        <f t="shared" si="17"/>
        <v>24</v>
      </c>
      <c r="AH135" s="357" t="s">
        <v>111</v>
      </c>
      <c r="AK135" s="308" t="s">
        <v>184</v>
      </c>
    </row>
    <row r="136" spans="1:37" ht="15.75" customHeight="1" x14ac:dyDescent="0.25">
      <c r="A136" s="314" t="s">
        <v>112</v>
      </c>
      <c r="B136" s="315">
        <v>1</v>
      </c>
      <c r="C136" s="315">
        <v>1</v>
      </c>
      <c r="D136" s="315">
        <v>0</v>
      </c>
      <c r="E136" s="315">
        <v>0</v>
      </c>
      <c r="F136" s="315">
        <v>0</v>
      </c>
      <c r="G136" s="315">
        <v>3</v>
      </c>
      <c r="H136" s="315">
        <v>0</v>
      </c>
      <c r="I136" s="315">
        <v>0</v>
      </c>
      <c r="J136" s="315">
        <v>0</v>
      </c>
      <c r="K136" s="315">
        <v>3</v>
      </c>
      <c r="L136" s="315">
        <v>1</v>
      </c>
      <c r="M136" s="315">
        <v>1</v>
      </c>
      <c r="N136" s="315">
        <v>0</v>
      </c>
      <c r="O136" s="315">
        <v>0</v>
      </c>
      <c r="P136" s="315">
        <v>0</v>
      </c>
      <c r="Q136" s="315">
        <v>1</v>
      </c>
      <c r="R136" s="315">
        <v>2</v>
      </c>
      <c r="S136" s="315">
        <v>0</v>
      </c>
      <c r="T136" s="315">
        <v>1</v>
      </c>
      <c r="U136" s="315">
        <v>0</v>
      </c>
      <c r="V136" s="315">
        <v>1</v>
      </c>
      <c r="W136" s="315">
        <v>0</v>
      </c>
      <c r="X136" s="315">
        <v>1</v>
      </c>
      <c r="Y136" s="315">
        <v>0</v>
      </c>
      <c r="Z136" s="315">
        <v>0</v>
      </c>
      <c r="AA136" s="315">
        <v>1</v>
      </c>
      <c r="AB136" s="315">
        <v>0</v>
      </c>
      <c r="AC136" s="315">
        <v>0</v>
      </c>
      <c r="AD136" s="315">
        <v>3</v>
      </c>
      <c r="AE136" s="315">
        <v>0</v>
      </c>
      <c r="AF136" s="315">
        <v>0</v>
      </c>
      <c r="AG136" s="126">
        <f t="shared" si="17"/>
        <v>20</v>
      </c>
      <c r="AK136" s="308" t="s">
        <v>185</v>
      </c>
    </row>
    <row r="137" spans="1:37" ht="15.75" customHeight="1" x14ac:dyDescent="0.25">
      <c r="A137" s="316" t="s">
        <v>113</v>
      </c>
      <c r="B137" s="317">
        <v>0</v>
      </c>
      <c r="C137" s="317">
        <v>0</v>
      </c>
      <c r="D137" s="317">
        <v>0</v>
      </c>
      <c r="E137" s="317">
        <v>1</v>
      </c>
      <c r="F137" s="317">
        <v>0</v>
      </c>
      <c r="G137" s="317">
        <v>0</v>
      </c>
      <c r="H137" s="317">
        <v>0</v>
      </c>
      <c r="I137" s="317">
        <v>2</v>
      </c>
      <c r="J137" s="317">
        <v>0</v>
      </c>
      <c r="K137" s="317">
        <v>0</v>
      </c>
      <c r="L137" s="317">
        <v>0</v>
      </c>
      <c r="M137" s="317">
        <v>0</v>
      </c>
      <c r="N137" s="317">
        <v>0</v>
      </c>
      <c r="O137" s="317">
        <v>0</v>
      </c>
      <c r="P137" s="317">
        <v>0</v>
      </c>
      <c r="Q137" s="317">
        <v>0</v>
      </c>
      <c r="R137" s="317">
        <v>1</v>
      </c>
      <c r="S137" s="317">
        <v>0</v>
      </c>
      <c r="T137" s="317">
        <v>0</v>
      </c>
      <c r="U137" s="317">
        <v>0</v>
      </c>
      <c r="V137" s="317">
        <v>0</v>
      </c>
      <c r="W137" s="317">
        <v>0</v>
      </c>
      <c r="X137" s="317">
        <v>0</v>
      </c>
      <c r="Y137" s="317">
        <v>0</v>
      </c>
      <c r="Z137" s="317">
        <v>0</v>
      </c>
      <c r="AA137" s="317">
        <v>0</v>
      </c>
      <c r="AB137" s="317">
        <v>0</v>
      </c>
      <c r="AC137" s="317">
        <v>0</v>
      </c>
      <c r="AD137" s="317">
        <v>0</v>
      </c>
      <c r="AE137" s="317">
        <v>0</v>
      </c>
      <c r="AF137" s="317">
        <v>0</v>
      </c>
      <c r="AG137" s="130">
        <f t="shared" si="17"/>
        <v>4</v>
      </c>
      <c r="AK137" s="308" t="s">
        <v>186</v>
      </c>
    </row>
    <row r="138" spans="1:37" ht="15.75" customHeight="1" thickBot="1" x14ac:dyDescent="0.3">
      <c r="A138" s="318" t="s">
        <v>114</v>
      </c>
      <c r="B138" s="319">
        <v>0</v>
      </c>
      <c r="C138" s="319">
        <v>0</v>
      </c>
      <c r="D138" s="319">
        <v>0</v>
      </c>
      <c r="E138" s="319">
        <v>0</v>
      </c>
      <c r="F138" s="319">
        <v>0</v>
      </c>
      <c r="G138" s="319">
        <v>0</v>
      </c>
      <c r="H138" s="319">
        <v>0</v>
      </c>
      <c r="I138" s="319">
        <v>0</v>
      </c>
      <c r="J138" s="319">
        <v>0</v>
      </c>
      <c r="K138" s="319">
        <v>0</v>
      </c>
      <c r="L138" s="319">
        <v>0</v>
      </c>
      <c r="M138" s="319">
        <v>0</v>
      </c>
      <c r="N138" s="319">
        <v>0</v>
      </c>
      <c r="O138" s="319">
        <v>0</v>
      </c>
      <c r="P138" s="319">
        <v>0</v>
      </c>
      <c r="Q138" s="319">
        <v>0</v>
      </c>
      <c r="R138" s="319">
        <v>0</v>
      </c>
      <c r="S138" s="319">
        <v>0</v>
      </c>
      <c r="T138" s="319">
        <v>0</v>
      </c>
      <c r="U138" s="319">
        <v>0</v>
      </c>
      <c r="V138" s="319">
        <v>0</v>
      </c>
      <c r="W138" s="319">
        <v>0</v>
      </c>
      <c r="X138" s="319">
        <v>0</v>
      </c>
      <c r="Y138" s="319">
        <v>0</v>
      </c>
      <c r="Z138" s="319">
        <v>0</v>
      </c>
      <c r="AA138" s="319">
        <v>0</v>
      </c>
      <c r="AB138" s="319">
        <v>0</v>
      </c>
      <c r="AC138" s="319">
        <v>0</v>
      </c>
      <c r="AD138" s="319">
        <v>0</v>
      </c>
      <c r="AE138" s="319">
        <v>0</v>
      </c>
      <c r="AF138" s="319">
        <v>0</v>
      </c>
      <c r="AG138" s="134">
        <f t="shared" si="17"/>
        <v>0</v>
      </c>
      <c r="AK138" s="308" t="s">
        <v>187</v>
      </c>
    </row>
    <row r="139" spans="1:37" ht="15.75" customHeight="1" thickBot="1" x14ac:dyDescent="0.3">
      <c r="A139" s="296" t="s">
        <v>115</v>
      </c>
      <c r="B139" s="136">
        <f t="shared" ref="B139:AF139" si="24">SUM(B140:B141)</f>
        <v>1</v>
      </c>
      <c r="C139" s="136">
        <f t="shared" si="24"/>
        <v>3</v>
      </c>
      <c r="D139" s="136">
        <f t="shared" si="24"/>
        <v>3</v>
      </c>
      <c r="E139" s="136">
        <f t="shared" si="24"/>
        <v>4</v>
      </c>
      <c r="F139" s="136">
        <f t="shared" si="24"/>
        <v>2</v>
      </c>
      <c r="G139" s="136">
        <f t="shared" si="24"/>
        <v>8</v>
      </c>
      <c r="H139" s="136">
        <f t="shared" si="24"/>
        <v>3</v>
      </c>
      <c r="I139" s="136">
        <f t="shared" si="24"/>
        <v>5</v>
      </c>
      <c r="J139" s="136">
        <f t="shared" si="24"/>
        <v>5</v>
      </c>
      <c r="K139" s="136">
        <f t="shared" si="24"/>
        <v>5</v>
      </c>
      <c r="L139" s="136">
        <f t="shared" si="24"/>
        <v>2</v>
      </c>
      <c r="M139" s="136">
        <f t="shared" si="24"/>
        <v>2</v>
      </c>
      <c r="N139" s="136">
        <f t="shared" si="24"/>
        <v>4</v>
      </c>
      <c r="O139" s="136">
        <f t="shared" si="24"/>
        <v>3</v>
      </c>
      <c r="P139" s="136">
        <f t="shared" si="24"/>
        <v>1</v>
      </c>
      <c r="Q139" s="136">
        <f t="shared" si="24"/>
        <v>2</v>
      </c>
      <c r="R139" s="136">
        <f t="shared" si="24"/>
        <v>1</v>
      </c>
      <c r="S139" s="136">
        <f t="shared" si="24"/>
        <v>0</v>
      </c>
      <c r="T139" s="136">
        <f t="shared" si="24"/>
        <v>7</v>
      </c>
      <c r="U139" s="136">
        <f t="shared" si="24"/>
        <v>4</v>
      </c>
      <c r="V139" s="136">
        <f t="shared" si="24"/>
        <v>5</v>
      </c>
      <c r="W139" s="136">
        <f t="shared" si="24"/>
        <v>5</v>
      </c>
      <c r="X139" s="136">
        <f t="shared" si="24"/>
        <v>2</v>
      </c>
      <c r="Y139" s="136">
        <f t="shared" si="24"/>
        <v>4</v>
      </c>
      <c r="Z139" s="136">
        <f t="shared" si="24"/>
        <v>2</v>
      </c>
      <c r="AA139" s="136">
        <f t="shared" si="24"/>
        <v>5</v>
      </c>
      <c r="AB139" s="136">
        <f t="shared" si="24"/>
        <v>8</v>
      </c>
      <c r="AC139" s="136">
        <f t="shared" si="24"/>
        <v>3</v>
      </c>
      <c r="AD139" s="136">
        <f t="shared" si="24"/>
        <v>3</v>
      </c>
      <c r="AE139" s="136">
        <f t="shared" si="24"/>
        <v>5</v>
      </c>
      <c r="AF139" s="136">
        <f t="shared" si="24"/>
        <v>3</v>
      </c>
      <c r="AG139" s="137">
        <f t="shared" si="17"/>
        <v>110</v>
      </c>
      <c r="AH139" s="111" t="s">
        <v>116</v>
      </c>
      <c r="AK139" s="308" t="s">
        <v>188</v>
      </c>
    </row>
    <row r="140" spans="1:37" ht="15.75" customHeight="1" x14ac:dyDescent="0.25">
      <c r="A140" s="320" t="s">
        <v>117</v>
      </c>
      <c r="B140" s="321">
        <v>0</v>
      </c>
      <c r="C140" s="321">
        <v>1</v>
      </c>
      <c r="D140" s="321">
        <v>1</v>
      </c>
      <c r="E140" s="321">
        <v>1</v>
      </c>
      <c r="F140" s="321">
        <v>0</v>
      </c>
      <c r="G140" s="321">
        <v>0</v>
      </c>
      <c r="H140" s="321">
        <v>0</v>
      </c>
      <c r="I140" s="321">
        <v>3</v>
      </c>
      <c r="J140" s="321">
        <v>1</v>
      </c>
      <c r="K140" s="321">
        <v>0</v>
      </c>
      <c r="L140" s="321">
        <v>0</v>
      </c>
      <c r="M140" s="321">
        <v>0</v>
      </c>
      <c r="N140" s="321">
        <v>0</v>
      </c>
      <c r="O140" s="321">
        <v>0</v>
      </c>
      <c r="P140" s="321">
        <v>0</v>
      </c>
      <c r="Q140" s="321">
        <v>0</v>
      </c>
      <c r="R140" s="321">
        <v>0</v>
      </c>
      <c r="S140" s="321">
        <v>0</v>
      </c>
      <c r="T140" s="321">
        <v>1</v>
      </c>
      <c r="U140" s="321">
        <v>1</v>
      </c>
      <c r="V140" s="321">
        <v>1</v>
      </c>
      <c r="W140" s="321">
        <v>0</v>
      </c>
      <c r="X140" s="321">
        <v>0</v>
      </c>
      <c r="Y140" s="321">
        <v>1</v>
      </c>
      <c r="Z140" s="321">
        <v>0</v>
      </c>
      <c r="AA140" s="321">
        <v>2</v>
      </c>
      <c r="AB140" s="321">
        <v>0</v>
      </c>
      <c r="AC140" s="321">
        <v>0</v>
      </c>
      <c r="AD140" s="321">
        <v>1</v>
      </c>
      <c r="AE140" s="321">
        <v>1</v>
      </c>
      <c r="AF140" s="321">
        <v>0</v>
      </c>
      <c r="AG140" s="141">
        <f t="shared" si="17"/>
        <v>15</v>
      </c>
      <c r="AH140" s="111" t="s">
        <v>116</v>
      </c>
      <c r="AK140" s="308" t="s">
        <v>189</v>
      </c>
    </row>
    <row r="141" spans="1:37" ht="15.75" customHeight="1" thickBot="1" x14ac:dyDescent="0.3">
      <c r="A141" s="297" t="s">
        <v>118</v>
      </c>
      <c r="B141" s="322">
        <v>1</v>
      </c>
      <c r="C141" s="322">
        <v>2</v>
      </c>
      <c r="D141" s="322">
        <v>2</v>
      </c>
      <c r="E141" s="322">
        <v>3</v>
      </c>
      <c r="F141" s="322">
        <v>2</v>
      </c>
      <c r="G141" s="322">
        <v>8</v>
      </c>
      <c r="H141" s="322">
        <v>3</v>
      </c>
      <c r="I141" s="322">
        <v>2</v>
      </c>
      <c r="J141" s="322">
        <v>4</v>
      </c>
      <c r="K141" s="322">
        <v>5</v>
      </c>
      <c r="L141" s="322">
        <v>2</v>
      </c>
      <c r="M141" s="322">
        <v>2</v>
      </c>
      <c r="N141" s="322">
        <v>4</v>
      </c>
      <c r="O141" s="322">
        <v>3</v>
      </c>
      <c r="P141" s="322">
        <v>1</v>
      </c>
      <c r="Q141" s="322">
        <v>2</v>
      </c>
      <c r="R141" s="322">
        <v>1</v>
      </c>
      <c r="S141" s="322">
        <v>0</v>
      </c>
      <c r="T141" s="322">
        <v>6</v>
      </c>
      <c r="U141" s="322">
        <v>3</v>
      </c>
      <c r="V141" s="322">
        <v>4</v>
      </c>
      <c r="W141" s="322">
        <v>5</v>
      </c>
      <c r="X141" s="322">
        <v>2</v>
      </c>
      <c r="Y141" s="322">
        <v>3</v>
      </c>
      <c r="Z141" s="322">
        <v>2</v>
      </c>
      <c r="AA141" s="322">
        <v>3</v>
      </c>
      <c r="AB141" s="322">
        <v>8</v>
      </c>
      <c r="AC141" s="322">
        <v>3</v>
      </c>
      <c r="AD141" s="322">
        <v>2</v>
      </c>
      <c r="AE141" s="322">
        <v>4</v>
      </c>
      <c r="AF141" s="322">
        <v>3</v>
      </c>
      <c r="AG141" s="144">
        <f t="shared" si="17"/>
        <v>95</v>
      </c>
      <c r="AH141" s="111" t="s">
        <v>116</v>
      </c>
      <c r="AK141" s="308" t="s">
        <v>190</v>
      </c>
    </row>
    <row r="142" spans="1:37" ht="15.75" customHeight="1" x14ac:dyDescent="0.25">
      <c r="A142" s="323" t="s">
        <v>119</v>
      </c>
      <c r="B142" s="324"/>
      <c r="C142" s="324"/>
      <c r="D142" s="324"/>
      <c r="E142" s="324"/>
      <c r="F142" s="324"/>
      <c r="G142" s="324"/>
      <c r="H142" s="324"/>
      <c r="I142" s="324"/>
      <c r="J142" s="324"/>
      <c r="K142" s="324"/>
      <c r="L142" s="324"/>
      <c r="M142" s="324"/>
      <c r="N142" s="324"/>
      <c r="O142" s="324"/>
      <c r="P142" s="324"/>
      <c r="Q142" s="324"/>
      <c r="R142" s="324"/>
      <c r="S142" s="324"/>
      <c r="T142" s="324"/>
      <c r="U142" s="324"/>
      <c r="V142" s="324"/>
      <c r="W142" s="324"/>
      <c r="X142" s="324"/>
      <c r="Y142" s="324"/>
      <c r="Z142" s="324"/>
      <c r="AA142" s="324"/>
      <c r="AB142" s="324"/>
      <c r="AC142" s="324"/>
      <c r="AD142" s="324">
        <v>0</v>
      </c>
      <c r="AE142" s="324">
        <v>0</v>
      </c>
      <c r="AF142" s="324">
        <v>0</v>
      </c>
      <c r="AG142" s="148">
        <f t="shared" si="17"/>
        <v>0</v>
      </c>
      <c r="AK142" s="308" t="s">
        <v>191</v>
      </c>
    </row>
    <row r="143" spans="1:37" ht="15.75" customHeight="1" thickBot="1" x14ac:dyDescent="0.3">
      <c r="A143" s="325" t="s">
        <v>120</v>
      </c>
      <c r="B143" s="326"/>
      <c r="C143" s="326"/>
      <c r="D143" s="326"/>
      <c r="E143" s="326"/>
      <c r="F143" s="326"/>
      <c r="G143" s="326"/>
      <c r="H143" s="326"/>
      <c r="I143" s="326"/>
      <c r="J143" s="326"/>
      <c r="K143" s="326"/>
      <c r="L143" s="326"/>
      <c r="M143" s="326"/>
      <c r="N143" s="326"/>
      <c r="O143" s="326"/>
      <c r="P143" s="326"/>
      <c r="Q143" s="326"/>
      <c r="R143" s="326"/>
      <c r="S143" s="326"/>
      <c r="T143" s="326"/>
      <c r="U143" s="326"/>
      <c r="V143" s="326"/>
      <c r="W143" s="326"/>
      <c r="X143" s="326"/>
      <c r="Y143" s="326"/>
      <c r="Z143" s="326"/>
      <c r="AA143" s="326"/>
      <c r="AB143" s="326"/>
      <c r="AC143" s="326"/>
      <c r="AD143" s="326">
        <v>0</v>
      </c>
      <c r="AE143" s="326">
        <v>0</v>
      </c>
      <c r="AF143" s="326">
        <v>0</v>
      </c>
      <c r="AG143" s="152">
        <f t="shared" si="17"/>
        <v>0</v>
      </c>
      <c r="AK143" s="308" t="s">
        <v>192</v>
      </c>
    </row>
    <row r="144" spans="1:37" ht="15.75" customHeight="1" thickBot="1" x14ac:dyDescent="0.3">
      <c r="A144" s="327" t="s">
        <v>121</v>
      </c>
      <c r="B144" s="155">
        <f t="shared" ref="B144:AF144" si="25">SUM(B145:B170)</f>
        <v>43</v>
      </c>
      <c r="C144" s="155">
        <f t="shared" si="25"/>
        <v>60</v>
      </c>
      <c r="D144" s="155">
        <f t="shared" si="25"/>
        <v>42</v>
      </c>
      <c r="E144" s="155">
        <f t="shared" si="25"/>
        <v>69</v>
      </c>
      <c r="F144" s="155">
        <f t="shared" si="25"/>
        <v>92</v>
      </c>
      <c r="G144" s="155">
        <f t="shared" si="25"/>
        <v>49</v>
      </c>
      <c r="H144" s="155">
        <f t="shared" si="25"/>
        <v>57</v>
      </c>
      <c r="I144" s="155">
        <f t="shared" si="25"/>
        <v>63</v>
      </c>
      <c r="J144" s="155">
        <f t="shared" si="25"/>
        <v>51</v>
      </c>
      <c r="K144" s="155">
        <f t="shared" si="25"/>
        <v>65</v>
      </c>
      <c r="L144" s="155">
        <f t="shared" si="25"/>
        <v>73</v>
      </c>
      <c r="M144" s="155">
        <f t="shared" si="25"/>
        <v>52</v>
      </c>
      <c r="N144" s="155">
        <f t="shared" si="25"/>
        <v>67</v>
      </c>
      <c r="O144" s="155">
        <f t="shared" si="25"/>
        <v>53</v>
      </c>
      <c r="P144" s="155">
        <f t="shared" si="25"/>
        <v>46</v>
      </c>
      <c r="Q144" s="155">
        <f t="shared" si="25"/>
        <v>54</v>
      </c>
      <c r="R144" s="155">
        <f t="shared" si="25"/>
        <v>65</v>
      </c>
      <c r="S144" s="155">
        <f t="shared" si="25"/>
        <v>45</v>
      </c>
      <c r="T144" s="155">
        <f t="shared" si="25"/>
        <v>34</v>
      </c>
      <c r="U144" s="155">
        <f t="shared" si="25"/>
        <v>61</v>
      </c>
      <c r="V144" s="155">
        <f t="shared" si="25"/>
        <v>46</v>
      </c>
      <c r="W144" s="155">
        <f t="shared" si="25"/>
        <v>43</v>
      </c>
      <c r="X144" s="155">
        <f t="shared" si="25"/>
        <v>56</v>
      </c>
      <c r="Y144" s="155">
        <f t="shared" si="25"/>
        <v>38</v>
      </c>
      <c r="Z144" s="155">
        <f t="shared" si="25"/>
        <v>55</v>
      </c>
      <c r="AA144" s="155">
        <f t="shared" si="25"/>
        <v>42</v>
      </c>
      <c r="AB144" s="155">
        <f t="shared" si="25"/>
        <v>61</v>
      </c>
      <c r="AC144" s="155">
        <f t="shared" si="25"/>
        <v>41</v>
      </c>
      <c r="AD144" s="155">
        <f t="shared" si="25"/>
        <v>18</v>
      </c>
      <c r="AE144" s="155">
        <f t="shared" si="25"/>
        <v>45</v>
      </c>
      <c r="AF144" s="155">
        <f t="shared" si="25"/>
        <v>22</v>
      </c>
      <c r="AG144" s="91">
        <f t="shared" si="17"/>
        <v>1608</v>
      </c>
      <c r="AK144" s="308" t="s">
        <v>193</v>
      </c>
    </row>
    <row r="145" spans="1:37" ht="15.75" customHeight="1" x14ac:dyDescent="0.25">
      <c r="A145" s="328" t="s">
        <v>122</v>
      </c>
      <c r="B145" s="329">
        <v>1</v>
      </c>
      <c r="C145" s="329">
        <v>8</v>
      </c>
      <c r="D145" s="329">
        <v>7</v>
      </c>
      <c r="E145" s="329">
        <v>4</v>
      </c>
      <c r="F145" s="329">
        <v>8</v>
      </c>
      <c r="G145" s="329">
        <v>1</v>
      </c>
      <c r="H145" s="329">
        <v>2</v>
      </c>
      <c r="I145" s="329">
        <v>9</v>
      </c>
      <c r="J145" s="329">
        <v>5</v>
      </c>
      <c r="K145" s="329">
        <v>5</v>
      </c>
      <c r="L145" s="329">
        <v>5</v>
      </c>
      <c r="M145" s="329">
        <v>3</v>
      </c>
      <c r="N145" s="329">
        <v>5</v>
      </c>
      <c r="O145" s="329">
        <v>6</v>
      </c>
      <c r="P145" s="329">
        <v>6</v>
      </c>
      <c r="Q145" s="329">
        <v>2</v>
      </c>
      <c r="R145" s="329">
        <v>0</v>
      </c>
      <c r="S145" s="329">
        <v>3</v>
      </c>
      <c r="T145" s="329">
        <v>3</v>
      </c>
      <c r="U145" s="329">
        <v>3</v>
      </c>
      <c r="V145" s="329">
        <v>4</v>
      </c>
      <c r="W145" s="329">
        <v>3</v>
      </c>
      <c r="X145" s="329">
        <v>4</v>
      </c>
      <c r="Y145" s="329">
        <v>2</v>
      </c>
      <c r="Z145" s="329">
        <v>4</v>
      </c>
      <c r="AA145" s="329">
        <v>4</v>
      </c>
      <c r="AB145" s="329">
        <v>10</v>
      </c>
      <c r="AC145" s="329">
        <v>3</v>
      </c>
      <c r="AD145" s="329">
        <v>1</v>
      </c>
      <c r="AE145" s="329">
        <v>4</v>
      </c>
      <c r="AF145" s="329">
        <v>2</v>
      </c>
      <c r="AG145" s="159">
        <f t="shared" si="17"/>
        <v>127</v>
      </c>
      <c r="AK145" s="308" t="s">
        <v>194</v>
      </c>
    </row>
    <row r="146" spans="1:37" ht="15.75" customHeight="1" x14ac:dyDescent="0.25">
      <c r="A146" s="330" t="s">
        <v>123</v>
      </c>
      <c r="B146" s="301"/>
      <c r="C146" s="301">
        <v>0</v>
      </c>
      <c r="D146" s="301"/>
      <c r="E146" s="301"/>
      <c r="F146" s="301"/>
      <c r="G146" s="301"/>
      <c r="H146" s="301"/>
      <c r="I146" s="301"/>
      <c r="J146" s="301"/>
      <c r="K146" s="301"/>
      <c r="L146" s="301"/>
      <c r="M146" s="301">
        <v>0</v>
      </c>
      <c r="N146" s="301"/>
      <c r="O146" s="301">
        <v>0</v>
      </c>
      <c r="P146" s="301"/>
      <c r="Q146" s="301">
        <v>0</v>
      </c>
      <c r="R146" s="301"/>
      <c r="S146" s="301"/>
      <c r="T146" s="301"/>
      <c r="U146" s="301"/>
      <c r="V146" s="301"/>
      <c r="W146" s="301"/>
      <c r="X146" s="301">
        <v>0</v>
      </c>
      <c r="Y146" s="301">
        <v>1</v>
      </c>
      <c r="Z146" s="301">
        <v>0</v>
      </c>
      <c r="AA146" s="301"/>
      <c r="AB146" s="301">
        <v>0</v>
      </c>
      <c r="AC146" s="301"/>
      <c r="AD146" s="301"/>
      <c r="AE146" s="301"/>
      <c r="AF146" s="301"/>
      <c r="AG146" s="15">
        <f t="shared" si="17"/>
        <v>1</v>
      </c>
      <c r="AK146" s="308" t="s">
        <v>195</v>
      </c>
    </row>
    <row r="147" spans="1:37" ht="15.75" customHeight="1" x14ac:dyDescent="0.25">
      <c r="A147" s="330" t="s">
        <v>124</v>
      </c>
      <c r="B147" s="301">
        <v>0</v>
      </c>
      <c r="C147" s="301">
        <v>1</v>
      </c>
      <c r="D147" s="301">
        <v>0</v>
      </c>
      <c r="E147" s="301">
        <v>0</v>
      </c>
      <c r="F147" s="301">
        <v>0</v>
      </c>
      <c r="G147" s="301">
        <v>0</v>
      </c>
      <c r="H147" s="301">
        <v>0</v>
      </c>
      <c r="I147" s="301">
        <v>0</v>
      </c>
      <c r="J147" s="301">
        <v>0</v>
      </c>
      <c r="K147" s="301">
        <v>0</v>
      </c>
      <c r="L147" s="301">
        <v>0</v>
      </c>
      <c r="M147" s="301">
        <v>0</v>
      </c>
      <c r="N147" s="301">
        <v>0</v>
      </c>
      <c r="O147" s="301">
        <v>0</v>
      </c>
      <c r="P147" s="301">
        <v>0</v>
      </c>
      <c r="Q147" s="301">
        <v>0</v>
      </c>
      <c r="R147" s="301">
        <v>1</v>
      </c>
      <c r="S147" s="301">
        <v>0</v>
      </c>
      <c r="T147" s="301">
        <v>0</v>
      </c>
      <c r="U147" s="301">
        <v>0</v>
      </c>
      <c r="V147" s="301">
        <v>0</v>
      </c>
      <c r="W147" s="301">
        <v>0</v>
      </c>
      <c r="X147" s="301">
        <v>0</v>
      </c>
      <c r="Y147" s="301">
        <v>1</v>
      </c>
      <c r="Z147" s="301">
        <v>0</v>
      </c>
      <c r="AA147" s="301">
        <v>0</v>
      </c>
      <c r="AB147" s="301">
        <v>0</v>
      </c>
      <c r="AC147" s="301">
        <v>0</v>
      </c>
      <c r="AD147" s="301">
        <v>0</v>
      </c>
      <c r="AE147" s="301">
        <v>0</v>
      </c>
      <c r="AF147" s="301">
        <v>0</v>
      </c>
      <c r="AG147" s="15">
        <f t="shared" si="17"/>
        <v>3</v>
      </c>
      <c r="AK147" s="308" t="s">
        <v>196</v>
      </c>
    </row>
    <row r="148" spans="1:37" ht="15.75" customHeight="1" x14ac:dyDescent="0.25">
      <c r="A148" s="330" t="s">
        <v>125</v>
      </c>
      <c r="B148" s="301"/>
      <c r="C148" s="301">
        <v>1</v>
      </c>
      <c r="D148" s="301"/>
      <c r="E148" s="301"/>
      <c r="F148" s="301"/>
      <c r="G148" s="301"/>
      <c r="H148" s="301"/>
      <c r="I148" s="301"/>
      <c r="J148" s="301"/>
      <c r="K148" s="301"/>
      <c r="L148" s="301"/>
      <c r="M148" s="301">
        <v>0</v>
      </c>
      <c r="N148" s="301"/>
      <c r="O148" s="301">
        <v>0</v>
      </c>
      <c r="P148" s="301"/>
      <c r="Q148" s="301">
        <v>0</v>
      </c>
      <c r="R148" s="301"/>
      <c r="S148" s="301"/>
      <c r="T148" s="301"/>
      <c r="U148" s="301"/>
      <c r="V148" s="301"/>
      <c r="W148" s="301"/>
      <c r="X148" s="301">
        <v>0</v>
      </c>
      <c r="Y148" s="301">
        <v>0</v>
      </c>
      <c r="Z148" s="301">
        <v>0</v>
      </c>
      <c r="AA148" s="301"/>
      <c r="AB148" s="301">
        <v>0</v>
      </c>
      <c r="AC148" s="301"/>
      <c r="AD148" s="301"/>
      <c r="AE148" s="301"/>
      <c r="AF148" s="301"/>
      <c r="AG148" s="15">
        <f t="shared" si="17"/>
        <v>1</v>
      </c>
      <c r="AK148" s="308" t="s">
        <v>197</v>
      </c>
    </row>
    <row r="149" spans="1:37" ht="15.75" customHeight="1" x14ac:dyDescent="0.25">
      <c r="A149" s="331" t="s">
        <v>126</v>
      </c>
      <c r="B149" s="332">
        <v>41</v>
      </c>
      <c r="C149" s="332">
        <v>46</v>
      </c>
      <c r="D149" s="332">
        <v>32</v>
      </c>
      <c r="E149" s="332">
        <v>59</v>
      </c>
      <c r="F149" s="332">
        <v>80</v>
      </c>
      <c r="G149" s="332">
        <v>46</v>
      </c>
      <c r="H149" s="332">
        <v>51</v>
      </c>
      <c r="I149" s="332">
        <v>50</v>
      </c>
      <c r="J149" s="332">
        <v>43</v>
      </c>
      <c r="K149" s="332">
        <v>53</v>
      </c>
      <c r="L149" s="332">
        <v>62</v>
      </c>
      <c r="M149" s="332">
        <v>46</v>
      </c>
      <c r="N149" s="332">
        <v>60</v>
      </c>
      <c r="O149" s="332">
        <v>45</v>
      </c>
      <c r="P149" s="332">
        <v>38</v>
      </c>
      <c r="Q149" s="332">
        <v>48</v>
      </c>
      <c r="R149" s="332">
        <v>58</v>
      </c>
      <c r="S149" s="332">
        <v>40</v>
      </c>
      <c r="T149" s="332">
        <v>31</v>
      </c>
      <c r="U149" s="332">
        <v>55</v>
      </c>
      <c r="V149" s="332">
        <v>40</v>
      </c>
      <c r="W149" s="332">
        <v>37</v>
      </c>
      <c r="X149" s="332">
        <v>51</v>
      </c>
      <c r="Y149" s="332">
        <v>30</v>
      </c>
      <c r="Z149" s="332">
        <v>51</v>
      </c>
      <c r="AA149" s="332">
        <v>34</v>
      </c>
      <c r="AB149" s="332">
        <v>44</v>
      </c>
      <c r="AC149" s="332">
        <v>35</v>
      </c>
      <c r="AD149" s="332">
        <v>17</v>
      </c>
      <c r="AE149" s="332">
        <v>38</v>
      </c>
      <c r="AF149" s="332">
        <v>18</v>
      </c>
      <c r="AG149" s="164">
        <f t="shared" si="17"/>
        <v>1379</v>
      </c>
      <c r="AK149" s="312" t="s">
        <v>198</v>
      </c>
    </row>
    <row r="150" spans="1:37" ht="15.75" customHeight="1" x14ac:dyDescent="0.25">
      <c r="A150" s="330" t="s">
        <v>127</v>
      </c>
      <c r="B150" s="30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  <c r="AA150" s="301"/>
      <c r="AB150" s="301"/>
      <c r="AC150" s="301"/>
      <c r="AD150" s="301"/>
      <c r="AE150" s="301"/>
      <c r="AF150" s="301"/>
      <c r="AG150" s="15">
        <f t="shared" si="17"/>
        <v>0</v>
      </c>
      <c r="AK150" s="308" t="s">
        <v>199</v>
      </c>
    </row>
    <row r="151" spans="1:37" ht="15.75" customHeight="1" x14ac:dyDescent="0.25">
      <c r="A151" s="330" t="s">
        <v>128</v>
      </c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  <c r="AA151" s="301"/>
      <c r="AB151" s="301"/>
      <c r="AC151" s="301"/>
      <c r="AD151" s="301"/>
      <c r="AE151" s="301"/>
      <c r="AF151" s="301"/>
      <c r="AG151" s="15">
        <f t="shared" si="17"/>
        <v>0</v>
      </c>
      <c r="AK151" s="308" t="s">
        <v>200</v>
      </c>
    </row>
    <row r="152" spans="1:37" ht="15.75" customHeight="1" x14ac:dyDescent="0.25">
      <c r="A152" s="330" t="s">
        <v>129</v>
      </c>
      <c r="B152" s="301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  <c r="Y152" s="301"/>
      <c r="Z152" s="301"/>
      <c r="AA152" s="301"/>
      <c r="AB152" s="301"/>
      <c r="AC152" s="301"/>
      <c r="AD152" s="301"/>
      <c r="AE152" s="301"/>
      <c r="AF152" s="301"/>
      <c r="AG152" s="15">
        <f t="shared" si="17"/>
        <v>0</v>
      </c>
      <c r="AK152" s="308" t="s">
        <v>201</v>
      </c>
    </row>
    <row r="153" spans="1:37" ht="15.75" customHeight="1" x14ac:dyDescent="0.25">
      <c r="A153" s="330" t="s">
        <v>130</v>
      </c>
      <c r="B153" s="301"/>
      <c r="C153" s="301">
        <v>0</v>
      </c>
      <c r="D153" s="301"/>
      <c r="E153" s="301"/>
      <c r="F153" s="301"/>
      <c r="G153" s="301"/>
      <c r="H153" s="301"/>
      <c r="I153" s="301"/>
      <c r="J153" s="301"/>
      <c r="K153" s="301"/>
      <c r="L153" s="301"/>
      <c r="M153" s="301">
        <v>0</v>
      </c>
      <c r="N153" s="301"/>
      <c r="O153" s="301">
        <v>0</v>
      </c>
      <c r="P153" s="301"/>
      <c r="Q153" s="301">
        <v>0</v>
      </c>
      <c r="R153" s="301"/>
      <c r="S153" s="301"/>
      <c r="T153" s="301"/>
      <c r="U153" s="301"/>
      <c r="V153" s="301"/>
      <c r="W153" s="301"/>
      <c r="X153" s="301">
        <v>0</v>
      </c>
      <c r="Y153" s="301">
        <v>4</v>
      </c>
      <c r="Z153" s="301">
        <v>0</v>
      </c>
      <c r="AA153" s="301"/>
      <c r="AB153" s="301">
        <v>0</v>
      </c>
      <c r="AC153" s="301"/>
      <c r="AD153" s="301"/>
      <c r="AE153" s="301"/>
      <c r="AF153" s="301"/>
      <c r="AG153" s="15">
        <f t="shared" si="17"/>
        <v>4</v>
      </c>
      <c r="AK153" s="333" t="s">
        <v>165</v>
      </c>
    </row>
    <row r="154" spans="1:37" ht="15.75" customHeight="1" x14ac:dyDescent="0.25">
      <c r="A154" s="300" t="s">
        <v>131</v>
      </c>
      <c r="B154" s="301">
        <v>1</v>
      </c>
      <c r="C154" s="301">
        <v>0</v>
      </c>
      <c r="D154" s="301">
        <v>0</v>
      </c>
      <c r="E154" s="301">
        <v>1</v>
      </c>
      <c r="F154" s="301">
        <v>2</v>
      </c>
      <c r="G154" s="301">
        <v>1</v>
      </c>
      <c r="H154" s="301">
        <v>1</v>
      </c>
      <c r="I154" s="301">
        <v>0</v>
      </c>
      <c r="J154" s="301">
        <v>0</v>
      </c>
      <c r="K154" s="301">
        <v>0</v>
      </c>
      <c r="L154" s="301">
        <v>0</v>
      </c>
      <c r="M154" s="301">
        <v>1</v>
      </c>
      <c r="N154" s="301">
        <v>0</v>
      </c>
      <c r="O154" s="301">
        <v>0</v>
      </c>
      <c r="P154" s="301">
        <v>0</v>
      </c>
      <c r="Q154" s="301">
        <v>0</v>
      </c>
      <c r="R154" s="301">
        <v>1</v>
      </c>
      <c r="S154" s="301">
        <v>2</v>
      </c>
      <c r="T154" s="301">
        <v>0</v>
      </c>
      <c r="U154" s="301">
        <v>0</v>
      </c>
      <c r="V154" s="301">
        <v>1</v>
      </c>
      <c r="W154" s="301">
        <v>0</v>
      </c>
      <c r="X154" s="301">
        <v>0</v>
      </c>
      <c r="Y154" s="301">
        <v>0</v>
      </c>
      <c r="Z154" s="301">
        <v>0</v>
      </c>
      <c r="AA154" s="301">
        <v>0</v>
      </c>
      <c r="AB154" s="301">
        <v>0</v>
      </c>
      <c r="AC154" s="301">
        <v>0</v>
      </c>
      <c r="AD154" s="301">
        <v>0</v>
      </c>
      <c r="AE154" s="301">
        <v>0</v>
      </c>
      <c r="AF154" s="301">
        <v>0</v>
      </c>
      <c r="AG154" s="15">
        <f t="shared" si="17"/>
        <v>11</v>
      </c>
      <c r="AK154" s="333" t="s">
        <v>164</v>
      </c>
    </row>
    <row r="155" spans="1:37" ht="15.75" customHeight="1" x14ac:dyDescent="0.25">
      <c r="A155" s="300" t="s">
        <v>132</v>
      </c>
      <c r="B155" s="301"/>
      <c r="C155" s="301"/>
      <c r="D155" s="301"/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  <c r="Z155" s="301"/>
      <c r="AA155" s="301"/>
      <c r="AB155" s="301"/>
      <c r="AC155" s="301"/>
      <c r="AD155" s="301"/>
      <c r="AE155" s="301"/>
      <c r="AF155" s="301"/>
      <c r="AG155" s="15">
        <f t="shared" si="17"/>
        <v>0</v>
      </c>
      <c r="AK155" s="312" t="s">
        <v>166</v>
      </c>
    </row>
    <row r="156" spans="1:37" ht="15.75" customHeight="1" x14ac:dyDescent="0.25">
      <c r="A156" s="300" t="s">
        <v>133</v>
      </c>
      <c r="B156" s="301"/>
      <c r="C156" s="301"/>
      <c r="D156" s="301"/>
      <c r="E156" s="301"/>
      <c r="F156" s="301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  <c r="Z156" s="301"/>
      <c r="AA156" s="301"/>
      <c r="AB156" s="301"/>
      <c r="AC156" s="301"/>
      <c r="AD156" s="301"/>
      <c r="AE156" s="301"/>
      <c r="AF156" s="301"/>
      <c r="AG156" s="15">
        <f t="shared" si="17"/>
        <v>0</v>
      </c>
      <c r="AK156" s="312" t="s">
        <v>163</v>
      </c>
    </row>
    <row r="157" spans="1:37" ht="15.75" customHeight="1" x14ac:dyDescent="0.25">
      <c r="A157" s="300" t="s">
        <v>134</v>
      </c>
      <c r="B157" s="301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1"/>
      <c r="AG157" s="15">
        <f t="shared" si="17"/>
        <v>0</v>
      </c>
    </row>
    <row r="158" spans="1:37" ht="15.75" customHeight="1" x14ac:dyDescent="0.25">
      <c r="A158" s="334" t="s">
        <v>135</v>
      </c>
      <c r="B158" s="335">
        <v>0</v>
      </c>
      <c r="C158" s="335">
        <v>0</v>
      </c>
      <c r="D158" s="335">
        <v>2</v>
      </c>
      <c r="E158" s="335">
        <v>5</v>
      </c>
      <c r="F158" s="335">
        <v>2</v>
      </c>
      <c r="G158" s="335">
        <v>0</v>
      </c>
      <c r="H158" s="335">
        <v>3</v>
      </c>
      <c r="I158" s="335">
        <v>0</v>
      </c>
      <c r="J158" s="335">
        <v>1</v>
      </c>
      <c r="K158" s="335">
        <v>4</v>
      </c>
      <c r="L158" s="335">
        <v>2</v>
      </c>
      <c r="M158" s="335">
        <v>0</v>
      </c>
      <c r="N158" s="335">
        <v>1</v>
      </c>
      <c r="O158" s="335">
        <v>0</v>
      </c>
      <c r="P158" s="335">
        <v>0</v>
      </c>
      <c r="Q158" s="335">
        <v>3</v>
      </c>
      <c r="R158" s="335">
        <v>4</v>
      </c>
      <c r="S158" s="335">
        <v>0</v>
      </c>
      <c r="T158" s="335">
        <v>0</v>
      </c>
      <c r="U158" s="335">
        <v>2</v>
      </c>
      <c r="V158" s="335">
        <v>1</v>
      </c>
      <c r="W158" s="335">
        <v>3</v>
      </c>
      <c r="X158" s="335">
        <v>0</v>
      </c>
      <c r="Y158" s="335">
        <v>0</v>
      </c>
      <c r="Z158" s="335">
        <v>0</v>
      </c>
      <c r="AA158" s="335">
        <v>2</v>
      </c>
      <c r="AB158" s="335">
        <v>5</v>
      </c>
      <c r="AC158" s="335">
        <v>3</v>
      </c>
      <c r="AD158" s="335">
        <v>0</v>
      </c>
      <c r="AE158" s="335">
        <v>1</v>
      </c>
      <c r="AF158" s="335">
        <v>0</v>
      </c>
      <c r="AG158" s="169">
        <f t="shared" si="17"/>
        <v>44</v>
      </c>
    </row>
    <row r="159" spans="1:37" ht="15.75" customHeight="1" x14ac:dyDescent="0.25">
      <c r="A159" s="336" t="s">
        <v>136</v>
      </c>
      <c r="B159" s="301"/>
      <c r="C159" s="301"/>
      <c r="D159" s="301"/>
      <c r="E159" s="301"/>
      <c r="F159" s="301"/>
      <c r="G159" s="301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  <c r="Z159" s="301"/>
      <c r="AA159" s="301"/>
      <c r="AB159" s="301"/>
      <c r="AC159" s="301"/>
      <c r="AD159" s="301"/>
      <c r="AE159" s="301"/>
      <c r="AF159" s="301"/>
      <c r="AG159" s="15">
        <f t="shared" si="17"/>
        <v>0</v>
      </c>
    </row>
    <row r="160" spans="1:37" ht="15.75" customHeight="1" x14ac:dyDescent="0.25">
      <c r="A160" s="336" t="s">
        <v>137</v>
      </c>
      <c r="B160" s="301"/>
      <c r="C160" s="301"/>
      <c r="D160" s="301"/>
      <c r="E160" s="301"/>
      <c r="F160" s="301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  <c r="Z160" s="301"/>
      <c r="AA160" s="301"/>
      <c r="AB160" s="301"/>
      <c r="AC160" s="301"/>
      <c r="AD160" s="301"/>
      <c r="AE160" s="301"/>
      <c r="AF160" s="301"/>
      <c r="AG160" s="15">
        <f t="shared" si="17"/>
        <v>0</v>
      </c>
    </row>
    <row r="161" spans="1:34" ht="15.75" customHeight="1" x14ac:dyDescent="0.25">
      <c r="A161" s="336" t="s">
        <v>138</v>
      </c>
      <c r="B161" s="301"/>
      <c r="C161" s="301"/>
      <c r="D161" s="301"/>
      <c r="E161" s="301"/>
      <c r="F161" s="301"/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  <c r="AA161" s="301"/>
      <c r="AB161" s="301"/>
      <c r="AC161" s="301"/>
      <c r="AD161" s="301"/>
      <c r="AE161" s="301"/>
      <c r="AF161" s="301"/>
      <c r="AG161" s="15">
        <f t="shared" si="17"/>
        <v>0</v>
      </c>
    </row>
    <row r="162" spans="1:34" ht="15.75" customHeight="1" x14ac:dyDescent="0.25">
      <c r="A162" s="336" t="s">
        <v>139</v>
      </c>
      <c r="B162" s="301"/>
      <c r="C162" s="301">
        <v>0</v>
      </c>
      <c r="D162" s="301"/>
      <c r="E162" s="301"/>
      <c r="F162" s="301"/>
      <c r="G162" s="301"/>
      <c r="H162" s="301"/>
      <c r="I162" s="301"/>
      <c r="J162" s="301"/>
      <c r="K162" s="301"/>
      <c r="L162" s="301"/>
      <c r="M162" s="301">
        <v>0</v>
      </c>
      <c r="N162" s="301"/>
      <c r="O162" s="301">
        <v>0</v>
      </c>
      <c r="P162" s="301"/>
      <c r="Q162" s="301">
        <v>1</v>
      </c>
      <c r="R162" s="301"/>
      <c r="S162" s="301"/>
      <c r="T162" s="301"/>
      <c r="U162" s="301"/>
      <c r="V162" s="301"/>
      <c r="W162" s="301"/>
      <c r="X162" s="301">
        <v>1</v>
      </c>
      <c r="Y162" s="301">
        <v>0</v>
      </c>
      <c r="Z162" s="301"/>
      <c r="AA162" s="301"/>
      <c r="AB162" s="301">
        <v>0</v>
      </c>
      <c r="AC162" s="301"/>
      <c r="AD162" s="301"/>
      <c r="AE162" s="301"/>
      <c r="AF162" s="301"/>
      <c r="AG162" s="15">
        <f t="shared" si="17"/>
        <v>2</v>
      </c>
    </row>
    <row r="163" spans="1:34" ht="15.75" customHeight="1" x14ac:dyDescent="0.25">
      <c r="A163" s="336" t="s">
        <v>140</v>
      </c>
      <c r="B163" s="301">
        <v>0</v>
      </c>
      <c r="C163" s="301">
        <v>0</v>
      </c>
      <c r="D163" s="301">
        <v>0</v>
      </c>
      <c r="E163" s="301">
        <v>0</v>
      </c>
      <c r="F163" s="301">
        <v>0</v>
      </c>
      <c r="G163" s="301">
        <v>0</v>
      </c>
      <c r="H163" s="301">
        <v>0</v>
      </c>
      <c r="I163" s="301">
        <v>0</v>
      </c>
      <c r="J163" s="301">
        <v>0</v>
      </c>
      <c r="K163" s="301">
        <v>0</v>
      </c>
      <c r="L163" s="301">
        <v>0</v>
      </c>
      <c r="M163" s="301">
        <v>0</v>
      </c>
      <c r="N163" s="301">
        <v>0</v>
      </c>
      <c r="O163" s="301">
        <v>0</v>
      </c>
      <c r="P163" s="301">
        <v>0</v>
      </c>
      <c r="Q163" s="301">
        <v>0</v>
      </c>
      <c r="R163" s="301">
        <v>0</v>
      </c>
      <c r="S163" s="301">
        <v>0</v>
      </c>
      <c r="T163" s="301">
        <v>0</v>
      </c>
      <c r="U163" s="301">
        <v>0</v>
      </c>
      <c r="V163" s="301">
        <v>0</v>
      </c>
      <c r="W163" s="301">
        <v>0</v>
      </c>
      <c r="X163" s="301">
        <v>0</v>
      </c>
      <c r="Y163" s="301">
        <v>0</v>
      </c>
      <c r="Z163" s="301">
        <v>0</v>
      </c>
      <c r="AA163" s="301">
        <v>0</v>
      </c>
      <c r="AB163" s="301">
        <v>0</v>
      </c>
      <c r="AC163" s="301">
        <v>0</v>
      </c>
      <c r="AD163" s="301">
        <v>0</v>
      </c>
      <c r="AE163" s="301">
        <v>0</v>
      </c>
      <c r="AF163" s="301">
        <v>0</v>
      </c>
      <c r="AG163" s="15">
        <f t="shared" ref="AG163:AG180" si="26">SUM(B163:AF163)</f>
        <v>0</v>
      </c>
    </row>
    <row r="164" spans="1:34" ht="15.75" customHeight="1" x14ac:dyDescent="0.25">
      <c r="A164" s="336" t="s">
        <v>141</v>
      </c>
      <c r="B164" s="301"/>
      <c r="C164" s="301"/>
      <c r="D164" s="301"/>
      <c r="E164" s="301"/>
      <c r="F164" s="301"/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  <c r="AA164" s="301"/>
      <c r="AB164" s="301"/>
      <c r="AC164" s="301"/>
      <c r="AD164" s="301"/>
      <c r="AE164" s="301"/>
      <c r="AF164" s="301"/>
      <c r="AG164" s="15">
        <f t="shared" si="26"/>
        <v>0</v>
      </c>
    </row>
    <row r="165" spans="1:34" ht="15.75" customHeight="1" x14ac:dyDescent="0.25">
      <c r="A165" s="300" t="s">
        <v>142</v>
      </c>
      <c r="B165" s="301"/>
      <c r="C165" s="301">
        <v>0</v>
      </c>
      <c r="D165" s="301"/>
      <c r="E165" s="301"/>
      <c r="F165" s="301"/>
      <c r="G165" s="301"/>
      <c r="H165" s="301"/>
      <c r="I165" s="301"/>
      <c r="J165" s="301"/>
      <c r="K165" s="301"/>
      <c r="L165" s="301"/>
      <c r="M165" s="301">
        <v>0</v>
      </c>
      <c r="N165" s="301"/>
      <c r="O165" s="301">
        <v>0</v>
      </c>
      <c r="P165" s="301"/>
      <c r="Q165" s="301">
        <v>0</v>
      </c>
      <c r="R165" s="301"/>
      <c r="S165" s="301"/>
      <c r="T165" s="301"/>
      <c r="U165" s="301"/>
      <c r="V165" s="301"/>
      <c r="W165" s="301"/>
      <c r="X165" s="301">
        <v>0</v>
      </c>
      <c r="Y165" s="301">
        <v>0</v>
      </c>
      <c r="Z165" s="301">
        <v>0</v>
      </c>
      <c r="AA165" s="301"/>
      <c r="AB165" s="301">
        <v>1</v>
      </c>
      <c r="AC165" s="301"/>
      <c r="AD165" s="301"/>
      <c r="AE165" s="301"/>
      <c r="AF165" s="301"/>
      <c r="AG165" s="15">
        <f t="shared" si="26"/>
        <v>1</v>
      </c>
    </row>
    <row r="166" spans="1:34" ht="15.75" customHeight="1" x14ac:dyDescent="0.25">
      <c r="A166" s="300" t="s">
        <v>143</v>
      </c>
      <c r="B166" s="301"/>
      <c r="C166" s="301"/>
      <c r="D166" s="301"/>
      <c r="E166" s="301"/>
      <c r="F166" s="301"/>
      <c r="G166" s="301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  <c r="AA166" s="301"/>
      <c r="AB166" s="301"/>
      <c r="AC166" s="301"/>
      <c r="AD166" s="301"/>
      <c r="AE166" s="301"/>
      <c r="AF166" s="301"/>
      <c r="AG166" s="15">
        <f t="shared" si="26"/>
        <v>0</v>
      </c>
    </row>
    <row r="167" spans="1:34" ht="15.75" customHeight="1" x14ac:dyDescent="0.25">
      <c r="A167" s="300" t="s">
        <v>144</v>
      </c>
      <c r="B167" s="301">
        <v>0</v>
      </c>
      <c r="C167" s="301">
        <v>1</v>
      </c>
      <c r="D167" s="301">
        <v>0</v>
      </c>
      <c r="E167" s="301">
        <v>0</v>
      </c>
      <c r="F167" s="301">
        <v>0</v>
      </c>
      <c r="G167" s="301">
        <v>1</v>
      </c>
      <c r="H167" s="301">
        <v>0</v>
      </c>
      <c r="I167" s="301">
        <v>1</v>
      </c>
      <c r="J167" s="301">
        <v>1</v>
      </c>
      <c r="K167" s="301">
        <v>0</v>
      </c>
      <c r="L167" s="301">
        <v>2</v>
      </c>
      <c r="M167" s="301">
        <v>0</v>
      </c>
      <c r="N167" s="301">
        <v>1</v>
      </c>
      <c r="O167" s="301">
        <v>0</v>
      </c>
      <c r="P167" s="301">
        <v>1</v>
      </c>
      <c r="Q167" s="301">
        <v>0</v>
      </c>
      <c r="R167" s="301">
        <v>0</v>
      </c>
      <c r="S167" s="301">
        <v>0</v>
      </c>
      <c r="T167" s="301">
        <v>0</v>
      </c>
      <c r="U167" s="301">
        <v>0</v>
      </c>
      <c r="V167" s="301">
        <v>0</v>
      </c>
      <c r="W167" s="301">
        <v>0</v>
      </c>
      <c r="X167" s="301">
        <v>0</v>
      </c>
      <c r="Y167" s="301">
        <v>0</v>
      </c>
      <c r="Z167" s="301">
        <v>0</v>
      </c>
      <c r="AA167" s="301">
        <v>0</v>
      </c>
      <c r="AB167" s="301">
        <v>0</v>
      </c>
      <c r="AC167" s="301">
        <v>0</v>
      </c>
      <c r="AD167" s="301">
        <v>0</v>
      </c>
      <c r="AE167" s="301">
        <v>0</v>
      </c>
      <c r="AF167" s="301">
        <v>1</v>
      </c>
      <c r="AG167" s="15">
        <f t="shared" si="26"/>
        <v>9</v>
      </c>
    </row>
    <row r="168" spans="1:34" ht="15.75" customHeight="1" x14ac:dyDescent="0.25">
      <c r="A168" s="300" t="s">
        <v>145</v>
      </c>
      <c r="B168" s="337">
        <v>0</v>
      </c>
      <c r="C168" s="337">
        <v>2</v>
      </c>
      <c r="D168" s="337">
        <v>1</v>
      </c>
      <c r="E168" s="337">
        <v>0</v>
      </c>
      <c r="F168" s="337">
        <v>0</v>
      </c>
      <c r="G168" s="337">
        <v>0</v>
      </c>
      <c r="H168" s="337">
        <v>0</v>
      </c>
      <c r="I168" s="337">
        <v>3</v>
      </c>
      <c r="J168" s="337">
        <v>0</v>
      </c>
      <c r="K168" s="337">
        <v>2</v>
      </c>
      <c r="L168" s="337">
        <v>1</v>
      </c>
      <c r="M168" s="337">
        <v>0</v>
      </c>
      <c r="N168" s="337">
        <v>0</v>
      </c>
      <c r="O168" s="337">
        <v>0</v>
      </c>
      <c r="P168" s="337">
        <v>1</v>
      </c>
      <c r="Q168" s="337">
        <v>0</v>
      </c>
      <c r="R168" s="337">
        <v>1</v>
      </c>
      <c r="S168" s="337">
        <v>0</v>
      </c>
      <c r="T168" s="337">
        <v>0</v>
      </c>
      <c r="U168" s="337">
        <v>0</v>
      </c>
      <c r="V168" s="337">
        <v>0</v>
      </c>
      <c r="W168" s="337">
        <v>0</v>
      </c>
      <c r="X168" s="337">
        <v>0</v>
      </c>
      <c r="Y168" s="337">
        <v>0</v>
      </c>
      <c r="Z168" s="337">
        <v>0</v>
      </c>
      <c r="AA168" s="337">
        <v>2</v>
      </c>
      <c r="AB168" s="337">
        <v>0</v>
      </c>
      <c r="AC168" s="337">
        <v>0</v>
      </c>
      <c r="AD168" s="337">
        <v>0</v>
      </c>
      <c r="AE168" s="337">
        <v>1</v>
      </c>
      <c r="AF168" s="337">
        <v>0</v>
      </c>
      <c r="AG168" s="15">
        <f t="shared" si="26"/>
        <v>14</v>
      </c>
    </row>
    <row r="169" spans="1:34" ht="15.75" customHeight="1" x14ac:dyDescent="0.25">
      <c r="A169" s="338" t="s">
        <v>146</v>
      </c>
      <c r="B169" s="337">
        <v>0</v>
      </c>
      <c r="C169" s="337">
        <v>1</v>
      </c>
      <c r="D169" s="337">
        <v>0</v>
      </c>
      <c r="E169" s="337">
        <v>0</v>
      </c>
      <c r="F169" s="337">
        <v>0</v>
      </c>
      <c r="G169" s="337">
        <v>0</v>
      </c>
      <c r="H169" s="337">
        <v>0</v>
      </c>
      <c r="I169" s="337">
        <v>0</v>
      </c>
      <c r="J169" s="337">
        <v>1</v>
      </c>
      <c r="K169" s="337">
        <v>1</v>
      </c>
      <c r="L169" s="337">
        <v>1</v>
      </c>
      <c r="M169" s="337">
        <v>2</v>
      </c>
      <c r="N169" s="337">
        <v>0</v>
      </c>
      <c r="O169" s="337">
        <v>2</v>
      </c>
      <c r="P169" s="337">
        <v>0</v>
      </c>
      <c r="Q169" s="337">
        <v>0</v>
      </c>
      <c r="R169" s="337">
        <v>0</v>
      </c>
      <c r="S169" s="337">
        <v>0</v>
      </c>
      <c r="T169" s="337">
        <v>0</v>
      </c>
      <c r="U169" s="337">
        <v>1</v>
      </c>
      <c r="V169" s="337">
        <v>0</v>
      </c>
      <c r="W169" s="337">
        <v>0</v>
      </c>
      <c r="X169" s="337">
        <v>0</v>
      </c>
      <c r="Y169" s="337">
        <v>0</v>
      </c>
      <c r="Z169" s="337">
        <v>0</v>
      </c>
      <c r="AA169" s="337">
        <v>0</v>
      </c>
      <c r="AB169" s="337">
        <v>1</v>
      </c>
      <c r="AC169" s="337">
        <v>0</v>
      </c>
      <c r="AD169" s="337">
        <v>0</v>
      </c>
      <c r="AE169" s="337">
        <v>1</v>
      </c>
      <c r="AF169" s="337">
        <v>1</v>
      </c>
      <c r="AG169" s="15">
        <f t="shared" si="26"/>
        <v>12</v>
      </c>
    </row>
    <row r="170" spans="1:34" ht="15.75" customHeight="1" thickBot="1" x14ac:dyDescent="0.3">
      <c r="A170" s="339" t="s">
        <v>147</v>
      </c>
      <c r="B170" s="337"/>
      <c r="C170" s="337"/>
      <c r="D170" s="337"/>
      <c r="E170" s="337"/>
      <c r="F170" s="337"/>
      <c r="G170" s="337"/>
      <c r="H170" s="337"/>
      <c r="I170" s="337"/>
      <c r="J170" s="337"/>
      <c r="K170" s="337"/>
      <c r="L170" s="337"/>
      <c r="M170" s="337"/>
      <c r="N170" s="337"/>
      <c r="O170" s="337"/>
      <c r="P170" s="337"/>
      <c r="Q170" s="337"/>
      <c r="R170" s="337"/>
      <c r="S170" s="337"/>
      <c r="T170" s="337"/>
      <c r="U170" s="337"/>
      <c r="V170" s="337"/>
      <c r="W170" s="337"/>
      <c r="X170" s="337"/>
      <c r="Y170" s="337"/>
      <c r="Z170" s="337"/>
      <c r="AA170" s="337"/>
      <c r="AB170" s="337"/>
      <c r="AC170" s="337"/>
      <c r="AD170" s="337"/>
      <c r="AE170" s="337"/>
      <c r="AF170" s="337"/>
      <c r="AG170" s="106">
        <f t="shared" si="26"/>
        <v>0</v>
      </c>
    </row>
    <row r="171" spans="1:34" ht="15.75" customHeight="1" thickBot="1" x14ac:dyDescent="0.3">
      <c r="A171" s="340" t="s">
        <v>148</v>
      </c>
      <c r="B171" s="177">
        <f t="shared" ref="B171:AF171" si="27">SUM(B172:B176)</f>
        <v>186</v>
      </c>
      <c r="C171" s="177">
        <f t="shared" si="27"/>
        <v>202</v>
      </c>
      <c r="D171" s="177">
        <f t="shared" si="27"/>
        <v>163</v>
      </c>
      <c r="E171" s="177">
        <f t="shared" si="27"/>
        <v>217</v>
      </c>
      <c r="F171" s="177">
        <f t="shared" si="27"/>
        <v>225</v>
      </c>
      <c r="G171" s="177">
        <f t="shared" si="27"/>
        <v>198</v>
      </c>
      <c r="H171" s="177">
        <f t="shared" si="27"/>
        <v>210</v>
      </c>
      <c r="I171" s="177">
        <f t="shared" si="27"/>
        <v>226</v>
      </c>
      <c r="J171" s="177">
        <f t="shared" si="27"/>
        <v>183</v>
      </c>
      <c r="K171" s="177">
        <f t="shared" si="27"/>
        <v>213</v>
      </c>
      <c r="L171" s="177">
        <f t="shared" si="27"/>
        <v>217</v>
      </c>
      <c r="M171" s="177">
        <f t="shared" si="27"/>
        <v>219</v>
      </c>
      <c r="N171" s="177">
        <f t="shared" si="27"/>
        <v>192</v>
      </c>
      <c r="O171" s="177">
        <f t="shared" si="27"/>
        <v>181</v>
      </c>
      <c r="P171" s="177">
        <f t="shared" si="27"/>
        <v>181</v>
      </c>
      <c r="Q171" s="177">
        <f t="shared" si="27"/>
        <v>206</v>
      </c>
      <c r="R171" s="177">
        <f t="shared" si="27"/>
        <v>233</v>
      </c>
      <c r="S171" s="177">
        <f t="shared" si="27"/>
        <v>221</v>
      </c>
      <c r="T171" s="177">
        <f t="shared" si="27"/>
        <v>199</v>
      </c>
      <c r="U171" s="177">
        <f t="shared" si="27"/>
        <v>207</v>
      </c>
      <c r="V171" s="177">
        <f t="shared" si="27"/>
        <v>189</v>
      </c>
      <c r="W171" s="177">
        <f t="shared" si="27"/>
        <v>201</v>
      </c>
      <c r="X171" s="177">
        <f t="shared" si="27"/>
        <v>198</v>
      </c>
      <c r="Y171" s="177">
        <f t="shared" si="27"/>
        <v>147</v>
      </c>
      <c r="Z171" s="177">
        <f t="shared" si="27"/>
        <v>209</v>
      </c>
      <c r="AA171" s="177">
        <f t="shared" si="27"/>
        <v>233</v>
      </c>
      <c r="AB171" s="177">
        <f t="shared" si="27"/>
        <v>257</v>
      </c>
      <c r="AC171" s="177">
        <f t="shared" si="27"/>
        <v>206</v>
      </c>
      <c r="AD171" s="177">
        <f t="shared" si="27"/>
        <v>194</v>
      </c>
      <c r="AE171" s="177">
        <f t="shared" si="27"/>
        <v>200</v>
      </c>
      <c r="AF171" s="177">
        <f t="shared" si="27"/>
        <v>141</v>
      </c>
      <c r="AG171" s="178">
        <f t="shared" si="26"/>
        <v>6254</v>
      </c>
      <c r="AH171" s="40" t="str">
        <f>IF(AG171&lt;&gt;AG93,"X","")</f>
        <v/>
      </c>
    </row>
    <row r="172" spans="1:34" ht="15.75" customHeight="1" x14ac:dyDescent="0.25">
      <c r="A172" s="341" t="s">
        <v>149</v>
      </c>
      <c r="B172" s="342">
        <v>0</v>
      </c>
      <c r="C172" s="342">
        <v>0</v>
      </c>
      <c r="D172" s="342">
        <v>0</v>
      </c>
      <c r="E172" s="342">
        <v>0</v>
      </c>
      <c r="F172" s="342">
        <v>0</v>
      </c>
      <c r="G172" s="342">
        <v>0</v>
      </c>
      <c r="H172" s="342">
        <v>0</v>
      </c>
      <c r="I172" s="342">
        <v>0</v>
      </c>
      <c r="J172" s="342">
        <v>0</v>
      </c>
      <c r="K172" s="342">
        <v>0</v>
      </c>
      <c r="L172" s="342">
        <v>1</v>
      </c>
      <c r="M172" s="342">
        <v>0</v>
      </c>
      <c r="N172" s="342">
        <v>0</v>
      </c>
      <c r="O172" s="342">
        <v>0</v>
      </c>
      <c r="P172" s="342">
        <v>0</v>
      </c>
      <c r="Q172" s="342">
        <v>0</v>
      </c>
      <c r="R172" s="342">
        <v>0</v>
      </c>
      <c r="S172" s="342">
        <v>0</v>
      </c>
      <c r="T172" s="342">
        <v>0</v>
      </c>
      <c r="U172" s="342">
        <v>0</v>
      </c>
      <c r="V172" s="342">
        <v>0</v>
      </c>
      <c r="W172" s="342">
        <v>0</v>
      </c>
      <c r="X172" s="342">
        <v>0</v>
      </c>
      <c r="Y172" s="342">
        <v>0</v>
      </c>
      <c r="Z172" s="342">
        <v>0</v>
      </c>
      <c r="AA172" s="342">
        <v>0</v>
      </c>
      <c r="AB172" s="342">
        <v>0</v>
      </c>
      <c r="AC172" s="342">
        <v>0</v>
      </c>
      <c r="AD172" s="342">
        <v>0</v>
      </c>
      <c r="AE172" s="342">
        <v>0</v>
      </c>
      <c r="AF172" s="342">
        <v>0</v>
      </c>
      <c r="AG172" s="182">
        <f t="shared" si="26"/>
        <v>1</v>
      </c>
    </row>
    <row r="173" spans="1:34" ht="15.75" customHeight="1" x14ac:dyDescent="0.25">
      <c r="A173" s="343" t="s">
        <v>51</v>
      </c>
      <c r="B173" s="344">
        <v>4</v>
      </c>
      <c r="C173" s="344">
        <v>7</v>
      </c>
      <c r="D173" s="344">
        <v>3</v>
      </c>
      <c r="E173" s="344">
        <v>4</v>
      </c>
      <c r="F173" s="344">
        <v>3</v>
      </c>
      <c r="G173" s="344">
        <v>2</v>
      </c>
      <c r="H173" s="344">
        <v>4</v>
      </c>
      <c r="I173" s="344">
        <v>0</v>
      </c>
      <c r="J173" s="344">
        <v>4</v>
      </c>
      <c r="K173" s="344">
        <v>3</v>
      </c>
      <c r="L173" s="344">
        <v>2</v>
      </c>
      <c r="M173" s="344">
        <v>1</v>
      </c>
      <c r="N173" s="344">
        <v>1</v>
      </c>
      <c r="O173" s="344">
        <v>5</v>
      </c>
      <c r="P173" s="344">
        <v>2</v>
      </c>
      <c r="Q173" s="344">
        <v>5</v>
      </c>
      <c r="R173" s="344">
        <v>4</v>
      </c>
      <c r="S173" s="344">
        <v>0</v>
      </c>
      <c r="T173" s="344">
        <v>5</v>
      </c>
      <c r="U173" s="344">
        <v>0</v>
      </c>
      <c r="V173" s="344">
        <v>1</v>
      </c>
      <c r="W173" s="344">
        <v>2</v>
      </c>
      <c r="X173" s="344">
        <v>4</v>
      </c>
      <c r="Y173" s="344">
        <v>1</v>
      </c>
      <c r="Z173" s="344">
        <v>2</v>
      </c>
      <c r="AA173" s="344">
        <v>1</v>
      </c>
      <c r="AB173" s="344">
        <v>5</v>
      </c>
      <c r="AC173" s="344">
        <v>3</v>
      </c>
      <c r="AD173" s="344">
        <v>2</v>
      </c>
      <c r="AE173" s="344">
        <v>3</v>
      </c>
      <c r="AF173" s="344">
        <v>0</v>
      </c>
      <c r="AG173" s="186">
        <f t="shared" si="26"/>
        <v>83</v>
      </c>
    </row>
    <row r="174" spans="1:34" ht="15.75" customHeight="1" x14ac:dyDescent="0.25">
      <c r="A174" s="343" t="s">
        <v>52</v>
      </c>
      <c r="B174" s="344">
        <v>21</v>
      </c>
      <c r="C174" s="344">
        <v>31</v>
      </c>
      <c r="D174" s="344">
        <v>34</v>
      </c>
      <c r="E174" s="344">
        <v>33</v>
      </c>
      <c r="F174" s="344">
        <v>43</v>
      </c>
      <c r="G174" s="344">
        <v>23</v>
      </c>
      <c r="H174" s="344">
        <v>34</v>
      </c>
      <c r="I174" s="344">
        <v>27</v>
      </c>
      <c r="J174" s="344">
        <v>28</v>
      </c>
      <c r="K174" s="344">
        <v>35</v>
      </c>
      <c r="L174" s="344">
        <v>36</v>
      </c>
      <c r="M174" s="344">
        <v>28</v>
      </c>
      <c r="N174" s="344">
        <v>20</v>
      </c>
      <c r="O174" s="344">
        <v>27</v>
      </c>
      <c r="P174" s="344">
        <v>23</v>
      </c>
      <c r="Q174" s="344">
        <v>30</v>
      </c>
      <c r="R174" s="344">
        <v>38</v>
      </c>
      <c r="S174" s="344">
        <v>30</v>
      </c>
      <c r="T174" s="344">
        <v>26</v>
      </c>
      <c r="U174" s="344">
        <v>30</v>
      </c>
      <c r="V174" s="344">
        <v>30</v>
      </c>
      <c r="W174" s="344">
        <v>29</v>
      </c>
      <c r="X174" s="344">
        <v>36</v>
      </c>
      <c r="Y174" s="344">
        <v>14</v>
      </c>
      <c r="Z174" s="344">
        <v>32</v>
      </c>
      <c r="AA174" s="344">
        <v>43</v>
      </c>
      <c r="AB174" s="344">
        <v>50</v>
      </c>
      <c r="AC174" s="344">
        <v>36</v>
      </c>
      <c r="AD174" s="344">
        <v>28</v>
      </c>
      <c r="AE174" s="344">
        <v>23</v>
      </c>
      <c r="AF174" s="344">
        <v>16</v>
      </c>
      <c r="AG174" s="186">
        <f t="shared" si="26"/>
        <v>934</v>
      </c>
    </row>
    <row r="175" spans="1:34" ht="15.75" customHeight="1" x14ac:dyDescent="0.25">
      <c r="A175" s="343" t="s">
        <v>53</v>
      </c>
      <c r="B175" s="344">
        <v>139</v>
      </c>
      <c r="C175" s="344">
        <v>120</v>
      </c>
      <c r="D175" s="344">
        <v>101</v>
      </c>
      <c r="E175" s="344">
        <v>149</v>
      </c>
      <c r="F175" s="344">
        <v>114</v>
      </c>
      <c r="G175" s="344">
        <v>147</v>
      </c>
      <c r="H175" s="344">
        <v>129</v>
      </c>
      <c r="I175" s="344">
        <v>149</v>
      </c>
      <c r="J175" s="344">
        <v>98</v>
      </c>
      <c r="K175" s="344">
        <v>134</v>
      </c>
      <c r="L175" s="344">
        <v>138</v>
      </c>
      <c r="M175" s="344">
        <v>141</v>
      </c>
      <c r="N175" s="344">
        <v>126</v>
      </c>
      <c r="O175" s="344">
        <v>138</v>
      </c>
      <c r="P175" s="344">
        <v>95</v>
      </c>
      <c r="Q175" s="344">
        <v>130</v>
      </c>
      <c r="R175" s="344">
        <v>138</v>
      </c>
      <c r="S175" s="344">
        <v>144</v>
      </c>
      <c r="T175" s="344">
        <v>116</v>
      </c>
      <c r="U175" s="344">
        <v>124</v>
      </c>
      <c r="V175" s="344">
        <v>100</v>
      </c>
      <c r="W175" s="344">
        <v>112</v>
      </c>
      <c r="X175" s="344">
        <v>97</v>
      </c>
      <c r="Y175" s="344">
        <v>89</v>
      </c>
      <c r="Z175" s="344">
        <v>137</v>
      </c>
      <c r="AA175" s="344">
        <v>161</v>
      </c>
      <c r="AB175" s="344">
        <v>156</v>
      </c>
      <c r="AC175" s="344">
        <v>131</v>
      </c>
      <c r="AD175" s="344">
        <v>123</v>
      </c>
      <c r="AE175" s="344">
        <v>96</v>
      </c>
      <c r="AF175" s="344">
        <v>104</v>
      </c>
      <c r="AG175" s="186">
        <f t="shared" si="26"/>
        <v>3876</v>
      </c>
    </row>
    <row r="176" spans="1:34" ht="15.75" customHeight="1" thickBot="1" x14ac:dyDescent="0.3">
      <c r="A176" s="345" t="s">
        <v>54</v>
      </c>
      <c r="B176" s="346">
        <v>22</v>
      </c>
      <c r="C176" s="346">
        <v>44</v>
      </c>
      <c r="D176" s="346">
        <v>25</v>
      </c>
      <c r="E176" s="346">
        <v>31</v>
      </c>
      <c r="F176" s="346">
        <v>65</v>
      </c>
      <c r="G176" s="346">
        <v>26</v>
      </c>
      <c r="H176" s="346">
        <v>43</v>
      </c>
      <c r="I176" s="346">
        <v>50</v>
      </c>
      <c r="J176" s="346">
        <v>53</v>
      </c>
      <c r="K176" s="346">
        <v>41</v>
      </c>
      <c r="L176" s="346">
        <v>40</v>
      </c>
      <c r="M176" s="346">
        <v>49</v>
      </c>
      <c r="N176" s="346">
        <v>45</v>
      </c>
      <c r="O176" s="346">
        <v>11</v>
      </c>
      <c r="P176" s="346">
        <v>61</v>
      </c>
      <c r="Q176" s="346">
        <v>41</v>
      </c>
      <c r="R176" s="346">
        <v>53</v>
      </c>
      <c r="S176" s="346">
        <v>47</v>
      </c>
      <c r="T176" s="346">
        <v>52</v>
      </c>
      <c r="U176" s="346">
        <v>53</v>
      </c>
      <c r="V176" s="346">
        <v>58</v>
      </c>
      <c r="W176" s="346">
        <v>58</v>
      </c>
      <c r="X176" s="346">
        <v>61</v>
      </c>
      <c r="Y176" s="346">
        <v>43</v>
      </c>
      <c r="Z176" s="346">
        <v>38</v>
      </c>
      <c r="AA176" s="346">
        <v>28</v>
      </c>
      <c r="AB176" s="346">
        <v>46</v>
      </c>
      <c r="AC176" s="346">
        <v>36</v>
      </c>
      <c r="AD176" s="346">
        <v>41</v>
      </c>
      <c r="AE176" s="346">
        <v>78</v>
      </c>
      <c r="AF176" s="346">
        <v>21</v>
      </c>
      <c r="AG176" s="190">
        <f t="shared" si="26"/>
        <v>1360</v>
      </c>
    </row>
    <row r="177" spans="1:34" ht="15.75" customHeight="1" x14ac:dyDescent="0.25">
      <c r="A177" s="347" t="s">
        <v>158</v>
      </c>
      <c r="B177" s="348"/>
      <c r="C177" s="348"/>
      <c r="D177" s="348"/>
      <c r="E177" s="348"/>
      <c r="F177" s="348"/>
      <c r="G177" s="348"/>
      <c r="H177" s="348"/>
      <c r="I177" s="348"/>
      <c r="J177" s="348"/>
      <c r="K177" s="348"/>
      <c r="L177" s="348"/>
      <c r="M177" s="348"/>
      <c r="N177" s="348"/>
      <c r="O177" s="348"/>
      <c r="P177" s="348"/>
      <c r="Q177" s="348"/>
      <c r="R177" s="348"/>
      <c r="S177" s="348"/>
      <c r="T177" s="348"/>
      <c r="U177" s="348"/>
      <c r="V177" s="348"/>
      <c r="W177" s="348"/>
      <c r="X177" s="348"/>
      <c r="Y177" s="348"/>
      <c r="Z177" s="348"/>
      <c r="AA177" s="348"/>
      <c r="AB177" s="348"/>
      <c r="AC177" s="348"/>
      <c r="AD177" s="348"/>
      <c r="AE177" s="348"/>
      <c r="AF177" s="348"/>
      <c r="AG177" s="110">
        <f t="shared" si="26"/>
        <v>0</v>
      </c>
      <c r="AH177" s="364" t="s">
        <v>159</v>
      </c>
    </row>
    <row r="178" spans="1:34" ht="15.75" customHeight="1" x14ac:dyDescent="0.25">
      <c r="A178" s="349" t="s">
        <v>160</v>
      </c>
      <c r="B178" s="350"/>
      <c r="C178" s="350"/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0"/>
      <c r="Q178" s="350"/>
      <c r="R178" s="350"/>
      <c r="S178" s="350"/>
      <c r="T178" s="350"/>
      <c r="U178" s="350"/>
      <c r="V178" s="350"/>
      <c r="W178" s="350"/>
      <c r="X178" s="350"/>
      <c r="Y178" s="350"/>
      <c r="Z178" s="350"/>
      <c r="AA178" s="350"/>
      <c r="AB178" s="350"/>
      <c r="AC178" s="350"/>
      <c r="AD178" s="350"/>
      <c r="AE178" s="350"/>
      <c r="AF178" s="351"/>
      <c r="AG178" s="207">
        <f t="shared" si="26"/>
        <v>0</v>
      </c>
      <c r="AH178" s="365"/>
    </row>
    <row r="179" spans="1:34" ht="15.75" customHeight="1" x14ac:dyDescent="0.25">
      <c r="A179" s="349" t="s">
        <v>161</v>
      </c>
      <c r="B179" s="350"/>
      <c r="C179" s="350"/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0"/>
      <c r="Q179" s="350"/>
      <c r="R179" s="350"/>
      <c r="S179" s="350"/>
      <c r="T179" s="350"/>
      <c r="U179" s="350"/>
      <c r="V179" s="350"/>
      <c r="W179" s="350"/>
      <c r="X179" s="350"/>
      <c r="Y179" s="350"/>
      <c r="Z179" s="350"/>
      <c r="AA179" s="350"/>
      <c r="AB179" s="350"/>
      <c r="AC179" s="350"/>
      <c r="AD179" s="350"/>
      <c r="AE179" s="350"/>
      <c r="AF179" s="351"/>
      <c r="AG179" s="207">
        <f t="shared" si="26"/>
        <v>0</v>
      </c>
      <c r="AH179" s="365"/>
    </row>
    <row r="180" spans="1:34" ht="15.75" customHeight="1" thickBot="1" x14ac:dyDescent="0.3">
      <c r="A180" s="352" t="s">
        <v>162</v>
      </c>
      <c r="B180" s="353"/>
      <c r="C180" s="354"/>
      <c r="D180" s="354"/>
      <c r="E180" s="354"/>
      <c r="F180" s="354"/>
      <c r="G180" s="354"/>
      <c r="H180" s="354"/>
      <c r="I180" s="354"/>
      <c r="J180" s="354"/>
      <c r="K180" s="354"/>
      <c r="L180" s="354"/>
      <c r="M180" s="354"/>
      <c r="N180" s="354"/>
      <c r="O180" s="354"/>
      <c r="P180" s="354"/>
      <c r="Q180" s="354"/>
      <c r="R180" s="354"/>
      <c r="S180" s="354"/>
      <c r="T180" s="354"/>
      <c r="U180" s="354"/>
      <c r="V180" s="354"/>
      <c r="W180" s="354"/>
      <c r="X180" s="354"/>
      <c r="Y180" s="354"/>
      <c r="Z180" s="354"/>
      <c r="AA180" s="354"/>
      <c r="AB180" s="354"/>
      <c r="AC180" s="354"/>
      <c r="AD180" s="354"/>
      <c r="AE180" s="354"/>
      <c r="AF180" s="355"/>
      <c r="AG180" s="106">
        <f t="shared" si="26"/>
        <v>0</v>
      </c>
      <c r="AH180" s="366"/>
    </row>
    <row r="181" spans="1:34" ht="15.75" customHeight="1" x14ac:dyDescent="0.25"/>
    <row r="182" spans="1:34" ht="15.75" customHeight="1" x14ac:dyDescent="0.25">
      <c r="B182" s="356"/>
      <c r="C182" s="356"/>
      <c r="D182" s="356"/>
      <c r="E182" s="356"/>
      <c r="F182" s="356"/>
      <c r="G182" s="356"/>
      <c r="H182" s="356"/>
      <c r="I182" s="356"/>
      <c r="J182" s="356"/>
      <c r="K182" s="356"/>
      <c r="L182" s="356"/>
      <c r="M182" s="356"/>
      <c r="N182" s="356"/>
      <c r="O182" s="356"/>
      <c r="P182" s="356"/>
      <c r="Q182" s="356"/>
      <c r="R182" s="356"/>
      <c r="S182" s="356"/>
      <c r="T182" s="356"/>
      <c r="U182" s="356"/>
      <c r="V182" s="356"/>
      <c r="W182" s="356"/>
      <c r="X182" s="356"/>
      <c r="Y182" s="356"/>
      <c r="Z182" s="356"/>
      <c r="AA182" s="356"/>
      <c r="AB182" s="356"/>
      <c r="AC182" s="356"/>
      <c r="AD182" s="356"/>
      <c r="AE182" s="356"/>
    </row>
    <row r="183" spans="1:34" ht="15.75" customHeight="1" x14ac:dyDescent="0.25">
      <c r="B183" s="356"/>
      <c r="C183" s="356"/>
      <c r="D183" s="356"/>
      <c r="E183" s="356"/>
      <c r="F183" s="356"/>
      <c r="G183" s="356"/>
      <c r="H183" s="356"/>
      <c r="I183" s="356"/>
      <c r="J183" s="356"/>
      <c r="K183" s="356"/>
      <c r="L183" s="356"/>
      <c r="M183" s="356"/>
      <c r="N183" s="356"/>
      <c r="O183" s="356"/>
      <c r="P183" s="356"/>
      <c r="Q183" s="356"/>
      <c r="R183" s="356"/>
      <c r="S183" s="356"/>
      <c r="T183" s="356"/>
      <c r="U183" s="356"/>
      <c r="V183" s="356"/>
      <c r="W183" s="356"/>
      <c r="X183" s="356"/>
      <c r="Y183" s="356"/>
      <c r="Z183" s="356"/>
      <c r="AA183" s="356"/>
      <c r="AB183" s="356"/>
      <c r="AC183" s="356"/>
      <c r="AD183" s="356"/>
      <c r="AE183" s="356"/>
      <c r="AF183" s="356"/>
    </row>
    <row r="184" spans="1:34" ht="15.75" customHeight="1" x14ac:dyDescent="0.25">
      <c r="B184" s="356"/>
      <c r="C184" s="356"/>
      <c r="D184" s="356"/>
      <c r="E184" s="356"/>
      <c r="F184" s="356"/>
      <c r="G184" s="356"/>
      <c r="H184" s="356"/>
      <c r="I184" s="356"/>
      <c r="J184" s="356"/>
      <c r="K184" s="356"/>
      <c r="L184" s="356"/>
      <c r="M184" s="356"/>
      <c r="N184" s="356"/>
      <c r="O184" s="356"/>
      <c r="P184" s="356"/>
      <c r="Q184" s="356"/>
      <c r="R184" s="356"/>
      <c r="S184" s="356"/>
      <c r="T184" s="356"/>
      <c r="U184" s="356"/>
      <c r="V184" s="356"/>
      <c r="W184" s="356"/>
      <c r="X184" s="356"/>
      <c r="Y184" s="356"/>
      <c r="Z184" s="356"/>
      <c r="AA184" s="356"/>
      <c r="AB184" s="356"/>
      <c r="AC184" s="356"/>
      <c r="AD184" s="356"/>
      <c r="AE184" s="356"/>
      <c r="AF184" s="356"/>
    </row>
    <row r="185" spans="1:34" ht="15.75" customHeight="1" x14ac:dyDescent="0.25"/>
    <row r="186" spans="1:34" ht="15.75" customHeight="1" x14ac:dyDescent="0.25"/>
    <row r="187" spans="1:34" ht="15.75" customHeight="1" x14ac:dyDescent="0.25"/>
    <row r="188" spans="1:34" ht="15.75" customHeight="1" x14ac:dyDescent="0.25"/>
    <row r="189" spans="1:34" ht="15.75" customHeight="1" x14ac:dyDescent="0.25"/>
    <row r="190" spans="1:34" ht="15.75" customHeight="1" x14ac:dyDescent="0.25"/>
    <row r="191" spans="1:34" ht="15.75" customHeight="1" x14ac:dyDescent="0.25"/>
    <row r="192" spans="1:34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8.75" customHeight="1" x14ac:dyDescent="0.25"/>
    <row r="201" ht="18.75" customHeight="1" x14ac:dyDescent="0.25"/>
    <row r="202" ht="18.75" customHeight="1" x14ac:dyDescent="0.25"/>
    <row r="203" ht="18.75" customHeight="1" x14ac:dyDescent="0.25"/>
    <row r="204" ht="18.75" customHeight="1" x14ac:dyDescent="0.25"/>
    <row r="205" ht="18.75" customHeight="1" x14ac:dyDescent="0.25"/>
    <row r="206" ht="18.75" customHeight="1" x14ac:dyDescent="0.25"/>
    <row r="207" ht="18.75" customHeight="1" x14ac:dyDescent="0.25"/>
    <row r="208" ht="18.75" customHeight="1" x14ac:dyDescent="0.25"/>
    <row r="209" ht="18.75" customHeight="1" x14ac:dyDescent="0.25"/>
    <row r="210" ht="18.75" customHeight="1" x14ac:dyDescent="0.25"/>
    <row r="211" ht="19.5" customHeight="1" x14ac:dyDescent="0.25"/>
    <row r="212" ht="15.75" customHeight="1" x14ac:dyDescent="0.25"/>
    <row r="213" ht="18.75" customHeight="1" x14ac:dyDescent="0.25"/>
    <row r="214" ht="15.75" customHeight="1" x14ac:dyDescent="0.25"/>
    <row r="215" ht="15.75" customHeight="1" x14ac:dyDescent="0.25"/>
    <row r="216" ht="18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</sheetData>
  <sheetProtection algorithmName="SHA-512" hashValue="KYdF37E4awa88Pr+OW2FIOW+7DdQ2OVzC4+R/y0HWupuNjEJm4tzw/g6O9gBkMieY6r0RdK0drazN+yR/iI3gA==" saltValue="OF0pUQdEKDz2hlB/cb2Tqw==" spinCount="100000" sheet="1" objects="1" scenarios="1"/>
  <dataConsolidate/>
  <mergeCells count="2">
    <mergeCell ref="A1:AG1"/>
    <mergeCell ref="AH177:AH180"/>
  </mergeCells>
  <conditionalFormatting sqref="AD29:AF52">
    <cfRule type="cellIs" dxfId="2" priority="3" operator="lessThan">
      <formula>0</formula>
    </cfRule>
  </conditionalFormatting>
  <conditionalFormatting sqref="AH1:AH1048576">
    <cfRule type="cellIs" dxfId="1" priority="1" operator="equal">
      <formula>"*"</formula>
    </cfRule>
  </conditionalFormatting>
  <conditionalFormatting sqref="AH171">
    <cfRule type="cellIs" dxfId="0" priority="2" operator="equal">
      <formula>"X"</formula>
    </cfRule>
  </conditionalFormatting>
  <dataValidations disablePrompts="1" count="1">
    <dataValidation type="decimal" allowBlank="1" showInputMessage="1" showErrorMessage="1" prompt="ERROR - Por favor ingrese solo Números" sqref="A101:A115 A98:A99" xr:uid="{00000000-0002-0000-0D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Button 1">
              <controlPr defaultSize="0" print="0" autoFill="0" autoPict="0" macro="[0]!SAR__MENU_PRINCIPAL">
                <anchor>
                  <from>
                    <xdr:col>0</xdr:col>
                    <xdr:colOff>1790700</xdr:colOff>
                    <xdr:row>1</xdr:row>
                    <xdr:rowOff>38100</xdr:rowOff>
                  </from>
                  <to>
                    <xdr:col>0</xdr:col>
                    <xdr:colOff>2219325</xdr:colOff>
                    <xdr:row>1</xdr:row>
                    <xdr:rowOff>295275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22F0DE-FFC1-40C9-970A-320F9DCBD3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CONSOLIDADO</vt:lpstr>
      <vt:lpstr>FORMATO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Sepúlveda C. (CVP)</dc:creator>
  <cp:lastModifiedBy>Rodrigo Villalobosr</cp:lastModifiedBy>
  <dcterms:created xsi:type="dcterms:W3CDTF">2023-01-03T14:27:23Z</dcterms:created>
  <dcterms:modified xsi:type="dcterms:W3CDTF">2026-03-23T19:33:03Z</dcterms:modified>
</cp:coreProperties>
</file>